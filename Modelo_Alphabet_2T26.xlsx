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1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nputs (2)" sheetId="2" state="visible" r:id="rId2"/>
    <sheet xmlns:r="http://schemas.openxmlformats.org/officeDocument/2006/relationships" name="Model" sheetId="3" state="visible" r:id="rId3"/>
    <sheet xmlns:r="http://schemas.openxmlformats.org/officeDocument/2006/relationships" name="Valuation" sheetId="4" state="visible" r:id="rId4"/>
    <sheet xmlns:r="http://schemas.openxmlformats.org/officeDocument/2006/relationships" name="Control" sheetId="5" state="visible" r:id="rId5"/>
  </sheets>
  <definedNames>
    <definedName name="aaa" hidden="1">{#N/A,#N/A,FALSE,"Aging Summary";#N/A,#N/A,FALSE,"Ratio Analysis";#N/A,#N/A,FALSE,"Test 120 Day Accts";#N/A,#N/A,FALSE,"Tickmarks"}</definedName>
    <definedName name="AAAA" hidden="1">{#N/A,#N/A,FALSE,"Aging Summary";#N/A,#N/A,FALSE,"Ratio Analysis";#N/A,#N/A,FALSE,"Test 120 Day Accts";#N/A,#N/A,FALSE,"Tickmarks"}</definedName>
    <definedName name="BalType" hidden="1">TRUE()</definedName>
    <definedName name="beta_observed">Valuation!$D$93</definedName>
    <definedName name="GrpAcct1" hidden="1">"5611"</definedName>
    <definedName name="GrpAcct2" hidden="1">"5612"</definedName>
    <definedName name="GrpLevel" hidden="1">2</definedName>
    <definedName name="last_close">Valuation!$G$7</definedName>
    <definedName name="NumofGrpAccts" hidden="1">2</definedName>
    <definedName name="nvnvnvnv" hidden="1">{#N/A,#N/A,FALSE,"Aging Summary";#N/A,#N/A,FALSE,"Ratio Analysis";#N/A,#N/A,FALSE,"Test 120 Day Accts";#N/A,#N/A,FALSE,"Tickmarks"}</definedName>
    <definedName name="RowLevel" hidden="1">1</definedName>
    <definedName name="TBdbName" hidden="1">"88D5BF544BE111D2B8C5006097494125.mdb"</definedName>
    <definedName name="TextRefCopyRangeCount" hidden="1">68</definedName>
    <definedName name="ticker">Valuation!$D$7</definedName>
    <definedName name="Useful_Life_of_Depreciable_PP_E">"PPElife"</definedName>
    <definedName name="wrn.Aging._.and._.Trend._.Analysis." hidden="1">{#N/A,#N/A,FALSE,"Aging Summary";#N/A,#N/A,FALSE,"Ratio Analysis";#N/A,#N/A,FALSE,"Test 120 Day Accts";#N/A,#N/A,FALSE,"Tickmarks"}</definedName>
    <definedName name="wrn.EXPENSES._.98._.US." hidden="1">{"Expenses 98 MKT",#N/A,TRUE,"MKT";"Expenses 98 BUSS",#N/A,TRUE,"BusOper";"Expenses 98 TECH",#N/A,TRUE,"Tech";"Expenses 98 LOCAL",#N/A,TRUE,"LocalProg";"Expenses 98 GA",#N/A,TRUE,"G&amp;A";"Expenses 98 CONSOL",#N/A,TRUE,"Consolidate"}</definedName>
    <definedName name="wrn.EXPENSES._.99._.REAL." hidden="1">{"Reais 99 MKT",#N/A,TRUE,"MKT";"Reais 99 BUSS",#N/A,TRUE,"BusOper";"Reais 99 TECH",#N/A,TRUE,"Tech";"Reais 99 LOCAL",#N/A,TRUE,"LocalProg";"Reais 99 GA",#N/A,TRUE,"G&amp;A";"Reais 99 CONSOL",#N/A,TRUE,"Consolidate"}</definedName>
    <definedName name="wrn.FINANCIAL._.MONTH." hidden="1">{"Expense Analysis MKT",#N/A,TRUE,"MKT";"Expense Analysis BUSS",#N/A,TRUE,"BusOper";"Expense Analysis TECH",#N/A,TRUE,"Tech";"Expense Analysis LOCAL",#N/A,TRUE,"LocalProg";"Expense Analysis GA",#N/A,TRUE,"G&amp;A";"Expense Analysis CONSOL",#N/A,TRUE,"Consolidate"}</definedName>
    <definedName name="wrn.FINANCIAL._.MONTHS." hidden="1">{"Expenses Amalysis Months MKT",#N/A,TRUE,"MKT";"Expenses Analysis Months BUSS",#N/A,TRUE,"BusOper";"Expenses Analysis Months TECH",#N/A,TRUE,"Tech";"Expenses Analysis Months LOCAL",#N/A,TRUE,"LocalProg";"Expenses Analysis Months GA",#N/A,TRUE,"G&amp;A";"Expenses Analysis Months CONSOL",#N/A,TRUE,"Consolidate"}</definedName>
    <definedName name="wrn.FINANCIAL._.US._.MONTH." hidden="1">{"Expenses us MKT",#N/A,TRUE,"MKT";"Expenses us BUSS",#N/A,TRUE,"BusOper";"Expenses us TECH",#N/A,TRUE,"Tech";"Expenses us LOCAL",#N/A,TRUE,"LocalProg";"Expenses us GA",#N/A,TRUE,"G&amp;A";"Expenses us CONSOL",#N/A,TRUE,"Consolidate"}</definedName>
    <definedName name="wrn.FINANCIAL._.US._.MONTHS." hidden="1">{"Expenses Months us MKT",#N/A,TRUE,"MKT";"Expenses Months us BUSS",#N/A,TRUE,"BusOper";"Expenses Months us TECH",#N/A,TRUE,"Tech";"Expenses Months us LOCAL",#N/A,TRUE,"LocalProg";"Expenses Months us GA",#N/A,TRUE,"G&amp;A";"Expenses Months us CONSOL",#N/A,TRUE,"Consolidate"}</definedName>
    <definedName name="wrn.grafico." hidden="1">{#N/A,#N/A,FALSE,"Graficos    ( 9 )"}</definedName>
    <definedName name="wrn.WORK._.PAPER." hidden="1">{#N/A,#N/A,TRUE,"Consolidate";"Work Paper MKT",#N/A,TRUE,"MKT";"Work Paper BUSS",#N/A,TRUE,"BusOper";"Work Paper TECH",#N/A,TRUE,"Tech";"Work Paper LOCAL",#N/A,TRUE,"LocalProg";"Work Paper GA",#N/A,TRUE,"G&amp;A";"Work Paper CONSOL",#N/A,TRUE,"Consolidate"}</definedName>
    <definedName name="wrn.WORK._.PAPER._.99." hidden="1">{"Work Paper99 MKT",#N/A,TRUE,"MKT";"Work Paper99 BUSS",#N/A,TRUE,"BusOper";"Work Paper99 TECH",#N/A,TRUE,"Tech";"Work Paper99 LOCAL",#N/A,TRUE,"LocalProg";"Work Paper99 GA",#N/A,TRUE,"G&amp;A";"Work Paper99 CONSOL",#N/A,TRUE,"Consolidate"}</definedName>
    <definedName name="XRefColumnsCount" hidden="1">2</definedName>
    <definedName name="XRefCopyRangeCount" hidden="1">5</definedName>
    <definedName name="XRefPasteRangeCount" hidden="1">35</definedName>
    <definedName name="beta_observed" localSheetId="1">#REF!</definedName>
    <definedName name="ticker" localSheetId="1">#REF!</definedName>
    <definedName name="costdebtfirm" localSheetId="3">Valuation!$D$86</definedName>
    <definedName name="costequity" localSheetId="3">Valuation!$D$94</definedName>
    <definedName name="debt" localSheetId="3">Valuation!$G$88</definedName>
    <definedName name="debt_weight" localSheetId="3">Valuation!$J$88</definedName>
    <definedName name="g" localSheetId="3">Valuation!$D$63</definedName>
    <definedName name="market_equity" localSheetId="3">Valuation!$G$89</definedName>
    <definedName name="noplat_t1" localSheetId="3">Valuation!$D$65</definedName>
    <definedName name="relevered_beta" localSheetId="3">Valuation!$M$102</definedName>
    <definedName name="risk_free_rate" localSheetId="3">Valuation!$D$91</definedName>
    <definedName name="risk_premium" localSheetId="3">Valuation!$D$92</definedName>
    <definedName name="ronic" localSheetId="3">Valuation!$D$64</definedName>
    <definedName name="stub_year_fraction" localSheetId="3">Valuation!$D$11</definedName>
    <definedName name="totalcap" localSheetId="3">Valuation!$G$90</definedName>
    <definedName name="wacc" localSheetId="3">Valuation!$D$12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#,##0_ ;[Red]\-#,##0\ "/>
    <numFmt numFmtId="165" formatCode="#,##0_);[Red]\(#,##0\)"/>
    <numFmt numFmtId="166" formatCode="#,##0.0_);[Red]\(#,##0.0\)"/>
    <numFmt numFmtId="167" formatCode="#,##0.0_ ;[Red]\-#,##0.0\ "/>
    <numFmt numFmtId="168" formatCode="[$-409]d\-mmm;@"/>
    <numFmt numFmtId="169" formatCode="[$-409]d\-mmm"/>
    <numFmt numFmtId="170" formatCode="[$-416]d\-mmm"/>
    <numFmt numFmtId="171" formatCode="0.0%"/>
    <numFmt numFmtId="172" formatCode="#,##0.0;[Red]#,##0.0"/>
    <numFmt numFmtId="173" formatCode="#,##0.00_);[Red]\(#,##0.00\)"/>
    <numFmt numFmtId="174" formatCode="0.0\x"/>
    <numFmt numFmtId="175" formatCode="0.0"/>
    <numFmt numFmtId="176" formatCode="[$-409]d\-mmm\-yy;@"/>
    <numFmt numFmtId="177" formatCode="[$BRL]\ #,##0.00_);[Red]\([$BRL]\ #,##0.00\)"/>
    <numFmt numFmtId="178" formatCode="#,##0.0_);\(#,##0.0\)"/>
    <numFmt numFmtId="179" formatCode="#,##0.000_);\(#,##0.000\)"/>
    <numFmt numFmtId="180" formatCode="&quot;R$ &quot;#,##0.00"/>
    <numFmt numFmtId="181" formatCode="#,##0.0\x"/>
    <numFmt numFmtId="182" formatCode="\$#,##0.00_);&quot;($&quot;#,##0.00\)"/>
    <numFmt numFmtId="183" formatCode="#,##0.000_);[Red]\(#,##0.000\)"/>
    <numFmt numFmtId="184" formatCode="\$#,##0.00_);[Red]&quot;($&quot;#,##0.00\)"/>
    <numFmt numFmtId="185" formatCode="\$#,##0.0_);&quot;($&quot;#,##0.0\)"/>
    <numFmt numFmtId="186" formatCode="#,##0_);\(#,##0\)"/>
    <numFmt numFmtId="187" formatCode="0.0%;\(0.0%\)"/>
    <numFmt numFmtId="188" formatCode="0.000"/>
    <numFmt numFmtId="189" formatCode="#,##0.00_);\(#,##0.00\)"/>
    <numFmt numFmtId="190" formatCode="#,##0.0"/>
    <numFmt numFmtId="191" formatCode="0.00\x"/>
    <numFmt numFmtId="192" formatCode="0.0&quot;x&quot;"/>
    <numFmt numFmtId="193" formatCode="#,##0.0;\(#,##0.0\)"/>
    <numFmt numFmtId="194" formatCode="_(* #,##0.00_);_(* \(#,##0.00\);_(* \-??_);_(@_)"/>
    <numFmt numFmtId="195" formatCode="_(* #,##0_);_(* \(#,##0\);_(* \-_);_(@_)"/>
    <numFmt numFmtId="196" formatCode="_(\$* #,##0.00_);_(\$* \(#,##0.00\);_(\$* \-??_);_(@_)"/>
    <numFmt numFmtId="197" formatCode="_(\$* #,##0_);_(\$* \(#,##0\);_(\$* \-_);_(@_)"/>
    <numFmt numFmtId="198" formatCode="m/d/yyyy"/>
    <numFmt numFmtId="199" formatCode="0_);\(0\)"/>
    <numFmt numFmtId="200" formatCode="#,##0.0;(#,##0.0)"/>
    <numFmt numFmtId="201" formatCode="dd/mm/yyyy"/>
  </numFmts>
  <fonts count="26">
    <font>
      <name val="Arial"/>
      <family val="2"/>
      <sz val="10"/>
    </font>
    <font>
      <name val="Arial"/>
      <charset val="1"/>
      <sz val="10"/>
    </font>
    <font>
      <name val="Arial"/>
      <charset val="1"/>
      <b val="1"/>
      <sz val="8"/>
    </font>
    <font>
      <name val="Aptos Narrow"/>
      <charset val="1"/>
      <color theme="1"/>
      <sz val="11"/>
    </font>
    <font>
      <name val="Verdana"/>
      <charset val="1"/>
      <color theme="1"/>
      <sz val="10"/>
    </font>
    <font>
      <name val="Arial"/>
      <charset val="1"/>
      <sz val="8"/>
    </font>
    <font>
      <name val="Arial"/>
      <charset val="1"/>
      <b val="1"/>
      <color rgb="FF333333"/>
      <sz val="10"/>
    </font>
    <font>
      <name val="Calibri"/>
      <charset val="1"/>
      <color rgb="FF000000"/>
      <sz val="11"/>
    </font>
    <font>
      <name val="Cambria"/>
      <charset val="1"/>
      <b val="1"/>
      <color rgb="FFFFFFFF"/>
      <sz val="11"/>
    </font>
    <font>
      <name val="Cambria"/>
      <charset val="1"/>
      <b val="1"/>
      <color rgb="FF17365D"/>
      <sz val="11"/>
    </font>
    <font>
      <name val="Verdana"/>
      <charset val="1"/>
      <color rgb="FF0000FF"/>
      <sz val="10"/>
    </font>
    <font>
      <name val="Verdana"/>
      <charset val="1"/>
      <b val="1"/>
      <color theme="1"/>
      <sz val="10"/>
    </font>
    <font>
      <name val="Verdana"/>
      <charset val="1"/>
      <b val="1"/>
      <color rgb="FFFFFFFF"/>
      <sz val="10"/>
    </font>
    <font>
      <name val="Verdana"/>
      <charset val="1"/>
      <i val="1"/>
      <color theme="1"/>
      <sz val="10"/>
    </font>
    <font>
      <name val="Verdana"/>
      <charset val="1"/>
      <sz val="10"/>
    </font>
    <font>
      <name val="Verdana"/>
      <charset val="1"/>
      <b val="1"/>
      <color theme="0"/>
      <sz val="10"/>
    </font>
    <font>
      <name val="Verdana"/>
      <charset val="1"/>
      <b val="1"/>
      <sz val="10"/>
    </font>
    <font>
      <name val="Verdana"/>
      <charset val="1"/>
      <b val="1"/>
      <color theme="0" tint="-0.0499893185216834"/>
      <sz val="10"/>
    </font>
    <font>
      <name val="Verdana"/>
      <charset val="1"/>
      <b val="1"/>
      <color rgb="FF333333"/>
      <sz val="10"/>
    </font>
    <font>
      <name val="Verdana"/>
      <charset val="1"/>
      <b val="1"/>
      <color rgb="FF0000FF"/>
      <sz val="10"/>
    </font>
    <font>
      <name val="Verdana"/>
      <charset val="1"/>
      <color rgb="FF008000"/>
      <sz val="10"/>
    </font>
    <font>
      <name val="Cambria"/>
      <charset val="1"/>
      <b val="1"/>
      <color rgb="FFFFFFFF"/>
      <sz val="14"/>
    </font>
    <font>
      <name val="Cambria"/>
      <charset val="1"/>
      <color rgb="FF0000FF"/>
      <sz val="11"/>
    </font>
    <font>
      <name val="Verdana"/>
      <family val="2"/>
      <b val="1"/>
      <color rgb="FFFFFFFF"/>
      <sz val="10"/>
    </font>
    <font>
      <name val="Verdana"/>
      <family val="2"/>
      <b val="1"/>
      <color theme="1"/>
      <sz val="10"/>
    </font>
    <font>
      <name val="Verdana"/>
      <b val="1"/>
      <sz val="10"/>
    </font>
  </fonts>
  <fills count="18">
    <fill>
      <patternFill/>
    </fill>
    <fill>
      <patternFill patternType="gray125"/>
    </fill>
    <fill>
      <patternFill patternType="solid">
        <fgColor rgb="FFC0C0C0"/>
        <bgColor rgb="FFD8D8D8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FCC"/>
        <bgColor rgb="FFFFF2CC"/>
      </patternFill>
    </fill>
    <fill>
      <patternFill patternType="solid">
        <fgColor rgb="FFD9D9D9"/>
        <bgColor rgb="FFD8D8D8"/>
      </patternFill>
    </fill>
    <fill>
      <patternFill patternType="solid">
        <fgColor rgb="FFD8D8D8"/>
        <bgColor rgb="FFD9D9D9"/>
      </patternFill>
    </fill>
    <fill>
      <patternFill patternType="solid">
        <fgColor rgb="FF00B050"/>
        <bgColor rgb="FF008080"/>
      </patternFill>
    </fill>
    <fill>
      <patternFill patternType="solid">
        <fgColor theme="0"/>
        <bgColor rgb="FFF2F2F2"/>
      </patternFill>
    </fill>
    <fill>
      <patternFill patternType="solid">
        <fgColor theme="4" tint="0.3998840296639912"/>
        <bgColor rgb="FF00CCFF"/>
      </patternFill>
    </fill>
    <fill>
      <patternFill patternType="solid">
        <fgColor theme="0" tint="-0.0499893185216834"/>
        <bgColor rgb="FFE2F0D9"/>
      </patternFill>
    </fill>
    <fill>
      <patternFill patternType="solid">
        <fgColor rgb="FFFFF2CC"/>
        <bgColor rgb="FFFFFFCC"/>
      </patternFill>
    </fill>
    <fill>
      <patternFill patternType="solid">
        <fgColor rgb="FF4472C4"/>
        <bgColor rgb="FF666699"/>
      </patternFill>
    </fill>
    <fill>
      <patternFill patternType="solid">
        <fgColor rgb="FF00B050"/>
        <bgColor rgb="FF00B050"/>
      </patternFill>
    </fill>
    <fill>
      <patternFill patternType="solid">
        <fgColor rgb="FFD9D9D9"/>
        <bgColor rgb="FFD9D9D9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 style="medium">
        <color auto="1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hair">
        <color rgb="FF0000FF"/>
      </left>
      <right style="hair">
        <color rgb="FF0000FF"/>
      </right>
      <top style="thin">
        <color auto="1"/>
      </top>
      <bottom style="hair">
        <color rgb="FF0000FF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rgb="FF00B050"/>
      </left>
      <right style="medium">
        <color rgb="FF00B050"/>
      </right>
      <top style="medium">
        <color rgb="FF00B050"/>
      </top>
      <bottom style="medium">
        <color rgb="FF00B050"/>
      </bottom>
      <diagonal/>
    </border>
    <border>
      <left/>
      <right style="thin">
        <color rgb="FFFFFF00"/>
      </right>
      <top/>
      <bottom style="thin">
        <color rgb="FFFFFF00"/>
      </bottom>
      <diagonal/>
    </border>
    <border>
      <left style="thin">
        <color rgb="FFFFFF00"/>
      </left>
      <right/>
      <top/>
      <bottom style="thin">
        <color rgb="FFFFFF00"/>
      </bottom>
      <diagonal/>
    </border>
    <border>
      <left/>
      <right style="thin">
        <color rgb="FFFFFF00"/>
      </right>
      <top style="thin">
        <color rgb="FFFFFF00"/>
      </top>
      <bottom style="thin">
        <color rgb="FFFFFF00"/>
      </bottom>
      <diagonal/>
    </border>
    <border>
      <left style="thin">
        <color rgb="FFFFFF00"/>
      </left>
      <right/>
      <top style="thin">
        <color rgb="FFFFFF00"/>
      </top>
      <bottom style="thin">
        <color rgb="FFFFFF00"/>
      </bottom>
      <diagonal/>
    </border>
    <border>
      <left/>
      <right style="thin">
        <color rgb="FFFFFF00"/>
      </right>
      <top/>
      <bottom style="thin">
        <color auto="1"/>
      </bottom>
      <diagonal/>
    </border>
    <border>
      <left style="thin">
        <color rgb="FFFFFF00"/>
      </left>
      <right/>
      <top/>
      <bottom style="thin">
        <color auto="1"/>
      </bottom>
      <diagonal/>
    </border>
    <border>
      <left style="medium">
        <color rgb="FF00B050"/>
      </left>
      <right style="thin">
        <color auto="1"/>
      </right>
      <top style="medium">
        <color rgb="FF00B050"/>
      </top>
      <bottom style="medium">
        <color rgb="FF00B050"/>
      </bottom>
      <diagonal/>
    </border>
    <border>
      <left/>
      <right style="thin">
        <color auto="1"/>
      </right>
      <top style="thin">
        <color rgb="FFFFFF00"/>
      </top>
      <bottom style="thin">
        <color rgb="FFFFFF00"/>
      </bottom>
      <diagonal/>
    </border>
    <border>
      <left/>
      <right style="thin">
        <color auto="1"/>
      </right>
      <top style="thin">
        <color rgb="FFFFFF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5">
    <xf numFmtId="0" fontId="0" fillId="0" borderId="0"/>
    <xf numFmtId="194" fontId="1" fillId="0" borderId="0"/>
    <xf numFmtId="194" fontId="1" fillId="0" borderId="0"/>
    <xf numFmtId="194" fontId="1" fillId="0" borderId="0"/>
    <xf numFmtId="194" fontId="1" fillId="0" borderId="0"/>
    <xf numFmtId="195" fontId="1" fillId="0" borderId="0"/>
    <xf numFmtId="195" fontId="1" fillId="0" borderId="0"/>
    <xf numFmtId="195" fontId="1" fillId="0" borderId="0"/>
    <xf numFmtId="195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6" fontId="1" fillId="0" borderId="0"/>
    <xf numFmtId="197" fontId="1" fillId="0" borderId="0"/>
    <xf numFmtId="197" fontId="1" fillId="0" borderId="0"/>
    <xf numFmtId="197" fontId="1" fillId="0" borderId="0"/>
    <xf numFmtId="197" fontId="1" fillId="0" borderId="0"/>
    <xf numFmtId="198" fontId="2" fillId="0" borderId="1"/>
    <xf numFmtId="0" fontId="1" fillId="0" borderId="0"/>
    <xf numFmtId="0" fontId="1" fillId="0" borderId="0"/>
    <xf numFmtId="0" fontId="3" fillId="0" borderId="0"/>
    <xf numFmtId="0" fontId="1" fillId="0" borderId="0"/>
    <xf numFmtId="0" fontId="4" fillId="0" borderId="0"/>
    <xf numFmtId="0" fontId="3" fillId="0" borderId="0"/>
    <xf numFmtId="0" fontId="1" fillId="0" borderId="0"/>
    <xf numFmtId="0" fontId="1" fillId="0" borderId="0"/>
    <xf numFmtId="199" fontId="5" fillId="0" borderId="0"/>
    <xf numFmtId="0" fontId="6" fillId="2" borderId="2"/>
    <xf numFmtId="9" fontId="1" fillId="0" borderId="0"/>
    <xf numFmtId="9" fontId="3" fillId="0" borderId="0"/>
    <xf numFmtId="9" fontId="1" fillId="0" borderId="0"/>
    <xf numFmtId="9" fontId="1" fillId="0" borderId="0"/>
    <xf numFmtId="9" fontId="4" fillId="0" borderId="0"/>
    <xf numFmtId="194" fontId="7" fillId="0" borderId="0"/>
  </cellStyleXfs>
  <cellXfs count="275">
    <xf numFmtId="0" fontId="0" fillId="0" borderId="0" pivotButton="0" quotePrefix="0" xfId="0"/>
    <xf numFmtId="0" fontId="8" fillId="3" borderId="0" pivotButton="0" quotePrefix="0" xfId="24"/>
    <xf numFmtId="0" fontId="9" fillId="4" borderId="0" pivotButton="0" quotePrefix="0" xfId="24"/>
    <xf numFmtId="0" fontId="4" fillId="0" borderId="0" applyAlignment="1" pivotButton="0" quotePrefix="0" xfId="24">
      <alignment horizontal="center"/>
    </xf>
    <xf numFmtId="0" fontId="4" fillId="0" borderId="0" pivotButton="0" quotePrefix="0" xfId="24"/>
    <xf numFmtId="0" fontId="8" fillId="3" borderId="0" applyAlignment="1" pivotButton="0" quotePrefix="0" xfId="24">
      <alignment horizontal="center"/>
    </xf>
    <xf numFmtId="0" fontId="8" fillId="3" borderId="0" applyAlignment="1" pivotButton="0" quotePrefix="0" xfId="21">
      <alignment horizontal="center"/>
    </xf>
    <xf numFmtId="164" fontId="8" fillId="3" borderId="0" applyAlignment="1" pivotButton="0" quotePrefix="0" xfId="21">
      <alignment horizontal="center"/>
    </xf>
    <xf numFmtId="0" fontId="3" fillId="5" borderId="0" pivotButton="0" quotePrefix="0" xfId="24"/>
    <xf numFmtId="165" fontId="10" fillId="6" borderId="0" applyAlignment="1" pivotButton="0" quotePrefix="0" xfId="24">
      <alignment horizontal="center"/>
    </xf>
    <xf numFmtId="0" fontId="4" fillId="7" borderId="0" pivotButton="0" quotePrefix="0" xfId="20"/>
    <xf numFmtId="166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/>
    </xf>
    <xf numFmtId="167" fontId="4" fillId="7" borderId="0" applyAlignment="1" pivotButton="0" quotePrefix="0" xfId="20">
      <alignment horizontal="left"/>
    </xf>
    <xf numFmtId="0" fontId="4" fillId="7" borderId="0" applyAlignment="1" pivotButton="0" quotePrefix="0" xfId="20">
      <alignment horizontal="left"/>
    </xf>
    <xf numFmtId="0" fontId="4" fillId="7" borderId="1" applyAlignment="1" pivotButton="0" quotePrefix="0" xfId="20">
      <alignment horizontal="left"/>
    </xf>
    <xf numFmtId="166" fontId="4" fillId="0" borderId="0" pivotButton="0" quotePrefix="0" xfId="24"/>
    <xf numFmtId="0" fontId="11" fillId="0" borderId="0" pivotButton="0" quotePrefix="0" xfId="20"/>
    <xf numFmtId="0" fontId="4" fillId="0" borderId="0" pivotButton="0" quotePrefix="0" xfId="20"/>
    <xf numFmtId="168" fontId="10" fillId="6" borderId="0" applyAlignment="1" pivotButton="0" quotePrefix="0" xfId="24">
      <alignment horizontal="center"/>
    </xf>
    <xf numFmtId="169" fontId="10" fillId="6" borderId="0" applyAlignment="1" pivotButton="0" quotePrefix="0" xfId="21">
      <alignment horizontal="center"/>
    </xf>
    <xf numFmtId="170" fontId="4" fillId="7" borderId="0" applyAlignment="1" pivotButton="0" quotePrefix="0" xfId="21">
      <alignment horizontal="center"/>
    </xf>
    <xf numFmtId="170" fontId="11" fillId="7" borderId="0" applyAlignment="1" pivotButton="0" quotePrefix="0" xfId="21">
      <alignment horizontal="center"/>
    </xf>
    <xf numFmtId="168" fontId="10" fillId="0" borderId="0" applyAlignment="1" pivotButton="0" quotePrefix="0" xfId="24">
      <alignment horizontal="center"/>
    </xf>
    <xf numFmtId="164" fontId="4" fillId="0" borderId="0" applyAlignment="1" pivotButton="0" quotePrefix="0" xfId="21">
      <alignment horizontal="center"/>
    </xf>
    <xf numFmtId="0" fontId="4" fillId="0" borderId="0" applyAlignment="1" pivotButton="0" quotePrefix="0" xfId="21">
      <alignment horizontal="center"/>
    </xf>
    <xf numFmtId="0" fontId="11" fillId="8" borderId="0" applyAlignment="1" pivotButton="0" quotePrefix="0" xfId="21">
      <alignment horizontal="center"/>
    </xf>
    <xf numFmtId="10" fontId="11" fillId="0" borderId="0" applyAlignment="1" pivotButton="0" quotePrefix="0" xfId="30">
      <alignment horizontal="center"/>
    </xf>
    <xf numFmtId="0" fontId="11" fillId="0" borderId="0" applyAlignment="1" pivotButton="0" quotePrefix="0" xfId="21">
      <alignment horizontal="center"/>
    </xf>
    <xf numFmtId="10" fontId="11" fillId="0" borderId="0" applyAlignment="1" pivotButton="0" quotePrefix="0" xfId="21">
      <alignment horizontal="center"/>
    </xf>
    <xf numFmtId="0" fontId="11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left"/>
    </xf>
    <xf numFmtId="0" fontId="11" fillId="0" borderId="0" pivotButton="0" quotePrefix="0" xfId="24"/>
    <xf numFmtId="0" fontId="11" fillId="7" borderId="0" pivotButton="0" quotePrefix="0" xfId="20"/>
    <xf numFmtId="166" fontId="11" fillId="7" borderId="0" applyAlignment="1" pivotButton="0" quotePrefix="0" xfId="24">
      <alignment horizontal="center"/>
    </xf>
    <xf numFmtId="166" fontId="11" fillId="0" borderId="0" applyAlignment="1" pivotButton="0" quotePrefix="0" xfId="24">
      <alignment horizontal="center"/>
    </xf>
    <xf numFmtId="0" fontId="11" fillId="10" borderId="0" applyAlignment="1" pivotButton="0" quotePrefix="0" xfId="24">
      <alignment horizontal="center"/>
    </xf>
    <xf numFmtId="0" fontId="4" fillId="10" borderId="0" applyAlignment="1" pivotButton="0" quotePrefix="0" xfId="24">
      <alignment horizontal="center"/>
    </xf>
    <xf numFmtId="171" fontId="4" fillId="10" borderId="0" pivotButton="0" quotePrefix="0" xfId="20"/>
    <xf numFmtId="166" fontId="11" fillId="10" borderId="0" applyAlignment="1" pivotButton="0" quotePrefix="0" xfId="24">
      <alignment horizontal="center"/>
    </xf>
    <xf numFmtId="9" fontId="4" fillId="10" borderId="0" applyAlignment="1" pivotButton="0" quotePrefix="0" xfId="30">
      <alignment horizontal="center"/>
    </xf>
    <xf numFmtId="10" fontId="10" fillId="6" borderId="0" applyAlignment="1" pivotButton="0" quotePrefix="0" xfId="24">
      <alignment horizontal="center"/>
    </xf>
    <xf numFmtId="166" fontId="4" fillId="10" borderId="0" applyAlignment="1" pivotButton="0" quotePrefix="0" xfId="24">
      <alignment horizontal="center"/>
    </xf>
    <xf numFmtId="0" fontId="11" fillId="10" borderId="0" pivotButton="0" quotePrefix="0" xfId="24"/>
    <xf numFmtId="171" fontId="13" fillId="10" borderId="0" pivotButton="0" quotePrefix="0" xfId="20"/>
    <xf numFmtId="0" fontId="11" fillId="10" borderId="0" pivotButton="0" quotePrefix="0" xfId="20"/>
    <xf numFmtId="166" fontId="4" fillId="7" borderId="0" applyAlignment="1" pivotButton="0" quotePrefix="0" xfId="24">
      <alignment horizontal="center"/>
    </xf>
    <xf numFmtId="171" fontId="4" fillId="10" borderId="0" applyAlignment="1" pivotButton="0" quotePrefix="0" xfId="20">
      <alignment horizontal="left"/>
    </xf>
    <xf numFmtId="171" fontId="4" fillId="10" borderId="0" applyAlignment="1" pivotButton="0" quotePrefix="0" xfId="30">
      <alignment horizontal="center"/>
    </xf>
    <xf numFmtId="171" fontId="10" fillId="6" borderId="0" applyAlignment="1" pivotButton="0" quotePrefix="0" xfId="30">
      <alignment horizontal="center"/>
    </xf>
    <xf numFmtId="167" fontId="4" fillId="0" borderId="0" applyAlignment="1" pivotButton="0" quotePrefix="0" xfId="20">
      <alignment horizontal="left"/>
    </xf>
    <xf numFmtId="171" fontId="4" fillId="0" borderId="0" applyAlignment="1" pivotButton="0" quotePrefix="0" xfId="30">
      <alignment horizontal="center"/>
    </xf>
    <xf numFmtId="171" fontId="10" fillId="6" borderId="0" applyAlignment="1" pivotButton="0" quotePrefix="0" xfId="24">
      <alignment horizontal="center"/>
    </xf>
    <xf numFmtId="9" fontId="4" fillId="0" borderId="0" applyAlignment="1" pivotButton="0" quotePrefix="0" xfId="30">
      <alignment horizontal="center"/>
    </xf>
    <xf numFmtId="9" fontId="4" fillId="0" borderId="0" applyAlignment="1" pivotButton="0" quotePrefix="0" xfId="30">
      <alignment horizontal="left"/>
    </xf>
    <xf numFmtId="9" fontId="10" fillId="6" borderId="0" applyAlignment="1" pivotButton="0" quotePrefix="0" xfId="30">
      <alignment horizontal="center"/>
    </xf>
    <xf numFmtId="9" fontId="4" fillId="0" borderId="0" pivotButton="0" quotePrefix="0" xfId="30"/>
    <xf numFmtId="0" fontId="4" fillId="0" borderId="0" applyAlignment="1" pivotButton="0" quotePrefix="0" xfId="20">
      <alignment horizontal="left"/>
    </xf>
    <xf numFmtId="171" fontId="4" fillId="0" borderId="0" applyAlignment="1" pivotButton="0" quotePrefix="0" xfId="24">
      <alignment horizontal="center"/>
    </xf>
    <xf numFmtId="0" fontId="4" fillId="10" borderId="0" applyAlignment="1" pivotButton="0" quotePrefix="0" xfId="20">
      <alignment horizontal="left"/>
    </xf>
    <xf numFmtId="0" fontId="14" fillId="10" borderId="0" applyAlignment="1" pivotButton="0" quotePrefix="0" xfId="20">
      <alignment horizontal="left"/>
    </xf>
    <xf numFmtId="166" fontId="14" fillId="10" borderId="0" applyAlignment="1" pivotButton="0" quotePrefix="0" xfId="24">
      <alignment horizontal="center"/>
    </xf>
    <xf numFmtId="164" fontId="10" fillId="6" borderId="0" applyAlignment="1" pivotButton="0" quotePrefix="0" xfId="24">
      <alignment horizontal="center"/>
    </xf>
    <xf numFmtId="166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horizontal="center"/>
    </xf>
    <xf numFmtId="0" fontId="11" fillId="7" borderId="0" applyAlignment="1" pivotButton="0" quotePrefix="0" xfId="20">
      <alignment horizontal="left"/>
    </xf>
    <xf numFmtId="0" fontId="4" fillId="10" borderId="0" pivotButton="0" quotePrefix="0" xfId="24"/>
    <xf numFmtId="167" fontId="4" fillId="10" borderId="0" applyAlignment="1" pivotButton="0" quotePrefix="0" xfId="20">
      <alignment horizontal="left"/>
    </xf>
    <xf numFmtId="173" fontId="4" fillId="0" borderId="0" applyAlignment="1" pivotButton="0" quotePrefix="0" xfId="24">
      <alignment horizontal="center"/>
    </xf>
    <xf numFmtId="165" fontId="4" fillId="0" borderId="0" applyAlignment="1" pivotButton="0" quotePrefix="0" xfId="24">
      <alignment horizontal="center"/>
    </xf>
    <xf numFmtId="0" fontId="12" fillId="9" borderId="0" applyAlignment="1" pivotButton="0" quotePrefix="0" xfId="20">
      <alignment horizontal="center"/>
    </xf>
    <xf numFmtId="0" fontId="4" fillId="7" borderId="1" pivotButton="0" quotePrefix="0" xfId="20"/>
    <xf numFmtId="172" fontId="4" fillId="0" borderId="0" pivotButton="0" quotePrefix="0" xfId="24"/>
    <xf numFmtId="0" fontId="15" fillId="11" borderId="0" pivotButton="0" quotePrefix="0" xfId="24"/>
    <xf numFmtId="0" fontId="11" fillId="0" borderId="0" applyAlignment="1" pivotButton="0" quotePrefix="0" xfId="24">
      <alignment vertical="center"/>
    </xf>
    <xf numFmtId="0" fontId="11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horizontal="center" vertical="center"/>
    </xf>
    <xf numFmtId="0" fontId="4" fillId="0" borderId="0" applyAlignment="1" pivotButton="0" quotePrefix="0" xfId="24">
      <alignment vertical="center"/>
    </xf>
    <xf numFmtId="9" fontId="4" fillId="0" borderId="0" applyAlignment="1" pivotButton="0" quotePrefix="0" xfId="30">
      <alignment vertical="center"/>
    </xf>
    <xf numFmtId="9" fontId="4" fillId="0" borderId="0" applyAlignment="1" pivotButton="0" quotePrefix="0" xfId="30">
      <alignment horizontal="center" vertical="center"/>
    </xf>
    <xf numFmtId="171" fontId="4" fillId="0" borderId="0" applyAlignment="1" pivotButton="0" quotePrefix="0" xfId="24">
      <alignment horizontal="center" vertical="center"/>
    </xf>
    <xf numFmtId="171" fontId="4" fillId="0" borderId="0" applyAlignment="1" pivotButton="0" quotePrefix="0" xfId="30">
      <alignment horizontal="center" vertical="center"/>
    </xf>
    <xf numFmtId="174" fontId="4" fillId="0" borderId="0" applyAlignment="1" pivotButton="0" quotePrefix="0" xfId="24">
      <alignment horizontal="center" vertical="center"/>
    </xf>
    <xf numFmtId="174" fontId="4" fillId="0" borderId="0" applyAlignment="1" pivotButton="0" quotePrefix="0" xfId="24">
      <alignment vertical="center"/>
    </xf>
    <xf numFmtId="171" fontId="4" fillId="0" borderId="0" applyAlignment="1" pivotButton="0" quotePrefix="0" xfId="30">
      <alignment vertical="center"/>
    </xf>
    <xf numFmtId="175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vertical="center"/>
    </xf>
    <xf numFmtId="9" fontId="4" fillId="0" borderId="0" applyAlignment="1" pivotButton="0" quotePrefix="0" xfId="24">
      <alignment horizontal="center" vertical="center"/>
    </xf>
    <xf numFmtId="172" fontId="4" fillId="0" borderId="0" applyAlignment="1" pivotButton="0" quotePrefix="0" xfId="24">
      <alignment vertical="center"/>
    </xf>
    <xf numFmtId="172" fontId="4" fillId="0" borderId="0" applyAlignment="1" pivotButton="0" quotePrefix="0" xfId="24">
      <alignment horizontal="center" vertical="center"/>
    </xf>
    <xf numFmtId="166" fontId="4" fillId="0" borderId="0" applyAlignment="1" pivotButton="0" quotePrefix="0" xfId="24">
      <alignment horizontal="right" vertical="center"/>
    </xf>
    <xf numFmtId="0" fontId="14" fillId="0" borderId="0" pivotButton="0" quotePrefix="0" xfId="22"/>
    <xf numFmtId="0" fontId="12" fillId="0" borderId="0" pivotButton="0" quotePrefix="0" xfId="22"/>
    <xf numFmtId="0" fontId="14" fillId="0" borderId="3" pivotButton="0" quotePrefix="0" xfId="22"/>
    <xf numFmtId="176" fontId="10" fillId="6" borderId="4" applyAlignment="1" pivotButton="0" quotePrefix="0" xfId="18">
      <alignment horizontal="center"/>
    </xf>
    <xf numFmtId="177" fontId="10" fillId="6" borderId="0" applyAlignment="1" pivotButton="0" quotePrefix="0" xfId="22">
      <alignment horizontal="center"/>
    </xf>
    <xf numFmtId="171" fontId="14" fillId="0" borderId="0" applyAlignment="1" pivotButton="0" quotePrefix="0" xfId="22">
      <alignment horizontal="right"/>
    </xf>
    <xf numFmtId="176" fontId="10" fillId="6" borderId="4" applyAlignment="1" pivotButton="0" quotePrefix="0" xfId="18">
      <alignment horizontal="right"/>
    </xf>
    <xf numFmtId="171" fontId="14" fillId="0" borderId="0" applyAlignment="1" pivotButton="0" quotePrefix="0" xfId="22">
      <alignment horizontal="center"/>
    </xf>
    <xf numFmtId="178" fontId="10" fillId="0" borderId="0" applyAlignment="1" pivotButton="0" quotePrefix="0" xfId="22">
      <alignment horizontal="center"/>
    </xf>
    <xf numFmtId="179" fontId="14" fillId="0" borderId="0" applyAlignment="1" pivotButton="0" quotePrefix="0" xfId="22">
      <alignment horizontal="center"/>
    </xf>
    <xf numFmtId="0" fontId="16" fillId="0" borderId="0" pivotButton="0" quotePrefix="0" xfId="22"/>
    <xf numFmtId="180" fontId="14" fillId="0" borderId="0" pivotButton="0" quotePrefix="0" xfId="22"/>
    <xf numFmtId="0" fontId="11" fillId="7" borderId="0" pivotButton="0" quotePrefix="0" xfId="22"/>
    <xf numFmtId="0" fontId="11" fillId="7" borderId="1" pivotButton="0" quotePrefix="0" xfId="22"/>
    <xf numFmtId="0" fontId="16" fillId="0" borderId="0" applyAlignment="1" pivotButton="0" quotePrefix="0" xfId="22">
      <alignment horizontal="center"/>
    </xf>
    <xf numFmtId="0" fontId="14" fillId="0" borderId="0" applyAlignment="1" pivotButton="0" quotePrefix="0" xfId="22">
      <alignment horizontal="center"/>
    </xf>
    <xf numFmtId="1" fontId="16" fillId="0" borderId="0" applyAlignment="1" pivotButton="0" quotePrefix="0" xfId="22">
      <alignment horizontal="center"/>
    </xf>
    <xf numFmtId="0" fontId="14" fillId="0" borderId="1" pivotButton="0" quotePrefix="0" xfId="22"/>
    <xf numFmtId="168" fontId="14" fillId="0" borderId="1" applyAlignment="1" pivotButton="0" quotePrefix="0" xfId="22">
      <alignment horizontal="center"/>
    </xf>
    <xf numFmtId="168" fontId="14" fillId="0" borderId="0" applyAlignment="1" pivotButton="0" quotePrefix="0" xfId="22">
      <alignment horizontal="center"/>
    </xf>
    <xf numFmtId="0" fontId="14" fillId="0" borderId="5" pivotButton="0" quotePrefix="0" xfId="22"/>
    <xf numFmtId="178" fontId="14" fillId="12" borderId="6" applyAlignment="1" pivotButton="0" quotePrefix="0" xfId="22">
      <alignment horizontal="center"/>
    </xf>
    <xf numFmtId="178" fontId="14" fillId="12" borderId="7" applyAlignment="1" pivotButton="0" quotePrefix="0" xfId="22">
      <alignment horizontal="center"/>
    </xf>
    <xf numFmtId="171" fontId="16" fillId="0" borderId="0" applyAlignment="1" pivotButton="0" quotePrefix="0" xfId="33">
      <alignment horizontal="center"/>
    </xf>
    <xf numFmtId="0" fontId="14" fillId="0" borderId="8" pivotButton="0" quotePrefix="0" xfId="22"/>
    <xf numFmtId="171" fontId="16" fillId="0" borderId="1" applyAlignment="1" pivotButton="0" quotePrefix="0" xfId="33">
      <alignment horizontal="center"/>
    </xf>
    <xf numFmtId="171" fontId="16" fillId="0" borderId="9" applyAlignment="1" pivotButton="0" quotePrefix="0" xfId="33">
      <alignment horizontal="center"/>
    </xf>
    <xf numFmtId="178" fontId="14" fillId="0" borderId="5" pivotButton="0" quotePrefix="0" xfId="22"/>
    <xf numFmtId="0" fontId="14" fillId="0" borderId="6" pivotButton="0" quotePrefix="0" xfId="22"/>
    <xf numFmtId="0" fontId="14" fillId="0" borderId="7" pivotButton="0" quotePrefix="0" xfId="22"/>
    <xf numFmtId="171" fontId="14" fillId="0" borderId="1" applyAlignment="1" pivotButton="0" quotePrefix="0" xfId="33">
      <alignment horizontal="center"/>
    </xf>
    <xf numFmtId="0" fontId="14" fillId="0" borderId="9" pivotButton="0" quotePrefix="0" xfId="22"/>
    <xf numFmtId="171" fontId="14" fillId="0" borderId="9" applyAlignment="1" pivotButton="0" quotePrefix="0" xfId="33">
      <alignment horizontal="center"/>
    </xf>
    <xf numFmtId="171" fontId="14" fillId="12" borderId="6" applyAlignment="1" pivotButton="0" quotePrefix="0" xfId="22">
      <alignment horizontal="center"/>
    </xf>
    <xf numFmtId="171" fontId="14" fillId="12" borderId="7" applyAlignment="1" pivotButton="0" quotePrefix="0" xfId="22">
      <alignment horizontal="center"/>
    </xf>
    <xf numFmtId="178" fontId="14" fillId="0" borderId="1" applyAlignment="1" pivotButton="0" quotePrefix="0" xfId="22">
      <alignment horizontal="center"/>
    </xf>
    <xf numFmtId="178" fontId="14" fillId="0" borderId="9" applyAlignment="1" pivotButton="0" quotePrefix="0" xfId="22">
      <alignment horizontal="center"/>
    </xf>
    <xf numFmtId="178" fontId="14" fillId="0" borderId="10" applyAlignment="1" pivotButton="0" quotePrefix="0" xfId="22">
      <alignment horizontal="left"/>
    </xf>
    <xf numFmtId="178" fontId="14" fillId="12" borderId="11" applyAlignment="1" pivotButton="0" quotePrefix="0" xfId="22">
      <alignment horizontal="center"/>
    </xf>
    <xf numFmtId="178" fontId="14" fillId="12" borderId="12" applyAlignment="1" pivotButton="0" quotePrefix="0" xfId="22">
      <alignment horizontal="center"/>
    </xf>
    <xf numFmtId="178" fontId="14" fillId="0" borderId="5" applyAlignment="1" pivotButton="0" quotePrefix="0" xfId="22">
      <alignment horizontal="left"/>
    </xf>
    <xf numFmtId="178" fontId="14" fillId="0" borderId="6" applyAlignment="1" pivotButton="0" quotePrefix="0" xfId="22">
      <alignment horizontal="center"/>
    </xf>
    <xf numFmtId="178" fontId="14" fillId="0" borderId="7" applyAlignment="1" pivotButton="0" quotePrefix="0" xfId="22">
      <alignment horizontal="center"/>
    </xf>
    <xf numFmtId="178" fontId="14" fillId="0" borderId="13" applyAlignment="1" pivotButton="0" quotePrefix="0" xfId="22">
      <alignment horizontal="left"/>
    </xf>
    <xf numFmtId="178" fontId="14" fillId="12" borderId="0" applyAlignment="1" pivotButton="0" quotePrefix="0" xfId="22">
      <alignment horizontal="center"/>
    </xf>
    <xf numFmtId="178" fontId="14" fillId="12" borderId="14" applyAlignment="1" pivotButton="0" quotePrefix="0" xfId="22">
      <alignment horizontal="center"/>
    </xf>
    <xf numFmtId="178" fontId="14" fillId="0" borderId="8" applyAlignment="1" pivotButton="0" quotePrefix="0" xfId="22">
      <alignment horizontal="left"/>
    </xf>
    <xf numFmtId="178" fontId="14" fillId="12" borderId="1" applyAlignment="1" pivotButton="0" quotePrefix="0" xfId="22">
      <alignment horizontal="center"/>
    </xf>
    <xf numFmtId="178" fontId="14" fillId="12" borderId="9" applyAlignment="1" pivotButton="0" quotePrefix="0" xfId="22">
      <alignment horizontal="center"/>
    </xf>
    <xf numFmtId="178" fontId="14" fillId="0" borderId="0" applyAlignment="1" pivotButton="0" quotePrefix="0" xfId="22">
      <alignment horizontal="center"/>
    </xf>
    <xf numFmtId="178" fontId="14" fillId="0" borderId="15" applyAlignment="1" pivotButton="0" quotePrefix="0" xfId="22">
      <alignment horizontal="center"/>
    </xf>
    <xf numFmtId="0" fontId="14" fillId="0" borderId="13" pivotButton="0" quotePrefix="0" xfId="22"/>
    <xf numFmtId="0" fontId="14" fillId="0" borderId="14" pivotButton="0" quotePrefix="0" xfId="22"/>
    <xf numFmtId="178" fontId="4" fillId="0" borderId="0" applyAlignment="1" pivotButton="0" quotePrefix="0" xfId="22">
      <alignment horizontal="center"/>
    </xf>
    <xf numFmtId="178" fontId="4" fillId="0" borderId="14" applyAlignment="1" pivotButton="0" quotePrefix="0" xfId="22">
      <alignment horizontal="center"/>
    </xf>
    <xf numFmtId="171" fontId="10" fillId="6" borderId="1" applyAlignment="1" pivotButton="0" quotePrefix="0" xfId="33">
      <alignment horizontal="center"/>
    </xf>
    <xf numFmtId="171" fontId="10" fillId="6" borderId="9" applyAlignment="1" pivotButton="0" quotePrefix="0" xfId="33">
      <alignment horizontal="center"/>
    </xf>
    <xf numFmtId="0" fontId="16" fillId="0" borderId="10" pivotButton="0" quotePrefix="0" xfId="22"/>
    <xf numFmtId="171" fontId="16" fillId="12" borderId="11" applyAlignment="1" pivotButton="0" quotePrefix="0" xfId="22">
      <alignment horizontal="center"/>
    </xf>
    <xf numFmtId="171" fontId="16" fillId="0" borderId="11" applyAlignment="1" pivotButton="0" quotePrefix="0" xfId="33">
      <alignment horizontal="center"/>
    </xf>
    <xf numFmtId="171" fontId="16" fillId="0" borderId="12" applyAlignment="1" pivotButton="0" quotePrefix="0" xfId="33">
      <alignment horizontal="center"/>
    </xf>
    <xf numFmtId="171" fontId="16" fillId="0" borderId="0" applyAlignment="1" pivotButton="0" quotePrefix="0" xfId="22">
      <alignment horizontal="center"/>
    </xf>
    <xf numFmtId="181" fontId="14" fillId="0" borderId="0" applyAlignment="1" pivotButton="0" quotePrefix="0" xfId="23">
      <alignment horizontal="center" vertical="center"/>
    </xf>
    <xf numFmtId="178" fontId="16" fillId="0" borderId="0" applyAlignment="1" pivotButton="0" quotePrefix="0" xfId="22">
      <alignment horizontal="center"/>
    </xf>
    <xf numFmtId="178" fontId="18" fillId="2" borderId="2" applyAlignment="1" pivotButton="0" quotePrefix="0" xfId="28">
      <alignment horizontal="center"/>
    </xf>
    <xf numFmtId="0" fontId="14" fillId="0" borderId="0" applyAlignment="1" pivotButton="0" quotePrefix="0" xfId="22">
      <alignment horizontal="left"/>
    </xf>
    <xf numFmtId="173" fontId="14" fillId="0" borderId="0" applyAlignment="1" pivotButton="0" quotePrefix="0" xfId="22">
      <alignment horizontal="center"/>
    </xf>
    <xf numFmtId="173" fontId="18" fillId="2" borderId="2" applyAlignment="1" pivotButton="0" quotePrefix="0" xfId="28">
      <alignment horizontal="center"/>
    </xf>
    <xf numFmtId="10" fontId="14" fillId="0" borderId="0" pivotButton="0" quotePrefix="0" xfId="22"/>
    <xf numFmtId="178" fontId="16" fillId="0" borderId="0" pivotButton="0" quotePrefix="0" xfId="22"/>
    <xf numFmtId="179" fontId="14" fillId="0" borderId="0" pivotButton="0" quotePrefix="0" xfId="22"/>
    <xf numFmtId="0" fontId="11" fillId="7" borderId="5" pivotButton="0" quotePrefix="0" xfId="22"/>
    <xf numFmtId="171" fontId="4" fillId="7" borderId="7" applyAlignment="1" pivotButton="0" quotePrefix="0" xfId="22">
      <alignment horizontal="center"/>
    </xf>
    <xf numFmtId="0" fontId="11" fillId="7" borderId="6" pivotButton="0" quotePrefix="0" xfId="22"/>
    <xf numFmtId="0" fontId="4" fillId="7" borderId="6" pivotButton="0" quotePrefix="0" xfId="22"/>
    <xf numFmtId="0" fontId="11" fillId="7" borderId="16" pivotButton="0" quotePrefix="0" xfId="22"/>
    <xf numFmtId="171" fontId="4" fillId="7" borderId="17" applyAlignment="1" pivotButton="0" quotePrefix="0" xfId="22">
      <alignment horizontal="center"/>
    </xf>
    <xf numFmtId="0" fontId="4" fillId="7" borderId="17" pivotButton="0" quotePrefix="0" xfId="22"/>
    <xf numFmtId="0" fontId="4" fillId="7" borderId="18" pivotButton="0" quotePrefix="0" xfId="22"/>
    <xf numFmtId="0" fontId="16" fillId="0" borderId="13" applyAlignment="1" pivotButton="0" quotePrefix="0" xfId="22">
      <alignment horizontal="left"/>
    </xf>
    <xf numFmtId="178" fontId="14" fillId="0" borderId="14" applyAlignment="1" pivotButton="0" quotePrefix="0" xfId="22">
      <alignment horizontal="right"/>
    </xf>
    <xf numFmtId="0" fontId="16" fillId="0" borderId="0" applyAlignment="1" pivotButton="0" quotePrefix="0" xfId="22">
      <alignment horizontal="left"/>
    </xf>
    <xf numFmtId="0" fontId="14" fillId="0" borderId="13" applyAlignment="1" pivotButton="0" quotePrefix="0" xfId="22">
      <alignment horizontal="left"/>
    </xf>
    <xf numFmtId="178" fontId="4" fillId="12" borderId="14" applyAlignment="1" pivotButton="0" quotePrefix="0" xfId="22">
      <alignment horizontal="center"/>
    </xf>
    <xf numFmtId="171" fontId="19" fillId="6" borderId="14" applyAlignment="1" pivotButton="0" quotePrefix="0" xfId="22">
      <alignment horizontal="center"/>
    </xf>
    <xf numFmtId="182" fontId="4" fillId="12" borderId="14" applyAlignment="1" pivotButton="0" quotePrefix="0" xfId="18">
      <alignment horizontal="center"/>
    </xf>
    <xf numFmtId="171" fontId="11" fillId="0" borderId="19" applyAlignment="1" pivotButton="0" quotePrefix="0" xfId="24">
      <alignment horizontal="center"/>
    </xf>
    <xf numFmtId="0" fontId="14" fillId="0" borderId="1" applyAlignment="1" pivotButton="0" quotePrefix="0" xfId="22">
      <alignment horizontal="left"/>
    </xf>
    <xf numFmtId="0" fontId="14" fillId="0" borderId="9" applyAlignment="1" pivotButton="0" quotePrefix="0" xfId="22">
      <alignment horizontal="right"/>
    </xf>
    <xf numFmtId="178" fontId="16" fillId="0" borderId="14" applyAlignment="1" pivotButton="0" quotePrefix="0" xfId="22">
      <alignment horizontal="center"/>
    </xf>
    <xf numFmtId="0" fontId="14" fillId="0" borderId="1" applyAlignment="1" pivotButton="0" quotePrefix="0" xfId="22">
      <alignment horizontal="right"/>
    </xf>
    <xf numFmtId="183" fontId="10" fillId="6" borderId="20" pivotButton="0" quotePrefix="0" xfId="22"/>
    <xf numFmtId="182" fontId="10" fillId="6" borderId="21" pivotButton="0" quotePrefix="0" xfId="10"/>
    <xf numFmtId="179" fontId="14" fillId="0" borderId="14" applyAlignment="1" pivotButton="0" quotePrefix="0" xfId="22">
      <alignment horizontal="right"/>
    </xf>
    <xf numFmtId="183" fontId="10" fillId="6" borderId="22" pivotButton="0" quotePrefix="0" xfId="22"/>
    <xf numFmtId="182" fontId="10" fillId="6" borderId="23" pivotButton="0" quotePrefix="0" xfId="10"/>
    <xf numFmtId="178" fontId="14" fillId="0" borderId="14" applyAlignment="1" pivotButton="0" quotePrefix="0" xfId="22">
      <alignment horizontal="center"/>
    </xf>
    <xf numFmtId="183" fontId="10" fillId="6" borderId="24" pivotButton="0" quotePrefix="0" xfId="22"/>
    <xf numFmtId="182" fontId="10" fillId="6" borderId="25" pivotButton="0" quotePrefix="0" xfId="10"/>
    <xf numFmtId="179" fontId="14" fillId="0" borderId="9" applyAlignment="1" pivotButton="0" quotePrefix="0" xfId="22">
      <alignment horizontal="right"/>
    </xf>
    <xf numFmtId="174" fontId="10" fillId="6" borderId="14" applyAlignment="1" pivotButton="0" quotePrefix="0" xfId="22">
      <alignment horizontal="center"/>
    </xf>
    <xf numFmtId="184" fontId="14" fillId="0" borderId="0" applyAlignment="1" pivotButton="0" quotePrefix="0" xfId="22">
      <alignment horizontal="right"/>
    </xf>
    <xf numFmtId="185" fontId="14" fillId="0" borderId="14" applyAlignment="1" pivotButton="0" quotePrefix="0" xfId="22">
      <alignment horizontal="right"/>
    </xf>
    <xf numFmtId="0" fontId="14" fillId="0" borderId="0" applyAlignment="1" pivotButton="0" quotePrefix="0" xfId="22">
      <alignment horizontal="right"/>
    </xf>
    <xf numFmtId="178" fontId="20" fillId="0" borderId="0" pivotButton="0" quotePrefix="0" xfId="22"/>
    <xf numFmtId="178" fontId="14" fillId="0" borderId="14" pivotButton="0" quotePrefix="0" xfId="22"/>
    <xf numFmtId="182" fontId="16" fillId="0" borderId="26" applyAlignment="1" pivotButton="0" quotePrefix="0" xfId="22">
      <alignment horizontal="center"/>
    </xf>
    <xf numFmtId="183" fontId="10" fillId="6" borderId="27" applyAlignment="1" pivotButton="0" quotePrefix="0" xfId="22">
      <alignment horizontal="right"/>
    </xf>
    <xf numFmtId="0" fontId="14" fillId="0" borderId="14" applyAlignment="1" pivotButton="0" quotePrefix="0" xfId="22">
      <alignment horizontal="right"/>
    </xf>
    <xf numFmtId="182" fontId="16" fillId="0" borderId="14" applyAlignment="1" pivotButton="0" quotePrefix="0" xfId="22">
      <alignment horizontal="center"/>
    </xf>
    <xf numFmtId="183" fontId="10" fillId="6" borderId="28" applyAlignment="1" pivotButton="0" quotePrefix="0" xfId="22">
      <alignment horizontal="right"/>
    </xf>
    <xf numFmtId="186" fontId="10" fillId="6" borderId="14" applyAlignment="1" pivotButton="0" quotePrefix="0" xfId="22">
      <alignment horizontal="right"/>
    </xf>
    <xf numFmtId="0" fontId="16" fillId="0" borderId="0" applyAlignment="1" pivotButton="0" quotePrefix="0" xfId="22">
      <alignment horizontal="right"/>
    </xf>
    <xf numFmtId="178" fontId="16" fillId="0" borderId="14" applyAlignment="1" pivotButton="0" quotePrefix="0" xfId="27">
      <alignment horizontal="right"/>
    </xf>
    <xf numFmtId="0" fontId="14" fillId="0" borderId="8" applyAlignment="1" pivotButton="0" quotePrefix="0" xfId="22">
      <alignment horizontal="left"/>
    </xf>
    <xf numFmtId="171" fontId="14" fillId="0" borderId="9" applyAlignment="1" pivotButton="0" quotePrefix="0" xfId="22">
      <alignment horizontal="right"/>
    </xf>
    <xf numFmtId="0" fontId="11" fillId="7" borderId="3" pivotButton="0" quotePrefix="0" xfId="22"/>
    <xf numFmtId="171" fontId="4" fillId="7" borderId="3" applyAlignment="1" pivotButton="0" quotePrefix="0" xfId="22">
      <alignment horizontal="center"/>
    </xf>
    <xf numFmtId="0" fontId="4" fillId="7" borderId="3" pivotButton="0" quotePrefix="0" xfId="22"/>
    <xf numFmtId="0" fontId="16" fillId="0" borderId="1" pivotButton="0" quotePrefix="0" xfId="22"/>
    <xf numFmtId="171" fontId="10" fillId="6" borderId="0" applyAlignment="1" pivotButton="0" quotePrefix="0" xfId="22">
      <alignment horizontal="center"/>
    </xf>
    <xf numFmtId="0" fontId="14" fillId="0" borderId="11" applyAlignment="1" pivotButton="0" quotePrefix="0" xfId="22">
      <alignment horizontal="right"/>
    </xf>
    <xf numFmtId="178" fontId="14" fillId="0" borderId="0" pivotButton="0" quotePrefix="0" xfId="22"/>
    <xf numFmtId="9" fontId="14" fillId="0" borderId="0" pivotButton="0" quotePrefix="0" xfId="22"/>
    <xf numFmtId="187" fontId="14" fillId="0" borderId="0" applyAlignment="1" pivotButton="0" quotePrefix="0" xfId="22">
      <alignment horizontal="center"/>
    </xf>
    <xf numFmtId="178" fontId="14" fillId="0" borderId="0" applyAlignment="1" pivotButton="0" quotePrefix="0" xfId="22">
      <alignment horizontal="right"/>
    </xf>
    <xf numFmtId="188" fontId="14" fillId="0" borderId="0" pivotButton="0" quotePrefix="0" xfId="22"/>
    <xf numFmtId="189" fontId="10" fillId="6" borderId="0" applyAlignment="1" pivotButton="0" quotePrefix="0" xfId="22">
      <alignment horizontal="center"/>
    </xf>
    <xf numFmtId="0" fontId="16" fillId="0" borderId="1" applyAlignment="1" pivotButton="0" quotePrefix="0" xfId="22">
      <alignment horizontal="left" wrapText="1"/>
    </xf>
    <xf numFmtId="0" fontId="16" fillId="0" borderId="1" applyAlignment="1" pivotButton="0" quotePrefix="0" xfId="22">
      <alignment horizontal="center" wrapText="1"/>
    </xf>
    <xf numFmtId="189" fontId="14" fillId="0" borderId="0" applyAlignment="1" pivotButton="0" quotePrefix="0" xfId="22">
      <alignment horizontal="center"/>
    </xf>
    <xf numFmtId="182" fontId="14" fillId="0" borderId="0" applyAlignment="1" pivotButton="0" quotePrefix="0" xfId="22">
      <alignment horizontal="center"/>
    </xf>
    <xf numFmtId="10" fontId="14" fillId="0" borderId="0" applyAlignment="1" pivotButton="0" quotePrefix="0" xfId="22">
      <alignment horizontal="center"/>
    </xf>
    <xf numFmtId="2" fontId="14" fillId="0" borderId="0" applyAlignment="1" pivotButton="0" quotePrefix="0" xfId="22">
      <alignment horizontal="center"/>
    </xf>
    <xf numFmtId="189" fontId="10" fillId="6" borderId="0" applyAlignment="1" pivotButton="0" quotePrefix="0" xfId="22">
      <alignment horizontal="left"/>
    </xf>
    <xf numFmtId="182" fontId="10" fillId="6" borderId="0" applyAlignment="1" pivotButton="0" quotePrefix="0" xfId="22">
      <alignment horizontal="center"/>
    </xf>
    <xf numFmtId="178" fontId="10" fillId="6" borderId="0" applyAlignment="1" pivotButton="0" quotePrefix="0" xfId="22">
      <alignment horizontal="center"/>
    </xf>
    <xf numFmtId="10" fontId="10" fillId="6" borderId="0" applyAlignment="1" pivotButton="0" quotePrefix="0" xfId="22">
      <alignment horizontal="center"/>
    </xf>
    <xf numFmtId="189" fontId="10" fillId="6" borderId="1" applyAlignment="1" pivotButton="0" quotePrefix="0" xfId="22">
      <alignment horizontal="left"/>
    </xf>
    <xf numFmtId="189" fontId="10" fillId="6" borderId="1" applyAlignment="1" pivotButton="0" quotePrefix="0" xfId="22">
      <alignment horizontal="center"/>
    </xf>
    <xf numFmtId="182" fontId="10" fillId="6" borderId="1" applyAlignment="1" pivotButton="0" quotePrefix="0" xfId="22">
      <alignment horizontal="center"/>
    </xf>
    <xf numFmtId="178" fontId="10" fillId="6" borderId="1" applyAlignment="1" pivotButton="0" quotePrefix="0" xfId="22">
      <alignment horizontal="center"/>
    </xf>
    <xf numFmtId="10" fontId="14" fillId="0" borderId="1" applyAlignment="1" pivotButton="0" quotePrefix="0" xfId="22">
      <alignment horizontal="center"/>
    </xf>
    <xf numFmtId="10" fontId="10" fillId="6" borderId="1" applyAlignment="1" pivotButton="0" quotePrefix="0" xfId="22">
      <alignment horizontal="center"/>
    </xf>
    <xf numFmtId="189" fontId="14" fillId="0" borderId="1" applyAlignment="1" pivotButton="0" quotePrefix="0" xfId="22">
      <alignment horizontal="center"/>
    </xf>
    <xf numFmtId="189" fontId="16" fillId="0" borderId="0" applyAlignment="1" pivotButton="0" quotePrefix="0" xfId="22">
      <alignment horizontal="right"/>
    </xf>
    <xf numFmtId="189" fontId="16" fillId="0" borderId="29" applyAlignment="1" pivotButton="0" quotePrefix="0" xfId="22">
      <alignment horizontal="center"/>
    </xf>
    <xf numFmtId="0" fontId="21" fillId="3" borderId="0" pivotButton="0" quotePrefix="0" xfId="24"/>
    <xf numFmtId="0" fontId="22" fillId="13" borderId="0" pivotButton="0" quotePrefix="0" xfId="24"/>
    <xf numFmtId="0" fontId="8" fillId="14" borderId="0" pivotButton="0" quotePrefix="0" xfId="24"/>
    <xf numFmtId="180" fontId="22" fillId="13" borderId="0" pivotButton="0" quotePrefix="0" xfId="24"/>
    <xf numFmtId="190" fontId="22" fillId="13" borderId="0" pivotButton="0" quotePrefix="0" xfId="24"/>
    <xf numFmtId="171" fontId="22" fillId="13" borderId="0" pivotButton="0" quotePrefix="0" xfId="24"/>
    <xf numFmtId="14" fontId="22" fillId="13" borderId="0" pivotButton="0" quotePrefix="0" xfId="24"/>
    <xf numFmtId="191" fontId="22" fillId="13" borderId="0" pivotButton="0" quotePrefix="0" xfId="24"/>
    <xf numFmtId="171" fontId="3" fillId="0" borderId="0" pivotButton="0" quotePrefix="0" xfId="24"/>
    <xf numFmtId="174" fontId="22" fillId="13" borderId="0" pivotButton="0" quotePrefix="0" xfId="24"/>
    <xf numFmtId="175" fontId="3" fillId="0" borderId="0" pivotButton="0" quotePrefix="0" xfId="24"/>
    <xf numFmtId="0" fontId="17" fillId="9" borderId="0" applyAlignment="1" pivotButton="0" quotePrefix="0" xfId="22">
      <alignment horizontal="center" wrapText="1"/>
    </xf>
    <xf numFmtId="0" fontId="14" fillId="0" borderId="0" pivotButton="0" quotePrefix="0" xfId="22"/>
    <xf numFmtId="0" fontId="16" fillId="0" borderId="1" applyAlignment="1" pivotButton="0" quotePrefix="0" xfId="22">
      <alignment horizontal="center"/>
    </xf>
    <xf numFmtId="0" fontId="0" fillId="0" borderId="1" pivotButton="0" quotePrefix="0" xfId="0"/>
    <xf numFmtId="0" fontId="16" fillId="0" borderId="10" applyAlignment="1" pivotButton="0" quotePrefix="0" xfId="22">
      <alignment horizontal="center"/>
    </xf>
    <xf numFmtId="0" fontId="0" fillId="0" borderId="11" pivotButton="0" quotePrefix="0" xfId="0"/>
    <xf numFmtId="0" fontId="15" fillId="9" borderId="1" applyAlignment="1" pivotButton="0" quotePrefix="0" xfId="22">
      <alignment horizontal="center"/>
    </xf>
    <xf numFmtId="171" fontId="4" fillId="0" borderId="0" applyAlignment="1" pivotButton="0" quotePrefix="0" xfId="30">
      <alignment horizontal="right" vertical="center"/>
    </xf>
    <xf numFmtId="171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192" fontId="4" fillId="0" borderId="0" applyAlignment="1" pivotButton="0" quotePrefix="0" xfId="24">
      <alignment horizontal="right" vertical="center"/>
    </xf>
    <xf numFmtId="193" fontId="4" fillId="0" borderId="0" applyAlignment="1" pivotButton="0" quotePrefix="0" xfId="24">
      <alignment horizontal="right" vertical="center"/>
    </xf>
    <xf numFmtId="192" fontId="4" fillId="0" borderId="0" applyAlignment="1" pivotButton="0" quotePrefix="0" xfId="30">
      <alignment horizontal="right" vertical="center"/>
    </xf>
    <xf numFmtId="200" fontId="0" fillId="0" borderId="0" pivotButton="0" quotePrefix="0" xfId="0"/>
    <xf numFmtId="169" fontId="11" fillId="7" borderId="0" applyAlignment="1" pivotButton="0" quotePrefix="0" xfId="21">
      <alignment horizontal="center"/>
    </xf>
    <xf numFmtId="0" fontId="23" fillId="15" borderId="0" applyAlignment="1" pivotButton="0" quotePrefix="0" xfId="0">
      <alignment horizontal="left"/>
    </xf>
    <xf numFmtId="0" fontId="24" fillId="16" borderId="0" pivotButton="0" quotePrefix="0" xfId="0"/>
    <xf numFmtId="3" fontId="24" fillId="17" borderId="0" applyAlignment="1" pivotButton="0" quotePrefix="0" xfId="0">
      <alignment horizontal="center"/>
    </xf>
    <xf numFmtId="3" fontId="24" fillId="0" borderId="0" applyAlignment="1" pivotButton="0" quotePrefix="0" xfId="0">
      <alignment horizontal="center"/>
    </xf>
    <xf numFmtId="0" fontId="25" fillId="16" borderId="0" pivotButton="0" quotePrefix="0" xfId="0"/>
    <xf numFmtId="171" fontId="24" fillId="17" borderId="0" applyAlignment="1" pivotButton="0" quotePrefix="0" xfId="0">
      <alignment horizontal="center"/>
    </xf>
    <xf numFmtId="171" fontId="24" fillId="0" borderId="0" applyAlignment="1" pivotButton="0" quotePrefix="0" xfId="0">
      <alignment horizontal="center"/>
    </xf>
    <xf numFmtId="201" fontId="22" fillId="13" borderId="0" pivotButton="0" quotePrefix="0" xfId="24"/>
  </cellXfs>
  <cellStyles count="35">
    <cellStyle name="Normal" xfId="0" builtinId="0"/>
    <cellStyle name="Comma" xfId="1"/>
    <cellStyle name="Comma 1" xfId="2"/>
    <cellStyle name="Comma 2" xfId="3"/>
    <cellStyle name="Comma 3" xfId="4"/>
    <cellStyle name="Comma [0]" xfId="5"/>
    <cellStyle name="Comma [0] 2" xfId="6"/>
    <cellStyle name="Comma [0] 3" xfId="7"/>
    <cellStyle name="Comma [0] 4" xfId="8"/>
    <cellStyle name="Currency" xfId="9"/>
    <cellStyle name="Currency 2" xfId="10"/>
    <cellStyle name="Currency 3" xfId="11"/>
    <cellStyle name="Currency 4" xfId="12"/>
    <cellStyle name="Currency 5" xfId="13"/>
    <cellStyle name="Currency [0]" xfId="14"/>
    <cellStyle name="Currency [0] 4" xfId="15"/>
    <cellStyle name="Currency [0] 5" xfId="16"/>
    <cellStyle name="Currency [0] 6" xfId="17"/>
    <cellStyle name="m/d/yy" xfId="18"/>
    <cellStyle name="Normal 3" xfId="19"/>
    <cellStyle name="Normal 2" xfId="20"/>
    <cellStyle name="Normal 2 2" xfId="21"/>
    <cellStyle name="Normal 2 3" xfId="22"/>
    <cellStyle name="Normal 4" xfId="23"/>
    <cellStyle name="Normal 5" xfId="24"/>
    <cellStyle name="Normal 6" xfId="25"/>
    <cellStyle name="Normal 7" xfId="26"/>
    <cellStyle name="Normal [3] 2" xfId="27"/>
    <cellStyle name="Output_dcfmodel" xfId="28"/>
    <cellStyle name="Percent" xfId="29"/>
    <cellStyle name="Percent 6" xfId="30"/>
    <cellStyle name="Percent 7" xfId="31"/>
    <cellStyle name="Percent 8" xfId="32"/>
    <cellStyle name="Porcentagem 3" xfId="33"/>
    <cellStyle name="Separador de milhares 2 17" xfId="34"/>
  </cellStyles>
  <dxfs count="24"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00B050"/>
        </patternFill>
      </fill>
    </dxf>
    <dxf>
      <font>
        <color rgb="FFFFFFFF"/>
        <u val="single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0000FF"/>
      </font>
      <fill>
        <patternFill>
          <bgColor rgb="FFFFFF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9EAF7"/>
      <rgbColor rgb="FF660066"/>
      <rgbColor rgb="FFFF8080"/>
      <rgbColor rgb="FF0066CC"/>
      <rgbColor rgb="FFD8D8D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F2CC"/>
      <rgbColor rgb="FF99CCFF"/>
      <rgbColor rgb="FFFF99CC"/>
      <rgbColor rgb="FFCC99FF"/>
      <rgbColor rgb="FFD9D9D9"/>
      <rgbColor rgb="FF4472C4"/>
      <rgbColor rgb="FF46B1E1"/>
      <rgbColor rgb="FF99CC00"/>
      <rgbColor rgb="FFFFCC00"/>
      <rgbColor rgb="FFFF9900"/>
      <rgbColor rgb="FFFF6600"/>
      <rgbColor rgb="FF666699"/>
      <rgbColor rgb="FF70AD47"/>
      <rgbColor rgb="FF17365D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None</author>
  </authors>
  <commentList>
    <comment ref="D64" authorId="0" shapeId="0">
      <text>
        <t>MG: 
- expected rate of return on new invested capital</t>
      </text>
    </comment>
  </commentList>
</comment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86"/>
  <sheetViews>
    <sheetView showGridLines="0" tabSelected="1" zoomScaleNormal="100" workbookViewId="0">
      <pane xSplit="3" ySplit="2" topLeftCell="D3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9.7109375" defaultRowHeight="12.75"/>
  <cols>
    <col width="90" customWidth="1" min="1" max="1"/>
    <col width="10.140625" customWidth="1" min="2" max="2"/>
    <col width="45" customWidth="1" min="3" max="3"/>
    <col width="12.42578125" customWidth="1" min="4" max="33"/>
  </cols>
  <sheetData>
    <row r="1" ht="14.25" customHeight="1">
      <c r="A1" s="1" t="inlineStr">
        <is>
          <t>Base histórica normalizada (US$ mil) — convertida da máscara anterior; linhas de origem auditáveis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</row>
    <row r="2" ht="14.25" customHeight="1">
      <c r="A2" s="2" t="inlineStr">
        <is>
          <t>Fonte / conta original</t>
        </is>
      </c>
      <c r="B2" s="2" t="inlineStr">
        <is>
          <t>Código</t>
        </is>
      </c>
      <c r="C2" s="2" t="inlineStr">
        <is>
          <t>Conta padronizada</t>
        </is>
      </c>
      <c r="D2" s="2" t="inlineStr">
        <is>
          <t>1Q21</t>
        </is>
      </c>
      <c r="E2" s="2" t="inlineStr">
        <is>
          <t>2Q21</t>
        </is>
      </c>
      <c r="F2" s="2" t="inlineStr">
        <is>
          <t>3Q21</t>
        </is>
      </c>
      <c r="G2" s="2" t="inlineStr">
        <is>
          <t>4Q21</t>
        </is>
      </c>
      <c r="H2" s="2" t="inlineStr">
        <is>
          <t>2021</t>
        </is>
      </c>
      <c r="I2" s="2" t="inlineStr">
        <is>
          <t>1Q22</t>
        </is>
      </c>
      <c r="J2" s="2" t="inlineStr">
        <is>
          <t>2Q22</t>
        </is>
      </c>
      <c r="K2" s="2" t="inlineStr">
        <is>
          <t>3Q22</t>
        </is>
      </c>
      <c r="L2" s="2" t="inlineStr">
        <is>
          <t>4Q22</t>
        </is>
      </c>
      <c r="M2" s="2" t="inlineStr">
        <is>
          <t>2022</t>
        </is>
      </c>
      <c r="N2" s="2" t="inlineStr">
        <is>
          <t>1Q23</t>
        </is>
      </c>
      <c r="O2" s="2" t="inlineStr">
        <is>
          <t>2Q23</t>
        </is>
      </c>
      <c r="P2" s="2" t="inlineStr">
        <is>
          <t>3Q23</t>
        </is>
      </c>
      <c r="Q2" s="2" t="inlineStr">
        <is>
          <t>4Q23</t>
        </is>
      </c>
      <c r="R2" s="2" t="inlineStr">
        <is>
          <t>2023</t>
        </is>
      </c>
      <c r="S2" s="2" t="inlineStr">
        <is>
          <t>1Q24</t>
        </is>
      </c>
      <c r="T2" s="2" t="inlineStr">
        <is>
          <t>2Q24</t>
        </is>
      </c>
      <c r="U2" s="2" t="inlineStr">
        <is>
          <t>3Q24</t>
        </is>
      </c>
      <c r="V2" s="2" t="inlineStr">
        <is>
          <t>4Q24</t>
        </is>
      </c>
      <c r="W2" s="2" t="inlineStr">
        <is>
          <t>2024</t>
        </is>
      </c>
      <c r="X2" s="2" t="inlineStr">
        <is>
          <t>1Q25</t>
        </is>
      </c>
      <c r="Y2" s="2" t="inlineStr">
        <is>
          <t>2Q25</t>
        </is>
      </c>
      <c r="Z2" s="2" t="inlineStr">
        <is>
          <t>3Q25</t>
        </is>
      </c>
      <c r="AA2" s="2" t="inlineStr">
        <is>
          <t>4Q25</t>
        </is>
      </c>
      <c r="AB2" s="2" t="inlineStr">
        <is>
          <t>2025</t>
        </is>
      </c>
      <c r="AC2" s="2" t="inlineStr">
        <is>
          <t>1Q26</t>
        </is>
      </c>
      <c r="AD2" s="2" t="inlineStr">
        <is>
          <t>2Q26</t>
        </is>
      </c>
      <c r="AE2" s="2" t="inlineStr">
        <is>
          <t>3Q26</t>
        </is>
      </c>
      <c r="AF2" s="2" t="inlineStr">
        <is>
          <t>4Q26</t>
        </is>
      </c>
      <c r="AG2" s="2" t="inlineStr">
        <is>
          <t>2026</t>
        </is>
      </c>
    </row>
    <row r="3">
      <c r="A3" t="inlineStr">
        <is>
          <t>Fonte: ver coluna A de cada linha</t>
        </is>
      </c>
      <c r="C3" t="inlineStr">
        <is>
          <t>Unidade: US$ mil (monetário); demais unidades × 1.000</t>
        </is>
      </c>
    </row>
    <row r="4">
      <c r="A4" t="inlineStr">
        <is>
          <t>DRE - trimestre isolado (USD). Brutos SEC XBRL; linhas "derivada" são fórmulas nesta aba</t>
        </is>
      </c>
      <c r="C4" t="inlineStr">
        <is>
          <t>[linha bruta, sem código; lançada nas linhas abaixo]</t>
        </is>
      </c>
      <c r="D4" s="265" t="n"/>
      <c r="E4" s="265" t="n"/>
      <c r="F4" s="265" t="n"/>
      <c r="G4" s="265" t="n"/>
      <c r="I4" s="265" t="n"/>
      <c r="J4" s="265" t="n"/>
      <c r="K4" s="265" t="n"/>
      <c r="L4" s="265" t="n"/>
      <c r="N4" s="265" t="n"/>
      <c r="O4" s="265" t="n"/>
      <c r="P4" s="265" t="n"/>
      <c r="Q4" s="265" t="n"/>
      <c r="S4" s="265" t="n"/>
      <c r="T4" s="265" t="n"/>
      <c r="U4" s="265" t="n"/>
      <c r="V4" s="265" t="n"/>
      <c r="X4" s="265" t="n"/>
      <c r="Y4" s="265" t="n"/>
      <c r="Z4" s="265" t="n"/>
      <c r="AA4" s="265" t="n"/>
      <c r="AC4" s="265" t="n"/>
      <c r="AD4" s="265" t="n"/>
    </row>
    <row r="5">
      <c r="A5" t="inlineStr">
        <is>
          <t>Receita [us-gaap:Revenues/RevenueFromContractWithCustomerExcludingAssessedTax] · fonte · unid. moeda</t>
        </is>
      </c>
      <c r="B5" t="n">
        <v>1</v>
      </c>
      <c r="C5" t="inlineStr">
        <is>
          <t>Net Revenues</t>
        </is>
      </c>
      <c r="D5" s="265" t="n">
        <v>55314000</v>
      </c>
      <c r="E5" s="265" t="n">
        <v>61880000</v>
      </c>
      <c r="F5" s="265" t="n">
        <v>65118000</v>
      </c>
      <c r="G5" s="265" t="n">
        <v>75325000</v>
      </c>
      <c r="I5" s="265" t="n">
        <v>68011000</v>
      </c>
      <c r="J5" s="265" t="n">
        <v>69685000</v>
      </c>
      <c r="K5" s="265" t="n">
        <v>69092000</v>
      </c>
      <c r="L5" s="265" t="n">
        <v>76048000</v>
      </c>
      <c r="N5" s="265" t="n">
        <v>69787000</v>
      </c>
      <c r="O5" s="265" t="n">
        <v>74604000</v>
      </c>
      <c r="P5" s="265" t="n">
        <v>76693000</v>
      </c>
      <c r="Q5" s="265" t="n">
        <v>86310000</v>
      </c>
      <c r="S5" s="265" t="n">
        <v>80539000</v>
      </c>
      <c r="T5" s="265" t="n">
        <v>84742000</v>
      </c>
      <c r="U5" s="265" t="n">
        <v>88268000</v>
      </c>
      <c r="V5" s="265" t="n">
        <v>96469000</v>
      </c>
      <c r="X5" s="265" t="n">
        <v>90234000</v>
      </c>
      <c r="Y5" s="265" t="n">
        <v>96428000</v>
      </c>
      <c r="Z5" s="265" t="n">
        <v>102346000</v>
      </c>
      <c r="AA5" s="265" t="n">
        <v>113829000</v>
      </c>
      <c r="AC5" s="265" t="n">
        <v>109896000</v>
      </c>
      <c r="AD5" s="265" t="n">
        <v>119796000</v>
      </c>
    </row>
    <row r="6">
      <c r="A6" t="inlineStr">
        <is>
          <t>Custo da receita (divulgado positivo) [us-gaap:CostOfRevenue/CostOfGoodsAndServicesSold] · fonte · unid. moeda</t>
        </is>
      </c>
      <c r="C6" t="inlineStr">
        <is>
          <t>[linha bruta, sem código; lançada nas linhas abaixo]</t>
        </is>
      </c>
      <c r="D6" s="265" t="n">
        <v>24103000</v>
      </c>
      <c r="E6" s="265" t="n">
        <v>26227000</v>
      </c>
      <c r="F6" s="265" t="n">
        <v>27621000</v>
      </c>
      <c r="G6" s="265" t="n">
        <v>32988000</v>
      </c>
      <c r="I6" s="265" t="n">
        <v>29599000</v>
      </c>
      <c r="J6" s="265" t="n">
        <v>30104000</v>
      </c>
      <c r="K6" s="265" t="n">
        <v>31158000</v>
      </c>
      <c r="L6" s="265" t="n">
        <v>35342000</v>
      </c>
      <c r="N6" s="265" t="n">
        <v>30612000</v>
      </c>
      <c r="O6" s="265" t="n">
        <v>31916000</v>
      </c>
      <c r="P6" s="265" t="n">
        <v>33229000</v>
      </c>
      <c r="Q6" s="265" t="n">
        <v>37575000</v>
      </c>
      <c r="S6" s="265" t="n">
        <v>33712000</v>
      </c>
      <c r="T6" s="265" t="n">
        <v>35507000</v>
      </c>
      <c r="U6" s="265" t="n">
        <v>36474000</v>
      </c>
      <c r="V6" s="265" t="n">
        <v>40613000</v>
      </c>
      <c r="X6" s="265" t="n">
        <v>36361000</v>
      </c>
      <c r="Y6" s="265" t="n">
        <v>39039000</v>
      </c>
      <c r="Z6" s="265" t="n">
        <v>41369000</v>
      </c>
      <c r="AA6" s="265" t="n">
        <v>45767000</v>
      </c>
      <c r="AC6" s="265" t="n">
        <v>41271000</v>
      </c>
      <c r="AD6" s="265" t="n">
        <v>45943000</v>
      </c>
    </row>
    <row r="7">
      <c r="A7" t="inlineStr">
        <is>
          <t>(lançamento) código 2, sinal -1 sobre a linha bruta 6: Custo da receita (divulgado positivo) [us-gaap:CostOfRevenue/CostOfGoodsAndServicesSold]</t>
        </is>
      </c>
      <c r="B7" t="n">
        <v>2</v>
      </c>
      <c r="C7" t="inlineStr">
        <is>
          <t>COGS (cash)</t>
        </is>
      </c>
      <c r="D7" s="265">
        <f>IF(D6="","",-1*D6)</f>
        <v>-24103000</v>
      </c>
      <c r="E7" s="265">
        <f>IF(E6="","",-1*E6)</f>
        <v>-26227000</v>
      </c>
      <c r="F7" s="265">
        <f>IF(F6="","",-1*F6)</f>
        <v>-27621000</v>
      </c>
      <c r="G7" s="265">
        <f>IF(G6="","",-1*G6)</f>
        <v>-32988000</v>
      </c>
      <c r="I7" s="265">
        <f>IF(I6="","",-1*I6)</f>
        <v>-29599000</v>
      </c>
      <c r="J7" s="265">
        <f>IF(J6="","",-1*J6)</f>
        <v>-30104000</v>
      </c>
      <c r="K7" s="265">
        <f>IF(K6="","",-1*K6)</f>
        <v>-31158000</v>
      </c>
      <c r="L7" s="265">
        <f>IF(L6="","",-1*L6)</f>
        <v>-35342000</v>
      </c>
      <c r="N7" s="265">
        <f>IF(N6="","",-1*N6)</f>
        <v>-30612000</v>
      </c>
      <c r="O7" s="265">
        <f>IF(O6="","",-1*O6)</f>
        <v>-31916000</v>
      </c>
      <c r="P7" s="265">
        <f>IF(P6="","",-1*P6)</f>
        <v>-33229000</v>
      </c>
      <c r="Q7" s="265">
        <f>IF(Q6="","",-1*Q6)</f>
        <v>-37575000</v>
      </c>
      <c r="S7" s="265">
        <f>IF(S6="","",-1*S6)</f>
        <v>-33712000</v>
      </c>
      <c r="T7" s="265">
        <f>IF(T6="","",-1*T6)</f>
        <v>-35507000</v>
      </c>
      <c r="U7" s="265">
        <f>IF(U6="","",-1*U6)</f>
        <v>-36474000</v>
      </c>
      <c r="V7" s="265">
        <f>IF(V6="","",-1*V6)</f>
        <v>-40613000</v>
      </c>
      <c r="X7" s="265">
        <f>IF(X6="","",-1*X6)</f>
        <v>-36361000</v>
      </c>
      <c r="Y7" s="265">
        <f>IF(Y6="","",-1*Y6)</f>
        <v>-39039000</v>
      </c>
      <c r="Z7" s="265">
        <f>IF(Z6="","",-1*Z6)</f>
        <v>-41369000</v>
      </c>
      <c r="AA7" s="265">
        <f>IF(AA6="","",-1*AA6)</f>
        <v>-45767000</v>
      </c>
      <c r="AC7" s="265">
        <f>IF(AC6="","",-1*AC6)</f>
        <v>-41271000</v>
      </c>
      <c r="AD7" s="265">
        <f>IF(AD6="","",-1*AD6)</f>
        <v>-45943000</v>
      </c>
    </row>
    <row r="8">
      <c r="A8" t="inlineStr">
        <is>
          <t>Lucro operacional [us-gaap:OperatingIncomeLoss] · memoria · unid. moeda</t>
        </is>
      </c>
      <c r="C8" t="inlineStr">
        <is>
          <t>[linha bruta, sem código; lançada nas linhas abaixo]</t>
        </is>
      </c>
      <c r="D8" s="265" t="n">
        <v>16437000</v>
      </c>
      <c r="E8" s="265" t="n">
        <v>19361000</v>
      </c>
      <c r="F8" s="265" t="n">
        <v>21031000</v>
      </c>
      <c r="G8" s="265" t="n">
        <v>21885000</v>
      </c>
      <c r="I8" s="265" t="n">
        <v>20094000</v>
      </c>
      <c r="J8" s="265" t="n">
        <v>19453000</v>
      </c>
      <c r="K8" s="265" t="n">
        <v>17135000</v>
      </c>
      <c r="L8" s="265" t="n">
        <v>18160000</v>
      </c>
      <c r="N8" s="265" t="n">
        <v>17415000</v>
      </c>
      <c r="O8" s="265" t="n">
        <v>21838000</v>
      </c>
      <c r="P8" s="265" t="n">
        <v>21343000</v>
      </c>
      <c r="Q8" s="265" t="n">
        <v>23697000</v>
      </c>
      <c r="S8" s="265" t="n">
        <v>25472000</v>
      </c>
      <c r="T8" s="265" t="n">
        <v>27425000</v>
      </c>
      <c r="U8" s="265" t="n">
        <v>28521000</v>
      </c>
      <c r="V8" s="265" t="n">
        <v>30972000</v>
      </c>
      <c r="X8" s="265" t="n">
        <v>30606000</v>
      </c>
      <c r="Y8" s="265" t="n">
        <v>31271000</v>
      </c>
      <c r="Z8" s="265" t="n">
        <v>31228000</v>
      </c>
      <c r="AA8" s="265" t="n">
        <v>35934000</v>
      </c>
      <c r="AC8" s="265" t="n">
        <v>39696000</v>
      </c>
      <c r="AD8" s="265" t="n">
        <v>40770000</v>
      </c>
    </row>
    <row r="9">
      <c r="A9" t="inlineStr">
        <is>
          <t>Despesas operacionais = receita - custo - lucro operacional (P&amp;D + SG&amp;A + outras operacionais) · derivada · unid. moeda</t>
        </is>
      </c>
      <c r="C9" t="inlineStr">
        <is>
          <t>[linha bruta, sem código; lançada nas linhas abaixo]</t>
        </is>
      </c>
      <c r="D9" s="265">
        <f>N(D5)-N(D6)-N(D8)</f>
        <v>14774000</v>
      </c>
      <c r="E9" s="265">
        <f>N(E5)-N(E6)-N(E8)</f>
        <v>16292000</v>
      </c>
      <c r="F9" s="265">
        <f>N(F5)-N(F6)-N(F8)</f>
        <v>16466000</v>
      </c>
      <c r="G9" s="265">
        <f>N(G5)-N(G6)-N(G8)</f>
        <v>20452000</v>
      </c>
      <c r="I9" s="265">
        <f>N(I5)-N(I6)-N(I8)</f>
        <v>18318000</v>
      </c>
      <c r="J9" s="265">
        <f>N(J5)-N(J6)-N(J8)</f>
        <v>20128000</v>
      </c>
      <c r="K9" s="265">
        <f>N(K5)-N(K6)-N(K8)</f>
        <v>20799000</v>
      </c>
      <c r="L9" s="265">
        <f>N(L5)-N(L6)-N(L8)</f>
        <v>22546000</v>
      </c>
      <c r="N9" s="265">
        <f>N(N5)-N(N6)-N(N8)</f>
        <v>21760000</v>
      </c>
      <c r="O9" s="265">
        <f>N(O5)-N(O6)-N(O8)</f>
        <v>20850000</v>
      </c>
      <c r="P9" s="265">
        <f>N(P5)-N(P6)-N(P8)</f>
        <v>22121000</v>
      </c>
      <c r="Q9" s="265">
        <f>N(Q5)-N(Q6)-N(Q8)</f>
        <v>25038000</v>
      </c>
      <c r="S9" s="265">
        <f>N(S5)-N(S6)-N(S8)</f>
        <v>21355000</v>
      </c>
      <c r="T9" s="265">
        <f>N(T5)-N(T6)-N(T8)</f>
        <v>21810000</v>
      </c>
      <c r="U9" s="265">
        <f>N(U5)-N(U6)-N(U8)</f>
        <v>23273000</v>
      </c>
      <c r="V9" s="265">
        <f>N(V5)-N(V6)-N(V8)</f>
        <v>24884000</v>
      </c>
      <c r="X9" s="265">
        <f>N(X5)-N(X6)-N(X8)</f>
        <v>23267000</v>
      </c>
      <c r="Y9" s="265">
        <f>N(Y5)-N(Y6)-N(Y8)</f>
        <v>26118000</v>
      </c>
      <c r="Z9" s="265">
        <f>N(Z5)-N(Z6)-N(Z8)</f>
        <v>29749000</v>
      </c>
      <c r="AA9" s="265">
        <f>N(AA5)-N(AA6)-N(AA8)</f>
        <v>32128000</v>
      </c>
      <c r="AC9" s="265">
        <f>N(AC5)-N(AC6)-N(AC8)</f>
        <v>28929000</v>
      </c>
      <c r="AD9" s="265">
        <f>N(AD5)-N(AD6)-N(AD8)</f>
        <v>33083000</v>
      </c>
    </row>
    <row r="10">
      <c r="A10" t="inlineStr">
        <is>
          <t>(lançamento) código 3, sinal -1 sobre a linha bruta 9: Despesas operacionais = receita - custo - lucro operacional (P&amp;D + SG&amp;A + outras operacion</t>
        </is>
      </c>
      <c r="B10" t="n">
        <v>3</v>
      </c>
      <c r="C10" t="inlineStr">
        <is>
          <t>SG&amp;A and Other (cash)</t>
        </is>
      </c>
      <c r="D10" s="265">
        <f>IF(D9="","",-1*D9)</f>
        <v>-14774000</v>
      </c>
      <c r="E10" s="265">
        <f>IF(E9="","",-1*E9)</f>
        <v>-16292000</v>
      </c>
      <c r="F10" s="265">
        <f>IF(F9="","",-1*F9)</f>
        <v>-16466000</v>
      </c>
      <c r="G10" s="265">
        <f>IF(G9="","",-1*G9)</f>
        <v>-20452000</v>
      </c>
      <c r="I10" s="265">
        <f>IF(I9="","",-1*I9)</f>
        <v>-18318000</v>
      </c>
      <c r="J10" s="265">
        <f>IF(J9="","",-1*J9)</f>
        <v>-20128000</v>
      </c>
      <c r="K10" s="265">
        <f>IF(K9="","",-1*K9)</f>
        <v>-20799000</v>
      </c>
      <c r="L10" s="265">
        <f>IF(L9="","",-1*L9)</f>
        <v>-22546000</v>
      </c>
      <c r="N10" s="265">
        <f>IF(N9="","",-1*N9)</f>
        <v>-21760000</v>
      </c>
      <c r="O10" s="265">
        <f>IF(O9="","",-1*O9)</f>
        <v>-20850000</v>
      </c>
      <c r="P10" s="265">
        <f>IF(P9="","",-1*P9)</f>
        <v>-22121000</v>
      </c>
      <c r="Q10" s="265">
        <f>IF(Q9="","",-1*Q9)</f>
        <v>-25038000</v>
      </c>
      <c r="S10" s="265">
        <f>IF(S9="","",-1*S9)</f>
        <v>-21355000</v>
      </c>
      <c r="T10" s="265">
        <f>IF(T9="","",-1*T9)</f>
        <v>-21810000</v>
      </c>
      <c r="U10" s="265">
        <f>IF(U9="","",-1*U9)</f>
        <v>-23273000</v>
      </c>
      <c r="V10" s="265">
        <f>IF(V9="","",-1*V9)</f>
        <v>-24884000</v>
      </c>
      <c r="X10" s="265">
        <f>IF(X9="","",-1*X9)</f>
        <v>-23267000</v>
      </c>
      <c r="Y10" s="265">
        <f>IF(Y9="","",-1*Y9)</f>
        <v>-26118000</v>
      </c>
      <c r="Z10" s="265">
        <f>IF(Z9="","",-1*Z9)</f>
        <v>-29749000</v>
      </c>
      <c r="AA10" s="265">
        <f>IF(AA9="","",-1*AA9)</f>
        <v>-32128000</v>
      </c>
      <c r="AC10" s="265">
        <f>IF(AC9="","",-1*AC9)</f>
        <v>-28929000</v>
      </c>
      <c r="AD10" s="265">
        <f>IF(AD9="","",-1*AD9)</f>
        <v>-33083000</v>
      </c>
    </row>
    <row r="11">
      <c r="A11" t="inlineStr">
        <is>
          <t>Lucro antes do IR [us-gaap:IncomeLossFromContinuingOperationsBeforeIncomeTaxesExtraordi] · memoria · unid. moeda</t>
        </is>
      </c>
      <c r="C11" t="inlineStr">
        <is>
          <t>[linha bruta, sem código; lançada nas linhas abaixo]</t>
        </is>
      </c>
      <c r="D11" s="265" t="n">
        <v>21283000</v>
      </c>
      <c r="E11" s="265" t="n">
        <v>21985000</v>
      </c>
      <c r="F11" s="265" t="n">
        <v>23064000</v>
      </c>
      <c r="G11" s="265" t="n">
        <v>24402000</v>
      </c>
      <c r="I11" s="265" t="n">
        <v>18934000</v>
      </c>
      <c r="J11" s="265" t="n">
        <v>19014000</v>
      </c>
      <c r="K11" s="265" t="n">
        <v>16233000</v>
      </c>
      <c r="L11" s="265" t="n">
        <v>17147000</v>
      </c>
      <c r="N11" s="265" t="n">
        <v>18205000</v>
      </c>
      <c r="O11" s="265" t="n">
        <v>21903000</v>
      </c>
      <c r="P11" s="265" t="n">
        <v>21197000</v>
      </c>
      <c r="Q11" s="265" t="n">
        <v>24412000</v>
      </c>
      <c r="S11" s="265" t="n">
        <v>28315000</v>
      </c>
      <c r="T11" s="265" t="n">
        <v>27551000</v>
      </c>
      <c r="U11" s="265" t="n">
        <v>31706000</v>
      </c>
      <c r="V11" s="265" t="n">
        <v>32243000</v>
      </c>
      <c r="X11" s="265" t="n">
        <v>41789000</v>
      </c>
      <c r="Y11" s="265" t="n">
        <v>33933000</v>
      </c>
      <c r="Z11" s="265" t="n">
        <v>43987000</v>
      </c>
      <c r="AA11" s="265" t="n">
        <v>39117000</v>
      </c>
      <c r="AC11" s="265" t="n">
        <v>77412000</v>
      </c>
      <c r="AD11" s="265" t="n">
        <v>138753000</v>
      </c>
    </row>
    <row r="12">
      <c r="A12" t="inlineStr">
        <is>
          <t>Resultado não operacional total = lucro antes do IR - lucro operacional · derivada · unid. moeda</t>
        </is>
      </c>
      <c r="B12" t="n">
        <v>6</v>
      </c>
      <c r="C12" t="inlineStr">
        <is>
          <t>Nonoperating Income / (Loss)</t>
        </is>
      </c>
      <c r="D12" s="265">
        <f>N(D11)-N(D8)</f>
        <v>4846000</v>
      </c>
      <c r="E12" s="265">
        <f>N(E11)-N(E8)</f>
        <v>2624000</v>
      </c>
      <c r="F12" s="265">
        <f>N(F11)-N(F8)</f>
        <v>2033000</v>
      </c>
      <c r="G12" s="265">
        <f>N(G11)-N(G8)</f>
        <v>2517000</v>
      </c>
      <c r="I12" s="265">
        <f>N(I11)-N(I8)</f>
        <v>-1160000</v>
      </c>
      <c r="J12" s="265">
        <f>N(J11)-N(J8)</f>
        <v>-439000</v>
      </c>
      <c r="K12" s="265">
        <f>N(K11)-N(K8)</f>
        <v>-902000</v>
      </c>
      <c r="L12" s="265">
        <f>N(L11)-N(L8)</f>
        <v>-1013000</v>
      </c>
      <c r="N12" s="265">
        <f>N(N11)-N(N8)</f>
        <v>790000</v>
      </c>
      <c r="O12" s="265">
        <f>N(O11)-N(O8)</f>
        <v>65000</v>
      </c>
      <c r="P12" s="265">
        <f>N(P11)-N(P8)</f>
        <v>-146000</v>
      </c>
      <c r="Q12" s="265">
        <f>N(Q11)-N(Q8)</f>
        <v>715000</v>
      </c>
      <c r="S12" s="265">
        <f>N(S11)-N(S8)</f>
        <v>2843000</v>
      </c>
      <c r="T12" s="265">
        <f>N(T11)-N(T8)</f>
        <v>126000</v>
      </c>
      <c r="U12" s="265">
        <f>N(U11)-N(U8)</f>
        <v>3185000</v>
      </c>
      <c r="V12" s="265">
        <f>N(V11)-N(V8)</f>
        <v>1271000</v>
      </c>
      <c r="X12" s="265">
        <f>N(X11)-N(X8)</f>
        <v>11183000</v>
      </c>
      <c r="Y12" s="265">
        <f>N(Y11)-N(Y8)</f>
        <v>2662000</v>
      </c>
      <c r="Z12" s="265">
        <f>N(Z11)-N(Z8)</f>
        <v>12759000</v>
      </c>
      <c r="AA12" s="265">
        <f>N(AA11)-N(AA8)</f>
        <v>3183000</v>
      </c>
      <c r="AC12" s="265">
        <f>N(AC11)-N(AC8)</f>
        <v>37716000</v>
      </c>
      <c r="AD12" s="265">
        <f>N(AD11)-N(AD8)</f>
        <v>97983000</v>
      </c>
    </row>
    <row r="13">
      <c r="A13" t="inlineStr">
        <is>
          <t>Despesa de juros (divulgado positivo): COD1=5 lança; COD2=6 devolve ao não operacional, que já a contém [us-gaap:InterestExpense/InterestExpenseNonoperating] · fonte · unid. moeda</t>
        </is>
      </c>
      <c r="C13" t="inlineStr">
        <is>
          <t>[linha bruta, sem código; lançada nas linhas abaixo]</t>
        </is>
      </c>
      <c r="D13" s="265" t="n">
        <v>76000</v>
      </c>
      <c r="E13" s="265" t="n">
        <v>76000</v>
      </c>
      <c r="F13" s="265" t="n">
        <v>77000</v>
      </c>
      <c r="G13" s="265" t="n">
        <v>117000</v>
      </c>
      <c r="I13" s="265" t="n">
        <v>83000</v>
      </c>
      <c r="J13" s="265" t="n">
        <v>83000</v>
      </c>
      <c r="K13" s="265" t="n">
        <v>101000</v>
      </c>
      <c r="L13" s="265" t="n">
        <v>90000</v>
      </c>
      <c r="N13" s="265" t="n">
        <v>80000</v>
      </c>
      <c r="O13" s="265" t="n">
        <v>43000</v>
      </c>
      <c r="P13" s="265" t="n">
        <v>116000</v>
      </c>
      <c r="Q13" s="265" t="n">
        <v>69000</v>
      </c>
      <c r="S13" s="265" t="n">
        <v>94000</v>
      </c>
      <c r="T13" s="265" t="n">
        <v>67000</v>
      </c>
      <c r="U13" s="265" t="n">
        <v>54000</v>
      </c>
      <c r="V13" s="265" t="n">
        <v>53000</v>
      </c>
      <c r="X13" s="265" t="n">
        <v>34000</v>
      </c>
      <c r="Y13" s="265" t="n">
        <v>261000</v>
      </c>
      <c r="Z13" s="265" t="n">
        <v>143000</v>
      </c>
      <c r="AA13" s="265" t="n">
        <v>298000</v>
      </c>
      <c r="AC13" s="265" t="n">
        <v>533000</v>
      </c>
      <c r="AD13" s="265" t="n">
        <v>1278000</v>
      </c>
    </row>
    <row r="14">
      <c r="A14" t="inlineStr">
        <is>
          <t>(lançamento) código 5, sinal -1 sobre a linha bruta 13: Despesa de juros (divulgado positivo): COD1=5 lança; COD2=6 devolve ao não operacional, qu</t>
        </is>
      </c>
      <c r="B14" t="n">
        <v>5</v>
      </c>
      <c r="C14" t="inlineStr">
        <is>
          <t>Interest Expense</t>
        </is>
      </c>
      <c r="D14" s="265">
        <f>IF(D13="","",-1*D13)</f>
        <v>-76000</v>
      </c>
      <c r="E14" s="265">
        <f>IF(E13="","",-1*E13)</f>
        <v>-76000</v>
      </c>
      <c r="F14" s="265">
        <f>IF(F13="","",-1*F13)</f>
        <v>-77000</v>
      </c>
      <c r="G14" s="265">
        <f>IF(G13="","",-1*G13)</f>
        <v>-117000</v>
      </c>
      <c r="I14" s="265">
        <f>IF(I13="","",-1*I13)</f>
        <v>-83000</v>
      </c>
      <c r="J14" s="265">
        <f>IF(J13="","",-1*J13)</f>
        <v>-83000</v>
      </c>
      <c r="K14" s="265">
        <f>IF(K13="","",-1*K13)</f>
        <v>-101000</v>
      </c>
      <c r="L14" s="265">
        <f>IF(L13="","",-1*L13)</f>
        <v>-90000</v>
      </c>
      <c r="N14" s="265">
        <f>IF(N13="","",-1*N13)</f>
        <v>-80000</v>
      </c>
      <c r="O14" s="265">
        <f>IF(O13="","",-1*O13)</f>
        <v>-43000</v>
      </c>
      <c r="P14" s="265">
        <f>IF(P13="","",-1*P13)</f>
        <v>-116000</v>
      </c>
      <c r="Q14" s="265">
        <f>IF(Q13="","",-1*Q13)</f>
        <v>-69000</v>
      </c>
      <c r="S14" s="265">
        <f>IF(S13="","",-1*S13)</f>
        <v>-94000</v>
      </c>
      <c r="T14" s="265">
        <f>IF(T13="","",-1*T13)</f>
        <v>-67000</v>
      </c>
      <c r="U14" s="265">
        <f>IF(U13="","",-1*U13)</f>
        <v>-54000</v>
      </c>
      <c r="V14" s="265">
        <f>IF(V13="","",-1*V13)</f>
        <v>-53000</v>
      </c>
      <c r="X14" s="265">
        <f>IF(X13="","",-1*X13)</f>
        <v>-34000</v>
      </c>
      <c r="Y14" s="265">
        <f>IF(Y13="","",-1*Y13)</f>
        <v>-261000</v>
      </c>
      <c r="Z14" s="265">
        <f>IF(Z13="","",-1*Z13)</f>
        <v>-143000</v>
      </c>
      <c r="AA14" s="265">
        <f>IF(AA13="","",-1*AA13)</f>
        <v>-298000</v>
      </c>
      <c r="AC14" s="265">
        <f>IF(AC13="","",-1*AC13)</f>
        <v>-533000</v>
      </c>
      <c r="AD14" s="265">
        <f>IF(AD13="","",-1*AD13)</f>
        <v>-1278000</v>
      </c>
    </row>
    <row r="15">
      <c r="A15" t="inlineStr">
        <is>
          <t>(lançamento) código 6, sinal +1 sobre a linha bruta 13: Despesa de juros (divulgado positivo): COD1=5 lança; COD2=6 devolve ao não operacional, qu</t>
        </is>
      </c>
      <c r="B15" t="n">
        <v>6</v>
      </c>
      <c r="C15" t="inlineStr">
        <is>
          <t>Nonoperating Income / (Loss)</t>
        </is>
      </c>
      <c r="D15" s="265">
        <f>IF(D13="","",D13)</f>
        <v>76000</v>
      </c>
      <c r="E15" s="265">
        <f>IF(E13="","",E13)</f>
        <v>76000</v>
      </c>
      <c r="F15" s="265">
        <f>IF(F13="","",F13)</f>
        <v>77000</v>
      </c>
      <c r="G15" s="265">
        <f>IF(G13="","",G13)</f>
        <v>117000</v>
      </c>
      <c r="I15" s="265">
        <f>IF(I13="","",I13)</f>
        <v>83000</v>
      </c>
      <c r="J15" s="265">
        <f>IF(J13="","",J13)</f>
        <v>83000</v>
      </c>
      <c r="K15" s="265">
        <f>IF(K13="","",K13)</f>
        <v>101000</v>
      </c>
      <c r="L15" s="265">
        <f>IF(L13="","",L13)</f>
        <v>90000</v>
      </c>
      <c r="N15" s="265">
        <f>IF(N13="","",N13)</f>
        <v>80000</v>
      </c>
      <c r="O15" s="265">
        <f>IF(O13="","",O13)</f>
        <v>43000</v>
      </c>
      <c r="P15" s="265">
        <f>IF(P13="","",P13)</f>
        <v>116000</v>
      </c>
      <c r="Q15" s="265">
        <f>IF(Q13="","",Q13)</f>
        <v>69000</v>
      </c>
      <c r="S15" s="265">
        <f>IF(S13="","",S13)</f>
        <v>94000</v>
      </c>
      <c r="T15" s="265">
        <f>IF(T13="","",T13)</f>
        <v>67000</v>
      </c>
      <c r="U15" s="265">
        <f>IF(U13="","",U13)</f>
        <v>54000</v>
      </c>
      <c r="V15" s="265">
        <f>IF(V13="","",V13)</f>
        <v>53000</v>
      </c>
      <c r="X15" s="265">
        <f>IF(X13="","",X13)</f>
        <v>34000</v>
      </c>
      <c r="Y15" s="265">
        <f>IF(Y13="","",Y13)</f>
        <v>261000</v>
      </c>
      <c r="Z15" s="265">
        <f>IF(Z13="","",Z13)</f>
        <v>143000</v>
      </c>
      <c r="AA15" s="265">
        <f>IF(AA13="","",AA13)</f>
        <v>298000</v>
      </c>
      <c r="AC15" s="265">
        <f>IF(AC13="","",AC13)</f>
        <v>533000</v>
      </c>
      <c r="AD15" s="265">
        <f>IF(AD13="","",AD13)</f>
        <v>1278000</v>
      </c>
    </row>
    <row r="16">
      <c r="A16" t="inlineStr">
        <is>
          <t>Imposto de renda (divulgado positivo) [us-gaap:IncomeTaxExpenseBenefit] · fonte · unid. moeda</t>
        </is>
      </c>
      <c r="C16" t="inlineStr">
        <is>
          <t>[linha bruta, sem código; lançada nas linhas abaixo]</t>
        </is>
      </c>
      <c r="D16" s="265" t="n">
        <v>3353000</v>
      </c>
      <c r="E16" s="265" t="n">
        <v>3460000</v>
      </c>
      <c r="F16" s="265" t="n">
        <v>4128000</v>
      </c>
      <c r="G16" s="265" t="n">
        <v>3760000</v>
      </c>
      <c r="I16" s="265" t="n">
        <v>2498000</v>
      </c>
      <c r="J16" s="265" t="n">
        <v>3012000</v>
      </c>
      <c r="K16" s="265" t="n">
        <v>2323000</v>
      </c>
      <c r="L16" s="265" t="n">
        <v>3523000</v>
      </c>
      <c r="N16" s="265" t="n">
        <v>3154000</v>
      </c>
      <c r="O16" s="265" t="n">
        <v>3535000</v>
      </c>
      <c r="P16" s="265" t="n">
        <v>1508000</v>
      </c>
      <c r="Q16" s="265" t="n">
        <v>3725000</v>
      </c>
      <c r="S16" s="265" t="n">
        <v>4653000</v>
      </c>
      <c r="T16" s="265" t="n">
        <v>3932000</v>
      </c>
      <c r="U16" s="265" t="n">
        <v>5405000</v>
      </c>
      <c r="V16" s="265" t="n">
        <v>5707000</v>
      </c>
      <c r="X16" s="265" t="n">
        <v>7249000</v>
      </c>
      <c r="Y16" s="265" t="n">
        <v>5737000</v>
      </c>
      <c r="Z16" s="265" t="n">
        <v>9008000</v>
      </c>
      <c r="AA16" s="265" t="n">
        <v>4662000</v>
      </c>
      <c r="AC16" s="265" t="n">
        <v>14834000</v>
      </c>
      <c r="AD16" s="265" t="n">
        <v>26560000</v>
      </c>
    </row>
    <row r="17">
      <c r="A17" t="inlineStr">
        <is>
          <t>(lançamento) código 7, sinal -1 sobre a linha bruta 16: Imposto de renda (divulgado positivo) [us-gaap:IncomeTaxExpenseBenefit]</t>
        </is>
      </c>
      <c r="B17" t="n">
        <v>7</v>
      </c>
      <c r="C17" t="inlineStr">
        <is>
          <t>Taxes</t>
        </is>
      </c>
      <c r="D17" s="265">
        <f>IF(D16="","",-1*D16)</f>
        <v>-3353000</v>
      </c>
      <c r="E17" s="265">
        <f>IF(E16="","",-1*E16)</f>
        <v>-3460000</v>
      </c>
      <c r="F17" s="265">
        <f>IF(F16="","",-1*F16)</f>
        <v>-4128000</v>
      </c>
      <c r="G17" s="265">
        <f>IF(G16="","",-1*G16)</f>
        <v>-3760000</v>
      </c>
      <c r="I17" s="265">
        <f>IF(I16="","",-1*I16)</f>
        <v>-2498000</v>
      </c>
      <c r="J17" s="265">
        <f>IF(J16="","",-1*J16)</f>
        <v>-3012000</v>
      </c>
      <c r="K17" s="265">
        <f>IF(K16="","",-1*K16)</f>
        <v>-2323000</v>
      </c>
      <c r="L17" s="265">
        <f>IF(L16="","",-1*L16)</f>
        <v>-3523000</v>
      </c>
      <c r="N17" s="265">
        <f>IF(N16="","",-1*N16)</f>
        <v>-3154000</v>
      </c>
      <c r="O17" s="265">
        <f>IF(O16="","",-1*O16)</f>
        <v>-3535000</v>
      </c>
      <c r="P17" s="265">
        <f>IF(P16="","",-1*P16)</f>
        <v>-1508000</v>
      </c>
      <c r="Q17" s="265">
        <f>IF(Q16="","",-1*Q16)</f>
        <v>-3725000</v>
      </c>
      <c r="S17" s="265">
        <f>IF(S16="","",-1*S16)</f>
        <v>-4653000</v>
      </c>
      <c r="T17" s="265">
        <f>IF(T16="","",-1*T16)</f>
        <v>-3932000</v>
      </c>
      <c r="U17" s="265">
        <f>IF(U16="","",-1*U16)</f>
        <v>-5405000</v>
      </c>
      <c r="V17" s="265">
        <f>IF(V16="","",-1*V16)</f>
        <v>-5707000</v>
      </c>
      <c r="X17" s="265">
        <f>IF(X16="","",-1*X16)</f>
        <v>-7249000</v>
      </c>
      <c r="Y17" s="265">
        <f>IF(Y16="","",-1*Y16)</f>
        <v>-5737000</v>
      </c>
      <c r="Z17" s="265">
        <f>IF(Z16="","",-1*Z16)</f>
        <v>-9008000</v>
      </c>
      <c r="AA17" s="265">
        <f>IF(AA16="","",-1*AA16)</f>
        <v>-4662000</v>
      </c>
      <c r="AC17" s="265">
        <f>IF(AC16="","",-1*AC16)</f>
        <v>-14834000</v>
      </c>
      <c r="AD17" s="265">
        <f>IF(AD16="","",-1*AD16)</f>
        <v>-26560000</v>
      </c>
    </row>
    <row r="18">
      <c r="A18" t="inlineStr">
        <is>
          <t>Lucro líquido atribuído à companhia [us-gaap:NetIncomeLoss] · memoria · unid. moeda</t>
        </is>
      </c>
      <c r="C18" t="inlineStr">
        <is>
          <t>[linha bruta, sem código; lançada nas linhas abaixo]</t>
        </is>
      </c>
      <c r="D18" s="265" t="n">
        <v>17930000</v>
      </c>
      <c r="E18" s="265" t="n">
        <v>18525000</v>
      </c>
      <c r="F18" s="265" t="n">
        <v>18936000</v>
      </c>
      <c r="G18" s="265" t="n">
        <v>20642000</v>
      </c>
      <c r="I18" s="265" t="n">
        <v>16436000</v>
      </c>
      <c r="J18" s="265" t="n">
        <v>16002000</v>
      </c>
      <c r="K18" s="265" t="n">
        <v>13910000</v>
      </c>
      <c r="L18" s="265" t="n">
        <v>13624000</v>
      </c>
      <c r="N18" s="265" t="n">
        <v>15051000</v>
      </c>
      <c r="O18" s="265" t="n">
        <v>18368000</v>
      </c>
      <c r="P18" s="265" t="n">
        <v>19689000</v>
      </c>
      <c r="Q18" s="265" t="n">
        <v>20687000</v>
      </c>
      <c r="S18" s="265" t="n">
        <v>23662000</v>
      </c>
      <c r="T18" s="265" t="n">
        <v>23619000</v>
      </c>
      <c r="U18" s="265" t="n">
        <v>26301000</v>
      </c>
      <c r="V18" s="265" t="n">
        <v>26536000</v>
      </c>
      <c r="X18" s="265" t="n">
        <v>34540000</v>
      </c>
      <c r="Y18" s="265" t="n">
        <v>28196000</v>
      </c>
      <c r="Z18" s="265" t="n">
        <v>34979000</v>
      </c>
      <c r="AA18" s="265" t="n">
        <v>34455000</v>
      </c>
      <c r="AC18" s="265" t="n">
        <v>62578000</v>
      </c>
      <c r="AD18" s="265" t="n">
        <v>112193000</v>
      </c>
    </row>
    <row r="19">
      <c r="A19" t="inlineStr">
        <is>
          <t>Resultado após IR não classificado acima (equivalência patrimonial, operações descontinuadas): lucro - (LAIR - IR - minoritários); zero quando não há · derivada · unid. moeda</t>
        </is>
      </c>
      <c r="B19" t="n">
        <v>8</v>
      </c>
      <c r="C19" t="inlineStr">
        <is>
          <t>Equity in Income of Affiliates, after tax (enter as +)</t>
        </is>
      </c>
      <c r="D19" s="265">
        <f>N(D18)-(N(D11)-N(D16)-0)</f>
        <v>0</v>
      </c>
      <c r="E19" s="265">
        <f>N(E18)-(N(E11)-N(E16)-0)</f>
        <v>0</v>
      </c>
      <c r="F19" s="265">
        <f>N(F18)-(N(F11)-N(F16)-0)</f>
        <v>0</v>
      </c>
      <c r="G19" s="265">
        <f>N(G18)-(N(G11)-N(G16)-0)</f>
        <v>0</v>
      </c>
      <c r="I19" s="265">
        <f>N(I18)-(N(I11)-N(I16)-0)</f>
        <v>0</v>
      </c>
      <c r="J19" s="265">
        <f>N(J18)-(N(J11)-N(J16)-0)</f>
        <v>0</v>
      </c>
      <c r="K19" s="265">
        <f>N(K18)-(N(K11)-N(K16)-0)</f>
        <v>0</v>
      </c>
      <c r="L19" s="265">
        <f>N(L18)-(N(L11)-N(L16)-0)</f>
        <v>0</v>
      </c>
      <c r="N19" s="265">
        <f>N(N18)-(N(N11)-N(N16)-0)</f>
        <v>0</v>
      </c>
      <c r="O19" s="265">
        <f>N(O18)-(N(O11)-N(O16)-0)</f>
        <v>0</v>
      </c>
      <c r="P19" s="265">
        <f>N(P18)-(N(P11)-N(P16)-0)</f>
        <v>0</v>
      </c>
      <c r="Q19" s="265">
        <f>N(Q18)-(N(Q11)-N(Q16)-0)</f>
        <v>0</v>
      </c>
      <c r="S19" s="265">
        <f>N(S18)-(N(S11)-N(S16)-0)</f>
        <v>0</v>
      </c>
      <c r="T19" s="265">
        <f>N(T18)-(N(T11)-N(T16)-0)</f>
        <v>0</v>
      </c>
      <c r="U19" s="265">
        <f>N(U18)-(N(U11)-N(U16)-0)</f>
        <v>0</v>
      </c>
      <c r="V19" s="265">
        <f>N(V18)-(N(V11)-N(V16)-0)</f>
        <v>0</v>
      </c>
      <c r="X19" s="265">
        <f>N(X18)-(N(X11)-N(X16)-0)</f>
        <v>0</v>
      </c>
      <c r="Y19" s="265">
        <f>N(Y18)-(N(Y11)-N(Y16)-0)</f>
        <v>0</v>
      </c>
      <c r="Z19" s="265">
        <f>N(Z18)-(N(Z11)-N(Z16)-0)</f>
        <v>0</v>
      </c>
      <c r="AA19" s="265">
        <f>N(AA18)-(N(AA11)-N(AA16)-0)</f>
        <v>0</v>
      </c>
      <c r="AC19" s="265">
        <f>N(AC18)-(N(AC11)-N(AC16)-0)</f>
        <v>0</v>
      </c>
      <c r="AD19" s="265">
        <f>N(AD18)-(N(AD11)-N(AD16)-0)</f>
        <v>0</v>
      </c>
    </row>
    <row r="20">
      <c r="A20" t="inlineStr">
        <is>
          <t>Lucro líquido (check IS, código 44) · derivada · unid. moeda</t>
        </is>
      </c>
      <c r="B20" t="n">
        <v>44</v>
      </c>
      <c r="C20" t="inlineStr">
        <is>
          <t>Lucro líquido (check IS, código 44)</t>
        </is>
      </c>
      <c r="D20" s="265">
        <f>N(D18)</f>
        <v>17930000</v>
      </c>
      <c r="E20" s="265">
        <f>N(E18)</f>
        <v>18525000</v>
      </c>
      <c r="F20" s="265">
        <f>N(F18)</f>
        <v>18936000</v>
      </c>
      <c r="G20" s="265">
        <f>N(G18)</f>
        <v>20642000</v>
      </c>
      <c r="I20" s="265">
        <f>N(I18)</f>
        <v>16436000</v>
      </c>
      <c r="J20" s="265">
        <f>N(J18)</f>
        <v>16002000</v>
      </c>
      <c r="K20" s="265">
        <f>N(K18)</f>
        <v>13910000</v>
      </c>
      <c r="L20" s="265">
        <f>N(L18)</f>
        <v>13624000</v>
      </c>
      <c r="N20" s="265">
        <f>N(N18)</f>
        <v>15051000</v>
      </c>
      <c r="O20" s="265">
        <f>N(O18)</f>
        <v>18368000</v>
      </c>
      <c r="P20" s="265">
        <f>N(P18)</f>
        <v>19689000</v>
      </c>
      <c r="Q20" s="265">
        <f>N(Q18)</f>
        <v>20687000</v>
      </c>
      <c r="S20" s="265">
        <f>N(S18)</f>
        <v>23662000</v>
      </c>
      <c r="T20" s="265">
        <f>N(T18)</f>
        <v>23619000</v>
      </c>
      <c r="U20" s="265">
        <f>N(U18)</f>
        <v>26301000</v>
      </c>
      <c r="V20" s="265">
        <f>N(V18)</f>
        <v>26536000</v>
      </c>
      <c r="X20" s="265">
        <f>N(X18)</f>
        <v>34540000</v>
      </c>
      <c r="Y20" s="265">
        <f>N(Y18)</f>
        <v>28196000</v>
      </c>
      <c r="Z20" s="265">
        <f>N(Z18)</f>
        <v>34979000</v>
      </c>
      <c r="AA20" s="265">
        <f>N(AA18)</f>
        <v>34455000</v>
      </c>
      <c r="AC20" s="265">
        <f>N(AC18)</f>
        <v>62578000</v>
      </c>
      <c r="AD20" s="265">
        <f>N(AD18)</f>
        <v>112193000</v>
      </c>
    </row>
    <row r="21">
      <c r="A21" t="inlineStr">
        <is>
          <t>DFC - trimestre isolado (desacumulado na extração)</t>
        </is>
      </c>
      <c r="C21" t="inlineStr">
        <is>
          <t>[linha bruta, sem código; lançada nas linhas abaixo]</t>
        </is>
      </c>
      <c r="D21" s="265" t="n"/>
      <c r="E21" s="265" t="n"/>
      <c r="F21" s="265" t="n"/>
      <c r="G21" s="265" t="n"/>
      <c r="I21" s="265" t="n"/>
      <c r="J21" s="265" t="n"/>
      <c r="K21" s="265" t="n"/>
      <c r="L21" s="265" t="n"/>
      <c r="N21" s="265" t="n"/>
      <c r="O21" s="265" t="n"/>
      <c r="P21" s="265" t="n"/>
      <c r="Q21" s="265" t="n"/>
      <c r="S21" s="265" t="n"/>
      <c r="T21" s="265" t="n"/>
      <c r="U21" s="265" t="n"/>
      <c r="V21" s="265" t="n"/>
      <c r="X21" s="265" t="n"/>
      <c r="Y21" s="265" t="n"/>
      <c r="Z21" s="265" t="n"/>
      <c r="AA21" s="265" t="n"/>
      <c r="AC21" s="265" t="n"/>
      <c r="AD21" s="265" t="n"/>
    </row>
    <row r="22">
      <c r="A22" t="inlineStr">
        <is>
          <t>D&amp;A (fluxo de caixa). COD1=4 lança (positivo -&gt; -1); COD2=3 devolve às despesas operacionais (a companhia não abre D&amp;A entre custo e despesa) [us-gaap:DepreciationAmortizationAndImpairmentOnDispositionOfPropertyAndEquipment/DepreciationAndImpairmentOnDispositionOfPropertyAndEquipment] · fonte · unid. moeda</t>
        </is>
      </c>
      <c r="C22" t="inlineStr">
        <is>
          <t>[linha bruta, sem código; lançada nas linhas abaixo]</t>
        </is>
      </c>
      <c r="D22" s="265" t="n">
        <v>2525000</v>
      </c>
      <c r="E22" s="265" t="n">
        <v>2730000</v>
      </c>
      <c r="F22" s="265" t="n">
        <v>3085000</v>
      </c>
      <c r="G22" s="265" t="n">
        <v>3215000</v>
      </c>
      <c r="I22" s="265" t="n">
        <v>3591000</v>
      </c>
      <c r="J22" s="265" t="n">
        <v>3698000</v>
      </c>
      <c r="K22" s="265" t="n">
        <v>3933000</v>
      </c>
      <c r="L22" s="265" t="n">
        <v>4065000</v>
      </c>
      <c r="N22" s="265" t="n">
        <v>3060000</v>
      </c>
      <c r="O22" s="265" t="n">
        <v>3279000</v>
      </c>
      <c r="P22" s="265" t="n">
        <v>3671000</v>
      </c>
      <c r="Q22" s="265" t="n">
        <v>3316000</v>
      </c>
      <c r="S22" s="265" t="n">
        <v>3413000</v>
      </c>
      <c r="T22" s="265" t="n">
        <v>3708000</v>
      </c>
      <c r="U22" s="265" t="n">
        <v>3985000</v>
      </c>
      <c r="V22" s="265" t="n">
        <v>4205000</v>
      </c>
      <c r="X22" s="265" t="n">
        <v>4487000</v>
      </c>
      <c r="Y22" s="265" t="n">
        <v>4998000</v>
      </c>
      <c r="Z22" s="265" t="n">
        <v>5611000</v>
      </c>
      <c r="AA22" s="265" t="n">
        <v>6040000</v>
      </c>
      <c r="AC22" s="265" t="n">
        <v>6482000</v>
      </c>
      <c r="AD22" s="265" t="n">
        <v>7104000</v>
      </c>
    </row>
    <row r="23">
      <c r="A23" t="inlineStr">
        <is>
          <t>(lançamento) código 4, sinal -1 sobre a linha bruta 22: D&amp;A (fluxo de caixa). COD1=4 lança (positivo -&gt; -1); COD2=3 devolve às despesas operaciona</t>
        </is>
      </c>
      <c r="B23" t="n">
        <v>4</v>
      </c>
      <c r="C23" t="inlineStr">
        <is>
          <t>D&amp;A</t>
        </is>
      </c>
      <c r="D23" s="265">
        <f>IF(D22="","",-1*D22)</f>
        <v>-2525000</v>
      </c>
      <c r="E23" s="265">
        <f>IF(E22="","",-1*E22)</f>
        <v>-2730000</v>
      </c>
      <c r="F23" s="265">
        <f>IF(F22="","",-1*F22)</f>
        <v>-3085000</v>
      </c>
      <c r="G23" s="265">
        <f>IF(G22="","",-1*G22)</f>
        <v>-3215000</v>
      </c>
      <c r="I23" s="265">
        <f>IF(I22="","",-1*I22)</f>
        <v>-3591000</v>
      </c>
      <c r="J23" s="265">
        <f>IF(J22="","",-1*J22)</f>
        <v>-3698000</v>
      </c>
      <c r="K23" s="265">
        <f>IF(K22="","",-1*K22)</f>
        <v>-3933000</v>
      </c>
      <c r="L23" s="265">
        <f>IF(L22="","",-1*L22)</f>
        <v>-4065000</v>
      </c>
      <c r="N23" s="265">
        <f>IF(N22="","",-1*N22)</f>
        <v>-3060000</v>
      </c>
      <c r="O23" s="265">
        <f>IF(O22="","",-1*O22)</f>
        <v>-3279000</v>
      </c>
      <c r="P23" s="265">
        <f>IF(P22="","",-1*P22)</f>
        <v>-3671000</v>
      </c>
      <c r="Q23" s="265">
        <f>IF(Q22="","",-1*Q22)</f>
        <v>-3316000</v>
      </c>
      <c r="S23" s="265">
        <f>IF(S22="","",-1*S22)</f>
        <v>-3413000</v>
      </c>
      <c r="T23" s="265">
        <f>IF(T22="","",-1*T22)</f>
        <v>-3708000</v>
      </c>
      <c r="U23" s="265">
        <f>IF(U22="","",-1*U22)</f>
        <v>-3985000</v>
      </c>
      <c r="V23" s="265">
        <f>IF(V22="","",-1*V22)</f>
        <v>-4205000</v>
      </c>
      <c r="X23" s="265">
        <f>IF(X22="","",-1*X22)</f>
        <v>-4487000</v>
      </c>
      <c r="Y23" s="265">
        <f>IF(Y22="","",-1*Y22)</f>
        <v>-4998000</v>
      </c>
      <c r="Z23" s="265">
        <f>IF(Z22="","",-1*Z22)</f>
        <v>-5611000</v>
      </c>
      <c r="AA23" s="265">
        <f>IF(AA22="","",-1*AA22)</f>
        <v>-6040000</v>
      </c>
      <c r="AC23" s="265">
        <f>IF(AC22="","",-1*AC22)</f>
        <v>-6482000</v>
      </c>
      <c r="AD23" s="265">
        <f>IF(AD22="","",-1*AD22)</f>
        <v>-7104000</v>
      </c>
    </row>
    <row r="24">
      <c r="A24" t="inlineStr">
        <is>
          <t>(lançamento) código 3, sinal +1 sobre a linha bruta 22: D&amp;A (fluxo de caixa). COD1=4 lança (positivo -&gt; -1); COD2=3 devolve às despesas operaciona</t>
        </is>
      </c>
      <c r="B24" t="n">
        <v>3</v>
      </c>
      <c r="C24" t="inlineStr">
        <is>
          <t>SG&amp;A and Other (cash)</t>
        </is>
      </c>
      <c r="D24" s="265">
        <f>IF(D22="","",D22)</f>
        <v>2525000</v>
      </c>
      <c r="E24" s="265">
        <f>IF(E22="","",E22)</f>
        <v>2730000</v>
      </c>
      <c r="F24" s="265">
        <f>IF(F22="","",F22)</f>
        <v>3085000</v>
      </c>
      <c r="G24" s="265">
        <f>IF(G22="","",G22)</f>
        <v>3215000</v>
      </c>
      <c r="I24" s="265">
        <f>IF(I22="","",I22)</f>
        <v>3591000</v>
      </c>
      <c r="J24" s="265">
        <f>IF(J22="","",J22)</f>
        <v>3698000</v>
      </c>
      <c r="K24" s="265">
        <f>IF(K22="","",K22)</f>
        <v>3933000</v>
      </c>
      <c r="L24" s="265">
        <f>IF(L22="","",L22)</f>
        <v>4065000</v>
      </c>
      <c r="N24" s="265">
        <f>IF(N22="","",N22)</f>
        <v>3060000</v>
      </c>
      <c r="O24" s="265">
        <f>IF(O22="","",O22)</f>
        <v>3279000</v>
      </c>
      <c r="P24" s="265">
        <f>IF(P22="","",P22)</f>
        <v>3671000</v>
      </c>
      <c r="Q24" s="265">
        <f>IF(Q22="","",Q22)</f>
        <v>3316000</v>
      </c>
      <c r="S24" s="265">
        <f>IF(S22="","",S22)</f>
        <v>3413000</v>
      </c>
      <c r="T24" s="265">
        <f>IF(T22="","",T22)</f>
        <v>3708000</v>
      </c>
      <c r="U24" s="265">
        <f>IF(U22="","",U22)</f>
        <v>3985000</v>
      </c>
      <c r="V24" s="265">
        <f>IF(V22="","",V22)</f>
        <v>4205000</v>
      </c>
      <c r="X24" s="265">
        <f>IF(X22="","",X22)</f>
        <v>4487000</v>
      </c>
      <c r="Y24" s="265">
        <f>IF(Y22="","",Y22)</f>
        <v>4998000</v>
      </c>
      <c r="Z24" s="265">
        <f>IF(Z22="","",Z22)</f>
        <v>5611000</v>
      </c>
      <c r="AA24" s="265">
        <f>IF(AA22="","",AA22)</f>
        <v>6040000</v>
      </c>
      <c r="AC24" s="265">
        <f>IF(AC22="","",AC22)</f>
        <v>6482000</v>
      </c>
      <c r="AD24" s="265">
        <f>IF(AD22="","",AD22)</f>
        <v>7104000</v>
      </c>
    </row>
    <row r="25">
      <c r="A25" t="inlineStr">
        <is>
          <t>Dividendos pagos [us-gaap:PaymentsOfDividends] · fonte · unid. moeda</t>
        </is>
      </c>
      <c r="C25" t="inlineStr">
        <is>
          <t>[linha bruta, sem código; lançada nas linhas abaixo]</t>
        </is>
      </c>
      <c r="D25" s="265" t="n">
        <v>0</v>
      </c>
      <c r="E25" s="265" t="n">
        <v>0</v>
      </c>
      <c r="F25" s="265" t="n">
        <v>0</v>
      </c>
      <c r="G25" s="265" t="n">
        <v>0</v>
      </c>
      <c r="I25" s="265" t="n">
        <v>0</v>
      </c>
      <c r="J25" s="265" t="n">
        <v>0</v>
      </c>
      <c r="K25" s="265" t="n">
        <v>0</v>
      </c>
      <c r="L25" s="265" t="n">
        <v>0</v>
      </c>
      <c r="N25" s="265" t="n">
        <v>0</v>
      </c>
      <c r="O25" s="265" t="n">
        <v>0</v>
      </c>
      <c r="P25" s="265" t="n">
        <v>0</v>
      </c>
      <c r="Q25" s="265" t="n">
        <v>0</v>
      </c>
      <c r="S25" s="265" t="n">
        <v>0</v>
      </c>
      <c r="T25" s="265" t="n">
        <v>2466000</v>
      </c>
      <c r="U25" s="265" t="n">
        <v>2455000</v>
      </c>
      <c r="V25" s="265" t="n">
        <v>2442000</v>
      </c>
      <c r="X25" s="265" t="n">
        <v>2434000</v>
      </c>
      <c r="Y25" s="265" t="n">
        <v>2543000</v>
      </c>
      <c r="Z25" s="265" t="n">
        <v>2536000</v>
      </c>
      <c r="AA25" s="265" t="n">
        <v>2536000</v>
      </c>
      <c r="AC25" s="265" t="n">
        <v>2542000</v>
      </c>
      <c r="AD25" s="265" t="n">
        <v>0</v>
      </c>
    </row>
    <row r="26">
      <c r="A26" t="inlineStr">
        <is>
          <t>(lançamento) código 10, sinal -1 sobre a linha bruta 25: Dividendos pagos [us-gaap:PaymentsOfDividends]</t>
        </is>
      </c>
      <c r="B26" t="n">
        <v>10</v>
      </c>
      <c r="C26" t="inlineStr">
        <is>
          <t>Common Dividends</t>
        </is>
      </c>
      <c r="D26" s="265">
        <f>IF(D25="","",-1*D25)</f>
        <v>0</v>
      </c>
      <c r="E26" s="265">
        <f>IF(E25="","",-1*E25)</f>
        <v>0</v>
      </c>
      <c r="F26" s="265">
        <f>IF(F25="","",-1*F25)</f>
        <v>0</v>
      </c>
      <c r="G26" s="265">
        <f>IF(G25="","",-1*G25)</f>
        <v>0</v>
      </c>
      <c r="I26" s="265">
        <f>IF(I25="","",-1*I25)</f>
        <v>0</v>
      </c>
      <c r="J26" s="265">
        <f>IF(J25="","",-1*J25)</f>
        <v>0</v>
      </c>
      <c r="K26" s="265">
        <f>IF(K25="","",-1*K25)</f>
        <v>0</v>
      </c>
      <c r="L26" s="265">
        <f>IF(L25="","",-1*L25)</f>
        <v>0</v>
      </c>
      <c r="N26" s="265">
        <f>IF(N25="","",-1*N25)</f>
        <v>0</v>
      </c>
      <c r="O26" s="265">
        <f>IF(O25="","",-1*O25)</f>
        <v>0</v>
      </c>
      <c r="P26" s="265">
        <f>IF(P25="","",-1*P25)</f>
        <v>0</v>
      </c>
      <c r="Q26" s="265">
        <f>IF(Q25="","",-1*Q25)</f>
        <v>0</v>
      </c>
      <c r="S26" s="265">
        <f>IF(S25="","",-1*S25)</f>
        <v>0</v>
      </c>
      <c r="T26" s="265">
        <f>IF(T25="","",-1*T25)</f>
        <v>-2466000</v>
      </c>
      <c r="U26" s="265">
        <f>IF(U25="","",-1*U25)</f>
        <v>-2455000</v>
      </c>
      <c r="V26" s="265">
        <f>IF(V25="","",-1*V25)</f>
        <v>-2442000</v>
      </c>
      <c r="X26" s="265">
        <f>IF(X25="","",-1*X25)</f>
        <v>-2434000</v>
      </c>
      <c r="Y26" s="265">
        <f>IF(Y25="","",-1*Y25)</f>
        <v>-2543000</v>
      </c>
      <c r="Z26" s="265">
        <f>IF(Z25="","",-1*Z25)</f>
        <v>-2536000</v>
      </c>
      <c r="AA26" s="265">
        <f>IF(AA25="","",-1*AA25)</f>
        <v>-2536000</v>
      </c>
      <c r="AC26" s="265">
        <f>IF(AC25="","",-1*AC25)</f>
        <v>-2542000</v>
      </c>
      <c r="AD26" s="265">
        <f>IF(AD25="","",-1*AD25)</f>
        <v>0</v>
      </c>
    </row>
    <row r="27">
      <c r="A27" t="inlineStr">
        <is>
          <t>BALANÇO DE FACE (USD, saldo no fim do trimestre; cada trimestre lido da instância do próprio 10-Q/10-K)</t>
        </is>
      </c>
      <c r="C27" t="inlineStr">
        <is>
          <t>[linha bruta, sem código; lançada nas linhas abaixo]</t>
        </is>
      </c>
      <c r="D27" s="265" t="n"/>
      <c r="E27" s="265" t="n"/>
      <c r="F27" s="265" t="n"/>
      <c r="G27" s="265" t="n"/>
      <c r="I27" s="265" t="n"/>
      <c r="J27" s="265" t="n"/>
      <c r="K27" s="265" t="n"/>
      <c r="L27" s="265" t="n"/>
      <c r="N27" s="265" t="n"/>
      <c r="O27" s="265" t="n"/>
      <c r="P27" s="265" t="n"/>
      <c r="Q27" s="265" t="n"/>
      <c r="S27" s="265" t="n"/>
      <c r="T27" s="265" t="n"/>
      <c r="U27" s="265" t="n"/>
      <c r="V27" s="265" t="n"/>
      <c r="X27" s="265" t="n"/>
      <c r="Y27" s="265" t="n"/>
      <c r="Z27" s="265" t="n"/>
      <c r="AA27" s="265" t="n"/>
      <c r="AC27" s="265" t="n"/>
      <c r="AD27" s="265" t="n"/>
    </row>
    <row r="28">
      <c r="A28" t="inlineStr">
        <is>
          <t>CashAndCashEquivalentsAtCarryingValue · fonte · unid. moeda</t>
        </is>
      </c>
      <c r="B28" t="n">
        <v>11</v>
      </c>
      <c r="C28" t="inlineStr">
        <is>
          <t>Cash and equivalents (inc. investment securities)</t>
        </is>
      </c>
      <c r="D28" s="265" t="n">
        <v>26622000</v>
      </c>
      <c r="E28" s="265" t="n">
        <v>23630000</v>
      </c>
      <c r="F28" s="265" t="n">
        <v>23719000</v>
      </c>
      <c r="G28" s="265" t="n">
        <v>20945000</v>
      </c>
      <c r="I28" s="265" t="n">
        <v>20886000</v>
      </c>
      <c r="J28" s="265" t="n">
        <v>17936000</v>
      </c>
      <c r="K28" s="265" t="n">
        <v>21984000</v>
      </c>
      <c r="L28" s="265" t="n">
        <v>21879000</v>
      </c>
      <c r="N28" s="265" t="n">
        <v>25924000</v>
      </c>
      <c r="O28" s="265" t="n">
        <v>25929000</v>
      </c>
      <c r="P28" s="265" t="n">
        <v>30702000</v>
      </c>
      <c r="Q28" s="265" t="n">
        <v>24048000</v>
      </c>
      <c r="S28" s="265" t="n">
        <v>24493000</v>
      </c>
      <c r="T28" s="265" t="n">
        <v>27225000</v>
      </c>
      <c r="U28" s="265" t="n">
        <v>19959000</v>
      </c>
      <c r="V28" s="265" t="n">
        <v>23466000</v>
      </c>
      <c r="X28" s="265" t="n">
        <v>23264000</v>
      </c>
      <c r="Y28" s="265" t="n">
        <v>21036000</v>
      </c>
      <c r="Z28" s="265" t="n">
        <v>23090000</v>
      </c>
      <c r="AA28" s="265" t="n">
        <v>30708000</v>
      </c>
      <c r="AC28" s="265" t="n">
        <v>38063000</v>
      </c>
      <c r="AD28" s="265" t="n">
        <v>55911000</v>
      </c>
    </row>
    <row r="29">
      <c r="A29" t="inlineStr">
        <is>
          <t>MarketableSecuritiesCurrent · fonte · unid. moeda</t>
        </is>
      </c>
      <c r="B29" t="n">
        <v>11</v>
      </c>
      <c r="C29" t="inlineStr">
        <is>
          <t>Cash and equivalents (inc. investment securities)</t>
        </is>
      </c>
      <c r="D29" s="265" t="n">
        <v>108482000</v>
      </c>
      <c r="E29" s="265" t="n">
        <v>112233000</v>
      </c>
      <c r="F29" s="265" t="n">
        <v>118284000</v>
      </c>
      <c r="G29" s="265" t="n">
        <v>118704000</v>
      </c>
      <c r="I29" s="265" t="n">
        <v>113084000</v>
      </c>
      <c r="J29" s="265" t="n">
        <v>107061000</v>
      </c>
      <c r="K29" s="265" t="n">
        <v>94275000</v>
      </c>
      <c r="L29" s="265" t="n">
        <v>91883000</v>
      </c>
      <c r="N29" s="265" t="n">
        <v>89178000</v>
      </c>
      <c r="O29" s="265" t="n">
        <v>92403000</v>
      </c>
      <c r="P29" s="265" t="n">
        <v>89233000</v>
      </c>
      <c r="Q29" s="265" t="n">
        <v>86868000</v>
      </c>
      <c r="S29" s="265" t="n">
        <v>83597000</v>
      </c>
      <c r="T29" s="265" t="n">
        <v>73500000</v>
      </c>
      <c r="U29" s="265" t="n">
        <v>73271000</v>
      </c>
      <c r="V29" s="265" t="n">
        <v>72191000</v>
      </c>
      <c r="X29" s="265" t="n">
        <v>72064000</v>
      </c>
      <c r="Y29" s="265" t="n">
        <v>74112000</v>
      </c>
      <c r="Z29" s="265" t="n">
        <v>75406000</v>
      </c>
      <c r="AA29" s="265" t="n">
        <v>96135000</v>
      </c>
      <c r="AC29" s="265" t="n">
        <v>88777000</v>
      </c>
      <c r="AD29" s="265" t="n">
        <v>186563000</v>
      </c>
    </row>
    <row r="30">
      <c r="A30" t="inlineStr">
        <is>
          <t>AccountsReceivableNetCurrent · fonte · unid. moeda</t>
        </is>
      </c>
      <c r="B30" t="n">
        <v>12</v>
      </c>
      <c r="C30" t="inlineStr">
        <is>
          <t>Accounts receivable</t>
        </is>
      </c>
      <c r="D30" s="265" t="n">
        <v>28006000</v>
      </c>
      <c r="E30" s="265" t="n">
        <v>31967000</v>
      </c>
      <c r="F30" s="265" t="n">
        <v>34047000</v>
      </c>
      <c r="G30" s="265" t="n">
        <v>39304000</v>
      </c>
      <c r="I30" s="265" t="n">
        <v>34703000</v>
      </c>
      <c r="J30" s="265" t="n">
        <v>35707000</v>
      </c>
      <c r="K30" s="265" t="n">
        <v>34697000</v>
      </c>
      <c r="L30" s="265" t="n">
        <v>40258000</v>
      </c>
      <c r="N30" s="265" t="n">
        <v>36036000</v>
      </c>
      <c r="O30" s="265" t="n">
        <v>38804000</v>
      </c>
      <c r="P30" s="265" t="n">
        <v>41020000</v>
      </c>
      <c r="Q30" s="265" t="n">
        <v>47964000</v>
      </c>
      <c r="S30" s="265" t="n">
        <v>44552000</v>
      </c>
      <c r="T30" s="265" t="n">
        <v>47087000</v>
      </c>
      <c r="U30" s="265" t="n">
        <v>49104000</v>
      </c>
      <c r="V30" s="265" t="n">
        <v>52340000</v>
      </c>
      <c r="X30" s="265" t="n">
        <v>51000000</v>
      </c>
      <c r="Y30" s="265" t="n">
        <v>55048000</v>
      </c>
      <c r="Z30" s="265" t="n">
        <v>57148000</v>
      </c>
      <c r="AA30" s="265" t="n">
        <v>62886000</v>
      </c>
      <c r="AC30" s="265" t="n">
        <v>62999000</v>
      </c>
      <c r="AD30" s="265" t="n">
        <v>69175000</v>
      </c>
    </row>
    <row r="31">
      <c r="A31" t="inlineStr">
        <is>
          <t>InventoryNet · fonte · unid. moeda</t>
        </is>
      </c>
      <c r="B31" t="n">
        <v>13</v>
      </c>
      <c r="C31" t="inlineStr">
        <is>
          <t>Inventories</t>
        </is>
      </c>
      <c r="D31" s="265" t="n">
        <v>888000</v>
      </c>
      <c r="E31" s="265" t="n">
        <v>907000</v>
      </c>
      <c r="F31" s="265" t="n">
        <v>1278000</v>
      </c>
      <c r="G31" s="265" t="n">
        <v>1170000</v>
      </c>
      <c r="I31" s="265" t="n">
        <v>1369000</v>
      </c>
      <c r="J31" s="265" t="n">
        <v>1980000</v>
      </c>
      <c r="K31" s="265" t="n">
        <v>3156000</v>
      </c>
      <c r="L31" s="265" t="n">
        <v>2670000</v>
      </c>
      <c r="N31" s="265" t="n">
        <v>2315000</v>
      </c>
      <c r="O31" s="265" t="n">
        <v>2231000</v>
      </c>
      <c r="P31" s="265" t="n">
        <v>2957000</v>
      </c>
      <c r="Q31" s="265" t="n">
        <v>0</v>
      </c>
      <c r="S31" s="265" t="n">
        <v>0</v>
      </c>
      <c r="T31" s="265" t="n">
        <v>0</v>
      </c>
      <c r="U31" s="265" t="n">
        <v>0</v>
      </c>
      <c r="V31" s="265" t="n">
        <v>0</v>
      </c>
      <c r="X31" s="265" t="n">
        <v>0</v>
      </c>
      <c r="Y31" s="265" t="n">
        <v>0</v>
      </c>
      <c r="Z31" s="265" t="n">
        <v>0</v>
      </c>
      <c r="AA31" s="265" t="n">
        <v>0</v>
      </c>
      <c r="AC31" s="265" t="n">
        <v>0</v>
      </c>
      <c r="AD31" s="265" t="n">
        <v>9991000</v>
      </c>
    </row>
    <row r="32">
      <c r="A32" t="inlineStr">
        <is>
          <t>DeferredIncomeTaxAssetsNet · fonte · unid. moeda</t>
        </is>
      </c>
      <c r="B32" t="n">
        <v>14</v>
      </c>
      <c r="C32" t="inlineStr">
        <is>
          <t>Deferred income taxes</t>
        </is>
      </c>
      <c r="D32" s="265" t="n">
        <v>1129000</v>
      </c>
      <c r="E32" s="265" t="n">
        <v>1153000</v>
      </c>
      <c r="F32" s="265" t="n">
        <v>1195000</v>
      </c>
      <c r="G32" s="265" t="n">
        <v>1284000</v>
      </c>
      <c r="I32" s="265" t="n">
        <v>1388000</v>
      </c>
      <c r="J32" s="265" t="n">
        <v>1490000</v>
      </c>
      <c r="K32" s="265" t="n">
        <v>2991000</v>
      </c>
      <c r="L32" s="265" t="n">
        <v>5261000</v>
      </c>
      <c r="N32" s="265" t="n">
        <v>6885000</v>
      </c>
      <c r="O32" s="265" t="n">
        <v>9357000</v>
      </c>
      <c r="P32" s="265" t="n">
        <v>10983000</v>
      </c>
      <c r="Q32" s="265" t="n">
        <v>12169000</v>
      </c>
      <c r="S32" s="265" t="n">
        <v>11687000</v>
      </c>
      <c r="T32" s="265" t="n">
        <v>14958000</v>
      </c>
      <c r="U32" s="265" t="n">
        <v>15915000</v>
      </c>
      <c r="V32" s="265" t="n">
        <v>17180000</v>
      </c>
      <c r="X32" s="265" t="n">
        <v>18386000</v>
      </c>
      <c r="Y32" s="265" t="n">
        <v>19289000</v>
      </c>
      <c r="Z32" s="265" t="n">
        <v>10331000</v>
      </c>
      <c r="AA32" s="265" t="n">
        <v>9113000</v>
      </c>
      <c r="AC32" s="265" t="n">
        <v>1995000</v>
      </c>
      <c r="AD32" s="265" t="n">
        <v>1448000</v>
      </c>
    </row>
    <row r="33">
      <c r="A33" t="inlineStr">
        <is>
          <t>IncomeTaxesReceivable · fonte · unid. moeda</t>
        </is>
      </c>
      <c r="B33" t="n">
        <v>16</v>
      </c>
      <c r="C33" t="inlineStr">
        <is>
          <t>Other current assets</t>
        </is>
      </c>
      <c r="D33" s="265" t="n">
        <v>493000</v>
      </c>
      <c r="E33" s="265" t="n">
        <v>884000</v>
      </c>
      <c r="F33" s="265" t="n">
        <v>753000</v>
      </c>
      <c r="G33" s="265" t="n">
        <v>966000</v>
      </c>
      <c r="I33" s="265" t="n">
        <v>919000</v>
      </c>
      <c r="J33" s="265" t="n">
        <v>1366000</v>
      </c>
      <c r="K33" s="265" t="n">
        <v>1479000</v>
      </c>
      <c r="L33" s="265" t="n">
        <v>0</v>
      </c>
      <c r="N33" s="265" t="n">
        <v>0</v>
      </c>
      <c r="O33" s="265" t="n">
        <v>0</v>
      </c>
      <c r="P33" s="265" t="n">
        <v>0</v>
      </c>
      <c r="Q33" s="265" t="n">
        <v>0</v>
      </c>
      <c r="S33" s="265" t="n">
        <v>0</v>
      </c>
      <c r="T33" s="265" t="n">
        <v>0</v>
      </c>
      <c r="U33" s="265" t="n">
        <v>0</v>
      </c>
      <c r="V33" s="265" t="n">
        <v>0</v>
      </c>
      <c r="X33" s="265" t="n">
        <v>0</v>
      </c>
      <c r="Y33" s="265" t="n">
        <v>0</v>
      </c>
      <c r="Z33" s="265" t="n">
        <v>0</v>
      </c>
      <c r="AA33" s="265" t="n">
        <v>0</v>
      </c>
      <c r="AC33" s="265" t="n">
        <v>0</v>
      </c>
      <c r="AD33" s="265" t="n">
        <v>0</v>
      </c>
    </row>
    <row r="34">
      <c r="A34" t="inlineStr">
        <is>
          <t>OtherAssetsCurrent · fonte · unid. moeda</t>
        </is>
      </c>
      <c r="B34" t="n">
        <v>16</v>
      </c>
      <c r="C34" t="inlineStr">
        <is>
          <t>Other current assets</t>
        </is>
      </c>
      <c r="D34" s="265" t="n">
        <v>7646000</v>
      </c>
      <c r="E34" s="265" t="n">
        <v>6076000</v>
      </c>
      <c r="F34" s="265" t="n">
        <v>6029000</v>
      </c>
      <c r="G34" s="265" t="n">
        <v>7054000</v>
      </c>
      <c r="I34" s="265" t="n">
        <v>6892000</v>
      </c>
      <c r="J34" s="265" t="n">
        <v>8321000</v>
      </c>
      <c r="K34" s="265" t="n">
        <v>10518000</v>
      </c>
      <c r="L34" s="265" t="n">
        <v>8105000</v>
      </c>
      <c r="N34" s="265" t="n">
        <v>8532000</v>
      </c>
      <c r="O34" s="265" t="n">
        <v>9421000</v>
      </c>
      <c r="P34" s="265" t="n">
        <v>12398000</v>
      </c>
      <c r="Q34" s="265" t="n">
        <v>12650000</v>
      </c>
      <c r="S34" s="265" t="n">
        <v>12829000</v>
      </c>
      <c r="T34" s="265" t="n">
        <v>14183000</v>
      </c>
      <c r="U34" s="265" t="n">
        <v>15207000</v>
      </c>
      <c r="V34" s="265" t="n">
        <v>15714000</v>
      </c>
      <c r="X34" s="265" t="n">
        <v>15724000</v>
      </c>
      <c r="Y34" s="265" t="n">
        <v>16020000</v>
      </c>
      <c r="Z34" s="265" t="n">
        <v>18303000</v>
      </c>
      <c r="AA34" s="265" t="n">
        <v>16309000</v>
      </c>
      <c r="AC34" s="265" t="n">
        <v>23914000</v>
      </c>
      <c r="AD34" s="265" t="n">
        <v>21884000</v>
      </c>
    </row>
    <row r="35">
      <c r="A35" t="inlineStr">
        <is>
          <t>PropertyPlantandEquipmentandFinanceLeaseRightofUseAssetafterAccumulatedDepreciationandAmortization · fonte · unid. moeda</t>
        </is>
      </c>
      <c r="B35" t="n">
        <v>18</v>
      </c>
      <c r="C35" t="inlineStr">
        <is>
          <t>PP&amp;E</t>
        </is>
      </c>
      <c r="D35" s="265" t="n">
        <v>0</v>
      </c>
      <c r="E35" s="265" t="n">
        <v>0</v>
      </c>
      <c r="F35" s="265" t="n">
        <v>0</v>
      </c>
      <c r="G35" s="265" t="n">
        <v>0</v>
      </c>
      <c r="I35" s="265" t="n">
        <v>0</v>
      </c>
      <c r="J35" s="265" t="n">
        <v>0</v>
      </c>
      <c r="K35" s="265" t="n">
        <v>0</v>
      </c>
      <c r="L35" s="265" t="n">
        <v>0</v>
      </c>
      <c r="N35" s="265" t="n">
        <v>0</v>
      </c>
      <c r="O35" s="265" t="n">
        <v>0</v>
      </c>
      <c r="P35" s="265" t="n">
        <v>0</v>
      </c>
      <c r="Q35" s="265" t="n">
        <v>0</v>
      </c>
      <c r="S35" s="265" t="n">
        <v>0</v>
      </c>
      <c r="T35" s="265" t="n">
        <v>0</v>
      </c>
      <c r="U35" s="265" t="n">
        <v>0</v>
      </c>
      <c r="V35" s="265" t="n">
        <v>0</v>
      </c>
      <c r="X35" s="265" t="n">
        <v>0</v>
      </c>
      <c r="Y35" s="265" t="n">
        <v>0</v>
      </c>
      <c r="Z35" s="265" t="n">
        <v>0</v>
      </c>
      <c r="AA35" s="265" t="n">
        <v>0</v>
      </c>
      <c r="AC35" s="265" t="n">
        <v>0</v>
      </c>
      <c r="AD35" s="265" t="n">
        <v>0</v>
      </c>
    </row>
    <row r="36">
      <c r="A36" t="inlineStr">
        <is>
          <t>PropertyPlantAndEquipmentAndFinanceLeaseRightOfUseAssetAfterAccumulatedDepreciationAndAmortization · fonte · unid. moeda</t>
        </is>
      </c>
      <c r="B36" t="n">
        <v>18</v>
      </c>
      <c r="C36" t="inlineStr">
        <is>
          <t>PP&amp;E</t>
        </is>
      </c>
      <c r="D36" s="265" t="n">
        <v>87606000</v>
      </c>
      <c r="E36" s="265" t="n">
        <v>91697000</v>
      </c>
      <c r="F36" s="265" t="n">
        <v>94631000</v>
      </c>
      <c r="G36" s="265" t="n">
        <v>0</v>
      </c>
      <c r="I36" s="265" t="n">
        <v>104218000</v>
      </c>
      <c r="J36" s="265" t="n">
        <v>106223000</v>
      </c>
      <c r="K36" s="265" t="n">
        <v>108363000</v>
      </c>
      <c r="L36" s="265" t="n">
        <v>0</v>
      </c>
      <c r="N36" s="265" t="n">
        <v>117560000</v>
      </c>
      <c r="O36" s="265" t="n">
        <v>121208000</v>
      </c>
      <c r="P36" s="265" t="n">
        <v>125705000</v>
      </c>
      <c r="Q36" s="265" t="n">
        <v>0</v>
      </c>
      <c r="S36" s="265" t="n">
        <v>0</v>
      </c>
      <c r="T36" s="265" t="n">
        <v>0</v>
      </c>
      <c r="U36" s="265" t="n">
        <v>0</v>
      </c>
      <c r="V36" s="265" t="n">
        <v>0</v>
      </c>
      <c r="X36" s="265" t="n">
        <v>0</v>
      </c>
      <c r="Y36" s="265" t="n">
        <v>203231000</v>
      </c>
      <c r="Z36" s="265" t="n">
        <v>223787000</v>
      </c>
      <c r="AA36" s="265" t="n">
        <v>246597000</v>
      </c>
      <c r="AC36" s="265" t="n">
        <v>281020000</v>
      </c>
      <c r="AD36" s="265" t="n">
        <v>321212000</v>
      </c>
    </row>
    <row r="37">
      <c r="A37" t="inlineStr">
        <is>
          <t>PropertyPlantAndEquipmentNet · fonte · unid. moeda</t>
        </is>
      </c>
      <c r="B37" t="n">
        <v>18</v>
      </c>
      <c r="C37" t="inlineStr">
        <is>
          <t>PP&amp;E</t>
        </is>
      </c>
      <c r="D37" s="265" t="n">
        <v>0</v>
      </c>
      <c r="E37" s="265" t="n">
        <v>0</v>
      </c>
      <c r="F37" s="265" t="n">
        <v>0</v>
      </c>
      <c r="G37" s="265" t="n">
        <v>97599000</v>
      </c>
      <c r="I37" s="265" t="n">
        <v>0</v>
      </c>
      <c r="J37" s="265" t="n">
        <v>0</v>
      </c>
      <c r="K37" s="265" t="n">
        <v>0</v>
      </c>
      <c r="L37" s="265" t="n">
        <v>112668000</v>
      </c>
      <c r="N37" s="265" t="n">
        <v>0</v>
      </c>
      <c r="O37" s="265" t="n">
        <v>0</v>
      </c>
      <c r="P37" s="265" t="n">
        <v>0</v>
      </c>
      <c r="Q37" s="265" t="n">
        <v>134345000</v>
      </c>
      <c r="S37" s="265" t="n">
        <v>143182000</v>
      </c>
      <c r="T37" s="265" t="n">
        <v>151155000</v>
      </c>
      <c r="U37" s="265" t="n">
        <v>161270000</v>
      </c>
      <c r="V37" s="265" t="n">
        <v>171036000</v>
      </c>
      <c r="X37" s="265" t="n">
        <v>185062000</v>
      </c>
      <c r="Y37" s="265" t="n">
        <v>0</v>
      </c>
      <c r="Z37" s="265" t="n">
        <v>0</v>
      </c>
      <c r="AA37" s="265" t="n">
        <v>0</v>
      </c>
      <c r="AC37" s="265" t="n">
        <v>0</v>
      </c>
      <c r="AD37" s="265" t="n">
        <v>0</v>
      </c>
    </row>
    <row r="38">
      <c r="A38" t="inlineStr">
        <is>
          <t>OperatingLeaseRightOfUseAsset · fonte · unid. moeda</t>
        </is>
      </c>
      <c r="B38" t="n">
        <v>19</v>
      </c>
      <c r="C38" t="inlineStr">
        <is>
          <t>Right-of-use-assets</t>
        </is>
      </c>
      <c r="D38" s="265" t="n">
        <v>12598000</v>
      </c>
      <c r="E38" s="265" t="n">
        <v>12978000</v>
      </c>
      <c r="F38" s="265" t="n">
        <v>12918000</v>
      </c>
      <c r="G38" s="265" t="n">
        <v>12959000</v>
      </c>
      <c r="I38" s="265" t="n">
        <v>12992000</v>
      </c>
      <c r="J38" s="265" t="n">
        <v>13398000</v>
      </c>
      <c r="K38" s="265" t="n">
        <v>13677000</v>
      </c>
      <c r="L38" s="265" t="n">
        <v>14381000</v>
      </c>
      <c r="N38" s="265" t="n">
        <v>14447000</v>
      </c>
      <c r="O38" s="265" t="n">
        <v>14469000</v>
      </c>
      <c r="P38" s="265" t="n">
        <v>14199000</v>
      </c>
      <c r="Q38" s="265" t="n">
        <v>14091000</v>
      </c>
      <c r="S38" s="265" t="n">
        <v>13768000</v>
      </c>
      <c r="T38" s="265" t="n">
        <v>13606000</v>
      </c>
      <c r="U38" s="265" t="n">
        <v>13561000</v>
      </c>
      <c r="V38" s="265" t="n">
        <v>13588000</v>
      </c>
      <c r="X38" s="265" t="n">
        <v>13722000</v>
      </c>
      <c r="Y38" s="265" t="n">
        <v>14255000</v>
      </c>
      <c r="Z38" s="265" t="n">
        <v>14524000</v>
      </c>
      <c r="AA38" s="265" t="n">
        <v>15221000</v>
      </c>
      <c r="AC38" s="265" t="n">
        <v>15509000</v>
      </c>
      <c r="AD38" s="265" t="n">
        <v>17694000</v>
      </c>
    </row>
    <row r="39">
      <c r="A39" t="inlineStr">
        <is>
          <t>Goodwill · fonte · unid. moeda</t>
        </is>
      </c>
      <c r="B39" t="n">
        <v>20</v>
      </c>
      <c r="C39" t="inlineStr">
        <is>
          <t>Goodwill</t>
        </is>
      </c>
      <c r="D39" s="265" t="n">
        <v>22341000</v>
      </c>
      <c r="E39" s="265" t="n">
        <v>22406000</v>
      </c>
      <c r="F39" s="265" t="n">
        <v>22623000</v>
      </c>
      <c r="G39" s="265" t="n">
        <v>22956000</v>
      </c>
      <c r="I39" s="265" t="n">
        <v>23010000</v>
      </c>
      <c r="J39" s="265" t="n">
        <v>23949000</v>
      </c>
      <c r="K39" s="265" t="n">
        <v>28834000</v>
      </c>
      <c r="L39" s="265" t="n">
        <v>28960000</v>
      </c>
      <c r="N39" s="265" t="n">
        <v>28994000</v>
      </c>
      <c r="O39" s="265" t="n">
        <v>29210000</v>
      </c>
      <c r="P39" s="265" t="n">
        <v>29146000</v>
      </c>
      <c r="Q39" s="265" t="n">
        <v>29198000</v>
      </c>
      <c r="S39" s="265" t="n">
        <v>29183000</v>
      </c>
      <c r="T39" s="265" t="n">
        <v>29185000</v>
      </c>
      <c r="U39" s="265" t="n">
        <v>31935000</v>
      </c>
      <c r="V39" s="265" t="n">
        <v>31885000</v>
      </c>
      <c r="X39" s="265" t="n">
        <v>32173000</v>
      </c>
      <c r="Y39" s="265" t="n">
        <v>32335000</v>
      </c>
      <c r="Z39" s="265" t="n">
        <v>33269000</v>
      </c>
      <c r="AA39" s="265" t="n">
        <v>33380000</v>
      </c>
      <c r="AC39" s="265" t="n">
        <v>57774000</v>
      </c>
      <c r="AD39" s="265" t="n">
        <v>57828000</v>
      </c>
    </row>
    <row r="40">
      <c r="A40" t="inlineStr">
        <is>
          <t>IntangibleAssetsNetExcludingGoodwill · fonte · unid. moeda</t>
        </is>
      </c>
      <c r="B40" t="n">
        <v>21</v>
      </c>
      <c r="C40" t="inlineStr">
        <is>
          <t>Intangibles</t>
        </is>
      </c>
      <c r="D40" s="265" t="n">
        <v>1823000</v>
      </c>
      <c r="E40" s="265" t="n">
        <v>1626000</v>
      </c>
      <c r="F40" s="265" t="n">
        <v>1549000</v>
      </c>
      <c r="G40" s="265" t="n">
        <v>1417000</v>
      </c>
      <c r="I40" s="265" t="n">
        <v>1313000</v>
      </c>
      <c r="J40" s="265" t="n">
        <v>1377000</v>
      </c>
      <c r="K40" s="265" t="n">
        <v>2192000</v>
      </c>
      <c r="L40" s="265" t="n">
        <v>2084000</v>
      </c>
      <c r="N40" s="265" t="n">
        <v>1968000</v>
      </c>
      <c r="O40" s="265" t="n">
        <v>1966000</v>
      </c>
      <c r="P40" s="265" t="n">
        <v>1833000</v>
      </c>
      <c r="Q40" s="265" t="n">
        <v>0</v>
      </c>
      <c r="S40" s="265" t="n">
        <v>0</v>
      </c>
      <c r="T40" s="265" t="n">
        <v>0</v>
      </c>
      <c r="U40" s="265" t="n">
        <v>0</v>
      </c>
      <c r="V40" s="265" t="n">
        <v>0</v>
      </c>
      <c r="X40" s="265" t="n">
        <v>0</v>
      </c>
      <c r="Y40" s="265" t="n">
        <v>0</v>
      </c>
      <c r="Z40" s="265" t="n">
        <v>0</v>
      </c>
      <c r="AA40" s="265" t="n">
        <v>0</v>
      </c>
      <c r="AC40" s="265" t="n">
        <v>9444000</v>
      </c>
      <c r="AD40" s="265" t="n">
        <v>9105000</v>
      </c>
    </row>
    <row r="41">
      <c r="A41" t="inlineStr">
        <is>
          <t>OtherLongTermInvestments · fonte · unid. moeda</t>
        </is>
      </c>
      <c r="B41" t="n">
        <v>22</v>
      </c>
      <c r="C41" t="inlineStr">
        <is>
          <t>Other non-current assets</t>
        </is>
      </c>
      <c r="D41" s="265" t="n">
        <v>25294000</v>
      </c>
      <c r="E41" s="265" t="n">
        <v>25532000</v>
      </c>
      <c r="F41" s="265" t="n">
        <v>26101000</v>
      </c>
      <c r="G41" s="265" t="n">
        <v>29549000</v>
      </c>
      <c r="I41" s="265" t="n">
        <v>30544000</v>
      </c>
      <c r="J41" s="265" t="n">
        <v>30665000</v>
      </c>
      <c r="K41" s="265" t="n">
        <v>30419000</v>
      </c>
      <c r="L41" s="265" t="n">
        <v>30492000</v>
      </c>
      <c r="N41" s="265" t="n">
        <v>31213000</v>
      </c>
      <c r="O41" s="265" t="n">
        <v>31224000</v>
      </c>
      <c r="P41" s="265" t="n">
        <v>30907000</v>
      </c>
      <c r="Q41" s="265" t="n">
        <v>31008000</v>
      </c>
      <c r="S41" s="265" t="n">
        <v>33994000</v>
      </c>
      <c r="T41" s="265" t="n">
        <v>34172000</v>
      </c>
      <c r="U41" s="265" t="n">
        <v>36177000</v>
      </c>
      <c r="V41" s="265" t="n">
        <v>37982000</v>
      </c>
      <c r="X41" s="265" t="n">
        <v>51029000</v>
      </c>
      <c r="Y41" s="265" t="n">
        <v>52574000</v>
      </c>
      <c r="Z41" s="265" t="n">
        <v>63800000</v>
      </c>
      <c r="AA41" s="265" t="n">
        <v>68687000</v>
      </c>
      <c r="AC41" s="265" t="n">
        <v>106946000</v>
      </c>
      <c r="AD41" s="265" t="n">
        <v>131461000</v>
      </c>
    </row>
    <row r="42">
      <c r="A42" t="inlineStr">
        <is>
          <t>OtherAssetsNoncurrent · fonte · unid. moeda</t>
        </is>
      </c>
      <c r="B42" t="n">
        <v>22</v>
      </c>
      <c r="C42" t="inlineStr">
        <is>
          <t>Other non-current assets</t>
        </is>
      </c>
      <c r="D42" s="265" t="n">
        <v>4167000</v>
      </c>
      <c r="E42" s="265" t="n">
        <v>4298000</v>
      </c>
      <c r="F42" s="265" t="n">
        <v>4276000</v>
      </c>
      <c r="G42" s="265" t="n">
        <v>5361000</v>
      </c>
      <c r="I42" s="265" t="n">
        <v>5778000</v>
      </c>
      <c r="J42" s="265" t="n">
        <v>5712000</v>
      </c>
      <c r="K42" s="265" t="n">
        <v>5670000</v>
      </c>
      <c r="L42" s="265" t="n">
        <v>6623000</v>
      </c>
      <c r="N42" s="265" t="n">
        <v>6439000</v>
      </c>
      <c r="O42" s="265" t="n">
        <v>6822000</v>
      </c>
      <c r="P42" s="265" t="n">
        <v>7628000</v>
      </c>
      <c r="Q42" s="265" t="n">
        <v>10051000</v>
      </c>
      <c r="S42" s="265" t="n">
        <v>10065000</v>
      </c>
      <c r="T42" s="265" t="n">
        <v>9699000</v>
      </c>
      <c r="U42" s="265" t="n">
        <v>13867000</v>
      </c>
      <c r="V42" s="265" t="n">
        <v>14874000</v>
      </c>
      <c r="X42" s="265" t="n">
        <v>12950000</v>
      </c>
      <c r="Y42" s="265" t="n">
        <v>14153000</v>
      </c>
      <c r="Z42" s="265" t="n">
        <v>16811000</v>
      </c>
      <c r="AA42" s="265" t="n">
        <v>16245000</v>
      </c>
      <c r="AC42" s="265" t="n">
        <v>17478000</v>
      </c>
      <c r="AD42" s="265" t="n">
        <v>39711000</v>
      </c>
    </row>
    <row r="43">
      <c r="A43" t="inlineStr">
        <is>
          <t>AccountsPayableCurrent · fonte · unid. moeda</t>
        </is>
      </c>
      <c r="B43" t="n">
        <v>23</v>
      </c>
      <c r="C43" t="inlineStr">
        <is>
          <t>Accounts payable</t>
        </is>
      </c>
      <c r="D43" s="265" t="n">
        <v>4801000</v>
      </c>
      <c r="E43" s="265" t="n">
        <v>4708000</v>
      </c>
      <c r="F43" s="265" t="n">
        <v>4616000</v>
      </c>
      <c r="G43" s="265" t="n">
        <v>6037000</v>
      </c>
      <c r="I43" s="265" t="n">
        <v>3436000</v>
      </c>
      <c r="J43" s="265" t="n">
        <v>4409000</v>
      </c>
      <c r="K43" s="265" t="n">
        <v>6303000</v>
      </c>
      <c r="L43" s="265" t="n">
        <v>5128000</v>
      </c>
      <c r="N43" s="265" t="n">
        <v>4184000</v>
      </c>
      <c r="O43" s="265" t="n">
        <v>5313000</v>
      </c>
      <c r="P43" s="265" t="n">
        <v>5803000</v>
      </c>
      <c r="Q43" s="265" t="n">
        <v>7493000</v>
      </c>
      <c r="S43" s="265" t="n">
        <v>6198000</v>
      </c>
      <c r="T43" s="265" t="n">
        <v>6092000</v>
      </c>
      <c r="U43" s="265" t="n">
        <v>7049000</v>
      </c>
      <c r="V43" s="265" t="n">
        <v>7987000</v>
      </c>
      <c r="X43" s="265" t="n">
        <v>8497000</v>
      </c>
      <c r="Y43" s="265" t="n">
        <v>8347000</v>
      </c>
      <c r="Z43" s="265" t="n">
        <v>10546000</v>
      </c>
      <c r="AA43" s="265" t="n">
        <v>12200000</v>
      </c>
      <c r="AC43" s="265" t="n">
        <v>16852000</v>
      </c>
      <c r="AD43" s="265" t="n">
        <v>20258000</v>
      </c>
    </row>
    <row r="44">
      <c r="A44" t="inlineStr">
        <is>
          <t>EmployeeRelatedLiabilitiesCurrent · fonte · unid. moeda</t>
        </is>
      </c>
      <c r="B44" t="n">
        <v>24</v>
      </c>
      <c r="C44" t="inlineStr">
        <is>
          <t>Accrued expenses</t>
        </is>
      </c>
      <c r="D44" s="265" t="n">
        <v>8375000</v>
      </c>
      <c r="E44" s="265" t="n">
        <v>10088000</v>
      </c>
      <c r="F44" s="265" t="n">
        <v>12170000</v>
      </c>
      <c r="G44" s="265" t="n">
        <v>13889000</v>
      </c>
      <c r="I44" s="265" t="n">
        <v>9803000</v>
      </c>
      <c r="J44" s="265" t="n">
        <v>10852000</v>
      </c>
      <c r="K44" s="265" t="n">
        <v>12366000</v>
      </c>
      <c r="L44" s="265" t="n">
        <v>14028000</v>
      </c>
      <c r="N44" s="265" t="n">
        <v>9954000</v>
      </c>
      <c r="O44" s="265" t="n">
        <v>11260000</v>
      </c>
      <c r="P44" s="265" t="n">
        <v>12562000</v>
      </c>
      <c r="Q44" s="265" t="n">
        <v>15140000</v>
      </c>
      <c r="S44" s="265" t="n">
        <v>9703000</v>
      </c>
      <c r="T44" s="265" t="n">
        <v>11373000</v>
      </c>
      <c r="U44" s="265" t="n">
        <v>12908000</v>
      </c>
      <c r="V44" s="265" t="n">
        <v>15069000</v>
      </c>
      <c r="X44" s="265" t="n">
        <v>9984000</v>
      </c>
      <c r="Y44" s="265" t="n">
        <v>12168000</v>
      </c>
      <c r="Z44" s="265" t="n">
        <v>13944000</v>
      </c>
      <c r="AA44" s="265" t="n">
        <v>17546000</v>
      </c>
      <c r="AC44" s="265" t="n">
        <v>13947000</v>
      </c>
      <c r="AD44" s="265" t="n">
        <v>15086000</v>
      </c>
    </row>
    <row r="45">
      <c r="A45" t="inlineStr">
        <is>
          <t>AccruedLiabilitiesCurrent · fonte · unid. moeda</t>
        </is>
      </c>
      <c r="B45" t="n">
        <v>24</v>
      </c>
      <c r="C45" t="inlineStr">
        <is>
          <t>Accrued expenses</t>
        </is>
      </c>
      <c r="D45" s="265" t="n">
        <v>30732000</v>
      </c>
      <c r="E45" s="265" t="n">
        <v>28981000</v>
      </c>
      <c r="F45" s="265" t="n">
        <v>30113000</v>
      </c>
      <c r="G45" s="265" t="n">
        <v>31236000</v>
      </c>
      <c r="I45" s="265" t="n">
        <v>33051000</v>
      </c>
      <c r="J45" s="265" t="n">
        <v>32976000</v>
      </c>
      <c r="K45" s="265" t="n">
        <v>35038000</v>
      </c>
      <c r="L45" s="265" t="n">
        <v>37866000</v>
      </c>
      <c r="N45" s="265" t="n">
        <v>43185000</v>
      </c>
      <c r="O45" s="265" t="n">
        <v>49300000</v>
      </c>
      <c r="P45" s="265" t="n">
        <v>55602000</v>
      </c>
      <c r="Q45" s="265" t="n">
        <v>46168000</v>
      </c>
      <c r="S45" s="265" t="n">
        <v>48603000</v>
      </c>
      <c r="T45" s="265" t="n">
        <v>47298000</v>
      </c>
      <c r="U45" s="265" t="n">
        <v>46585000</v>
      </c>
      <c r="V45" s="265" t="n">
        <v>51228000</v>
      </c>
      <c r="X45" s="265" t="n">
        <v>58300000</v>
      </c>
      <c r="Y45" s="265" t="n">
        <v>52039000</v>
      </c>
      <c r="Z45" s="265" t="n">
        <v>59437000</v>
      </c>
      <c r="AA45" s="265" t="n">
        <v>55557000</v>
      </c>
      <c r="AC45" s="265" t="n">
        <v>63019000</v>
      </c>
      <c r="AD45" s="265" t="n">
        <v>73014000</v>
      </c>
    </row>
    <row r="46">
      <c r="A46" t="inlineStr">
        <is>
          <t>AccruedRevenueShare · fonte · unid. moeda</t>
        </is>
      </c>
      <c r="B46" t="n">
        <v>24</v>
      </c>
      <c r="C46" t="inlineStr">
        <is>
          <t>Accrued expenses</t>
        </is>
      </c>
      <c r="D46" s="265" t="n">
        <v>6962000</v>
      </c>
      <c r="E46" s="265" t="n">
        <v>7438000</v>
      </c>
      <c r="F46" s="265" t="n">
        <v>7745000</v>
      </c>
      <c r="G46" s="265" t="n">
        <v>8996000</v>
      </c>
      <c r="I46" s="265" t="n">
        <v>8116000</v>
      </c>
      <c r="J46" s="265" t="n">
        <v>7889000</v>
      </c>
      <c r="K46" s="265" t="n">
        <v>7662000</v>
      </c>
      <c r="L46" s="265" t="n">
        <v>8370000</v>
      </c>
      <c r="N46" s="265" t="n">
        <v>7816000</v>
      </c>
      <c r="O46" s="265" t="n">
        <v>7990000</v>
      </c>
      <c r="P46" s="265" t="n">
        <v>8025000</v>
      </c>
      <c r="Q46" s="265" t="n">
        <v>8876000</v>
      </c>
      <c r="S46" s="265" t="n">
        <v>8520000</v>
      </c>
      <c r="T46" s="265" t="n">
        <v>8899000</v>
      </c>
      <c r="U46" s="265" t="n">
        <v>9365000</v>
      </c>
      <c r="V46" s="265" t="n">
        <v>9802000</v>
      </c>
      <c r="X46" s="265" t="n">
        <v>9965000</v>
      </c>
      <c r="Y46" s="265" t="n">
        <v>9787000</v>
      </c>
      <c r="Z46" s="265" t="n">
        <v>10081000</v>
      </c>
      <c r="AA46" s="265" t="n">
        <v>10864000</v>
      </c>
      <c r="AC46" s="265" t="n">
        <v>10208000</v>
      </c>
      <c r="AD46" s="265" t="n">
        <v>10599000</v>
      </c>
    </row>
    <row r="47">
      <c r="A47" t="inlineStr">
        <is>
          <t>AccruedIncomeTaxesCurrent · fonte · unid. moeda</t>
        </is>
      </c>
      <c r="B47" t="n">
        <v>25</v>
      </c>
      <c r="C47" t="inlineStr">
        <is>
          <t>Taxes payable</t>
        </is>
      </c>
      <c r="D47" s="265" t="n">
        <v>1893000</v>
      </c>
      <c r="E47" s="265" t="n">
        <v>1811000</v>
      </c>
      <c r="F47" s="265" t="n">
        <v>4170000</v>
      </c>
      <c r="G47" s="265" t="n">
        <v>808000</v>
      </c>
      <c r="I47" s="265" t="n">
        <v>4344000</v>
      </c>
      <c r="J47" s="265" t="n">
        <v>1956000</v>
      </c>
      <c r="K47" s="265" t="n">
        <v>1025000</v>
      </c>
      <c r="L47" s="265" t="n">
        <v>0</v>
      </c>
      <c r="N47" s="265" t="n">
        <v>0</v>
      </c>
      <c r="O47" s="265" t="n">
        <v>0</v>
      </c>
      <c r="P47" s="265" t="n">
        <v>0</v>
      </c>
      <c r="Q47" s="265" t="n">
        <v>0</v>
      </c>
      <c r="S47" s="265" t="n">
        <v>0</v>
      </c>
      <c r="T47" s="265" t="n">
        <v>0</v>
      </c>
      <c r="U47" s="265" t="n">
        <v>0</v>
      </c>
      <c r="V47" s="265" t="n">
        <v>0</v>
      </c>
      <c r="X47" s="265" t="n">
        <v>0</v>
      </c>
      <c r="Y47" s="265" t="n">
        <v>0</v>
      </c>
      <c r="Z47" s="265" t="n">
        <v>0</v>
      </c>
      <c r="AA47" s="265" t="n">
        <v>0</v>
      </c>
      <c r="AC47" s="265" t="n">
        <v>0</v>
      </c>
      <c r="AD47" s="265" t="n">
        <v>0</v>
      </c>
    </row>
    <row r="48">
      <c r="A48" t="inlineStr">
        <is>
          <t>ContractWithCustomerLiabilityCurrent · fonte · unid. moeda</t>
        </is>
      </c>
      <c r="B48" t="n">
        <v>26</v>
      </c>
      <c r="C48" t="inlineStr">
        <is>
          <t>Other current liabilities (non-debt)</t>
        </is>
      </c>
      <c r="D48" s="265" t="n">
        <v>2690000</v>
      </c>
      <c r="E48" s="265" t="n">
        <v>2715000</v>
      </c>
      <c r="F48" s="265" t="n">
        <v>2968000</v>
      </c>
      <c r="G48" s="265" t="n">
        <v>3288000</v>
      </c>
      <c r="I48" s="265" t="n">
        <v>3198000</v>
      </c>
      <c r="J48" s="265" t="n">
        <v>3272000</v>
      </c>
      <c r="K48" s="265" t="n">
        <v>3585000</v>
      </c>
      <c r="L48" s="265" t="n">
        <v>3908000</v>
      </c>
      <c r="N48" s="265" t="n">
        <v>3715000</v>
      </c>
      <c r="O48" s="265" t="n">
        <v>3846000</v>
      </c>
      <c r="P48" s="265" t="n">
        <v>4303000</v>
      </c>
      <c r="Q48" s="265" t="n">
        <v>4137000</v>
      </c>
      <c r="S48" s="265" t="n">
        <v>3973000</v>
      </c>
      <c r="T48" s="265" t="n">
        <v>4251000</v>
      </c>
      <c r="U48" s="265" t="n">
        <v>4896000</v>
      </c>
      <c r="V48" s="265" t="n">
        <v>5036000</v>
      </c>
      <c r="X48" s="265" t="n">
        <v>4908000</v>
      </c>
      <c r="Y48" s="265" t="n">
        <v>4969000</v>
      </c>
      <c r="Z48" s="265" t="n">
        <v>5542000</v>
      </c>
      <c r="AA48" s="265" t="n">
        <v>6578000</v>
      </c>
      <c r="AC48" s="265" t="n">
        <v>7162000</v>
      </c>
      <c r="AD48" s="265" t="n">
        <v>7154000</v>
      </c>
    </row>
    <row r="49">
      <c r="A49" t="inlineStr">
        <is>
          <t>LongTermDebtAndCapitalLeaseObligations · fonte · unid. moeda</t>
        </is>
      </c>
      <c r="B49" t="n">
        <v>30</v>
      </c>
      <c r="C49" t="inlineStr">
        <is>
          <t>Long term debt</t>
        </is>
      </c>
      <c r="D49" s="265" t="n">
        <v>13887000</v>
      </c>
      <c r="E49" s="265" t="n">
        <v>14328000</v>
      </c>
      <c r="F49" s="265" t="n">
        <v>14288000</v>
      </c>
      <c r="G49" s="265" t="n">
        <v>14817000</v>
      </c>
      <c r="I49" s="265" t="n">
        <v>14791000</v>
      </c>
      <c r="J49" s="265" t="n">
        <v>14734000</v>
      </c>
      <c r="K49" s="265" t="n">
        <v>14653000</v>
      </c>
      <c r="L49" s="265" t="n">
        <v>14701000</v>
      </c>
      <c r="N49" s="265" t="n">
        <v>13697000</v>
      </c>
      <c r="O49" s="265" t="n">
        <v>13705000</v>
      </c>
      <c r="P49" s="265" t="n">
        <v>13781000</v>
      </c>
      <c r="Q49" s="265" t="n">
        <v>13253000</v>
      </c>
      <c r="S49" s="265" t="n">
        <v>13228000</v>
      </c>
      <c r="T49" s="265" t="n">
        <v>13238000</v>
      </c>
      <c r="U49" s="265" t="n">
        <v>12297000</v>
      </c>
      <c r="V49" s="265" t="n">
        <v>10883000</v>
      </c>
      <c r="X49" s="265" t="n">
        <v>10886000</v>
      </c>
      <c r="Y49" s="265" t="n">
        <v>0</v>
      </c>
      <c r="Z49" s="265" t="n">
        <v>0</v>
      </c>
      <c r="AA49" s="265" t="n">
        <v>0</v>
      </c>
      <c r="AC49" s="265" t="n">
        <v>0</v>
      </c>
      <c r="AD49" s="265" t="n">
        <v>0</v>
      </c>
    </row>
    <row r="50">
      <c r="A50" t="inlineStr">
        <is>
          <t>LongTermDebtNoncurrent · fonte · unid. moeda</t>
        </is>
      </c>
      <c r="B50" t="n">
        <v>30</v>
      </c>
      <c r="C50" t="inlineStr">
        <is>
          <t>Long term debt</t>
        </is>
      </c>
      <c r="D50" s="265" t="n">
        <v>0</v>
      </c>
      <c r="E50" s="265" t="n">
        <v>0</v>
      </c>
      <c r="F50" s="265" t="n">
        <v>0</v>
      </c>
      <c r="G50" s="265" t="n">
        <v>0</v>
      </c>
      <c r="I50" s="265" t="n">
        <v>0</v>
      </c>
      <c r="J50" s="265" t="n">
        <v>0</v>
      </c>
      <c r="K50" s="265" t="n">
        <v>0</v>
      </c>
      <c r="L50" s="265" t="n">
        <v>0</v>
      </c>
      <c r="N50" s="265" t="n">
        <v>0</v>
      </c>
      <c r="O50" s="265" t="n">
        <v>0</v>
      </c>
      <c r="P50" s="265" t="n">
        <v>0</v>
      </c>
      <c r="Q50" s="265" t="n">
        <v>0</v>
      </c>
      <c r="S50" s="265" t="n">
        <v>0</v>
      </c>
      <c r="T50" s="265" t="n">
        <v>0</v>
      </c>
      <c r="U50" s="265" t="n">
        <v>0</v>
      </c>
      <c r="V50" s="265" t="n">
        <v>0</v>
      </c>
      <c r="X50" s="265" t="n">
        <v>0</v>
      </c>
      <c r="Y50" s="265" t="n">
        <v>23607000</v>
      </c>
      <c r="Z50" s="265" t="n">
        <v>21607000</v>
      </c>
      <c r="AA50" s="265" t="n">
        <v>46547000</v>
      </c>
      <c r="AC50" s="265" t="n">
        <v>77501000</v>
      </c>
      <c r="AD50" s="265" t="n">
        <v>98165000</v>
      </c>
    </row>
    <row r="51">
      <c r="A51" t="inlineStr">
        <is>
          <t>OperatingLeaseLiabilityNoncurrent · fonte · unid. moeda</t>
        </is>
      </c>
      <c r="B51" t="n">
        <v>31</v>
      </c>
      <c r="C51" t="inlineStr">
        <is>
          <t>Long term operating leases</t>
        </is>
      </c>
      <c r="D51" s="265" t="n">
        <v>11382000</v>
      </c>
      <c r="E51" s="265" t="n">
        <v>11619000</v>
      </c>
      <c r="F51" s="265" t="n">
        <v>11471000</v>
      </c>
      <c r="G51" s="265" t="n">
        <v>11389000</v>
      </c>
      <c r="I51" s="265" t="n">
        <v>11363000</v>
      </c>
      <c r="J51" s="265" t="n">
        <v>11697000</v>
      </c>
      <c r="K51" s="265" t="n">
        <v>11984000</v>
      </c>
      <c r="L51" s="265" t="n">
        <v>12501000</v>
      </c>
      <c r="N51" s="265" t="n">
        <v>12799000</v>
      </c>
      <c r="O51" s="265" t="n">
        <v>12746000</v>
      </c>
      <c r="P51" s="265" t="n">
        <v>12550000</v>
      </c>
      <c r="Q51" s="265" t="n">
        <v>12460000</v>
      </c>
      <c r="S51" s="265" t="n">
        <v>11957000</v>
      </c>
      <c r="T51" s="265" t="n">
        <v>11708000</v>
      </c>
      <c r="U51" s="265" t="n">
        <v>11654000</v>
      </c>
      <c r="V51" s="265" t="n">
        <v>11691000</v>
      </c>
      <c r="X51" s="265" t="n">
        <v>11678000</v>
      </c>
      <c r="Y51" s="265" t="n">
        <v>11952000</v>
      </c>
      <c r="Z51" s="265" t="n">
        <v>12106000</v>
      </c>
      <c r="AA51" s="265" t="n">
        <v>12744000</v>
      </c>
      <c r="AC51" s="265" t="n">
        <v>12983000</v>
      </c>
      <c r="AD51" s="265" t="n">
        <v>14591000</v>
      </c>
    </row>
    <row r="52">
      <c r="A52" t="inlineStr">
        <is>
          <t>DeferredIncomeTaxLiabilitiesNet · fonte · unid. moeda</t>
        </is>
      </c>
      <c r="B52" t="n">
        <v>33</v>
      </c>
      <c r="C52" t="inlineStr">
        <is>
          <t>Deferred income taxes</t>
        </is>
      </c>
      <c r="D52" s="265" t="n">
        <v>4406000</v>
      </c>
      <c r="E52" s="265" t="n">
        <v>4703000</v>
      </c>
      <c r="F52" s="265" t="n">
        <v>3551000</v>
      </c>
      <c r="G52" s="265" t="n">
        <v>5257000</v>
      </c>
      <c r="I52" s="265" t="n">
        <v>2843000</v>
      </c>
      <c r="J52" s="265" t="n">
        <v>924000</v>
      </c>
      <c r="K52" s="265" t="n">
        <v>476000</v>
      </c>
      <c r="L52" s="265" t="n">
        <v>514000</v>
      </c>
      <c r="N52" s="265" t="n">
        <v>542000</v>
      </c>
      <c r="O52" s="265" t="n">
        <v>558000</v>
      </c>
      <c r="P52" s="265" t="n">
        <v>528000</v>
      </c>
      <c r="Q52" s="265" t="n">
        <v>485000</v>
      </c>
      <c r="S52" s="265" t="n">
        <v>486000</v>
      </c>
      <c r="T52" s="265" t="n">
        <v>717000</v>
      </c>
      <c r="U52" s="265" t="n">
        <v>706000</v>
      </c>
      <c r="V52" s="265" t="n">
        <v>0</v>
      </c>
      <c r="X52" s="265" t="n">
        <v>0</v>
      </c>
      <c r="Y52" s="265" t="n">
        <v>0</v>
      </c>
      <c r="Z52" s="265" t="n">
        <v>0</v>
      </c>
      <c r="AA52" s="265" t="n">
        <v>0</v>
      </c>
      <c r="AC52" s="265" t="n">
        <v>0</v>
      </c>
      <c r="AD52" s="265" t="n">
        <v>22819000</v>
      </c>
    </row>
    <row r="53">
      <c r="A53" t="inlineStr">
        <is>
          <t>ContractWithCustomerLiabilityNoncurrent · fonte · unid. moeda</t>
        </is>
      </c>
      <c r="B53" t="n">
        <v>34</v>
      </c>
      <c r="C53" t="inlineStr">
        <is>
          <t>Other non-current liabilities</t>
        </is>
      </c>
      <c r="D53" s="265" t="n">
        <v>530000</v>
      </c>
      <c r="E53" s="265" t="n">
        <v>510000</v>
      </c>
      <c r="F53" s="265" t="n">
        <v>510000</v>
      </c>
      <c r="G53" s="265" t="n">
        <v>535000</v>
      </c>
      <c r="I53" s="265" t="n">
        <v>499000</v>
      </c>
      <c r="J53" s="265" t="n">
        <v>472000</v>
      </c>
      <c r="K53" s="265" t="n">
        <v>594000</v>
      </c>
      <c r="L53" s="265" t="n">
        <v>599000</v>
      </c>
      <c r="N53" s="265" t="n">
        <v>610000</v>
      </c>
      <c r="O53" s="265" t="n">
        <v>667000</v>
      </c>
      <c r="P53" s="265" t="n">
        <v>884000</v>
      </c>
      <c r="Q53" s="265" t="n">
        <v>911000</v>
      </c>
      <c r="S53" s="265" t="n">
        <v>921000</v>
      </c>
      <c r="T53" s="265" t="n">
        <v>985000</v>
      </c>
      <c r="U53" s="265" t="n">
        <v>1015000</v>
      </c>
      <c r="V53" s="265" t="n">
        <v>0</v>
      </c>
      <c r="X53" s="265" t="n">
        <v>0</v>
      </c>
      <c r="Y53" s="265" t="n">
        <v>0</v>
      </c>
      <c r="Z53" s="265" t="n">
        <v>0</v>
      </c>
      <c r="AA53" s="265" t="n">
        <v>0</v>
      </c>
      <c r="AC53" s="265" t="n">
        <v>0</v>
      </c>
      <c r="AD53" s="265" t="n">
        <v>0</v>
      </c>
    </row>
    <row r="54">
      <c r="A54" t="inlineStr">
        <is>
          <t>AccruedIncomeTaxesNoncurrent · fonte · unid. moeda</t>
        </is>
      </c>
      <c r="B54" t="n">
        <v>34</v>
      </c>
      <c r="C54" t="inlineStr">
        <is>
          <t>Other non-current liabilities</t>
        </is>
      </c>
      <c r="D54" s="265" t="n">
        <v>9278000</v>
      </c>
      <c r="E54" s="265" t="n">
        <v>8651000</v>
      </c>
      <c r="F54" s="265" t="n">
        <v>8984000</v>
      </c>
      <c r="G54" s="265" t="n">
        <v>9176000</v>
      </c>
      <c r="I54" s="265" t="n">
        <v>9406000</v>
      </c>
      <c r="J54" s="265" t="n">
        <v>8163000</v>
      </c>
      <c r="K54" s="265" t="n">
        <v>8572000</v>
      </c>
      <c r="L54" s="265" t="n">
        <v>9258000</v>
      </c>
      <c r="N54" s="265" t="n">
        <v>9722000</v>
      </c>
      <c r="O54" s="265" t="n">
        <v>8753000</v>
      </c>
      <c r="P54" s="265" t="n">
        <v>8038000</v>
      </c>
      <c r="Q54" s="265" t="n">
        <v>8474000</v>
      </c>
      <c r="S54" s="265" t="n">
        <v>9234000</v>
      </c>
      <c r="T54" s="265" t="n">
        <v>7703000</v>
      </c>
      <c r="U54" s="265" t="n">
        <v>8219000</v>
      </c>
      <c r="V54" s="265" t="n">
        <v>8782000</v>
      </c>
      <c r="X54" s="265" t="n">
        <v>9773000</v>
      </c>
      <c r="Y54" s="265" t="n">
        <v>10027000</v>
      </c>
      <c r="Z54" s="265" t="n">
        <v>10072000</v>
      </c>
      <c r="AA54" s="265" t="n">
        <v>9531000</v>
      </c>
      <c r="AC54" s="265" t="n">
        <v>12457000</v>
      </c>
      <c r="AD54" s="265" t="n">
        <v>11306000</v>
      </c>
    </row>
    <row r="55">
      <c r="A55" t="inlineStr">
        <is>
          <t>OtherLiabilitiesNoncurrent · fonte · unid. moeda</t>
        </is>
      </c>
      <c r="B55" t="n">
        <v>34</v>
      </c>
      <c r="C55" t="inlineStr">
        <is>
          <t>Other non-current liabilities</t>
        </is>
      </c>
      <c r="D55" s="265" t="n">
        <v>2146000</v>
      </c>
      <c r="E55" s="265" t="n">
        <v>2270000</v>
      </c>
      <c r="F55" s="265" t="n">
        <v>2250000</v>
      </c>
      <c r="G55" s="265" t="n">
        <v>2205000</v>
      </c>
      <c r="I55" s="265" t="n">
        <v>2242000</v>
      </c>
      <c r="J55" s="265" t="n">
        <v>2422000</v>
      </c>
      <c r="K55" s="265" t="n">
        <v>2371000</v>
      </c>
      <c r="L55" s="265" t="n">
        <v>2247000</v>
      </c>
      <c r="N55" s="265" t="n">
        <v>2373000</v>
      </c>
      <c r="O55" s="265" t="n">
        <v>1765000</v>
      </c>
      <c r="P55" s="265" t="n">
        <v>1433000</v>
      </c>
      <c r="Q55" s="265" t="n">
        <v>1616000</v>
      </c>
      <c r="S55" s="265" t="n">
        <v>1683000</v>
      </c>
      <c r="T55" s="265" t="n">
        <v>1753000</v>
      </c>
      <c r="U55" s="265" t="n">
        <v>1453000</v>
      </c>
      <c r="V55" s="265" t="n">
        <v>4694000</v>
      </c>
      <c r="X55" s="265" t="n">
        <v>6116000</v>
      </c>
      <c r="Y55" s="265" t="n">
        <v>6241000</v>
      </c>
      <c r="Z55" s="265" t="n">
        <v>6267000</v>
      </c>
      <c r="AA55" s="265" t="n">
        <v>8449000</v>
      </c>
      <c r="AC55" s="265" t="n">
        <v>11044000</v>
      </c>
      <c r="AD55" s="265" t="n">
        <v>8511000</v>
      </c>
    </row>
    <row r="56">
      <c r="A56" t="inlineStr">
        <is>
          <t>CommonStocksIncludingAdditionalPaidInCapital · fonte · unid. moeda</t>
        </is>
      </c>
      <c r="B56" t="n">
        <v>37</v>
      </c>
      <c r="C56" t="inlineStr">
        <is>
          <t>Common Stock and APIC</t>
        </is>
      </c>
      <c r="D56" s="265" t="n">
        <v>59436000</v>
      </c>
      <c r="E56" s="265" t="n">
        <v>60436000</v>
      </c>
      <c r="F56" s="265" t="n">
        <v>61193000</v>
      </c>
      <c r="G56" s="265" t="n">
        <v>61774000</v>
      </c>
      <c r="I56" s="265" t="n">
        <v>62832000</v>
      </c>
      <c r="J56" s="265" t="n">
        <v>64402000</v>
      </c>
      <c r="K56" s="265" t="n">
        <v>66258000</v>
      </c>
      <c r="L56" s="265" t="n">
        <v>68184000</v>
      </c>
      <c r="N56" s="265" t="n">
        <v>70269000</v>
      </c>
      <c r="O56" s="265" t="n">
        <v>72248000</v>
      </c>
      <c r="P56" s="265" t="n">
        <v>74591000</v>
      </c>
      <c r="Q56" s="265" t="n">
        <v>76534000</v>
      </c>
      <c r="S56" s="265" t="n">
        <v>77913000</v>
      </c>
      <c r="T56" s="265" t="n">
        <v>79732000</v>
      </c>
      <c r="U56" s="265" t="n">
        <v>82030000</v>
      </c>
      <c r="V56" s="265" t="n">
        <v>84800000</v>
      </c>
      <c r="X56" s="265" t="n">
        <v>86725000</v>
      </c>
      <c r="Y56" s="265" t="n">
        <v>89283000</v>
      </c>
      <c r="Z56" s="265" t="n">
        <v>91695000</v>
      </c>
      <c r="AA56" s="265" t="n">
        <v>93126000</v>
      </c>
      <c r="AC56" s="265" t="n">
        <v>96902000</v>
      </c>
      <c r="AD56" s="265" t="n">
        <v>131371000</v>
      </c>
    </row>
    <row r="57">
      <c r="A57" t="inlineStr">
        <is>
          <t>AccumulatedOtherComprehensiveIncomeLossNetOfTax · fonte · unid. moeda</t>
        </is>
      </c>
      <c r="B57" t="n">
        <v>39</v>
      </c>
      <c r="C57" t="inlineStr">
        <is>
          <t>Comprehensive (accumulated) loss</t>
        </is>
      </c>
      <c r="D57" s="265" t="n">
        <v>-3000</v>
      </c>
      <c r="E57" s="265" t="n">
        <v>190000</v>
      </c>
      <c r="F57" s="265" t="n">
        <v>-408000</v>
      </c>
      <c r="G57" s="265" t="n">
        <v>-1623000</v>
      </c>
      <c r="I57" s="265" t="n">
        <v>-4049000</v>
      </c>
      <c r="J57" s="265" t="n">
        <v>-5828000</v>
      </c>
      <c r="K57" s="265" t="n">
        <v>-8852000</v>
      </c>
      <c r="L57" s="265" t="n">
        <v>-7603000</v>
      </c>
      <c r="N57" s="265" t="n">
        <v>-6000000</v>
      </c>
      <c r="O57" s="265" t="n">
        <v>-5991000</v>
      </c>
      <c r="P57" s="265" t="n">
        <v>-7036000</v>
      </c>
      <c r="Q57" s="265" t="n">
        <v>-4402000</v>
      </c>
      <c r="S57" s="265" t="n">
        <v>-4839000</v>
      </c>
      <c r="T57" s="265" t="n">
        <v>-5012000</v>
      </c>
      <c r="U57" s="265" t="n">
        <v>-3228000</v>
      </c>
      <c r="V57" s="265" t="n">
        <v>-4800000</v>
      </c>
      <c r="X57" s="265" t="n">
        <v>-4086000</v>
      </c>
      <c r="Y57" s="265" t="n">
        <v>-2127000</v>
      </c>
      <c r="Z57" s="265" t="n">
        <v>-2054000</v>
      </c>
      <c r="AA57" s="265" t="n">
        <v>-1916000</v>
      </c>
      <c r="AC57" s="265" t="n">
        <v>-2180000</v>
      </c>
      <c r="AD57" s="265" t="n">
        <v>-2285000</v>
      </c>
    </row>
    <row r="58">
      <c r="A58" t="inlineStr">
        <is>
          <t>ConvertiblePreferredStockNonredeemableOrRedeemableIssuerOptionValue · fonte · unid. moeda</t>
        </is>
      </c>
      <c r="B58" t="n">
        <v>40</v>
      </c>
      <c r="C58" t="inlineStr">
        <is>
          <t>Other equity account</t>
        </is>
      </c>
      <c r="D58" s="265" t="n">
        <v>0</v>
      </c>
      <c r="E58" s="265" t="n">
        <v>0</v>
      </c>
      <c r="F58" s="265" t="n">
        <v>0</v>
      </c>
      <c r="G58" s="265" t="n">
        <v>0</v>
      </c>
      <c r="I58" s="265" t="n">
        <v>0</v>
      </c>
      <c r="J58" s="265" t="n">
        <v>0</v>
      </c>
      <c r="K58" s="265" t="n">
        <v>0</v>
      </c>
      <c r="L58" s="265" t="n">
        <v>0</v>
      </c>
      <c r="N58" s="265" t="n">
        <v>0</v>
      </c>
      <c r="O58" s="265" t="n">
        <v>0</v>
      </c>
      <c r="P58" s="265" t="n">
        <v>0</v>
      </c>
      <c r="Q58" s="265" t="n">
        <v>0</v>
      </c>
      <c r="S58" s="265" t="n">
        <v>0</v>
      </c>
      <c r="T58" s="265" t="n">
        <v>0</v>
      </c>
      <c r="U58" s="265" t="n">
        <v>0</v>
      </c>
      <c r="V58" s="265" t="n">
        <v>0</v>
      </c>
      <c r="X58" s="265" t="n">
        <v>0</v>
      </c>
      <c r="Y58" s="265" t="n">
        <v>0</v>
      </c>
      <c r="Z58" s="265" t="n">
        <v>0</v>
      </c>
      <c r="AA58" s="265" t="n">
        <v>0</v>
      </c>
      <c r="AC58" s="265" t="n">
        <v>0</v>
      </c>
      <c r="AD58" s="265" t="n">
        <v>18023000</v>
      </c>
    </row>
    <row r="59">
      <c r="A59" t="inlineStr">
        <is>
          <t>RetainedEarningsAccumulatedDeficit · fonte · unid. moeda</t>
        </is>
      </c>
      <c r="B59" t="n">
        <v>41</v>
      </c>
      <c r="C59" t="inlineStr">
        <is>
          <t>Retained earnings</t>
        </is>
      </c>
      <c r="D59" s="265" t="n">
        <v>170580000</v>
      </c>
      <c r="E59" s="265" t="n">
        <v>176939000</v>
      </c>
      <c r="F59" s="265" t="n">
        <v>183782000</v>
      </c>
      <c r="G59" s="265" t="n">
        <v>191484000</v>
      </c>
      <c r="I59" s="265" t="n">
        <v>195221000</v>
      </c>
      <c r="J59" s="265" t="n">
        <v>196845000</v>
      </c>
      <c r="K59" s="265" t="n">
        <v>196220000</v>
      </c>
      <c r="L59" s="265" t="n">
        <v>195563000</v>
      </c>
      <c r="N59" s="265" t="n">
        <v>196625000</v>
      </c>
      <c r="O59" s="265" t="n">
        <v>200884000</v>
      </c>
      <c r="P59" s="265" t="n">
        <v>205647000</v>
      </c>
      <c r="Q59" s="265" t="n">
        <v>211247000</v>
      </c>
      <c r="S59" s="265" t="n">
        <v>219770000</v>
      </c>
      <c r="T59" s="265" t="n">
        <v>226033000</v>
      </c>
      <c r="U59" s="265" t="n">
        <v>235317000</v>
      </c>
      <c r="V59" s="265" t="n">
        <v>245084000</v>
      </c>
      <c r="X59" s="265" t="n">
        <v>262628000</v>
      </c>
      <c r="Y59" s="265" t="n">
        <v>275760000</v>
      </c>
      <c r="Z59" s="265" t="n">
        <v>297226000</v>
      </c>
      <c r="AA59" s="265" t="n">
        <v>324055000</v>
      </c>
      <c r="AC59" s="265" t="n">
        <v>384024000</v>
      </c>
      <c r="AD59" s="265" t="n">
        <v>493371000</v>
      </c>
    </row>
    <row r="60">
      <c r="A60" t="inlineStr">
        <is>
          <t>BALANÇO - totais divulgados (memória)</t>
        </is>
      </c>
      <c r="C60" t="inlineStr">
        <is>
          <t>[linha bruta, sem código; lançada nas linhas abaixo]</t>
        </is>
      </c>
      <c r="D60" s="265" t="n"/>
      <c r="E60" s="265" t="n"/>
      <c r="F60" s="265" t="n"/>
      <c r="G60" s="265" t="n"/>
      <c r="I60" s="265" t="n"/>
      <c r="J60" s="265" t="n"/>
      <c r="K60" s="265" t="n"/>
      <c r="L60" s="265" t="n"/>
      <c r="N60" s="265" t="n"/>
      <c r="O60" s="265" t="n"/>
      <c r="P60" s="265" t="n"/>
      <c r="Q60" s="265" t="n"/>
      <c r="S60" s="265" t="n"/>
      <c r="T60" s="265" t="n"/>
      <c r="U60" s="265" t="n"/>
      <c r="V60" s="265" t="n"/>
      <c r="X60" s="265" t="n"/>
      <c r="Y60" s="265" t="n"/>
      <c r="Z60" s="265" t="n"/>
      <c r="AA60" s="265" t="n"/>
      <c r="AC60" s="265" t="n"/>
      <c r="AD60" s="265" t="n"/>
    </row>
    <row r="61">
      <c r="A61" t="inlineStr">
        <is>
          <t>Total do ativo [us-gaap:Assets] · memoria · unid. moeda</t>
        </is>
      </c>
      <c r="C61" t="inlineStr">
        <is>
          <t>[linha bruta, sem código; lançada nas linhas abaixo]</t>
        </is>
      </c>
      <c r="D61" s="265" t="n">
        <v>327095000</v>
      </c>
      <c r="E61" s="265" t="n">
        <v>335387000</v>
      </c>
      <c r="F61" s="265" t="n">
        <v>347403000</v>
      </c>
      <c r="G61" s="265" t="n">
        <v>359268000</v>
      </c>
      <c r="I61" s="265" t="n">
        <v>357096000</v>
      </c>
      <c r="J61" s="265" t="n">
        <v>355185000</v>
      </c>
      <c r="K61" s="265" t="n">
        <v>358255000</v>
      </c>
      <c r="L61" s="265" t="n">
        <v>365264000</v>
      </c>
      <c r="N61" s="265" t="n">
        <v>369491000</v>
      </c>
      <c r="O61" s="265" t="n">
        <v>383044000</v>
      </c>
      <c r="P61" s="265" t="n">
        <v>396711000</v>
      </c>
      <c r="Q61" s="265" t="n">
        <v>402392000</v>
      </c>
      <c r="S61" s="265" t="n">
        <v>407350000</v>
      </c>
      <c r="T61" s="265" t="n">
        <v>414770000</v>
      </c>
      <c r="U61" s="265" t="n">
        <v>430266000</v>
      </c>
      <c r="V61" s="265" t="n">
        <v>450256000</v>
      </c>
      <c r="X61" s="265" t="n">
        <v>475374000</v>
      </c>
      <c r="Y61" s="265" t="n">
        <v>502053000</v>
      </c>
      <c r="Z61" s="265" t="n">
        <v>536469000</v>
      </c>
      <c r="AA61" s="265" t="n">
        <v>595281000</v>
      </c>
      <c r="AC61" s="265" t="n">
        <v>703919000</v>
      </c>
      <c r="AD61" s="265" t="n">
        <v>921983000</v>
      </c>
    </row>
    <row r="62">
      <c r="A62" t="inlineStr">
        <is>
          <t>Total do passivo + PL [us-gaap:LiabilitiesAndStockholdersEquity] · memoria · unid. moeda</t>
        </is>
      </c>
      <c r="C62" t="inlineStr">
        <is>
          <t>[linha bruta, sem código; lançada nas linhas abaixo]</t>
        </is>
      </c>
      <c r="D62" s="265" t="n">
        <v>327095000</v>
      </c>
      <c r="E62" s="265" t="n">
        <v>335387000</v>
      </c>
      <c r="F62" s="265" t="n">
        <v>347403000</v>
      </c>
      <c r="G62" s="265" t="n">
        <v>359268000</v>
      </c>
      <c r="I62" s="265" t="n">
        <v>357096000</v>
      </c>
      <c r="J62" s="265" t="n">
        <v>355185000</v>
      </c>
      <c r="K62" s="265" t="n">
        <v>358255000</v>
      </c>
      <c r="L62" s="265" t="n">
        <v>365264000</v>
      </c>
      <c r="N62" s="265" t="n">
        <v>369491000</v>
      </c>
      <c r="O62" s="265" t="n">
        <v>383044000</v>
      </c>
      <c r="P62" s="265" t="n">
        <v>396711000</v>
      </c>
      <c r="Q62" s="265" t="n">
        <v>402392000</v>
      </c>
      <c r="S62" s="265" t="n">
        <v>407350000</v>
      </c>
      <c r="T62" s="265" t="n">
        <v>414770000</v>
      </c>
      <c r="U62" s="265" t="n">
        <v>430266000</v>
      </c>
      <c r="V62" s="265" t="n">
        <v>450256000</v>
      </c>
      <c r="X62" s="265" t="n">
        <v>475374000</v>
      </c>
      <c r="Y62" s="265" t="n">
        <v>502053000</v>
      </c>
      <c r="Z62" s="265" t="n">
        <v>536469000</v>
      </c>
      <c r="AA62" s="265" t="n">
        <v>595281000</v>
      </c>
      <c r="AC62" s="265" t="n">
        <v>703919000</v>
      </c>
      <c r="AD62" s="265" t="n">
        <v>921983000</v>
      </c>
    </row>
    <row r="63">
      <c r="A63" t="inlineStr">
        <is>
          <t>CHECKS (devem ser 0)</t>
        </is>
      </c>
      <c r="C63" t="inlineStr">
        <is>
          <t>[linha bruta, sem código; lançada nas linhas abaixo]</t>
        </is>
      </c>
      <c r="D63" s="265" t="n"/>
      <c r="E63" s="265" t="n"/>
      <c r="F63" s="265" t="n"/>
      <c r="G63" s="265" t="n"/>
      <c r="I63" s="265" t="n"/>
      <c r="J63" s="265" t="n"/>
      <c r="K63" s="265" t="n"/>
      <c r="L63" s="265" t="n"/>
      <c r="N63" s="265" t="n"/>
      <c r="O63" s="265" t="n"/>
      <c r="P63" s="265" t="n"/>
      <c r="Q63" s="265" t="n"/>
      <c r="S63" s="265" t="n"/>
      <c r="T63" s="265" t="n"/>
      <c r="U63" s="265" t="n"/>
      <c r="V63" s="265" t="n"/>
      <c r="X63" s="265" t="n"/>
      <c r="Y63" s="265" t="n"/>
      <c r="Z63" s="265" t="n"/>
      <c r="AA63" s="265" t="n"/>
      <c r="AC63" s="265" t="n"/>
      <c r="AD63" s="265" t="n"/>
    </row>
    <row r="64">
      <c r="A64" t="inlineStr">
        <is>
          <t>CHECK: contas de ativo - ativo total (USD, arredondado a 100 mil) · derivada · unid. moeda</t>
        </is>
      </c>
      <c r="C64" t="inlineStr">
        <is>
          <t>[linha bruta, sem código; lançada nas linhas abaixo]</t>
        </is>
      </c>
      <c r="D64" s="265">
        <f>ROUND(N(D28)+N(D29)+N(D30)+N(D31)+N(D32)+N(D33)+N(D34)+N(D35)+N(D36)+N(D37)+N(D38)+N(D39)+N(D40)+N(D41)+N(D42)-N(D61),-2)</f>
        <v>0</v>
      </c>
      <c r="E64" s="265">
        <f>ROUND(N(E28)+N(E29)+N(E30)+N(E31)+N(E32)+N(E33)+N(E34)+N(E35)+N(E36)+N(E37)+N(E38)+N(E39)+N(E40)+N(E41)+N(E42)-N(E61),-2)</f>
        <v>0</v>
      </c>
      <c r="F64" s="265">
        <f>ROUND(N(F28)+N(F29)+N(F30)+N(F31)+N(F32)+N(F33)+N(F34)+N(F35)+N(F36)+N(F37)+N(F38)+N(F39)+N(F40)+N(F41)+N(F42)-N(F61),-2)</f>
        <v>0</v>
      </c>
      <c r="G64" s="265">
        <f>ROUND(N(G28)+N(G29)+N(G30)+N(G31)+N(G32)+N(G33)+N(G34)+N(G35)+N(G36)+N(G37)+N(G38)+N(G39)+N(G40)+N(G41)+N(G42)-N(G61),-2)</f>
        <v>0</v>
      </c>
      <c r="I64" s="265">
        <f>ROUND(N(I28)+N(I29)+N(I30)+N(I31)+N(I32)+N(I33)+N(I34)+N(I35)+N(I36)+N(I37)+N(I38)+N(I39)+N(I40)+N(I41)+N(I42)-N(I61),-2)</f>
        <v>0</v>
      </c>
      <c r="J64" s="265">
        <f>ROUND(N(J28)+N(J29)+N(J30)+N(J31)+N(J32)+N(J33)+N(J34)+N(J35)+N(J36)+N(J37)+N(J38)+N(J39)+N(J40)+N(J41)+N(J42)-N(J61),-2)</f>
        <v>0</v>
      </c>
      <c r="K64" s="265">
        <f>ROUND(N(K28)+N(K29)+N(K30)+N(K31)+N(K32)+N(K33)+N(K34)+N(K35)+N(K36)+N(K37)+N(K38)+N(K39)+N(K40)+N(K41)+N(K42)-N(K61),-2)</f>
        <v>0</v>
      </c>
      <c r="L64" s="265">
        <f>ROUND(N(L28)+N(L29)+N(L30)+N(L31)+N(L32)+N(L33)+N(L34)+N(L35)+N(L36)+N(L37)+N(L38)+N(L39)+N(L40)+N(L41)+N(L42)-N(L61),-2)</f>
        <v>0</v>
      </c>
      <c r="N64" s="265">
        <f>ROUND(N(N28)+N(N29)+N(N30)+N(N31)+N(N32)+N(N33)+N(N34)+N(N35)+N(N36)+N(N37)+N(N38)+N(N39)+N(N40)+N(N41)+N(N42)-N(N61),-2)</f>
        <v>0</v>
      </c>
      <c r="O64" s="265">
        <f>ROUND(N(O28)+N(O29)+N(O30)+N(O31)+N(O32)+N(O33)+N(O34)+N(O35)+N(O36)+N(O37)+N(O38)+N(O39)+N(O40)+N(O41)+N(O42)-N(O61),-2)</f>
        <v>0</v>
      </c>
      <c r="P64" s="265">
        <f>ROUND(N(P28)+N(P29)+N(P30)+N(P31)+N(P32)+N(P33)+N(P34)+N(P35)+N(P36)+N(P37)+N(P38)+N(P39)+N(P40)+N(P41)+N(P42)-N(P61),-2)</f>
        <v>0</v>
      </c>
      <c r="Q64" s="265">
        <f>ROUND(N(Q28)+N(Q29)+N(Q30)+N(Q31)+N(Q32)+N(Q33)+N(Q34)+N(Q35)+N(Q36)+N(Q37)+N(Q38)+N(Q39)+N(Q40)+N(Q41)+N(Q42)-N(Q61),-2)</f>
        <v>0</v>
      </c>
      <c r="S64" s="265">
        <f>ROUND(N(S28)+N(S29)+N(S30)+N(S31)+N(S32)+N(S33)+N(S34)+N(S35)+N(S36)+N(S37)+N(S38)+N(S39)+N(S40)+N(S41)+N(S42)-N(S61),-2)</f>
        <v>0</v>
      </c>
      <c r="T64" s="265">
        <f>ROUND(N(T28)+N(T29)+N(T30)+N(T31)+N(T32)+N(T33)+N(T34)+N(T35)+N(T36)+N(T37)+N(T38)+N(T39)+N(T40)+N(T41)+N(T42)-N(T61),-2)</f>
        <v>0</v>
      </c>
      <c r="U64" s="265">
        <f>ROUND(N(U28)+N(U29)+N(U30)+N(U31)+N(U32)+N(U33)+N(U34)+N(U35)+N(U36)+N(U37)+N(U38)+N(U39)+N(U40)+N(U41)+N(U42)-N(U61),-2)</f>
        <v>0</v>
      </c>
      <c r="V64" s="265">
        <f>ROUND(N(V28)+N(V29)+N(V30)+N(V31)+N(V32)+N(V33)+N(V34)+N(V35)+N(V36)+N(V37)+N(V38)+N(V39)+N(V40)+N(V41)+N(V42)-N(V61),-2)</f>
        <v>0</v>
      </c>
      <c r="X64" s="265">
        <f>ROUND(N(X28)+N(X29)+N(X30)+N(X31)+N(X32)+N(X33)+N(X34)+N(X35)+N(X36)+N(X37)+N(X38)+N(X39)+N(X40)+N(X41)+N(X42)-N(X61),-2)</f>
        <v>0</v>
      </c>
      <c r="Y64" s="265">
        <f>ROUND(N(Y28)+N(Y29)+N(Y30)+N(Y31)+N(Y32)+N(Y33)+N(Y34)+N(Y35)+N(Y36)+N(Y37)+N(Y38)+N(Y39)+N(Y40)+N(Y41)+N(Y42)-N(Y61),-2)</f>
        <v>0</v>
      </c>
      <c r="Z64" s="265">
        <f>ROUND(N(Z28)+N(Z29)+N(Z30)+N(Z31)+N(Z32)+N(Z33)+N(Z34)+N(Z35)+N(Z36)+N(Z37)+N(Z38)+N(Z39)+N(Z40)+N(Z41)+N(Z42)-N(Z61),-2)</f>
        <v>0</v>
      </c>
      <c r="AA64" s="265">
        <f>ROUND(N(AA28)+N(AA29)+N(AA30)+N(AA31)+N(AA32)+N(AA33)+N(AA34)+N(AA35)+N(AA36)+N(AA37)+N(AA38)+N(AA39)+N(AA40)+N(AA41)+N(AA42)-N(AA61),-2)</f>
        <v>0</v>
      </c>
      <c r="AC64" s="265">
        <f>ROUND(N(AC28)+N(AC29)+N(AC30)+N(AC31)+N(AC32)+N(AC33)+N(AC34)+N(AC35)+N(AC36)+N(AC37)+N(AC38)+N(AC39)+N(AC40)+N(AC41)+N(AC42)-N(AC61),-2)</f>
        <v>0</v>
      </c>
      <c r="AD64" s="265">
        <f>ROUND(N(AD28)+N(AD29)+N(AD30)+N(AD31)+N(AD32)+N(AD33)+N(AD34)+N(AD35)+N(AD36)+N(AD37)+N(AD38)+N(AD39)+N(AD40)+N(AD41)+N(AD42)-N(AD61),-2)</f>
        <v>0</v>
      </c>
    </row>
    <row r="65">
      <c r="A65" t="inlineStr">
        <is>
          <t>CHECK: passivo + PL (contas) - passivo + PL total · derivada · unid. moeda</t>
        </is>
      </c>
      <c r="C65" t="inlineStr">
        <is>
          <t>[linha bruta, sem código; lançada nas linhas abaixo]</t>
        </is>
      </c>
      <c r="D65" s="265">
        <f>ROUND(N(D43)+N(D44)+N(D45)+N(D46)+N(D47)+N(D48)+N(D49)+N(D50)+N(D51)+N(D52)+N(D53)+N(D54)+N(D55)+N(D56)+N(D57)+N(D58)+N(D59)-N(D62),-2)</f>
        <v>0</v>
      </c>
      <c r="E65" s="265">
        <f>ROUND(N(E43)+N(E44)+N(E45)+N(E46)+N(E47)+N(E48)+N(E49)+N(E50)+N(E51)+N(E52)+N(E53)+N(E54)+N(E55)+N(E56)+N(E57)+N(E58)+N(E59)-N(E62),-2)</f>
        <v>0</v>
      </c>
      <c r="F65" s="265">
        <f>ROUND(N(F43)+N(F44)+N(F45)+N(F46)+N(F47)+N(F48)+N(F49)+N(F50)+N(F51)+N(F52)+N(F53)+N(F54)+N(F55)+N(F56)+N(F57)+N(F58)+N(F59)-N(F62),-2)</f>
        <v>0</v>
      </c>
      <c r="G65" s="265">
        <f>ROUND(N(G43)+N(G44)+N(G45)+N(G46)+N(G47)+N(G48)+N(G49)+N(G50)+N(G51)+N(G52)+N(G53)+N(G54)+N(G55)+N(G56)+N(G57)+N(G58)+N(G59)-N(G62),-2)</f>
        <v>0</v>
      </c>
      <c r="I65" s="265">
        <f>ROUND(N(I43)+N(I44)+N(I45)+N(I46)+N(I47)+N(I48)+N(I49)+N(I50)+N(I51)+N(I52)+N(I53)+N(I54)+N(I55)+N(I56)+N(I57)+N(I58)+N(I59)-N(I62),-2)</f>
        <v>0</v>
      </c>
      <c r="J65" s="265">
        <f>ROUND(N(J43)+N(J44)+N(J45)+N(J46)+N(J47)+N(J48)+N(J49)+N(J50)+N(J51)+N(J52)+N(J53)+N(J54)+N(J55)+N(J56)+N(J57)+N(J58)+N(J59)-N(J62),-2)</f>
        <v>0</v>
      </c>
      <c r="K65" s="265">
        <f>ROUND(N(K43)+N(K44)+N(K45)+N(K46)+N(K47)+N(K48)+N(K49)+N(K50)+N(K51)+N(K52)+N(K53)+N(K54)+N(K55)+N(K56)+N(K57)+N(K58)+N(K59)-N(K62),-2)</f>
        <v>0</v>
      </c>
      <c r="L65" s="265">
        <f>ROUND(N(L43)+N(L44)+N(L45)+N(L46)+N(L47)+N(L48)+N(L49)+N(L50)+N(L51)+N(L52)+N(L53)+N(L54)+N(L55)+N(L56)+N(L57)+N(L58)+N(L59)-N(L62),-2)</f>
        <v>0</v>
      </c>
      <c r="N65" s="265">
        <f>ROUND(N(N43)+N(N44)+N(N45)+N(N46)+N(N47)+N(N48)+N(N49)+N(N50)+N(N51)+N(N52)+N(N53)+N(N54)+N(N55)+N(N56)+N(N57)+N(N58)+N(N59)-N(N62),-2)</f>
        <v>0</v>
      </c>
      <c r="O65" s="265">
        <f>ROUND(N(O43)+N(O44)+N(O45)+N(O46)+N(O47)+N(O48)+N(O49)+N(O50)+N(O51)+N(O52)+N(O53)+N(O54)+N(O55)+N(O56)+N(O57)+N(O58)+N(O59)-N(O62),-2)</f>
        <v>0</v>
      </c>
      <c r="P65" s="265">
        <f>ROUND(N(P43)+N(P44)+N(P45)+N(P46)+N(P47)+N(P48)+N(P49)+N(P50)+N(P51)+N(P52)+N(P53)+N(P54)+N(P55)+N(P56)+N(P57)+N(P58)+N(P59)-N(P62),-2)</f>
        <v>0</v>
      </c>
      <c r="Q65" s="265">
        <f>ROUND(N(Q43)+N(Q44)+N(Q45)+N(Q46)+N(Q47)+N(Q48)+N(Q49)+N(Q50)+N(Q51)+N(Q52)+N(Q53)+N(Q54)+N(Q55)+N(Q56)+N(Q57)+N(Q58)+N(Q59)-N(Q62),-2)</f>
        <v>0</v>
      </c>
      <c r="S65" s="265">
        <f>ROUND(N(S43)+N(S44)+N(S45)+N(S46)+N(S47)+N(S48)+N(S49)+N(S50)+N(S51)+N(S52)+N(S53)+N(S54)+N(S55)+N(S56)+N(S57)+N(S58)+N(S59)-N(S62),-2)</f>
        <v>0</v>
      </c>
      <c r="T65" s="265">
        <f>ROUND(N(T43)+N(T44)+N(T45)+N(T46)+N(T47)+N(T48)+N(T49)+N(T50)+N(T51)+N(T52)+N(T53)+N(T54)+N(T55)+N(T56)+N(T57)+N(T58)+N(T59)-N(T62),-2)</f>
        <v>0</v>
      </c>
      <c r="U65" s="265">
        <f>ROUND(N(U43)+N(U44)+N(U45)+N(U46)+N(U47)+N(U48)+N(U49)+N(U50)+N(U51)+N(U52)+N(U53)+N(U54)+N(U55)+N(U56)+N(U57)+N(U58)+N(U59)-N(U62),-2)</f>
        <v>0</v>
      </c>
      <c r="V65" s="265">
        <f>ROUND(N(V43)+N(V44)+N(V45)+N(V46)+N(V47)+N(V48)+N(V49)+N(V50)+N(V51)+N(V52)+N(V53)+N(V54)+N(V55)+N(V56)+N(V57)+N(V58)+N(V59)-N(V62),-2)</f>
        <v>0</v>
      </c>
      <c r="X65" s="265">
        <f>ROUND(N(X43)+N(X44)+N(X45)+N(X46)+N(X47)+N(X48)+N(X49)+N(X50)+N(X51)+N(X52)+N(X53)+N(X54)+N(X55)+N(X56)+N(X57)+N(X58)+N(X59)-N(X62),-2)</f>
        <v>0</v>
      </c>
      <c r="Y65" s="265">
        <f>ROUND(N(Y43)+N(Y44)+N(Y45)+N(Y46)+N(Y47)+N(Y48)+N(Y49)+N(Y50)+N(Y51)+N(Y52)+N(Y53)+N(Y54)+N(Y55)+N(Y56)+N(Y57)+N(Y58)+N(Y59)-N(Y62),-2)</f>
        <v>0</v>
      </c>
      <c r="Z65" s="265">
        <f>ROUND(N(Z43)+N(Z44)+N(Z45)+N(Z46)+N(Z47)+N(Z48)+N(Z49)+N(Z50)+N(Z51)+N(Z52)+N(Z53)+N(Z54)+N(Z55)+N(Z56)+N(Z57)+N(Z58)+N(Z59)-N(Z62),-2)</f>
        <v>0</v>
      </c>
      <c r="AA65" s="265">
        <f>ROUND(N(AA43)+N(AA44)+N(AA45)+N(AA46)+N(AA47)+N(AA48)+N(AA49)+N(AA50)+N(AA51)+N(AA52)+N(AA53)+N(AA54)+N(AA55)+N(AA56)+N(AA57)+N(AA58)+N(AA59)-N(AA62),-2)</f>
        <v>0</v>
      </c>
      <c r="AC65" s="265">
        <f>ROUND(N(AC43)+N(AC44)+N(AC45)+N(AC46)+N(AC47)+N(AC48)+N(AC49)+N(AC50)+N(AC51)+N(AC52)+N(AC53)+N(AC54)+N(AC55)+N(AC56)+N(AC57)+N(AC58)+N(AC59)-N(AC62),-2)</f>
        <v>0</v>
      </c>
      <c r="AD65" s="265">
        <f>ROUND(N(AD43)+N(AD44)+N(AD45)+N(AD46)+N(AD47)+N(AD48)+N(AD49)+N(AD50)+N(AD51)+N(AD52)+N(AD53)+N(AD54)+N(AD55)+N(AD56)+N(AD57)+N(AD58)+N(AD59)-N(AD62),-2)</f>
        <v>0</v>
      </c>
    </row>
    <row r="66">
      <c r="A66" t="inlineStr">
        <is>
          <t>CHECK: receita - custo - despesas + não operacional - IR - minoritários + outros após IR - lucro (deve ser 0) · derivada</t>
        </is>
      </c>
      <c r="C66" t="inlineStr">
        <is>
          <t>[linha bruta, sem código; lançada nas linhas abaixo]</t>
        </is>
      </c>
      <c r="D66" s="265">
        <f>ROUND(N(D5)-N(D6)-N(D9)+N(D12)-N(D16)+N(D19)-N(D20),-2)</f>
        <v>0</v>
      </c>
      <c r="E66" s="265">
        <f>ROUND(N(E5)-N(E6)-N(E9)+N(E12)-N(E16)+N(E19)-N(E20),-2)</f>
        <v>0</v>
      </c>
      <c r="F66" s="265">
        <f>ROUND(N(F5)-N(F6)-N(F9)+N(F12)-N(F16)+N(F19)-N(F20),-2)</f>
        <v>0</v>
      </c>
      <c r="G66" s="265">
        <f>ROUND(N(G5)-N(G6)-N(G9)+N(G12)-N(G16)+N(G19)-N(G20),-2)</f>
        <v>0</v>
      </c>
      <c r="I66" s="265">
        <f>ROUND(N(I5)-N(I6)-N(I9)+N(I12)-N(I16)+N(I19)-N(I20),-2)</f>
        <v>0</v>
      </c>
      <c r="J66" s="265">
        <f>ROUND(N(J5)-N(J6)-N(J9)+N(J12)-N(J16)+N(J19)-N(J20),-2)</f>
        <v>0</v>
      </c>
      <c r="K66" s="265">
        <f>ROUND(N(K5)-N(K6)-N(K9)+N(K12)-N(K16)+N(K19)-N(K20),-2)</f>
        <v>0</v>
      </c>
      <c r="L66" s="265">
        <f>ROUND(N(L5)-N(L6)-N(L9)+N(L12)-N(L16)+N(L19)-N(L20),-2)</f>
        <v>0</v>
      </c>
      <c r="N66" s="265">
        <f>ROUND(N(N5)-N(N6)-N(N9)+N(N12)-N(N16)+N(N19)-N(N20),-2)</f>
        <v>0</v>
      </c>
      <c r="O66" s="265">
        <f>ROUND(N(O5)-N(O6)-N(O9)+N(O12)-N(O16)+N(O19)-N(O20),-2)</f>
        <v>0</v>
      </c>
      <c r="P66" s="265">
        <f>ROUND(N(P5)-N(P6)-N(P9)+N(P12)-N(P16)+N(P19)-N(P20),-2)</f>
        <v>0</v>
      </c>
      <c r="Q66" s="265">
        <f>ROUND(N(Q5)-N(Q6)-N(Q9)+N(Q12)-N(Q16)+N(Q19)-N(Q20),-2)</f>
        <v>0</v>
      </c>
      <c r="S66" s="265">
        <f>ROUND(N(S5)-N(S6)-N(S9)+N(S12)-N(S16)+N(S19)-N(S20),-2)</f>
        <v>0</v>
      </c>
      <c r="T66" s="265">
        <f>ROUND(N(T5)-N(T6)-N(T9)+N(T12)-N(T16)+N(T19)-N(T20),-2)</f>
        <v>0</v>
      </c>
      <c r="U66" s="265">
        <f>ROUND(N(U5)-N(U6)-N(U9)+N(U12)-N(U16)+N(U19)-N(U20),-2)</f>
        <v>0</v>
      </c>
      <c r="V66" s="265">
        <f>ROUND(N(V5)-N(V6)-N(V9)+N(V12)-N(V16)+N(V19)-N(V20),-2)</f>
        <v>0</v>
      </c>
      <c r="X66" s="265">
        <f>ROUND(N(X5)-N(X6)-N(X9)+N(X12)-N(X16)+N(X19)-N(X20),-2)</f>
        <v>0</v>
      </c>
      <c r="Y66" s="265">
        <f>ROUND(N(Y5)-N(Y6)-N(Y9)+N(Y12)-N(Y16)+N(Y19)-N(Y20),-2)</f>
        <v>0</v>
      </c>
      <c r="Z66" s="265">
        <f>ROUND(N(Z5)-N(Z6)-N(Z9)+N(Z12)-N(Z16)+N(Z19)-N(Z20),-2)</f>
        <v>0</v>
      </c>
      <c r="AA66" s="265">
        <f>ROUND(N(AA5)-N(AA6)-N(AA9)+N(AA12)-N(AA16)+N(AA19)-N(AA20),-2)</f>
        <v>0</v>
      </c>
      <c r="AC66" s="265">
        <f>ROUND(N(AC5)-N(AC6)-N(AC9)+N(AC12)-N(AC16)+N(AC19)-N(AC20),-2)</f>
        <v>0</v>
      </c>
      <c r="AD66" s="265">
        <f>ROUND(N(AD5)-N(AD6)-N(AD9)+N(AD12)-N(AD16)+N(AD19)-N(AD20),-2)</f>
        <v>0</v>
      </c>
    </row>
    <row r="67">
      <c r="D67" s="265" t="n"/>
      <c r="E67" s="265" t="n"/>
      <c r="F67" s="265" t="n"/>
      <c r="G67" s="265" t="n"/>
      <c r="I67" s="265" t="n"/>
      <c r="J67" s="265" t="n"/>
      <c r="K67" s="265" t="n"/>
      <c r="L67" s="265" t="n"/>
      <c r="N67" s="265" t="n"/>
      <c r="O67" s="265" t="n"/>
      <c r="P67" s="265" t="n"/>
      <c r="Q67" s="265" t="n"/>
      <c r="S67" s="265" t="n"/>
      <c r="T67" s="265" t="n"/>
      <c r="U67" s="265" t="n"/>
      <c r="V67" s="265" t="n"/>
      <c r="X67" s="265" t="n"/>
      <c r="Y67" s="265" t="n"/>
      <c r="Z67" s="265" t="n"/>
      <c r="AA67" s="265" t="n"/>
      <c r="AC67" s="265" t="n"/>
      <c r="AD67" s="265" t="n"/>
    </row>
    <row r="68">
      <c r="A68" t="inlineStr">
        <is>
          <t>DRIVERS DE RECEITA (codigos 45+): receita por tipo (Search, YouTube, Network, Subscriptions, Cloud, Other Bets), segmentos (receita e lucro operacional) e regiões - SEC XBRL (USD, fator 0,000001).</t>
        </is>
      </c>
      <c r="C68" t="inlineStr">
        <is>
          <t>[linha bruta, sem código; lançada nas linhas abaixo]</t>
        </is>
      </c>
      <c r="D68" s="265" t="n"/>
      <c r="E68" s="265" t="n"/>
      <c r="F68" s="265" t="n"/>
      <c r="G68" s="265" t="n"/>
      <c r="I68" s="265" t="n"/>
      <c r="J68" s="265" t="n"/>
      <c r="K68" s="265" t="n"/>
      <c r="L68" s="265" t="n"/>
      <c r="N68" s="265" t="n"/>
      <c r="O68" s="265" t="n"/>
      <c r="P68" s="265" t="n"/>
      <c r="Q68" s="265" t="n"/>
      <c r="S68" s="265" t="n"/>
      <c r="T68" s="265" t="n"/>
      <c r="U68" s="265" t="n"/>
      <c r="V68" s="265" t="n"/>
      <c r="X68" s="265" t="n"/>
      <c r="Y68" s="265" t="n"/>
      <c r="Z68" s="265" t="n"/>
      <c r="AA68" s="265" t="n"/>
      <c r="AC68" s="265" t="n"/>
      <c r="AD68" s="265" t="n"/>
    </row>
    <row r="69">
      <c r="A69" t="inlineStr">
        <is>
          <t>Receita Google Search &amp; other (USD) · fonte · unid. moeda</t>
        </is>
      </c>
      <c r="B69" t="n">
        <v>45</v>
      </c>
      <c r="C69" t="inlineStr">
        <is>
          <t>Receita Google Search &amp; other (USD)</t>
        </is>
      </c>
      <c r="D69" s="265" t="n">
        <v>31879000</v>
      </c>
      <c r="E69" s="265" t="n">
        <v>35845000</v>
      </c>
      <c r="F69" s="265" t="n">
        <v>37926000</v>
      </c>
      <c r="G69" s="265" t="n">
        <v>43301000</v>
      </c>
      <c r="I69" s="265" t="n">
        <v>39618000</v>
      </c>
      <c r="J69" s="265" t="n">
        <v>40689000</v>
      </c>
      <c r="K69" s="265" t="n">
        <v>39539000</v>
      </c>
      <c r="L69" s="265" t="n">
        <v>42604000</v>
      </c>
      <c r="N69" s="265" t="n">
        <v>40359000</v>
      </c>
      <c r="O69" s="265" t="n">
        <v>42628000</v>
      </c>
      <c r="P69" s="265" t="n">
        <v>44026000</v>
      </c>
      <c r="Q69" s="265" t="n">
        <v>48020000</v>
      </c>
      <c r="S69" s="265" t="n">
        <v>46156000</v>
      </c>
      <c r="T69" s="265" t="n">
        <v>48509000</v>
      </c>
      <c r="U69" s="265" t="n">
        <v>49385000</v>
      </c>
      <c r="V69" s="265" t="n">
        <v>54034000</v>
      </c>
      <c r="X69" s="265" t="n">
        <v>50702000</v>
      </c>
      <c r="Y69" s="265" t="n">
        <v>54190000</v>
      </c>
      <c r="Z69" s="265" t="n">
        <v>56567000</v>
      </c>
      <c r="AA69" s="265" t="n">
        <v>63073000</v>
      </c>
      <c r="AC69" s="265" t="n">
        <v>60399000</v>
      </c>
      <c r="AD69" s="265" t="n">
        <v>63271000</v>
      </c>
    </row>
    <row r="70">
      <c r="A70" t="inlineStr">
        <is>
          <t>Receita YouTube ads (USD) · fonte · unid. moeda</t>
        </is>
      </c>
      <c r="B70" t="n">
        <v>46</v>
      </c>
      <c r="C70" t="inlineStr">
        <is>
          <t>Receita YouTube ads (USD)</t>
        </is>
      </c>
      <c r="D70" s="265" t="n">
        <v>6005000</v>
      </c>
      <c r="E70" s="265" t="n">
        <v>7002000</v>
      </c>
      <c r="F70" s="265" t="n">
        <v>7205000</v>
      </c>
      <c r="G70" s="265" t="n">
        <v>8633000</v>
      </c>
      <c r="I70" s="265" t="n">
        <v>6869000</v>
      </c>
      <c r="J70" s="265" t="n">
        <v>7340000</v>
      </c>
      <c r="K70" s="265" t="n">
        <v>7071000</v>
      </c>
      <c r="L70" s="265" t="n">
        <v>7963000</v>
      </c>
      <c r="N70" s="265" t="n">
        <v>6693000</v>
      </c>
      <c r="O70" s="265" t="n">
        <v>7665000</v>
      </c>
      <c r="P70" s="265" t="n">
        <v>7952000</v>
      </c>
      <c r="Q70" s="265" t="n">
        <v>9200000</v>
      </c>
      <c r="S70" s="265" t="n">
        <v>8090000</v>
      </c>
      <c r="T70" s="265" t="n">
        <v>8663000</v>
      </c>
      <c r="U70" s="265" t="n">
        <v>8921000</v>
      </c>
      <c r="V70" s="265" t="n">
        <v>10473000</v>
      </c>
      <c r="X70" s="265" t="n">
        <v>8927000</v>
      </c>
      <c r="Y70" s="265" t="n">
        <v>9796000</v>
      </c>
      <c r="Z70" s="265" t="n">
        <v>10261000</v>
      </c>
      <c r="AA70" s="265" t="n">
        <v>11383000</v>
      </c>
      <c r="AC70" s="265" t="n">
        <v>9883000</v>
      </c>
      <c r="AD70" s="265" t="n">
        <v>11055000</v>
      </c>
    </row>
    <row r="71">
      <c r="A71" t="inlineStr">
        <is>
          <t>Receita Google Network (USD) · fonte · unid. moeda</t>
        </is>
      </c>
      <c r="B71" t="n">
        <v>47</v>
      </c>
      <c r="C71" t="inlineStr">
        <is>
          <t>Receita Google Network (USD)</t>
        </is>
      </c>
      <c r="D71" s="265" t="n">
        <v>6800000</v>
      </c>
      <c r="E71" s="265" t="n">
        <v>7597000</v>
      </c>
      <c r="F71" s="265" t="n">
        <v>7999000</v>
      </c>
      <c r="G71" s="265" t="n">
        <v>9305000</v>
      </c>
      <c r="I71" s="265" t="n">
        <v>8174000</v>
      </c>
      <c r="J71" s="265" t="n">
        <v>8259000</v>
      </c>
      <c r="K71" s="265" t="n">
        <v>7872000</v>
      </c>
      <c r="L71" s="265" t="n">
        <v>8475000</v>
      </c>
      <c r="N71" s="265" t="n">
        <v>7496000</v>
      </c>
      <c r="O71" s="265" t="n">
        <v>7850000</v>
      </c>
      <c r="P71" s="265" t="n">
        <v>7669000</v>
      </c>
      <c r="Q71" s="265" t="n">
        <v>8297000</v>
      </c>
      <c r="S71" s="265" t="n">
        <v>7413000</v>
      </c>
      <c r="T71" s="265" t="n">
        <v>7444000</v>
      </c>
      <c r="U71" s="265" t="n">
        <v>7548000</v>
      </c>
      <c r="V71" s="265" t="n">
        <v>7954000</v>
      </c>
      <c r="X71" s="265" t="n">
        <v>7256000</v>
      </c>
      <c r="Y71" s="265" t="n">
        <v>7354000</v>
      </c>
      <c r="Z71" s="265" t="n">
        <v>7354000</v>
      </c>
      <c r="AA71" s="265" t="n">
        <v>7828000</v>
      </c>
      <c r="AC71" s="265" t="n">
        <v>6971000</v>
      </c>
      <c r="AD71" s="265" t="n">
        <v>7303000</v>
      </c>
    </row>
    <row r="72">
      <c r="A72" t="inlineStr">
        <is>
          <t>Receita Google subscriptions, platforms and devices (USD; até 2021 "Google other") · fonte · unid. moeda</t>
        </is>
      </c>
      <c r="B72" t="n">
        <v>48</v>
      </c>
      <c r="C72" t="inlineStr">
        <is>
          <t>Receita Google subscriptions, platforms and devices (USD; at</t>
        </is>
      </c>
      <c r="D72" s="265" t="n">
        <v>6494000</v>
      </c>
      <c r="E72" s="265" t="n">
        <v>6623000</v>
      </c>
      <c r="F72" s="265" t="n">
        <v>6754000</v>
      </c>
      <c r="G72" s="265" t="n">
        <v>8161000</v>
      </c>
      <c r="I72" s="265" t="n">
        <v>6811000</v>
      </c>
      <c r="J72" s="265" t="n">
        <v>6553000</v>
      </c>
      <c r="K72" s="265" t="n">
        <v>6895000</v>
      </c>
      <c r="L72" s="265" t="n">
        <v>8796000</v>
      </c>
      <c r="N72" s="265" t="n">
        <v>7413000</v>
      </c>
      <c r="O72" s="265" t="n">
        <v>8142000</v>
      </c>
      <c r="P72" s="265" t="n">
        <v>8339000</v>
      </c>
      <c r="Q72" s="265" t="n">
        <v>10794000</v>
      </c>
      <c r="S72" s="265" t="n">
        <v>8739000</v>
      </c>
      <c r="T72" s="265" t="n">
        <v>9312000</v>
      </c>
      <c r="U72" s="265" t="n">
        <v>10656000</v>
      </c>
      <c r="V72" s="265" t="n">
        <v>11633000</v>
      </c>
      <c r="X72" s="265" t="n">
        <v>10379000</v>
      </c>
      <c r="Y72" s="265" t="n">
        <v>11203000</v>
      </c>
      <c r="Z72" s="265" t="n">
        <v>12870000</v>
      </c>
      <c r="AA72" s="265" t="n">
        <v>13578000</v>
      </c>
      <c r="AC72" s="265" t="n">
        <v>12384000</v>
      </c>
      <c r="AD72" s="265" t="n">
        <v>12911000</v>
      </c>
    </row>
    <row r="73">
      <c r="A73" t="inlineStr">
        <is>
          <t>Segmento Google Services - receita (USD) · fonte · unid. moeda</t>
        </is>
      </c>
      <c r="B73" t="n">
        <v>49</v>
      </c>
      <c r="C73" t="inlineStr">
        <is>
          <t>Segmento Google Services - receita (USD)</t>
        </is>
      </c>
      <c r="D73" s="265" t="n">
        <v>51178000</v>
      </c>
      <c r="E73" s="265" t="n">
        <v>57067000</v>
      </c>
      <c r="F73" s="265" t="n">
        <v>59884000</v>
      </c>
      <c r="G73" s="265" t="n">
        <v>69400000</v>
      </c>
      <c r="I73" s="265" t="n">
        <v>61472000</v>
      </c>
      <c r="J73" s="265" t="n">
        <v>62841000</v>
      </c>
      <c r="K73" s="265" t="n">
        <v>61377000</v>
      </c>
      <c r="L73" s="265" t="n">
        <v>67838000</v>
      </c>
      <c r="N73" s="265" t="n">
        <v>61961000</v>
      </c>
      <c r="O73" s="265" t="n">
        <v>66285000</v>
      </c>
      <c r="P73" s="265" t="n">
        <v>67986000</v>
      </c>
      <c r="Q73" s="265" t="n">
        <v>76311000</v>
      </c>
      <c r="S73" s="265" t="n">
        <v>70398000</v>
      </c>
      <c r="T73" s="265" t="n">
        <v>73928000</v>
      </c>
      <c r="U73" s="265" t="n">
        <v>76510000</v>
      </c>
      <c r="V73" s="265" t="n">
        <v>84094000</v>
      </c>
      <c r="X73" s="265" t="n">
        <v>77264000</v>
      </c>
      <c r="Y73" s="265" t="n">
        <v>82543000</v>
      </c>
      <c r="Z73" s="265" t="n">
        <v>87052000</v>
      </c>
      <c r="AA73" s="265" t="n">
        <v>95862000</v>
      </c>
      <c r="AC73" s="265" t="n">
        <v>89637000</v>
      </c>
      <c r="AD73" s="265" t="n">
        <v>94540000</v>
      </c>
    </row>
    <row r="74">
      <c r="A74" t="inlineStr">
        <is>
          <t>Segmento Google Cloud - receita (USD) · fonte · unid. moeda</t>
        </is>
      </c>
      <c r="B74" t="n">
        <v>50</v>
      </c>
      <c r="C74" t="inlineStr">
        <is>
          <t>Segmento Google Cloud - receita (USD)</t>
        </is>
      </c>
      <c r="D74" s="265" t="n">
        <v>4047000</v>
      </c>
      <c r="E74" s="265" t="n">
        <v>4628000</v>
      </c>
      <c r="F74" s="265" t="n">
        <v>4990000</v>
      </c>
      <c r="G74" s="265" t="n">
        <v>5541000</v>
      </c>
      <c r="I74" s="265" t="n">
        <v>5821000</v>
      </c>
      <c r="J74" s="265" t="n">
        <v>6276000</v>
      </c>
      <c r="K74" s="265" t="n">
        <v>6868000</v>
      </c>
      <c r="L74" s="265" t="n">
        <v>7315000</v>
      </c>
      <c r="N74" s="265" t="n">
        <v>7454000</v>
      </c>
      <c r="O74" s="265" t="n">
        <v>8031000</v>
      </c>
      <c r="P74" s="265" t="n">
        <v>8411000</v>
      </c>
      <c r="Q74" s="265" t="n">
        <v>9192000</v>
      </c>
      <c r="S74" s="265" t="n">
        <v>9574000</v>
      </c>
      <c r="T74" s="265" t="n">
        <v>10347000</v>
      </c>
      <c r="U74" s="265" t="n">
        <v>11353000</v>
      </c>
      <c r="V74" s="265" t="n">
        <v>11955000</v>
      </c>
      <c r="X74" s="265" t="n">
        <v>12260000</v>
      </c>
      <c r="Y74" s="265" t="n">
        <v>13624000</v>
      </c>
      <c r="Z74" s="265" t="n">
        <v>15157000</v>
      </c>
      <c r="AA74" s="265" t="n">
        <v>17664000</v>
      </c>
      <c r="AC74" s="265" t="n">
        <v>20028000</v>
      </c>
      <c r="AD74" s="265" t="n">
        <v>24768000</v>
      </c>
    </row>
    <row r="75">
      <c r="A75" t="inlineStr">
        <is>
          <t>Segmento Other Bets - receita (USD) · fonte · unid. moeda</t>
        </is>
      </c>
      <c r="B75" t="n">
        <v>51</v>
      </c>
      <c r="C75" t="inlineStr">
        <is>
          <t>Segmento Other Bets - receita (USD)</t>
        </is>
      </c>
      <c r="D75" s="265" t="n">
        <v>198000</v>
      </c>
      <c r="E75" s="265" t="n">
        <v>192000</v>
      </c>
      <c r="F75" s="265" t="n">
        <v>182000</v>
      </c>
      <c r="G75" s="265" t="n">
        <v>181000</v>
      </c>
      <c r="I75" s="265" t="n">
        <v>440000</v>
      </c>
      <c r="J75" s="265" t="n">
        <v>193000</v>
      </c>
      <c r="K75" s="265" t="n">
        <v>209000</v>
      </c>
      <c r="L75" s="265" t="n">
        <v>226000</v>
      </c>
      <c r="N75" s="265" t="n">
        <v>288000</v>
      </c>
      <c r="O75" s="265" t="n">
        <v>285000</v>
      </c>
      <c r="P75" s="265" t="n">
        <v>297000</v>
      </c>
      <c r="Q75" s="265" t="n">
        <v>657000</v>
      </c>
      <c r="S75" s="265" t="n">
        <v>495000</v>
      </c>
      <c r="T75" s="265" t="n">
        <v>365000</v>
      </c>
      <c r="U75" s="265" t="n">
        <v>388000</v>
      </c>
      <c r="V75" s="265" t="n">
        <v>400000</v>
      </c>
      <c r="X75" s="265" t="n">
        <v>450000</v>
      </c>
      <c r="Y75" s="265" t="n">
        <v>373000</v>
      </c>
      <c r="Z75" s="265" t="n">
        <v>344000</v>
      </c>
      <c r="AA75" s="265" t="n">
        <v>370000</v>
      </c>
      <c r="AC75" s="265" t="n">
        <v>411000</v>
      </c>
      <c r="AD75" s="265" t="n">
        <v>382000</v>
      </c>
    </row>
    <row r="76">
      <c r="A76" t="inlineStr">
        <is>
          <t>Google Services - lucro operacional (USD) · fonte · unid. moeda</t>
        </is>
      </c>
      <c r="B76" t="n">
        <v>52</v>
      </c>
      <c r="C76" t="inlineStr">
        <is>
          <t>Google Services - lucro operacional (USD)</t>
        </is>
      </c>
      <c r="D76" s="265" t="n">
        <v>19546000</v>
      </c>
      <c r="E76" s="265" t="n">
        <v>22343000</v>
      </c>
      <c r="F76" s="265" t="n">
        <v>23973000</v>
      </c>
      <c r="G76" s="265" t="n">
        <v>22270000</v>
      </c>
      <c r="I76" s="265" t="n">
        <v>22920000</v>
      </c>
      <c r="J76" s="265" t="n">
        <v>22770000</v>
      </c>
      <c r="K76" s="265" t="n">
        <v>19781000</v>
      </c>
      <c r="L76" s="265" t="n">
        <v>17228000</v>
      </c>
      <c r="N76" s="265" t="n">
        <v>21737000</v>
      </c>
      <c r="O76" s="265" t="n">
        <v>23454000</v>
      </c>
      <c r="P76" s="265" t="n">
        <v>23937000</v>
      </c>
      <c r="Q76" s="265" t="n">
        <v>26730000</v>
      </c>
      <c r="S76" s="265" t="n">
        <v>27897000</v>
      </c>
      <c r="T76" s="265" t="n">
        <v>29674000</v>
      </c>
      <c r="U76" s="265" t="n">
        <v>30856000</v>
      </c>
      <c r="V76" s="265" t="n">
        <v>32836000</v>
      </c>
      <c r="X76" s="265" t="n">
        <v>32682000</v>
      </c>
      <c r="Y76" s="265" t="n">
        <v>33063000</v>
      </c>
      <c r="Z76" s="265" t="n">
        <v>33527000</v>
      </c>
      <c r="AA76" s="265" t="n">
        <v>40132000</v>
      </c>
      <c r="AC76" s="265" t="n">
        <v>40589000</v>
      </c>
      <c r="AD76" s="265" t="n">
        <v>39544000</v>
      </c>
    </row>
    <row r="77">
      <c r="A77" t="inlineStr">
        <is>
          <t>Google Cloud - lucro operacional (USD) · fonte · unid. moeda</t>
        </is>
      </c>
      <c r="B77" t="n">
        <v>53</v>
      </c>
      <c r="C77" t="inlineStr">
        <is>
          <t>Google Cloud - lucro operacional (USD)</t>
        </is>
      </c>
      <c r="D77" s="265" t="n">
        <v>-974000</v>
      </c>
      <c r="E77" s="265" t="n">
        <v>-591000</v>
      </c>
      <c r="F77" s="265" t="n">
        <v>-644000</v>
      </c>
      <c r="G77" s="265" t="n">
        <v>-73000</v>
      </c>
      <c r="I77" s="265" t="n">
        <v>-931000</v>
      </c>
      <c r="J77" s="265" t="n">
        <v>-858000</v>
      </c>
      <c r="K77" s="265" t="n">
        <v>-699000</v>
      </c>
      <c r="L77" s="265" t="n">
        <v>566000</v>
      </c>
      <c r="N77" s="265" t="n">
        <v>191000</v>
      </c>
      <c r="O77" s="265" t="n">
        <v>395000</v>
      </c>
      <c r="P77" s="265" t="n">
        <v>266000</v>
      </c>
      <c r="Q77" s="265" t="n">
        <v>864000</v>
      </c>
      <c r="S77" s="265" t="n">
        <v>900000</v>
      </c>
      <c r="T77" s="265" t="n">
        <v>1172000</v>
      </c>
      <c r="U77" s="265" t="n">
        <v>1947000</v>
      </c>
      <c r="V77" s="265" t="n">
        <v>2093000</v>
      </c>
      <c r="X77" s="265" t="n">
        <v>2177000</v>
      </c>
      <c r="Y77" s="265" t="n">
        <v>2826000</v>
      </c>
      <c r="Z77" s="265" t="n">
        <v>3594000</v>
      </c>
      <c r="AA77" s="265" t="n">
        <v>5313000</v>
      </c>
      <c r="AC77" s="265" t="n">
        <v>6598000</v>
      </c>
      <c r="AD77" s="265" t="n">
        <v>8814000</v>
      </c>
    </row>
    <row r="78">
      <c r="A78" t="inlineStr">
        <is>
          <t>Other Bets - lucro operacional (USD) · fonte · unid. moeda</t>
        </is>
      </c>
      <c r="B78" t="n">
        <v>54</v>
      </c>
      <c r="C78" t="inlineStr">
        <is>
          <t>Other Bets - lucro operacional (USD)</t>
        </is>
      </c>
      <c r="D78" s="265" t="n">
        <v>-1145000</v>
      </c>
      <c r="E78" s="265" t="n">
        <v>-1398000</v>
      </c>
      <c r="F78" s="265" t="n">
        <v>-1288000</v>
      </c>
      <c r="G78" s="265" t="n">
        <v>-220000</v>
      </c>
      <c r="I78" s="265" t="n">
        <v>-835000</v>
      </c>
      <c r="J78" s="265" t="n">
        <v>-1339000</v>
      </c>
      <c r="K78" s="265" t="n">
        <v>-1225000</v>
      </c>
      <c r="L78" s="265" t="n">
        <v>-1237000</v>
      </c>
      <c r="N78" s="265" t="n">
        <v>-1225000</v>
      </c>
      <c r="O78" s="265" t="n">
        <v>-813000</v>
      </c>
      <c r="P78" s="265" t="n">
        <v>-1194000</v>
      </c>
      <c r="Q78" s="265" t="n">
        <v>-863000</v>
      </c>
      <c r="S78" s="265" t="n">
        <v>-1020000</v>
      </c>
      <c r="T78" s="265" t="n">
        <v>-1134000</v>
      </c>
      <c r="U78" s="265" t="n">
        <v>-1116000</v>
      </c>
      <c r="V78" s="265" t="n">
        <v>-1174000</v>
      </c>
      <c r="X78" s="265" t="n">
        <v>-1226000</v>
      </c>
      <c r="Y78" s="265" t="n">
        <v>-1246000</v>
      </c>
      <c r="Z78" s="265" t="n">
        <v>-1426000</v>
      </c>
      <c r="AA78" s="265" t="n">
        <v>-3617000</v>
      </c>
      <c r="AC78" s="265" t="n">
        <v>-2100000</v>
      </c>
      <c r="AD78" s="265" t="n">
        <v>-1799000</v>
      </c>
    </row>
    <row r="79">
      <c r="A79" t="inlineStr">
        <is>
          <t>Alphabet-level activities - resultado operacional (USD) · fonte · unid. moeda</t>
        </is>
      </c>
      <c r="B79" t="n">
        <v>55</v>
      </c>
      <c r="C79" t="inlineStr">
        <is>
          <t>Alphabet-level activities - resultado operacional (USD)</t>
        </is>
      </c>
      <c r="D79" s="265" t="n">
        <v>-990000</v>
      </c>
      <c r="E79" s="265" t="n">
        <v>-993000</v>
      </c>
      <c r="F79" s="265" t="n">
        <v>-1010000</v>
      </c>
      <c r="G79" s="265" t="n">
        <v>-92000</v>
      </c>
      <c r="I79" s="265" t="n">
        <v>-338000</v>
      </c>
      <c r="J79" s="265" t="n">
        <v>-239000</v>
      </c>
      <c r="K79" s="265" t="n">
        <v>-83000</v>
      </c>
      <c r="L79" s="265" t="n">
        <v>-639000</v>
      </c>
      <c r="N79" s="265" t="n">
        <v>-3288000</v>
      </c>
      <c r="O79" s="265" t="n">
        <v>-1198000</v>
      </c>
      <c r="P79" s="265" t="n">
        <v>-1666000</v>
      </c>
      <c r="Q79" s="265" t="n">
        <v>-3034000</v>
      </c>
      <c r="S79" s="265" t="n">
        <v>-2305000</v>
      </c>
      <c r="T79" s="265" t="n">
        <v>-2287000</v>
      </c>
      <c r="U79" s="265" t="n">
        <v>-3166000</v>
      </c>
      <c r="V79" s="265" t="n">
        <v>-2783000</v>
      </c>
      <c r="X79" s="265" t="n">
        <v>-3027000</v>
      </c>
      <c r="Y79" s="265" t="n">
        <v>-3372000</v>
      </c>
      <c r="Z79" s="265" t="n">
        <v>-4467000</v>
      </c>
      <c r="AA79" s="265" t="n">
        <v>-5894000</v>
      </c>
      <c r="AC79" s="265" t="n">
        <v>-5391000</v>
      </c>
      <c r="AD79" s="265" t="n">
        <v>-5789000</v>
      </c>
    </row>
    <row r="80">
      <c r="A80" t="inlineStr">
        <is>
          <t>Receita Estados Unidos (USD) · fonte · unid. moeda</t>
        </is>
      </c>
      <c r="B80" t="n">
        <v>56</v>
      </c>
      <c r="C80" t="inlineStr">
        <is>
          <t>Receita Estados Unidos (USD)</t>
        </is>
      </c>
      <c r="D80" s="265" t="n">
        <v>25032000</v>
      </c>
      <c r="E80" s="265" t="n">
        <v>28208000</v>
      </c>
      <c r="F80" s="265" t="n">
        <v>29824000</v>
      </c>
      <c r="G80" s="265" t="n">
        <v>34790000</v>
      </c>
      <c r="I80" s="265" t="n">
        <v>31733000</v>
      </c>
      <c r="J80" s="265" t="n">
        <v>32727000</v>
      </c>
      <c r="K80" s="265" t="n">
        <v>33372000</v>
      </c>
      <c r="L80" s="265" t="n">
        <v>36982000</v>
      </c>
      <c r="N80" s="265" t="n">
        <v>32864000</v>
      </c>
      <c r="O80" s="265" t="n">
        <v>35073000</v>
      </c>
      <c r="P80" s="265" t="n">
        <v>36354000</v>
      </c>
      <c r="Q80" s="265" t="n">
        <v>41995000</v>
      </c>
      <c r="S80" s="265" t="n">
        <v>38737000</v>
      </c>
      <c r="T80" s="265" t="n">
        <v>41196000</v>
      </c>
      <c r="U80" s="265" t="n">
        <v>43139000</v>
      </c>
      <c r="V80" s="265" t="n">
        <v>47375000</v>
      </c>
      <c r="X80" s="265" t="n">
        <v>43964000</v>
      </c>
      <c r="Y80" s="265" t="n">
        <v>46063000</v>
      </c>
      <c r="Z80" s="265" t="n">
        <v>48758000</v>
      </c>
      <c r="AA80" s="265" t="n">
        <v>55444000</v>
      </c>
      <c r="AC80" s="265" t="n">
        <v>53975000</v>
      </c>
      <c r="AD80" s="265" t="n">
        <v>60846000</v>
      </c>
    </row>
    <row r="81">
      <c r="A81" t="inlineStr">
        <is>
          <t>Receita EMEA (USD) · fonte · unid. moeda</t>
        </is>
      </c>
      <c r="B81" t="n">
        <v>57</v>
      </c>
      <c r="C81" t="inlineStr">
        <is>
          <t>Receita EMEA (USD)</t>
        </is>
      </c>
      <c r="D81" s="265" t="n">
        <v>17031000</v>
      </c>
      <c r="E81" s="265" t="n">
        <v>19084000</v>
      </c>
      <c r="F81" s="265" t="n">
        <v>19839000</v>
      </c>
      <c r="G81" s="265" t="n">
        <v>23153000</v>
      </c>
      <c r="I81" s="265" t="n">
        <v>20317000</v>
      </c>
      <c r="J81" s="265" t="n">
        <v>20533000</v>
      </c>
      <c r="K81" s="265" t="n">
        <v>19450000</v>
      </c>
      <c r="L81" s="265" t="n">
        <v>21762000</v>
      </c>
      <c r="N81" s="265" t="n">
        <v>21078000</v>
      </c>
      <c r="O81" s="265" t="n">
        <v>22289000</v>
      </c>
      <c r="P81" s="265" t="n">
        <v>22661000</v>
      </c>
      <c r="Q81" s="265" t="n">
        <v>25010000</v>
      </c>
      <c r="S81" s="265" t="n">
        <v>23788000</v>
      </c>
      <c r="T81" s="265" t="n">
        <v>24683000</v>
      </c>
      <c r="U81" s="265" t="n">
        <v>25472000</v>
      </c>
      <c r="V81" s="265" t="n">
        <v>28184000</v>
      </c>
      <c r="X81" s="265" t="n">
        <v>25923000</v>
      </c>
      <c r="Y81" s="265" t="n">
        <v>28262000</v>
      </c>
      <c r="Z81" s="265" t="n">
        <v>29911000</v>
      </c>
      <c r="AA81" s="265" t="n">
        <v>33056000</v>
      </c>
      <c r="AC81" s="265" t="n">
        <v>31468000</v>
      </c>
      <c r="AD81" s="265" t="n">
        <v>32501000</v>
      </c>
    </row>
    <row r="82">
      <c r="A82" t="inlineStr">
        <is>
          <t>Receita APAC (USD) · fonte · unid. moeda</t>
        </is>
      </c>
      <c r="B82" t="n">
        <v>58</v>
      </c>
      <c r="C82" t="inlineStr">
        <is>
          <t>Receita APAC (USD)</t>
        </is>
      </c>
      <c r="D82" s="265" t="n">
        <v>10455000</v>
      </c>
      <c r="E82" s="265" t="n">
        <v>11231000</v>
      </c>
      <c r="F82" s="265" t="n">
        <v>11705000</v>
      </c>
      <c r="G82" s="265" t="n">
        <v>12732000</v>
      </c>
      <c r="I82" s="265" t="n">
        <v>11841000</v>
      </c>
      <c r="J82" s="265" t="n">
        <v>11710000</v>
      </c>
      <c r="K82" s="265" t="n">
        <v>11494000</v>
      </c>
      <c r="L82" s="265" t="n">
        <v>11979000</v>
      </c>
      <c r="N82" s="265" t="n">
        <v>11681000</v>
      </c>
      <c r="O82" s="265" t="n">
        <v>12728000</v>
      </c>
      <c r="P82" s="265" t="n">
        <v>13126000</v>
      </c>
      <c r="Q82" s="265" t="n">
        <v>13979000</v>
      </c>
      <c r="S82" s="265" t="n">
        <v>13289000</v>
      </c>
      <c r="T82" s="265" t="n">
        <v>13823000</v>
      </c>
      <c r="U82" s="265" t="n">
        <v>14547000</v>
      </c>
      <c r="V82" s="265" t="n">
        <v>15156000</v>
      </c>
      <c r="X82" s="265" t="n">
        <v>14854000</v>
      </c>
      <c r="Y82" s="265" t="n">
        <v>16480000</v>
      </c>
      <c r="Z82" s="265" t="n">
        <v>17819000</v>
      </c>
      <c r="AA82" s="265" t="n">
        <v>18527000</v>
      </c>
      <c r="AC82" s="265" t="n">
        <v>18288000</v>
      </c>
      <c r="AD82" s="265" t="n">
        <v>19317000</v>
      </c>
    </row>
    <row r="83">
      <c r="A83" t="inlineStr">
        <is>
          <t>Receita Outras Américas (USD) · fonte · unid. moeda</t>
        </is>
      </c>
      <c r="B83" t="n">
        <v>59</v>
      </c>
      <c r="C83" t="inlineStr">
        <is>
          <t>Receita Outras Américas (USD)</t>
        </is>
      </c>
      <c r="D83" s="265" t="n">
        <v>2905000</v>
      </c>
      <c r="E83" s="265" t="n">
        <v>3364000</v>
      </c>
      <c r="F83" s="265" t="n">
        <v>3688000</v>
      </c>
      <c r="G83" s="265" t="n">
        <v>4447000</v>
      </c>
      <c r="I83" s="265" t="n">
        <v>3842000</v>
      </c>
      <c r="J83" s="265" t="n">
        <v>4340000</v>
      </c>
      <c r="K83" s="265" t="n">
        <v>4138000</v>
      </c>
      <c r="L83" s="265" t="n">
        <v>4656000</v>
      </c>
      <c r="N83" s="265" t="n">
        <v>4080000</v>
      </c>
      <c r="O83" s="265" t="n">
        <v>4511000</v>
      </c>
      <c r="P83" s="265" t="n">
        <v>4553000</v>
      </c>
      <c r="Q83" s="265" t="n">
        <v>5176000</v>
      </c>
      <c r="S83" s="265" t="n">
        <v>4653000</v>
      </c>
      <c r="T83" s="265" t="n">
        <v>4938000</v>
      </c>
      <c r="U83" s="265" t="n">
        <v>5093000</v>
      </c>
      <c r="V83" s="265" t="n">
        <v>5734000</v>
      </c>
      <c r="X83" s="265" t="n">
        <v>5233000</v>
      </c>
      <c r="Y83" s="265" t="n">
        <v>5735000</v>
      </c>
      <c r="Z83" s="265" t="n">
        <v>6065000</v>
      </c>
      <c r="AA83" s="265" t="n">
        <v>6869000</v>
      </c>
      <c r="AC83" s="265" t="n">
        <v>6345000</v>
      </c>
      <c r="AD83" s="265" t="n">
        <v>7026000</v>
      </c>
    </row>
    <row r="84">
      <c r="A84" t="inlineStr">
        <is>
          <t>Notas: valores dimensionais das instâncias XBRL; trimestre sem 3M publicado = acumulado do ano menos o acumulado anterior. Os nomes dos membros mudaram ao longo do tempo (GoogleInc, GoogleServicesMember, GoogleServicesSegmentMember) e foram costurados.</t>
        </is>
      </c>
      <c r="C84" t="inlineStr">
        <is>
          <t>[linha bruta, sem código; lançada nas linhas abaixo]</t>
        </is>
      </c>
      <c r="D84" s="265" t="n"/>
      <c r="E84" s="265" t="n"/>
      <c r="F84" s="265" t="n"/>
      <c r="G84" s="265" t="n"/>
      <c r="I84" s="265" t="n"/>
      <c r="J84" s="265" t="n"/>
      <c r="K84" s="265" t="n"/>
      <c r="L84" s="265" t="n"/>
      <c r="N84" s="265" t="n"/>
      <c r="O84" s="265" t="n"/>
      <c r="P84" s="265" t="n"/>
      <c r="Q84" s="265" t="n"/>
      <c r="S84" s="265" t="n"/>
      <c r="T84" s="265" t="n"/>
      <c r="U84" s="265" t="n"/>
      <c r="V84" s="265" t="n"/>
      <c r="X84" s="265" t="n"/>
      <c r="Y84" s="265" t="n"/>
      <c r="Z84" s="265" t="n"/>
      <c r="AA84" s="265" t="n"/>
      <c r="AC84" s="265" t="n"/>
      <c r="AD84" s="265" t="n"/>
    </row>
    <row r="86">
      <c r="A86" t="inlineStr">
        <is>
          <t>Linhas de origem: 4 a 84. A Inputs (2) varre as linhas 4 a 150; as linhas 85 a 150 estão livres. Linhas "(lançamento)" aplicam código e sinal sobre a linha bruta indicada (a máscara tem uma só coluna de código).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67"/>
  <sheetViews>
    <sheetView showGridLines="0" tabSelected="1" zoomScaleNormal="100" workbookViewId="0">
      <pane xSplit="3" ySplit="3" topLeftCell="D4" activePane="bottomRight" state="frozen"/>
      <selection activeCell="C3" sqref="C3"/>
      <selection pane="topRight" activeCell="C3" sqref="C3"/>
      <selection pane="bottomLeft" activeCell="C3" sqref="C3"/>
      <selection pane="bottomRight" activeCell="C3" sqref="C3"/>
    </sheetView>
  </sheetViews>
  <sheetFormatPr baseColWidth="8" defaultColWidth="10.42578125" defaultRowHeight="12.75"/>
  <cols>
    <col width="14.7109375" customWidth="1" style="3" min="1" max="1"/>
    <col width="10.140625" customWidth="1" style="3" min="2" max="2"/>
    <col width="50" customWidth="1" style="4" min="3" max="3"/>
    <col width="12.42578125" customWidth="1" style="3" min="4" max="33"/>
    <col width="10.42578125" customWidth="1" style="4" min="34" max="54"/>
    <col width="11" customWidth="1" style="4" min="55" max="55"/>
    <col width="10.42578125" customWidth="1" style="4" min="56" max="58"/>
    <col width="10.42578125" customWidth="1" style="4" min="59" max="16384"/>
  </cols>
  <sheetData>
    <row r="1" ht="14.25" customFormat="1" customHeight="1" s="3">
      <c r="A1" s="5" t="str">
        <f>IF(Control!B3="","EMPRESA",Control!B3)</f>
        <v>Alphabet Inc.</v>
      </c>
      <c r="B1" s="5" t="inlineStr">
        <is>
          <t>Código</t>
        </is>
      </c>
      <c r="C1" s="1" t="inlineStr">
        <is>
          <t>Conta padronizada</t>
        </is>
      </c>
      <c r="D1" s="1" t="n">
        <v>2021</v>
      </c>
      <c r="E1" s="1" t="n">
        <v>2021</v>
      </c>
      <c r="F1" s="1" t="n">
        <v>2021</v>
      </c>
      <c r="G1" s="1" t="n">
        <v>2021</v>
      </c>
      <c r="H1" s="1" t="n">
        <v>2021</v>
      </c>
      <c r="I1" s="1" t="n">
        <v>2022</v>
      </c>
      <c r="J1" s="1" t="n">
        <v>2022</v>
      </c>
      <c r="K1" s="1" t="n">
        <v>2022</v>
      </c>
      <c r="L1" s="1" t="n">
        <v>2022</v>
      </c>
      <c r="M1" s="1" t="n">
        <v>2022</v>
      </c>
      <c r="N1" s="1" t="n">
        <v>2023</v>
      </c>
      <c r="O1" s="1" t="n">
        <v>2023</v>
      </c>
      <c r="P1" s="1" t="n">
        <v>2023</v>
      </c>
      <c r="Q1" s="1" t="n">
        <v>2023</v>
      </c>
      <c r="R1" s="1" t="n">
        <v>2023</v>
      </c>
      <c r="S1" s="1" t="n">
        <v>2024</v>
      </c>
      <c r="T1" s="1" t="n">
        <v>2024</v>
      </c>
      <c r="U1" s="1" t="n">
        <v>2024</v>
      </c>
      <c r="V1" s="1" t="n">
        <v>2024</v>
      </c>
      <c r="W1" s="1" t="n">
        <v>2024</v>
      </c>
      <c r="X1" s="1" t="n">
        <v>2025</v>
      </c>
      <c r="Y1" s="1" t="n">
        <v>2025</v>
      </c>
      <c r="Z1" s="1" t="n">
        <v>2025</v>
      </c>
      <c r="AA1" s="1" t="n">
        <v>2025</v>
      </c>
      <c r="AB1" s="1" t="n">
        <v>2025</v>
      </c>
      <c r="AC1" s="1" t="n">
        <v>2026</v>
      </c>
      <c r="AD1" s="1" t="n">
        <v>2026</v>
      </c>
      <c r="AE1" s="1" t="n">
        <v>2026</v>
      </c>
      <c r="AF1" s="1" t="n">
        <v>2026</v>
      </c>
      <c r="AG1" s="1" t="n">
        <v>2026</v>
      </c>
    </row>
    <row r="2" ht="14.25" customHeight="1">
      <c r="A2" s="1" t="inlineStr">
        <is>
          <t>US$ milhões</t>
        </is>
      </c>
      <c r="B2" s="1" t="n"/>
      <c r="C2" s="1" t="inlineStr">
        <is>
          <t>Período</t>
        </is>
      </c>
      <c r="D2" s="6" t="inlineStr">
        <is>
          <t>1Q21</t>
        </is>
      </c>
      <c r="E2" s="6" t="inlineStr">
        <is>
          <t>2Q21</t>
        </is>
      </c>
      <c r="F2" s="6" t="inlineStr">
        <is>
          <t>3Q21</t>
        </is>
      </c>
      <c r="G2" s="6" t="inlineStr">
        <is>
          <t>4Q21</t>
        </is>
      </c>
      <c r="H2" s="7" t="inlineStr">
        <is>
          <t>2021</t>
        </is>
      </c>
      <c r="I2" s="6" t="inlineStr">
        <is>
          <t>1Q22</t>
        </is>
      </c>
      <c r="J2" s="6" t="inlineStr">
        <is>
          <t>2Q22</t>
        </is>
      </c>
      <c r="K2" s="6" t="inlineStr">
        <is>
          <t>3Q22</t>
        </is>
      </c>
      <c r="L2" s="6" t="inlineStr">
        <is>
          <t>4Q22</t>
        </is>
      </c>
      <c r="M2" s="7" t="inlineStr">
        <is>
          <t>2022</t>
        </is>
      </c>
      <c r="N2" s="6" t="inlineStr">
        <is>
          <t>1Q23</t>
        </is>
      </c>
      <c r="O2" s="6" t="inlineStr">
        <is>
          <t>2Q23</t>
        </is>
      </c>
      <c r="P2" s="6" t="inlineStr">
        <is>
          <t>3Q23</t>
        </is>
      </c>
      <c r="Q2" s="6" t="inlineStr">
        <is>
          <t>4Q23</t>
        </is>
      </c>
      <c r="R2" s="7" t="inlineStr">
        <is>
          <t>2023</t>
        </is>
      </c>
      <c r="S2" s="6" t="inlineStr">
        <is>
          <t>1Q24</t>
        </is>
      </c>
      <c r="T2" s="6" t="inlineStr">
        <is>
          <t>2Q24</t>
        </is>
      </c>
      <c r="U2" s="6" t="inlineStr">
        <is>
          <t>3Q24</t>
        </is>
      </c>
      <c r="V2" s="6" t="inlineStr">
        <is>
          <t>4Q24</t>
        </is>
      </c>
      <c r="W2" s="7" t="inlineStr">
        <is>
          <t>2024</t>
        </is>
      </c>
      <c r="X2" s="6" t="inlineStr">
        <is>
          <t>1Q25</t>
        </is>
      </c>
      <c r="Y2" s="6" t="inlineStr">
        <is>
          <t>2Q25</t>
        </is>
      </c>
      <c r="Z2" s="6" t="inlineStr">
        <is>
          <t>3Q25</t>
        </is>
      </c>
      <c r="AA2" s="6" t="inlineStr">
        <is>
          <t>4Q25</t>
        </is>
      </c>
      <c r="AB2" s="7" t="inlineStr">
        <is>
          <t>2025</t>
        </is>
      </c>
      <c r="AC2" s="6" t="inlineStr">
        <is>
          <t>1Q26</t>
        </is>
      </c>
      <c r="AD2" s="6" t="inlineStr">
        <is>
          <t>2Q26</t>
        </is>
      </c>
      <c r="AE2" s="6" t="inlineStr">
        <is>
          <t>3Q26</t>
        </is>
      </c>
      <c r="AF2" s="6" t="inlineStr">
        <is>
          <t>4Q26</t>
        </is>
      </c>
      <c r="AG2" s="7" t="inlineStr">
        <is>
          <t>2026</t>
        </is>
      </c>
    </row>
    <row r="3" ht="15" customHeight="1">
      <c r="A3" s="8" t="inlineStr">
        <is>
          <t>Actual flag</t>
        </is>
      </c>
      <c r="B3" s="8" t="n"/>
      <c r="C3" s="8" t="inlineStr">
        <is>
          <t>0 = sem dados / 1 = realizado</t>
        </is>
      </c>
      <c r="D3" s="8" t="n">
        <v>1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8" t="n">
        <v>1</v>
      </c>
      <c r="K3" s="8" t="n">
        <v>1</v>
      </c>
      <c r="L3" s="8" t="n">
        <v>1</v>
      </c>
      <c r="M3" s="8" t="n">
        <v>1</v>
      </c>
      <c r="N3" s="8" t="n">
        <v>1</v>
      </c>
      <c r="O3" s="8" t="n">
        <v>1</v>
      </c>
      <c r="P3" s="8" t="n">
        <v>1</v>
      </c>
      <c r="Q3" s="8" t="n">
        <v>1</v>
      </c>
      <c r="R3" s="8" t="n">
        <v>1</v>
      </c>
      <c r="S3" s="8" t="n">
        <v>1</v>
      </c>
      <c r="T3" s="8" t="n">
        <v>1</v>
      </c>
      <c r="U3" s="8" t="n">
        <v>1</v>
      </c>
      <c r="V3" s="8" t="n">
        <v>1</v>
      </c>
      <c r="W3" s="8" t="n">
        <v>1</v>
      </c>
      <c r="X3" s="8" t="n">
        <v>1</v>
      </c>
      <c r="Y3" s="8" t="n">
        <v>1</v>
      </c>
      <c r="Z3" s="8" t="n">
        <v>1</v>
      </c>
      <c r="AA3" s="8" t="n">
        <v>1</v>
      </c>
      <c r="AB3" s="8" t="n">
        <v>1</v>
      </c>
      <c r="AC3" s="8" t="n">
        <v>1</v>
      </c>
      <c r="AD3" s="8" t="n">
        <v>1</v>
      </c>
      <c r="AE3" s="8" t="n">
        <v>0</v>
      </c>
      <c r="AF3" s="8" t="n">
        <v>0</v>
      </c>
      <c r="AG3" s="8" t="n">
        <v>0</v>
      </c>
    </row>
    <row r="4">
      <c r="B4" s="9" t="n">
        <v>1</v>
      </c>
      <c r="C4" s="10" t="inlineStr">
        <is>
          <t>Net Revenues</t>
        </is>
      </c>
      <c r="D4" s="11">
        <f>IF(D$3=0,"",SUMIFS(INDEX(Inputs!$D$4:$AG$150,0,MATCH(D$2,Inputs!$D$2:$AG$2,0)),Inputs!$B$4:$B$150,$B4)/1000)</f>
        <v>55314</v>
      </c>
      <c r="E4" s="11">
        <f>IF(E$3=0,"",SUMIFS(INDEX(Inputs!$D$4:$AG$150,0,MATCH(E$2,Inputs!$D$2:$AG$2,0)),Inputs!$B$4:$B$150,$B4)/1000)</f>
        <v>61880</v>
      </c>
      <c r="F4" s="11">
        <f>IF(F$3=0,"",SUMIFS(INDEX(Inputs!$D$4:$AG$150,0,MATCH(F$2,Inputs!$D$2:$AG$2,0)),Inputs!$B$4:$B$150,$B4)/1000)</f>
        <v>65118</v>
      </c>
      <c r="G4" s="11">
        <f>IF(G$3=0,"",SUMIFS(INDEX(Inputs!$D$4:$AG$150,0,MATCH(G$2,Inputs!$D$2:$AG$2,0)),Inputs!$B$4:$B$150,$B4)/1000)</f>
        <v>75325</v>
      </c>
      <c r="H4" s="12">
        <f>IF(COUNT(D4:G4)=4,SUM(D4:G4),"")</f>
        <v>257637</v>
      </c>
      <c r="I4" s="11">
        <f>IF(I$3=0,"",SUMIFS(INDEX(Inputs!$D$4:$AG$150,0,MATCH(I$2,Inputs!$D$2:$AG$2,0)),Inputs!$B$4:$B$150,$B4)/1000)</f>
        <v>68011</v>
      </c>
      <c r="J4" s="11">
        <f>IF(J$3=0,"",SUMIFS(INDEX(Inputs!$D$4:$AG$150,0,MATCH(J$2,Inputs!$D$2:$AG$2,0)),Inputs!$B$4:$B$150,$B4)/1000)</f>
        <v>69685</v>
      </c>
      <c r="K4" s="11">
        <f>IF(K$3=0,"",SUMIFS(INDEX(Inputs!$D$4:$AG$150,0,MATCH(K$2,Inputs!$D$2:$AG$2,0)),Inputs!$B$4:$B$150,$B4)/1000)</f>
        <v>69092</v>
      </c>
      <c r="L4" s="11">
        <f>IF(L$3=0,"",SUMIFS(INDEX(Inputs!$D$4:$AG$150,0,MATCH(L$2,Inputs!$D$2:$AG$2,0)),Inputs!$B$4:$B$150,$B4)/1000)</f>
        <v>76048</v>
      </c>
      <c r="M4" s="12">
        <f>IF(COUNT(I4:L4)=4,SUM(I4:L4),"")</f>
        <v>282836</v>
      </c>
      <c r="N4" s="11">
        <f>IF(N$3=0,"",SUMIFS(INDEX(Inputs!$D$4:$AG$150,0,MATCH(N$2,Inputs!$D$2:$AG$2,0)),Inputs!$B$4:$B$150,$B4)/1000)</f>
        <v>69787</v>
      </c>
      <c r="O4" s="11">
        <f>IF(O$3=0,"",SUMIFS(INDEX(Inputs!$D$4:$AG$150,0,MATCH(O$2,Inputs!$D$2:$AG$2,0)),Inputs!$B$4:$B$150,$B4)/1000)</f>
        <v>74604</v>
      </c>
      <c r="P4" s="11">
        <f>IF(P$3=0,"",SUMIFS(INDEX(Inputs!$D$4:$AG$150,0,MATCH(P$2,Inputs!$D$2:$AG$2,0)),Inputs!$B$4:$B$150,$B4)/1000)</f>
        <v>76693</v>
      </c>
      <c r="Q4" s="11">
        <f>IF(Q$3=0,"",SUMIFS(INDEX(Inputs!$D$4:$AG$150,0,MATCH(Q$2,Inputs!$D$2:$AG$2,0)),Inputs!$B$4:$B$150,$B4)/1000)</f>
        <v>86310</v>
      </c>
      <c r="R4" s="12">
        <f>IF(COUNT(N4:Q4)=4,SUM(N4:Q4),"")</f>
        <v>307394</v>
      </c>
      <c r="S4" s="11">
        <f>IF(S$3=0,"",SUMIFS(INDEX(Inputs!$D$4:$AG$150,0,MATCH(S$2,Inputs!$D$2:$AG$2,0)),Inputs!$B$4:$B$150,$B4)/1000)</f>
        <v>80539</v>
      </c>
      <c r="T4" s="11">
        <f>IF(T$3=0,"",SUMIFS(INDEX(Inputs!$D$4:$AG$150,0,MATCH(T$2,Inputs!$D$2:$AG$2,0)),Inputs!$B$4:$B$150,$B4)/1000)</f>
        <v>84742</v>
      </c>
      <c r="U4" s="11">
        <f>IF(U$3=0,"",SUMIFS(INDEX(Inputs!$D$4:$AG$150,0,MATCH(U$2,Inputs!$D$2:$AG$2,0)),Inputs!$B$4:$B$150,$B4)/1000)</f>
        <v>88268</v>
      </c>
      <c r="V4" s="11">
        <f>IF(V$3=0,"",SUMIFS(INDEX(Inputs!$D$4:$AG$150,0,MATCH(V$2,Inputs!$D$2:$AG$2,0)),Inputs!$B$4:$B$150,$B4)/1000)</f>
        <v>96469</v>
      </c>
      <c r="W4" s="12">
        <f>IF(COUNT(S4:V4)=4,SUM(S4:V4),"")</f>
        <v>350018</v>
      </c>
      <c r="X4" s="11">
        <f>IF(X$3=0,"",SUMIFS(INDEX(Inputs!$D$4:$AG$150,0,MATCH(X$2,Inputs!$D$2:$AG$2,0)),Inputs!$B$4:$B$150,$B4)/1000)</f>
        <v>90234</v>
      </c>
      <c r="Y4" s="11">
        <f>IF(Y$3=0,"",SUMIFS(INDEX(Inputs!$D$4:$AG$150,0,MATCH(Y$2,Inputs!$D$2:$AG$2,0)),Inputs!$B$4:$B$150,$B4)/1000)</f>
        <v>96428</v>
      </c>
      <c r="Z4" s="11">
        <f>IF(Z$3=0,"",SUMIFS(INDEX(Inputs!$D$4:$AG$150,0,MATCH(Z$2,Inputs!$D$2:$AG$2,0)),Inputs!$B$4:$B$150,$B4)/1000)</f>
        <v>102346</v>
      </c>
      <c r="AA4" s="11">
        <f>IF(AA$3=0,"",SUMIFS(INDEX(Inputs!$D$4:$AG$150,0,MATCH(AA$2,Inputs!$D$2:$AG$2,0)),Inputs!$B$4:$B$150,$B4)/1000)</f>
        <v>113829</v>
      </c>
      <c r="AB4" s="12">
        <f>IF(COUNT(X4:AA4)=4,SUM(X4:AA4),"")</f>
        <v>402837</v>
      </c>
      <c r="AC4" s="11">
        <f>IF(AC$3=0,"",SUMIFS(INDEX(Inputs!$D$4:$AG$150,0,MATCH(AC$2,Inputs!$D$2:$AG$2,0)),Inputs!$B$4:$B$150,$B4)/1000)</f>
        <v>109896</v>
      </c>
      <c r="AD4" s="11">
        <f>IF(AD$3=0,"",SUMIFS(INDEX(Inputs!$D$4:$AG$150,0,MATCH(AD$2,Inputs!$D$2:$AG$2,0)),Inputs!$B$4:$B$150,$B4)/1000)</f>
        <v>119796</v>
      </c>
      <c r="AE4" s="11" t="str">
        <f>IF(AE$3=0,"",SUMIFS(INDEX(Inputs!$D$4:$AG$150,0,MATCH(AE$2,Inputs!$D$2:$AG$2,0)),Inputs!$B$4:$B$150,$B4)/1000)</f>
        <v/>
      </c>
      <c r="AF4" s="11" t="str">
        <f>IF(AF$3=0,"",SUMIFS(INDEX(Inputs!$D$4:$AG$150,0,MATCH(AF$2,Inputs!$D$2:$AG$2,0)),Inputs!$B$4:$B$150,$B4)/1000)</f>
        <v/>
      </c>
      <c r="AG4" s="12" t="str">
        <f>IF(COUNT(AC4:AF4)=4,SUM(AC4:AF4),"")</f>
        <v/>
      </c>
    </row>
    <row r="5">
      <c r="B5" s="9" t="n">
        <v>2</v>
      </c>
      <c r="C5" s="13" t="inlineStr">
        <is>
          <t>COGS (cash)</t>
        </is>
      </c>
      <c r="D5" s="11">
        <f>IF(D$3=0,"",SUMIFS(INDEX(Inputs!$D$4:$AG$150,0,MATCH(D$2,Inputs!$D$2:$AG$2,0)),Inputs!$B$4:$B$150,$B5)/1000)</f>
        <v>-24103</v>
      </c>
      <c r="E5" s="11">
        <f>IF(E$3=0,"",SUMIFS(INDEX(Inputs!$D$4:$AG$150,0,MATCH(E$2,Inputs!$D$2:$AG$2,0)),Inputs!$B$4:$B$150,$B5)/1000)</f>
        <v>-26227</v>
      </c>
      <c r="F5" s="11">
        <f>IF(F$3=0,"",SUMIFS(INDEX(Inputs!$D$4:$AG$150,0,MATCH(F$2,Inputs!$D$2:$AG$2,0)),Inputs!$B$4:$B$150,$B5)/1000)</f>
        <v>-27621</v>
      </c>
      <c r="G5" s="11">
        <f>IF(G$3=0,"",SUMIFS(INDEX(Inputs!$D$4:$AG$150,0,MATCH(G$2,Inputs!$D$2:$AG$2,0)),Inputs!$B$4:$B$150,$B5)/1000)</f>
        <v>-32988</v>
      </c>
      <c r="H5" s="12">
        <f>IF(COUNT(D5:G5)=4,SUM(D5:G5),"")</f>
        <v>-110939</v>
      </c>
      <c r="I5" s="11">
        <f>IF(I$3=0,"",SUMIFS(INDEX(Inputs!$D$4:$AG$150,0,MATCH(I$2,Inputs!$D$2:$AG$2,0)),Inputs!$B$4:$B$150,$B5)/1000)</f>
        <v>-29599</v>
      </c>
      <c r="J5" s="11">
        <f>IF(J$3=0,"",SUMIFS(INDEX(Inputs!$D$4:$AG$150,0,MATCH(J$2,Inputs!$D$2:$AG$2,0)),Inputs!$B$4:$B$150,$B5)/1000)</f>
        <v>-30104</v>
      </c>
      <c r="K5" s="11">
        <f>IF(K$3=0,"",SUMIFS(INDEX(Inputs!$D$4:$AG$150,0,MATCH(K$2,Inputs!$D$2:$AG$2,0)),Inputs!$B$4:$B$150,$B5)/1000)</f>
        <v>-31158</v>
      </c>
      <c r="L5" s="11">
        <f>IF(L$3=0,"",SUMIFS(INDEX(Inputs!$D$4:$AG$150,0,MATCH(L$2,Inputs!$D$2:$AG$2,0)),Inputs!$B$4:$B$150,$B5)/1000)</f>
        <v>-35342</v>
      </c>
      <c r="M5" s="12">
        <f>IF(COUNT(I5:L5)=4,SUM(I5:L5),"")</f>
        <v>-126203</v>
      </c>
      <c r="N5" s="11">
        <f>IF(N$3=0,"",SUMIFS(INDEX(Inputs!$D$4:$AG$150,0,MATCH(N$2,Inputs!$D$2:$AG$2,0)),Inputs!$B$4:$B$150,$B5)/1000)</f>
        <v>-30612</v>
      </c>
      <c r="O5" s="11">
        <f>IF(O$3=0,"",SUMIFS(INDEX(Inputs!$D$4:$AG$150,0,MATCH(O$2,Inputs!$D$2:$AG$2,0)),Inputs!$B$4:$B$150,$B5)/1000)</f>
        <v>-31916</v>
      </c>
      <c r="P5" s="11">
        <f>IF(P$3=0,"",SUMIFS(INDEX(Inputs!$D$4:$AG$150,0,MATCH(P$2,Inputs!$D$2:$AG$2,0)),Inputs!$B$4:$B$150,$B5)/1000)</f>
        <v>-33229</v>
      </c>
      <c r="Q5" s="11">
        <f>IF(Q$3=0,"",SUMIFS(INDEX(Inputs!$D$4:$AG$150,0,MATCH(Q$2,Inputs!$D$2:$AG$2,0)),Inputs!$B$4:$B$150,$B5)/1000)</f>
        <v>-37575</v>
      </c>
      <c r="R5" s="12">
        <f>IF(COUNT(N5:Q5)=4,SUM(N5:Q5),"")</f>
        <v>-133332</v>
      </c>
      <c r="S5" s="11">
        <f>IF(S$3=0,"",SUMIFS(INDEX(Inputs!$D$4:$AG$150,0,MATCH(S$2,Inputs!$D$2:$AG$2,0)),Inputs!$B$4:$B$150,$B5)/1000)</f>
        <v>-33712</v>
      </c>
      <c r="T5" s="11">
        <f>IF(T$3=0,"",SUMIFS(INDEX(Inputs!$D$4:$AG$150,0,MATCH(T$2,Inputs!$D$2:$AG$2,0)),Inputs!$B$4:$B$150,$B5)/1000)</f>
        <v>-35507</v>
      </c>
      <c r="U5" s="11">
        <f>IF(U$3=0,"",SUMIFS(INDEX(Inputs!$D$4:$AG$150,0,MATCH(U$2,Inputs!$D$2:$AG$2,0)),Inputs!$B$4:$B$150,$B5)/1000)</f>
        <v>-36474</v>
      </c>
      <c r="V5" s="11">
        <f>IF(V$3=0,"",SUMIFS(INDEX(Inputs!$D$4:$AG$150,0,MATCH(V$2,Inputs!$D$2:$AG$2,0)),Inputs!$B$4:$B$150,$B5)/1000)</f>
        <v>-40613</v>
      </c>
      <c r="W5" s="12">
        <f>IF(COUNT(S5:V5)=4,SUM(S5:V5),"")</f>
        <v>-146306</v>
      </c>
      <c r="X5" s="11">
        <f>IF(X$3=0,"",SUMIFS(INDEX(Inputs!$D$4:$AG$150,0,MATCH(X$2,Inputs!$D$2:$AG$2,0)),Inputs!$B$4:$B$150,$B5)/1000)</f>
        <v>-36361</v>
      </c>
      <c r="Y5" s="11">
        <f>IF(Y$3=0,"",SUMIFS(INDEX(Inputs!$D$4:$AG$150,0,MATCH(Y$2,Inputs!$D$2:$AG$2,0)),Inputs!$B$4:$B$150,$B5)/1000)</f>
        <v>-39039</v>
      </c>
      <c r="Z5" s="11">
        <f>IF(Z$3=0,"",SUMIFS(INDEX(Inputs!$D$4:$AG$150,0,MATCH(Z$2,Inputs!$D$2:$AG$2,0)),Inputs!$B$4:$B$150,$B5)/1000)</f>
        <v>-41369</v>
      </c>
      <c r="AA5" s="11">
        <f>IF(AA$3=0,"",SUMIFS(INDEX(Inputs!$D$4:$AG$150,0,MATCH(AA$2,Inputs!$D$2:$AG$2,0)),Inputs!$B$4:$B$150,$B5)/1000)</f>
        <v>-45767</v>
      </c>
      <c r="AB5" s="12">
        <f>IF(COUNT(X5:AA5)=4,SUM(X5:AA5),"")</f>
        <v>-162536</v>
      </c>
      <c r="AC5" s="11">
        <f>IF(AC$3=0,"",SUMIFS(INDEX(Inputs!$D$4:$AG$150,0,MATCH(AC$2,Inputs!$D$2:$AG$2,0)),Inputs!$B$4:$B$150,$B5)/1000)</f>
        <v>-41271</v>
      </c>
      <c r="AD5" s="11">
        <f>IF(AD$3=0,"",SUMIFS(INDEX(Inputs!$D$4:$AG$150,0,MATCH(AD$2,Inputs!$D$2:$AG$2,0)),Inputs!$B$4:$B$150,$B5)/1000)</f>
        <v>-45943</v>
      </c>
      <c r="AE5" s="11" t="str">
        <f>IF(AE$3=0,"",SUMIFS(INDEX(Inputs!$D$4:$AG$150,0,MATCH(AE$2,Inputs!$D$2:$AG$2,0)),Inputs!$B$4:$B$150,$B5)/1000)</f>
        <v/>
      </c>
      <c r="AF5" s="11" t="str">
        <f>IF(AF$3=0,"",SUMIFS(INDEX(Inputs!$D$4:$AG$150,0,MATCH(AF$2,Inputs!$D$2:$AG$2,0)),Inputs!$B$4:$B$150,$B5)/1000)</f>
        <v/>
      </c>
      <c r="AG5" s="12" t="str">
        <f>IF(COUNT(AC5:AF5)=4,SUM(AC5:AF5),"")</f>
        <v/>
      </c>
    </row>
    <row r="6">
      <c r="B6" s="9" t="n">
        <v>3</v>
      </c>
      <c r="C6" s="13" t="inlineStr">
        <is>
          <t>SG&amp;A and Other (cash)</t>
        </is>
      </c>
      <c r="D6" s="11">
        <f>IF(D$3=0,"",SUMIFS(INDEX(Inputs!$D$4:$AG$150,0,MATCH(D$2,Inputs!$D$2:$AG$2,0)),Inputs!$B$4:$B$150,$B6)/1000)</f>
        <v>-12249</v>
      </c>
      <c r="E6" s="11">
        <f>IF(E$3=0,"",SUMIFS(INDEX(Inputs!$D$4:$AG$150,0,MATCH(E$2,Inputs!$D$2:$AG$2,0)),Inputs!$B$4:$B$150,$B6)/1000)</f>
        <v>-13562</v>
      </c>
      <c r="F6" s="11">
        <f>IF(F$3=0,"",SUMIFS(INDEX(Inputs!$D$4:$AG$150,0,MATCH(F$2,Inputs!$D$2:$AG$2,0)),Inputs!$B$4:$B$150,$B6)/1000)</f>
        <v>-13381</v>
      </c>
      <c r="G6" s="11">
        <f>IF(G$3=0,"",SUMIFS(INDEX(Inputs!$D$4:$AG$150,0,MATCH(G$2,Inputs!$D$2:$AG$2,0)),Inputs!$B$4:$B$150,$B6)/1000)</f>
        <v>-17237</v>
      </c>
      <c r="H6" s="12">
        <f>IF(COUNT(D6:G6)=4,SUM(D6:G6),"")</f>
        <v>-56429</v>
      </c>
      <c r="I6" s="11">
        <f>IF(I$3=0,"",SUMIFS(INDEX(Inputs!$D$4:$AG$150,0,MATCH(I$2,Inputs!$D$2:$AG$2,0)),Inputs!$B$4:$B$150,$B6)/1000)</f>
        <v>-14727</v>
      </c>
      <c r="J6" s="11">
        <f>IF(J$3=0,"",SUMIFS(INDEX(Inputs!$D$4:$AG$150,0,MATCH(J$2,Inputs!$D$2:$AG$2,0)),Inputs!$B$4:$B$150,$B6)/1000)</f>
        <v>-16430</v>
      </c>
      <c r="K6" s="11">
        <f>IF(K$3=0,"",SUMIFS(INDEX(Inputs!$D$4:$AG$150,0,MATCH(K$2,Inputs!$D$2:$AG$2,0)),Inputs!$B$4:$B$150,$B6)/1000)</f>
        <v>-16866</v>
      </c>
      <c r="L6" s="11">
        <f>IF(L$3=0,"",SUMIFS(INDEX(Inputs!$D$4:$AG$150,0,MATCH(L$2,Inputs!$D$2:$AG$2,0)),Inputs!$B$4:$B$150,$B6)/1000)</f>
        <v>-18481</v>
      </c>
      <c r="M6" s="12">
        <f>IF(COUNT(I6:L6)=4,SUM(I6:L6),"")</f>
        <v>-66504</v>
      </c>
      <c r="N6" s="11">
        <f>IF(N$3=0,"",SUMIFS(INDEX(Inputs!$D$4:$AG$150,0,MATCH(N$2,Inputs!$D$2:$AG$2,0)),Inputs!$B$4:$B$150,$B6)/1000)</f>
        <v>-18700</v>
      </c>
      <c r="O6" s="11">
        <f>IF(O$3=0,"",SUMIFS(INDEX(Inputs!$D$4:$AG$150,0,MATCH(O$2,Inputs!$D$2:$AG$2,0)),Inputs!$B$4:$B$150,$B6)/1000)</f>
        <v>-17571</v>
      </c>
      <c r="P6" s="11">
        <f>IF(P$3=0,"",SUMIFS(INDEX(Inputs!$D$4:$AG$150,0,MATCH(P$2,Inputs!$D$2:$AG$2,0)),Inputs!$B$4:$B$150,$B6)/1000)</f>
        <v>-18450</v>
      </c>
      <c r="Q6" s="11">
        <f>IF(Q$3=0,"",SUMIFS(INDEX(Inputs!$D$4:$AG$150,0,MATCH(Q$2,Inputs!$D$2:$AG$2,0)),Inputs!$B$4:$B$150,$B6)/1000)</f>
        <v>-21722</v>
      </c>
      <c r="R6" s="12">
        <f>IF(COUNT(N6:Q6)=4,SUM(N6:Q6),"")</f>
        <v>-76443</v>
      </c>
      <c r="S6" s="11">
        <f>IF(S$3=0,"",SUMIFS(INDEX(Inputs!$D$4:$AG$150,0,MATCH(S$2,Inputs!$D$2:$AG$2,0)),Inputs!$B$4:$B$150,$B6)/1000)</f>
        <v>-17942</v>
      </c>
      <c r="T6" s="11">
        <f>IF(T$3=0,"",SUMIFS(INDEX(Inputs!$D$4:$AG$150,0,MATCH(T$2,Inputs!$D$2:$AG$2,0)),Inputs!$B$4:$B$150,$B6)/1000)</f>
        <v>-18102</v>
      </c>
      <c r="U6" s="11">
        <f>IF(U$3=0,"",SUMIFS(INDEX(Inputs!$D$4:$AG$150,0,MATCH(U$2,Inputs!$D$2:$AG$2,0)),Inputs!$B$4:$B$150,$B6)/1000)</f>
        <v>-19288</v>
      </c>
      <c r="V6" s="11">
        <f>IF(V$3=0,"",SUMIFS(INDEX(Inputs!$D$4:$AG$150,0,MATCH(V$2,Inputs!$D$2:$AG$2,0)),Inputs!$B$4:$B$150,$B6)/1000)</f>
        <v>-20679</v>
      </c>
      <c r="W6" s="12">
        <f>IF(COUNT(S6:V6)=4,SUM(S6:V6),"")</f>
        <v>-76011</v>
      </c>
      <c r="X6" s="11">
        <f>IF(X$3=0,"",SUMIFS(INDEX(Inputs!$D$4:$AG$150,0,MATCH(X$2,Inputs!$D$2:$AG$2,0)),Inputs!$B$4:$B$150,$B6)/1000)</f>
        <v>-18780</v>
      </c>
      <c r="Y6" s="11">
        <f>IF(Y$3=0,"",SUMIFS(INDEX(Inputs!$D$4:$AG$150,0,MATCH(Y$2,Inputs!$D$2:$AG$2,0)),Inputs!$B$4:$B$150,$B6)/1000)</f>
        <v>-21120</v>
      </c>
      <c r="Z6" s="11">
        <f>IF(Z$3=0,"",SUMIFS(INDEX(Inputs!$D$4:$AG$150,0,MATCH(Z$2,Inputs!$D$2:$AG$2,0)),Inputs!$B$4:$B$150,$B6)/1000)</f>
        <v>-24138</v>
      </c>
      <c r="AA6" s="11">
        <f>IF(AA$3=0,"",SUMIFS(INDEX(Inputs!$D$4:$AG$150,0,MATCH(AA$2,Inputs!$D$2:$AG$2,0)),Inputs!$B$4:$B$150,$B6)/1000)</f>
        <v>-26088</v>
      </c>
      <c r="AB6" s="12">
        <f>IF(COUNT(X6:AA6)=4,SUM(X6:AA6),"")</f>
        <v>-90126</v>
      </c>
      <c r="AC6" s="11">
        <f>IF(AC$3=0,"",SUMIFS(INDEX(Inputs!$D$4:$AG$150,0,MATCH(AC$2,Inputs!$D$2:$AG$2,0)),Inputs!$B$4:$B$150,$B6)/1000)</f>
        <v>-22447</v>
      </c>
      <c r="AD6" s="11">
        <f>IF(AD$3=0,"",SUMIFS(INDEX(Inputs!$D$4:$AG$150,0,MATCH(AD$2,Inputs!$D$2:$AG$2,0)),Inputs!$B$4:$B$150,$B6)/1000)</f>
        <v>-25979</v>
      </c>
      <c r="AE6" s="11" t="str">
        <f>IF(AE$3=0,"",SUMIFS(INDEX(Inputs!$D$4:$AG$150,0,MATCH(AE$2,Inputs!$D$2:$AG$2,0)),Inputs!$B$4:$B$150,$B6)/1000)</f>
        <v/>
      </c>
      <c r="AF6" s="11" t="str">
        <f>IF(AF$3=0,"",SUMIFS(INDEX(Inputs!$D$4:$AG$150,0,MATCH(AF$2,Inputs!$D$2:$AG$2,0)),Inputs!$B$4:$B$150,$B6)/1000)</f>
        <v/>
      </c>
      <c r="AG6" s="12" t="str">
        <f>IF(COUNT(AC6:AF6)=4,SUM(AC6:AF6),"")</f>
        <v/>
      </c>
    </row>
    <row r="7">
      <c r="B7" s="9" t="n">
        <v>4</v>
      </c>
      <c r="C7" s="13" t="inlineStr">
        <is>
          <t>D&amp;A</t>
        </is>
      </c>
      <c r="D7" s="11">
        <f>IF(D$3=0,"",SUMIFS(INDEX(Inputs!$D$4:$AG$150,0,MATCH(D$2,Inputs!$D$2:$AG$2,0)),Inputs!$B$4:$B$150,$B7)/1000)</f>
        <v>-2525</v>
      </c>
      <c r="E7" s="11">
        <f>IF(E$3=0,"",SUMIFS(INDEX(Inputs!$D$4:$AG$150,0,MATCH(E$2,Inputs!$D$2:$AG$2,0)),Inputs!$B$4:$B$150,$B7)/1000)</f>
        <v>-2730</v>
      </c>
      <c r="F7" s="11">
        <f>IF(F$3=0,"",SUMIFS(INDEX(Inputs!$D$4:$AG$150,0,MATCH(F$2,Inputs!$D$2:$AG$2,0)),Inputs!$B$4:$B$150,$B7)/1000)</f>
        <v>-3085</v>
      </c>
      <c r="G7" s="11">
        <f>IF(G$3=0,"",SUMIFS(INDEX(Inputs!$D$4:$AG$150,0,MATCH(G$2,Inputs!$D$2:$AG$2,0)),Inputs!$B$4:$B$150,$B7)/1000)</f>
        <v>-3215</v>
      </c>
      <c r="H7" s="12">
        <f>IF(COUNT(D7:G7)=4,SUM(D7:G7),"")</f>
        <v>-11555</v>
      </c>
      <c r="I7" s="11">
        <f>IF(I$3=0,"",SUMIFS(INDEX(Inputs!$D$4:$AG$150,0,MATCH(I$2,Inputs!$D$2:$AG$2,0)),Inputs!$B$4:$B$150,$B7)/1000)</f>
        <v>-3591</v>
      </c>
      <c r="J7" s="11">
        <f>IF(J$3=0,"",SUMIFS(INDEX(Inputs!$D$4:$AG$150,0,MATCH(J$2,Inputs!$D$2:$AG$2,0)),Inputs!$B$4:$B$150,$B7)/1000)</f>
        <v>-3698</v>
      </c>
      <c r="K7" s="11">
        <f>IF(K$3=0,"",SUMIFS(INDEX(Inputs!$D$4:$AG$150,0,MATCH(K$2,Inputs!$D$2:$AG$2,0)),Inputs!$B$4:$B$150,$B7)/1000)</f>
        <v>-3933</v>
      </c>
      <c r="L7" s="11">
        <f>IF(L$3=0,"",SUMIFS(INDEX(Inputs!$D$4:$AG$150,0,MATCH(L$2,Inputs!$D$2:$AG$2,0)),Inputs!$B$4:$B$150,$B7)/1000)</f>
        <v>-4065</v>
      </c>
      <c r="M7" s="12">
        <f>IF(COUNT(I7:L7)=4,SUM(I7:L7),"")</f>
        <v>-15287</v>
      </c>
      <c r="N7" s="11">
        <f>IF(N$3=0,"",SUMIFS(INDEX(Inputs!$D$4:$AG$150,0,MATCH(N$2,Inputs!$D$2:$AG$2,0)),Inputs!$B$4:$B$150,$B7)/1000)</f>
        <v>-3060</v>
      </c>
      <c r="O7" s="11">
        <f>IF(O$3=0,"",SUMIFS(INDEX(Inputs!$D$4:$AG$150,0,MATCH(O$2,Inputs!$D$2:$AG$2,0)),Inputs!$B$4:$B$150,$B7)/1000)</f>
        <v>-3279</v>
      </c>
      <c r="P7" s="11">
        <f>IF(P$3=0,"",SUMIFS(INDEX(Inputs!$D$4:$AG$150,0,MATCH(P$2,Inputs!$D$2:$AG$2,0)),Inputs!$B$4:$B$150,$B7)/1000)</f>
        <v>-3671</v>
      </c>
      <c r="Q7" s="11">
        <f>IF(Q$3=0,"",SUMIFS(INDEX(Inputs!$D$4:$AG$150,0,MATCH(Q$2,Inputs!$D$2:$AG$2,0)),Inputs!$B$4:$B$150,$B7)/1000)</f>
        <v>-3316</v>
      </c>
      <c r="R7" s="12">
        <f>IF(COUNT(N7:Q7)=4,SUM(N7:Q7),"")</f>
        <v>-13326</v>
      </c>
      <c r="S7" s="11">
        <f>IF(S$3=0,"",SUMIFS(INDEX(Inputs!$D$4:$AG$150,0,MATCH(S$2,Inputs!$D$2:$AG$2,0)),Inputs!$B$4:$B$150,$B7)/1000)</f>
        <v>-3413</v>
      </c>
      <c r="T7" s="11">
        <f>IF(T$3=0,"",SUMIFS(INDEX(Inputs!$D$4:$AG$150,0,MATCH(T$2,Inputs!$D$2:$AG$2,0)),Inputs!$B$4:$B$150,$B7)/1000)</f>
        <v>-3708</v>
      </c>
      <c r="U7" s="11">
        <f>IF(U$3=0,"",SUMIFS(INDEX(Inputs!$D$4:$AG$150,0,MATCH(U$2,Inputs!$D$2:$AG$2,0)),Inputs!$B$4:$B$150,$B7)/1000)</f>
        <v>-3985</v>
      </c>
      <c r="V7" s="11">
        <f>IF(V$3=0,"",SUMIFS(INDEX(Inputs!$D$4:$AG$150,0,MATCH(V$2,Inputs!$D$2:$AG$2,0)),Inputs!$B$4:$B$150,$B7)/1000)</f>
        <v>-4205</v>
      </c>
      <c r="W7" s="12">
        <f>IF(COUNT(S7:V7)=4,SUM(S7:V7),"")</f>
        <v>-15311</v>
      </c>
      <c r="X7" s="11">
        <f>IF(X$3=0,"",SUMIFS(INDEX(Inputs!$D$4:$AG$150,0,MATCH(X$2,Inputs!$D$2:$AG$2,0)),Inputs!$B$4:$B$150,$B7)/1000)</f>
        <v>-4487</v>
      </c>
      <c r="Y7" s="11">
        <f>IF(Y$3=0,"",SUMIFS(INDEX(Inputs!$D$4:$AG$150,0,MATCH(Y$2,Inputs!$D$2:$AG$2,0)),Inputs!$B$4:$B$150,$B7)/1000)</f>
        <v>-4998</v>
      </c>
      <c r="Z7" s="11">
        <f>IF(Z$3=0,"",SUMIFS(INDEX(Inputs!$D$4:$AG$150,0,MATCH(Z$2,Inputs!$D$2:$AG$2,0)),Inputs!$B$4:$B$150,$B7)/1000)</f>
        <v>-5611</v>
      </c>
      <c r="AA7" s="11">
        <f>IF(AA$3=0,"",SUMIFS(INDEX(Inputs!$D$4:$AG$150,0,MATCH(AA$2,Inputs!$D$2:$AG$2,0)),Inputs!$B$4:$B$150,$B7)/1000)</f>
        <v>-6040</v>
      </c>
      <c r="AB7" s="12">
        <f>IF(COUNT(X7:AA7)=4,SUM(X7:AA7),"")</f>
        <v>-21136</v>
      </c>
      <c r="AC7" s="11">
        <f>IF(AC$3=0,"",SUMIFS(INDEX(Inputs!$D$4:$AG$150,0,MATCH(AC$2,Inputs!$D$2:$AG$2,0)),Inputs!$B$4:$B$150,$B7)/1000)</f>
        <v>-6482</v>
      </c>
      <c r="AD7" s="11">
        <f>IF(AD$3=0,"",SUMIFS(INDEX(Inputs!$D$4:$AG$150,0,MATCH(AD$2,Inputs!$D$2:$AG$2,0)),Inputs!$B$4:$B$150,$B7)/1000)</f>
        <v>-7104</v>
      </c>
      <c r="AE7" s="11" t="str">
        <f>IF(AE$3=0,"",SUMIFS(INDEX(Inputs!$D$4:$AG$150,0,MATCH(AE$2,Inputs!$D$2:$AG$2,0)),Inputs!$B$4:$B$150,$B7)/1000)</f>
        <v/>
      </c>
      <c r="AF7" s="11" t="str">
        <f>IF(AF$3=0,"",SUMIFS(INDEX(Inputs!$D$4:$AG$150,0,MATCH(AF$2,Inputs!$D$2:$AG$2,0)),Inputs!$B$4:$B$150,$B7)/1000)</f>
        <v/>
      </c>
      <c r="AG7" s="12" t="str">
        <f>IF(COUNT(AC7:AF7)=4,SUM(AC7:AF7),"")</f>
        <v/>
      </c>
    </row>
    <row r="8">
      <c r="B8" s="9" t="n">
        <v>5</v>
      </c>
      <c r="C8" s="14" t="inlineStr">
        <is>
          <t>Interest Expense</t>
        </is>
      </c>
      <c r="D8" s="11">
        <f>IF(D$3=0,"",SUMIFS(INDEX(Inputs!$D$4:$AG$150,0,MATCH(D$2,Inputs!$D$2:$AG$2,0)),Inputs!$B$4:$B$150,$B8)/1000)</f>
        <v>-76</v>
      </c>
      <c r="E8" s="11">
        <f>IF(E$3=0,"",SUMIFS(INDEX(Inputs!$D$4:$AG$150,0,MATCH(E$2,Inputs!$D$2:$AG$2,0)),Inputs!$B$4:$B$150,$B8)/1000)</f>
        <v>-76</v>
      </c>
      <c r="F8" s="11">
        <f>IF(F$3=0,"",SUMIFS(INDEX(Inputs!$D$4:$AG$150,0,MATCH(F$2,Inputs!$D$2:$AG$2,0)),Inputs!$B$4:$B$150,$B8)/1000)</f>
        <v>-77</v>
      </c>
      <c r="G8" s="11">
        <f>IF(G$3=0,"",SUMIFS(INDEX(Inputs!$D$4:$AG$150,0,MATCH(G$2,Inputs!$D$2:$AG$2,0)),Inputs!$B$4:$B$150,$B8)/1000)</f>
        <v>-117</v>
      </c>
      <c r="H8" s="12">
        <f>IF(COUNT(D8:G8)=4,SUM(D8:G8),"")</f>
        <v>-346</v>
      </c>
      <c r="I8" s="11">
        <f>IF(I$3=0,"",SUMIFS(INDEX(Inputs!$D$4:$AG$150,0,MATCH(I$2,Inputs!$D$2:$AG$2,0)),Inputs!$B$4:$B$150,$B8)/1000)</f>
        <v>-83</v>
      </c>
      <c r="J8" s="11">
        <f>IF(J$3=0,"",SUMIFS(INDEX(Inputs!$D$4:$AG$150,0,MATCH(J$2,Inputs!$D$2:$AG$2,0)),Inputs!$B$4:$B$150,$B8)/1000)</f>
        <v>-83</v>
      </c>
      <c r="K8" s="11">
        <f>IF(K$3=0,"",SUMIFS(INDEX(Inputs!$D$4:$AG$150,0,MATCH(K$2,Inputs!$D$2:$AG$2,0)),Inputs!$B$4:$B$150,$B8)/1000)</f>
        <v>-101</v>
      </c>
      <c r="L8" s="11">
        <f>IF(L$3=0,"",SUMIFS(INDEX(Inputs!$D$4:$AG$150,0,MATCH(L$2,Inputs!$D$2:$AG$2,0)),Inputs!$B$4:$B$150,$B8)/1000)</f>
        <v>-90</v>
      </c>
      <c r="M8" s="12">
        <f>IF(COUNT(I8:L8)=4,SUM(I8:L8),"")</f>
        <v>-357</v>
      </c>
      <c r="N8" s="11">
        <f>IF(N$3=0,"",SUMIFS(INDEX(Inputs!$D$4:$AG$150,0,MATCH(N$2,Inputs!$D$2:$AG$2,0)),Inputs!$B$4:$B$150,$B8)/1000)</f>
        <v>-80</v>
      </c>
      <c r="O8" s="11">
        <f>IF(O$3=0,"",SUMIFS(INDEX(Inputs!$D$4:$AG$150,0,MATCH(O$2,Inputs!$D$2:$AG$2,0)),Inputs!$B$4:$B$150,$B8)/1000)</f>
        <v>-43</v>
      </c>
      <c r="P8" s="11">
        <f>IF(P$3=0,"",SUMIFS(INDEX(Inputs!$D$4:$AG$150,0,MATCH(P$2,Inputs!$D$2:$AG$2,0)),Inputs!$B$4:$B$150,$B8)/1000)</f>
        <v>-116</v>
      </c>
      <c r="Q8" s="11">
        <f>IF(Q$3=0,"",SUMIFS(INDEX(Inputs!$D$4:$AG$150,0,MATCH(Q$2,Inputs!$D$2:$AG$2,0)),Inputs!$B$4:$B$150,$B8)/1000)</f>
        <v>-69</v>
      </c>
      <c r="R8" s="12">
        <f>IF(COUNT(N8:Q8)=4,SUM(N8:Q8),"")</f>
        <v>-308</v>
      </c>
      <c r="S8" s="11">
        <f>IF(S$3=0,"",SUMIFS(INDEX(Inputs!$D$4:$AG$150,0,MATCH(S$2,Inputs!$D$2:$AG$2,0)),Inputs!$B$4:$B$150,$B8)/1000)</f>
        <v>-94</v>
      </c>
      <c r="T8" s="11">
        <f>IF(T$3=0,"",SUMIFS(INDEX(Inputs!$D$4:$AG$150,0,MATCH(T$2,Inputs!$D$2:$AG$2,0)),Inputs!$B$4:$B$150,$B8)/1000)</f>
        <v>-67</v>
      </c>
      <c r="U8" s="11">
        <f>IF(U$3=0,"",SUMIFS(INDEX(Inputs!$D$4:$AG$150,0,MATCH(U$2,Inputs!$D$2:$AG$2,0)),Inputs!$B$4:$B$150,$B8)/1000)</f>
        <v>-54</v>
      </c>
      <c r="V8" s="11">
        <f>IF(V$3=0,"",SUMIFS(INDEX(Inputs!$D$4:$AG$150,0,MATCH(V$2,Inputs!$D$2:$AG$2,0)),Inputs!$B$4:$B$150,$B8)/1000)</f>
        <v>-53</v>
      </c>
      <c r="W8" s="12">
        <f>IF(COUNT(S8:V8)=4,SUM(S8:V8),"")</f>
        <v>-268</v>
      </c>
      <c r="X8" s="11">
        <f>IF(X$3=0,"",SUMIFS(INDEX(Inputs!$D$4:$AG$150,0,MATCH(X$2,Inputs!$D$2:$AG$2,0)),Inputs!$B$4:$B$150,$B8)/1000)</f>
        <v>-34</v>
      </c>
      <c r="Y8" s="11">
        <f>IF(Y$3=0,"",SUMIFS(INDEX(Inputs!$D$4:$AG$150,0,MATCH(Y$2,Inputs!$D$2:$AG$2,0)),Inputs!$B$4:$B$150,$B8)/1000)</f>
        <v>-261</v>
      </c>
      <c r="Z8" s="11">
        <f>IF(Z$3=0,"",SUMIFS(INDEX(Inputs!$D$4:$AG$150,0,MATCH(Z$2,Inputs!$D$2:$AG$2,0)),Inputs!$B$4:$B$150,$B8)/1000)</f>
        <v>-143</v>
      </c>
      <c r="AA8" s="11">
        <f>IF(AA$3=0,"",SUMIFS(INDEX(Inputs!$D$4:$AG$150,0,MATCH(AA$2,Inputs!$D$2:$AG$2,0)),Inputs!$B$4:$B$150,$B8)/1000)</f>
        <v>-298</v>
      </c>
      <c r="AB8" s="12">
        <f>IF(COUNT(X8:AA8)=4,SUM(X8:AA8),"")</f>
        <v>-736</v>
      </c>
      <c r="AC8" s="11">
        <f>IF(AC$3=0,"",SUMIFS(INDEX(Inputs!$D$4:$AG$150,0,MATCH(AC$2,Inputs!$D$2:$AG$2,0)),Inputs!$B$4:$B$150,$B8)/1000)</f>
        <v>-533</v>
      </c>
      <c r="AD8" s="11">
        <f>IF(AD$3=0,"",SUMIFS(INDEX(Inputs!$D$4:$AG$150,0,MATCH(AD$2,Inputs!$D$2:$AG$2,0)),Inputs!$B$4:$B$150,$B8)/1000)</f>
        <v>-1278</v>
      </c>
      <c r="AE8" s="11" t="str">
        <f>IF(AE$3=0,"",SUMIFS(INDEX(Inputs!$D$4:$AG$150,0,MATCH(AE$2,Inputs!$D$2:$AG$2,0)),Inputs!$B$4:$B$150,$B8)/1000)</f>
        <v/>
      </c>
      <c r="AF8" s="11" t="str">
        <f>IF(AF$3=0,"",SUMIFS(INDEX(Inputs!$D$4:$AG$150,0,MATCH(AF$2,Inputs!$D$2:$AG$2,0)),Inputs!$B$4:$B$150,$B8)/1000)</f>
        <v/>
      </c>
      <c r="AG8" s="12" t="str">
        <f>IF(COUNT(AC8:AF8)=4,SUM(AC8:AF8),"")</f>
        <v/>
      </c>
    </row>
    <row r="9">
      <c r="B9" s="9" t="n">
        <v>6</v>
      </c>
      <c r="C9" s="14" t="inlineStr">
        <is>
          <t>Nonoperating Income / (Loss)</t>
        </is>
      </c>
      <c r="D9" s="11">
        <f>IF(D$3=0,"",SUMIFS(INDEX(Inputs!$D$4:$AG$150,0,MATCH(D$2,Inputs!$D$2:$AG$2,0)),Inputs!$B$4:$B$150,$B9)/1000)</f>
        <v>4922</v>
      </c>
      <c r="E9" s="11">
        <f>IF(E$3=0,"",SUMIFS(INDEX(Inputs!$D$4:$AG$150,0,MATCH(E$2,Inputs!$D$2:$AG$2,0)),Inputs!$B$4:$B$150,$B9)/1000)</f>
        <v>2700</v>
      </c>
      <c r="F9" s="11">
        <f>IF(F$3=0,"",SUMIFS(INDEX(Inputs!$D$4:$AG$150,0,MATCH(F$2,Inputs!$D$2:$AG$2,0)),Inputs!$B$4:$B$150,$B9)/1000)</f>
        <v>2110</v>
      </c>
      <c r="G9" s="11">
        <f>IF(G$3=0,"",SUMIFS(INDEX(Inputs!$D$4:$AG$150,0,MATCH(G$2,Inputs!$D$2:$AG$2,0)),Inputs!$B$4:$B$150,$B9)/1000)</f>
        <v>2634</v>
      </c>
      <c r="H9" s="12">
        <f>IF(COUNT(D9:G9)=4,SUM(D9:G9),"")</f>
        <v>12366</v>
      </c>
      <c r="I9" s="11">
        <f>IF(I$3=0,"",SUMIFS(INDEX(Inputs!$D$4:$AG$150,0,MATCH(I$2,Inputs!$D$2:$AG$2,0)),Inputs!$B$4:$B$150,$B9)/1000)</f>
        <v>-1077</v>
      </c>
      <c r="J9" s="11">
        <f>IF(J$3=0,"",SUMIFS(INDEX(Inputs!$D$4:$AG$150,0,MATCH(J$2,Inputs!$D$2:$AG$2,0)),Inputs!$B$4:$B$150,$B9)/1000)</f>
        <v>-356</v>
      </c>
      <c r="K9" s="11">
        <f>IF(K$3=0,"",SUMIFS(INDEX(Inputs!$D$4:$AG$150,0,MATCH(K$2,Inputs!$D$2:$AG$2,0)),Inputs!$B$4:$B$150,$B9)/1000)</f>
        <v>-801</v>
      </c>
      <c r="L9" s="11">
        <f>IF(L$3=0,"",SUMIFS(INDEX(Inputs!$D$4:$AG$150,0,MATCH(L$2,Inputs!$D$2:$AG$2,0)),Inputs!$B$4:$B$150,$B9)/1000)</f>
        <v>-923</v>
      </c>
      <c r="M9" s="12">
        <f>IF(COUNT(I9:L9)=4,SUM(I9:L9),"")</f>
        <v>-3157</v>
      </c>
      <c r="N9" s="11">
        <f>IF(N$3=0,"",SUMIFS(INDEX(Inputs!$D$4:$AG$150,0,MATCH(N$2,Inputs!$D$2:$AG$2,0)),Inputs!$B$4:$B$150,$B9)/1000)</f>
        <v>870</v>
      </c>
      <c r="O9" s="11">
        <f>IF(O$3=0,"",SUMIFS(INDEX(Inputs!$D$4:$AG$150,0,MATCH(O$2,Inputs!$D$2:$AG$2,0)),Inputs!$B$4:$B$150,$B9)/1000)</f>
        <v>108</v>
      </c>
      <c r="P9" s="11">
        <f>IF(P$3=0,"",SUMIFS(INDEX(Inputs!$D$4:$AG$150,0,MATCH(P$2,Inputs!$D$2:$AG$2,0)),Inputs!$B$4:$B$150,$B9)/1000)</f>
        <v>-30</v>
      </c>
      <c r="Q9" s="11">
        <f>IF(Q$3=0,"",SUMIFS(INDEX(Inputs!$D$4:$AG$150,0,MATCH(Q$2,Inputs!$D$2:$AG$2,0)),Inputs!$B$4:$B$150,$B9)/1000)</f>
        <v>784</v>
      </c>
      <c r="R9" s="12">
        <f>IF(COUNT(N9:Q9)=4,SUM(N9:Q9),"")</f>
        <v>1732</v>
      </c>
      <c r="S9" s="11">
        <f>IF(S$3=0,"",SUMIFS(INDEX(Inputs!$D$4:$AG$150,0,MATCH(S$2,Inputs!$D$2:$AG$2,0)),Inputs!$B$4:$B$150,$B9)/1000)</f>
        <v>2937</v>
      </c>
      <c r="T9" s="11">
        <f>IF(T$3=0,"",SUMIFS(INDEX(Inputs!$D$4:$AG$150,0,MATCH(T$2,Inputs!$D$2:$AG$2,0)),Inputs!$B$4:$B$150,$B9)/1000)</f>
        <v>193</v>
      </c>
      <c r="U9" s="11">
        <f>IF(U$3=0,"",SUMIFS(INDEX(Inputs!$D$4:$AG$150,0,MATCH(U$2,Inputs!$D$2:$AG$2,0)),Inputs!$B$4:$B$150,$B9)/1000)</f>
        <v>3239</v>
      </c>
      <c r="V9" s="11">
        <f>IF(V$3=0,"",SUMIFS(INDEX(Inputs!$D$4:$AG$150,0,MATCH(V$2,Inputs!$D$2:$AG$2,0)),Inputs!$B$4:$B$150,$B9)/1000)</f>
        <v>1324</v>
      </c>
      <c r="W9" s="12">
        <f>IF(COUNT(S9:V9)=4,SUM(S9:V9),"")</f>
        <v>7693</v>
      </c>
      <c r="X9" s="11">
        <f>IF(X$3=0,"",SUMIFS(INDEX(Inputs!$D$4:$AG$150,0,MATCH(X$2,Inputs!$D$2:$AG$2,0)),Inputs!$B$4:$B$150,$B9)/1000)</f>
        <v>11217</v>
      </c>
      <c r="Y9" s="11">
        <f>IF(Y$3=0,"",SUMIFS(INDEX(Inputs!$D$4:$AG$150,0,MATCH(Y$2,Inputs!$D$2:$AG$2,0)),Inputs!$B$4:$B$150,$B9)/1000)</f>
        <v>2923</v>
      </c>
      <c r="Z9" s="11">
        <f>IF(Z$3=0,"",SUMIFS(INDEX(Inputs!$D$4:$AG$150,0,MATCH(Z$2,Inputs!$D$2:$AG$2,0)),Inputs!$B$4:$B$150,$B9)/1000)</f>
        <v>12902</v>
      </c>
      <c r="AA9" s="11">
        <f>IF(AA$3=0,"",SUMIFS(INDEX(Inputs!$D$4:$AG$150,0,MATCH(AA$2,Inputs!$D$2:$AG$2,0)),Inputs!$B$4:$B$150,$B9)/1000)</f>
        <v>3481</v>
      </c>
      <c r="AB9" s="12">
        <f>IF(COUNT(X9:AA9)=4,SUM(X9:AA9),"")</f>
        <v>30523</v>
      </c>
      <c r="AC9" s="11">
        <f>IF(AC$3=0,"",SUMIFS(INDEX(Inputs!$D$4:$AG$150,0,MATCH(AC$2,Inputs!$D$2:$AG$2,0)),Inputs!$B$4:$B$150,$B9)/1000)</f>
        <v>38249</v>
      </c>
      <c r="AD9" s="11">
        <f>IF(AD$3=0,"",SUMIFS(INDEX(Inputs!$D$4:$AG$150,0,MATCH(AD$2,Inputs!$D$2:$AG$2,0)),Inputs!$B$4:$B$150,$B9)/1000)</f>
        <v>99261</v>
      </c>
      <c r="AE9" s="11" t="str">
        <f>IF(AE$3=0,"",SUMIFS(INDEX(Inputs!$D$4:$AG$150,0,MATCH(AE$2,Inputs!$D$2:$AG$2,0)),Inputs!$B$4:$B$150,$B9)/1000)</f>
        <v/>
      </c>
      <c r="AF9" s="11" t="str">
        <f>IF(AF$3=0,"",SUMIFS(INDEX(Inputs!$D$4:$AG$150,0,MATCH(AF$2,Inputs!$D$2:$AG$2,0)),Inputs!$B$4:$B$150,$B9)/1000)</f>
        <v/>
      </c>
      <c r="AG9" s="12" t="str">
        <f>IF(COUNT(AC9:AF9)=4,SUM(AC9:AF9),"")</f>
        <v/>
      </c>
    </row>
    <row r="10">
      <c r="B10" s="9" t="n">
        <v>7</v>
      </c>
      <c r="C10" s="14" t="inlineStr">
        <is>
          <t>Taxes</t>
        </is>
      </c>
      <c r="D10" s="11">
        <f>IF(D$3=0,"",SUMIFS(INDEX(Inputs!$D$4:$AG$150,0,MATCH(D$2,Inputs!$D$2:$AG$2,0)),Inputs!$B$4:$B$150,$B10)/1000)</f>
        <v>-3353</v>
      </c>
      <c r="E10" s="11">
        <f>IF(E$3=0,"",SUMIFS(INDEX(Inputs!$D$4:$AG$150,0,MATCH(E$2,Inputs!$D$2:$AG$2,0)),Inputs!$B$4:$B$150,$B10)/1000)</f>
        <v>-3460</v>
      </c>
      <c r="F10" s="11">
        <f>IF(F$3=0,"",SUMIFS(INDEX(Inputs!$D$4:$AG$150,0,MATCH(F$2,Inputs!$D$2:$AG$2,0)),Inputs!$B$4:$B$150,$B10)/1000)</f>
        <v>-4128</v>
      </c>
      <c r="G10" s="11">
        <f>IF(G$3=0,"",SUMIFS(INDEX(Inputs!$D$4:$AG$150,0,MATCH(G$2,Inputs!$D$2:$AG$2,0)),Inputs!$B$4:$B$150,$B10)/1000)</f>
        <v>-3760</v>
      </c>
      <c r="H10" s="12">
        <f>IF(COUNT(D10:G10)=4,SUM(D10:G10),"")</f>
        <v>-14701</v>
      </c>
      <c r="I10" s="11">
        <f>IF(I$3=0,"",SUMIFS(INDEX(Inputs!$D$4:$AG$150,0,MATCH(I$2,Inputs!$D$2:$AG$2,0)),Inputs!$B$4:$B$150,$B10)/1000)</f>
        <v>-2498</v>
      </c>
      <c r="J10" s="11">
        <f>IF(J$3=0,"",SUMIFS(INDEX(Inputs!$D$4:$AG$150,0,MATCH(J$2,Inputs!$D$2:$AG$2,0)),Inputs!$B$4:$B$150,$B10)/1000)</f>
        <v>-3012</v>
      </c>
      <c r="K10" s="11">
        <f>IF(K$3=0,"",SUMIFS(INDEX(Inputs!$D$4:$AG$150,0,MATCH(K$2,Inputs!$D$2:$AG$2,0)),Inputs!$B$4:$B$150,$B10)/1000)</f>
        <v>-2323</v>
      </c>
      <c r="L10" s="11">
        <f>IF(L$3=0,"",SUMIFS(INDEX(Inputs!$D$4:$AG$150,0,MATCH(L$2,Inputs!$D$2:$AG$2,0)),Inputs!$B$4:$B$150,$B10)/1000)</f>
        <v>-3523</v>
      </c>
      <c r="M10" s="12">
        <f>IF(COUNT(I10:L10)=4,SUM(I10:L10),"")</f>
        <v>-11356</v>
      </c>
      <c r="N10" s="11">
        <f>IF(N$3=0,"",SUMIFS(INDEX(Inputs!$D$4:$AG$150,0,MATCH(N$2,Inputs!$D$2:$AG$2,0)),Inputs!$B$4:$B$150,$B10)/1000)</f>
        <v>-3154</v>
      </c>
      <c r="O10" s="11">
        <f>IF(O$3=0,"",SUMIFS(INDEX(Inputs!$D$4:$AG$150,0,MATCH(O$2,Inputs!$D$2:$AG$2,0)),Inputs!$B$4:$B$150,$B10)/1000)</f>
        <v>-3535</v>
      </c>
      <c r="P10" s="11">
        <f>IF(P$3=0,"",SUMIFS(INDEX(Inputs!$D$4:$AG$150,0,MATCH(P$2,Inputs!$D$2:$AG$2,0)),Inputs!$B$4:$B$150,$B10)/1000)</f>
        <v>-1508</v>
      </c>
      <c r="Q10" s="11">
        <f>IF(Q$3=0,"",SUMIFS(INDEX(Inputs!$D$4:$AG$150,0,MATCH(Q$2,Inputs!$D$2:$AG$2,0)),Inputs!$B$4:$B$150,$B10)/1000)</f>
        <v>-3725</v>
      </c>
      <c r="R10" s="12">
        <f>IF(COUNT(N10:Q10)=4,SUM(N10:Q10),"")</f>
        <v>-11922</v>
      </c>
      <c r="S10" s="11">
        <f>IF(S$3=0,"",SUMIFS(INDEX(Inputs!$D$4:$AG$150,0,MATCH(S$2,Inputs!$D$2:$AG$2,0)),Inputs!$B$4:$B$150,$B10)/1000)</f>
        <v>-4653</v>
      </c>
      <c r="T10" s="11">
        <f>IF(T$3=0,"",SUMIFS(INDEX(Inputs!$D$4:$AG$150,0,MATCH(T$2,Inputs!$D$2:$AG$2,0)),Inputs!$B$4:$B$150,$B10)/1000)</f>
        <v>-3932</v>
      </c>
      <c r="U10" s="11">
        <f>IF(U$3=0,"",SUMIFS(INDEX(Inputs!$D$4:$AG$150,0,MATCH(U$2,Inputs!$D$2:$AG$2,0)),Inputs!$B$4:$B$150,$B10)/1000)</f>
        <v>-5405</v>
      </c>
      <c r="V10" s="11">
        <f>IF(V$3=0,"",SUMIFS(INDEX(Inputs!$D$4:$AG$150,0,MATCH(V$2,Inputs!$D$2:$AG$2,0)),Inputs!$B$4:$B$150,$B10)/1000)</f>
        <v>-5707</v>
      </c>
      <c r="W10" s="12">
        <f>IF(COUNT(S10:V10)=4,SUM(S10:V10),"")</f>
        <v>-19697</v>
      </c>
      <c r="X10" s="11">
        <f>IF(X$3=0,"",SUMIFS(INDEX(Inputs!$D$4:$AG$150,0,MATCH(X$2,Inputs!$D$2:$AG$2,0)),Inputs!$B$4:$B$150,$B10)/1000)</f>
        <v>-7249</v>
      </c>
      <c r="Y10" s="11">
        <f>IF(Y$3=0,"",SUMIFS(INDEX(Inputs!$D$4:$AG$150,0,MATCH(Y$2,Inputs!$D$2:$AG$2,0)),Inputs!$B$4:$B$150,$B10)/1000)</f>
        <v>-5737</v>
      </c>
      <c r="Z10" s="11">
        <f>IF(Z$3=0,"",SUMIFS(INDEX(Inputs!$D$4:$AG$150,0,MATCH(Z$2,Inputs!$D$2:$AG$2,0)),Inputs!$B$4:$B$150,$B10)/1000)</f>
        <v>-9008</v>
      </c>
      <c r="AA10" s="11">
        <f>IF(AA$3=0,"",SUMIFS(INDEX(Inputs!$D$4:$AG$150,0,MATCH(AA$2,Inputs!$D$2:$AG$2,0)),Inputs!$B$4:$B$150,$B10)/1000)</f>
        <v>-4662</v>
      </c>
      <c r="AB10" s="12">
        <f>IF(COUNT(X10:AA10)=4,SUM(X10:AA10),"")</f>
        <v>-26656</v>
      </c>
      <c r="AC10" s="11">
        <f>IF(AC$3=0,"",SUMIFS(INDEX(Inputs!$D$4:$AG$150,0,MATCH(AC$2,Inputs!$D$2:$AG$2,0)),Inputs!$B$4:$B$150,$B10)/1000)</f>
        <v>-14834</v>
      </c>
      <c r="AD10" s="11">
        <f>IF(AD$3=0,"",SUMIFS(INDEX(Inputs!$D$4:$AG$150,0,MATCH(AD$2,Inputs!$D$2:$AG$2,0)),Inputs!$B$4:$B$150,$B10)/1000)</f>
        <v>-26560</v>
      </c>
      <c r="AE10" s="11" t="str">
        <f>IF(AE$3=0,"",SUMIFS(INDEX(Inputs!$D$4:$AG$150,0,MATCH(AE$2,Inputs!$D$2:$AG$2,0)),Inputs!$B$4:$B$150,$B10)/1000)</f>
        <v/>
      </c>
      <c r="AF10" s="11" t="str">
        <f>IF(AF$3=0,"",SUMIFS(INDEX(Inputs!$D$4:$AG$150,0,MATCH(AF$2,Inputs!$D$2:$AG$2,0)),Inputs!$B$4:$B$150,$B10)/1000)</f>
        <v/>
      </c>
      <c r="AG10" s="12" t="str">
        <f>IF(COUNT(AC10:AF10)=4,SUM(AC10:AF10),"")</f>
        <v/>
      </c>
    </row>
    <row r="11">
      <c r="B11" s="9" t="n">
        <v>8</v>
      </c>
      <c r="C11" s="14" t="inlineStr">
        <is>
          <t>Equity in Income of Affiliates, after tax (enter as +)</t>
        </is>
      </c>
      <c r="D11" s="11">
        <f>IF(D$3=0,"",SUMIFS(INDEX(Inputs!$D$4:$AG$150,0,MATCH(D$2,Inputs!$D$2:$AG$2,0)),Inputs!$B$4:$B$150,$B11)/1000)</f>
        <v>0</v>
      </c>
      <c r="E11" s="11">
        <f>IF(E$3=0,"",SUMIFS(INDEX(Inputs!$D$4:$AG$150,0,MATCH(E$2,Inputs!$D$2:$AG$2,0)),Inputs!$B$4:$B$150,$B11)/1000)</f>
        <v>0</v>
      </c>
      <c r="F11" s="11">
        <f>IF(F$3=0,"",SUMIFS(INDEX(Inputs!$D$4:$AG$150,0,MATCH(F$2,Inputs!$D$2:$AG$2,0)),Inputs!$B$4:$B$150,$B11)/1000)</f>
        <v>0</v>
      </c>
      <c r="G11" s="11">
        <f>IF(G$3=0,"",SUMIFS(INDEX(Inputs!$D$4:$AG$150,0,MATCH(G$2,Inputs!$D$2:$AG$2,0)),Inputs!$B$4:$B$150,$B11)/1000)</f>
        <v>0</v>
      </c>
      <c r="H11" s="12">
        <f>IF(COUNT(D11:G11)=4,SUM(D11:G11),"")</f>
        <v>0</v>
      </c>
      <c r="I11" s="11">
        <f>IF(I$3=0,"",SUMIFS(INDEX(Inputs!$D$4:$AG$150,0,MATCH(I$2,Inputs!$D$2:$AG$2,0)),Inputs!$B$4:$B$150,$B11)/1000)</f>
        <v>0</v>
      </c>
      <c r="J11" s="11">
        <f>IF(J$3=0,"",SUMIFS(INDEX(Inputs!$D$4:$AG$150,0,MATCH(J$2,Inputs!$D$2:$AG$2,0)),Inputs!$B$4:$B$150,$B11)/1000)</f>
        <v>0</v>
      </c>
      <c r="K11" s="11">
        <f>IF(K$3=0,"",SUMIFS(INDEX(Inputs!$D$4:$AG$150,0,MATCH(K$2,Inputs!$D$2:$AG$2,0)),Inputs!$B$4:$B$150,$B11)/1000)</f>
        <v>0</v>
      </c>
      <c r="L11" s="11">
        <f>IF(L$3=0,"",SUMIFS(INDEX(Inputs!$D$4:$AG$150,0,MATCH(L$2,Inputs!$D$2:$AG$2,0)),Inputs!$B$4:$B$150,$B11)/1000)</f>
        <v>0</v>
      </c>
      <c r="M11" s="12">
        <f>IF(COUNT(I11:L11)=4,SUM(I11:L11),"")</f>
        <v>0</v>
      </c>
      <c r="N11" s="11">
        <f>IF(N$3=0,"",SUMIFS(INDEX(Inputs!$D$4:$AG$150,0,MATCH(N$2,Inputs!$D$2:$AG$2,0)),Inputs!$B$4:$B$150,$B11)/1000)</f>
        <v>0</v>
      </c>
      <c r="O11" s="11">
        <f>IF(O$3=0,"",SUMIFS(INDEX(Inputs!$D$4:$AG$150,0,MATCH(O$2,Inputs!$D$2:$AG$2,0)),Inputs!$B$4:$B$150,$B11)/1000)</f>
        <v>0</v>
      </c>
      <c r="P11" s="11">
        <f>IF(P$3=0,"",SUMIFS(INDEX(Inputs!$D$4:$AG$150,0,MATCH(P$2,Inputs!$D$2:$AG$2,0)),Inputs!$B$4:$B$150,$B11)/1000)</f>
        <v>0</v>
      </c>
      <c r="Q11" s="11">
        <f>IF(Q$3=0,"",SUMIFS(INDEX(Inputs!$D$4:$AG$150,0,MATCH(Q$2,Inputs!$D$2:$AG$2,0)),Inputs!$B$4:$B$150,$B11)/1000)</f>
        <v>0</v>
      </c>
      <c r="R11" s="12">
        <f>IF(COUNT(N11:Q11)=4,SUM(N11:Q11),"")</f>
        <v>0</v>
      </c>
      <c r="S11" s="11">
        <f>IF(S$3=0,"",SUMIFS(INDEX(Inputs!$D$4:$AG$150,0,MATCH(S$2,Inputs!$D$2:$AG$2,0)),Inputs!$B$4:$B$150,$B11)/1000)</f>
        <v>0</v>
      </c>
      <c r="T11" s="11">
        <f>IF(T$3=0,"",SUMIFS(INDEX(Inputs!$D$4:$AG$150,0,MATCH(T$2,Inputs!$D$2:$AG$2,0)),Inputs!$B$4:$B$150,$B11)/1000)</f>
        <v>0</v>
      </c>
      <c r="U11" s="11">
        <f>IF(U$3=0,"",SUMIFS(INDEX(Inputs!$D$4:$AG$150,0,MATCH(U$2,Inputs!$D$2:$AG$2,0)),Inputs!$B$4:$B$150,$B11)/1000)</f>
        <v>0</v>
      </c>
      <c r="V11" s="11">
        <f>IF(V$3=0,"",SUMIFS(INDEX(Inputs!$D$4:$AG$150,0,MATCH(V$2,Inputs!$D$2:$AG$2,0)),Inputs!$B$4:$B$150,$B11)/1000)</f>
        <v>0</v>
      </c>
      <c r="W11" s="12">
        <f>IF(COUNT(S11:V11)=4,SUM(S11:V11),"")</f>
        <v>0</v>
      </c>
      <c r="X11" s="11">
        <f>IF(X$3=0,"",SUMIFS(INDEX(Inputs!$D$4:$AG$150,0,MATCH(X$2,Inputs!$D$2:$AG$2,0)),Inputs!$B$4:$B$150,$B11)/1000)</f>
        <v>0</v>
      </c>
      <c r="Y11" s="11">
        <f>IF(Y$3=0,"",SUMIFS(INDEX(Inputs!$D$4:$AG$150,0,MATCH(Y$2,Inputs!$D$2:$AG$2,0)),Inputs!$B$4:$B$150,$B11)/1000)</f>
        <v>0</v>
      </c>
      <c r="Z11" s="11">
        <f>IF(Z$3=0,"",SUMIFS(INDEX(Inputs!$D$4:$AG$150,0,MATCH(Z$2,Inputs!$D$2:$AG$2,0)),Inputs!$B$4:$B$150,$B11)/1000)</f>
        <v>0</v>
      </c>
      <c r="AA11" s="11">
        <f>IF(AA$3=0,"",SUMIFS(INDEX(Inputs!$D$4:$AG$150,0,MATCH(AA$2,Inputs!$D$2:$AG$2,0)),Inputs!$B$4:$B$150,$B11)/1000)</f>
        <v>0</v>
      </c>
      <c r="AB11" s="12">
        <f>IF(COUNT(X11:AA11)=4,SUM(X11:AA11),"")</f>
        <v>0</v>
      </c>
      <c r="AC11" s="11">
        <f>IF(AC$3=0,"",SUMIFS(INDEX(Inputs!$D$4:$AG$150,0,MATCH(AC$2,Inputs!$D$2:$AG$2,0)),Inputs!$B$4:$B$150,$B11)/1000)</f>
        <v>0</v>
      </c>
      <c r="AD11" s="11">
        <f>IF(AD$3=0,"",SUMIFS(INDEX(Inputs!$D$4:$AG$150,0,MATCH(AD$2,Inputs!$D$2:$AG$2,0)),Inputs!$B$4:$B$150,$B11)/1000)</f>
        <v>0</v>
      </c>
      <c r="AE11" s="11" t="str">
        <f>IF(AE$3=0,"",SUMIFS(INDEX(Inputs!$D$4:$AG$150,0,MATCH(AE$2,Inputs!$D$2:$AG$2,0)),Inputs!$B$4:$B$150,$B11)/1000)</f>
        <v/>
      </c>
      <c r="AF11" s="11" t="str">
        <f>IF(AF$3=0,"",SUMIFS(INDEX(Inputs!$D$4:$AG$150,0,MATCH(AF$2,Inputs!$D$2:$AG$2,0)),Inputs!$B$4:$B$150,$B11)/1000)</f>
        <v/>
      </c>
      <c r="AG11" s="12" t="str">
        <f>IF(COUNT(AC11:AF11)=4,SUM(AC11:AF11),"")</f>
        <v/>
      </c>
    </row>
    <row r="12">
      <c r="B12" s="9" t="n">
        <v>9</v>
      </c>
      <c r="C12" s="14" t="inlineStr">
        <is>
          <t>Minority Interest Expense, after tax (enter as - )</t>
        </is>
      </c>
      <c r="D12" s="11">
        <f>IF(D$3=0,"",SUMIFS(INDEX(Inputs!$D$4:$AG$150,0,MATCH(D$2,Inputs!$D$2:$AG$2,0)),Inputs!$B$4:$B$150,$B12)/1000)</f>
        <v>0</v>
      </c>
      <c r="E12" s="11">
        <f>IF(E$3=0,"",SUMIFS(INDEX(Inputs!$D$4:$AG$150,0,MATCH(E$2,Inputs!$D$2:$AG$2,0)),Inputs!$B$4:$B$150,$B12)/1000)</f>
        <v>0</v>
      </c>
      <c r="F12" s="11">
        <f>IF(F$3=0,"",SUMIFS(INDEX(Inputs!$D$4:$AG$150,0,MATCH(F$2,Inputs!$D$2:$AG$2,0)),Inputs!$B$4:$B$150,$B12)/1000)</f>
        <v>0</v>
      </c>
      <c r="G12" s="11">
        <f>IF(G$3=0,"",SUMIFS(INDEX(Inputs!$D$4:$AG$150,0,MATCH(G$2,Inputs!$D$2:$AG$2,0)),Inputs!$B$4:$B$150,$B12)/1000)</f>
        <v>0</v>
      </c>
      <c r="H12" s="12">
        <f>IF(COUNT(D12:G12)=4,SUM(D12:G12),"")</f>
        <v>0</v>
      </c>
      <c r="I12" s="11">
        <f>IF(I$3=0,"",SUMIFS(INDEX(Inputs!$D$4:$AG$150,0,MATCH(I$2,Inputs!$D$2:$AG$2,0)),Inputs!$B$4:$B$150,$B12)/1000)</f>
        <v>0</v>
      </c>
      <c r="J12" s="11">
        <f>IF(J$3=0,"",SUMIFS(INDEX(Inputs!$D$4:$AG$150,0,MATCH(J$2,Inputs!$D$2:$AG$2,0)),Inputs!$B$4:$B$150,$B12)/1000)</f>
        <v>0</v>
      </c>
      <c r="K12" s="11">
        <f>IF(K$3=0,"",SUMIFS(INDEX(Inputs!$D$4:$AG$150,0,MATCH(K$2,Inputs!$D$2:$AG$2,0)),Inputs!$B$4:$B$150,$B12)/1000)</f>
        <v>0</v>
      </c>
      <c r="L12" s="11">
        <f>IF(L$3=0,"",SUMIFS(INDEX(Inputs!$D$4:$AG$150,0,MATCH(L$2,Inputs!$D$2:$AG$2,0)),Inputs!$B$4:$B$150,$B12)/1000)</f>
        <v>0</v>
      </c>
      <c r="M12" s="12">
        <f>IF(COUNT(I12:L12)=4,SUM(I12:L12),"")</f>
        <v>0</v>
      </c>
      <c r="N12" s="11">
        <f>IF(N$3=0,"",SUMIFS(INDEX(Inputs!$D$4:$AG$150,0,MATCH(N$2,Inputs!$D$2:$AG$2,0)),Inputs!$B$4:$B$150,$B12)/1000)</f>
        <v>0</v>
      </c>
      <c r="O12" s="11">
        <f>IF(O$3=0,"",SUMIFS(INDEX(Inputs!$D$4:$AG$150,0,MATCH(O$2,Inputs!$D$2:$AG$2,0)),Inputs!$B$4:$B$150,$B12)/1000)</f>
        <v>0</v>
      </c>
      <c r="P12" s="11">
        <f>IF(P$3=0,"",SUMIFS(INDEX(Inputs!$D$4:$AG$150,0,MATCH(P$2,Inputs!$D$2:$AG$2,0)),Inputs!$B$4:$B$150,$B12)/1000)</f>
        <v>0</v>
      </c>
      <c r="Q12" s="11">
        <f>IF(Q$3=0,"",SUMIFS(INDEX(Inputs!$D$4:$AG$150,0,MATCH(Q$2,Inputs!$D$2:$AG$2,0)),Inputs!$B$4:$B$150,$B12)/1000)</f>
        <v>0</v>
      </c>
      <c r="R12" s="12">
        <f>IF(COUNT(N12:Q12)=4,SUM(N12:Q12),"")</f>
        <v>0</v>
      </c>
      <c r="S12" s="11">
        <f>IF(S$3=0,"",SUMIFS(INDEX(Inputs!$D$4:$AG$150,0,MATCH(S$2,Inputs!$D$2:$AG$2,0)),Inputs!$B$4:$B$150,$B12)/1000)</f>
        <v>0</v>
      </c>
      <c r="T12" s="11">
        <f>IF(T$3=0,"",SUMIFS(INDEX(Inputs!$D$4:$AG$150,0,MATCH(T$2,Inputs!$D$2:$AG$2,0)),Inputs!$B$4:$B$150,$B12)/1000)</f>
        <v>0</v>
      </c>
      <c r="U12" s="11">
        <f>IF(U$3=0,"",SUMIFS(INDEX(Inputs!$D$4:$AG$150,0,MATCH(U$2,Inputs!$D$2:$AG$2,0)),Inputs!$B$4:$B$150,$B12)/1000)</f>
        <v>0</v>
      </c>
      <c r="V12" s="11">
        <f>IF(V$3=0,"",SUMIFS(INDEX(Inputs!$D$4:$AG$150,0,MATCH(V$2,Inputs!$D$2:$AG$2,0)),Inputs!$B$4:$B$150,$B12)/1000)</f>
        <v>0</v>
      </c>
      <c r="W12" s="12">
        <f>IF(COUNT(S12:V12)=4,SUM(S12:V12),"")</f>
        <v>0</v>
      </c>
      <c r="X12" s="11">
        <f>IF(X$3=0,"",SUMIFS(INDEX(Inputs!$D$4:$AG$150,0,MATCH(X$2,Inputs!$D$2:$AG$2,0)),Inputs!$B$4:$B$150,$B12)/1000)</f>
        <v>0</v>
      </c>
      <c r="Y12" s="11">
        <f>IF(Y$3=0,"",SUMIFS(INDEX(Inputs!$D$4:$AG$150,0,MATCH(Y$2,Inputs!$D$2:$AG$2,0)),Inputs!$B$4:$B$150,$B12)/1000)</f>
        <v>0</v>
      </c>
      <c r="Z12" s="11">
        <f>IF(Z$3=0,"",SUMIFS(INDEX(Inputs!$D$4:$AG$150,0,MATCH(Z$2,Inputs!$D$2:$AG$2,0)),Inputs!$B$4:$B$150,$B12)/1000)</f>
        <v>0</v>
      </c>
      <c r="AA12" s="11">
        <f>IF(AA$3=0,"",SUMIFS(INDEX(Inputs!$D$4:$AG$150,0,MATCH(AA$2,Inputs!$D$2:$AG$2,0)),Inputs!$B$4:$B$150,$B12)/1000)</f>
        <v>0</v>
      </c>
      <c r="AB12" s="12">
        <f>IF(COUNT(X12:AA12)=4,SUM(X12:AA12),"")</f>
        <v>0</v>
      </c>
      <c r="AC12" s="11">
        <f>IF(AC$3=0,"",SUMIFS(INDEX(Inputs!$D$4:$AG$150,0,MATCH(AC$2,Inputs!$D$2:$AG$2,0)),Inputs!$B$4:$B$150,$B12)/1000)</f>
        <v>0</v>
      </c>
      <c r="AD12" s="11">
        <f>IF(AD$3=0,"",SUMIFS(INDEX(Inputs!$D$4:$AG$150,0,MATCH(AD$2,Inputs!$D$2:$AG$2,0)),Inputs!$B$4:$B$150,$B12)/1000)</f>
        <v>0</v>
      </c>
      <c r="AE12" s="11" t="str">
        <f>IF(AE$3=0,"",SUMIFS(INDEX(Inputs!$D$4:$AG$150,0,MATCH(AE$2,Inputs!$D$2:$AG$2,0)),Inputs!$B$4:$B$150,$B12)/1000)</f>
        <v/>
      </c>
      <c r="AF12" s="11" t="str">
        <f>IF(AF$3=0,"",SUMIFS(INDEX(Inputs!$D$4:$AG$150,0,MATCH(AF$2,Inputs!$D$2:$AG$2,0)),Inputs!$B$4:$B$150,$B12)/1000)</f>
        <v/>
      </c>
      <c r="AG12" s="12" t="str">
        <f>IF(COUNT(AC12:AF12)=4,SUM(AC12:AF12),"")</f>
        <v/>
      </c>
    </row>
    <row r="13">
      <c r="B13" s="9" t="n">
        <v>10</v>
      </c>
      <c r="C13" s="13" t="inlineStr">
        <is>
          <t>Common Dividends</t>
        </is>
      </c>
      <c r="D13" s="11">
        <f>IF(D$3=0,"",SUMIFS(INDEX(Inputs!$D$4:$AG$150,0,MATCH(D$2,Inputs!$D$2:$AG$2,0)),Inputs!$B$4:$B$150,$B13)/1000)</f>
        <v>0</v>
      </c>
      <c r="E13" s="11">
        <f>IF(E$3=0,"",SUMIFS(INDEX(Inputs!$D$4:$AG$150,0,MATCH(E$2,Inputs!$D$2:$AG$2,0)),Inputs!$B$4:$B$150,$B13)/1000)</f>
        <v>0</v>
      </c>
      <c r="F13" s="11">
        <f>IF(F$3=0,"",SUMIFS(INDEX(Inputs!$D$4:$AG$150,0,MATCH(F$2,Inputs!$D$2:$AG$2,0)),Inputs!$B$4:$B$150,$B13)/1000)</f>
        <v>0</v>
      </c>
      <c r="G13" s="11">
        <f>IF(G$3=0,"",SUMIFS(INDEX(Inputs!$D$4:$AG$150,0,MATCH(G$2,Inputs!$D$2:$AG$2,0)),Inputs!$B$4:$B$150,$B13)/1000)</f>
        <v>0</v>
      </c>
      <c r="H13" s="12">
        <f>IF(COUNT(D13:G13)=4,SUM(D13:G13),"")</f>
        <v>0</v>
      </c>
      <c r="I13" s="11">
        <f>IF(I$3=0,"",SUMIFS(INDEX(Inputs!$D$4:$AG$150,0,MATCH(I$2,Inputs!$D$2:$AG$2,0)),Inputs!$B$4:$B$150,$B13)/1000)</f>
        <v>0</v>
      </c>
      <c r="J13" s="11">
        <f>IF(J$3=0,"",SUMIFS(INDEX(Inputs!$D$4:$AG$150,0,MATCH(J$2,Inputs!$D$2:$AG$2,0)),Inputs!$B$4:$B$150,$B13)/1000)</f>
        <v>0</v>
      </c>
      <c r="K13" s="11">
        <f>IF(K$3=0,"",SUMIFS(INDEX(Inputs!$D$4:$AG$150,0,MATCH(K$2,Inputs!$D$2:$AG$2,0)),Inputs!$B$4:$B$150,$B13)/1000)</f>
        <v>0</v>
      </c>
      <c r="L13" s="11">
        <f>IF(L$3=0,"",SUMIFS(INDEX(Inputs!$D$4:$AG$150,0,MATCH(L$2,Inputs!$D$2:$AG$2,0)),Inputs!$B$4:$B$150,$B13)/1000)</f>
        <v>0</v>
      </c>
      <c r="M13" s="12">
        <f>IF(COUNT(I13:L13)=4,SUM(I13:L13),"")</f>
        <v>0</v>
      </c>
      <c r="N13" s="11">
        <f>IF(N$3=0,"",SUMIFS(INDEX(Inputs!$D$4:$AG$150,0,MATCH(N$2,Inputs!$D$2:$AG$2,0)),Inputs!$B$4:$B$150,$B13)/1000)</f>
        <v>0</v>
      </c>
      <c r="O13" s="11">
        <f>IF(O$3=0,"",SUMIFS(INDEX(Inputs!$D$4:$AG$150,0,MATCH(O$2,Inputs!$D$2:$AG$2,0)),Inputs!$B$4:$B$150,$B13)/1000)</f>
        <v>0</v>
      </c>
      <c r="P13" s="11">
        <f>IF(P$3=0,"",SUMIFS(INDEX(Inputs!$D$4:$AG$150,0,MATCH(P$2,Inputs!$D$2:$AG$2,0)),Inputs!$B$4:$B$150,$B13)/1000)</f>
        <v>0</v>
      </c>
      <c r="Q13" s="11">
        <f>IF(Q$3=0,"",SUMIFS(INDEX(Inputs!$D$4:$AG$150,0,MATCH(Q$2,Inputs!$D$2:$AG$2,0)),Inputs!$B$4:$B$150,$B13)/1000)</f>
        <v>0</v>
      </c>
      <c r="R13" s="12">
        <f>IF(COUNT(N13:Q13)=4,SUM(N13:Q13),"")</f>
        <v>0</v>
      </c>
      <c r="S13" s="11">
        <f>IF(S$3=0,"",SUMIFS(INDEX(Inputs!$D$4:$AG$150,0,MATCH(S$2,Inputs!$D$2:$AG$2,0)),Inputs!$B$4:$B$150,$B13)/1000)</f>
        <v>0</v>
      </c>
      <c r="T13" s="11">
        <f>IF(T$3=0,"",SUMIFS(INDEX(Inputs!$D$4:$AG$150,0,MATCH(T$2,Inputs!$D$2:$AG$2,0)),Inputs!$B$4:$B$150,$B13)/1000)</f>
        <v>-2466</v>
      </c>
      <c r="U13" s="11">
        <f>IF(U$3=0,"",SUMIFS(INDEX(Inputs!$D$4:$AG$150,0,MATCH(U$2,Inputs!$D$2:$AG$2,0)),Inputs!$B$4:$B$150,$B13)/1000)</f>
        <v>-2455</v>
      </c>
      <c r="V13" s="11">
        <f>IF(V$3=0,"",SUMIFS(INDEX(Inputs!$D$4:$AG$150,0,MATCH(V$2,Inputs!$D$2:$AG$2,0)),Inputs!$B$4:$B$150,$B13)/1000)</f>
        <v>-2442</v>
      </c>
      <c r="W13" s="12">
        <f>IF(COUNT(S13:V13)=4,SUM(S13:V13),"")</f>
        <v>-7363</v>
      </c>
      <c r="X13" s="11">
        <f>IF(X$3=0,"",SUMIFS(INDEX(Inputs!$D$4:$AG$150,0,MATCH(X$2,Inputs!$D$2:$AG$2,0)),Inputs!$B$4:$B$150,$B13)/1000)</f>
        <v>-2434</v>
      </c>
      <c r="Y13" s="11">
        <f>IF(Y$3=0,"",SUMIFS(INDEX(Inputs!$D$4:$AG$150,0,MATCH(Y$2,Inputs!$D$2:$AG$2,0)),Inputs!$B$4:$B$150,$B13)/1000)</f>
        <v>-2543</v>
      </c>
      <c r="Z13" s="11">
        <f>IF(Z$3=0,"",SUMIFS(INDEX(Inputs!$D$4:$AG$150,0,MATCH(Z$2,Inputs!$D$2:$AG$2,0)),Inputs!$B$4:$B$150,$B13)/1000)</f>
        <v>-2536</v>
      </c>
      <c r="AA13" s="11">
        <f>IF(AA$3=0,"",SUMIFS(INDEX(Inputs!$D$4:$AG$150,0,MATCH(AA$2,Inputs!$D$2:$AG$2,0)),Inputs!$B$4:$B$150,$B13)/1000)</f>
        <v>-2536</v>
      </c>
      <c r="AB13" s="12">
        <f>IF(COUNT(X13:AA13)=4,SUM(X13:AA13),"")</f>
        <v>-10049</v>
      </c>
      <c r="AC13" s="11">
        <f>IF(AC$3=0,"",SUMIFS(INDEX(Inputs!$D$4:$AG$150,0,MATCH(AC$2,Inputs!$D$2:$AG$2,0)),Inputs!$B$4:$B$150,$B13)/1000)</f>
        <v>-2542</v>
      </c>
      <c r="AD13" s="11">
        <f>IF(AD$3=0,"",SUMIFS(INDEX(Inputs!$D$4:$AG$150,0,MATCH(AD$2,Inputs!$D$2:$AG$2,0)),Inputs!$B$4:$B$150,$B13)/1000)</f>
        <v>0</v>
      </c>
      <c r="AE13" s="11" t="str">
        <f>IF(AE$3=0,"",SUMIFS(INDEX(Inputs!$D$4:$AG$150,0,MATCH(AE$2,Inputs!$D$2:$AG$2,0)),Inputs!$B$4:$B$150,$B13)/1000)</f>
        <v/>
      </c>
      <c r="AF13" s="11" t="str">
        <f>IF(AF$3=0,"",SUMIFS(INDEX(Inputs!$D$4:$AG$150,0,MATCH(AF$2,Inputs!$D$2:$AG$2,0)),Inputs!$B$4:$B$150,$B13)/1000)</f>
        <v/>
      </c>
      <c r="AG13" s="12" t="str">
        <f>IF(COUNT(AC13:AF13)=4,SUM(AC13:AF13),"")</f>
        <v/>
      </c>
    </row>
    <row r="14">
      <c r="D14" s="12" t="n"/>
    </row>
    <row r="15">
      <c r="B15" s="9" t="n">
        <v>11</v>
      </c>
      <c r="C15" s="13" t="inlineStr">
        <is>
          <t>Cash and equivalents (inc. investment securities)</t>
        </is>
      </c>
      <c r="D15" s="11">
        <f>IF(D$3=0,"",SUMIFS(INDEX(Inputs!$D$4:$AG$150,0,MATCH(D$2,Inputs!$D$2:$AG$2,0)),Inputs!$B$4:$B$150,$B15)/1000)</f>
        <v>135104</v>
      </c>
      <c r="E15" s="11">
        <f>IF(E$3=0,"",SUMIFS(INDEX(Inputs!$D$4:$AG$150,0,MATCH(E$2,Inputs!$D$2:$AG$2,0)),Inputs!$B$4:$B$150,$B15)/1000)</f>
        <v>135863</v>
      </c>
      <c r="F15" s="11">
        <f>IF(F$3=0,"",SUMIFS(INDEX(Inputs!$D$4:$AG$150,0,MATCH(F$2,Inputs!$D$2:$AG$2,0)),Inputs!$B$4:$B$150,$B15)/1000)</f>
        <v>142003</v>
      </c>
      <c r="G15" s="11">
        <f>IF(G$3=0,"",SUMIFS(INDEX(Inputs!$D$4:$AG$150,0,MATCH(G$2,Inputs!$D$2:$AG$2,0)),Inputs!$B$4:$B$150,$B15)/1000)</f>
        <v>139649</v>
      </c>
      <c r="H15" s="12">
        <f>IF(G15="","",G15)</f>
        <v>139649</v>
      </c>
      <c r="I15" s="11">
        <f>IF(I$3=0,"",SUMIFS(INDEX(Inputs!$D$4:$AG$150,0,MATCH(I$2,Inputs!$D$2:$AG$2,0)),Inputs!$B$4:$B$150,$B15)/1000)</f>
        <v>133970</v>
      </c>
      <c r="J15" s="11">
        <f>IF(J$3=0,"",SUMIFS(INDEX(Inputs!$D$4:$AG$150,0,MATCH(J$2,Inputs!$D$2:$AG$2,0)),Inputs!$B$4:$B$150,$B15)/1000)</f>
        <v>124997</v>
      </c>
      <c r="K15" s="11">
        <f>IF(K$3=0,"",SUMIFS(INDEX(Inputs!$D$4:$AG$150,0,MATCH(K$2,Inputs!$D$2:$AG$2,0)),Inputs!$B$4:$B$150,$B15)/1000)</f>
        <v>116259</v>
      </c>
      <c r="L15" s="11">
        <f>IF(L$3=0,"",SUMIFS(INDEX(Inputs!$D$4:$AG$150,0,MATCH(L$2,Inputs!$D$2:$AG$2,0)),Inputs!$B$4:$B$150,$B15)/1000)</f>
        <v>113762</v>
      </c>
      <c r="M15" s="12">
        <f>IF(L15="","",L15)</f>
        <v>113762</v>
      </c>
      <c r="N15" s="11">
        <f>IF(N$3=0,"",SUMIFS(INDEX(Inputs!$D$4:$AG$150,0,MATCH(N$2,Inputs!$D$2:$AG$2,0)),Inputs!$B$4:$B$150,$B15)/1000)</f>
        <v>115102</v>
      </c>
      <c r="O15" s="11">
        <f>IF(O$3=0,"",SUMIFS(INDEX(Inputs!$D$4:$AG$150,0,MATCH(O$2,Inputs!$D$2:$AG$2,0)),Inputs!$B$4:$B$150,$B15)/1000)</f>
        <v>118332</v>
      </c>
      <c r="P15" s="11">
        <f>IF(P$3=0,"",SUMIFS(INDEX(Inputs!$D$4:$AG$150,0,MATCH(P$2,Inputs!$D$2:$AG$2,0)),Inputs!$B$4:$B$150,$B15)/1000)</f>
        <v>119935</v>
      </c>
      <c r="Q15" s="11">
        <f>IF(Q$3=0,"",SUMIFS(INDEX(Inputs!$D$4:$AG$150,0,MATCH(Q$2,Inputs!$D$2:$AG$2,0)),Inputs!$B$4:$B$150,$B15)/1000)</f>
        <v>110916</v>
      </c>
      <c r="R15" s="12">
        <f>IF(Q15="","",Q15)</f>
        <v>110916</v>
      </c>
      <c r="S15" s="11">
        <f>IF(S$3=0,"",SUMIFS(INDEX(Inputs!$D$4:$AG$150,0,MATCH(S$2,Inputs!$D$2:$AG$2,0)),Inputs!$B$4:$B$150,$B15)/1000)</f>
        <v>108090</v>
      </c>
      <c r="T15" s="11">
        <f>IF(T$3=0,"",SUMIFS(INDEX(Inputs!$D$4:$AG$150,0,MATCH(T$2,Inputs!$D$2:$AG$2,0)),Inputs!$B$4:$B$150,$B15)/1000)</f>
        <v>100725</v>
      </c>
      <c r="U15" s="11">
        <f>IF(U$3=0,"",SUMIFS(INDEX(Inputs!$D$4:$AG$150,0,MATCH(U$2,Inputs!$D$2:$AG$2,0)),Inputs!$B$4:$B$150,$B15)/1000)</f>
        <v>93230</v>
      </c>
      <c r="V15" s="11">
        <f>IF(V$3=0,"",SUMIFS(INDEX(Inputs!$D$4:$AG$150,0,MATCH(V$2,Inputs!$D$2:$AG$2,0)),Inputs!$B$4:$B$150,$B15)/1000)</f>
        <v>95657</v>
      </c>
      <c r="W15" s="12">
        <f>IF(V15="","",V15)</f>
        <v>95657</v>
      </c>
      <c r="X15" s="11">
        <f>IF(X$3=0,"",SUMIFS(INDEX(Inputs!$D$4:$AG$150,0,MATCH(X$2,Inputs!$D$2:$AG$2,0)),Inputs!$B$4:$B$150,$B15)/1000)</f>
        <v>95328</v>
      </c>
      <c r="Y15" s="11">
        <f>IF(Y$3=0,"",SUMIFS(INDEX(Inputs!$D$4:$AG$150,0,MATCH(Y$2,Inputs!$D$2:$AG$2,0)),Inputs!$B$4:$B$150,$B15)/1000)</f>
        <v>95148</v>
      </c>
      <c r="Z15" s="11">
        <f>IF(Z$3=0,"",SUMIFS(INDEX(Inputs!$D$4:$AG$150,0,MATCH(Z$2,Inputs!$D$2:$AG$2,0)),Inputs!$B$4:$B$150,$B15)/1000)</f>
        <v>98496</v>
      </c>
      <c r="AA15" s="11">
        <f>IF(AA$3=0,"",SUMIFS(INDEX(Inputs!$D$4:$AG$150,0,MATCH(AA$2,Inputs!$D$2:$AG$2,0)),Inputs!$B$4:$B$150,$B15)/1000)</f>
        <v>126843</v>
      </c>
      <c r="AB15" s="12">
        <f>IF(AA15="","",AA15)</f>
        <v>126843</v>
      </c>
      <c r="AC15" s="11">
        <f>IF(AC$3=0,"",SUMIFS(INDEX(Inputs!$D$4:$AG$150,0,MATCH(AC$2,Inputs!$D$2:$AG$2,0)),Inputs!$B$4:$B$150,$B15)/1000)</f>
        <v>126840</v>
      </c>
      <c r="AD15" s="11">
        <f>IF(AD$3=0,"",SUMIFS(INDEX(Inputs!$D$4:$AG$150,0,MATCH(AD$2,Inputs!$D$2:$AG$2,0)),Inputs!$B$4:$B$150,$B15)/1000)</f>
        <v>242474</v>
      </c>
      <c r="AE15" s="11" t="str">
        <f>IF(AE$3=0,"",SUMIFS(INDEX(Inputs!$D$4:$AG$150,0,MATCH(AE$2,Inputs!$D$2:$AG$2,0)),Inputs!$B$4:$B$150,$B15)/1000)</f>
        <v/>
      </c>
      <c r="AF15" s="11" t="str">
        <f>IF(AF$3=0,"",SUMIFS(INDEX(Inputs!$D$4:$AG$150,0,MATCH(AF$2,Inputs!$D$2:$AG$2,0)),Inputs!$B$4:$B$150,$B15)/1000)</f>
        <v/>
      </c>
      <c r="AG15" s="12" t="str">
        <f>IF(AF15="","",AF15)</f>
        <v/>
      </c>
    </row>
    <row r="16">
      <c r="B16" s="9" t="n">
        <v>12</v>
      </c>
      <c r="C16" s="14" t="inlineStr">
        <is>
          <t>Accounts receivable</t>
        </is>
      </c>
      <c r="D16" s="11">
        <f>IF(D$3=0,"",SUMIFS(INDEX(Inputs!$D$4:$AG$150,0,MATCH(D$2,Inputs!$D$2:$AG$2,0)),Inputs!$B$4:$B$150,$B16)/1000)</f>
        <v>28006</v>
      </c>
      <c r="E16" s="11">
        <f>IF(E$3=0,"",SUMIFS(INDEX(Inputs!$D$4:$AG$150,0,MATCH(E$2,Inputs!$D$2:$AG$2,0)),Inputs!$B$4:$B$150,$B16)/1000)</f>
        <v>31967</v>
      </c>
      <c r="F16" s="11">
        <f>IF(F$3=0,"",SUMIFS(INDEX(Inputs!$D$4:$AG$150,0,MATCH(F$2,Inputs!$D$2:$AG$2,0)),Inputs!$B$4:$B$150,$B16)/1000)</f>
        <v>34047</v>
      </c>
      <c r="G16" s="11">
        <f>IF(G$3=0,"",SUMIFS(INDEX(Inputs!$D$4:$AG$150,0,MATCH(G$2,Inputs!$D$2:$AG$2,0)),Inputs!$B$4:$B$150,$B16)/1000)</f>
        <v>39304</v>
      </c>
      <c r="H16" s="12">
        <f>IF(G16="","",G16)</f>
        <v>39304</v>
      </c>
      <c r="I16" s="11">
        <f>IF(I$3=0,"",SUMIFS(INDEX(Inputs!$D$4:$AG$150,0,MATCH(I$2,Inputs!$D$2:$AG$2,0)),Inputs!$B$4:$B$150,$B16)/1000)</f>
        <v>34703</v>
      </c>
      <c r="J16" s="11">
        <f>IF(J$3=0,"",SUMIFS(INDEX(Inputs!$D$4:$AG$150,0,MATCH(J$2,Inputs!$D$2:$AG$2,0)),Inputs!$B$4:$B$150,$B16)/1000)</f>
        <v>35707</v>
      </c>
      <c r="K16" s="11">
        <f>IF(K$3=0,"",SUMIFS(INDEX(Inputs!$D$4:$AG$150,0,MATCH(K$2,Inputs!$D$2:$AG$2,0)),Inputs!$B$4:$B$150,$B16)/1000)</f>
        <v>34697</v>
      </c>
      <c r="L16" s="11">
        <f>IF(L$3=0,"",SUMIFS(INDEX(Inputs!$D$4:$AG$150,0,MATCH(L$2,Inputs!$D$2:$AG$2,0)),Inputs!$B$4:$B$150,$B16)/1000)</f>
        <v>40258</v>
      </c>
      <c r="M16" s="12">
        <f>IF(L16="","",L16)</f>
        <v>40258</v>
      </c>
      <c r="N16" s="11">
        <f>IF(N$3=0,"",SUMIFS(INDEX(Inputs!$D$4:$AG$150,0,MATCH(N$2,Inputs!$D$2:$AG$2,0)),Inputs!$B$4:$B$150,$B16)/1000)</f>
        <v>36036</v>
      </c>
      <c r="O16" s="11">
        <f>IF(O$3=0,"",SUMIFS(INDEX(Inputs!$D$4:$AG$150,0,MATCH(O$2,Inputs!$D$2:$AG$2,0)),Inputs!$B$4:$B$150,$B16)/1000)</f>
        <v>38804</v>
      </c>
      <c r="P16" s="11">
        <f>IF(P$3=0,"",SUMIFS(INDEX(Inputs!$D$4:$AG$150,0,MATCH(P$2,Inputs!$D$2:$AG$2,0)),Inputs!$B$4:$B$150,$B16)/1000)</f>
        <v>41020</v>
      </c>
      <c r="Q16" s="11">
        <f>IF(Q$3=0,"",SUMIFS(INDEX(Inputs!$D$4:$AG$150,0,MATCH(Q$2,Inputs!$D$2:$AG$2,0)),Inputs!$B$4:$B$150,$B16)/1000)</f>
        <v>47964</v>
      </c>
      <c r="R16" s="12">
        <f>IF(Q16="","",Q16)</f>
        <v>47964</v>
      </c>
      <c r="S16" s="11">
        <f>IF(S$3=0,"",SUMIFS(INDEX(Inputs!$D$4:$AG$150,0,MATCH(S$2,Inputs!$D$2:$AG$2,0)),Inputs!$B$4:$B$150,$B16)/1000)</f>
        <v>44552</v>
      </c>
      <c r="T16" s="11">
        <f>IF(T$3=0,"",SUMIFS(INDEX(Inputs!$D$4:$AG$150,0,MATCH(T$2,Inputs!$D$2:$AG$2,0)),Inputs!$B$4:$B$150,$B16)/1000)</f>
        <v>47087</v>
      </c>
      <c r="U16" s="11">
        <f>IF(U$3=0,"",SUMIFS(INDEX(Inputs!$D$4:$AG$150,0,MATCH(U$2,Inputs!$D$2:$AG$2,0)),Inputs!$B$4:$B$150,$B16)/1000)</f>
        <v>49104</v>
      </c>
      <c r="V16" s="11">
        <f>IF(V$3=0,"",SUMIFS(INDEX(Inputs!$D$4:$AG$150,0,MATCH(V$2,Inputs!$D$2:$AG$2,0)),Inputs!$B$4:$B$150,$B16)/1000)</f>
        <v>52340</v>
      </c>
      <c r="W16" s="12">
        <f>IF(V16="","",V16)</f>
        <v>52340</v>
      </c>
      <c r="X16" s="11">
        <f>IF(X$3=0,"",SUMIFS(INDEX(Inputs!$D$4:$AG$150,0,MATCH(X$2,Inputs!$D$2:$AG$2,0)),Inputs!$B$4:$B$150,$B16)/1000)</f>
        <v>51000</v>
      </c>
      <c r="Y16" s="11">
        <f>IF(Y$3=0,"",SUMIFS(INDEX(Inputs!$D$4:$AG$150,0,MATCH(Y$2,Inputs!$D$2:$AG$2,0)),Inputs!$B$4:$B$150,$B16)/1000)</f>
        <v>55048</v>
      </c>
      <c r="Z16" s="11">
        <f>IF(Z$3=0,"",SUMIFS(INDEX(Inputs!$D$4:$AG$150,0,MATCH(Z$2,Inputs!$D$2:$AG$2,0)),Inputs!$B$4:$B$150,$B16)/1000)</f>
        <v>57148</v>
      </c>
      <c r="AA16" s="11">
        <f>IF(AA$3=0,"",SUMIFS(INDEX(Inputs!$D$4:$AG$150,0,MATCH(AA$2,Inputs!$D$2:$AG$2,0)),Inputs!$B$4:$B$150,$B16)/1000)</f>
        <v>62886</v>
      </c>
      <c r="AB16" s="12">
        <f>IF(AA16="","",AA16)</f>
        <v>62886</v>
      </c>
      <c r="AC16" s="11">
        <f>IF(AC$3=0,"",SUMIFS(INDEX(Inputs!$D$4:$AG$150,0,MATCH(AC$2,Inputs!$D$2:$AG$2,0)),Inputs!$B$4:$B$150,$B16)/1000)</f>
        <v>62999</v>
      </c>
      <c r="AD16" s="11">
        <f>IF(AD$3=0,"",SUMIFS(INDEX(Inputs!$D$4:$AG$150,0,MATCH(AD$2,Inputs!$D$2:$AG$2,0)),Inputs!$B$4:$B$150,$B16)/1000)</f>
        <v>69175</v>
      </c>
      <c r="AE16" s="11" t="str">
        <f>IF(AE$3=0,"",SUMIFS(INDEX(Inputs!$D$4:$AG$150,0,MATCH(AE$2,Inputs!$D$2:$AG$2,0)),Inputs!$B$4:$B$150,$B16)/1000)</f>
        <v/>
      </c>
      <c r="AF16" s="11" t="str">
        <f>IF(AF$3=0,"",SUMIFS(INDEX(Inputs!$D$4:$AG$150,0,MATCH(AF$2,Inputs!$D$2:$AG$2,0)),Inputs!$B$4:$B$150,$B16)/1000)</f>
        <v/>
      </c>
      <c r="AG16" s="12" t="str">
        <f>IF(AF16="","",AF16)</f>
        <v/>
      </c>
    </row>
    <row r="17">
      <c r="B17" s="9" t="n">
        <v>13</v>
      </c>
      <c r="C17" s="14" t="inlineStr">
        <is>
          <t>Inventories</t>
        </is>
      </c>
      <c r="D17" s="11">
        <f>IF(D$3=0,"",SUMIFS(INDEX(Inputs!$D$4:$AG$150,0,MATCH(D$2,Inputs!$D$2:$AG$2,0)),Inputs!$B$4:$B$150,$B17)/1000)</f>
        <v>888</v>
      </c>
      <c r="E17" s="11">
        <f>IF(E$3=0,"",SUMIFS(INDEX(Inputs!$D$4:$AG$150,0,MATCH(E$2,Inputs!$D$2:$AG$2,0)),Inputs!$B$4:$B$150,$B17)/1000)</f>
        <v>907</v>
      </c>
      <c r="F17" s="11">
        <f>IF(F$3=0,"",SUMIFS(INDEX(Inputs!$D$4:$AG$150,0,MATCH(F$2,Inputs!$D$2:$AG$2,0)),Inputs!$B$4:$B$150,$B17)/1000)</f>
        <v>1278</v>
      </c>
      <c r="G17" s="11">
        <f>IF(G$3=0,"",SUMIFS(INDEX(Inputs!$D$4:$AG$150,0,MATCH(G$2,Inputs!$D$2:$AG$2,0)),Inputs!$B$4:$B$150,$B17)/1000)</f>
        <v>1170</v>
      </c>
      <c r="H17" s="12">
        <f>IF(G17="","",G17)</f>
        <v>1170</v>
      </c>
      <c r="I17" s="11">
        <f>IF(I$3=0,"",SUMIFS(INDEX(Inputs!$D$4:$AG$150,0,MATCH(I$2,Inputs!$D$2:$AG$2,0)),Inputs!$B$4:$B$150,$B17)/1000)</f>
        <v>1369</v>
      </c>
      <c r="J17" s="11">
        <f>IF(J$3=0,"",SUMIFS(INDEX(Inputs!$D$4:$AG$150,0,MATCH(J$2,Inputs!$D$2:$AG$2,0)),Inputs!$B$4:$B$150,$B17)/1000)</f>
        <v>1980</v>
      </c>
      <c r="K17" s="11">
        <f>IF(K$3=0,"",SUMIFS(INDEX(Inputs!$D$4:$AG$150,0,MATCH(K$2,Inputs!$D$2:$AG$2,0)),Inputs!$B$4:$B$150,$B17)/1000)</f>
        <v>3156</v>
      </c>
      <c r="L17" s="11">
        <f>IF(L$3=0,"",SUMIFS(INDEX(Inputs!$D$4:$AG$150,0,MATCH(L$2,Inputs!$D$2:$AG$2,0)),Inputs!$B$4:$B$150,$B17)/1000)</f>
        <v>2670</v>
      </c>
      <c r="M17" s="12">
        <f>IF(L17="","",L17)</f>
        <v>2670</v>
      </c>
      <c r="N17" s="11">
        <f>IF(N$3=0,"",SUMIFS(INDEX(Inputs!$D$4:$AG$150,0,MATCH(N$2,Inputs!$D$2:$AG$2,0)),Inputs!$B$4:$B$150,$B17)/1000)</f>
        <v>2315</v>
      </c>
      <c r="O17" s="11">
        <f>IF(O$3=0,"",SUMIFS(INDEX(Inputs!$D$4:$AG$150,0,MATCH(O$2,Inputs!$D$2:$AG$2,0)),Inputs!$B$4:$B$150,$B17)/1000)</f>
        <v>2231</v>
      </c>
      <c r="P17" s="11">
        <f>IF(P$3=0,"",SUMIFS(INDEX(Inputs!$D$4:$AG$150,0,MATCH(P$2,Inputs!$D$2:$AG$2,0)),Inputs!$B$4:$B$150,$B17)/1000)</f>
        <v>2957</v>
      </c>
      <c r="Q17" s="11">
        <f>IF(Q$3=0,"",SUMIFS(INDEX(Inputs!$D$4:$AG$150,0,MATCH(Q$2,Inputs!$D$2:$AG$2,0)),Inputs!$B$4:$B$150,$B17)/1000)</f>
        <v>0</v>
      </c>
      <c r="R17" s="12">
        <f>IF(Q17="","",Q17)</f>
        <v>0</v>
      </c>
      <c r="S17" s="11">
        <f>IF(S$3=0,"",SUMIFS(INDEX(Inputs!$D$4:$AG$150,0,MATCH(S$2,Inputs!$D$2:$AG$2,0)),Inputs!$B$4:$B$150,$B17)/1000)</f>
        <v>0</v>
      </c>
      <c r="T17" s="11">
        <f>IF(T$3=0,"",SUMIFS(INDEX(Inputs!$D$4:$AG$150,0,MATCH(T$2,Inputs!$D$2:$AG$2,0)),Inputs!$B$4:$B$150,$B17)/1000)</f>
        <v>0</v>
      </c>
      <c r="U17" s="11">
        <f>IF(U$3=0,"",SUMIFS(INDEX(Inputs!$D$4:$AG$150,0,MATCH(U$2,Inputs!$D$2:$AG$2,0)),Inputs!$B$4:$B$150,$B17)/1000)</f>
        <v>0</v>
      </c>
      <c r="V17" s="11">
        <f>IF(V$3=0,"",SUMIFS(INDEX(Inputs!$D$4:$AG$150,0,MATCH(V$2,Inputs!$D$2:$AG$2,0)),Inputs!$B$4:$B$150,$B17)/1000)</f>
        <v>0</v>
      </c>
      <c r="W17" s="12">
        <f>IF(V17="","",V17)</f>
        <v>0</v>
      </c>
      <c r="X17" s="11">
        <f>IF(X$3=0,"",SUMIFS(INDEX(Inputs!$D$4:$AG$150,0,MATCH(X$2,Inputs!$D$2:$AG$2,0)),Inputs!$B$4:$B$150,$B17)/1000)</f>
        <v>0</v>
      </c>
      <c r="Y17" s="11">
        <f>IF(Y$3=0,"",SUMIFS(INDEX(Inputs!$D$4:$AG$150,0,MATCH(Y$2,Inputs!$D$2:$AG$2,0)),Inputs!$B$4:$B$150,$B17)/1000)</f>
        <v>0</v>
      </c>
      <c r="Z17" s="11">
        <f>IF(Z$3=0,"",SUMIFS(INDEX(Inputs!$D$4:$AG$150,0,MATCH(Z$2,Inputs!$D$2:$AG$2,0)),Inputs!$B$4:$B$150,$B17)/1000)</f>
        <v>0</v>
      </c>
      <c r="AA17" s="11">
        <f>IF(AA$3=0,"",SUMIFS(INDEX(Inputs!$D$4:$AG$150,0,MATCH(AA$2,Inputs!$D$2:$AG$2,0)),Inputs!$B$4:$B$150,$B17)/1000)</f>
        <v>0</v>
      </c>
      <c r="AB17" s="12">
        <f>IF(AA17="","",AA17)</f>
        <v>0</v>
      </c>
      <c r="AC17" s="11">
        <f>IF(AC$3=0,"",SUMIFS(INDEX(Inputs!$D$4:$AG$150,0,MATCH(AC$2,Inputs!$D$2:$AG$2,0)),Inputs!$B$4:$B$150,$B17)/1000)</f>
        <v>0</v>
      </c>
      <c r="AD17" s="11">
        <f>IF(AD$3=0,"",SUMIFS(INDEX(Inputs!$D$4:$AG$150,0,MATCH(AD$2,Inputs!$D$2:$AG$2,0)),Inputs!$B$4:$B$150,$B17)/1000)</f>
        <v>9991</v>
      </c>
      <c r="AE17" s="11" t="str">
        <f>IF(AE$3=0,"",SUMIFS(INDEX(Inputs!$D$4:$AG$150,0,MATCH(AE$2,Inputs!$D$2:$AG$2,0)),Inputs!$B$4:$B$150,$B17)/1000)</f>
        <v/>
      </c>
      <c r="AF17" s="11" t="str">
        <f>IF(AF$3=0,"",SUMIFS(INDEX(Inputs!$D$4:$AG$150,0,MATCH(AF$2,Inputs!$D$2:$AG$2,0)),Inputs!$B$4:$B$150,$B17)/1000)</f>
        <v/>
      </c>
      <c r="AG17" s="12" t="str">
        <f>IF(AF17="","",AF17)</f>
        <v/>
      </c>
    </row>
    <row r="18">
      <c r="B18" s="9" t="n">
        <v>14</v>
      </c>
      <c r="C18" s="14" t="inlineStr">
        <is>
          <t>Deferred income taxes</t>
        </is>
      </c>
      <c r="D18" s="11">
        <f>IF(D$3=0,"",SUMIFS(INDEX(Inputs!$D$4:$AG$150,0,MATCH(D$2,Inputs!$D$2:$AG$2,0)),Inputs!$B$4:$B$150,$B18)/1000)</f>
        <v>1129</v>
      </c>
      <c r="E18" s="11">
        <f>IF(E$3=0,"",SUMIFS(INDEX(Inputs!$D$4:$AG$150,0,MATCH(E$2,Inputs!$D$2:$AG$2,0)),Inputs!$B$4:$B$150,$B18)/1000)</f>
        <v>1153</v>
      </c>
      <c r="F18" s="11">
        <f>IF(F$3=0,"",SUMIFS(INDEX(Inputs!$D$4:$AG$150,0,MATCH(F$2,Inputs!$D$2:$AG$2,0)),Inputs!$B$4:$B$150,$B18)/1000)</f>
        <v>1195</v>
      </c>
      <c r="G18" s="11">
        <f>IF(G$3=0,"",SUMIFS(INDEX(Inputs!$D$4:$AG$150,0,MATCH(G$2,Inputs!$D$2:$AG$2,0)),Inputs!$B$4:$B$150,$B18)/1000)</f>
        <v>1284</v>
      </c>
      <c r="H18" s="12">
        <f>IF(G18="","",G18)</f>
        <v>1284</v>
      </c>
      <c r="I18" s="11">
        <f>IF(I$3=0,"",SUMIFS(INDEX(Inputs!$D$4:$AG$150,0,MATCH(I$2,Inputs!$D$2:$AG$2,0)),Inputs!$B$4:$B$150,$B18)/1000)</f>
        <v>1388</v>
      </c>
      <c r="J18" s="11">
        <f>IF(J$3=0,"",SUMIFS(INDEX(Inputs!$D$4:$AG$150,0,MATCH(J$2,Inputs!$D$2:$AG$2,0)),Inputs!$B$4:$B$150,$B18)/1000)</f>
        <v>1490</v>
      </c>
      <c r="K18" s="11">
        <f>IF(K$3=0,"",SUMIFS(INDEX(Inputs!$D$4:$AG$150,0,MATCH(K$2,Inputs!$D$2:$AG$2,0)),Inputs!$B$4:$B$150,$B18)/1000)</f>
        <v>2991</v>
      </c>
      <c r="L18" s="11">
        <f>IF(L$3=0,"",SUMIFS(INDEX(Inputs!$D$4:$AG$150,0,MATCH(L$2,Inputs!$D$2:$AG$2,0)),Inputs!$B$4:$B$150,$B18)/1000)</f>
        <v>5261</v>
      </c>
      <c r="M18" s="12">
        <f>IF(L18="","",L18)</f>
        <v>5261</v>
      </c>
      <c r="N18" s="11">
        <f>IF(N$3=0,"",SUMIFS(INDEX(Inputs!$D$4:$AG$150,0,MATCH(N$2,Inputs!$D$2:$AG$2,0)),Inputs!$B$4:$B$150,$B18)/1000)</f>
        <v>6885</v>
      </c>
      <c r="O18" s="11">
        <f>IF(O$3=0,"",SUMIFS(INDEX(Inputs!$D$4:$AG$150,0,MATCH(O$2,Inputs!$D$2:$AG$2,0)),Inputs!$B$4:$B$150,$B18)/1000)</f>
        <v>9357</v>
      </c>
      <c r="P18" s="11">
        <f>IF(P$3=0,"",SUMIFS(INDEX(Inputs!$D$4:$AG$150,0,MATCH(P$2,Inputs!$D$2:$AG$2,0)),Inputs!$B$4:$B$150,$B18)/1000)</f>
        <v>10983</v>
      </c>
      <c r="Q18" s="11">
        <f>IF(Q$3=0,"",SUMIFS(INDEX(Inputs!$D$4:$AG$150,0,MATCH(Q$2,Inputs!$D$2:$AG$2,0)),Inputs!$B$4:$B$150,$B18)/1000)</f>
        <v>12169</v>
      </c>
      <c r="R18" s="12">
        <f>IF(Q18="","",Q18)</f>
        <v>12169</v>
      </c>
      <c r="S18" s="11">
        <f>IF(S$3=0,"",SUMIFS(INDEX(Inputs!$D$4:$AG$150,0,MATCH(S$2,Inputs!$D$2:$AG$2,0)),Inputs!$B$4:$B$150,$B18)/1000)</f>
        <v>11687</v>
      </c>
      <c r="T18" s="11">
        <f>IF(T$3=0,"",SUMIFS(INDEX(Inputs!$D$4:$AG$150,0,MATCH(T$2,Inputs!$D$2:$AG$2,0)),Inputs!$B$4:$B$150,$B18)/1000)</f>
        <v>14958</v>
      </c>
      <c r="U18" s="11">
        <f>IF(U$3=0,"",SUMIFS(INDEX(Inputs!$D$4:$AG$150,0,MATCH(U$2,Inputs!$D$2:$AG$2,0)),Inputs!$B$4:$B$150,$B18)/1000)</f>
        <v>15915</v>
      </c>
      <c r="V18" s="11">
        <f>IF(V$3=0,"",SUMIFS(INDEX(Inputs!$D$4:$AG$150,0,MATCH(V$2,Inputs!$D$2:$AG$2,0)),Inputs!$B$4:$B$150,$B18)/1000)</f>
        <v>17180</v>
      </c>
      <c r="W18" s="12">
        <f>IF(V18="","",V18)</f>
        <v>17180</v>
      </c>
      <c r="X18" s="11">
        <f>IF(X$3=0,"",SUMIFS(INDEX(Inputs!$D$4:$AG$150,0,MATCH(X$2,Inputs!$D$2:$AG$2,0)),Inputs!$B$4:$B$150,$B18)/1000)</f>
        <v>18386</v>
      </c>
      <c r="Y18" s="11">
        <f>IF(Y$3=0,"",SUMIFS(INDEX(Inputs!$D$4:$AG$150,0,MATCH(Y$2,Inputs!$D$2:$AG$2,0)),Inputs!$B$4:$B$150,$B18)/1000)</f>
        <v>19289</v>
      </c>
      <c r="Z18" s="11">
        <f>IF(Z$3=0,"",SUMIFS(INDEX(Inputs!$D$4:$AG$150,0,MATCH(Z$2,Inputs!$D$2:$AG$2,0)),Inputs!$B$4:$B$150,$B18)/1000)</f>
        <v>10331</v>
      </c>
      <c r="AA18" s="11">
        <f>IF(AA$3=0,"",SUMIFS(INDEX(Inputs!$D$4:$AG$150,0,MATCH(AA$2,Inputs!$D$2:$AG$2,0)),Inputs!$B$4:$B$150,$B18)/1000)</f>
        <v>9113</v>
      </c>
      <c r="AB18" s="12">
        <f>IF(AA18="","",AA18)</f>
        <v>9113</v>
      </c>
      <c r="AC18" s="11">
        <f>IF(AC$3=0,"",SUMIFS(INDEX(Inputs!$D$4:$AG$150,0,MATCH(AC$2,Inputs!$D$2:$AG$2,0)),Inputs!$B$4:$B$150,$B18)/1000)</f>
        <v>1995</v>
      </c>
      <c r="AD18" s="11">
        <f>IF(AD$3=0,"",SUMIFS(INDEX(Inputs!$D$4:$AG$150,0,MATCH(AD$2,Inputs!$D$2:$AG$2,0)),Inputs!$B$4:$B$150,$B18)/1000)</f>
        <v>1448</v>
      </c>
      <c r="AE18" s="11" t="str">
        <f>IF(AE$3=0,"",SUMIFS(INDEX(Inputs!$D$4:$AG$150,0,MATCH(AE$2,Inputs!$D$2:$AG$2,0)),Inputs!$B$4:$B$150,$B18)/1000)</f>
        <v/>
      </c>
      <c r="AF18" s="11" t="str">
        <f>IF(AF$3=0,"",SUMIFS(INDEX(Inputs!$D$4:$AG$150,0,MATCH(AF$2,Inputs!$D$2:$AG$2,0)),Inputs!$B$4:$B$150,$B18)/1000)</f>
        <v/>
      </c>
      <c r="AG18" s="12" t="str">
        <f>IF(AF18="","",AF18)</f>
        <v/>
      </c>
    </row>
    <row r="19">
      <c r="B19" s="9" t="n">
        <v>15</v>
      </c>
      <c r="C19" s="14" t="inlineStr">
        <is>
          <t>Prepaid expenses</t>
        </is>
      </c>
      <c r="D19" s="11">
        <f>IF(D$3=0,"",SUMIFS(INDEX(Inputs!$D$4:$AG$150,0,MATCH(D$2,Inputs!$D$2:$AG$2,0)),Inputs!$B$4:$B$150,$B19)/1000)</f>
        <v>0</v>
      </c>
      <c r="E19" s="11">
        <f>IF(E$3=0,"",SUMIFS(INDEX(Inputs!$D$4:$AG$150,0,MATCH(E$2,Inputs!$D$2:$AG$2,0)),Inputs!$B$4:$B$150,$B19)/1000)</f>
        <v>0</v>
      </c>
      <c r="F19" s="11">
        <f>IF(F$3=0,"",SUMIFS(INDEX(Inputs!$D$4:$AG$150,0,MATCH(F$2,Inputs!$D$2:$AG$2,0)),Inputs!$B$4:$B$150,$B19)/1000)</f>
        <v>0</v>
      </c>
      <c r="G19" s="11">
        <f>IF(G$3=0,"",SUMIFS(INDEX(Inputs!$D$4:$AG$150,0,MATCH(G$2,Inputs!$D$2:$AG$2,0)),Inputs!$B$4:$B$150,$B19)/1000)</f>
        <v>0</v>
      </c>
      <c r="H19" s="12">
        <f>IF(G19="","",G19)</f>
        <v>0</v>
      </c>
      <c r="I19" s="11">
        <f>IF(I$3=0,"",SUMIFS(INDEX(Inputs!$D$4:$AG$150,0,MATCH(I$2,Inputs!$D$2:$AG$2,0)),Inputs!$B$4:$B$150,$B19)/1000)</f>
        <v>0</v>
      </c>
      <c r="J19" s="11">
        <f>IF(J$3=0,"",SUMIFS(INDEX(Inputs!$D$4:$AG$150,0,MATCH(J$2,Inputs!$D$2:$AG$2,0)),Inputs!$B$4:$B$150,$B19)/1000)</f>
        <v>0</v>
      </c>
      <c r="K19" s="11">
        <f>IF(K$3=0,"",SUMIFS(INDEX(Inputs!$D$4:$AG$150,0,MATCH(K$2,Inputs!$D$2:$AG$2,0)),Inputs!$B$4:$B$150,$B19)/1000)</f>
        <v>0</v>
      </c>
      <c r="L19" s="11">
        <f>IF(L$3=0,"",SUMIFS(INDEX(Inputs!$D$4:$AG$150,0,MATCH(L$2,Inputs!$D$2:$AG$2,0)),Inputs!$B$4:$B$150,$B19)/1000)</f>
        <v>0</v>
      </c>
      <c r="M19" s="12">
        <f>IF(L19="","",L19)</f>
        <v>0</v>
      </c>
      <c r="N19" s="11">
        <f>IF(N$3=0,"",SUMIFS(INDEX(Inputs!$D$4:$AG$150,0,MATCH(N$2,Inputs!$D$2:$AG$2,0)),Inputs!$B$4:$B$150,$B19)/1000)</f>
        <v>0</v>
      </c>
      <c r="O19" s="11">
        <f>IF(O$3=0,"",SUMIFS(INDEX(Inputs!$D$4:$AG$150,0,MATCH(O$2,Inputs!$D$2:$AG$2,0)),Inputs!$B$4:$B$150,$B19)/1000)</f>
        <v>0</v>
      </c>
      <c r="P19" s="11">
        <f>IF(P$3=0,"",SUMIFS(INDEX(Inputs!$D$4:$AG$150,0,MATCH(P$2,Inputs!$D$2:$AG$2,0)),Inputs!$B$4:$B$150,$B19)/1000)</f>
        <v>0</v>
      </c>
      <c r="Q19" s="11">
        <f>IF(Q$3=0,"",SUMIFS(INDEX(Inputs!$D$4:$AG$150,0,MATCH(Q$2,Inputs!$D$2:$AG$2,0)),Inputs!$B$4:$B$150,$B19)/1000)</f>
        <v>0</v>
      </c>
      <c r="R19" s="12">
        <f>IF(Q19="","",Q19)</f>
        <v>0</v>
      </c>
      <c r="S19" s="11">
        <f>IF(S$3=0,"",SUMIFS(INDEX(Inputs!$D$4:$AG$150,0,MATCH(S$2,Inputs!$D$2:$AG$2,0)),Inputs!$B$4:$B$150,$B19)/1000)</f>
        <v>0</v>
      </c>
      <c r="T19" s="11">
        <f>IF(T$3=0,"",SUMIFS(INDEX(Inputs!$D$4:$AG$150,0,MATCH(T$2,Inputs!$D$2:$AG$2,0)),Inputs!$B$4:$B$150,$B19)/1000)</f>
        <v>0</v>
      </c>
      <c r="U19" s="11">
        <f>IF(U$3=0,"",SUMIFS(INDEX(Inputs!$D$4:$AG$150,0,MATCH(U$2,Inputs!$D$2:$AG$2,0)),Inputs!$B$4:$B$150,$B19)/1000)</f>
        <v>0</v>
      </c>
      <c r="V19" s="11">
        <f>IF(V$3=0,"",SUMIFS(INDEX(Inputs!$D$4:$AG$150,0,MATCH(V$2,Inputs!$D$2:$AG$2,0)),Inputs!$B$4:$B$150,$B19)/1000)</f>
        <v>0</v>
      </c>
      <c r="W19" s="12">
        <f>IF(V19="","",V19)</f>
        <v>0</v>
      </c>
      <c r="X19" s="11">
        <f>IF(X$3=0,"",SUMIFS(INDEX(Inputs!$D$4:$AG$150,0,MATCH(X$2,Inputs!$D$2:$AG$2,0)),Inputs!$B$4:$B$150,$B19)/1000)</f>
        <v>0</v>
      </c>
      <c r="Y19" s="11">
        <f>IF(Y$3=0,"",SUMIFS(INDEX(Inputs!$D$4:$AG$150,0,MATCH(Y$2,Inputs!$D$2:$AG$2,0)),Inputs!$B$4:$B$150,$B19)/1000)</f>
        <v>0</v>
      </c>
      <c r="Z19" s="11">
        <f>IF(Z$3=0,"",SUMIFS(INDEX(Inputs!$D$4:$AG$150,0,MATCH(Z$2,Inputs!$D$2:$AG$2,0)),Inputs!$B$4:$B$150,$B19)/1000)</f>
        <v>0</v>
      </c>
      <c r="AA19" s="11">
        <f>IF(AA$3=0,"",SUMIFS(INDEX(Inputs!$D$4:$AG$150,0,MATCH(AA$2,Inputs!$D$2:$AG$2,0)),Inputs!$B$4:$B$150,$B19)/1000)</f>
        <v>0</v>
      </c>
      <c r="AB19" s="12">
        <f>IF(AA19="","",AA19)</f>
        <v>0</v>
      </c>
      <c r="AC19" s="11">
        <f>IF(AC$3=0,"",SUMIFS(INDEX(Inputs!$D$4:$AG$150,0,MATCH(AC$2,Inputs!$D$2:$AG$2,0)),Inputs!$B$4:$B$150,$B19)/1000)</f>
        <v>0</v>
      </c>
      <c r="AD19" s="11">
        <f>IF(AD$3=0,"",SUMIFS(INDEX(Inputs!$D$4:$AG$150,0,MATCH(AD$2,Inputs!$D$2:$AG$2,0)),Inputs!$B$4:$B$150,$B19)/1000)</f>
        <v>0</v>
      </c>
      <c r="AE19" s="11" t="str">
        <f>IF(AE$3=0,"",SUMIFS(INDEX(Inputs!$D$4:$AG$150,0,MATCH(AE$2,Inputs!$D$2:$AG$2,0)),Inputs!$B$4:$B$150,$B19)/1000)</f>
        <v/>
      </c>
      <c r="AF19" s="11" t="str">
        <f>IF(AF$3=0,"",SUMIFS(INDEX(Inputs!$D$4:$AG$150,0,MATCH(AF$2,Inputs!$D$2:$AG$2,0)),Inputs!$B$4:$B$150,$B19)/1000)</f>
        <v/>
      </c>
      <c r="AG19" s="12" t="str">
        <f>IF(AF19="","",AF19)</f>
        <v/>
      </c>
    </row>
    <row r="20">
      <c r="B20" s="9" t="n">
        <v>16</v>
      </c>
      <c r="C20" s="14" t="inlineStr">
        <is>
          <t>Other current assets</t>
        </is>
      </c>
      <c r="D20" s="11">
        <f>IF(D$3=0,"",SUMIFS(INDEX(Inputs!$D$4:$AG$150,0,MATCH(D$2,Inputs!$D$2:$AG$2,0)),Inputs!$B$4:$B$150,$B20)/1000)</f>
        <v>8139</v>
      </c>
      <c r="E20" s="11">
        <f>IF(E$3=0,"",SUMIFS(INDEX(Inputs!$D$4:$AG$150,0,MATCH(E$2,Inputs!$D$2:$AG$2,0)),Inputs!$B$4:$B$150,$B20)/1000)</f>
        <v>6960</v>
      </c>
      <c r="F20" s="11">
        <f>IF(F$3=0,"",SUMIFS(INDEX(Inputs!$D$4:$AG$150,0,MATCH(F$2,Inputs!$D$2:$AG$2,0)),Inputs!$B$4:$B$150,$B20)/1000)</f>
        <v>6782</v>
      </c>
      <c r="G20" s="11">
        <f>IF(G$3=0,"",SUMIFS(INDEX(Inputs!$D$4:$AG$150,0,MATCH(G$2,Inputs!$D$2:$AG$2,0)),Inputs!$B$4:$B$150,$B20)/1000)</f>
        <v>8020</v>
      </c>
      <c r="H20" s="12">
        <f>IF(G20="","",G20)</f>
        <v>8020</v>
      </c>
      <c r="I20" s="11">
        <f>IF(I$3=0,"",SUMIFS(INDEX(Inputs!$D$4:$AG$150,0,MATCH(I$2,Inputs!$D$2:$AG$2,0)),Inputs!$B$4:$B$150,$B20)/1000)</f>
        <v>7811</v>
      </c>
      <c r="J20" s="11">
        <f>IF(J$3=0,"",SUMIFS(INDEX(Inputs!$D$4:$AG$150,0,MATCH(J$2,Inputs!$D$2:$AG$2,0)),Inputs!$B$4:$B$150,$B20)/1000)</f>
        <v>9687</v>
      </c>
      <c r="K20" s="11">
        <f>IF(K$3=0,"",SUMIFS(INDEX(Inputs!$D$4:$AG$150,0,MATCH(K$2,Inputs!$D$2:$AG$2,0)),Inputs!$B$4:$B$150,$B20)/1000)</f>
        <v>11997</v>
      </c>
      <c r="L20" s="11">
        <f>IF(L$3=0,"",SUMIFS(INDEX(Inputs!$D$4:$AG$150,0,MATCH(L$2,Inputs!$D$2:$AG$2,0)),Inputs!$B$4:$B$150,$B20)/1000)</f>
        <v>8105</v>
      </c>
      <c r="M20" s="12">
        <f>IF(L20="","",L20)</f>
        <v>8105</v>
      </c>
      <c r="N20" s="11">
        <f>IF(N$3=0,"",SUMIFS(INDEX(Inputs!$D$4:$AG$150,0,MATCH(N$2,Inputs!$D$2:$AG$2,0)),Inputs!$B$4:$B$150,$B20)/1000)</f>
        <v>8532</v>
      </c>
      <c r="O20" s="11">
        <f>IF(O$3=0,"",SUMIFS(INDEX(Inputs!$D$4:$AG$150,0,MATCH(O$2,Inputs!$D$2:$AG$2,0)),Inputs!$B$4:$B$150,$B20)/1000)</f>
        <v>9421</v>
      </c>
      <c r="P20" s="11">
        <f>IF(P$3=0,"",SUMIFS(INDEX(Inputs!$D$4:$AG$150,0,MATCH(P$2,Inputs!$D$2:$AG$2,0)),Inputs!$B$4:$B$150,$B20)/1000)</f>
        <v>12398</v>
      </c>
      <c r="Q20" s="11">
        <f>IF(Q$3=0,"",SUMIFS(INDEX(Inputs!$D$4:$AG$150,0,MATCH(Q$2,Inputs!$D$2:$AG$2,0)),Inputs!$B$4:$B$150,$B20)/1000)</f>
        <v>12650</v>
      </c>
      <c r="R20" s="12">
        <f>IF(Q20="","",Q20)</f>
        <v>12650</v>
      </c>
      <c r="S20" s="11">
        <f>IF(S$3=0,"",SUMIFS(INDEX(Inputs!$D$4:$AG$150,0,MATCH(S$2,Inputs!$D$2:$AG$2,0)),Inputs!$B$4:$B$150,$B20)/1000)</f>
        <v>12829</v>
      </c>
      <c r="T20" s="11">
        <f>IF(T$3=0,"",SUMIFS(INDEX(Inputs!$D$4:$AG$150,0,MATCH(T$2,Inputs!$D$2:$AG$2,0)),Inputs!$B$4:$B$150,$B20)/1000)</f>
        <v>14183</v>
      </c>
      <c r="U20" s="11">
        <f>IF(U$3=0,"",SUMIFS(INDEX(Inputs!$D$4:$AG$150,0,MATCH(U$2,Inputs!$D$2:$AG$2,0)),Inputs!$B$4:$B$150,$B20)/1000)</f>
        <v>15207</v>
      </c>
      <c r="V20" s="11">
        <f>IF(V$3=0,"",SUMIFS(INDEX(Inputs!$D$4:$AG$150,0,MATCH(V$2,Inputs!$D$2:$AG$2,0)),Inputs!$B$4:$B$150,$B20)/1000)</f>
        <v>15714</v>
      </c>
      <c r="W20" s="12">
        <f>IF(V20="","",V20)</f>
        <v>15714</v>
      </c>
      <c r="X20" s="11">
        <f>IF(X$3=0,"",SUMIFS(INDEX(Inputs!$D$4:$AG$150,0,MATCH(X$2,Inputs!$D$2:$AG$2,0)),Inputs!$B$4:$B$150,$B20)/1000)</f>
        <v>15724</v>
      </c>
      <c r="Y20" s="11">
        <f>IF(Y$3=0,"",SUMIFS(INDEX(Inputs!$D$4:$AG$150,0,MATCH(Y$2,Inputs!$D$2:$AG$2,0)),Inputs!$B$4:$B$150,$B20)/1000)</f>
        <v>16020</v>
      </c>
      <c r="Z20" s="11">
        <f>IF(Z$3=0,"",SUMIFS(INDEX(Inputs!$D$4:$AG$150,0,MATCH(Z$2,Inputs!$D$2:$AG$2,0)),Inputs!$B$4:$B$150,$B20)/1000)</f>
        <v>18303</v>
      </c>
      <c r="AA20" s="11">
        <f>IF(AA$3=0,"",SUMIFS(INDEX(Inputs!$D$4:$AG$150,0,MATCH(AA$2,Inputs!$D$2:$AG$2,0)),Inputs!$B$4:$B$150,$B20)/1000)</f>
        <v>16309</v>
      </c>
      <c r="AB20" s="12">
        <f>IF(AA20="","",AA20)</f>
        <v>16309</v>
      </c>
      <c r="AC20" s="11">
        <f>IF(AC$3=0,"",SUMIFS(INDEX(Inputs!$D$4:$AG$150,0,MATCH(AC$2,Inputs!$D$2:$AG$2,0)),Inputs!$B$4:$B$150,$B20)/1000)</f>
        <v>23914</v>
      </c>
      <c r="AD20" s="11">
        <f>IF(AD$3=0,"",SUMIFS(INDEX(Inputs!$D$4:$AG$150,0,MATCH(AD$2,Inputs!$D$2:$AG$2,0)),Inputs!$B$4:$B$150,$B20)/1000)</f>
        <v>21884</v>
      </c>
      <c r="AE20" s="11" t="str">
        <f>IF(AE$3=0,"",SUMIFS(INDEX(Inputs!$D$4:$AG$150,0,MATCH(AE$2,Inputs!$D$2:$AG$2,0)),Inputs!$B$4:$B$150,$B20)/1000)</f>
        <v/>
      </c>
      <c r="AF20" s="11" t="str">
        <f>IF(AF$3=0,"",SUMIFS(INDEX(Inputs!$D$4:$AG$150,0,MATCH(AF$2,Inputs!$D$2:$AG$2,0)),Inputs!$B$4:$B$150,$B20)/1000)</f>
        <v/>
      </c>
      <c r="AG20" s="12" t="str">
        <f>IF(AF20="","",AF20)</f>
        <v/>
      </c>
    </row>
    <row r="21">
      <c r="B21" s="9" t="n">
        <v>17</v>
      </c>
      <c r="C21" s="14" t="inlineStr">
        <is>
          <t>Equity in affiliates</t>
        </is>
      </c>
      <c r="D21" s="11">
        <f>IF(D$3=0,"",SUMIFS(INDEX(Inputs!$D$4:$AG$150,0,MATCH(D$2,Inputs!$D$2:$AG$2,0)),Inputs!$B$4:$B$150,$B21)/1000)</f>
        <v>0</v>
      </c>
      <c r="E21" s="11">
        <f>IF(E$3=0,"",SUMIFS(INDEX(Inputs!$D$4:$AG$150,0,MATCH(E$2,Inputs!$D$2:$AG$2,0)),Inputs!$B$4:$B$150,$B21)/1000)</f>
        <v>0</v>
      </c>
      <c r="F21" s="11">
        <f>IF(F$3=0,"",SUMIFS(INDEX(Inputs!$D$4:$AG$150,0,MATCH(F$2,Inputs!$D$2:$AG$2,0)),Inputs!$B$4:$B$150,$B21)/1000)</f>
        <v>0</v>
      </c>
      <c r="G21" s="11">
        <f>IF(G$3=0,"",SUMIFS(INDEX(Inputs!$D$4:$AG$150,0,MATCH(G$2,Inputs!$D$2:$AG$2,0)),Inputs!$B$4:$B$150,$B21)/1000)</f>
        <v>0</v>
      </c>
      <c r="H21" s="12">
        <f>IF(G21="","",G21)</f>
        <v>0</v>
      </c>
      <c r="I21" s="11">
        <f>IF(I$3=0,"",SUMIFS(INDEX(Inputs!$D$4:$AG$150,0,MATCH(I$2,Inputs!$D$2:$AG$2,0)),Inputs!$B$4:$B$150,$B21)/1000)</f>
        <v>0</v>
      </c>
      <c r="J21" s="11">
        <f>IF(J$3=0,"",SUMIFS(INDEX(Inputs!$D$4:$AG$150,0,MATCH(J$2,Inputs!$D$2:$AG$2,0)),Inputs!$B$4:$B$150,$B21)/1000)</f>
        <v>0</v>
      </c>
      <c r="K21" s="11">
        <f>IF(K$3=0,"",SUMIFS(INDEX(Inputs!$D$4:$AG$150,0,MATCH(K$2,Inputs!$D$2:$AG$2,0)),Inputs!$B$4:$B$150,$B21)/1000)</f>
        <v>0</v>
      </c>
      <c r="L21" s="11">
        <f>IF(L$3=0,"",SUMIFS(INDEX(Inputs!$D$4:$AG$150,0,MATCH(L$2,Inputs!$D$2:$AG$2,0)),Inputs!$B$4:$B$150,$B21)/1000)</f>
        <v>0</v>
      </c>
      <c r="M21" s="12">
        <f>IF(L21="","",L21)</f>
        <v>0</v>
      </c>
      <c r="N21" s="11">
        <f>IF(N$3=0,"",SUMIFS(INDEX(Inputs!$D$4:$AG$150,0,MATCH(N$2,Inputs!$D$2:$AG$2,0)),Inputs!$B$4:$B$150,$B21)/1000)</f>
        <v>0</v>
      </c>
      <c r="O21" s="11">
        <f>IF(O$3=0,"",SUMIFS(INDEX(Inputs!$D$4:$AG$150,0,MATCH(O$2,Inputs!$D$2:$AG$2,0)),Inputs!$B$4:$B$150,$B21)/1000)</f>
        <v>0</v>
      </c>
      <c r="P21" s="11">
        <f>IF(P$3=0,"",SUMIFS(INDEX(Inputs!$D$4:$AG$150,0,MATCH(P$2,Inputs!$D$2:$AG$2,0)),Inputs!$B$4:$B$150,$B21)/1000)</f>
        <v>0</v>
      </c>
      <c r="Q21" s="11">
        <f>IF(Q$3=0,"",SUMIFS(INDEX(Inputs!$D$4:$AG$150,0,MATCH(Q$2,Inputs!$D$2:$AG$2,0)),Inputs!$B$4:$B$150,$B21)/1000)</f>
        <v>0</v>
      </c>
      <c r="R21" s="12">
        <f>IF(Q21="","",Q21)</f>
        <v>0</v>
      </c>
      <c r="S21" s="11">
        <f>IF(S$3=0,"",SUMIFS(INDEX(Inputs!$D$4:$AG$150,0,MATCH(S$2,Inputs!$D$2:$AG$2,0)),Inputs!$B$4:$B$150,$B21)/1000)</f>
        <v>0</v>
      </c>
      <c r="T21" s="11">
        <f>IF(T$3=0,"",SUMIFS(INDEX(Inputs!$D$4:$AG$150,0,MATCH(T$2,Inputs!$D$2:$AG$2,0)),Inputs!$B$4:$B$150,$B21)/1000)</f>
        <v>0</v>
      </c>
      <c r="U21" s="11">
        <f>IF(U$3=0,"",SUMIFS(INDEX(Inputs!$D$4:$AG$150,0,MATCH(U$2,Inputs!$D$2:$AG$2,0)),Inputs!$B$4:$B$150,$B21)/1000)</f>
        <v>0</v>
      </c>
      <c r="V21" s="11">
        <f>IF(V$3=0,"",SUMIFS(INDEX(Inputs!$D$4:$AG$150,0,MATCH(V$2,Inputs!$D$2:$AG$2,0)),Inputs!$B$4:$B$150,$B21)/1000)</f>
        <v>0</v>
      </c>
      <c r="W21" s="12">
        <f>IF(V21="","",V21)</f>
        <v>0</v>
      </c>
      <c r="X21" s="11">
        <f>IF(X$3=0,"",SUMIFS(INDEX(Inputs!$D$4:$AG$150,0,MATCH(X$2,Inputs!$D$2:$AG$2,0)),Inputs!$B$4:$B$150,$B21)/1000)</f>
        <v>0</v>
      </c>
      <c r="Y21" s="11">
        <f>IF(Y$3=0,"",SUMIFS(INDEX(Inputs!$D$4:$AG$150,0,MATCH(Y$2,Inputs!$D$2:$AG$2,0)),Inputs!$B$4:$B$150,$B21)/1000)</f>
        <v>0</v>
      </c>
      <c r="Z21" s="11">
        <f>IF(Z$3=0,"",SUMIFS(INDEX(Inputs!$D$4:$AG$150,0,MATCH(Z$2,Inputs!$D$2:$AG$2,0)),Inputs!$B$4:$B$150,$B21)/1000)</f>
        <v>0</v>
      </c>
      <c r="AA21" s="11">
        <f>IF(AA$3=0,"",SUMIFS(INDEX(Inputs!$D$4:$AG$150,0,MATCH(AA$2,Inputs!$D$2:$AG$2,0)),Inputs!$B$4:$B$150,$B21)/1000)</f>
        <v>0</v>
      </c>
      <c r="AB21" s="12">
        <f>IF(AA21="","",AA21)</f>
        <v>0</v>
      </c>
      <c r="AC21" s="11">
        <f>IF(AC$3=0,"",SUMIFS(INDEX(Inputs!$D$4:$AG$150,0,MATCH(AC$2,Inputs!$D$2:$AG$2,0)),Inputs!$B$4:$B$150,$B21)/1000)</f>
        <v>0</v>
      </c>
      <c r="AD21" s="11">
        <f>IF(AD$3=0,"",SUMIFS(INDEX(Inputs!$D$4:$AG$150,0,MATCH(AD$2,Inputs!$D$2:$AG$2,0)),Inputs!$B$4:$B$150,$B21)/1000)</f>
        <v>0</v>
      </c>
      <c r="AE21" s="11" t="str">
        <f>IF(AE$3=0,"",SUMIFS(INDEX(Inputs!$D$4:$AG$150,0,MATCH(AE$2,Inputs!$D$2:$AG$2,0)),Inputs!$B$4:$B$150,$B21)/1000)</f>
        <v/>
      </c>
      <c r="AF21" s="11" t="str">
        <f>IF(AF$3=0,"",SUMIFS(INDEX(Inputs!$D$4:$AG$150,0,MATCH(AF$2,Inputs!$D$2:$AG$2,0)),Inputs!$B$4:$B$150,$B21)/1000)</f>
        <v/>
      </c>
      <c r="AG21" s="12" t="str">
        <f>IF(AF21="","",AF21)</f>
        <v/>
      </c>
    </row>
    <row r="22">
      <c r="B22" s="9" t="n">
        <v>18</v>
      </c>
      <c r="C22" s="14" t="inlineStr">
        <is>
          <t>PP&amp;E</t>
        </is>
      </c>
      <c r="D22" s="11">
        <f>IF(D$3=0,"",SUMIFS(INDEX(Inputs!$D$4:$AG$150,0,MATCH(D$2,Inputs!$D$2:$AG$2,0)),Inputs!$B$4:$B$150,$B22)/1000)</f>
        <v>87606</v>
      </c>
      <c r="E22" s="11">
        <f>IF(E$3=0,"",SUMIFS(INDEX(Inputs!$D$4:$AG$150,0,MATCH(E$2,Inputs!$D$2:$AG$2,0)),Inputs!$B$4:$B$150,$B22)/1000)</f>
        <v>91697</v>
      </c>
      <c r="F22" s="11">
        <f>IF(F$3=0,"",SUMIFS(INDEX(Inputs!$D$4:$AG$150,0,MATCH(F$2,Inputs!$D$2:$AG$2,0)),Inputs!$B$4:$B$150,$B22)/1000)</f>
        <v>94631</v>
      </c>
      <c r="G22" s="11">
        <f>IF(G$3=0,"",SUMIFS(INDEX(Inputs!$D$4:$AG$150,0,MATCH(G$2,Inputs!$D$2:$AG$2,0)),Inputs!$B$4:$B$150,$B22)/1000)</f>
        <v>97599</v>
      </c>
      <c r="H22" s="12">
        <f>IF(G22="","",G22)</f>
        <v>97599</v>
      </c>
      <c r="I22" s="11">
        <f>IF(I$3=0,"",SUMIFS(INDEX(Inputs!$D$4:$AG$150,0,MATCH(I$2,Inputs!$D$2:$AG$2,0)),Inputs!$B$4:$B$150,$B22)/1000)</f>
        <v>104218</v>
      </c>
      <c r="J22" s="11">
        <f>IF(J$3=0,"",SUMIFS(INDEX(Inputs!$D$4:$AG$150,0,MATCH(J$2,Inputs!$D$2:$AG$2,0)),Inputs!$B$4:$B$150,$B22)/1000)</f>
        <v>106223</v>
      </c>
      <c r="K22" s="11">
        <f>IF(K$3=0,"",SUMIFS(INDEX(Inputs!$D$4:$AG$150,0,MATCH(K$2,Inputs!$D$2:$AG$2,0)),Inputs!$B$4:$B$150,$B22)/1000)</f>
        <v>108363</v>
      </c>
      <c r="L22" s="11">
        <f>IF(L$3=0,"",SUMIFS(INDEX(Inputs!$D$4:$AG$150,0,MATCH(L$2,Inputs!$D$2:$AG$2,0)),Inputs!$B$4:$B$150,$B22)/1000)</f>
        <v>112668</v>
      </c>
      <c r="M22" s="12">
        <f>IF(L22="","",L22)</f>
        <v>112668</v>
      </c>
      <c r="N22" s="11">
        <f>IF(N$3=0,"",SUMIFS(INDEX(Inputs!$D$4:$AG$150,0,MATCH(N$2,Inputs!$D$2:$AG$2,0)),Inputs!$B$4:$B$150,$B22)/1000)</f>
        <v>117560</v>
      </c>
      <c r="O22" s="11">
        <f>IF(O$3=0,"",SUMIFS(INDEX(Inputs!$D$4:$AG$150,0,MATCH(O$2,Inputs!$D$2:$AG$2,0)),Inputs!$B$4:$B$150,$B22)/1000)</f>
        <v>121208</v>
      </c>
      <c r="P22" s="11">
        <f>IF(P$3=0,"",SUMIFS(INDEX(Inputs!$D$4:$AG$150,0,MATCH(P$2,Inputs!$D$2:$AG$2,0)),Inputs!$B$4:$B$150,$B22)/1000)</f>
        <v>125705</v>
      </c>
      <c r="Q22" s="11">
        <f>IF(Q$3=0,"",SUMIFS(INDEX(Inputs!$D$4:$AG$150,0,MATCH(Q$2,Inputs!$D$2:$AG$2,0)),Inputs!$B$4:$B$150,$B22)/1000)</f>
        <v>134345</v>
      </c>
      <c r="R22" s="12">
        <f>IF(Q22="","",Q22)</f>
        <v>134345</v>
      </c>
      <c r="S22" s="11">
        <f>IF(S$3=0,"",SUMIFS(INDEX(Inputs!$D$4:$AG$150,0,MATCH(S$2,Inputs!$D$2:$AG$2,0)),Inputs!$B$4:$B$150,$B22)/1000)</f>
        <v>143182</v>
      </c>
      <c r="T22" s="11">
        <f>IF(T$3=0,"",SUMIFS(INDEX(Inputs!$D$4:$AG$150,0,MATCH(T$2,Inputs!$D$2:$AG$2,0)),Inputs!$B$4:$B$150,$B22)/1000)</f>
        <v>151155</v>
      </c>
      <c r="U22" s="11">
        <f>IF(U$3=0,"",SUMIFS(INDEX(Inputs!$D$4:$AG$150,0,MATCH(U$2,Inputs!$D$2:$AG$2,0)),Inputs!$B$4:$B$150,$B22)/1000)</f>
        <v>161270</v>
      </c>
      <c r="V22" s="11">
        <f>IF(V$3=0,"",SUMIFS(INDEX(Inputs!$D$4:$AG$150,0,MATCH(V$2,Inputs!$D$2:$AG$2,0)),Inputs!$B$4:$B$150,$B22)/1000)</f>
        <v>171036</v>
      </c>
      <c r="W22" s="12">
        <f>IF(V22="","",V22)</f>
        <v>171036</v>
      </c>
      <c r="X22" s="11">
        <f>IF(X$3=0,"",SUMIFS(INDEX(Inputs!$D$4:$AG$150,0,MATCH(X$2,Inputs!$D$2:$AG$2,0)),Inputs!$B$4:$B$150,$B22)/1000)</f>
        <v>185062</v>
      </c>
      <c r="Y22" s="11">
        <f>IF(Y$3=0,"",SUMIFS(INDEX(Inputs!$D$4:$AG$150,0,MATCH(Y$2,Inputs!$D$2:$AG$2,0)),Inputs!$B$4:$B$150,$B22)/1000)</f>
        <v>203231</v>
      </c>
      <c r="Z22" s="11">
        <f>IF(Z$3=0,"",SUMIFS(INDEX(Inputs!$D$4:$AG$150,0,MATCH(Z$2,Inputs!$D$2:$AG$2,0)),Inputs!$B$4:$B$150,$B22)/1000)</f>
        <v>223787</v>
      </c>
      <c r="AA22" s="11">
        <f>IF(AA$3=0,"",SUMIFS(INDEX(Inputs!$D$4:$AG$150,0,MATCH(AA$2,Inputs!$D$2:$AG$2,0)),Inputs!$B$4:$B$150,$B22)/1000)</f>
        <v>246597</v>
      </c>
      <c r="AB22" s="12">
        <f>IF(AA22="","",AA22)</f>
        <v>246597</v>
      </c>
      <c r="AC22" s="11">
        <f>IF(AC$3=0,"",SUMIFS(INDEX(Inputs!$D$4:$AG$150,0,MATCH(AC$2,Inputs!$D$2:$AG$2,0)),Inputs!$B$4:$B$150,$B22)/1000)</f>
        <v>281020</v>
      </c>
      <c r="AD22" s="11">
        <f>IF(AD$3=0,"",SUMIFS(INDEX(Inputs!$D$4:$AG$150,0,MATCH(AD$2,Inputs!$D$2:$AG$2,0)),Inputs!$B$4:$B$150,$B22)/1000)</f>
        <v>321212</v>
      </c>
      <c r="AE22" s="11" t="str">
        <f>IF(AE$3=0,"",SUMIFS(INDEX(Inputs!$D$4:$AG$150,0,MATCH(AE$2,Inputs!$D$2:$AG$2,0)),Inputs!$B$4:$B$150,$B22)/1000)</f>
        <v/>
      </c>
      <c r="AF22" s="11" t="str">
        <f>IF(AF$3=0,"",SUMIFS(INDEX(Inputs!$D$4:$AG$150,0,MATCH(AF$2,Inputs!$D$2:$AG$2,0)),Inputs!$B$4:$B$150,$B22)/1000)</f>
        <v/>
      </c>
      <c r="AG22" s="12" t="str">
        <f>IF(AF22="","",AF22)</f>
        <v/>
      </c>
    </row>
    <row r="23">
      <c r="B23" s="9" t="n">
        <v>19</v>
      </c>
      <c r="C23" s="14" t="inlineStr">
        <is>
          <t>Right-of-use-assets</t>
        </is>
      </c>
      <c r="D23" s="11">
        <f>IF(D$3=0,"",SUMIFS(INDEX(Inputs!$D$4:$AG$150,0,MATCH(D$2,Inputs!$D$2:$AG$2,0)),Inputs!$B$4:$B$150,$B23)/1000)</f>
        <v>12598</v>
      </c>
      <c r="E23" s="11">
        <f>IF(E$3=0,"",SUMIFS(INDEX(Inputs!$D$4:$AG$150,0,MATCH(E$2,Inputs!$D$2:$AG$2,0)),Inputs!$B$4:$B$150,$B23)/1000)</f>
        <v>12978</v>
      </c>
      <c r="F23" s="11">
        <f>IF(F$3=0,"",SUMIFS(INDEX(Inputs!$D$4:$AG$150,0,MATCH(F$2,Inputs!$D$2:$AG$2,0)),Inputs!$B$4:$B$150,$B23)/1000)</f>
        <v>12918</v>
      </c>
      <c r="G23" s="11">
        <f>IF(G$3=0,"",SUMIFS(INDEX(Inputs!$D$4:$AG$150,0,MATCH(G$2,Inputs!$D$2:$AG$2,0)),Inputs!$B$4:$B$150,$B23)/1000)</f>
        <v>12959</v>
      </c>
      <c r="H23" s="12">
        <f>IF(G23="","",G23)</f>
        <v>12959</v>
      </c>
      <c r="I23" s="11">
        <f>IF(I$3=0,"",SUMIFS(INDEX(Inputs!$D$4:$AG$150,0,MATCH(I$2,Inputs!$D$2:$AG$2,0)),Inputs!$B$4:$B$150,$B23)/1000)</f>
        <v>12992</v>
      </c>
      <c r="J23" s="11">
        <f>IF(J$3=0,"",SUMIFS(INDEX(Inputs!$D$4:$AG$150,0,MATCH(J$2,Inputs!$D$2:$AG$2,0)),Inputs!$B$4:$B$150,$B23)/1000)</f>
        <v>13398</v>
      </c>
      <c r="K23" s="11">
        <f>IF(K$3=0,"",SUMIFS(INDEX(Inputs!$D$4:$AG$150,0,MATCH(K$2,Inputs!$D$2:$AG$2,0)),Inputs!$B$4:$B$150,$B23)/1000)</f>
        <v>13677</v>
      </c>
      <c r="L23" s="11">
        <f>IF(L$3=0,"",SUMIFS(INDEX(Inputs!$D$4:$AG$150,0,MATCH(L$2,Inputs!$D$2:$AG$2,0)),Inputs!$B$4:$B$150,$B23)/1000)</f>
        <v>14381</v>
      </c>
      <c r="M23" s="12">
        <f>IF(L23="","",L23)</f>
        <v>14381</v>
      </c>
      <c r="N23" s="11">
        <f>IF(N$3=0,"",SUMIFS(INDEX(Inputs!$D$4:$AG$150,0,MATCH(N$2,Inputs!$D$2:$AG$2,0)),Inputs!$B$4:$B$150,$B23)/1000)</f>
        <v>14447</v>
      </c>
      <c r="O23" s="11">
        <f>IF(O$3=0,"",SUMIFS(INDEX(Inputs!$D$4:$AG$150,0,MATCH(O$2,Inputs!$D$2:$AG$2,0)),Inputs!$B$4:$B$150,$B23)/1000)</f>
        <v>14469</v>
      </c>
      <c r="P23" s="11">
        <f>IF(P$3=0,"",SUMIFS(INDEX(Inputs!$D$4:$AG$150,0,MATCH(P$2,Inputs!$D$2:$AG$2,0)),Inputs!$B$4:$B$150,$B23)/1000)</f>
        <v>14199</v>
      </c>
      <c r="Q23" s="11">
        <f>IF(Q$3=0,"",SUMIFS(INDEX(Inputs!$D$4:$AG$150,0,MATCH(Q$2,Inputs!$D$2:$AG$2,0)),Inputs!$B$4:$B$150,$B23)/1000)</f>
        <v>14091</v>
      </c>
      <c r="R23" s="12">
        <f>IF(Q23="","",Q23)</f>
        <v>14091</v>
      </c>
      <c r="S23" s="11">
        <f>IF(S$3=0,"",SUMIFS(INDEX(Inputs!$D$4:$AG$150,0,MATCH(S$2,Inputs!$D$2:$AG$2,0)),Inputs!$B$4:$B$150,$B23)/1000)</f>
        <v>13768</v>
      </c>
      <c r="T23" s="11">
        <f>IF(T$3=0,"",SUMIFS(INDEX(Inputs!$D$4:$AG$150,0,MATCH(T$2,Inputs!$D$2:$AG$2,0)),Inputs!$B$4:$B$150,$B23)/1000)</f>
        <v>13606</v>
      </c>
      <c r="U23" s="11">
        <f>IF(U$3=0,"",SUMIFS(INDEX(Inputs!$D$4:$AG$150,0,MATCH(U$2,Inputs!$D$2:$AG$2,0)),Inputs!$B$4:$B$150,$B23)/1000)</f>
        <v>13561</v>
      </c>
      <c r="V23" s="11">
        <f>IF(V$3=0,"",SUMIFS(INDEX(Inputs!$D$4:$AG$150,0,MATCH(V$2,Inputs!$D$2:$AG$2,0)),Inputs!$B$4:$B$150,$B23)/1000)</f>
        <v>13588</v>
      </c>
      <c r="W23" s="12">
        <f>IF(V23="","",V23)</f>
        <v>13588</v>
      </c>
      <c r="X23" s="11">
        <f>IF(X$3=0,"",SUMIFS(INDEX(Inputs!$D$4:$AG$150,0,MATCH(X$2,Inputs!$D$2:$AG$2,0)),Inputs!$B$4:$B$150,$B23)/1000)</f>
        <v>13722</v>
      </c>
      <c r="Y23" s="11">
        <f>IF(Y$3=0,"",SUMIFS(INDEX(Inputs!$D$4:$AG$150,0,MATCH(Y$2,Inputs!$D$2:$AG$2,0)),Inputs!$B$4:$B$150,$B23)/1000)</f>
        <v>14255</v>
      </c>
      <c r="Z23" s="11">
        <f>IF(Z$3=0,"",SUMIFS(INDEX(Inputs!$D$4:$AG$150,0,MATCH(Z$2,Inputs!$D$2:$AG$2,0)),Inputs!$B$4:$B$150,$B23)/1000)</f>
        <v>14524</v>
      </c>
      <c r="AA23" s="11">
        <f>IF(AA$3=0,"",SUMIFS(INDEX(Inputs!$D$4:$AG$150,0,MATCH(AA$2,Inputs!$D$2:$AG$2,0)),Inputs!$B$4:$B$150,$B23)/1000)</f>
        <v>15221</v>
      </c>
      <c r="AB23" s="12">
        <f>IF(AA23="","",AA23)</f>
        <v>15221</v>
      </c>
      <c r="AC23" s="11">
        <f>IF(AC$3=0,"",SUMIFS(INDEX(Inputs!$D$4:$AG$150,0,MATCH(AC$2,Inputs!$D$2:$AG$2,0)),Inputs!$B$4:$B$150,$B23)/1000)</f>
        <v>15509</v>
      </c>
      <c r="AD23" s="11">
        <f>IF(AD$3=0,"",SUMIFS(INDEX(Inputs!$D$4:$AG$150,0,MATCH(AD$2,Inputs!$D$2:$AG$2,0)),Inputs!$B$4:$B$150,$B23)/1000)</f>
        <v>17694</v>
      </c>
      <c r="AE23" s="11" t="str">
        <f>IF(AE$3=0,"",SUMIFS(INDEX(Inputs!$D$4:$AG$150,0,MATCH(AE$2,Inputs!$D$2:$AG$2,0)),Inputs!$B$4:$B$150,$B23)/1000)</f>
        <v/>
      </c>
      <c r="AF23" s="11" t="str">
        <f>IF(AF$3=0,"",SUMIFS(INDEX(Inputs!$D$4:$AG$150,0,MATCH(AF$2,Inputs!$D$2:$AG$2,0)),Inputs!$B$4:$B$150,$B23)/1000)</f>
        <v/>
      </c>
      <c r="AG23" s="12" t="str">
        <f>IF(AF23="","",AF23)</f>
        <v/>
      </c>
    </row>
    <row r="24">
      <c r="B24" s="9" t="n">
        <v>20</v>
      </c>
      <c r="C24" s="14" t="inlineStr">
        <is>
          <t>Goodwill</t>
        </is>
      </c>
      <c r="D24" s="11">
        <f>IF(D$3=0,"",SUMIFS(INDEX(Inputs!$D$4:$AG$150,0,MATCH(D$2,Inputs!$D$2:$AG$2,0)),Inputs!$B$4:$B$150,$B24)/1000)</f>
        <v>22341</v>
      </c>
      <c r="E24" s="11">
        <f>IF(E$3=0,"",SUMIFS(INDEX(Inputs!$D$4:$AG$150,0,MATCH(E$2,Inputs!$D$2:$AG$2,0)),Inputs!$B$4:$B$150,$B24)/1000)</f>
        <v>22406</v>
      </c>
      <c r="F24" s="11">
        <f>IF(F$3=0,"",SUMIFS(INDEX(Inputs!$D$4:$AG$150,0,MATCH(F$2,Inputs!$D$2:$AG$2,0)),Inputs!$B$4:$B$150,$B24)/1000)</f>
        <v>22623</v>
      </c>
      <c r="G24" s="11">
        <f>IF(G$3=0,"",SUMIFS(INDEX(Inputs!$D$4:$AG$150,0,MATCH(G$2,Inputs!$D$2:$AG$2,0)),Inputs!$B$4:$B$150,$B24)/1000)</f>
        <v>22956</v>
      </c>
      <c r="H24" s="12">
        <f>IF(G24="","",G24)</f>
        <v>22956</v>
      </c>
      <c r="I24" s="11">
        <f>IF(I$3=0,"",SUMIFS(INDEX(Inputs!$D$4:$AG$150,0,MATCH(I$2,Inputs!$D$2:$AG$2,0)),Inputs!$B$4:$B$150,$B24)/1000)</f>
        <v>23010</v>
      </c>
      <c r="J24" s="11">
        <f>IF(J$3=0,"",SUMIFS(INDEX(Inputs!$D$4:$AG$150,0,MATCH(J$2,Inputs!$D$2:$AG$2,0)),Inputs!$B$4:$B$150,$B24)/1000)</f>
        <v>23949</v>
      </c>
      <c r="K24" s="11">
        <f>IF(K$3=0,"",SUMIFS(INDEX(Inputs!$D$4:$AG$150,0,MATCH(K$2,Inputs!$D$2:$AG$2,0)),Inputs!$B$4:$B$150,$B24)/1000)</f>
        <v>28834</v>
      </c>
      <c r="L24" s="11">
        <f>IF(L$3=0,"",SUMIFS(INDEX(Inputs!$D$4:$AG$150,0,MATCH(L$2,Inputs!$D$2:$AG$2,0)),Inputs!$B$4:$B$150,$B24)/1000)</f>
        <v>28960</v>
      </c>
      <c r="M24" s="12">
        <f>IF(L24="","",L24)</f>
        <v>28960</v>
      </c>
      <c r="N24" s="11">
        <f>IF(N$3=0,"",SUMIFS(INDEX(Inputs!$D$4:$AG$150,0,MATCH(N$2,Inputs!$D$2:$AG$2,0)),Inputs!$B$4:$B$150,$B24)/1000)</f>
        <v>28994</v>
      </c>
      <c r="O24" s="11">
        <f>IF(O$3=0,"",SUMIFS(INDEX(Inputs!$D$4:$AG$150,0,MATCH(O$2,Inputs!$D$2:$AG$2,0)),Inputs!$B$4:$B$150,$B24)/1000)</f>
        <v>29210</v>
      </c>
      <c r="P24" s="11">
        <f>IF(P$3=0,"",SUMIFS(INDEX(Inputs!$D$4:$AG$150,0,MATCH(P$2,Inputs!$D$2:$AG$2,0)),Inputs!$B$4:$B$150,$B24)/1000)</f>
        <v>29146</v>
      </c>
      <c r="Q24" s="11">
        <f>IF(Q$3=0,"",SUMIFS(INDEX(Inputs!$D$4:$AG$150,0,MATCH(Q$2,Inputs!$D$2:$AG$2,0)),Inputs!$B$4:$B$150,$B24)/1000)</f>
        <v>29198</v>
      </c>
      <c r="R24" s="12">
        <f>IF(Q24="","",Q24)</f>
        <v>29198</v>
      </c>
      <c r="S24" s="11">
        <f>IF(S$3=0,"",SUMIFS(INDEX(Inputs!$D$4:$AG$150,0,MATCH(S$2,Inputs!$D$2:$AG$2,0)),Inputs!$B$4:$B$150,$B24)/1000)</f>
        <v>29183</v>
      </c>
      <c r="T24" s="11">
        <f>IF(T$3=0,"",SUMIFS(INDEX(Inputs!$D$4:$AG$150,0,MATCH(T$2,Inputs!$D$2:$AG$2,0)),Inputs!$B$4:$B$150,$B24)/1000)</f>
        <v>29185</v>
      </c>
      <c r="U24" s="11">
        <f>IF(U$3=0,"",SUMIFS(INDEX(Inputs!$D$4:$AG$150,0,MATCH(U$2,Inputs!$D$2:$AG$2,0)),Inputs!$B$4:$B$150,$B24)/1000)</f>
        <v>31935</v>
      </c>
      <c r="V24" s="11">
        <f>IF(V$3=0,"",SUMIFS(INDEX(Inputs!$D$4:$AG$150,0,MATCH(V$2,Inputs!$D$2:$AG$2,0)),Inputs!$B$4:$B$150,$B24)/1000)</f>
        <v>31885</v>
      </c>
      <c r="W24" s="12">
        <f>IF(V24="","",V24)</f>
        <v>31885</v>
      </c>
      <c r="X24" s="11">
        <f>IF(X$3=0,"",SUMIFS(INDEX(Inputs!$D$4:$AG$150,0,MATCH(X$2,Inputs!$D$2:$AG$2,0)),Inputs!$B$4:$B$150,$B24)/1000)</f>
        <v>32173</v>
      </c>
      <c r="Y24" s="11">
        <f>IF(Y$3=0,"",SUMIFS(INDEX(Inputs!$D$4:$AG$150,0,MATCH(Y$2,Inputs!$D$2:$AG$2,0)),Inputs!$B$4:$B$150,$B24)/1000)</f>
        <v>32335</v>
      </c>
      <c r="Z24" s="11">
        <f>IF(Z$3=0,"",SUMIFS(INDEX(Inputs!$D$4:$AG$150,0,MATCH(Z$2,Inputs!$D$2:$AG$2,0)),Inputs!$B$4:$B$150,$B24)/1000)</f>
        <v>33269</v>
      </c>
      <c r="AA24" s="11">
        <f>IF(AA$3=0,"",SUMIFS(INDEX(Inputs!$D$4:$AG$150,0,MATCH(AA$2,Inputs!$D$2:$AG$2,0)),Inputs!$B$4:$B$150,$B24)/1000)</f>
        <v>33380</v>
      </c>
      <c r="AB24" s="12">
        <f>IF(AA24="","",AA24)</f>
        <v>33380</v>
      </c>
      <c r="AC24" s="11">
        <f>IF(AC$3=0,"",SUMIFS(INDEX(Inputs!$D$4:$AG$150,0,MATCH(AC$2,Inputs!$D$2:$AG$2,0)),Inputs!$B$4:$B$150,$B24)/1000)</f>
        <v>57774</v>
      </c>
      <c r="AD24" s="11">
        <f>IF(AD$3=0,"",SUMIFS(INDEX(Inputs!$D$4:$AG$150,0,MATCH(AD$2,Inputs!$D$2:$AG$2,0)),Inputs!$B$4:$B$150,$B24)/1000)</f>
        <v>57828</v>
      </c>
      <c r="AE24" s="11" t="str">
        <f>IF(AE$3=0,"",SUMIFS(INDEX(Inputs!$D$4:$AG$150,0,MATCH(AE$2,Inputs!$D$2:$AG$2,0)),Inputs!$B$4:$B$150,$B24)/1000)</f>
        <v/>
      </c>
      <c r="AF24" s="11" t="str">
        <f>IF(AF$3=0,"",SUMIFS(INDEX(Inputs!$D$4:$AG$150,0,MATCH(AF$2,Inputs!$D$2:$AG$2,0)),Inputs!$B$4:$B$150,$B24)/1000)</f>
        <v/>
      </c>
      <c r="AG24" s="12" t="str">
        <f>IF(AF24="","",AF24)</f>
        <v/>
      </c>
    </row>
    <row r="25">
      <c r="B25" s="9" t="n">
        <v>21</v>
      </c>
      <c r="C25" s="14" t="inlineStr">
        <is>
          <t>Intangibles</t>
        </is>
      </c>
      <c r="D25" s="11">
        <f>IF(D$3=0,"",SUMIFS(INDEX(Inputs!$D$4:$AG$150,0,MATCH(D$2,Inputs!$D$2:$AG$2,0)),Inputs!$B$4:$B$150,$B25)/1000)</f>
        <v>1823</v>
      </c>
      <c r="E25" s="11">
        <f>IF(E$3=0,"",SUMIFS(INDEX(Inputs!$D$4:$AG$150,0,MATCH(E$2,Inputs!$D$2:$AG$2,0)),Inputs!$B$4:$B$150,$B25)/1000)</f>
        <v>1626</v>
      </c>
      <c r="F25" s="11">
        <f>IF(F$3=0,"",SUMIFS(INDEX(Inputs!$D$4:$AG$150,0,MATCH(F$2,Inputs!$D$2:$AG$2,0)),Inputs!$B$4:$B$150,$B25)/1000)</f>
        <v>1549</v>
      </c>
      <c r="G25" s="11">
        <f>IF(G$3=0,"",SUMIFS(INDEX(Inputs!$D$4:$AG$150,0,MATCH(G$2,Inputs!$D$2:$AG$2,0)),Inputs!$B$4:$B$150,$B25)/1000)</f>
        <v>1417</v>
      </c>
      <c r="H25" s="12">
        <f>IF(G25="","",G25)</f>
        <v>1417</v>
      </c>
      <c r="I25" s="11">
        <f>IF(I$3=0,"",SUMIFS(INDEX(Inputs!$D$4:$AG$150,0,MATCH(I$2,Inputs!$D$2:$AG$2,0)),Inputs!$B$4:$B$150,$B25)/1000)</f>
        <v>1313</v>
      </c>
      <c r="J25" s="11">
        <f>IF(J$3=0,"",SUMIFS(INDEX(Inputs!$D$4:$AG$150,0,MATCH(J$2,Inputs!$D$2:$AG$2,0)),Inputs!$B$4:$B$150,$B25)/1000)</f>
        <v>1377</v>
      </c>
      <c r="K25" s="11">
        <f>IF(K$3=0,"",SUMIFS(INDEX(Inputs!$D$4:$AG$150,0,MATCH(K$2,Inputs!$D$2:$AG$2,0)),Inputs!$B$4:$B$150,$B25)/1000)</f>
        <v>2192</v>
      </c>
      <c r="L25" s="11">
        <f>IF(L$3=0,"",SUMIFS(INDEX(Inputs!$D$4:$AG$150,0,MATCH(L$2,Inputs!$D$2:$AG$2,0)),Inputs!$B$4:$B$150,$B25)/1000)</f>
        <v>2084</v>
      </c>
      <c r="M25" s="12">
        <f>IF(L25="","",L25)</f>
        <v>2084</v>
      </c>
      <c r="N25" s="11">
        <f>IF(N$3=0,"",SUMIFS(INDEX(Inputs!$D$4:$AG$150,0,MATCH(N$2,Inputs!$D$2:$AG$2,0)),Inputs!$B$4:$B$150,$B25)/1000)</f>
        <v>1968</v>
      </c>
      <c r="O25" s="11">
        <f>IF(O$3=0,"",SUMIFS(INDEX(Inputs!$D$4:$AG$150,0,MATCH(O$2,Inputs!$D$2:$AG$2,0)),Inputs!$B$4:$B$150,$B25)/1000)</f>
        <v>1966</v>
      </c>
      <c r="P25" s="11">
        <f>IF(P$3=0,"",SUMIFS(INDEX(Inputs!$D$4:$AG$150,0,MATCH(P$2,Inputs!$D$2:$AG$2,0)),Inputs!$B$4:$B$150,$B25)/1000)</f>
        <v>1833</v>
      </c>
      <c r="Q25" s="11">
        <f>IF(Q$3=0,"",SUMIFS(INDEX(Inputs!$D$4:$AG$150,0,MATCH(Q$2,Inputs!$D$2:$AG$2,0)),Inputs!$B$4:$B$150,$B25)/1000)</f>
        <v>0</v>
      </c>
      <c r="R25" s="12">
        <f>IF(Q25="","",Q25)</f>
        <v>0</v>
      </c>
      <c r="S25" s="11">
        <f>IF(S$3=0,"",SUMIFS(INDEX(Inputs!$D$4:$AG$150,0,MATCH(S$2,Inputs!$D$2:$AG$2,0)),Inputs!$B$4:$B$150,$B25)/1000)</f>
        <v>0</v>
      </c>
      <c r="T25" s="11">
        <f>IF(T$3=0,"",SUMIFS(INDEX(Inputs!$D$4:$AG$150,0,MATCH(T$2,Inputs!$D$2:$AG$2,0)),Inputs!$B$4:$B$150,$B25)/1000)</f>
        <v>0</v>
      </c>
      <c r="U25" s="11">
        <f>IF(U$3=0,"",SUMIFS(INDEX(Inputs!$D$4:$AG$150,0,MATCH(U$2,Inputs!$D$2:$AG$2,0)),Inputs!$B$4:$B$150,$B25)/1000)</f>
        <v>0</v>
      </c>
      <c r="V25" s="11">
        <f>IF(V$3=0,"",SUMIFS(INDEX(Inputs!$D$4:$AG$150,0,MATCH(V$2,Inputs!$D$2:$AG$2,0)),Inputs!$B$4:$B$150,$B25)/1000)</f>
        <v>0</v>
      </c>
      <c r="W25" s="12">
        <f>IF(V25="","",V25)</f>
        <v>0</v>
      </c>
      <c r="X25" s="11">
        <f>IF(X$3=0,"",SUMIFS(INDEX(Inputs!$D$4:$AG$150,0,MATCH(X$2,Inputs!$D$2:$AG$2,0)),Inputs!$B$4:$B$150,$B25)/1000)</f>
        <v>0</v>
      </c>
      <c r="Y25" s="11">
        <f>IF(Y$3=0,"",SUMIFS(INDEX(Inputs!$D$4:$AG$150,0,MATCH(Y$2,Inputs!$D$2:$AG$2,0)),Inputs!$B$4:$B$150,$B25)/1000)</f>
        <v>0</v>
      </c>
      <c r="Z25" s="11">
        <f>IF(Z$3=0,"",SUMIFS(INDEX(Inputs!$D$4:$AG$150,0,MATCH(Z$2,Inputs!$D$2:$AG$2,0)),Inputs!$B$4:$B$150,$B25)/1000)</f>
        <v>0</v>
      </c>
      <c r="AA25" s="11">
        <f>IF(AA$3=0,"",SUMIFS(INDEX(Inputs!$D$4:$AG$150,0,MATCH(AA$2,Inputs!$D$2:$AG$2,0)),Inputs!$B$4:$B$150,$B25)/1000)</f>
        <v>0</v>
      </c>
      <c r="AB25" s="12">
        <f>IF(AA25="","",AA25)</f>
        <v>0</v>
      </c>
      <c r="AC25" s="11">
        <f>IF(AC$3=0,"",SUMIFS(INDEX(Inputs!$D$4:$AG$150,0,MATCH(AC$2,Inputs!$D$2:$AG$2,0)),Inputs!$B$4:$B$150,$B25)/1000)</f>
        <v>9444</v>
      </c>
      <c r="AD25" s="11">
        <f>IF(AD$3=0,"",SUMIFS(INDEX(Inputs!$D$4:$AG$150,0,MATCH(AD$2,Inputs!$D$2:$AG$2,0)),Inputs!$B$4:$B$150,$B25)/1000)</f>
        <v>9105</v>
      </c>
      <c r="AE25" s="11" t="str">
        <f>IF(AE$3=0,"",SUMIFS(INDEX(Inputs!$D$4:$AG$150,0,MATCH(AE$2,Inputs!$D$2:$AG$2,0)),Inputs!$B$4:$B$150,$B25)/1000)</f>
        <v/>
      </c>
      <c r="AF25" s="11" t="str">
        <f>IF(AF$3=0,"",SUMIFS(INDEX(Inputs!$D$4:$AG$150,0,MATCH(AF$2,Inputs!$D$2:$AG$2,0)),Inputs!$B$4:$B$150,$B25)/1000)</f>
        <v/>
      </c>
      <c r="AG25" s="12" t="str">
        <f>IF(AF25="","",AF25)</f>
        <v/>
      </c>
    </row>
    <row r="26">
      <c r="B26" s="9" t="n">
        <v>22</v>
      </c>
      <c r="C26" s="14" t="inlineStr">
        <is>
          <t>Other non-current assets</t>
        </is>
      </c>
      <c r="D26" s="11">
        <f>IF(D$3=0,"",SUMIFS(INDEX(Inputs!$D$4:$AG$150,0,MATCH(D$2,Inputs!$D$2:$AG$2,0)),Inputs!$B$4:$B$150,$B26)/1000)</f>
        <v>29461</v>
      </c>
      <c r="E26" s="11">
        <f>IF(E$3=0,"",SUMIFS(INDEX(Inputs!$D$4:$AG$150,0,MATCH(E$2,Inputs!$D$2:$AG$2,0)),Inputs!$B$4:$B$150,$B26)/1000)</f>
        <v>29830</v>
      </c>
      <c r="F26" s="11">
        <f>IF(F$3=0,"",SUMIFS(INDEX(Inputs!$D$4:$AG$150,0,MATCH(F$2,Inputs!$D$2:$AG$2,0)),Inputs!$B$4:$B$150,$B26)/1000)</f>
        <v>30377</v>
      </c>
      <c r="G26" s="11">
        <f>IF(G$3=0,"",SUMIFS(INDEX(Inputs!$D$4:$AG$150,0,MATCH(G$2,Inputs!$D$2:$AG$2,0)),Inputs!$B$4:$B$150,$B26)/1000)</f>
        <v>34910</v>
      </c>
      <c r="H26" s="12">
        <f>IF(G26="","",G26)</f>
        <v>34910</v>
      </c>
      <c r="I26" s="11">
        <f>IF(I$3=0,"",SUMIFS(INDEX(Inputs!$D$4:$AG$150,0,MATCH(I$2,Inputs!$D$2:$AG$2,0)),Inputs!$B$4:$B$150,$B26)/1000)</f>
        <v>36322</v>
      </c>
      <c r="J26" s="11">
        <f>IF(J$3=0,"",SUMIFS(INDEX(Inputs!$D$4:$AG$150,0,MATCH(J$2,Inputs!$D$2:$AG$2,0)),Inputs!$B$4:$B$150,$B26)/1000)</f>
        <v>36377</v>
      </c>
      <c r="K26" s="11">
        <f>IF(K$3=0,"",SUMIFS(INDEX(Inputs!$D$4:$AG$150,0,MATCH(K$2,Inputs!$D$2:$AG$2,0)),Inputs!$B$4:$B$150,$B26)/1000)</f>
        <v>36089</v>
      </c>
      <c r="L26" s="11">
        <f>IF(L$3=0,"",SUMIFS(INDEX(Inputs!$D$4:$AG$150,0,MATCH(L$2,Inputs!$D$2:$AG$2,0)),Inputs!$B$4:$B$150,$B26)/1000)</f>
        <v>37115</v>
      </c>
      <c r="M26" s="12">
        <f>IF(L26="","",L26)</f>
        <v>37115</v>
      </c>
      <c r="N26" s="11">
        <f>IF(N$3=0,"",SUMIFS(INDEX(Inputs!$D$4:$AG$150,0,MATCH(N$2,Inputs!$D$2:$AG$2,0)),Inputs!$B$4:$B$150,$B26)/1000)</f>
        <v>37652</v>
      </c>
      <c r="O26" s="11">
        <f>IF(O$3=0,"",SUMIFS(INDEX(Inputs!$D$4:$AG$150,0,MATCH(O$2,Inputs!$D$2:$AG$2,0)),Inputs!$B$4:$B$150,$B26)/1000)</f>
        <v>38046</v>
      </c>
      <c r="P26" s="11">
        <f>IF(P$3=0,"",SUMIFS(INDEX(Inputs!$D$4:$AG$150,0,MATCH(P$2,Inputs!$D$2:$AG$2,0)),Inputs!$B$4:$B$150,$B26)/1000)</f>
        <v>38535</v>
      </c>
      <c r="Q26" s="11">
        <f>IF(Q$3=0,"",SUMIFS(INDEX(Inputs!$D$4:$AG$150,0,MATCH(Q$2,Inputs!$D$2:$AG$2,0)),Inputs!$B$4:$B$150,$B26)/1000)</f>
        <v>41059</v>
      </c>
      <c r="R26" s="12">
        <f>IF(Q26="","",Q26)</f>
        <v>41059</v>
      </c>
      <c r="S26" s="11">
        <f>IF(S$3=0,"",SUMIFS(INDEX(Inputs!$D$4:$AG$150,0,MATCH(S$2,Inputs!$D$2:$AG$2,0)),Inputs!$B$4:$B$150,$B26)/1000)</f>
        <v>44059</v>
      </c>
      <c r="T26" s="11">
        <f>IF(T$3=0,"",SUMIFS(INDEX(Inputs!$D$4:$AG$150,0,MATCH(T$2,Inputs!$D$2:$AG$2,0)),Inputs!$B$4:$B$150,$B26)/1000)</f>
        <v>43871</v>
      </c>
      <c r="U26" s="11">
        <f>IF(U$3=0,"",SUMIFS(INDEX(Inputs!$D$4:$AG$150,0,MATCH(U$2,Inputs!$D$2:$AG$2,0)),Inputs!$B$4:$B$150,$B26)/1000)</f>
        <v>50044</v>
      </c>
      <c r="V26" s="11">
        <f>IF(V$3=0,"",SUMIFS(INDEX(Inputs!$D$4:$AG$150,0,MATCH(V$2,Inputs!$D$2:$AG$2,0)),Inputs!$B$4:$B$150,$B26)/1000)</f>
        <v>52856</v>
      </c>
      <c r="W26" s="12">
        <f>IF(V26="","",V26)</f>
        <v>52856</v>
      </c>
      <c r="X26" s="11">
        <f>IF(X$3=0,"",SUMIFS(INDEX(Inputs!$D$4:$AG$150,0,MATCH(X$2,Inputs!$D$2:$AG$2,0)),Inputs!$B$4:$B$150,$B26)/1000)</f>
        <v>63979</v>
      </c>
      <c r="Y26" s="11">
        <f>IF(Y$3=0,"",SUMIFS(INDEX(Inputs!$D$4:$AG$150,0,MATCH(Y$2,Inputs!$D$2:$AG$2,0)),Inputs!$B$4:$B$150,$B26)/1000)</f>
        <v>66727</v>
      </c>
      <c r="Z26" s="11">
        <f>IF(Z$3=0,"",SUMIFS(INDEX(Inputs!$D$4:$AG$150,0,MATCH(Z$2,Inputs!$D$2:$AG$2,0)),Inputs!$B$4:$B$150,$B26)/1000)</f>
        <v>80611</v>
      </c>
      <c r="AA26" s="11">
        <f>IF(AA$3=0,"",SUMIFS(INDEX(Inputs!$D$4:$AG$150,0,MATCH(AA$2,Inputs!$D$2:$AG$2,0)),Inputs!$B$4:$B$150,$B26)/1000)</f>
        <v>84932</v>
      </c>
      <c r="AB26" s="12">
        <f>IF(AA26="","",AA26)</f>
        <v>84932</v>
      </c>
      <c r="AC26" s="11">
        <f>IF(AC$3=0,"",SUMIFS(INDEX(Inputs!$D$4:$AG$150,0,MATCH(AC$2,Inputs!$D$2:$AG$2,0)),Inputs!$B$4:$B$150,$B26)/1000)</f>
        <v>124424</v>
      </c>
      <c r="AD26" s="11">
        <f>IF(AD$3=0,"",SUMIFS(INDEX(Inputs!$D$4:$AG$150,0,MATCH(AD$2,Inputs!$D$2:$AG$2,0)),Inputs!$B$4:$B$150,$B26)/1000)</f>
        <v>171172</v>
      </c>
      <c r="AE26" s="11" t="str">
        <f>IF(AE$3=0,"",SUMIFS(INDEX(Inputs!$D$4:$AG$150,0,MATCH(AE$2,Inputs!$D$2:$AG$2,0)),Inputs!$B$4:$B$150,$B26)/1000)</f>
        <v/>
      </c>
      <c r="AF26" s="11" t="str">
        <f>IF(AF$3=0,"",SUMIFS(INDEX(Inputs!$D$4:$AG$150,0,MATCH(AF$2,Inputs!$D$2:$AG$2,0)),Inputs!$B$4:$B$150,$B26)/1000)</f>
        <v/>
      </c>
      <c r="AG26" s="12" t="str">
        <f>IF(AF26="","",AF26)</f>
        <v/>
      </c>
    </row>
    <row r="27">
      <c r="C27" s="3" t="n"/>
    </row>
    <row r="28">
      <c r="B28" s="9" t="n">
        <v>23</v>
      </c>
      <c r="C28" s="14" t="inlineStr">
        <is>
          <t>Accounts payable</t>
        </is>
      </c>
      <c r="D28" s="11">
        <f>IF(D$3=0,"",SUMIFS(INDEX(Inputs!$D$4:$AG$150,0,MATCH(D$2,Inputs!$D$2:$AG$2,0)),Inputs!$B$4:$B$150,$B28)/1000)</f>
        <v>4801</v>
      </c>
      <c r="E28" s="11">
        <f>IF(E$3=0,"",SUMIFS(INDEX(Inputs!$D$4:$AG$150,0,MATCH(E$2,Inputs!$D$2:$AG$2,0)),Inputs!$B$4:$B$150,$B28)/1000)</f>
        <v>4708</v>
      </c>
      <c r="F28" s="11">
        <f>IF(F$3=0,"",SUMIFS(INDEX(Inputs!$D$4:$AG$150,0,MATCH(F$2,Inputs!$D$2:$AG$2,0)),Inputs!$B$4:$B$150,$B28)/1000)</f>
        <v>4616</v>
      </c>
      <c r="G28" s="11">
        <f>IF(G$3=0,"",SUMIFS(INDEX(Inputs!$D$4:$AG$150,0,MATCH(G$2,Inputs!$D$2:$AG$2,0)),Inputs!$B$4:$B$150,$B28)/1000)</f>
        <v>6037</v>
      </c>
      <c r="H28" s="12">
        <f>IF(G28="","",G28)</f>
        <v>6037</v>
      </c>
      <c r="I28" s="11">
        <f>IF(I$3=0,"",SUMIFS(INDEX(Inputs!$D$4:$AG$150,0,MATCH(I$2,Inputs!$D$2:$AG$2,0)),Inputs!$B$4:$B$150,$B28)/1000)</f>
        <v>3436</v>
      </c>
      <c r="J28" s="11">
        <f>IF(J$3=0,"",SUMIFS(INDEX(Inputs!$D$4:$AG$150,0,MATCH(J$2,Inputs!$D$2:$AG$2,0)),Inputs!$B$4:$B$150,$B28)/1000)</f>
        <v>4409</v>
      </c>
      <c r="K28" s="11">
        <f>IF(K$3=0,"",SUMIFS(INDEX(Inputs!$D$4:$AG$150,0,MATCH(K$2,Inputs!$D$2:$AG$2,0)),Inputs!$B$4:$B$150,$B28)/1000)</f>
        <v>6303</v>
      </c>
      <c r="L28" s="11">
        <f>IF(L$3=0,"",SUMIFS(INDEX(Inputs!$D$4:$AG$150,0,MATCH(L$2,Inputs!$D$2:$AG$2,0)),Inputs!$B$4:$B$150,$B28)/1000)</f>
        <v>5128</v>
      </c>
      <c r="M28" s="12">
        <f>IF(L28="","",L28)</f>
        <v>5128</v>
      </c>
      <c r="N28" s="11">
        <f>IF(N$3=0,"",SUMIFS(INDEX(Inputs!$D$4:$AG$150,0,MATCH(N$2,Inputs!$D$2:$AG$2,0)),Inputs!$B$4:$B$150,$B28)/1000)</f>
        <v>4184</v>
      </c>
      <c r="O28" s="11">
        <f>IF(O$3=0,"",SUMIFS(INDEX(Inputs!$D$4:$AG$150,0,MATCH(O$2,Inputs!$D$2:$AG$2,0)),Inputs!$B$4:$B$150,$B28)/1000)</f>
        <v>5313</v>
      </c>
      <c r="P28" s="11">
        <f>IF(P$3=0,"",SUMIFS(INDEX(Inputs!$D$4:$AG$150,0,MATCH(P$2,Inputs!$D$2:$AG$2,0)),Inputs!$B$4:$B$150,$B28)/1000)</f>
        <v>5803</v>
      </c>
      <c r="Q28" s="11">
        <f>IF(Q$3=0,"",SUMIFS(INDEX(Inputs!$D$4:$AG$150,0,MATCH(Q$2,Inputs!$D$2:$AG$2,0)),Inputs!$B$4:$B$150,$B28)/1000)</f>
        <v>7493</v>
      </c>
      <c r="R28" s="12">
        <f>IF(Q28="","",Q28)</f>
        <v>7493</v>
      </c>
      <c r="S28" s="11">
        <f>IF(S$3=0,"",SUMIFS(INDEX(Inputs!$D$4:$AG$150,0,MATCH(S$2,Inputs!$D$2:$AG$2,0)),Inputs!$B$4:$B$150,$B28)/1000)</f>
        <v>6198</v>
      </c>
      <c r="T28" s="11">
        <f>IF(T$3=0,"",SUMIFS(INDEX(Inputs!$D$4:$AG$150,0,MATCH(T$2,Inputs!$D$2:$AG$2,0)),Inputs!$B$4:$B$150,$B28)/1000)</f>
        <v>6092</v>
      </c>
      <c r="U28" s="11">
        <f>IF(U$3=0,"",SUMIFS(INDEX(Inputs!$D$4:$AG$150,0,MATCH(U$2,Inputs!$D$2:$AG$2,0)),Inputs!$B$4:$B$150,$B28)/1000)</f>
        <v>7049</v>
      </c>
      <c r="V28" s="11">
        <f>IF(V$3=0,"",SUMIFS(INDEX(Inputs!$D$4:$AG$150,0,MATCH(V$2,Inputs!$D$2:$AG$2,0)),Inputs!$B$4:$B$150,$B28)/1000)</f>
        <v>7987</v>
      </c>
      <c r="W28" s="12">
        <f>IF(V28="","",V28)</f>
        <v>7987</v>
      </c>
      <c r="X28" s="11">
        <f>IF(X$3=0,"",SUMIFS(INDEX(Inputs!$D$4:$AG$150,0,MATCH(X$2,Inputs!$D$2:$AG$2,0)),Inputs!$B$4:$B$150,$B28)/1000)</f>
        <v>8497</v>
      </c>
      <c r="Y28" s="11">
        <f>IF(Y$3=0,"",SUMIFS(INDEX(Inputs!$D$4:$AG$150,0,MATCH(Y$2,Inputs!$D$2:$AG$2,0)),Inputs!$B$4:$B$150,$B28)/1000)</f>
        <v>8347</v>
      </c>
      <c r="Z28" s="11">
        <f>IF(Z$3=0,"",SUMIFS(INDEX(Inputs!$D$4:$AG$150,0,MATCH(Z$2,Inputs!$D$2:$AG$2,0)),Inputs!$B$4:$B$150,$B28)/1000)</f>
        <v>10546</v>
      </c>
      <c r="AA28" s="11">
        <f>IF(AA$3=0,"",SUMIFS(INDEX(Inputs!$D$4:$AG$150,0,MATCH(AA$2,Inputs!$D$2:$AG$2,0)),Inputs!$B$4:$B$150,$B28)/1000)</f>
        <v>12200</v>
      </c>
      <c r="AB28" s="12">
        <f>IF(AA28="","",AA28)</f>
        <v>12200</v>
      </c>
      <c r="AC28" s="11">
        <f>IF(AC$3=0,"",SUMIFS(INDEX(Inputs!$D$4:$AG$150,0,MATCH(AC$2,Inputs!$D$2:$AG$2,0)),Inputs!$B$4:$B$150,$B28)/1000)</f>
        <v>16852</v>
      </c>
      <c r="AD28" s="11">
        <f>IF(AD$3=0,"",SUMIFS(INDEX(Inputs!$D$4:$AG$150,0,MATCH(AD$2,Inputs!$D$2:$AG$2,0)),Inputs!$B$4:$B$150,$B28)/1000)</f>
        <v>20258</v>
      </c>
      <c r="AE28" s="11" t="str">
        <f>IF(AE$3=0,"",SUMIFS(INDEX(Inputs!$D$4:$AG$150,0,MATCH(AE$2,Inputs!$D$2:$AG$2,0)),Inputs!$B$4:$B$150,$B28)/1000)</f>
        <v/>
      </c>
      <c r="AF28" s="11" t="str">
        <f>IF(AF$3=0,"",SUMIFS(INDEX(Inputs!$D$4:$AG$150,0,MATCH(AF$2,Inputs!$D$2:$AG$2,0)),Inputs!$B$4:$B$150,$B28)/1000)</f>
        <v/>
      </c>
      <c r="AG28" s="12" t="str">
        <f>IF(AF28="","",AF28)</f>
        <v/>
      </c>
    </row>
    <row r="29">
      <c r="B29" s="9" t="n">
        <v>24</v>
      </c>
      <c r="C29" s="14" t="inlineStr">
        <is>
          <t>Accrued expenses</t>
        </is>
      </c>
      <c r="D29" s="11">
        <f>IF(D$3=0,"",SUMIFS(INDEX(Inputs!$D$4:$AG$150,0,MATCH(D$2,Inputs!$D$2:$AG$2,0)),Inputs!$B$4:$B$150,$B29)/1000)</f>
        <v>46069</v>
      </c>
      <c r="E29" s="11">
        <f>IF(E$3=0,"",SUMIFS(INDEX(Inputs!$D$4:$AG$150,0,MATCH(E$2,Inputs!$D$2:$AG$2,0)),Inputs!$B$4:$B$150,$B29)/1000)</f>
        <v>46507</v>
      </c>
      <c r="F29" s="11">
        <f>IF(F$3=0,"",SUMIFS(INDEX(Inputs!$D$4:$AG$150,0,MATCH(F$2,Inputs!$D$2:$AG$2,0)),Inputs!$B$4:$B$150,$B29)/1000)</f>
        <v>50028</v>
      </c>
      <c r="G29" s="11">
        <f>IF(G$3=0,"",SUMIFS(INDEX(Inputs!$D$4:$AG$150,0,MATCH(G$2,Inputs!$D$2:$AG$2,0)),Inputs!$B$4:$B$150,$B29)/1000)</f>
        <v>54121</v>
      </c>
      <c r="H29" s="12">
        <f>IF(G29="","",G29)</f>
        <v>54121</v>
      </c>
      <c r="I29" s="11">
        <f>IF(I$3=0,"",SUMIFS(INDEX(Inputs!$D$4:$AG$150,0,MATCH(I$2,Inputs!$D$2:$AG$2,0)),Inputs!$B$4:$B$150,$B29)/1000)</f>
        <v>50970</v>
      </c>
      <c r="J29" s="11">
        <f>IF(J$3=0,"",SUMIFS(INDEX(Inputs!$D$4:$AG$150,0,MATCH(J$2,Inputs!$D$2:$AG$2,0)),Inputs!$B$4:$B$150,$B29)/1000)</f>
        <v>51717</v>
      </c>
      <c r="K29" s="11">
        <f>IF(K$3=0,"",SUMIFS(INDEX(Inputs!$D$4:$AG$150,0,MATCH(K$2,Inputs!$D$2:$AG$2,0)),Inputs!$B$4:$B$150,$B29)/1000)</f>
        <v>55066</v>
      </c>
      <c r="L29" s="11">
        <f>IF(L$3=0,"",SUMIFS(INDEX(Inputs!$D$4:$AG$150,0,MATCH(L$2,Inputs!$D$2:$AG$2,0)),Inputs!$B$4:$B$150,$B29)/1000)</f>
        <v>60264</v>
      </c>
      <c r="M29" s="12">
        <f>IF(L29="","",L29)</f>
        <v>60264</v>
      </c>
      <c r="N29" s="11">
        <f>IF(N$3=0,"",SUMIFS(INDEX(Inputs!$D$4:$AG$150,0,MATCH(N$2,Inputs!$D$2:$AG$2,0)),Inputs!$B$4:$B$150,$B29)/1000)</f>
        <v>60955</v>
      </c>
      <c r="O29" s="11">
        <f>IF(O$3=0,"",SUMIFS(INDEX(Inputs!$D$4:$AG$150,0,MATCH(O$2,Inputs!$D$2:$AG$2,0)),Inputs!$B$4:$B$150,$B29)/1000)</f>
        <v>68550</v>
      </c>
      <c r="P29" s="11">
        <f>IF(P$3=0,"",SUMIFS(INDEX(Inputs!$D$4:$AG$150,0,MATCH(P$2,Inputs!$D$2:$AG$2,0)),Inputs!$B$4:$B$150,$B29)/1000)</f>
        <v>76189</v>
      </c>
      <c r="Q29" s="11">
        <f>IF(Q$3=0,"",SUMIFS(INDEX(Inputs!$D$4:$AG$150,0,MATCH(Q$2,Inputs!$D$2:$AG$2,0)),Inputs!$B$4:$B$150,$B29)/1000)</f>
        <v>70184</v>
      </c>
      <c r="R29" s="12">
        <f>IF(Q29="","",Q29)</f>
        <v>70184</v>
      </c>
      <c r="S29" s="11">
        <f>IF(S$3=0,"",SUMIFS(INDEX(Inputs!$D$4:$AG$150,0,MATCH(S$2,Inputs!$D$2:$AG$2,0)),Inputs!$B$4:$B$150,$B29)/1000)</f>
        <v>66826</v>
      </c>
      <c r="T29" s="11">
        <f>IF(T$3=0,"",SUMIFS(INDEX(Inputs!$D$4:$AG$150,0,MATCH(T$2,Inputs!$D$2:$AG$2,0)),Inputs!$B$4:$B$150,$B29)/1000)</f>
        <v>67570</v>
      </c>
      <c r="U29" s="11">
        <f>IF(U$3=0,"",SUMIFS(INDEX(Inputs!$D$4:$AG$150,0,MATCH(U$2,Inputs!$D$2:$AG$2,0)),Inputs!$B$4:$B$150,$B29)/1000)</f>
        <v>68858</v>
      </c>
      <c r="V29" s="11">
        <f>IF(V$3=0,"",SUMIFS(INDEX(Inputs!$D$4:$AG$150,0,MATCH(V$2,Inputs!$D$2:$AG$2,0)),Inputs!$B$4:$B$150,$B29)/1000)</f>
        <v>76099</v>
      </c>
      <c r="W29" s="12">
        <f>IF(V29="","",V29)</f>
        <v>76099</v>
      </c>
      <c r="X29" s="11">
        <f>IF(X$3=0,"",SUMIFS(INDEX(Inputs!$D$4:$AG$150,0,MATCH(X$2,Inputs!$D$2:$AG$2,0)),Inputs!$B$4:$B$150,$B29)/1000)</f>
        <v>78249</v>
      </c>
      <c r="Y29" s="11">
        <f>IF(Y$3=0,"",SUMIFS(INDEX(Inputs!$D$4:$AG$150,0,MATCH(Y$2,Inputs!$D$2:$AG$2,0)),Inputs!$B$4:$B$150,$B29)/1000)</f>
        <v>73994</v>
      </c>
      <c r="Z29" s="11">
        <f>IF(Z$3=0,"",SUMIFS(INDEX(Inputs!$D$4:$AG$150,0,MATCH(Z$2,Inputs!$D$2:$AG$2,0)),Inputs!$B$4:$B$150,$B29)/1000)</f>
        <v>83462</v>
      </c>
      <c r="AA29" s="11">
        <f>IF(AA$3=0,"",SUMIFS(INDEX(Inputs!$D$4:$AG$150,0,MATCH(AA$2,Inputs!$D$2:$AG$2,0)),Inputs!$B$4:$B$150,$B29)/1000)</f>
        <v>83967</v>
      </c>
      <c r="AB29" s="12">
        <f>IF(AA29="","",AA29)</f>
        <v>83967</v>
      </c>
      <c r="AC29" s="11">
        <f>IF(AC$3=0,"",SUMIFS(INDEX(Inputs!$D$4:$AG$150,0,MATCH(AC$2,Inputs!$D$2:$AG$2,0)),Inputs!$B$4:$B$150,$B29)/1000)</f>
        <v>87174</v>
      </c>
      <c r="AD29" s="11">
        <f>IF(AD$3=0,"",SUMIFS(INDEX(Inputs!$D$4:$AG$150,0,MATCH(AD$2,Inputs!$D$2:$AG$2,0)),Inputs!$B$4:$B$150,$B29)/1000)</f>
        <v>98699</v>
      </c>
      <c r="AE29" s="11" t="str">
        <f>IF(AE$3=0,"",SUMIFS(INDEX(Inputs!$D$4:$AG$150,0,MATCH(AE$2,Inputs!$D$2:$AG$2,0)),Inputs!$B$4:$B$150,$B29)/1000)</f>
        <v/>
      </c>
      <c r="AF29" s="11" t="str">
        <f>IF(AF$3=0,"",SUMIFS(INDEX(Inputs!$D$4:$AG$150,0,MATCH(AF$2,Inputs!$D$2:$AG$2,0)),Inputs!$B$4:$B$150,$B29)/1000)</f>
        <v/>
      </c>
      <c r="AG29" s="12" t="str">
        <f>IF(AF29="","",AF29)</f>
        <v/>
      </c>
    </row>
    <row r="30">
      <c r="B30" s="9" t="n">
        <v>25</v>
      </c>
      <c r="C30" s="14" t="inlineStr">
        <is>
          <t>Taxes payable</t>
        </is>
      </c>
      <c r="D30" s="11">
        <f>IF(D$3=0,"",SUMIFS(INDEX(Inputs!$D$4:$AG$150,0,MATCH(D$2,Inputs!$D$2:$AG$2,0)),Inputs!$B$4:$B$150,$B30)/1000)</f>
        <v>1893</v>
      </c>
      <c r="E30" s="11">
        <f>IF(E$3=0,"",SUMIFS(INDEX(Inputs!$D$4:$AG$150,0,MATCH(E$2,Inputs!$D$2:$AG$2,0)),Inputs!$B$4:$B$150,$B30)/1000)</f>
        <v>1811</v>
      </c>
      <c r="F30" s="11">
        <f>IF(F$3=0,"",SUMIFS(INDEX(Inputs!$D$4:$AG$150,0,MATCH(F$2,Inputs!$D$2:$AG$2,0)),Inputs!$B$4:$B$150,$B30)/1000)</f>
        <v>4170</v>
      </c>
      <c r="G30" s="11">
        <f>IF(G$3=0,"",SUMIFS(INDEX(Inputs!$D$4:$AG$150,0,MATCH(G$2,Inputs!$D$2:$AG$2,0)),Inputs!$B$4:$B$150,$B30)/1000)</f>
        <v>808</v>
      </c>
      <c r="H30" s="12">
        <f>IF(G30="","",G30)</f>
        <v>808</v>
      </c>
      <c r="I30" s="11">
        <f>IF(I$3=0,"",SUMIFS(INDEX(Inputs!$D$4:$AG$150,0,MATCH(I$2,Inputs!$D$2:$AG$2,0)),Inputs!$B$4:$B$150,$B30)/1000)</f>
        <v>4344</v>
      </c>
      <c r="J30" s="11">
        <f>IF(J$3=0,"",SUMIFS(INDEX(Inputs!$D$4:$AG$150,0,MATCH(J$2,Inputs!$D$2:$AG$2,0)),Inputs!$B$4:$B$150,$B30)/1000)</f>
        <v>1956</v>
      </c>
      <c r="K30" s="11">
        <f>IF(K$3=0,"",SUMIFS(INDEX(Inputs!$D$4:$AG$150,0,MATCH(K$2,Inputs!$D$2:$AG$2,0)),Inputs!$B$4:$B$150,$B30)/1000)</f>
        <v>1025</v>
      </c>
      <c r="L30" s="11">
        <f>IF(L$3=0,"",SUMIFS(INDEX(Inputs!$D$4:$AG$150,0,MATCH(L$2,Inputs!$D$2:$AG$2,0)),Inputs!$B$4:$B$150,$B30)/1000)</f>
        <v>0</v>
      </c>
      <c r="M30" s="12">
        <f>IF(L30="","",L30)</f>
        <v>0</v>
      </c>
      <c r="N30" s="11">
        <f>IF(N$3=0,"",SUMIFS(INDEX(Inputs!$D$4:$AG$150,0,MATCH(N$2,Inputs!$D$2:$AG$2,0)),Inputs!$B$4:$B$150,$B30)/1000)</f>
        <v>0</v>
      </c>
      <c r="O30" s="11">
        <f>IF(O$3=0,"",SUMIFS(INDEX(Inputs!$D$4:$AG$150,0,MATCH(O$2,Inputs!$D$2:$AG$2,0)),Inputs!$B$4:$B$150,$B30)/1000)</f>
        <v>0</v>
      </c>
      <c r="P30" s="11">
        <f>IF(P$3=0,"",SUMIFS(INDEX(Inputs!$D$4:$AG$150,0,MATCH(P$2,Inputs!$D$2:$AG$2,0)),Inputs!$B$4:$B$150,$B30)/1000)</f>
        <v>0</v>
      </c>
      <c r="Q30" s="11">
        <f>IF(Q$3=0,"",SUMIFS(INDEX(Inputs!$D$4:$AG$150,0,MATCH(Q$2,Inputs!$D$2:$AG$2,0)),Inputs!$B$4:$B$150,$B30)/1000)</f>
        <v>0</v>
      </c>
      <c r="R30" s="12">
        <f>IF(Q30="","",Q30)</f>
        <v>0</v>
      </c>
      <c r="S30" s="11">
        <f>IF(S$3=0,"",SUMIFS(INDEX(Inputs!$D$4:$AG$150,0,MATCH(S$2,Inputs!$D$2:$AG$2,0)),Inputs!$B$4:$B$150,$B30)/1000)</f>
        <v>0</v>
      </c>
      <c r="T30" s="11">
        <f>IF(T$3=0,"",SUMIFS(INDEX(Inputs!$D$4:$AG$150,0,MATCH(T$2,Inputs!$D$2:$AG$2,0)),Inputs!$B$4:$B$150,$B30)/1000)</f>
        <v>0</v>
      </c>
      <c r="U30" s="11">
        <f>IF(U$3=0,"",SUMIFS(INDEX(Inputs!$D$4:$AG$150,0,MATCH(U$2,Inputs!$D$2:$AG$2,0)),Inputs!$B$4:$B$150,$B30)/1000)</f>
        <v>0</v>
      </c>
      <c r="V30" s="11">
        <f>IF(V$3=0,"",SUMIFS(INDEX(Inputs!$D$4:$AG$150,0,MATCH(V$2,Inputs!$D$2:$AG$2,0)),Inputs!$B$4:$B$150,$B30)/1000)</f>
        <v>0</v>
      </c>
      <c r="W30" s="12">
        <f>IF(V30="","",V30)</f>
        <v>0</v>
      </c>
      <c r="X30" s="11">
        <f>IF(X$3=0,"",SUMIFS(INDEX(Inputs!$D$4:$AG$150,0,MATCH(X$2,Inputs!$D$2:$AG$2,0)),Inputs!$B$4:$B$150,$B30)/1000)</f>
        <v>0</v>
      </c>
      <c r="Y30" s="11">
        <f>IF(Y$3=0,"",SUMIFS(INDEX(Inputs!$D$4:$AG$150,0,MATCH(Y$2,Inputs!$D$2:$AG$2,0)),Inputs!$B$4:$B$150,$B30)/1000)</f>
        <v>0</v>
      </c>
      <c r="Z30" s="11">
        <f>IF(Z$3=0,"",SUMIFS(INDEX(Inputs!$D$4:$AG$150,0,MATCH(Z$2,Inputs!$D$2:$AG$2,0)),Inputs!$B$4:$B$150,$B30)/1000)</f>
        <v>0</v>
      </c>
      <c r="AA30" s="11">
        <f>IF(AA$3=0,"",SUMIFS(INDEX(Inputs!$D$4:$AG$150,0,MATCH(AA$2,Inputs!$D$2:$AG$2,0)),Inputs!$B$4:$B$150,$B30)/1000)</f>
        <v>0</v>
      </c>
      <c r="AB30" s="12">
        <f>IF(AA30="","",AA30)</f>
        <v>0</v>
      </c>
      <c r="AC30" s="11">
        <f>IF(AC$3=0,"",SUMIFS(INDEX(Inputs!$D$4:$AG$150,0,MATCH(AC$2,Inputs!$D$2:$AG$2,0)),Inputs!$B$4:$B$150,$B30)/1000)</f>
        <v>0</v>
      </c>
      <c r="AD30" s="11">
        <f>IF(AD$3=0,"",SUMIFS(INDEX(Inputs!$D$4:$AG$150,0,MATCH(AD$2,Inputs!$D$2:$AG$2,0)),Inputs!$B$4:$B$150,$B30)/1000)</f>
        <v>0</v>
      </c>
      <c r="AE30" s="11" t="str">
        <f>IF(AE$3=0,"",SUMIFS(INDEX(Inputs!$D$4:$AG$150,0,MATCH(AE$2,Inputs!$D$2:$AG$2,0)),Inputs!$B$4:$B$150,$B30)/1000)</f>
        <v/>
      </c>
      <c r="AF30" s="11" t="str">
        <f>IF(AF$3=0,"",SUMIFS(INDEX(Inputs!$D$4:$AG$150,0,MATCH(AF$2,Inputs!$D$2:$AG$2,0)),Inputs!$B$4:$B$150,$B30)/1000)</f>
        <v/>
      </c>
      <c r="AG30" s="12" t="str">
        <f>IF(AF30="","",AF30)</f>
        <v/>
      </c>
    </row>
    <row r="31">
      <c r="B31" s="9" t="n">
        <v>26</v>
      </c>
      <c r="C31" s="14" t="inlineStr">
        <is>
          <t>Other current liabilities (non-debt)</t>
        </is>
      </c>
      <c r="D31" s="11">
        <f>IF(D$3=0,"",SUMIFS(INDEX(Inputs!$D$4:$AG$150,0,MATCH(D$2,Inputs!$D$2:$AG$2,0)),Inputs!$B$4:$B$150,$B31)/1000)</f>
        <v>2690</v>
      </c>
      <c r="E31" s="11">
        <f>IF(E$3=0,"",SUMIFS(INDEX(Inputs!$D$4:$AG$150,0,MATCH(E$2,Inputs!$D$2:$AG$2,0)),Inputs!$B$4:$B$150,$B31)/1000)</f>
        <v>2715</v>
      </c>
      <c r="F31" s="11">
        <f>IF(F$3=0,"",SUMIFS(INDEX(Inputs!$D$4:$AG$150,0,MATCH(F$2,Inputs!$D$2:$AG$2,0)),Inputs!$B$4:$B$150,$B31)/1000)</f>
        <v>2968</v>
      </c>
      <c r="G31" s="11">
        <f>IF(G$3=0,"",SUMIFS(INDEX(Inputs!$D$4:$AG$150,0,MATCH(G$2,Inputs!$D$2:$AG$2,0)),Inputs!$B$4:$B$150,$B31)/1000)</f>
        <v>3288</v>
      </c>
      <c r="H31" s="12">
        <f>IF(G31="","",G31)</f>
        <v>3288</v>
      </c>
      <c r="I31" s="11">
        <f>IF(I$3=0,"",SUMIFS(INDEX(Inputs!$D$4:$AG$150,0,MATCH(I$2,Inputs!$D$2:$AG$2,0)),Inputs!$B$4:$B$150,$B31)/1000)</f>
        <v>3198</v>
      </c>
      <c r="J31" s="11">
        <f>IF(J$3=0,"",SUMIFS(INDEX(Inputs!$D$4:$AG$150,0,MATCH(J$2,Inputs!$D$2:$AG$2,0)),Inputs!$B$4:$B$150,$B31)/1000)</f>
        <v>3272</v>
      </c>
      <c r="K31" s="11">
        <f>IF(K$3=0,"",SUMIFS(INDEX(Inputs!$D$4:$AG$150,0,MATCH(K$2,Inputs!$D$2:$AG$2,0)),Inputs!$B$4:$B$150,$B31)/1000)</f>
        <v>3585</v>
      </c>
      <c r="L31" s="11">
        <f>IF(L$3=0,"",SUMIFS(INDEX(Inputs!$D$4:$AG$150,0,MATCH(L$2,Inputs!$D$2:$AG$2,0)),Inputs!$B$4:$B$150,$B31)/1000)</f>
        <v>3908</v>
      </c>
      <c r="M31" s="12">
        <f>IF(L31="","",L31)</f>
        <v>3908</v>
      </c>
      <c r="N31" s="11">
        <f>IF(N$3=0,"",SUMIFS(INDEX(Inputs!$D$4:$AG$150,0,MATCH(N$2,Inputs!$D$2:$AG$2,0)),Inputs!$B$4:$B$150,$B31)/1000)</f>
        <v>3715</v>
      </c>
      <c r="O31" s="11">
        <f>IF(O$3=0,"",SUMIFS(INDEX(Inputs!$D$4:$AG$150,0,MATCH(O$2,Inputs!$D$2:$AG$2,0)),Inputs!$B$4:$B$150,$B31)/1000)</f>
        <v>3846</v>
      </c>
      <c r="P31" s="11">
        <f>IF(P$3=0,"",SUMIFS(INDEX(Inputs!$D$4:$AG$150,0,MATCH(P$2,Inputs!$D$2:$AG$2,0)),Inputs!$B$4:$B$150,$B31)/1000)</f>
        <v>4303</v>
      </c>
      <c r="Q31" s="11">
        <f>IF(Q$3=0,"",SUMIFS(INDEX(Inputs!$D$4:$AG$150,0,MATCH(Q$2,Inputs!$D$2:$AG$2,0)),Inputs!$B$4:$B$150,$B31)/1000)</f>
        <v>4137</v>
      </c>
      <c r="R31" s="12">
        <f>IF(Q31="","",Q31)</f>
        <v>4137</v>
      </c>
      <c r="S31" s="11">
        <f>IF(S$3=0,"",SUMIFS(INDEX(Inputs!$D$4:$AG$150,0,MATCH(S$2,Inputs!$D$2:$AG$2,0)),Inputs!$B$4:$B$150,$B31)/1000)</f>
        <v>3973</v>
      </c>
      <c r="T31" s="11">
        <f>IF(T$3=0,"",SUMIFS(INDEX(Inputs!$D$4:$AG$150,0,MATCH(T$2,Inputs!$D$2:$AG$2,0)),Inputs!$B$4:$B$150,$B31)/1000)</f>
        <v>4251</v>
      </c>
      <c r="U31" s="11">
        <f>IF(U$3=0,"",SUMIFS(INDEX(Inputs!$D$4:$AG$150,0,MATCH(U$2,Inputs!$D$2:$AG$2,0)),Inputs!$B$4:$B$150,$B31)/1000)</f>
        <v>4896</v>
      </c>
      <c r="V31" s="11">
        <f>IF(V$3=0,"",SUMIFS(INDEX(Inputs!$D$4:$AG$150,0,MATCH(V$2,Inputs!$D$2:$AG$2,0)),Inputs!$B$4:$B$150,$B31)/1000)</f>
        <v>5036</v>
      </c>
      <c r="W31" s="12">
        <f>IF(V31="","",V31)</f>
        <v>5036</v>
      </c>
      <c r="X31" s="11">
        <f>IF(X$3=0,"",SUMIFS(INDEX(Inputs!$D$4:$AG$150,0,MATCH(X$2,Inputs!$D$2:$AG$2,0)),Inputs!$B$4:$B$150,$B31)/1000)</f>
        <v>4908</v>
      </c>
      <c r="Y31" s="11">
        <f>IF(Y$3=0,"",SUMIFS(INDEX(Inputs!$D$4:$AG$150,0,MATCH(Y$2,Inputs!$D$2:$AG$2,0)),Inputs!$B$4:$B$150,$B31)/1000)</f>
        <v>4969</v>
      </c>
      <c r="Z31" s="11">
        <f>IF(Z$3=0,"",SUMIFS(INDEX(Inputs!$D$4:$AG$150,0,MATCH(Z$2,Inputs!$D$2:$AG$2,0)),Inputs!$B$4:$B$150,$B31)/1000)</f>
        <v>5542</v>
      </c>
      <c r="AA31" s="11">
        <f>IF(AA$3=0,"",SUMIFS(INDEX(Inputs!$D$4:$AG$150,0,MATCH(AA$2,Inputs!$D$2:$AG$2,0)),Inputs!$B$4:$B$150,$B31)/1000)</f>
        <v>6578</v>
      </c>
      <c r="AB31" s="12">
        <f>IF(AA31="","",AA31)</f>
        <v>6578</v>
      </c>
      <c r="AC31" s="11">
        <f>IF(AC$3=0,"",SUMIFS(INDEX(Inputs!$D$4:$AG$150,0,MATCH(AC$2,Inputs!$D$2:$AG$2,0)),Inputs!$B$4:$B$150,$B31)/1000)</f>
        <v>7162</v>
      </c>
      <c r="AD31" s="11">
        <f>IF(AD$3=0,"",SUMIFS(INDEX(Inputs!$D$4:$AG$150,0,MATCH(AD$2,Inputs!$D$2:$AG$2,0)),Inputs!$B$4:$B$150,$B31)/1000)</f>
        <v>7154</v>
      </c>
      <c r="AE31" s="11" t="str">
        <f>IF(AE$3=0,"",SUMIFS(INDEX(Inputs!$D$4:$AG$150,0,MATCH(AE$2,Inputs!$D$2:$AG$2,0)),Inputs!$B$4:$B$150,$B31)/1000)</f>
        <v/>
      </c>
      <c r="AF31" s="11" t="str">
        <f>IF(AF$3=0,"",SUMIFS(INDEX(Inputs!$D$4:$AG$150,0,MATCH(AF$2,Inputs!$D$2:$AG$2,0)),Inputs!$B$4:$B$150,$B31)/1000)</f>
        <v/>
      </c>
      <c r="AG31" s="12" t="str">
        <f>IF(AF31="","",AF31)</f>
        <v/>
      </c>
    </row>
    <row r="32">
      <c r="B32" s="9" t="n">
        <v>27</v>
      </c>
      <c r="C32" s="14" t="inlineStr">
        <is>
          <t>Current portion of long-term debt</t>
        </is>
      </c>
      <c r="D32" s="11">
        <f>IF(D$3=0,"",SUMIFS(INDEX(Inputs!$D$4:$AG$150,0,MATCH(D$2,Inputs!$D$2:$AG$2,0)),Inputs!$B$4:$B$150,$B32)/1000)</f>
        <v>0</v>
      </c>
      <c r="E32" s="11">
        <f>IF(E$3=0,"",SUMIFS(INDEX(Inputs!$D$4:$AG$150,0,MATCH(E$2,Inputs!$D$2:$AG$2,0)),Inputs!$B$4:$B$150,$B32)/1000)</f>
        <v>0</v>
      </c>
      <c r="F32" s="11">
        <f>IF(F$3=0,"",SUMIFS(INDEX(Inputs!$D$4:$AG$150,0,MATCH(F$2,Inputs!$D$2:$AG$2,0)),Inputs!$B$4:$B$150,$B32)/1000)</f>
        <v>0</v>
      </c>
      <c r="G32" s="11">
        <f>IF(G$3=0,"",SUMIFS(INDEX(Inputs!$D$4:$AG$150,0,MATCH(G$2,Inputs!$D$2:$AG$2,0)),Inputs!$B$4:$B$150,$B32)/1000)</f>
        <v>0</v>
      </c>
      <c r="H32" s="12">
        <f>IF(G32="","",G32)</f>
        <v>0</v>
      </c>
      <c r="I32" s="11">
        <f>IF(I$3=0,"",SUMIFS(INDEX(Inputs!$D$4:$AG$150,0,MATCH(I$2,Inputs!$D$2:$AG$2,0)),Inputs!$B$4:$B$150,$B32)/1000)</f>
        <v>0</v>
      </c>
      <c r="J32" s="11">
        <f>IF(J$3=0,"",SUMIFS(INDEX(Inputs!$D$4:$AG$150,0,MATCH(J$2,Inputs!$D$2:$AG$2,0)),Inputs!$B$4:$B$150,$B32)/1000)</f>
        <v>0</v>
      </c>
      <c r="K32" s="11">
        <f>IF(K$3=0,"",SUMIFS(INDEX(Inputs!$D$4:$AG$150,0,MATCH(K$2,Inputs!$D$2:$AG$2,0)),Inputs!$B$4:$B$150,$B32)/1000)</f>
        <v>0</v>
      </c>
      <c r="L32" s="11">
        <f>IF(L$3=0,"",SUMIFS(INDEX(Inputs!$D$4:$AG$150,0,MATCH(L$2,Inputs!$D$2:$AG$2,0)),Inputs!$B$4:$B$150,$B32)/1000)</f>
        <v>0</v>
      </c>
      <c r="M32" s="12">
        <f>IF(L32="","",L32)</f>
        <v>0</v>
      </c>
      <c r="N32" s="11">
        <f>IF(N$3=0,"",SUMIFS(INDEX(Inputs!$D$4:$AG$150,0,MATCH(N$2,Inputs!$D$2:$AG$2,0)),Inputs!$B$4:$B$150,$B32)/1000)</f>
        <v>0</v>
      </c>
      <c r="O32" s="11">
        <f>IF(O$3=0,"",SUMIFS(INDEX(Inputs!$D$4:$AG$150,0,MATCH(O$2,Inputs!$D$2:$AG$2,0)),Inputs!$B$4:$B$150,$B32)/1000)</f>
        <v>0</v>
      </c>
      <c r="P32" s="11">
        <f>IF(P$3=0,"",SUMIFS(INDEX(Inputs!$D$4:$AG$150,0,MATCH(P$2,Inputs!$D$2:$AG$2,0)),Inputs!$B$4:$B$150,$B32)/1000)</f>
        <v>0</v>
      </c>
      <c r="Q32" s="11">
        <f>IF(Q$3=0,"",SUMIFS(INDEX(Inputs!$D$4:$AG$150,0,MATCH(Q$2,Inputs!$D$2:$AG$2,0)),Inputs!$B$4:$B$150,$B32)/1000)</f>
        <v>0</v>
      </c>
      <c r="R32" s="12">
        <f>IF(Q32="","",Q32)</f>
        <v>0</v>
      </c>
      <c r="S32" s="11">
        <f>IF(S$3=0,"",SUMIFS(INDEX(Inputs!$D$4:$AG$150,0,MATCH(S$2,Inputs!$D$2:$AG$2,0)),Inputs!$B$4:$B$150,$B32)/1000)</f>
        <v>0</v>
      </c>
      <c r="T32" s="11">
        <f>IF(T$3=0,"",SUMIFS(INDEX(Inputs!$D$4:$AG$150,0,MATCH(T$2,Inputs!$D$2:$AG$2,0)),Inputs!$B$4:$B$150,$B32)/1000)</f>
        <v>0</v>
      </c>
      <c r="U32" s="11">
        <f>IF(U$3=0,"",SUMIFS(INDEX(Inputs!$D$4:$AG$150,0,MATCH(U$2,Inputs!$D$2:$AG$2,0)),Inputs!$B$4:$B$150,$B32)/1000)</f>
        <v>0</v>
      </c>
      <c r="V32" s="11">
        <f>IF(V$3=0,"",SUMIFS(INDEX(Inputs!$D$4:$AG$150,0,MATCH(V$2,Inputs!$D$2:$AG$2,0)),Inputs!$B$4:$B$150,$B32)/1000)</f>
        <v>0</v>
      </c>
      <c r="W32" s="12">
        <f>IF(V32="","",V32)</f>
        <v>0</v>
      </c>
      <c r="X32" s="11">
        <f>IF(X$3=0,"",SUMIFS(INDEX(Inputs!$D$4:$AG$150,0,MATCH(X$2,Inputs!$D$2:$AG$2,0)),Inputs!$B$4:$B$150,$B32)/1000)</f>
        <v>0</v>
      </c>
      <c r="Y32" s="11">
        <f>IF(Y$3=0,"",SUMIFS(INDEX(Inputs!$D$4:$AG$150,0,MATCH(Y$2,Inputs!$D$2:$AG$2,0)),Inputs!$B$4:$B$150,$B32)/1000)</f>
        <v>0</v>
      </c>
      <c r="Z32" s="11">
        <f>IF(Z$3=0,"",SUMIFS(INDEX(Inputs!$D$4:$AG$150,0,MATCH(Z$2,Inputs!$D$2:$AG$2,0)),Inputs!$B$4:$B$150,$B32)/1000)</f>
        <v>0</v>
      </c>
      <c r="AA32" s="11">
        <f>IF(AA$3=0,"",SUMIFS(INDEX(Inputs!$D$4:$AG$150,0,MATCH(AA$2,Inputs!$D$2:$AG$2,0)),Inputs!$B$4:$B$150,$B32)/1000)</f>
        <v>0</v>
      </c>
      <c r="AB32" s="12">
        <f>IF(AA32="","",AA32)</f>
        <v>0</v>
      </c>
      <c r="AC32" s="11">
        <f>IF(AC$3=0,"",SUMIFS(INDEX(Inputs!$D$4:$AG$150,0,MATCH(AC$2,Inputs!$D$2:$AG$2,0)),Inputs!$B$4:$B$150,$B32)/1000)</f>
        <v>0</v>
      </c>
      <c r="AD32" s="11">
        <f>IF(AD$3=0,"",SUMIFS(INDEX(Inputs!$D$4:$AG$150,0,MATCH(AD$2,Inputs!$D$2:$AG$2,0)),Inputs!$B$4:$B$150,$B32)/1000)</f>
        <v>0</v>
      </c>
      <c r="AE32" s="11" t="str">
        <f>IF(AE$3=0,"",SUMIFS(INDEX(Inputs!$D$4:$AG$150,0,MATCH(AE$2,Inputs!$D$2:$AG$2,0)),Inputs!$B$4:$B$150,$B32)/1000)</f>
        <v/>
      </c>
      <c r="AF32" s="11" t="str">
        <f>IF(AF$3=0,"",SUMIFS(INDEX(Inputs!$D$4:$AG$150,0,MATCH(AF$2,Inputs!$D$2:$AG$2,0)),Inputs!$B$4:$B$150,$B32)/1000)</f>
        <v/>
      </c>
      <c r="AG32" s="12" t="str">
        <f>IF(AF32="","",AF32)</f>
        <v/>
      </c>
    </row>
    <row r="33">
      <c r="B33" s="9" t="n">
        <v>28</v>
      </c>
      <c r="C33" s="14" t="inlineStr">
        <is>
          <t>Short term debt (Revolving credit facility)</t>
        </is>
      </c>
      <c r="D33" s="11">
        <f>IF(D$3=0,"",SUMIFS(INDEX(Inputs!$D$4:$AG$150,0,MATCH(D$2,Inputs!$D$2:$AG$2,0)),Inputs!$B$4:$B$150,$B33)/1000)</f>
        <v>0</v>
      </c>
      <c r="E33" s="11">
        <f>IF(E$3=0,"",SUMIFS(INDEX(Inputs!$D$4:$AG$150,0,MATCH(E$2,Inputs!$D$2:$AG$2,0)),Inputs!$B$4:$B$150,$B33)/1000)</f>
        <v>0</v>
      </c>
      <c r="F33" s="11">
        <f>IF(F$3=0,"",SUMIFS(INDEX(Inputs!$D$4:$AG$150,0,MATCH(F$2,Inputs!$D$2:$AG$2,0)),Inputs!$B$4:$B$150,$B33)/1000)</f>
        <v>0</v>
      </c>
      <c r="G33" s="11">
        <f>IF(G$3=0,"",SUMIFS(INDEX(Inputs!$D$4:$AG$150,0,MATCH(G$2,Inputs!$D$2:$AG$2,0)),Inputs!$B$4:$B$150,$B33)/1000)</f>
        <v>0</v>
      </c>
      <c r="H33" s="12">
        <f>IF(G33="","",G33)</f>
        <v>0</v>
      </c>
      <c r="I33" s="11">
        <f>IF(I$3=0,"",SUMIFS(INDEX(Inputs!$D$4:$AG$150,0,MATCH(I$2,Inputs!$D$2:$AG$2,0)),Inputs!$B$4:$B$150,$B33)/1000)</f>
        <v>0</v>
      </c>
      <c r="J33" s="11">
        <f>IF(J$3=0,"",SUMIFS(INDEX(Inputs!$D$4:$AG$150,0,MATCH(J$2,Inputs!$D$2:$AG$2,0)),Inputs!$B$4:$B$150,$B33)/1000)</f>
        <v>0</v>
      </c>
      <c r="K33" s="11">
        <f>IF(K$3=0,"",SUMIFS(INDEX(Inputs!$D$4:$AG$150,0,MATCH(K$2,Inputs!$D$2:$AG$2,0)),Inputs!$B$4:$B$150,$B33)/1000)</f>
        <v>0</v>
      </c>
      <c r="L33" s="11">
        <f>IF(L$3=0,"",SUMIFS(INDEX(Inputs!$D$4:$AG$150,0,MATCH(L$2,Inputs!$D$2:$AG$2,0)),Inputs!$B$4:$B$150,$B33)/1000)</f>
        <v>0</v>
      </c>
      <c r="M33" s="12">
        <f>IF(L33="","",L33)</f>
        <v>0</v>
      </c>
      <c r="N33" s="11">
        <f>IF(N$3=0,"",SUMIFS(INDEX(Inputs!$D$4:$AG$150,0,MATCH(N$2,Inputs!$D$2:$AG$2,0)),Inputs!$B$4:$B$150,$B33)/1000)</f>
        <v>0</v>
      </c>
      <c r="O33" s="11">
        <f>IF(O$3=0,"",SUMIFS(INDEX(Inputs!$D$4:$AG$150,0,MATCH(O$2,Inputs!$D$2:$AG$2,0)),Inputs!$B$4:$B$150,$B33)/1000)</f>
        <v>0</v>
      </c>
      <c r="P33" s="11">
        <f>IF(P$3=0,"",SUMIFS(INDEX(Inputs!$D$4:$AG$150,0,MATCH(P$2,Inputs!$D$2:$AG$2,0)),Inputs!$B$4:$B$150,$B33)/1000)</f>
        <v>0</v>
      </c>
      <c r="Q33" s="11">
        <f>IF(Q$3=0,"",SUMIFS(INDEX(Inputs!$D$4:$AG$150,0,MATCH(Q$2,Inputs!$D$2:$AG$2,0)),Inputs!$B$4:$B$150,$B33)/1000)</f>
        <v>0</v>
      </c>
      <c r="R33" s="12">
        <f>IF(Q33="","",Q33)</f>
        <v>0</v>
      </c>
      <c r="S33" s="11">
        <f>IF(S$3=0,"",SUMIFS(INDEX(Inputs!$D$4:$AG$150,0,MATCH(S$2,Inputs!$D$2:$AG$2,0)),Inputs!$B$4:$B$150,$B33)/1000)</f>
        <v>0</v>
      </c>
      <c r="T33" s="11">
        <f>IF(T$3=0,"",SUMIFS(INDEX(Inputs!$D$4:$AG$150,0,MATCH(T$2,Inputs!$D$2:$AG$2,0)),Inputs!$B$4:$B$150,$B33)/1000)</f>
        <v>0</v>
      </c>
      <c r="U33" s="11">
        <f>IF(U$3=0,"",SUMIFS(INDEX(Inputs!$D$4:$AG$150,0,MATCH(U$2,Inputs!$D$2:$AG$2,0)),Inputs!$B$4:$B$150,$B33)/1000)</f>
        <v>0</v>
      </c>
      <c r="V33" s="11">
        <f>IF(V$3=0,"",SUMIFS(INDEX(Inputs!$D$4:$AG$150,0,MATCH(V$2,Inputs!$D$2:$AG$2,0)),Inputs!$B$4:$B$150,$B33)/1000)</f>
        <v>0</v>
      </c>
      <c r="W33" s="12">
        <f>IF(V33="","",V33)</f>
        <v>0</v>
      </c>
      <c r="X33" s="11">
        <f>IF(X$3=0,"",SUMIFS(INDEX(Inputs!$D$4:$AG$150,0,MATCH(X$2,Inputs!$D$2:$AG$2,0)),Inputs!$B$4:$B$150,$B33)/1000)</f>
        <v>0</v>
      </c>
      <c r="Y33" s="11">
        <f>IF(Y$3=0,"",SUMIFS(INDEX(Inputs!$D$4:$AG$150,0,MATCH(Y$2,Inputs!$D$2:$AG$2,0)),Inputs!$B$4:$B$150,$B33)/1000)</f>
        <v>0</v>
      </c>
      <c r="Z33" s="11">
        <f>IF(Z$3=0,"",SUMIFS(INDEX(Inputs!$D$4:$AG$150,0,MATCH(Z$2,Inputs!$D$2:$AG$2,0)),Inputs!$B$4:$B$150,$B33)/1000)</f>
        <v>0</v>
      </c>
      <c r="AA33" s="11">
        <f>IF(AA$3=0,"",SUMIFS(INDEX(Inputs!$D$4:$AG$150,0,MATCH(AA$2,Inputs!$D$2:$AG$2,0)),Inputs!$B$4:$B$150,$B33)/1000)</f>
        <v>0</v>
      </c>
      <c r="AB33" s="12">
        <f>IF(AA33="","",AA33)</f>
        <v>0</v>
      </c>
      <c r="AC33" s="11">
        <f>IF(AC$3=0,"",SUMIFS(INDEX(Inputs!$D$4:$AG$150,0,MATCH(AC$2,Inputs!$D$2:$AG$2,0)),Inputs!$B$4:$B$150,$B33)/1000)</f>
        <v>0</v>
      </c>
      <c r="AD33" s="11">
        <f>IF(AD$3=0,"",SUMIFS(INDEX(Inputs!$D$4:$AG$150,0,MATCH(AD$2,Inputs!$D$2:$AG$2,0)),Inputs!$B$4:$B$150,$B33)/1000)</f>
        <v>0</v>
      </c>
      <c r="AE33" s="11" t="str">
        <f>IF(AE$3=0,"",SUMIFS(INDEX(Inputs!$D$4:$AG$150,0,MATCH(AE$2,Inputs!$D$2:$AG$2,0)),Inputs!$B$4:$B$150,$B33)/1000)</f>
        <v/>
      </c>
      <c r="AF33" s="11" t="str">
        <f>IF(AF$3=0,"",SUMIFS(INDEX(Inputs!$D$4:$AG$150,0,MATCH(AF$2,Inputs!$D$2:$AG$2,0)),Inputs!$B$4:$B$150,$B33)/1000)</f>
        <v/>
      </c>
      <c r="AG33" s="12" t="str">
        <f>IF(AF33="","",AF33)</f>
        <v/>
      </c>
    </row>
    <row r="34">
      <c r="B34" s="9" t="n">
        <v>29</v>
      </c>
      <c r="C34" s="14" t="inlineStr">
        <is>
          <t>Short term operating leases</t>
        </is>
      </c>
      <c r="D34" s="11">
        <f>IF(D$3=0,"",SUMIFS(INDEX(Inputs!$D$4:$AG$150,0,MATCH(D$2,Inputs!$D$2:$AG$2,0)),Inputs!$B$4:$B$150,$B34)/1000)</f>
        <v>0</v>
      </c>
      <c r="E34" s="11">
        <f>IF(E$3=0,"",SUMIFS(INDEX(Inputs!$D$4:$AG$150,0,MATCH(E$2,Inputs!$D$2:$AG$2,0)),Inputs!$B$4:$B$150,$B34)/1000)</f>
        <v>0</v>
      </c>
      <c r="F34" s="11">
        <f>IF(F$3=0,"",SUMIFS(INDEX(Inputs!$D$4:$AG$150,0,MATCH(F$2,Inputs!$D$2:$AG$2,0)),Inputs!$B$4:$B$150,$B34)/1000)</f>
        <v>0</v>
      </c>
      <c r="G34" s="11">
        <f>IF(G$3=0,"",SUMIFS(INDEX(Inputs!$D$4:$AG$150,0,MATCH(G$2,Inputs!$D$2:$AG$2,0)),Inputs!$B$4:$B$150,$B34)/1000)</f>
        <v>0</v>
      </c>
      <c r="H34" s="12">
        <f>IF(G34="","",G34)</f>
        <v>0</v>
      </c>
      <c r="I34" s="11">
        <f>IF(I$3=0,"",SUMIFS(INDEX(Inputs!$D$4:$AG$150,0,MATCH(I$2,Inputs!$D$2:$AG$2,0)),Inputs!$B$4:$B$150,$B34)/1000)</f>
        <v>0</v>
      </c>
      <c r="J34" s="11">
        <f>IF(J$3=0,"",SUMIFS(INDEX(Inputs!$D$4:$AG$150,0,MATCH(J$2,Inputs!$D$2:$AG$2,0)),Inputs!$B$4:$B$150,$B34)/1000)</f>
        <v>0</v>
      </c>
      <c r="K34" s="11">
        <f>IF(K$3=0,"",SUMIFS(INDEX(Inputs!$D$4:$AG$150,0,MATCH(K$2,Inputs!$D$2:$AG$2,0)),Inputs!$B$4:$B$150,$B34)/1000)</f>
        <v>0</v>
      </c>
      <c r="L34" s="11">
        <f>IF(L$3=0,"",SUMIFS(INDEX(Inputs!$D$4:$AG$150,0,MATCH(L$2,Inputs!$D$2:$AG$2,0)),Inputs!$B$4:$B$150,$B34)/1000)</f>
        <v>0</v>
      </c>
      <c r="M34" s="12">
        <f>IF(L34="","",L34)</f>
        <v>0</v>
      </c>
      <c r="N34" s="11">
        <f>IF(N$3=0,"",SUMIFS(INDEX(Inputs!$D$4:$AG$150,0,MATCH(N$2,Inputs!$D$2:$AG$2,0)),Inputs!$B$4:$B$150,$B34)/1000)</f>
        <v>0</v>
      </c>
      <c r="O34" s="11">
        <f>IF(O$3=0,"",SUMIFS(INDEX(Inputs!$D$4:$AG$150,0,MATCH(O$2,Inputs!$D$2:$AG$2,0)),Inputs!$B$4:$B$150,$B34)/1000)</f>
        <v>0</v>
      </c>
      <c r="P34" s="11">
        <f>IF(P$3=0,"",SUMIFS(INDEX(Inputs!$D$4:$AG$150,0,MATCH(P$2,Inputs!$D$2:$AG$2,0)),Inputs!$B$4:$B$150,$B34)/1000)</f>
        <v>0</v>
      </c>
      <c r="Q34" s="11">
        <f>IF(Q$3=0,"",SUMIFS(INDEX(Inputs!$D$4:$AG$150,0,MATCH(Q$2,Inputs!$D$2:$AG$2,0)),Inputs!$B$4:$B$150,$B34)/1000)</f>
        <v>0</v>
      </c>
      <c r="R34" s="12">
        <f>IF(Q34="","",Q34)</f>
        <v>0</v>
      </c>
      <c r="S34" s="11">
        <f>IF(S$3=0,"",SUMIFS(INDEX(Inputs!$D$4:$AG$150,0,MATCH(S$2,Inputs!$D$2:$AG$2,0)),Inputs!$B$4:$B$150,$B34)/1000)</f>
        <v>0</v>
      </c>
      <c r="T34" s="11">
        <f>IF(T$3=0,"",SUMIFS(INDEX(Inputs!$D$4:$AG$150,0,MATCH(T$2,Inputs!$D$2:$AG$2,0)),Inputs!$B$4:$B$150,$B34)/1000)</f>
        <v>0</v>
      </c>
      <c r="U34" s="11">
        <f>IF(U$3=0,"",SUMIFS(INDEX(Inputs!$D$4:$AG$150,0,MATCH(U$2,Inputs!$D$2:$AG$2,0)),Inputs!$B$4:$B$150,$B34)/1000)</f>
        <v>0</v>
      </c>
      <c r="V34" s="11">
        <f>IF(V$3=0,"",SUMIFS(INDEX(Inputs!$D$4:$AG$150,0,MATCH(V$2,Inputs!$D$2:$AG$2,0)),Inputs!$B$4:$B$150,$B34)/1000)</f>
        <v>0</v>
      </c>
      <c r="W34" s="12">
        <f>IF(V34="","",V34)</f>
        <v>0</v>
      </c>
      <c r="X34" s="11">
        <f>IF(X$3=0,"",SUMIFS(INDEX(Inputs!$D$4:$AG$150,0,MATCH(X$2,Inputs!$D$2:$AG$2,0)),Inputs!$B$4:$B$150,$B34)/1000)</f>
        <v>0</v>
      </c>
      <c r="Y34" s="11">
        <f>IF(Y$3=0,"",SUMIFS(INDEX(Inputs!$D$4:$AG$150,0,MATCH(Y$2,Inputs!$D$2:$AG$2,0)),Inputs!$B$4:$B$150,$B34)/1000)</f>
        <v>0</v>
      </c>
      <c r="Z34" s="11">
        <f>IF(Z$3=0,"",SUMIFS(INDEX(Inputs!$D$4:$AG$150,0,MATCH(Z$2,Inputs!$D$2:$AG$2,0)),Inputs!$B$4:$B$150,$B34)/1000)</f>
        <v>0</v>
      </c>
      <c r="AA34" s="11">
        <f>IF(AA$3=0,"",SUMIFS(INDEX(Inputs!$D$4:$AG$150,0,MATCH(AA$2,Inputs!$D$2:$AG$2,0)),Inputs!$B$4:$B$150,$B34)/1000)</f>
        <v>0</v>
      </c>
      <c r="AB34" s="12">
        <f>IF(AA34="","",AA34)</f>
        <v>0</v>
      </c>
      <c r="AC34" s="11">
        <f>IF(AC$3=0,"",SUMIFS(INDEX(Inputs!$D$4:$AG$150,0,MATCH(AC$2,Inputs!$D$2:$AG$2,0)),Inputs!$B$4:$B$150,$B34)/1000)</f>
        <v>0</v>
      </c>
      <c r="AD34" s="11">
        <f>IF(AD$3=0,"",SUMIFS(INDEX(Inputs!$D$4:$AG$150,0,MATCH(AD$2,Inputs!$D$2:$AG$2,0)),Inputs!$B$4:$B$150,$B34)/1000)</f>
        <v>0</v>
      </c>
      <c r="AE34" s="11" t="str">
        <f>IF(AE$3=0,"",SUMIFS(INDEX(Inputs!$D$4:$AG$150,0,MATCH(AE$2,Inputs!$D$2:$AG$2,0)),Inputs!$B$4:$B$150,$B34)/1000)</f>
        <v/>
      </c>
      <c r="AF34" s="11" t="str">
        <f>IF(AF$3=0,"",SUMIFS(INDEX(Inputs!$D$4:$AG$150,0,MATCH(AF$2,Inputs!$D$2:$AG$2,0)),Inputs!$B$4:$B$150,$B34)/1000)</f>
        <v/>
      </c>
      <c r="AG34" s="12" t="str">
        <f>IF(AF34="","",AF34)</f>
        <v/>
      </c>
    </row>
    <row r="35">
      <c r="B35" s="9" t="n">
        <v>30</v>
      </c>
      <c r="C35" s="14" t="inlineStr">
        <is>
          <t>Long term debt</t>
        </is>
      </c>
      <c r="D35" s="11">
        <f>IF(D$3=0,"",SUMIFS(INDEX(Inputs!$D$4:$AG$150,0,MATCH(D$2,Inputs!$D$2:$AG$2,0)),Inputs!$B$4:$B$150,$B35)/1000)</f>
        <v>13887</v>
      </c>
      <c r="E35" s="11">
        <f>IF(E$3=0,"",SUMIFS(INDEX(Inputs!$D$4:$AG$150,0,MATCH(E$2,Inputs!$D$2:$AG$2,0)),Inputs!$B$4:$B$150,$B35)/1000)</f>
        <v>14328</v>
      </c>
      <c r="F35" s="11">
        <f>IF(F$3=0,"",SUMIFS(INDEX(Inputs!$D$4:$AG$150,0,MATCH(F$2,Inputs!$D$2:$AG$2,0)),Inputs!$B$4:$B$150,$B35)/1000)</f>
        <v>14288</v>
      </c>
      <c r="G35" s="11">
        <f>IF(G$3=0,"",SUMIFS(INDEX(Inputs!$D$4:$AG$150,0,MATCH(G$2,Inputs!$D$2:$AG$2,0)),Inputs!$B$4:$B$150,$B35)/1000)</f>
        <v>14817</v>
      </c>
      <c r="H35" s="12">
        <f>IF(G35="","",G35)</f>
        <v>14817</v>
      </c>
      <c r="I35" s="11">
        <f>IF(I$3=0,"",SUMIFS(INDEX(Inputs!$D$4:$AG$150,0,MATCH(I$2,Inputs!$D$2:$AG$2,0)),Inputs!$B$4:$B$150,$B35)/1000)</f>
        <v>14791</v>
      </c>
      <c r="J35" s="11">
        <f>IF(J$3=0,"",SUMIFS(INDEX(Inputs!$D$4:$AG$150,0,MATCH(J$2,Inputs!$D$2:$AG$2,0)),Inputs!$B$4:$B$150,$B35)/1000)</f>
        <v>14734</v>
      </c>
      <c r="K35" s="11">
        <f>IF(K$3=0,"",SUMIFS(INDEX(Inputs!$D$4:$AG$150,0,MATCH(K$2,Inputs!$D$2:$AG$2,0)),Inputs!$B$4:$B$150,$B35)/1000)</f>
        <v>14653</v>
      </c>
      <c r="L35" s="11">
        <f>IF(L$3=0,"",SUMIFS(INDEX(Inputs!$D$4:$AG$150,0,MATCH(L$2,Inputs!$D$2:$AG$2,0)),Inputs!$B$4:$B$150,$B35)/1000)</f>
        <v>14701</v>
      </c>
      <c r="M35" s="12">
        <f>IF(L35="","",L35)</f>
        <v>14701</v>
      </c>
      <c r="N35" s="11">
        <f>IF(N$3=0,"",SUMIFS(INDEX(Inputs!$D$4:$AG$150,0,MATCH(N$2,Inputs!$D$2:$AG$2,0)),Inputs!$B$4:$B$150,$B35)/1000)</f>
        <v>13697</v>
      </c>
      <c r="O35" s="11">
        <f>IF(O$3=0,"",SUMIFS(INDEX(Inputs!$D$4:$AG$150,0,MATCH(O$2,Inputs!$D$2:$AG$2,0)),Inputs!$B$4:$B$150,$B35)/1000)</f>
        <v>13705</v>
      </c>
      <c r="P35" s="11">
        <f>IF(P$3=0,"",SUMIFS(INDEX(Inputs!$D$4:$AG$150,0,MATCH(P$2,Inputs!$D$2:$AG$2,0)),Inputs!$B$4:$B$150,$B35)/1000)</f>
        <v>13781</v>
      </c>
      <c r="Q35" s="11">
        <f>IF(Q$3=0,"",SUMIFS(INDEX(Inputs!$D$4:$AG$150,0,MATCH(Q$2,Inputs!$D$2:$AG$2,0)),Inputs!$B$4:$B$150,$B35)/1000)</f>
        <v>13253</v>
      </c>
      <c r="R35" s="12">
        <f>IF(Q35="","",Q35)</f>
        <v>13253</v>
      </c>
      <c r="S35" s="11">
        <f>IF(S$3=0,"",SUMIFS(INDEX(Inputs!$D$4:$AG$150,0,MATCH(S$2,Inputs!$D$2:$AG$2,0)),Inputs!$B$4:$B$150,$B35)/1000)</f>
        <v>13228</v>
      </c>
      <c r="T35" s="11">
        <f>IF(T$3=0,"",SUMIFS(INDEX(Inputs!$D$4:$AG$150,0,MATCH(T$2,Inputs!$D$2:$AG$2,0)),Inputs!$B$4:$B$150,$B35)/1000)</f>
        <v>13238</v>
      </c>
      <c r="U35" s="11">
        <f>IF(U$3=0,"",SUMIFS(INDEX(Inputs!$D$4:$AG$150,0,MATCH(U$2,Inputs!$D$2:$AG$2,0)),Inputs!$B$4:$B$150,$B35)/1000)</f>
        <v>12297</v>
      </c>
      <c r="V35" s="11">
        <f>IF(V$3=0,"",SUMIFS(INDEX(Inputs!$D$4:$AG$150,0,MATCH(V$2,Inputs!$D$2:$AG$2,0)),Inputs!$B$4:$B$150,$B35)/1000)</f>
        <v>10883</v>
      </c>
      <c r="W35" s="12">
        <f>IF(V35="","",V35)</f>
        <v>10883</v>
      </c>
      <c r="X35" s="11">
        <f>IF(X$3=0,"",SUMIFS(INDEX(Inputs!$D$4:$AG$150,0,MATCH(X$2,Inputs!$D$2:$AG$2,0)),Inputs!$B$4:$B$150,$B35)/1000)</f>
        <v>10886</v>
      </c>
      <c r="Y35" s="11">
        <f>IF(Y$3=0,"",SUMIFS(INDEX(Inputs!$D$4:$AG$150,0,MATCH(Y$2,Inputs!$D$2:$AG$2,0)),Inputs!$B$4:$B$150,$B35)/1000)</f>
        <v>23607</v>
      </c>
      <c r="Z35" s="11">
        <f>IF(Z$3=0,"",SUMIFS(INDEX(Inputs!$D$4:$AG$150,0,MATCH(Z$2,Inputs!$D$2:$AG$2,0)),Inputs!$B$4:$B$150,$B35)/1000)</f>
        <v>21607</v>
      </c>
      <c r="AA35" s="11">
        <f>IF(AA$3=0,"",SUMIFS(INDEX(Inputs!$D$4:$AG$150,0,MATCH(AA$2,Inputs!$D$2:$AG$2,0)),Inputs!$B$4:$B$150,$B35)/1000)</f>
        <v>46547</v>
      </c>
      <c r="AB35" s="12">
        <f>IF(AA35="","",AA35)</f>
        <v>46547</v>
      </c>
      <c r="AC35" s="11">
        <f>IF(AC$3=0,"",SUMIFS(INDEX(Inputs!$D$4:$AG$150,0,MATCH(AC$2,Inputs!$D$2:$AG$2,0)),Inputs!$B$4:$B$150,$B35)/1000)</f>
        <v>77501</v>
      </c>
      <c r="AD35" s="11">
        <f>IF(AD$3=0,"",SUMIFS(INDEX(Inputs!$D$4:$AG$150,0,MATCH(AD$2,Inputs!$D$2:$AG$2,0)),Inputs!$B$4:$B$150,$B35)/1000)</f>
        <v>98165</v>
      </c>
      <c r="AE35" s="11" t="str">
        <f>IF(AE$3=0,"",SUMIFS(INDEX(Inputs!$D$4:$AG$150,0,MATCH(AE$2,Inputs!$D$2:$AG$2,0)),Inputs!$B$4:$B$150,$B35)/1000)</f>
        <v/>
      </c>
      <c r="AF35" s="11" t="str">
        <f>IF(AF$3=0,"",SUMIFS(INDEX(Inputs!$D$4:$AG$150,0,MATCH(AF$2,Inputs!$D$2:$AG$2,0)),Inputs!$B$4:$B$150,$B35)/1000)</f>
        <v/>
      </c>
      <c r="AG35" s="12" t="str">
        <f>IF(AF35="","",AF35)</f>
        <v/>
      </c>
    </row>
    <row r="36">
      <c r="B36" s="9" t="n">
        <v>31</v>
      </c>
      <c r="C36" s="14" t="inlineStr">
        <is>
          <t>Long term operating leases</t>
        </is>
      </c>
      <c r="D36" s="11">
        <f>IF(D$3=0,"",SUMIFS(INDEX(Inputs!$D$4:$AG$150,0,MATCH(D$2,Inputs!$D$2:$AG$2,0)),Inputs!$B$4:$B$150,$B36)/1000)</f>
        <v>11382</v>
      </c>
      <c r="E36" s="11">
        <f>IF(E$3=0,"",SUMIFS(INDEX(Inputs!$D$4:$AG$150,0,MATCH(E$2,Inputs!$D$2:$AG$2,0)),Inputs!$B$4:$B$150,$B36)/1000)</f>
        <v>11619</v>
      </c>
      <c r="F36" s="11">
        <f>IF(F$3=0,"",SUMIFS(INDEX(Inputs!$D$4:$AG$150,0,MATCH(F$2,Inputs!$D$2:$AG$2,0)),Inputs!$B$4:$B$150,$B36)/1000)</f>
        <v>11471</v>
      </c>
      <c r="G36" s="11">
        <f>IF(G$3=0,"",SUMIFS(INDEX(Inputs!$D$4:$AG$150,0,MATCH(G$2,Inputs!$D$2:$AG$2,0)),Inputs!$B$4:$B$150,$B36)/1000)</f>
        <v>11389</v>
      </c>
      <c r="H36" s="12">
        <f>IF(G36="","",G36)</f>
        <v>11389</v>
      </c>
      <c r="I36" s="11">
        <f>IF(I$3=0,"",SUMIFS(INDEX(Inputs!$D$4:$AG$150,0,MATCH(I$2,Inputs!$D$2:$AG$2,0)),Inputs!$B$4:$B$150,$B36)/1000)</f>
        <v>11363</v>
      </c>
      <c r="J36" s="11">
        <f>IF(J$3=0,"",SUMIFS(INDEX(Inputs!$D$4:$AG$150,0,MATCH(J$2,Inputs!$D$2:$AG$2,0)),Inputs!$B$4:$B$150,$B36)/1000)</f>
        <v>11697</v>
      </c>
      <c r="K36" s="11">
        <f>IF(K$3=0,"",SUMIFS(INDEX(Inputs!$D$4:$AG$150,0,MATCH(K$2,Inputs!$D$2:$AG$2,0)),Inputs!$B$4:$B$150,$B36)/1000)</f>
        <v>11984</v>
      </c>
      <c r="L36" s="11">
        <f>IF(L$3=0,"",SUMIFS(INDEX(Inputs!$D$4:$AG$150,0,MATCH(L$2,Inputs!$D$2:$AG$2,0)),Inputs!$B$4:$B$150,$B36)/1000)</f>
        <v>12501</v>
      </c>
      <c r="M36" s="12">
        <f>IF(L36="","",L36)</f>
        <v>12501</v>
      </c>
      <c r="N36" s="11">
        <f>IF(N$3=0,"",SUMIFS(INDEX(Inputs!$D$4:$AG$150,0,MATCH(N$2,Inputs!$D$2:$AG$2,0)),Inputs!$B$4:$B$150,$B36)/1000)</f>
        <v>12799</v>
      </c>
      <c r="O36" s="11">
        <f>IF(O$3=0,"",SUMIFS(INDEX(Inputs!$D$4:$AG$150,0,MATCH(O$2,Inputs!$D$2:$AG$2,0)),Inputs!$B$4:$B$150,$B36)/1000)</f>
        <v>12746</v>
      </c>
      <c r="P36" s="11">
        <f>IF(P$3=0,"",SUMIFS(INDEX(Inputs!$D$4:$AG$150,0,MATCH(P$2,Inputs!$D$2:$AG$2,0)),Inputs!$B$4:$B$150,$B36)/1000)</f>
        <v>12550</v>
      </c>
      <c r="Q36" s="11">
        <f>IF(Q$3=0,"",SUMIFS(INDEX(Inputs!$D$4:$AG$150,0,MATCH(Q$2,Inputs!$D$2:$AG$2,0)),Inputs!$B$4:$B$150,$B36)/1000)</f>
        <v>12460</v>
      </c>
      <c r="R36" s="12">
        <f>IF(Q36="","",Q36)</f>
        <v>12460</v>
      </c>
      <c r="S36" s="11">
        <f>IF(S$3=0,"",SUMIFS(INDEX(Inputs!$D$4:$AG$150,0,MATCH(S$2,Inputs!$D$2:$AG$2,0)),Inputs!$B$4:$B$150,$B36)/1000)</f>
        <v>11957</v>
      </c>
      <c r="T36" s="11">
        <f>IF(T$3=0,"",SUMIFS(INDEX(Inputs!$D$4:$AG$150,0,MATCH(T$2,Inputs!$D$2:$AG$2,0)),Inputs!$B$4:$B$150,$B36)/1000)</f>
        <v>11708</v>
      </c>
      <c r="U36" s="11">
        <f>IF(U$3=0,"",SUMIFS(INDEX(Inputs!$D$4:$AG$150,0,MATCH(U$2,Inputs!$D$2:$AG$2,0)),Inputs!$B$4:$B$150,$B36)/1000)</f>
        <v>11654</v>
      </c>
      <c r="V36" s="11">
        <f>IF(V$3=0,"",SUMIFS(INDEX(Inputs!$D$4:$AG$150,0,MATCH(V$2,Inputs!$D$2:$AG$2,0)),Inputs!$B$4:$B$150,$B36)/1000)</f>
        <v>11691</v>
      </c>
      <c r="W36" s="12">
        <f>IF(V36="","",V36)</f>
        <v>11691</v>
      </c>
      <c r="X36" s="11">
        <f>IF(X$3=0,"",SUMIFS(INDEX(Inputs!$D$4:$AG$150,0,MATCH(X$2,Inputs!$D$2:$AG$2,0)),Inputs!$B$4:$B$150,$B36)/1000)</f>
        <v>11678</v>
      </c>
      <c r="Y36" s="11">
        <f>IF(Y$3=0,"",SUMIFS(INDEX(Inputs!$D$4:$AG$150,0,MATCH(Y$2,Inputs!$D$2:$AG$2,0)),Inputs!$B$4:$B$150,$B36)/1000)</f>
        <v>11952</v>
      </c>
      <c r="Z36" s="11">
        <f>IF(Z$3=0,"",SUMIFS(INDEX(Inputs!$D$4:$AG$150,0,MATCH(Z$2,Inputs!$D$2:$AG$2,0)),Inputs!$B$4:$B$150,$B36)/1000)</f>
        <v>12106</v>
      </c>
      <c r="AA36" s="11">
        <f>IF(AA$3=0,"",SUMIFS(INDEX(Inputs!$D$4:$AG$150,0,MATCH(AA$2,Inputs!$D$2:$AG$2,0)),Inputs!$B$4:$B$150,$B36)/1000)</f>
        <v>12744</v>
      </c>
      <c r="AB36" s="12">
        <f>IF(AA36="","",AA36)</f>
        <v>12744</v>
      </c>
      <c r="AC36" s="11">
        <f>IF(AC$3=0,"",SUMIFS(INDEX(Inputs!$D$4:$AG$150,0,MATCH(AC$2,Inputs!$D$2:$AG$2,0)),Inputs!$B$4:$B$150,$B36)/1000)</f>
        <v>12983</v>
      </c>
      <c r="AD36" s="11">
        <f>IF(AD$3=0,"",SUMIFS(INDEX(Inputs!$D$4:$AG$150,0,MATCH(AD$2,Inputs!$D$2:$AG$2,0)),Inputs!$B$4:$B$150,$B36)/1000)</f>
        <v>14591</v>
      </c>
      <c r="AE36" s="11" t="str">
        <f>IF(AE$3=0,"",SUMIFS(INDEX(Inputs!$D$4:$AG$150,0,MATCH(AE$2,Inputs!$D$2:$AG$2,0)),Inputs!$B$4:$B$150,$B36)/1000)</f>
        <v/>
      </c>
      <c r="AF36" s="11" t="str">
        <f>IF(AF$3=0,"",SUMIFS(INDEX(Inputs!$D$4:$AG$150,0,MATCH(AF$2,Inputs!$D$2:$AG$2,0)),Inputs!$B$4:$B$150,$B36)/1000)</f>
        <v/>
      </c>
      <c r="AG36" s="12" t="str">
        <f>IF(AF36="","",AF36)</f>
        <v/>
      </c>
    </row>
    <row r="37">
      <c r="B37" s="9" t="n">
        <v>32</v>
      </c>
      <c r="C37" s="14" t="inlineStr">
        <is>
          <t>Convertible debt</t>
        </is>
      </c>
      <c r="D37" s="11">
        <f>IF(D$3=0,"",SUMIFS(INDEX(Inputs!$D$4:$AG$150,0,MATCH(D$2,Inputs!$D$2:$AG$2,0)),Inputs!$B$4:$B$150,$B37)/1000)</f>
        <v>0</v>
      </c>
      <c r="E37" s="11">
        <f>IF(E$3=0,"",SUMIFS(INDEX(Inputs!$D$4:$AG$150,0,MATCH(E$2,Inputs!$D$2:$AG$2,0)),Inputs!$B$4:$B$150,$B37)/1000)</f>
        <v>0</v>
      </c>
      <c r="F37" s="11">
        <f>IF(F$3=0,"",SUMIFS(INDEX(Inputs!$D$4:$AG$150,0,MATCH(F$2,Inputs!$D$2:$AG$2,0)),Inputs!$B$4:$B$150,$B37)/1000)</f>
        <v>0</v>
      </c>
      <c r="G37" s="11">
        <f>IF(G$3=0,"",SUMIFS(INDEX(Inputs!$D$4:$AG$150,0,MATCH(G$2,Inputs!$D$2:$AG$2,0)),Inputs!$B$4:$B$150,$B37)/1000)</f>
        <v>0</v>
      </c>
      <c r="H37" s="12">
        <f>IF(G37="","",G37)</f>
        <v>0</v>
      </c>
      <c r="I37" s="11">
        <f>IF(I$3=0,"",SUMIFS(INDEX(Inputs!$D$4:$AG$150,0,MATCH(I$2,Inputs!$D$2:$AG$2,0)),Inputs!$B$4:$B$150,$B37)/1000)</f>
        <v>0</v>
      </c>
      <c r="J37" s="11">
        <f>IF(J$3=0,"",SUMIFS(INDEX(Inputs!$D$4:$AG$150,0,MATCH(J$2,Inputs!$D$2:$AG$2,0)),Inputs!$B$4:$B$150,$B37)/1000)</f>
        <v>0</v>
      </c>
      <c r="K37" s="11">
        <f>IF(K$3=0,"",SUMIFS(INDEX(Inputs!$D$4:$AG$150,0,MATCH(K$2,Inputs!$D$2:$AG$2,0)),Inputs!$B$4:$B$150,$B37)/1000)</f>
        <v>0</v>
      </c>
      <c r="L37" s="11">
        <f>IF(L$3=0,"",SUMIFS(INDEX(Inputs!$D$4:$AG$150,0,MATCH(L$2,Inputs!$D$2:$AG$2,0)),Inputs!$B$4:$B$150,$B37)/1000)</f>
        <v>0</v>
      </c>
      <c r="M37" s="12">
        <f>IF(L37="","",L37)</f>
        <v>0</v>
      </c>
      <c r="N37" s="11">
        <f>IF(N$3=0,"",SUMIFS(INDEX(Inputs!$D$4:$AG$150,0,MATCH(N$2,Inputs!$D$2:$AG$2,0)),Inputs!$B$4:$B$150,$B37)/1000)</f>
        <v>0</v>
      </c>
      <c r="O37" s="11">
        <f>IF(O$3=0,"",SUMIFS(INDEX(Inputs!$D$4:$AG$150,0,MATCH(O$2,Inputs!$D$2:$AG$2,0)),Inputs!$B$4:$B$150,$B37)/1000)</f>
        <v>0</v>
      </c>
      <c r="P37" s="11">
        <f>IF(P$3=0,"",SUMIFS(INDEX(Inputs!$D$4:$AG$150,0,MATCH(P$2,Inputs!$D$2:$AG$2,0)),Inputs!$B$4:$B$150,$B37)/1000)</f>
        <v>0</v>
      </c>
      <c r="Q37" s="11">
        <f>IF(Q$3=0,"",SUMIFS(INDEX(Inputs!$D$4:$AG$150,0,MATCH(Q$2,Inputs!$D$2:$AG$2,0)),Inputs!$B$4:$B$150,$B37)/1000)</f>
        <v>0</v>
      </c>
      <c r="R37" s="12">
        <f>IF(Q37="","",Q37)</f>
        <v>0</v>
      </c>
      <c r="S37" s="11">
        <f>IF(S$3=0,"",SUMIFS(INDEX(Inputs!$D$4:$AG$150,0,MATCH(S$2,Inputs!$D$2:$AG$2,0)),Inputs!$B$4:$B$150,$B37)/1000)</f>
        <v>0</v>
      </c>
      <c r="T37" s="11">
        <f>IF(T$3=0,"",SUMIFS(INDEX(Inputs!$D$4:$AG$150,0,MATCH(T$2,Inputs!$D$2:$AG$2,0)),Inputs!$B$4:$B$150,$B37)/1000)</f>
        <v>0</v>
      </c>
      <c r="U37" s="11">
        <f>IF(U$3=0,"",SUMIFS(INDEX(Inputs!$D$4:$AG$150,0,MATCH(U$2,Inputs!$D$2:$AG$2,0)),Inputs!$B$4:$B$150,$B37)/1000)</f>
        <v>0</v>
      </c>
      <c r="V37" s="11">
        <f>IF(V$3=0,"",SUMIFS(INDEX(Inputs!$D$4:$AG$150,0,MATCH(V$2,Inputs!$D$2:$AG$2,0)),Inputs!$B$4:$B$150,$B37)/1000)</f>
        <v>0</v>
      </c>
      <c r="W37" s="12">
        <f>IF(V37="","",V37)</f>
        <v>0</v>
      </c>
      <c r="X37" s="11">
        <f>IF(X$3=0,"",SUMIFS(INDEX(Inputs!$D$4:$AG$150,0,MATCH(X$2,Inputs!$D$2:$AG$2,0)),Inputs!$B$4:$B$150,$B37)/1000)</f>
        <v>0</v>
      </c>
      <c r="Y37" s="11">
        <f>IF(Y$3=0,"",SUMIFS(INDEX(Inputs!$D$4:$AG$150,0,MATCH(Y$2,Inputs!$D$2:$AG$2,0)),Inputs!$B$4:$B$150,$B37)/1000)</f>
        <v>0</v>
      </c>
      <c r="Z37" s="11">
        <f>IF(Z$3=0,"",SUMIFS(INDEX(Inputs!$D$4:$AG$150,0,MATCH(Z$2,Inputs!$D$2:$AG$2,0)),Inputs!$B$4:$B$150,$B37)/1000)</f>
        <v>0</v>
      </c>
      <c r="AA37" s="11">
        <f>IF(AA$3=0,"",SUMIFS(INDEX(Inputs!$D$4:$AG$150,0,MATCH(AA$2,Inputs!$D$2:$AG$2,0)),Inputs!$B$4:$B$150,$B37)/1000)</f>
        <v>0</v>
      </c>
      <c r="AB37" s="12">
        <f>IF(AA37="","",AA37)</f>
        <v>0</v>
      </c>
      <c r="AC37" s="11">
        <f>IF(AC$3=0,"",SUMIFS(INDEX(Inputs!$D$4:$AG$150,0,MATCH(AC$2,Inputs!$D$2:$AG$2,0)),Inputs!$B$4:$B$150,$B37)/1000)</f>
        <v>0</v>
      </c>
      <c r="AD37" s="11">
        <f>IF(AD$3=0,"",SUMIFS(INDEX(Inputs!$D$4:$AG$150,0,MATCH(AD$2,Inputs!$D$2:$AG$2,0)),Inputs!$B$4:$B$150,$B37)/1000)</f>
        <v>0</v>
      </c>
      <c r="AE37" s="11" t="str">
        <f>IF(AE$3=0,"",SUMIFS(INDEX(Inputs!$D$4:$AG$150,0,MATCH(AE$2,Inputs!$D$2:$AG$2,0)),Inputs!$B$4:$B$150,$B37)/1000)</f>
        <v/>
      </c>
      <c r="AF37" s="11" t="str">
        <f>IF(AF$3=0,"",SUMIFS(INDEX(Inputs!$D$4:$AG$150,0,MATCH(AF$2,Inputs!$D$2:$AG$2,0)),Inputs!$B$4:$B$150,$B37)/1000)</f>
        <v/>
      </c>
      <c r="AG37" s="12" t="str">
        <f>IF(AF37="","",AF37)</f>
        <v/>
      </c>
    </row>
    <row r="38">
      <c r="B38" s="9" t="n">
        <v>33</v>
      </c>
      <c r="C38" s="14" t="inlineStr">
        <is>
          <t>Deferred income taxes</t>
        </is>
      </c>
      <c r="D38" s="11">
        <f>IF(D$3=0,"",SUMIFS(INDEX(Inputs!$D$4:$AG$150,0,MATCH(D$2,Inputs!$D$2:$AG$2,0)),Inputs!$B$4:$B$150,$B38)/1000)</f>
        <v>4406</v>
      </c>
      <c r="E38" s="11">
        <f>IF(E$3=0,"",SUMIFS(INDEX(Inputs!$D$4:$AG$150,0,MATCH(E$2,Inputs!$D$2:$AG$2,0)),Inputs!$B$4:$B$150,$B38)/1000)</f>
        <v>4703</v>
      </c>
      <c r="F38" s="11">
        <f>IF(F$3=0,"",SUMIFS(INDEX(Inputs!$D$4:$AG$150,0,MATCH(F$2,Inputs!$D$2:$AG$2,0)),Inputs!$B$4:$B$150,$B38)/1000)</f>
        <v>3551</v>
      </c>
      <c r="G38" s="11">
        <f>IF(G$3=0,"",SUMIFS(INDEX(Inputs!$D$4:$AG$150,0,MATCH(G$2,Inputs!$D$2:$AG$2,0)),Inputs!$B$4:$B$150,$B38)/1000)</f>
        <v>5257</v>
      </c>
      <c r="H38" s="12">
        <f>IF(G38="","",G38)</f>
        <v>5257</v>
      </c>
      <c r="I38" s="11">
        <f>IF(I$3=0,"",SUMIFS(INDEX(Inputs!$D$4:$AG$150,0,MATCH(I$2,Inputs!$D$2:$AG$2,0)),Inputs!$B$4:$B$150,$B38)/1000)</f>
        <v>2843</v>
      </c>
      <c r="J38" s="11">
        <f>IF(J$3=0,"",SUMIFS(INDEX(Inputs!$D$4:$AG$150,0,MATCH(J$2,Inputs!$D$2:$AG$2,0)),Inputs!$B$4:$B$150,$B38)/1000)</f>
        <v>924</v>
      </c>
      <c r="K38" s="11">
        <f>IF(K$3=0,"",SUMIFS(INDEX(Inputs!$D$4:$AG$150,0,MATCH(K$2,Inputs!$D$2:$AG$2,0)),Inputs!$B$4:$B$150,$B38)/1000)</f>
        <v>476</v>
      </c>
      <c r="L38" s="11">
        <f>IF(L$3=0,"",SUMIFS(INDEX(Inputs!$D$4:$AG$150,0,MATCH(L$2,Inputs!$D$2:$AG$2,0)),Inputs!$B$4:$B$150,$B38)/1000)</f>
        <v>514</v>
      </c>
      <c r="M38" s="12">
        <f>IF(L38="","",L38)</f>
        <v>514</v>
      </c>
      <c r="N38" s="11">
        <f>IF(N$3=0,"",SUMIFS(INDEX(Inputs!$D$4:$AG$150,0,MATCH(N$2,Inputs!$D$2:$AG$2,0)),Inputs!$B$4:$B$150,$B38)/1000)</f>
        <v>542</v>
      </c>
      <c r="O38" s="11">
        <f>IF(O$3=0,"",SUMIFS(INDEX(Inputs!$D$4:$AG$150,0,MATCH(O$2,Inputs!$D$2:$AG$2,0)),Inputs!$B$4:$B$150,$B38)/1000)</f>
        <v>558</v>
      </c>
      <c r="P38" s="11">
        <f>IF(P$3=0,"",SUMIFS(INDEX(Inputs!$D$4:$AG$150,0,MATCH(P$2,Inputs!$D$2:$AG$2,0)),Inputs!$B$4:$B$150,$B38)/1000)</f>
        <v>528</v>
      </c>
      <c r="Q38" s="11">
        <f>IF(Q$3=0,"",SUMIFS(INDEX(Inputs!$D$4:$AG$150,0,MATCH(Q$2,Inputs!$D$2:$AG$2,0)),Inputs!$B$4:$B$150,$B38)/1000)</f>
        <v>485</v>
      </c>
      <c r="R38" s="12">
        <f>IF(Q38="","",Q38)</f>
        <v>485</v>
      </c>
      <c r="S38" s="11">
        <f>IF(S$3=0,"",SUMIFS(INDEX(Inputs!$D$4:$AG$150,0,MATCH(S$2,Inputs!$D$2:$AG$2,0)),Inputs!$B$4:$B$150,$B38)/1000)</f>
        <v>486</v>
      </c>
      <c r="T38" s="11">
        <f>IF(T$3=0,"",SUMIFS(INDEX(Inputs!$D$4:$AG$150,0,MATCH(T$2,Inputs!$D$2:$AG$2,0)),Inputs!$B$4:$B$150,$B38)/1000)</f>
        <v>717</v>
      </c>
      <c r="U38" s="11">
        <f>IF(U$3=0,"",SUMIFS(INDEX(Inputs!$D$4:$AG$150,0,MATCH(U$2,Inputs!$D$2:$AG$2,0)),Inputs!$B$4:$B$150,$B38)/1000)</f>
        <v>706</v>
      </c>
      <c r="V38" s="11">
        <f>IF(V$3=0,"",SUMIFS(INDEX(Inputs!$D$4:$AG$150,0,MATCH(V$2,Inputs!$D$2:$AG$2,0)),Inputs!$B$4:$B$150,$B38)/1000)</f>
        <v>0</v>
      </c>
      <c r="W38" s="12">
        <f>IF(V38="","",V38)</f>
        <v>0</v>
      </c>
      <c r="X38" s="11">
        <f>IF(X$3=0,"",SUMIFS(INDEX(Inputs!$D$4:$AG$150,0,MATCH(X$2,Inputs!$D$2:$AG$2,0)),Inputs!$B$4:$B$150,$B38)/1000)</f>
        <v>0</v>
      </c>
      <c r="Y38" s="11">
        <f>IF(Y$3=0,"",SUMIFS(INDEX(Inputs!$D$4:$AG$150,0,MATCH(Y$2,Inputs!$D$2:$AG$2,0)),Inputs!$B$4:$B$150,$B38)/1000)</f>
        <v>0</v>
      </c>
      <c r="Z38" s="11">
        <f>IF(Z$3=0,"",SUMIFS(INDEX(Inputs!$D$4:$AG$150,0,MATCH(Z$2,Inputs!$D$2:$AG$2,0)),Inputs!$B$4:$B$150,$B38)/1000)</f>
        <v>0</v>
      </c>
      <c r="AA38" s="11">
        <f>IF(AA$3=0,"",SUMIFS(INDEX(Inputs!$D$4:$AG$150,0,MATCH(AA$2,Inputs!$D$2:$AG$2,0)),Inputs!$B$4:$B$150,$B38)/1000)</f>
        <v>0</v>
      </c>
      <c r="AB38" s="12">
        <f>IF(AA38="","",AA38)</f>
        <v>0</v>
      </c>
      <c r="AC38" s="11">
        <f>IF(AC$3=0,"",SUMIFS(INDEX(Inputs!$D$4:$AG$150,0,MATCH(AC$2,Inputs!$D$2:$AG$2,0)),Inputs!$B$4:$B$150,$B38)/1000)</f>
        <v>0</v>
      </c>
      <c r="AD38" s="11">
        <f>IF(AD$3=0,"",SUMIFS(INDEX(Inputs!$D$4:$AG$150,0,MATCH(AD$2,Inputs!$D$2:$AG$2,0)),Inputs!$B$4:$B$150,$B38)/1000)</f>
        <v>22819</v>
      </c>
      <c r="AE38" s="11" t="str">
        <f>IF(AE$3=0,"",SUMIFS(INDEX(Inputs!$D$4:$AG$150,0,MATCH(AE$2,Inputs!$D$2:$AG$2,0)),Inputs!$B$4:$B$150,$B38)/1000)</f>
        <v/>
      </c>
      <c r="AF38" s="11" t="str">
        <f>IF(AF$3=0,"",SUMIFS(INDEX(Inputs!$D$4:$AG$150,0,MATCH(AF$2,Inputs!$D$2:$AG$2,0)),Inputs!$B$4:$B$150,$B38)/1000)</f>
        <v/>
      </c>
      <c r="AG38" s="12" t="str">
        <f>IF(AF38="","",AF38)</f>
        <v/>
      </c>
    </row>
    <row r="39">
      <c r="B39" s="9" t="n">
        <v>34</v>
      </c>
      <c r="C39" s="14" t="inlineStr">
        <is>
          <t>Other non-current liabilities</t>
        </is>
      </c>
      <c r="D39" s="11">
        <f>IF(D$3=0,"",SUMIFS(INDEX(Inputs!$D$4:$AG$150,0,MATCH(D$2,Inputs!$D$2:$AG$2,0)),Inputs!$B$4:$B$150,$B39)/1000)</f>
        <v>11954</v>
      </c>
      <c r="E39" s="11">
        <f>IF(E$3=0,"",SUMIFS(INDEX(Inputs!$D$4:$AG$150,0,MATCH(E$2,Inputs!$D$2:$AG$2,0)),Inputs!$B$4:$B$150,$B39)/1000)</f>
        <v>11431</v>
      </c>
      <c r="F39" s="11">
        <f>IF(F$3=0,"",SUMIFS(INDEX(Inputs!$D$4:$AG$150,0,MATCH(F$2,Inputs!$D$2:$AG$2,0)),Inputs!$B$4:$B$150,$B39)/1000)</f>
        <v>11744</v>
      </c>
      <c r="G39" s="11">
        <f>IF(G$3=0,"",SUMIFS(INDEX(Inputs!$D$4:$AG$150,0,MATCH(G$2,Inputs!$D$2:$AG$2,0)),Inputs!$B$4:$B$150,$B39)/1000)</f>
        <v>11916</v>
      </c>
      <c r="H39" s="12">
        <f>IF(G39="","",G39)</f>
        <v>11916</v>
      </c>
      <c r="I39" s="11">
        <f>IF(I$3=0,"",SUMIFS(INDEX(Inputs!$D$4:$AG$150,0,MATCH(I$2,Inputs!$D$2:$AG$2,0)),Inputs!$B$4:$B$150,$B39)/1000)</f>
        <v>12147</v>
      </c>
      <c r="J39" s="11">
        <f>IF(J$3=0,"",SUMIFS(INDEX(Inputs!$D$4:$AG$150,0,MATCH(J$2,Inputs!$D$2:$AG$2,0)),Inputs!$B$4:$B$150,$B39)/1000)</f>
        <v>11057</v>
      </c>
      <c r="K39" s="11">
        <f>IF(K$3=0,"",SUMIFS(INDEX(Inputs!$D$4:$AG$150,0,MATCH(K$2,Inputs!$D$2:$AG$2,0)),Inputs!$B$4:$B$150,$B39)/1000)</f>
        <v>11537</v>
      </c>
      <c r="L39" s="11">
        <f>IF(L$3=0,"",SUMIFS(INDEX(Inputs!$D$4:$AG$150,0,MATCH(L$2,Inputs!$D$2:$AG$2,0)),Inputs!$B$4:$B$150,$B39)/1000)</f>
        <v>12104</v>
      </c>
      <c r="M39" s="12">
        <f>IF(L39="","",L39)</f>
        <v>12104</v>
      </c>
      <c r="N39" s="11">
        <f>IF(N$3=0,"",SUMIFS(INDEX(Inputs!$D$4:$AG$150,0,MATCH(N$2,Inputs!$D$2:$AG$2,0)),Inputs!$B$4:$B$150,$B39)/1000)</f>
        <v>12705</v>
      </c>
      <c r="O39" s="11">
        <f>IF(O$3=0,"",SUMIFS(INDEX(Inputs!$D$4:$AG$150,0,MATCH(O$2,Inputs!$D$2:$AG$2,0)),Inputs!$B$4:$B$150,$B39)/1000)</f>
        <v>11185</v>
      </c>
      <c r="P39" s="11">
        <f>IF(P$3=0,"",SUMIFS(INDEX(Inputs!$D$4:$AG$150,0,MATCH(P$2,Inputs!$D$2:$AG$2,0)),Inputs!$B$4:$B$150,$B39)/1000)</f>
        <v>10355</v>
      </c>
      <c r="Q39" s="11">
        <f>IF(Q$3=0,"",SUMIFS(INDEX(Inputs!$D$4:$AG$150,0,MATCH(Q$2,Inputs!$D$2:$AG$2,0)),Inputs!$B$4:$B$150,$B39)/1000)</f>
        <v>11001</v>
      </c>
      <c r="R39" s="12">
        <f>IF(Q39="","",Q39)</f>
        <v>11001</v>
      </c>
      <c r="S39" s="11">
        <f>IF(S$3=0,"",SUMIFS(INDEX(Inputs!$D$4:$AG$150,0,MATCH(S$2,Inputs!$D$2:$AG$2,0)),Inputs!$B$4:$B$150,$B39)/1000)</f>
        <v>11838</v>
      </c>
      <c r="T39" s="11">
        <f>IF(T$3=0,"",SUMIFS(INDEX(Inputs!$D$4:$AG$150,0,MATCH(T$2,Inputs!$D$2:$AG$2,0)),Inputs!$B$4:$B$150,$B39)/1000)</f>
        <v>10441</v>
      </c>
      <c r="U39" s="11">
        <f>IF(U$3=0,"",SUMIFS(INDEX(Inputs!$D$4:$AG$150,0,MATCH(U$2,Inputs!$D$2:$AG$2,0)),Inputs!$B$4:$B$150,$B39)/1000)</f>
        <v>10687</v>
      </c>
      <c r="V39" s="11">
        <f>IF(V$3=0,"",SUMIFS(INDEX(Inputs!$D$4:$AG$150,0,MATCH(V$2,Inputs!$D$2:$AG$2,0)),Inputs!$B$4:$B$150,$B39)/1000)</f>
        <v>13476</v>
      </c>
      <c r="W39" s="12">
        <f>IF(V39="","",V39)</f>
        <v>13476</v>
      </c>
      <c r="X39" s="11">
        <f>IF(X$3=0,"",SUMIFS(INDEX(Inputs!$D$4:$AG$150,0,MATCH(X$2,Inputs!$D$2:$AG$2,0)),Inputs!$B$4:$B$150,$B39)/1000)</f>
        <v>15889</v>
      </c>
      <c r="Y39" s="11">
        <f>IF(Y$3=0,"",SUMIFS(INDEX(Inputs!$D$4:$AG$150,0,MATCH(Y$2,Inputs!$D$2:$AG$2,0)),Inputs!$B$4:$B$150,$B39)/1000)</f>
        <v>16268</v>
      </c>
      <c r="Z39" s="11">
        <f>IF(Z$3=0,"",SUMIFS(INDEX(Inputs!$D$4:$AG$150,0,MATCH(Z$2,Inputs!$D$2:$AG$2,0)),Inputs!$B$4:$B$150,$B39)/1000)</f>
        <v>16339</v>
      </c>
      <c r="AA39" s="11">
        <f>IF(AA$3=0,"",SUMIFS(INDEX(Inputs!$D$4:$AG$150,0,MATCH(AA$2,Inputs!$D$2:$AG$2,0)),Inputs!$B$4:$B$150,$B39)/1000)</f>
        <v>17980</v>
      </c>
      <c r="AB39" s="12">
        <f>IF(AA39="","",AA39)</f>
        <v>17980</v>
      </c>
      <c r="AC39" s="11">
        <f>IF(AC$3=0,"",SUMIFS(INDEX(Inputs!$D$4:$AG$150,0,MATCH(AC$2,Inputs!$D$2:$AG$2,0)),Inputs!$B$4:$B$150,$B39)/1000)</f>
        <v>23501</v>
      </c>
      <c r="AD39" s="11">
        <f>IF(AD$3=0,"",SUMIFS(INDEX(Inputs!$D$4:$AG$150,0,MATCH(AD$2,Inputs!$D$2:$AG$2,0)),Inputs!$B$4:$B$150,$B39)/1000)</f>
        <v>19817</v>
      </c>
      <c r="AE39" s="11" t="str">
        <f>IF(AE$3=0,"",SUMIFS(INDEX(Inputs!$D$4:$AG$150,0,MATCH(AE$2,Inputs!$D$2:$AG$2,0)),Inputs!$B$4:$B$150,$B39)/1000)</f>
        <v/>
      </c>
      <c r="AF39" s="11" t="str">
        <f>IF(AF$3=0,"",SUMIFS(INDEX(Inputs!$D$4:$AG$150,0,MATCH(AF$2,Inputs!$D$2:$AG$2,0)),Inputs!$B$4:$B$150,$B39)/1000)</f>
        <v/>
      </c>
      <c r="AG39" s="12" t="str">
        <f>IF(AF39="","",AF39)</f>
        <v/>
      </c>
    </row>
    <row r="40">
      <c r="C40" s="3" t="n"/>
    </row>
    <row r="41">
      <c r="B41" s="9" t="n">
        <v>35</v>
      </c>
      <c r="C41" s="14" t="inlineStr">
        <is>
          <t>Minority interest</t>
        </is>
      </c>
      <c r="D41" s="11">
        <f>IF(D$3=0,"",SUMIFS(INDEX(Inputs!$D$4:$AG$150,0,MATCH(D$2,Inputs!$D$2:$AG$2,0)),Inputs!$B$4:$B$150,$B41)/1000)</f>
        <v>0</v>
      </c>
      <c r="E41" s="11">
        <f>IF(E$3=0,"",SUMIFS(INDEX(Inputs!$D$4:$AG$150,0,MATCH(E$2,Inputs!$D$2:$AG$2,0)),Inputs!$B$4:$B$150,$B41)/1000)</f>
        <v>0</v>
      </c>
      <c r="F41" s="11">
        <f>IF(F$3=0,"",SUMIFS(INDEX(Inputs!$D$4:$AG$150,0,MATCH(F$2,Inputs!$D$2:$AG$2,0)),Inputs!$B$4:$B$150,$B41)/1000)</f>
        <v>0</v>
      </c>
      <c r="G41" s="11">
        <f>IF(G$3=0,"",SUMIFS(INDEX(Inputs!$D$4:$AG$150,0,MATCH(G$2,Inputs!$D$2:$AG$2,0)),Inputs!$B$4:$B$150,$B41)/1000)</f>
        <v>0</v>
      </c>
      <c r="H41" s="12">
        <f>IF(G41="","",G41)</f>
        <v>0</v>
      </c>
      <c r="I41" s="11">
        <f>IF(I$3=0,"",SUMIFS(INDEX(Inputs!$D$4:$AG$150,0,MATCH(I$2,Inputs!$D$2:$AG$2,0)),Inputs!$B$4:$B$150,$B41)/1000)</f>
        <v>0</v>
      </c>
      <c r="J41" s="11">
        <f>IF(J$3=0,"",SUMIFS(INDEX(Inputs!$D$4:$AG$150,0,MATCH(J$2,Inputs!$D$2:$AG$2,0)),Inputs!$B$4:$B$150,$B41)/1000)</f>
        <v>0</v>
      </c>
      <c r="K41" s="11">
        <f>IF(K$3=0,"",SUMIFS(INDEX(Inputs!$D$4:$AG$150,0,MATCH(K$2,Inputs!$D$2:$AG$2,0)),Inputs!$B$4:$B$150,$B41)/1000)</f>
        <v>0</v>
      </c>
      <c r="L41" s="11">
        <f>IF(L$3=0,"",SUMIFS(INDEX(Inputs!$D$4:$AG$150,0,MATCH(L$2,Inputs!$D$2:$AG$2,0)),Inputs!$B$4:$B$150,$B41)/1000)</f>
        <v>0</v>
      </c>
      <c r="M41" s="12">
        <f>IF(L41="","",L41)</f>
        <v>0</v>
      </c>
      <c r="N41" s="11">
        <f>IF(N$3=0,"",SUMIFS(INDEX(Inputs!$D$4:$AG$150,0,MATCH(N$2,Inputs!$D$2:$AG$2,0)),Inputs!$B$4:$B$150,$B41)/1000)</f>
        <v>0</v>
      </c>
      <c r="O41" s="11">
        <f>IF(O$3=0,"",SUMIFS(INDEX(Inputs!$D$4:$AG$150,0,MATCH(O$2,Inputs!$D$2:$AG$2,0)),Inputs!$B$4:$B$150,$B41)/1000)</f>
        <v>0</v>
      </c>
      <c r="P41" s="11">
        <f>IF(P$3=0,"",SUMIFS(INDEX(Inputs!$D$4:$AG$150,0,MATCH(P$2,Inputs!$D$2:$AG$2,0)),Inputs!$B$4:$B$150,$B41)/1000)</f>
        <v>0</v>
      </c>
      <c r="Q41" s="11">
        <f>IF(Q$3=0,"",SUMIFS(INDEX(Inputs!$D$4:$AG$150,0,MATCH(Q$2,Inputs!$D$2:$AG$2,0)),Inputs!$B$4:$B$150,$B41)/1000)</f>
        <v>0</v>
      </c>
      <c r="R41" s="12">
        <f>IF(Q41="","",Q41)</f>
        <v>0</v>
      </c>
      <c r="S41" s="11">
        <f>IF(S$3=0,"",SUMIFS(INDEX(Inputs!$D$4:$AG$150,0,MATCH(S$2,Inputs!$D$2:$AG$2,0)),Inputs!$B$4:$B$150,$B41)/1000)</f>
        <v>0</v>
      </c>
      <c r="T41" s="11">
        <f>IF(T$3=0,"",SUMIFS(INDEX(Inputs!$D$4:$AG$150,0,MATCH(T$2,Inputs!$D$2:$AG$2,0)),Inputs!$B$4:$B$150,$B41)/1000)</f>
        <v>0</v>
      </c>
      <c r="U41" s="11">
        <f>IF(U$3=0,"",SUMIFS(INDEX(Inputs!$D$4:$AG$150,0,MATCH(U$2,Inputs!$D$2:$AG$2,0)),Inputs!$B$4:$B$150,$B41)/1000)</f>
        <v>0</v>
      </c>
      <c r="V41" s="11">
        <f>IF(V$3=0,"",SUMIFS(INDEX(Inputs!$D$4:$AG$150,0,MATCH(V$2,Inputs!$D$2:$AG$2,0)),Inputs!$B$4:$B$150,$B41)/1000)</f>
        <v>0</v>
      </c>
      <c r="W41" s="12">
        <f>IF(V41="","",V41)</f>
        <v>0</v>
      </c>
      <c r="X41" s="11">
        <f>IF(X$3=0,"",SUMIFS(INDEX(Inputs!$D$4:$AG$150,0,MATCH(X$2,Inputs!$D$2:$AG$2,0)),Inputs!$B$4:$B$150,$B41)/1000)</f>
        <v>0</v>
      </c>
      <c r="Y41" s="11">
        <f>IF(Y$3=0,"",SUMIFS(INDEX(Inputs!$D$4:$AG$150,0,MATCH(Y$2,Inputs!$D$2:$AG$2,0)),Inputs!$B$4:$B$150,$B41)/1000)</f>
        <v>0</v>
      </c>
      <c r="Z41" s="11">
        <f>IF(Z$3=0,"",SUMIFS(INDEX(Inputs!$D$4:$AG$150,0,MATCH(Z$2,Inputs!$D$2:$AG$2,0)),Inputs!$B$4:$B$150,$B41)/1000)</f>
        <v>0</v>
      </c>
      <c r="AA41" s="11">
        <f>IF(AA$3=0,"",SUMIFS(INDEX(Inputs!$D$4:$AG$150,0,MATCH(AA$2,Inputs!$D$2:$AG$2,0)),Inputs!$B$4:$B$150,$B41)/1000)</f>
        <v>0</v>
      </c>
      <c r="AB41" s="12">
        <f>IF(AA41="","",AA41)</f>
        <v>0</v>
      </c>
      <c r="AC41" s="11">
        <f>IF(AC$3=0,"",SUMIFS(INDEX(Inputs!$D$4:$AG$150,0,MATCH(AC$2,Inputs!$D$2:$AG$2,0)),Inputs!$B$4:$B$150,$B41)/1000)</f>
        <v>0</v>
      </c>
      <c r="AD41" s="11">
        <f>IF(AD$3=0,"",SUMIFS(INDEX(Inputs!$D$4:$AG$150,0,MATCH(AD$2,Inputs!$D$2:$AG$2,0)),Inputs!$B$4:$B$150,$B41)/1000)</f>
        <v>0</v>
      </c>
      <c r="AE41" s="11" t="str">
        <f>IF(AE$3=0,"",SUMIFS(INDEX(Inputs!$D$4:$AG$150,0,MATCH(AE$2,Inputs!$D$2:$AG$2,0)),Inputs!$B$4:$B$150,$B41)/1000)</f>
        <v/>
      </c>
      <c r="AF41" s="11" t="str">
        <f>IF(AF$3=0,"",SUMIFS(INDEX(Inputs!$D$4:$AG$150,0,MATCH(AF$2,Inputs!$D$2:$AG$2,0)),Inputs!$B$4:$B$150,$B41)/1000)</f>
        <v/>
      </c>
      <c r="AG41" s="12" t="str">
        <f>IF(AF41="","",AF41)</f>
        <v/>
      </c>
    </row>
    <row r="42">
      <c r="B42" s="9" t="n">
        <v>36</v>
      </c>
      <c r="C42" s="14" t="inlineStr">
        <is>
          <t>Convertible Preferred Stock</t>
        </is>
      </c>
      <c r="D42" s="11">
        <f>IF(D$3=0,"",SUMIFS(INDEX(Inputs!$D$4:$AG$150,0,MATCH(D$2,Inputs!$D$2:$AG$2,0)),Inputs!$B$4:$B$150,$B42)/1000)</f>
        <v>0</v>
      </c>
      <c r="E42" s="11">
        <f>IF(E$3=0,"",SUMIFS(INDEX(Inputs!$D$4:$AG$150,0,MATCH(E$2,Inputs!$D$2:$AG$2,0)),Inputs!$B$4:$B$150,$B42)/1000)</f>
        <v>0</v>
      </c>
      <c r="F42" s="11">
        <f>IF(F$3=0,"",SUMIFS(INDEX(Inputs!$D$4:$AG$150,0,MATCH(F$2,Inputs!$D$2:$AG$2,0)),Inputs!$B$4:$B$150,$B42)/1000)</f>
        <v>0</v>
      </c>
      <c r="G42" s="11">
        <f>IF(G$3=0,"",SUMIFS(INDEX(Inputs!$D$4:$AG$150,0,MATCH(G$2,Inputs!$D$2:$AG$2,0)),Inputs!$B$4:$B$150,$B42)/1000)</f>
        <v>0</v>
      </c>
      <c r="H42" s="12">
        <f>IF(G42="","",G42)</f>
        <v>0</v>
      </c>
      <c r="I42" s="11">
        <f>IF(I$3=0,"",SUMIFS(INDEX(Inputs!$D$4:$AG$150,0,MATCH(I$2,Inputs!$D$2:$AG$2,0)),Inputs!$B$4:$B$150,$B42)/1000)</f>
        <v>0</v>
      </c>
      <c r="J42" s="11">
        <f>IF(J$3=0,"",SUMIFS(INDEX(Inputs!$D$4:$AG$150,0,MATCH(J$2,Inputs!$D$2:$AG$2,0)),Inputs!$B$4:$B$150,$B42)/1000)</f>
        <v>0</v>
      </c>
      <c r="K42" s="11">
        <f>IF(K$3=0,"",SUMIFS(INDEX(Inputs!$D$4:$AG$150,0,MATCH(K$2,Inputs!$D$2:$AG$2,0)),Inputs!$B$4:$B$150,$B42)/1000)</f>
        <v>0</v>
      </c>
      <c r="L42" s="11">
        <f>IF(L$3=0,"",SUMIFS(INDEX(Inputs!$D$4:$AG$150,0,MATCH(L$2,Inputs!$D$2:$AG$2,0)),Inputs!$B$4:$B$150,$B42)/1000)</f>
        <v>0</v>
      </c>
      <c r="M42" s="12">
        <f>IF(L42="","",L42)</f>
        <v>0</v>
      </c>
      <c r="N42" s="11">
        <f>IF(N$3=0,"",SUMIFS(INDEX(Inputs!$D$4:$AG$150,0,MATCH(N$2,Inputs!$D$2:$AG$2,0)),Inputs!$B$4:$B$150,$B42)/1000)</f>
        <v>0</v>
      </c>
      <c r="O42" s="11">
        <f>IF(O$3=0,"",SUMIFS(INDEX(Inputs!$D$4:$AG$150,0,MATCH(O$2,Inputs!$D$2:$AG$2,0)),Inputs!$B$4:$B$150,$B42)/1000)</f>
        <v>0</v>
      </c>
      <c r="P42" s="11">
        <f>IF(P$3=0,"",SUMIFS(INDEX(Inputs!$D$4:$AG$150,0,MATCH(P$2,Inputs!$D$2:$AG$2,0)),Inputs!$B$4:$B$150,$B42)/1000)</f>
        <v>0</v>
      </c>
      <c r="Q42" s="11">
        <f>IF(Q$3=0,"",SUMIFS(INDEX(Inputs!$D$4:$AG$150,0,MATCH(Q$2,Inputs!$D$2:$AG$2,0)),Inputs!$B$4:$B$150,$B42)/1000)</f>
        <v>0</v>
      </c>
      <c r="R42" s="12">
        <f>IF(Q42="","",Q42)</f>
        <v>0</v>
      </c>
      <c r="S42" s="11">
        <f>IF(S$3=0,"",SUMIFS(INDEX(Inputs!$D$4:$AG$150,0,MATCH(S$2,Inputs!$D$2:$AG$2,0)),Inputs!$B$4:$B$150,$B42)/1000)</f>
        <v>0</v>
      </c>
      <c r="T42" s="11">
        <f>IF(T$3=0,"",SUMIFS(INDEX(Inputs!$D$4:$AG$150,0,MATCH(T$2,Inputs!$D$2:$AG$2,0)),Inputs!$B$4:$B$150,$B42)/1000)</f>
        <v>0</v>
      </c>
      <c r="U42" s="11">
        <f>IF(U$3=0,"",SUMIFS(INDEX(Inputs!$D$4:$AG$150,0,MATCH(U$2,Inputs!$D$2:$AG$2,0)),Inputs!$B$4:$B$150,$B42)/1000)</f>
        <v>0</v>
      </c>
      <c r="V42" s="11">
        <f>IF(V$3=0,"",SUMIFS(INDEX(Inputs!$D$4:$AG$150,0,MATCH(V$2,Inputs!$D$2:$AG$2,0)),Inputs!$B$4:$B$150,$B42)/1000)</f>
        <v>0</v>
      </c>
      <c r="W42" s="12">
        <f>IF(V42="","",V42)</f>
        <v>0</v>
      </c>
      <c r="X42" s="11">
        <f>IF(X$3=0,"",SUMIFS(INDEX(Inputs!$D$4:$AG$150,0,MATCH(X$2,Inputs!$D$2:$AG$2,0)),Inputs!$B$4:$B$150,$B42)/1000)</f>
        <v>0</v>
      </c>
      <c r="Y42" s="11">
        <f>IF(Y$3=0,"",SUMIFS(INDEX(Inputs!$D$4:$AG$150,0,MATCH(Y$2,Inputs!$D$2:$AG$2,0)),Inputs!$B$4:$B$150,$B42)/1000)</f>
        <v>0</v>
      </c>
      <c r="Z42" s="11">
        <f>IF(Z$3=0,"",SUMIFS(INDEX(Inputs!$D$4:$AG$150,0,MATCH(Z$2,Inputs!$D$2:$AG$2,0)),Inputs!$B$4:$B$150,$B42)/1000)</f>
        <v>0</v>
      </c>
      <c r="AA42" s="11">
        <f>IF(AA$3=0,"",SUMIFS(INDEX(Inputs!$D$4:$AG$150,0,MATCH(AA$2,Inputs!$D$2:$AG$2,0)),Inputs!$B$4:$B$150,$B42)/1000)</f>
        <v>0</v>
      </c>
      <c r="AB42" s="12">
        <f>IF(AA42="","",AA42)</f>
        <v>0</v>
      </c>
      <c r="AC42" s="11">
        <f>IF(AC$3=0,"",SUMIFS(INDEX(Inputs!$D$4:$AG$150,0,MATCH(AC$2,Inputs!$D$2:$AG$2,0)),Inputs!$B$4:$B$150,$B42)/1000)</f>
        <v>0</v>
      </c>
      <c r="AD42" s="11">
        <f>IF(AD$3=0,"",SUMIFS(INDEX(Inputs!$D$4:$AG$150,0,MATCH(AD$2,Inputs!$D$2:$AG$2,0)),Inputs!$B$4:$B$150,$B42)/1000)</f>
        <v>0</v>
      </c>
      <c r="AE42" s="11" t="str">
        <f>IF(AE$3=0,"",SUMIFS(INDEX(Inputs!$D$4:$AG$150,0,MATCH(AE$2,Inputs!$D$2:$AG$2,0)),Inputs!$B$4:$B$150,$B42)/1000)</f>
        <v/>
      </c>
      <c r="AF42" s="11" t="str">
        <f>IF(AF$3=0,"",SUMIFS(INDEX(Inputs!$D$4:$AG$150,0,MATCH(AF$2,Inputs!$D$2:$AG$2,0)),Inputs!$B$4:$B$150,$B42)/1000)</f>
        <v/>
      </c>
      <c r="AG42" s="12" t="str">
        <f>IF(AF42="","",AF42)</f>
        <v/>
      </c>
    </row>
    <row r="43">
      <c r="B43" s="9" t="n">
        <v>37</v>
      </c>
      <c r="C43" s="13" t="inlineStr">
        <is>
          <t>Common Stock and APIC</t>
        </is>
      </c>
      <c r="D43" s="11">
        <f>IF(D$3=0,"",SUMIFS(INDEX(Inputs!$D$4:$AG$150,0,MATCH(D$2,Inputs!$D$2:$AG$2,0)),Inputs!$B$4:$B$150,$B43)/1000)</f>
        <v>59436</v>
      </c>
      <c r="E43" s="11">
        <f>IF(E$3=0,"",SUMIFS(INDEX(Inputs!$D$4:$AG$150,0,MATCH(E$2,Inputs!$D$2:$AG$2,0)),Inputs!$B$4:$B$150,$B43)/1000)</f>
        <v>60436</v>
      </c>
      <c r="F43" s="11">
        <f>IF(F$3=0,"",SUMIFS(INDEX(Inputs!$D$4:$AG$150,0,MATCH(F$2,Inputs!$D$2:$AG$2,0)),Inputs!$B$4:$B$150,$B43)/1000)</f>
        <v>61193</v>
      </c>
      <c r="G43" s="11">
        <f>IF(G$3=0,"",SUMIFS(INDEX(Inputs!$D$4:$AG$150,0,MATCH(G$2,Inputs!$D$2:$AG$2,0)),Inputs!$B$4:$B$150,$B43)/1000)</f>
        <v>61774</v>
      </c>
      <c r="H43" s="12">
        <f>IF(G43="","",G43)</f>
        <v>61774</v>
      </c>
      <c r="I43" s="11">
        <f>IF(I$3=0,"",SUMIFS(INDEX(Inputs!$D$4:$AG$150,0,MATCH(I$2,Inputs!$D$2:$AG$2,0)),Inputs!$B$4:$B$150,$B43)/1000)</f>
        <v>62832</v>
      </c>
      <c r="J43" s="11">
        <f>IF(J$3=0,"",SUMIFS(INDEX(Inputs!$D$4:$AG$150,0,MATCH(J$2,Inputs!$D$2:$AG$2,0)),Inputs!$B$4:$B$150,$B43)/1000)</f>
        <v>64402</v>
      </c>
      <c r="K43" s="11">
        <f>IF(K$3=0,"",SUMIFS(INDEX(Inputs!$D$4:$AG$150,0,MATCH(K$2,Inputs!$D$2:$AG$2,0)),Inputs!$B$4:$B$150,$B43)/1000)</f>
        <v>66258</v>
      </c>
      <c r="L43" s="11">
        <f>IF(L$3=0,"",SUMIFS(INDEX(Inputs!$D$4:$AG$150,0,MATCH(L$2,Inputs!$D$2:$AG$2,0)),Inputs!$B$4:$B$150,$B43)/1000)</f>
        <v>68184</v>
      </c>
      <c r="M43" s="12">
        <f>IF(L43="","",L43)</f>
        <v>68184</v>
      </c>
      <c r="N43" s="11">
        <f>IF(N$3=0,"",SUMIFS(INDEX(Inputs!$D$4:$AG$150,0,MATCH(N$2,Inputs!$D$2:$AG$2,0)),Inputs!$B$4:$B$150,$B43)/1000)</f>
        <v>70269</v>
      </c>
      <c r="O43" s="11">
        <f>IF(O$3=0,"",SUMIFS(INDEX(Inputs!$D$4:$AG$150,0,MATCH(O$2,Inputs!$D$2:$AG$2,0)),Inputs!$B$4:$B$150,$B43)/1000)</f>
        <v>72248</v>
      </c>
      <c r="P43" s="11">
        <f>IF(P$3=0,"",SUMIFS(INDEX(Inputs!$D$4:$AG$150,0,MATCH(P$2,Inputs!$D$2:$AG$2,0)),Inputs!$B$4:$B$150,$B43)/1000)</f>
        <v>74591</v>
      </c>
      <c r="Q43" s="11">
        <f>IF(Q$3=0,"",SUMIFS(INDEX(Inputs!$D$4:$AG$150,0,MATCH(Q$2,Inputs!$D$2:$AG$2,0)),Inputs!$B$4:$B$150,$B43)/1000)</f>
        <v>76534</v>
      </c>
      <c r="R43" s="12">
        <f>IF(Q43="","",Q43)</f>
        <v>76534</v>
      </c>
      <c r="S43" s="11">
        <f>IF(S$3=0,"",SUMIFS(INDEX(Inputs!$D$4:$AG$150,0,MATCH(S$2,Inputs!$D$2:$AG$2,0)),Inputs!$B$4:$B$150,$B43)/1000)</f>
        <v>77913</v>
      </c>
      <c r="T43" s="11">
        <f>IF(T$3=0,"",SUMIFS(INDEX(Inputs!$D$4:$AG$150,0,MATCH(T$2,Inputs!$D$2:$AG$2,0)),Inputs!$B$4:$B$150,$B43)/1000)</f>
        <v>79732</v>
      </c>
      <c r="U43" s="11">
        <f>IF(U$3=0,"",SUMIFS(INDEX(Inputs!$D$4:$AG$150,0,MATCH(U$2,Inputs!$D$2:$AG$2,0)),Inputs!$B$4:$B$150,$B43)/1000)</f>
        <v>82030</v>
      </c>
      <c r="V43" s="11">
        <f>IF(V$3=0,"",SUMIFS(INDEX(Inputs!$D$4:$AG$150,0,MATCH(V$2,Inputs!$D$2:$AG$2,0)),Inputs!$B$4:$B$150,$B43)/1000)</f>
        <v>84800</v>
      </c>
      <c r="W43" s="12">
        <f>IF(V43="","",V43)</f>
        <v>84800</v>
      </c>
      <c r="X43" s="11">
        <f>IF(X$3=0,"",SUMIFS(INDEX(Inputs!$D$4:$AG$150,0,MATCH(X$2,Inputs!$D$2:$AG$2,0)),Inputs!$B$4:$B$150,$B43)/1000)</f>
        <v>86725</v>
      </c>
      <c r="Y43" s="11">
        <f>IF(Y$3=0,"",SUMIFS(INDEX(Inputs!$D$4:$AG$150,0,MATCH(Y$2,Inputs!$D$2:$AG$2,0)),Inputs!$B$4:$B$150,$B43)/1000)</f>
        <v>89283</v>
      </c>
      <c r="Z43" s="11">
        <f>IF(Z$3=0,"",SUMIFS(INDEX(Inputs!$D$4:$AG$150,0,MATCH(Z$2,Inputs!$D$2:$AG$2,0)),Inputs!$B$4:$B$150,$B43)/1000)</f>
        <v>91695</v>
      </c>
      <c r="AA43" s="11">
        <f>IF(AA$3=0,"",SUMIFS(INDEX(Inputs!$D$4:$AG$150,0,MATCH(AA$2,Inputs!$D$2:$AG$2,0)),Inputs!$B$4:$B$150,$B43)/1000)</f>
        <v>93126</v>
      </c>
      <c r="AB43" s="12">
        <f>IF(AA43="","",AA43)</f>
        <v>93126</v>
      </c>
      <c r="AC43" s="11">
        <f>IF(AC$3=0,"",SUMIFS(INDEX(Inputs!$D$4:$AG$150,0,MATCH(AC$2,Inputs!$D$2:$AG$2,0)),Inputs!$B$4:$B$150,$B43)/1000)</f>
        <v>96902</v>
      </c>
      <c r="AD43" s="11">
        <f>IF(AD$3=0,"",SUMIFS(INDEX(Inputs!$D$4:$AG$150,0,MATCH(AD$2,Inputs!$D$2:$AG$2,0)),Inputs!$B$4:$B$150,$B43)/1000)</f>
        <v>131371</v>
      </c>
      <c r="AE43" s="11" t="str">
        <f>IF(AE$3=0,"",SUMIFS(INDEX(Inputs!$D$4:$AG$150,0,MATCH(AE$2,Inputs!$D$2:$AG$2,0)),Inputs!$B$4:$B$150,$B43)/1000)</f>
        <v/>
      </c>
      <c r="AF43" s="11" t="str">
        <f>IF(AF$3=0,"",SUMIFS(INDEX(Inputs!$D$4:$AG$150,0,MATCH(AF$2,Inputs!$D$2:$AG$2,0)),Inputs!$B$4:$B$150,$B43)/1000)</f>
        <v/>
      </c>
      <c r="AG43" s="12" t="str">
        <f>IF(AF43="","",AF43)</f>
        <v/>
      </c>
    </row>
    <row r="44">
      <c r="B44" s="9" t="n">
        <v>38</v>
      </c>
      <c r="C44" s="14" t="inlineStr">
        <is>
          <t>Treasury stock (contra account)</t>
        </is>
      </c>
      <c r="D44" s="11">
        <f>IF(D$3=0,"",SUMIFS(INDEX(Inputs!$D$4:$AG$150,0,MATCH(D$2,Inputs!$D$2:$AG$2,0)),Inputs!$B$4:$B$150,$B44)/1000)</f>
        <v>0</v>
      </c>
      <c r="E44" s="11">
        <f>IF(E$3=0,"",SUMIFS(INDEX(Inputs!$D$4:$AG$150,0,MATCH(E$2,Inputs!$D$2:$AG$2,0)),Inputs!$B$4:$B$150,$B44)/1000)</f>
        <v>0</v>
      </c>
      <c r="F44" s="11">
        <f>IF(F$3=0,"",SUMIFS(INDEX(Inputs!$D$4:$AG$150,0,MATCH(F$2,Inputs!$D$2:$AG$2,0)),Inputs!$B$4:$B$150,$B44)/1000)</f>
        <v>0</v>
      </c>
      <c r="G44" s="11">
        <f>IF(G$3=0,"",SUMIFS(INDEX(Inputs!$D$4:$AG$150,0,MATCH(G$2,Inputs!$D$2:$AG$2,0)),Inputs!$B$4:$B$150,$B44)/1000)</f>
        <v>0</v>
      </c>
      <c r="H44" s="12">
        <f>IF(G44="","",G44)</f>
        <v>0</v>
      </c>
      <c r="I44" s="11">
        <f>IF(I$3=0,"",SUMIFS(INDEX(Inputs!$D$4:$AG$150,0,MATCH(I$2,Inputs!$D$2:$AG$2,0)),Inputs!$B$4:$B$150,$B44)/1000)</f>
        <v>0</v>
      </c>
      <c r="J44" s="11">
        <f>IF(J$3=0,"",SUMIFS(INDEX(Inputs!$D$4:$AG$150,0,MATCH(J$2,Inputs!$D$2:$AG$2,0)),Inputs!$B$4:$B$150,$B44)/1000)</f>
        <v>0</v>
      </c>
      <c r="K44" s="11">
        <f>IF(K$3=0,"",SUMIFS(INDEX(Inputs!$D$4:$AG$150,0,MATCH(K$2,Inputs!$D$2:$AG$2,0)),Inputs!$B$4:$B$150,$B44)/1000)</f>
        <v>0</v>
      </c>
      <c r="L44" s="11">
        <f>IF(L$3=0,"",SUMIFS(INDEX(Inputs!$D$4:$AG$150,0,MATCH(L$2,Inputs!$D$2:$AG$2,0)),Inputs!$B$4:$B$150,$B44)/1000)</f>
        <v>0</v>
      </c>
      <c r="M44" s="12">
        <f>IF(L44="","",L44)</f>
        <v>0</v>
      </c>
      <c r="N44" s="11">
        <f>IF(N$3=0,"",SUMIFS(INDEX(Inputs!$D$4:$AG$150,0,MATCH(N$2,Inputs!$D$2:$AG$2,0)),Inputs!$B$4:$B$150,$B44)/1000)</f>
        <v>0</v>
      </c>
      <c r="O44" s="11">
        <f>IF(O$3=0,"",SUMIFS(INDEX(Inputs!$D$4:$AG$150,0,MATCH(O$2,Inputs!$D$2:$AG$2,0)),Inputs!$B$4:$B$150,$B44)/1000)</f>
        <v>0</v>
      </c>
      <c r="P44" s="11">
        <f>IF(P$3=0,"",SUMIFS(INDEX(Inputs!$D$4:$AG$150,0,MATCH(P$2,Inputs!$D$2:$AG$2,0)),Inputs!$B$4:$B$150,$B44)/1000)</f>
        <v>0</v>
      </c>
      <c r="Q44" s="11">
        <f>IF(Q$3=0,"",SUMIFS(INDEX(Inputs!$D$4:$AG$150,0,MATCH(Q$2,Inputs!$D$2:$AG$2,0)),Inputs!$B$4:$B$150,$B44)/1000)</f>
        <v>0</v>
      </c>
      <c r="R44" s="12">
        <f>IF(Q44="","",Q44)</f>
        <v>0</v>
      </c>
      <c r="S44" s="11">
        <f>IF(S$3=0,"",SUMIFS(INDEX(Inputs!$D$4:$AG$150,0,MATCH(S$2,Inputs!$D$2:$AG$2,0)),Inputs!$B$4:$B$150,$B44)/1000)</f>
        <v>0</v>
      </c>
      <c r="T44" s="11">
        <f>IF(T$3=0,"",SUMIFS(INDEX(Inputs!$D$4:$AG$150,0,MATCH(T$2,Inputs!$D$2:$AG$2,0)),Inputs!$B$4:$B$150,$B44)/1000)</f>
        <v>0</v>
      </c>
      <c r="U44" s="11">
        <f>IF(U$3=0,"",SUMIFS(INDEX(Inputs!$D$4:$AG$150,0,MATCH(U$2,Inputs!$D$2:$AG$2,0)),Inputs!$B$4:$B$150,$B44)/1000)</f>
        <v>0</v>
      </c>
      <c r="V44" s="11">
        <f>IF(V$3=0,"",SUMIFS(INDEX(Inputs!$D$4:$AG$150,0,MATCH(V$2,Inputs!$D$2:$AG$2,0)),Inputs!$B$4:$B$150,$B44)/1000)</f>
        <v>0</v>
      </c>
      <c r="W44" s="12">
        <f>IF(V44="","",V44)</f>
        <v>0</v>
      </c>
      <c r="X44" s="11">
        <f>IF(X$3=0,"",SUMIFS(INDEX(Inputs!$D$4:$AG$150,0,MATCH(X$2,Inputs!$D$2:$AG$2,0)),Inputs!$B$4:$B$150,$B44)/1000)</f>
        <v>0</v>
      </c>
      <c r="Y44" s="11">
        <f>IF(Y$3=0,"",SUMIFS(INDEX(Inputs!$D$4:$AG$150,0,MATCH(Y$2,Inputs!$D$2:$AG$2,0)),Inputs!$B$4:$B$150,$B44)/1000)</f>
        <v>0</v>
      </c>
      <c r="Z44" s="11">
        <f>IF(Z$3=0,"",SUMIFS(INDEX(Inputs!$D$4:$AG$150,0,MATCH(Z$2,Inputs!$D$2:$AG$2,0)),Inputs!$B$4:$B$150,$B44)/1000)</f>
        <v>0</v>
      </c>
      <c r="AA44" s="11">
        <f>IF(AA$3=0,"",SUMIFS(INDEX(Inputs!$D$4:$AG$150,0,MATCH(AA$2,Inputs!$D$2:$AG$2,0)),Inputs!$B$4:$B$150,$B44)/1000)</f>
        <v>0</v>
      </c>
      <c r="AB44" s="12">
        <f>IF(AA44="","",AA44)</f>
        <v>0</v>
      </c>
      <c r="AC44" s="11">
        <f>IF(AC$3=0,"",SUMIFS(INDEX(Inputs!$D$4:$AG$150,0,MATCH(AC$2,Inputs!$D$2:$AG$2,0)),Inputs!$B$4:$B$150,$B44)/1000)</f>
        <v>0</v>
      </c>
      <c r="AD44" s="11">
        <f>IF(AD$3=0,"",SUMIFS(INDEX(Inputs!$D$4:$AG$150,0,MATCH(AD$2,Inputs!$D$2:$AG$2,0)),Inputs!$B$4:$B$150,$B44)/1000)</f>
        <v>0</v>
      </c>
      <c r="AE44" s="11" t="str">
        <f>IF(AE$3=0,"",SUMIFS(INDEX(Inputs!$D$4:$AG$150,0,MATCH(AE$2,Inputs!$D$2:$AG$2,0)),Inputs!$B$4:$B$150,$B44)/1000)</f>
        <v/>
      </c>
      <c r="AF44" s="11" t="str">
        <f>IF(AF$3=0,"",SUMIFS(INDEX(Inputs!$D$4:$AG$150,0,MATCH(AF$2,Inputs!$D$2:$AG$2,0)),Inputs!$B$4:$B$150,$B44)/1000)</f>
        <v/>
      </c>
      <c r="AG44" s="12" t="str">
        <f>IF(AF44="","",AF44)</f>
        <v/>
      </c>
    </row>
    <row r="45">
      <c r="B45" s="9" t="n">
        <v>39</v>
      </c>
      <c r="C45" s="14" t="inlineStr">
        <is>
          <t>Comprehensive (accumulated) loss</t>
        </is>
      </c>
      <c r="D45" s="11">
        <f>IF(D$3=0,"",SUMIFS(INDEX(Inputs!$D$4:$AG$150,0,MATCH(D$2,Inputs!$D$2:$AG$2,0)),Inputs!$B$4:$B$150,$B45)/1000)</f>
        <v>-3</v>
      </c>
      <c r="E45" s="11">
        <f>IF(E$3=0,"",SUMIFS(INDEX(Inputs!$D$4:$AG$150,0,MATCH(E$2,Inputs!$D$2:$AG$2,0)),Inputs!$B$4:$B$150,$B45)/1000)</f>
        <v>190</v>
      </c>
      <c r="F45" s="11">
        <f>IF(F$3=0,"",SUMIFS(INDEX(Inputs!$D$4:$AG$150,0,MATCH(F$2,Inputs!$D$2:$AG$2,0)),Inputs!$B$4:$B$150,$B45)/1000)</f>
        <v>-408</v>
      </c>
      <c r="G45" s="11">
        <f>IF(G$3=0,"",SUMIFS(INDEX(Inputs!$D$4:$AG$150,0,MATCH(G$2,Inputs!$D$2:$AG$2,0)),Inputs!$B$4:$B$150,$B45)/1000)</f>
        <v>-1623</v>
      </c>
      <c r="H45" s="12">
        <f>IF(G45="","",G45)</f>
        <v>-1623</v>
      </c>
      <c r="I45" s="11">
        <f>IF(I$3=0,"",SUMIFS(INDEX(Inputs!$D$4:$AG$150,0,MATCH(I$2,Inputs!$D$2:$AG$2,0)),Inputs!$B$4:$B$150,$B45)/1000)</f>
        <v>-4049</v>
      </c>
      <c r="J45" s="11">
        <f>IF(J$3=0,"",SUMIFS(INDEX(Inputs!$D$4:$AG$150,0,MATCH(J$2,Inputs!$D$2:$AG$2,0)),Inputs!$B$4:$B$150,$B45)/1000)</f>
        <v>-5828</v>
      </c>
      <c r="K45" s="11">
        <f>IF(K$3=0,"",SUMIFS(INDEX(Inputs!$D$4:$AG$150,0,MATCH(K$2,Inputs!$D$2:$AG$2,0)),Inputs!$B$4:$B$150,$B45)/1000)</f>
        <v>-8852</v>
      </c>
      <c r="L45" s="11">
        <f>IF(L$3=0,"",SUMIFS(INDEX(Inputs!$D$4:$AG$150,0,MATCH(L$2,Inputs!$D$2:$AG$2,0)),Inputs!$B$4:$B$150,$B45)/1000)</f>
        <v>-7603</v>
      </c>
      <c r="M45" s="12">
        <f>IF(L45="","",L45)</f>
        <v>-7603</v>
      </c>
      <c r="N45" s="11">
        <f>IF(N$3=0,"",SUMIFS(INDEX(Inputs!$D$4:$AG$150,0,MATCH(N$2,Inputs!$D$2:$AG$2,0)),Inputs!$B$4:$B$150,$B45)/1000)</f>
        <v>-6000</v>
      </c>
      <c r="O45" s="11">
        <f>IF(O$3=0,"",SUMIFS(INDEX(Inputs!$D$4:$AG$150,0,MATCH(O$2,Inputs!$D$2:$AG$2,0)),Inputs!$B$4:$B$150,$B45)/1000)</f>
        <v>-5991</v>
      </c>
      <c r="P45" s="11">
        <f>IF(P$3=0,"",SUMIFS(INDEX(Inputs!$D$4:$AG$150,0,MATCH(P$2,Inputs!$D$2:$AG$2,0)),Inputs!$B$4:$B$150,$B45)/1000)</f>
        <v>-7036</v>
      </c>
      <c r="Q45" s="11">
        <f>IF(Q$3=0,"",SUMIFS(INDEX(Inputs!$D$4:$AG$150,0,MATCH(Q$2,Inputs!$D$2:$AG$2,0)),Inputs!$B$4:$B$150,$B45)/1000)</f>
        <v>-4402</v>
      </c>
      <c r="R45" s="12">
        <f>IF(Q45="","",Q45)</f>
        <v>-4402</v>
      </c>
      <c r="S45" s="11">
        <f>IF(S$3=0,"",SUMIFS(INDEX(Inputs!$D$4:$AG$150,0,MATCH(S$2,Inputs!$D$2:$AG$2,0)),Inputs!$B$4:$B$150,$B45)/1000)</f>
        <v>-4839</v>
      </c>
      <c r="T45" s="11">
        <f>IF(T$3=0,"",SUMIFS(INDEX(Inputs!$D$4:$AG$150,0,MATCH(T$2,Inputs!$D$2:$AG$2,0)),Inputs!$B$4:$B$150,$B45)/1000)</f>
        <v>-5012</v>
      </c>
      <c r="U45" s="11">
        <f>IF(U$3=0,"",SUMIFS(INDEX(Inputs!$D$4:$AG$150,0,MATCH(U$2,Inputs!$D$2:$AG$2,0)),Inputs!$B$4:$B$150,$B45)/1000)</f>
        <v>-3228</v>
      </c>
      <c r="V45" s="11">
        <f>IF(V$3=0,"",SUMIFS(INDEX(Inputs!$D$4:$AG$150,0,MATCH(V$2,Inputs!$D$2:$AG$2,0)),Inputs!$B$4:$B$150,$B45)/1000)</f>
        <v>-4800</v>
      </c>
      <c r="W45" s="12">
        <f>IF(V45="","",V45)</f>
        <v>-4800</v>
      </c>
      <c r="X45" s="11">
        <f>IF(X$3=0,"",SUMIFS(INDEX(Inputs!$D$4:$AG$150,0,MATCH(X$2,Inputs!$D$2:$AG$2,0)),Inputs!$B$4:$B$150,$B45)/1000)</f>
        <v>-4086</v>
      </c>
      <c r="Y45" s="11">
        <f>IF(Y$3=0,"",SUMIFS(INDEX(Inputs!$D$4:$AG$150,0,MATCH(Y$2,Inputs!$D$2:$AG$2,0)),Inputs!$B$4:$B$150,$B45)/1000)</f>
        <v>-2127</v>
      </c>
      <c r="Z45" s="11">
        <f>IF(Z$3=0,"",SUMIFS(INDEX(Inputs!$D$4:$AG$150,0,MATCH(Z$2,Inputs!$D$2:$AG$2,0)),Inputs!$B$4:$B$150,$B45)/1000)</f>
        <v>-2054</v>
      </c>
      <c r="AA45" s="11">
        <f>IF(AA$3=0,"",SUMIFS(INDEX(Inputs!$D$4:$AG$150,0,MATCH(AA$2,Inputs!$D$2:$AG$2,0)),Inputs!$B$4:$B$150,$B45)/1000)</f>
        <v>-1916</v>
      </c>
      <c r="AB45" s="12">
        <f>IF(AA45="","",AA45)</f>
        <v>-1916</v>
      </c>
      <c r="AC45" s="11">
        <f>IF(AC$3=0,"",SUMIFS(INDEX(Inputs!$D$4:$AG$150,0,MATCH(AC$2,Inputs!$D$2:$AG$2,0)),Inputs!$B$4:$B$150,$B45)/1000)</f>
        <v>-2180</v>
      </c>
      <c r="AD45" s="11">
        <f>IF(AD$3=0,"",SUMIFS(INDEX(Inputs!$D$4:$AG$150,0,MATCH(AD$2,Inputs!$D$2:$AG$2,0)),Inputs!$B$4:$B$150,$B45)/1000)</f>
        <v>-2285</v>
      </c>
      <c r="AE45" s="11" t="str">
        <f>IF(AE$3=0,"",SUMIFS(INDEX(Inputs!$D$4:$AG$150,0,MATCH(AE$2,Inputs!$D$2:$AG$2,0)),Inputs!$B$4:$B$150,$B45)/1000)</f>
        <v/>
      </c>
      <c r="AF45" s="11" t="str">
        <f>IF(AF$3=0,"",SUMIFS(INDEX(Inputs!$D$4:$AG$150,0,MATCH(AF$2,Inputs!$D$2:$AG$2,0)),Inputs!$B$4:$B$150,$B45)/1000)</f>
        <v/>
      </c>
      <c r="AG45" s="12" t="str">
        <f>IF(AF45="","",AF45)</f>
        <v/>
      </c>
    </row>
    <row r="46">
      <c r="B46" s="9" t="n">
        <v>40</v>
      </c>
      <c r="C46" s="14" t="inlineStr">
        <is>
          <t>Other equity account</t>
        </is>
      </c>
      <c r="D46" s="11">
        <f>IF(D$3=0,"",SUMIFS(INDEX(Inputs!$D$4:$AG$150,0,MATCH(D$2,Inputs!$D$2:$AG$2,0)),Inputs!$B$4:$B$150,$B46)/1000)</f>
        <v>0</v>
      </c>
      <c r="E46" s="11">
        <f>IF(E$3=0,"",SUMIFS(INDEX(Inputs!$D$4:$AG$150,0,MATCH(E$2,Inputs!$D$2:$AG$2,0)),Inputs!$B$4:$B$150,$B46)/1000)</f>
        <v>0</v>
      </c>
      <c r="F46" s="11">
        <f>IF(F$3=0,"",SUMIFS(INDEX(Inputs!$D$4:$AG$150,0,MATCH(F$2,Inputs!$D$2:$AG$2,0)),Inputs!$B$4:$B$150,$B46)/1000)</f>
        <v>0</v>
      </c>
      <c r="G46" s="11">
        <f>IF(G$3=0,"",SUMIFS(INDEX(Inputs!$D$4:$AG$150,0,MATCH(G$2,Inputs!$D$2:$AG$2,0)),Inputs!$B$4:$B$150,$B46)/1000)</f>
        <v>0</v>
      </c>
      <c r="H46" s="12">
        <f>IF(G46="","",G46)</f>
        <v>0</v>
      </c>
      <c r="I46" s="11">
        <f>IF(I$3=0,"",SUMIFS(INDEX(Inputs!$D$4:$AG$150,0,MATCH(I$2,Inputs!$D$2:$AG$2,0)),Inputs!$B$4:$B$150,$B46)/1000)</f>
        <v>0</v>
      </c>
      <c r="J46" s="11">
        <f>IF(J$3=0,"",SUMIFS(INDEX(Inputs!$D$4:$AG$150,0,MATCH(J$2,Inputs!$D$2:$AG$2,0)),Inputs!$B$4:$B$150,$B46)/1000)</f>
        <v>0</v>
      </c>
      <c r="K46" s="11">
        <f>IF(K$3=0,"",SUMIFS(INDEX(Inputs!$D$4:$AG$150,0,MATCH(K$2,Inputs!$D$2:$AG$2,0)),Inputs!$B$4:$B$150,$B46)/1000)</f>
        <v>0</v>
      </c>
      <c r="L46" s="11">
        <f>IF(L$3=0,"",SUMIFS(INDEX(Inputs!$D$4:$AG$150,0,MATCH(L$2,Inputs!$D$2:$AG$2,0)),Inputs!$B$4:$B$150,$B46)/1000)</f>
        <v>0</v>
      </c>
      <c r="M46" s="12">
        <f>IF(L46="","",L46)</f>
        <v>0</v>
      </c>
      <c r="N46" s="11">
        <f>IF(N$3=0,"",SUMIFS(INDEX(Inputs!$D$4:$AG$150,0,MATCH(N$2,Inputs!$D$2:$AG$2,0)),Inputs!$B$4:$B$150,$B46)/1000)</f>
        <v>0</v>
      </c>
      <c r="O46" s="11">
        <f>IF(O$3=0,"",SUMIFS(INDEX(Inputs!$D$4:$AG$150,0,MATCH(O$2,Inputs!$D$2:$AG$2,0)),Inputs!$B$4:$B$150,$B46)/1000)</f>
        <v>0</v>
      </c>
      <c r="P46" s="11">
        <f>IF(P$3=0,"",SUMIFS(INDEX(Inputs!$D$4:$AG$150,0,MATCH(P$2,Inputs!$D$2:$AG$2,0)),Inputs!$B$4:$B$150,$B46)/1000)</f>
        <v>0</v>
      </c>
      <c r="Q46" s="11">
        <f>IF(Q$3=0,"",SUMIFS(INDEX(Inputs!$D$4:$AG$150,0,MATCH(Q$2,Inputs!$D$2:$AG$2,0)),Inputs!$B$4:$B$150,$B46)/1000)</f>
        <v>0</v>
      </c>
      <c r="R46" s="12">
        <f>IF(Q46="","",Q46)</f>
        <v>0</v>
      </c>
      <c r="S46" s="11">
        <f>IF(S$3=0,"",SUMIFS(INDEX(Inputs!$D$4:$AG$150,0,MATCH(S$2,Inputs!$D$2:$AG$2,0)),Inputs!$B$4:$B$150,$B46)/1000)</f>
        <v>0</v>
      </c>
      <c r="T46" s="11">
        <f>IF(T$3=0,"",SUMIFS(INDEX(Inputs!$D$4:$AG$150,0,MATCH(T$2,Inputs!$D$2:$AG$2,0)),Inputs!$B$4:$B$150,$B46)/1000)</f>
        <v>0</v>
      </c>
      <c r="U46" s="11">
        <f>IF(U$3=0,"",SUMIFS(INDEX(Inputs!$D$4:$AG$150,0,MATCH(U$2,Inputs!$D$2:$AG$2,0)),Inputs!$B$4:$B$150,$B46)/1000)</f>
        <v>0</v>
      </c>
      <c r="V46" s="11">
        <f>IF(V$3=0,"",SUMIFS(INDEX(Inputs!$D$4:$AG$150,0,MATCH(V$2,Inputs!$D$2:$AG$2,0)),Inputs!$B$4:$B$150,$B46)/1000)</f>
        <v>0</v>
      </c>
      <c r="W46" s="12">
        <f>IF(V46="","",V46)</f>
        <v>0</v>
      </c>
      <c r="X46" s="11">
        <f>IF(X$3=0,"",SUMIFS(INDEX(Inputs!$D$4:$AG$150,0,MATCH(X$2,Inputs!$D$2:$AG$2,0)),Inputs!$B$4:$B$150,$B46)/1000)</f>
        <v>0</v>
      </c>
      <c r="Y46" s="11">
        <f>IF(Y$3=0,"",SUMIFS(INDEX(Inputs!$D$4:$AG$150,0,MATCH(Y$2,Inputs!$D$2:$AG$2,0)),Inputs!$B$4:$B$150,$B46)/1000)</f>
        <v>0</v>
      </c>
      <c r="Z46" s="11">
        <f>IF(Z$3=0,"",SUMIFS(INDEX(Inputs!$D$4:$AG$150,0,MATCH(Z$2,Inputs!$D$2:$AG$2,0)),Inputs!$B$4:$B$150,$B46)/1000)</f>
        <v>0</v>
      </c>
      <c r="AA46" s="11">
        <f>IF(AA$3=0,"",SUMIFS(INDEX(Inputs!$D$4:$AG$150,0,MATCH(AA$2,Inputs!$D$2:$AG$2,0)),Inputs!$B$4:$B$150,$B46)/1000)</f>
        <v>0</v>
      </c>
      <c r="AB46" s="12">
        <f>IF(AA46="","",AA46)</f>
        <v>0</v>
      </c>
      <c r="AC46" s="11">
        <f>IF(AC$3=0,"",SUMIFS(INDEX(Inputs!$D$4:$AG$150,0,MATCH(AC$2,Inputs!$D$2:$AG$2,0)),Inputs!$B$4:$B$150,$B46)/1000)</f>
        <v>0</v>
      </c>
      <c r="AD46" s="11">
        <f>IF(AD$3=0,"",SUMIFS(INDEX(Inputs!$D$4:$AG$150,0,MATCH(AD$2,Inputs!$D$2:$AG$2,0)),Inputs!$B$4:$B$150,$B46)/1000)</f>
        <v>18023</v>
      </c>
      <c r="AE46" s="11" t="str">
        <f>IF(AE$3=0,"",SUMIFS(INDEX(Inputs!$D$4:$AG$150,0,MATCH(AE$2,Inputs!$D$2:$AG$2,0)),Inputs!$B$4:$B$150,$B46)/1000)</f>
        <v/>
      </c>
      <c r="AF46" s="11" t="str">
        <f>IF(AF$3=0,"",SUMIFS(INDEX(Inputs!$D$4:$AG$150,0,MATCH(AF$2,Inputs!$D$2:$AG$2,0)),Inputs!$B$4:$B$150,$B46)/1000)</f>
        <v/>
      </c>
      <c r="AG46" s="12" t="str">
        <f>IF(AF46="","",AF46)</f>
        <v/>
      </c>
    </row>
    <row r="47">
      <c r="B47" s="9" t="n">
        <v>41</v>
      </c>
      <c r="C47" s="15" t="inlineStr">
        <is>
          <t>Retained earnings</t>
        </is>
      </c>
      <c r="D47" s="11">
        <f>IF(D$3=0,"",SUMIFS(INDEX(Inputs!$D$4:$AG$150,0,MATCH(D$2,Inputs!$D$2:$AG$2,0)),Inputs!$B$4:$B$150,$B47)/1000)</f>
        <v>170580</v>
      </c>
      <c r="E47" s="11">
        <f>IF(E$3=0,"",SUMIFS(INDEX(Inputs!$D$4:$AG$150,0,MATCH(E$2,Inputs!$D$2:$AG$2,0)),Inputs!$B$4:$B$150,$B47)/1000)</f>
        <v>176939</v>
      </c>
      <c r="F47" s="11">
        <f>IF(F$3=0,"",SUMIFS(INDEX(Inputs!$D$4:$AG$150,0,MATCH(F$2,Inputs!$D$2:$AG$2,0)),Inputs!$B$4:$B$150,$B47)/1000)</f>
        <v>183782</v>
      </c>
      <c r="G47" s="11">
        <f>IF(G$3=0,"",SUMIFS(INDEX(Inputs!$D$4:$AG$150,0,MATCH(G$2,Inputs!$D$2:$AG$2,0)),Inputs!$B$4:$B$150,$B47)/1000)</f>
        <v>191484</v>
      </c>
      <c r="H47" s="12">
        <f>IF(G47="","",G47)</f>
        <v>191484</v>
      </c>
      <c r="I47" s="11">
        <f>IF(I$3=0,"",SUMIFS(INDEX(Inputs!$D$4:$AG$150,0,MATCH(I$2,Inputs!$D$2:$AG$2,0)),Inputs!$B$4:$B$150,$B47)/1000)</f>
        <v>195221</v>
      </c>
      <c r="J47" s="11">
        <f>IF(J$3=0,"",SUMIFS(INDEX(Inputs!$D$4:$AG$150,0,MATCH(J$2,Inputs!$D$2:$AG$2,0)),Inputs!$B$4:$B$150,$B47)/1000)</f>
        <v>196845</v>
      </c>
      <c r="K47" s="11">
        <f>IF(K$3=0,"",SUMIFS(INDEX(Inputs!$D$4:$AG$150,0,MATCH(K$2,Inputs!$D$2:$AG$2,0)),Inputs!$B$4:$B$150,$B47)/1000)</f>
        <v>196220</v>
      </c>
      <c r="L47" s="11">
        <f>IF(L$3=0,"",SUMIFS(INDEX(Inputs!$D$4:$AG$150,0,MATCH(L$2,Inputs!$D$2:$AG$2,0)),Inputs!$B$4:$B$150,$B47)/1000)</f>
        <v>195563</v>
      </c>
      <c r="M47" s="12">
        <f>IF(L47="","",L47)</f>
        <v>195563</v>
      </c>
      <c r="N47" s="11">
        <f>IF(N$3=0,"",SUMIFS(INDEX(Inputs!$D$4:$AG$150,0,MATCH(N$2,Inputs!$D$2:$AG$2,0)),Inputs!$B$4:$B$150,$B47)/1000)</f>
        <v>196625</v>
      </c>
      <c r="O47" s="11">
        <f>IF(O$3=0,"",SUMIFS(INDEX(Inputs!$D$4:$AG$150,0,MATCH(O$2,Inputs!$D$2:$AG$2,0)),Inputs!$B$4:$B$150,$B47)/1000)</f>
        <v>200884</v>
      </c>
      <c r="P47" s="11">
        <f>IF(P$3=0,"",SUMIFS(INDEX(Inputs!$D$4:$AG$150,0,MATCH(P$2,Inputs!$D$2:$AG$2,0)),Inputs!$B$4:$B$150,$B47)/1000)</f>
        <v>205647</v>
      </c>
      <c r="Q47" s="11">
        <f>IF(Q$3=0,"",SUMIFS(INDEX(Inputs!$D$4:$AG$150,0,MATCH(Q$2,Inputs!$D$2:$AG$2,0)),Inputs!$B$4:$B$150,$B47)/1000)</f>
        <v>211247</v>
      </c>
      <c r="R47" s="12">
        <f>IF(Q47="","",Q47)</f>
        <v>211247</v>
      </c>
      <c r="S47" s="11">
        <f>IF(S$3=0,"",SUMIFS(INDEX(Inputs!$D$4:$AG$150,0,MATCH(S$2,Inputs!$D$2:$AG$2,0)),Inputs!$B$4:$B$150,$B47)/1000)</f>
        <v>219770</v>
      </c>
      <c r="T47" s="11">
        <f>IF(T$3=0,"",SUMIFS(INDEX(Inputs!$D$4:$AG$150,0,MATCH(T$2,Inputs!$D$2:$AG$2,0)),Inputs!$B$4:$B$150,$B47)/1000)</f>
        <v>226033</v>
      </c>
      <c r="U47" s="11">
        <f>IF(U$3=0,"",SUMIFS(INDEX(Inputs!$D$4:$AG$150,0,MATCH(U$2,Inputs!$D$2:$AG$2,0)),Inputs!$B$4:$B$150,$B47)/1000)</f>
        <v>235317</v>
      </c>
      <c r="V47" s="11">
        <f>IF(V$3=0,"",SUMIFS(INDEX(Inputs!$D$4:$AG$150,0,MATCH(V$2,Inputs!$D$2:$AG$2,0)),Inputs!$B$4:$B$150,$B47)/1000)</f>
        <v>245084</v>
      </c>
      <c r="W47" s="12">
        <f>IF(V47="","",V47)</f>
        <v>245084</v>
      </c>
      <c r="X47" s="11">
        <f>IF(X$3=0,"",SUMIFS(INDEX(Inputs!$D$4:$AG$150,0,MATCH(X$2,Inputs!$D$2:$AG$2,0)),Inputs!$B$4:$B$150,$B47)/1000)</f>
        <v>262628</v>
      </c>
      <c r="Y47" s="11">
        <f>IF(Y$3=0,"",SUMIFS(INDEX(Inputs!$D$4:$AG$150,0,MATCH(Y$2,Inputs!$D$2:$AG$2,0)),Inputs!$B$4:$B$150,$B47)/1000)</f>
        <v>275760</v>
      </c>
      <c r="Z47" s="11">
        <f>IF(Z$3=0,"",SUMIFS(INDEX(Inputs!$D$4:$AG$150,0,MATCH(Z$2,Inputs!$D$2:$AG$2,0)),Inputs!$B$4:$B$150,$B47)/1000)</f>
        <v>297226</v>
      </c>
      <c r="AA47" s="11">
        <f>IF(AA$3=0,"",SUMIFS(INDEX(Inputs!$D$4:$AG$150,0,MATCH(AA$2,Inputs!$D$2:$AG$2,0)),Inputs!$B$4:$B$150,$B47)/1000)</f>
        <v>324055</v>
      </c>
      <c r="AB47" s="12">
        <f>IF(AA47="","",AA47)</f>
        <v>324055</v>
      </c>
      <c r="AC47" s="11">
        <f>IF(AC$3=0,"",SUMIFS(INDEX(Inputs!$D$4:$AG$150,0,MATCH(AC$2,Inputs!$D$2:$AG$2,0)),Inputs!$B$4:$B$150,$B47)/1000)</f>
        <v>384024</v>
      </c>
      <c r="AD47" s="11">
        <f>IF(AD$3=0,"",SUMIFS(INDEX(Inputs!$D$4:$AG$150,0,MATCH(AD$2,Inputs!$D$2:$AG$2,0)),Inputs!$B$4:$B$150,$B47)/1000)</f>
        <v>493371</v>
      </c>
      <c r="AE47" s="11" t="str">
        <f>IF(AE$3=0,"",SUMIFS(INDEX(Inputs!$D$4:$AG$150,0,MATCH(AE$2,Inputs!$D$2:$AG$2,0)),Inputs!$B$4:$B$150,$B47)/1000)</f>
        <v/>
      </c>
      <c r="AF47" s="11" t="str">
        <f>IF(AF$3=0,"",SUMIFS(INDEX(Inputs!$D$4:$AG$150,0,MATCH(AF$2,Inputs!$D$2:$AG$2,0)),Inputs!$B$4:$B$150,$B47)/1000)</f>
        <v/>
      </c>
      <c r="AG47" s="12" t="str">
        <f>IF(AF47="","",AF47)</f>
        <v/>
      </c>
    </row>
    <row r="48"/>
    <row r="49" customFormat="1" s="3">
      <c r="C49" s="4" t="n"/>
      <c r="D49" s="16" t="n"/>
      <c r="E49" s="16" t="n"/>
      <c r="F49" s="16" t="n"/>
      <c r="G49" s="16" t="n"/>
      <c r="H49" s="12" t="n"/>
      <c r="I49" s="16" t="n"/>
      <c r="J49" s="16" t="n"/>
      <c r="K49" s="16" t="n"/>
      <c r="L49" s="16" t="n"/>
      <c r="M49" s="12" t="n"/>
      <c r="N49" s="16" t="n"/>
      <c r="O49" s="16" t="n"/>
      <c r="P49" s="16" t="n"/>
      <c r="Q49" s="16" t="n"/>
      <c r="R49" s="12" t="n"/>
      <c r="S49" s="16" t="n"/>
      <c r="T49" s="16" t="n"/>
      <c r="U49" s="16" t="n"/>
      <c r="V49" s="16" t="n"/>
      <c r="W49" s="12" t="n"/>
      <c r="X49" s="16" t="n"/>
      <c r="Y49" s="16" t="n"/>
      <c r="Z49" s="16" t="n"/>
      <c r="AA49" s="16" t="n"/>
      <c r="AC49" s="16" t="n"/>
      <c r="AD49" s="16" t="n"/>
      <c r="AE49" s="16" t="n"/>
      <c r="AF49" s="16" t="n"/>
    </row>
    <row r="50">
      <c r="B50" s="9" t="n">
        <v>44</v>
      </c>
      <c r="C50" s="10" t="inlineStr">
        <is>
          <t>Net income reported (lucro líquido reportado) — base do check de DRE [Model linha 4]</t>
        </is>
      </c>
      <c r="D50" s="11">
        <f>IF(SUMPRODUCT((Inputs!$B$4:$B$150=$B50)*ISNUMBER(INDEX(Inputs!$D$4:$AG$150,0,MATCH(D$2,Inputs!$D$2:$AG$2,0))))=0,"",SUMIFS(INDEX(Inputs!$D$4:$AG$150,0,MATCH(D$2,Inputs!$D$2:$AG$2,0)),Inputs!$B$4:$B$150,$B50)/1000)</f>
        <v>17930</v>
      </c>
      <c r="E50" s="11">
        <f>IF(SUMPRODUCT((Inputs!$B$4:$B$150=$B50)*ISNUMBER(INDEX(Inputs!$D$4:$AG$150,0,MATCH(E$2,Inputs!$D$2:$AG$2,0))))=0,"",SUMIFS(INDEX(Inputs!$D$4:$AG$150,0,MATCH(E$2,Inputs!$D$2:$AG$2,0)),Inputs!$B$4:$B$150,$B50)/1000)</f>
        <v>18525</v>
      </c>
      <c r="F50" s="11">
        <f>IF(SUMPRODUCT((Inputs!$B$4:$B$150=$B50)*ISNUMBER(INDEX(Inputs!$D$4:$AG$150,0,MATCH(F$2,Inputs!$D$2:$AG$2,0))))=0,"",SUMIFS(INDEX(Inputs!$D$4:$AG$150,0,MATCH(F$2,Inputs!$D$2:$AG$2,0)),Inputs!$B$4:$B$150,$B50)/1000)</f>
        <v>18936</v>
      </c>
      <c r="G50" s="11">
        <f>IF(SUMPRODUCT((Inputs!$B$4:$B$150=$B50)*ISNUMBER(INDEX(Inputs!$D$4:$AG$150,0,MATCH(G$2,Inputs!$D$2:$AG$2,0))))=0,"",SUMIFS(INDEX(Inputs!$D$4:$AG$150,0,MATCH(G$2,Inputs!$D$2:$AG$2,0)),Inputs!$B$4:$B$150,$B50)/1000)</f>
        <v>20642</v>
      </c>
      <c r="H50" s="12">
        <f>IF(COUNT(D50:G50)=4,SUM(D50:G50),"")</f>
        <v>76033</v>
      </c>
      <c r="I50" s="11">
        <f>IF(SUMPRODUCT((Inputs!$B$4:$B$150=$B50)*ISNUMBER(INDEX(Inputs!$D$4:$AG$150,0,MATCH(I$2,Inputs!$D$2:$AG$2,0))))=0,"",SUMIFS(INDEX(Inputs!$D$4:$AG$150,0,MATCH(I$2,Inputs!$D$2:$AG$2,0)),Inputs!$B$4:$B$150,$B50)/1000)</f>
        <v>16436</v>
      </c>
      <c r="J50" s="11">
        <f>IF(SUMPRODUCT((Inputs!$B$4:$B$150=$B50)*ISNUMBER(INDEX(Inputs!$D$4:$AG$150,0,MATCH(J$2,Inputs!$D$2:$AG$2,0))))=0,"",SUMIFS(INDEX(Inputs!$D$4:$AG$150,0,MATCH(J$2,Inputs!$D$2:$AG$2,0)),Inputs!$B$4:$B$150,$B50)/1000)</f>
        <v>16002</v>
      </c>
      <c r="K50" s="11">
        <f>IF(SUMPRODUCT((Inputs!$B$4:$B$150=$B50)*ISNUMBER(INDEX(Inputs!$D$4:$AG$150,0,MATCH(K$2,Inputs!$D$2:$AG$2,0))))=0,"",SUMIFS(INDEX(Inputs!$D$4:$AG$150,0,MATCH(K$2,Inputs!$D$2:$AG$2,0)),Inputs!$B$4:$B$150,$B50)/1000)</f>
        <v>13910</v>
      </c>
      <c r="L50" s="11">
        <f>IF(SUMPRODUCT((Inputs!$B$4:$B$150=$B50)*ISNUMBER(INDEX(Inputs!$D$4:$AG$150,0,MATCH(L$2,Inputs!$D$2:$AG$2,0))))=0,"",SUMIFS(INDEX(Inputs!$D$4:$AG$150,0,MATCH(L$2,Inputs!$D$2:$AG$2,0)),Inputs!$B$4:$B$150,$B50)/1000)</f>
        <v>13624</v>
      </c>
      <c r="M50" s="12">
        <f>IF(COUNT(I50:L50)=4,SUM(I50:L50),"")</f>
        <v>59972</v>
      </c>
      <c r="N50" s="11">
        <f>IF(SUMPRODUCT((Inputs!$B$4:$B$150=$B50)*ISNUMBER(INDEX(Inputs!$D$4:$AG$150,0,MATCH(N$2,Inputs!$D$2:$AG$2,0))))=0,"",SUMIFS(INDEX(Inputs!$D$4:$AG$150,0,MATCH(N$2,Inputs!$D$2:$AG$2,0)),Inputs!$B$4:$B$150,$B50)/1000)</f>
        <v>15051</v>
      </c>
      <c r="O50" s="11">
        <f>IF(SUMPRODUCT((Inputs!$B$4:$B$150=$B50)*ISNUMBER(INDEX(Inputs!$D$4:$AG$150,0,MATCH(O$2,Inputs!$D$2:$AG$2,0))))=0,"",SUMIFS(INDEX(Inputs!$D$4:$AG$150,0,MATCH(O$2,Inputs!$D$2:$AG$2,0)),Inputs!$B$4:$B$150,$B50)/1000)</f>
        <v>18368</v>
      </c>
      <c r="P50" s="11">
        <f>IF(SUMPRODUCT((Inputs!$B$4:$B$150=$B50)*ISNUMBER(INDEX(Inputs!$D$4:$AG$150,0,MATCH(P$2,Inputs!$D$2:$AG$2,0))))=0,"",SUMIFS(INDEX(Inputs!$D$4:$AG$150,0,MATCH(P$2,Inputs!$D$2:$AG$2,0)),Inputs!$B$4:$B$150,$B50)/1000)</f>
        <v>19689</v>
      </c>
      <c r="Q50" s="11">
        <f>IF(SUMPRODUCT((Inputs!$B$4:$B$150=$B50)*ISNUMBER(INDEX(Inputs!$D$4:$AG$150,0,MATCH(Q$2,Inputs!$D$2:$AG$2,0))))=0,"",SUMIFS(INDEX(Inputs!$D$4:$AG$150,0,MATCH(Q$2,Inputs!$D$2:$AG$2,0)),Inputs!$B$4:$B$150,$B50)/1000)</f>
        <v>20687</v>
      </c>
      <c r="R50" s="12">
        <f>IF(COUNT(N50:Q50)=4,SUM(N50:Q50),"")</f>
        <v>73795</v>
      </c>
      <c r="S50" s="11">
        <f>IF(SUMPRODUCT((Inputs!$B$4:$B$150=$B50)*ISNUMBER(INDEX(Inputs!$D$4:$AG$150,0,MATCH(S$2,Inputs!$D$2:$AG$2,0))))=0,"",SUMIFS(INDEX(Inputs!$D$4:$AG$150,0,MATCH(S$2,Inputs!$D$2:$AG$2,0)),Inputs!$B$4:$B$150,$B50)/1000)</f>
        <v>23662</v>
      </c>
      <c r="T50" s="11">
        <f>IF(SUMPRODUCT((Inputs!$B$4:$B$150=$B50)*ISNUMBER(INDEX(Inputs!$D$4:$AG$150,0,MATCH(T$2,Inputs!$D$2:$AG$2,0))))=0,"",SUMIFS(INDEX(Inputs!$D$4:$AG$150,0,MATCH(T$2,Inputs!$D$2:$AG$2,0)),Inputs!$B$4:$B$150,$B50)/1000)</f>
        <v>23619</v>
      </c>
      <c r="U50" s="11">
        <f>IF(SUMPRODUCT((Inputs!$B$4:$B$150=$B50)*ISNUMBER(INDEX(Inputs!$D$4:$AG$150,0,MATCH(U$2,Inputs!$D$2:$AG$2,0))))=0,"",SUMIFS(INDEX(Inputs!$D$4:$AG$150,0,MATCH(U$2,Inputs!$D$2:$AG$2,0)),Inputs!$B$4:$B$150,$B50)/1000)</f>
        <v>26301</v>
      </c>
      <c r="V50" s="11">
        <f>IF(SUMPRODUCT((Inputs!$B$4:$B$150=$B50)*ISNUMBER(INDEX(Inputs!$D$4:$AG$150,0,MATCH(V$2,Inputs!$D$2:$AG$2,0))))=0,"",SUMIFS(INDEX(Inputs!$D$4:$AG$150,0,MATCH(V$2,Inputs!$D$2:$AG$2,0)),Inputs!$B$4:$B$150,$B50)/1000)</f>
        <v>26536</v>
      </c>
      <c r="W50" s="12">
        <f>IF(COUNT(S50:V50)=4,SUM(S50:V50),"")</f>
        <v>100118</v>
      </c>
      <c r="X50" s="11">
        <f>IF(SUMPRODUCT((Inputs!$B$4:$B$150=$B50)*ISNUMBER(INDEX(Inputs!$D$4:$AG$150,0,MATCH(X$2,Inputs!$D$2:$AG$2,0))))=0,"",SUMIFS(INDEX(Inputs!$D$4:$AG$150,0,MATCH(X$2,Inputs!$D$2:$AG$2,0)),Inputs!$B$4:$B$150,$B50)/1000)</f>
        <v>34540</v>
      </c>
      <c r="Y50" s="11">
        <f>IF(SUMPRODUCT((Inputs!$B$4:$B$150=$B50)*ISNUMBER(INDEX(Inputs!$D$4:$AG$150,0,MATCH(Y$2,Inputs!$D$2:$AG$2,0))))=0,"",SUMIFS(INDEX(Inputs!$D$4:$AG$150,0,MATCH(Y$2,Inputs!$D$2:$AG$2,0)),Inputs!$B$4:$B$150,$B50)/1000)</f>
        <v>28196</v>
      </c>
      <c r="Z50" s="11">
        <f>IF(SUMPRODUCT((Inputs!$B$4:$B$150=$B50)*ISNUMBER(INDEX(Inputs!$D$4:$AG$150,0,MATCH(Z$2,Inputs!$D$2:$AG$2,0))))=0,"",SUMIFS(INDEX(Inputs!$D$4:$AG$150,0,MATCH(Z$2,Inputs!$D$2:$AG$2,0)),Inputs!$B$4:$B$150,$B50)/1000)</f>
        <v>34979</v>
      </c>
      <c r="AA50" s="11">
        <f>IF(SUMPRODUCT((Inputs!$B$4:$B$150=$B50)*ISNUMBER(INDEX(Inputs!$D$4:$AG$150,0,MATCH(AA$2,Inputs!$D$2:$AG$2,0))))=0,"",SUMIFS(INDEX(Inputs!$D$4:$AG$150,0,MATCH(AA$2,Inputs!$D$2:$AG$2,0)),Inputs!$B$4:$B$150,$B50)/1000)</f>
        <v>34455</v>
      </c>
      <c r="AB50" s="12">
        <f>IF(COUNT(X50:AA50)=4,SUM(X50:AA50),"")</f>
        <v>132170</v>
      </c>
      <c r="AC50" s="11">
        <f>IF(SUMPRODUCT((Inputs!$B$4:$B$150=$B50)*ISNUMBER(INDEX(Inputs!$D$4:$AG$150,0,MATCH(AC$2,Inputs!$D$2:$AG$2,0))))=0,"",SUMIFS(INDEX(Inputs!$D$4:$AG$150,0,MATCH(AC$2,Inputs!$D$2:$AG$2,0)),Inputs!$B$4:$B$150,$B50)/1000)</f>
        <v>62578</v>
      </c>
      <c r="AD50" s="11">
        <f>IF(SUMPRODUCT((Inputs!$B$4:$B$150=$B50)*ISNUMBER(INDEX(Inputs!$D$4:$AG$150,0,MATCH(AD$2,Inputs!$D$2:$AG$2,0))))=0,"",SUMIFS(INDEX(Inputs!$D$4:$AG$150,0,MATCH(AD$2,Inputs!$D$2:$AG$2,0)),Inputs!$B$4:$B$150,$B50)/1000)</f>
        <v>112193</v>
      </c>
      <c r="AE50" s="11" t="str">
        <f>IF(SUMPRODUCT((Inputs!$B$4:$B$150=$B50)*ISNUMBER(INDEX(Inputs!$D$4:$AG$150,0,MATCH(AE$2,Inputs!$D$2:$AG$2,0))))=0,"",SUMIFS(INDEX(Inputs!$D$4:$AG$150,0,MATCH(AE$2,Inputs!$D$2:$AG$2,0)),Inputs!$B$4:$B$150,$B50)/1000)</f>
        <v/>
      </c>
      <c r="AF50" s="11" t="str">
        <f>IF(SUMPRODUCT((Inputs!$B$4:$B$150=$B50)*ISNUMBER(INDEX(Inputs!$D$4:$AG$150,0,MATCH(AF$2,Inputs!$D$2:$AG$2,0))))=0,"",SUMIFS(INDEX(Inputs!$D$4:$AG$150,0,MATCH(AF$2,Inputs!$D$2:$AG$2,0)),Inputs!$B$4:$B$150,$B50)/1000)</f>
        <v/>
      </c>
      <c r="AG50" s="12" t="str">
        <f>IF(COUNT(AC50:AF50)=4,SUM(AC50:AF50),"")</f>
        <v/>
      </c>
    </row>
    <row r="52">
      <c r="C52" t="inlineStr">
        <is>
          <t>Drivers de receita (memo) - codigos 45+ [Model, bloco abaixo da receita liquida]</t>
        </is>
      </c>
    </row>
    <row r="53">
      <c r="B53" s="9" t="n">
        <v>45</v>
      </c>
      <c r="C53" s="10" t="inlineStr">
        <is>
          <t>Receita Google Search &amp; other (USD)</t>
        </is>
      </c>
      <c r="D53" s="11">
        <f>IF(SUMPRODUCT((Inputs!$B$4:$B$150=$B53)*ISNUMBER(INDEX(Inputs!$D$4:$AG$150,0,MATCH(D$2,Inputs!$D$2:$AG$2,0))))=0,"",SUMIFS(INDEX(Inputs!$D$4:$AG$150,0,MATCH(D$2,Inputs!$D$2:$AG$2,0)),Inputs!$B$4:$B$150,$B53)/1000)</f>
        <v>31879</v>
      </c>
      <c r="E53" s="11">
        <f>IF(SUMPRODUCT((Inputs!$B$4:$B$150=$B53)*ISNUMBER(INDEX(Inputs!$D$4:$AG$150,0,MATCH(E$2,Inputs!$D$2:$AG$2,0))))=0,"",SUMIFS(INDEX(Inputs!$D$4:$AG$150,0,MATCH(E$2,Inputs!$D$2:$AG$2,0)),Inputs!$B$4:$B$150,$B53)/1000)</f>
        <v>35845</v>
      </c>
      <c r="F53" s="11">
        <f>IF(SUMPRODUCT((Inputs!$B$4:$B$150=$B53)*ISNUMBER(INDEX(Inputs!$D$4:$AG$150,0,MATCH(F$2,Inputs!$D$2:$AG$2,0))))=0,"",SUMIFS(INDEX(Inputs!$D$4:$AG$150,0,MATCH(F$2,Inputs!$D$2:$AG$2,0)),Inputs!$B$4:$B$150,$B53)/1000)</f>
        <v>37926</v>
      </c>
      <c r="G53" s="11">
        <f>IF(SUMPRODUCT((Inputs!$B$4:$B$150=$B53)*ISNUMBER(INDEX(Inputs!$D$4:$AG$150,0,MATCH(G$2,Inputs!$D$2:$AG$2,0))))=0,"",SUMIFS(INDEX(Inputs!$D$4:$AG$150,0,MATCH(G$2,Inputs!$D$2:$AG$2,0)),Inputs!$B$4:$B$150,$B53)/1000)</f>
        <v>43301</v>
      </c>
      <c r="H53" s="12">
        <f>IF(COUNT(D53:G53)=4,SUM(D53:G53),"")</f>
        <v>148951</v>
      </c>
      <c r="I53" s="11">
        <f>IF(SUMPRODUCT((Inputs!$B$4:$B$150=$B53)*ISNUMBER(INDEX(Inputs!$D$4:$AG$150,0,MATCH(I$2,Inputs!$D$2:$AG$2,0))))=0,"",SUMIFS(INDEX(Inputs!$D$4:$AG$150,0,MATCH(I$2,Inputs!$D$2:$AG$2,0)),Inputs!$B$4:$B$150,$B53)/1000)</f>
        <v>39618</v>
      </c>
      <c r="J53" s="11">
        <f>IF(SUMPRODUCT((Inputs!$B$4:$B$150=$B53)*ISNUMBER(INDEX(Inputs!$D$4:$AG$150,0,MATCH(J$2,Inputs!$D$2:$AG$2,0))))=0,"",SUMIFS(INDEX(Inputs!$D$4:$AG$150,0,MATCH(J$2,Inputs!$D$2:$AG$2,0)),Inputs!$B$4:$B$150,$B53)/1000)</f>
        <v>40689</v>
      </c>
      <c r="K53" s="11">
        <f>IF(SUMPRODUCT((Inputs!$B$4:$B$150=$B53)*ISNUMBER(INDEX(Inputs!$D$4:$AG$150,0,MATCH(K$2,Inputs!$D$2:$AG$2,0))))=0,"",SUMIFS(INDEX(Inputs!$D$4:$AG$150,0,MATCH(K$2,Inputs!$D$2:$AG$2,0)),Inputs!$B$4:$B$150,$B53)/1000)</f>
        <v>39539</v>
      </c>
      <c r="L53" s="11">
        <f>IF(SUMPRODUCT((Inputs!$B$4:$B$150=$B53)*ISNUMBER(INDEX(Inputs!$D$4:$AG$150,0,MATCH(L$2,Inputs!$D$2:$AG$2,0))))=0,"",SUMIFS(INDEX(Inputs!$D$4:$AG$150,0,MATCH(L$2,Inputs!$D$2:$AG$2,0)),Inputs!$B$4:$B$150,$B53)/1000)</f>
        <v>42604</v>
      </c>
      <c r="M53" s="12">
        <f>IF(COUNT(I53:L53)=4,SUM(I53:L53),"")</f>
        <v>162450</v>
      </c>
      <c r="N53" s="11">
        <f>IF(SUMPRODUCT((Inputs!$B$4:$B$150=$B53)*ISNUMBER(INDEX(Inputs!$D$4:$AG$150,0,MATCH(N$2,Inputs!$D$2:$AG$2,0))))=0,"",SUMIFS(INDEX(Inputs!$D$4:$AG$150,0,MATCH(N$2,Inputs!$D$2:$AG$2,0)),Inputs!$B$4:$B$150,$B53)/1000)</f>
        <v>40359</v>
      </c>
      <c r="O53" s="11">
        <f>IF(SUMPRODUCT((Inputs!$B$4:$B$150=$B53)*ISNUMBER(INDEX(Inputs!$D$4:$AG$150,0,MATCH(O$2,Inputs!$D$2:$AG$2,0))))=0,"",SUMIFS(INDEX(Inputs!$D$4:$AG$150,0,MATCH(O$2,Inputs!$D$2:$AG$2,0)),Inputs!$B$4:$B$150,$B53)/1000)</f>
        <v>42628</v>
      </c>
      <c r="P53" s="11">
        <f>IF(SUMPRODUCT((Inputs!$B$4:$B$150=$B53)*ISNUMBER(INDEX(Inputs!$D$4:$AG$150,0,MATCH(P$2,Inputs!$D$2:$AG$2,0))))=0,"",SUMIFS(INDEX(Inputs!$D$4:$AG$150,0,MATCH(P$2,Inputs!$D$2:$AG$2,0)),Inputs!$B$4:$B$150,$B53)/1000)</f>
        <v>44026</v>
      </c>
      <c r="Q53" s="11">
        <f>IF(SUMPRODUCT((Inputs!$B$4:$B$150=$B53)*ISNUMBER(INDEX(Inputs!$D$4:$AG$150,0,MATCH(Q$2,Inputs!$D$2:$AG$2,0))))=0,"",SUMIFS(INDEX(Inputs!$D$4:$AG$150,0,MATCH(Q$2,Inputs!$D$2:$AG$2,0)),Inputs!$B$4:$B$150,$B53)/1000)</f>
        <v>48020</v>
      </c>
      <c r="R53" s="12">
        <f>IF(COUNT(N53:Q53)=4,SUM(N53:Q53),"")</f>
        <v>175033</v>
      </c>
      <c r="S53" s="11">
        <f>IF(SUMPRODUCT((Inputs!$B$4:$B$150=$B53)*ISNUMBER(INDEX(Inputs!$D$4:$AG$150,0,MATCH(S$2,Inputs!$D$2:$AG$2,0))))=0,"",SUMIFS(INDEX(Inputs!$D$4:$AG$150,0,MATCH(S$2,Inputs!$D$2:$AG$2,0)),Inputs!$B$4:$B$150,$B53)/1000)</f>
        <v>46156</v>
      </c>
      <c r="T53" s="11">
        <f>IF(SUMPRODUCT((Inputs!$B$4:$B$150=$B53)*ISNUMBER(INDEX(Inputs!$D$4:$AG$150,0,MATCH(T$2,Inputs!$D$2:$AG$2,0))))=0,"",SUMIFS(INDEX(Inputs!$D$4:$AG$150,0,MATCH(T$2,Inputs!$D$2:$AG$2,0)),Inputs!$B$4:$B$150,$B53)/1000)</f>
        <v>48509</v>
      </c>
      <c r="U53" s="11">
        <f>IF(SUMPRODUCT((Inputs!$B$4:$B$150=$B53)*ISNUMBER(INDEX(Inputs!$D$4:$AG$150,0,MATCH(U$2,Inputs!$D$2:$AG$2,0))))=0,"",SUMIFS(INDEX(Inputs!$D$4:$AG$150,0,MATCH(U$2,Inputs!$D$2:$AG$2,0)),Inputs!$B$4:$B$150,$B53)/1000)</f>
        <v>49385</v>
      </c>
      <c r="V53" s="11">
        <f>IF(SUMPRODUCT((Inputs!$B$4:$B$150=$B53)*ISNUMBER(INDEX(Inputs!$D$4:$AG$150,0,MATCH(V$2,Inputs!$D$2:$AG$2,0))))=0,"",SUMIFS(INDEX(Inputs!$D$4:$AG$150,0,MATCH(V$2,Inputs!$D$2:$AG$2,0)),Inputs!$B$4:$B$150,$B53)/1000)</f>
        <v>54034</v>
      </c>
      <c r="W53" s="12">
        <f>IF(COUNT(S53:V53)=4,SUM(S53:V53),"")</f>
        <v>198084</v>
      </c>
      <c r="X53" s="11">
        <f>IF(SUMPRODUCT((Inputs!$B$4:$B$150=$B53)*ISNUMBER(INDEX(Inputs!$D$4:$AG$150,0,MATCH(X$2,Inputs!$D$2:$AG$2,0))))=0,"",SUMIFS(INDEX(Inputs!$D$4:$AG$150,0,MATCH(X$2,Inputs!$D$2:$AG$2,0)),Inputs!$B$4:$B$150,$B53)/1000)</f>
        <v>50702</v>
      </c>
      <c r="Y53" s="11">
        <f>IF(SUMPRODUCT((Inputs!$B$4:$B$150=$B53)*ISNUMBER(INDEX(Inputs!$D$4:$AG$150,0,MATCH(Y$2,Inputs!$D$2:$AG$2,0))))=0,"",SUMIFS(INDEX(Inputs!$D$4:$AG$150,0,MATCH(Y$2,Inputs!$D$2:$AG$2,0)),Inputs!$B$4:$B$150,$B53)/1000)</f>
        <v>54190</v>
      </c>
      <c r="Z53" s="11">
        <f>IF(SUMPRODUCT((Inputs!$B$4:$B$150=$B53)*ISNUMBER(INDEX(Inputs!$D$4:$AG$150,0,MATCH(Z$2,Inputs!$D$2:$AG$2,0))))=0,"",SUMIFS(INDEX(Inputs!$D$4:$AG$150,0,MATCH(Z$2,Inputs!$D$2:$AG$2,0)),Inputs!$B$4:$B$150,$B53)/1000)</f>
        <v>56567</v>
      </c>
      <c r="AA53" s="11">
        <f>IF(SUMPRODUCT((Inputs!$B$4:$B$150=$B53)*ISNUMBER(INDEX(Inputs!$D$4:$AG$150,0,MATCH(AA$2,Inputs!$D$2:$AG$2,0))))=0,"",SUMIFS(INDEX(Inputs!$D$4:$AG$150,0,MATCH(AA$2,Inputs!$D$2:$AG$2,0)),Inputs!$B$4:$B$150,$B53)/1000)</f>
        <v>63073</v>
      </c>
      <c r="AB53" s="12">
        <f>IF(COUNT(X53:AA53)=4,SUM(X53:AA53),"")</f>
        <v>224532</v>
      </c>
      <c r="AC53" s="11">
        <f>IF(SUMPRODUCT((Inputs!$B$4:$B$150=$B53)*ISNUMBER(INDEX(Inputs!$D$4:$AG$150,0,MATCH(AC$2,Inputs!$D$2:$AG$2,0))))=0,"",SUMIFS(INDEX(Inputs!$D$4:$AG$150,0,MATCH(AC$2,Inputs!$D$2:$AG$2,0)),Inputs!$B$4:$B$150,$B53)/1000)</f>
        <v>60399</v>
      </c>
      <c r="AD53" s="11">
        <f>IF(SUMPRODUCT((Inputs!$B$4:$B$150=$B53)*ISNUMBER(INDEX(Inputs!$D$4:$AG$150,0,MATCH(AD$2,Inputs!$D$2:$AG$2,0))))=0,"",SUMIFS(INDEX(Inputs!$D$4:$AG$150,0,MATCH(AD$2,Inputs!$D$2:$AG$2,0)),Inputs!$B$4:$B$150,$B53)/1000)</f>
        <v>63271</v>
      </c>
      <c r="AE53" s="11" t="str">
        <f>IF(SUMPRODUCT((Inputs!$B$4:$B$150=$B53)*ISNUMBER(INDEX(Inputs!$D$4:$AG$150,0,MATCH(AE$2,Inputs!$D$2:$AG$2,0))))=0,"",SUMIFS(INDEX(Inputs!$D$4:$AG$150,0,MATCH(AE$2,Inputs!$D$2:$AG$2,0)),Inputs!$B$4:$B$150,$B53)/1000)</f>
        <v/>
      </c>
      <c r="AF53" s="11" t="str">
        <f>IF(SUMPRODUCT((Inputs!$B$4:$B$150=$B53)*ISNUMBER(INDEX(Inputs!$D$4:$AG$150,0,MATCH(AF$2,Inputs!$D$2:$AG$2,0))))=0,"",SUMIFS(INDEX(Inputs!$D$4:$AG$150,0,MATCH(AF$2,Inputs!$D$2:$AG$2,0)),Inputs!$B$4:$B$150,$B53)/1000)</f>
        <v/>
      </c>
      <c r="AG53" s="12" t="str">
        <f>IF(COUNT(AC53:AF53)=4,SUM(AC53:AF53),"")</f>
        <v/>
      </c>
    </row>
    <row r="54">
      <c r="B54" s="9" t="n">
        <v>46</v>
      </c>
      <c r="C54" s="10" t="inlineStr">
        <is>
          <t>Receita YouTube ads (USD)</t>
        </is>
      </c>
      <c r="D54" s="11">
        <f>IF(SUMPRODUCT((Inputs!$B$4:$B$150=$B54)*ISNUMBER(INDEX(Inputs!$D$4:$AG$150,0,MATCH(D$2,Inputs!$D$2:$AG$2,0))))=0,"",SUMIFS(INDEX(Inputs!$D$4:$AG$150,0,MATCH(D$2,Inputs!$D$2:$AG$2,0)),Inputs!$B$4:$B$150,$B54)/1000)</f>
        <v>6005</v>
      </c>
      <c r="E54" s="11">
        <f>IF(SUMPRODUCT((Inputs!$B$4:$B$150=$B54)*ISNUMBER(INDEX(Inputs!$D$4:$AG$150,0,MATCH(E$2,Inputs!$D$2:$AG$2,0))))=0,"",SUMIFS(INDEX(Inputs!$D$4:$AG$150,0,MATCH(E$2,Inputs!$D$2:$AG$2,0)),Inputs!$B$4:$B$150,$B54)/1000)</f>
        <v>7002</v>
      </c>
      <c r="F54" s="11">
        <f>IF(SUMPRODUCT((Inputs!$B$4:$B$150=$B54)*ISNUMBER(INDEX(Inputs!$D$4:$AG$150,0,MATCH(F$2,Inputs!$D$2:$AG$2,0))))=0,"",SUMIFS(INDEX(Inputs!$D$4:$AG$150,0,MATCH(F$2,Inputs!$D$2:$AG$2,0)),Inputs!$B$4:$B$150,$B54)/1000)</f>
        <v>7205</v>
      </c>
      <c r="G54" s="11">
        <f>IF(SUMPRODUCT((Inputs!$B$4:$B$150=$B54)*ISNUMBER(INDEX(Inputs!$D$4:$AG$150,0,MATCH(G$2,Inputs!$D$2:$AG$2,0))))=0,"",SUMIFS(INDEX(Inputs!$D$4:$AG$150,0,MATCH(G$2,Inputs!$D$2:$AG$2,0)),Inputs!$B$4:$B$150,$B54)/1000)</f>
        <v>8633</v>
      </c>
      <c r="H54" s="12">
        <f>IF(COUNT(D54:G54)=4,SUM(D54:G54),"")</f>
        <v>28845</v>
      </c>
      <c r="I54" s="11">
        <f>IF(SUMPRODUCT((Inputs!$B$4:$B$150=$B54)*ISNUMBER(INDEX(Inputs!$D$4:$AG$150,0,MATCH(I$2,Inputs!$D$2:$AG$2,0))))=0,"",SUMIFS(INDEX(Inputs!$D$4:$AG$150,0,MATCH(I$2,Inputs!$D$2:$AG$2,0)),Inputs!$B$4:$B$150,$B54)/1000)</f>
        <v>6869</v>
      </c>
      <c r="J54" s="11">
        <f>IF(SUMPRODUCT((Inputs!$B$4:$B$150=$B54)*ISNUMBER(INDEX(Inputs!$D$4:$AG$150,0,MATCH(J$2,Inputs!$D$2:$AG$2,0))))=0,"",SUMIFS(INDEX(Inputs!$D$4:$AG$150,0,MATCH(J$2,Inputs!$D$2:$AG$2,0)),Inputs!$B$4:$B$150,$B54)/1000)</f>
        <v>7340</v>
      </c>
      <c r="K54" s="11">
        <f>IF(SUMPRODUCT((Inputs!$B$4:$B$150=$B54)*ISNUMBER(INDEX(Inputs!$D$4:$AG$150,0,MATCH(K$2,Inputs!$D$2:$AG$2,0))))=0,"",SUMIFS(INDEX(Inputs!$D$4:$AG$150,0,MATCH(K$2,Inputs!$D$2:$AG$2,0)),Inputs!$B$4:$B$150,$B54)/1000)</f>
        <v>7071</v>
      </c>
      <c r="L54" s="11">
        <f>IF(SUMPRODUCT((Inputs!$B$4:$B$150=$B54)*ISNUMBER(INDEX(Inputs!$D$4:$AG$150,0,MATCH(L$2,Inputs!$D$2:$AG$2,0))))=0,"",SUMIFS(INDEX(Inputs!$D$4:$AG$150,0,MATCH(L$2,Inputs!$D$2:$AG$2,0)),Inputs!$B$4:$B$150,$B54)/1000)</f>
        <v>7963</v>
      </c>
      <c r="M54" s="12">
        <f>IF(COUNT(I54:L54)=4,SUM(I54:L54),"")</f>
        <v>29243</v>
      </c>
      <c r="N54" s="11">
        <f>IF(SUMPRODUCT((Inputs!$B$4:$B$150=$B54)*ISNUMBER(INDEX(Inputs!$D$4:$AG$150,0,MATCH(N$2,Inputs!$D$2:$AG$2,0))))=0,"",SUMIFS(INDEX(Inputs!$D$4:$AG$150,0,MATCH(N$2,Inputs!$D$2:$AG$2,0)),Inputs!$B$4:$B$150,$B54)/1000)</f>
        <v>6693</v>
      </c>
      <c r="O54" s="11">
        <f>IF(SUMPRODUCT((Inputs!$B$4:$B$150=$B54)*ISNUMBER(INDEX(Inputs!$D$4:$AG$150,0,MATCH(O$2,Inputs!$D$2:$AG$2,0))))=0,"",SUMIFS(INDEX(Inputs!$D$4:$AG$150,0,MATCH(O$2,Inputs!$D$2:$AG$2,0)),Inputs!$B$4:$B$150,$B54)/1000)</f>
        <v>7665</v>
      </c>
      <c r="P54" s="11">
        <f>IF(SUMPRODUCT((Inputs!$B$4:$B$150=$B54)*ISNUMBER(INDEX(Inputs!$D$4:$AG$150,0,MATCH(P$2,Inputs!$D$2:$AG$2,0))))=0,"",SUMIFS(INDEX(Inputs!$D$4:$AG$150,0,MATCH(P$2,Inputs!$D$2:$AG$2,0)),Inputs!$B$4:$B$150,$B54)/1000)</f>
        <v>7952</v>
      </c>
      <c r="Q54" s="11">
        <f>IF(SUMPRODUCT((Inputs!$B$4:$B$150=$B54)*ISNUMBER(INDEX(Inputs!$D$4:$AG$150,0,MATCH(Q$2,Inputs!$D$2:$AG$2,0))))=0,"",SUMIFS(INDEX(Inputs!$D$4:$AG$150,0,MATCH(Q$2,Inputs!$D$2:$AG$2,0)),Inputs!$B$4:$B$150,$B54)/1000)</f>
        <v>9200</v>
      </c>
      <c r="R54" s="12">
        <f>IF(COUNT(N54:Q54)=4,SUM(N54:Q54),"")</f>
        <v>31510</v>
      </c>
      <c r="S54" s="11">
        <f>IF(SUMPRODUCT((Inputs!$B$4:$B$150=$B54)*ISNUMBER(INDEX(Inputs!$D$4:$AG$150,0,MATCH(S$2,Inputs!$D$2:$AG$2,0))))=0,"",SUMIFS(INDEX(Inputs!$D$4:$AG$150,0,MATCH(S$2,Inputs!$D$2:$AG$2,0)),Inputs!$B$4:$B$150,$B54)/1000)</f>
        <v>8090</v>
      </c>
      <c r="T54" s="11">
        <f>IF(SUMPRODUCT((Inputs!$B$4:$B$150=$B54)*ISNUMBER(INDEX(Inputs!$D$4:$AG$150,0,MATCH(T$2,Inputs!$D$2:$AG$2,0))))=0,"",SUMIFS(INDEX(Inputs!$D$4:$AG$150,0,MATCH(T$2,Inputs!$D$2:$AG$2,0)),Inputs!$B$4:$B$150,$B54)/1000)</f>
        <v>8663</v>
      </c>
      <c r="U54" s="11">
        <f>IF(SUMPRODUCT((Inputs!$B$4:$B$150=$B54)*ISNUMBER(INDEX(Inputs!$D$4:$AG$150,0,MATCH(U$2,Inputs!$D$2:$AG$2,0))))=0,"",SUMIFS(INDEX(Inputs!$D$4:$AG$150,0,MATCH(U$2,Inputs!$D$2:$AG$2,0)),Inputs!$B$4:$B$150,$B54)/1000)</f>
        <v>8921</v>
      </c>
      <c r="V54" s="11">
        <f>IF(SUMPRODUCT((Inputs!$B$4:$B$150=$B54)*ISNUMBER(INDEX(Inputs!$D$4:$AG$150,0,MATCH(V$2,Inputs!$D$2:$AG$2,0))))=0,"",SUMIFS(INDEX(Inputs!$D$4:$AG$150,0,MATCH(V$2,Inputs!$D$2:$AG$2,0)),Inputs!$B$4:$B$150,$B54)/1000)</f>
        <v>10473</v>
      </c>
      <c r="W54" s="12">
        <f>IF(COUNT(S54:V54)=4,SUM(S54:V54),"")</f>
        <v>36147</v>
      </c>
      <c r="X54" s="11">
        <f>IF(SUMPRODUCT((Inputs!$B$4:$B$150=$B54)*ISNUMBER(INDEX(Inputs!$D$4:$AG$150,0,MATCH(X$2,Inputs!$D$2:$AG$2,0))))=0,"",SUMIFS(INDEX(Inputs!$D$4:$AG$150,0,MATCH(X$2,Inputs!$D$2:$AG$2,0)),Inputs!$B$4:$B$150,$B54)/1000)</f>
        <v>8927</v>
      </c>
      <c r="Y54" s="11">
        <f>IF(SUMPRODUCT((Inputs!$B$4:$B$150=$B54)*ISNUMBER(INDEX(Inputs!$D$4:$AG$150,0,MATCH(Y$2,Inputs!$D$2:$AG$2,0))))=0,"",SUMIFS(INDEX(Inputs!$D$4:$AG$150,0,MATCH(Y$2,Inputs!$D$2:$AG$2,0)),Inputs!$B$4:$B$150,$B54)/1000)</f>
        <v>9796</v>
      </c>
      <c r="Z54" s="11">
        <f>IF(SUMPRODUCT((Inputs!$B$4:$B$150=$B54)*ISNUMBER(INDEX(Inputs!$D$4:$AG$150,0,MATCH(Z$2,Inputs!$D$2:$AG$2,0))))=0,"",SUMIFS(INDEX(Inputs!$D$4:$AG$150,0,MATCH(Z$2,Inputs!$D$2:$AG$2,0)),Inputs!$B$4:$B$150,$B54)/1000)</f>
        <v>10261</v>
      </c>
      <c r="AA54" s="11">
        <f>IF(SUMPRODUCT((Inputs!$B$4:$B$150=$B54)*ISNUMBER(INDEX(Inputs!$D$4:$AG$150,0,MATCH(AA$2,Inputs!$D$2:$AG$2,0))))=0,"",SUMIFS(INDEX(Inputs!$D$4:$AG$150,0,MATCH(AA$2,Inputs!$D$2:$AG$2,0)),Inputs!$B$4:$B$150,$B54)/1000)</f>
        <v>11383</v>
      </c>
      <c r="AB54" s="12">
        <f>IF(COUNT(X54:AA54)=4,SUM(X54:AA54),"")</f>
        <v>40367</v>
      </c>
      <c r="AC54" s="11">
        <f>IF(SUMPRODUCT((Inputs!$B$4:$B$150=$B54)*ISNUMBER(INDEX(Inputs!$D$4:$AG$150,0,MATCH(AC$2,Inputs!$D$2:$AG$2,0))))=0,"",SUMIFS(INDEX(Inputs!$D$4:$AG$150,0,MATCH(AC$2,Inputs!$D$2:$AG$2,0)),Inputs!$B$4:$B$150,$B54)/1000)</f>
        <v>9883</v>
      </c>
      <c r="AD54" s="11">
        <f>IF(SUMPRODUCT((Inputs!$B$4:$B$150=$B54)*ISNUMBER(INDEX(Inputs!$D$4:$AG$150,0,MATCH(AD$2,Inputs!$D$2:$AG$2,0))))=0,"",SUMIFS(INDEX(Inputs!$D$4:$AG$150,0,MATCH(AD$2,Inputs!$D$2:$AG$2,0)),Inputs!$B$4:$B$150,$B54)/1000)</f>
        <v>11055</v>
      </c>
      <c r="AE54" s="11" t="str">
        <f>IF(SUMPRODUCT((Inputs!$B$4:$B$150=$B54)*ISNUMBER(INDEX(Inputs!$D$4:$AG$150,0,MATCH(AE$2,Inputs!$D$2:$AG$2,0))))=0,"",SUMIFS(INDEX(Inputs!$D$4:$AG$150,0,MATCH(AE$2,Inputs!$D$2:$AG$2,0)),Inputs!$B$4:$B$150,$B54)/1000)</f>
        <v/>
      </c>
      <c r="AF54" s="11" t="str">
        <f>IF(SUMPRODUCT((Inputs!$B$4:$B$150=$B54)*ISNUMBER(INDEX(Inputs!$D$4:$AG$150,0,MATCH(AF$2,Inputs!$D$2:$AG$2,0))))=0,"",SUMIFS(INDEX(Inputs!$D$4:$AG$150,0,MATCH(AF$2,Inputs!$D$2:$AG$2,0)),Inputs!$B$4:$B$150,$B54)/1000)</f>
        <v/>
      </c>
      <c r="AG54" s="12" t="str">
        <f>IF(COUNT(AC54:AF54)=4,SUM(AC54:AF54),"")</f>
        <v/>
      </c>
    </row>
    <row r="55">
      <c r="B55" s="9" t="n">
        <v>47</v>
      </c>
      <c r="C55" s="10" t="inlineStr">
        <is>
          <t>Receita Google Network (USD)</t>
        </is>
      </c>
      <c r="D55" s="11">
        <f>IF(SUMPRODUCT((Inputs!$B$4:$B$150=$B55)*ISNUMBER(INDEX(Inputs!$D$4:$AG$150,0,MATCH(D$2,Inputs!$D$2:$AG$2,0))))=0,"",SUMIFS(INDEX(Inputs!$D$4:$AG$150,0,MATCH(D$2,Inputs!$D$2:$AG$2,0)),Inputs!$B$4:$B$150,$B55)/1000)</f>
        <v>6800</v>
      </c>
      <c r="E55" s="11">
        <f>IF(SUMPRODUCT((Inputs!$B$4:$B$150=$B55)*ISNUMBER(INDEX(Inputs!$D$4:$AG$150,0,MATCH(E$2,Inputs!$D$2:$AG$2,0))))=0,"",SUMIFS(INDEX(Inputs!$D$4:$AG$150,0,MATCH(E$2,Inputs!$D$2:$AG$2,0)),Inputs!$B$4:$B$150,$B55)/1000)</f>
        <v>7597</v>
      </c>
      <c r="F55" s="11">
        <f>IF(SUMPRODUCT((Inputs!$B$4:$B$150=$B55)*ISNUMBER(INDEX(Inputs!$D$4:$AG$150,0,MATCH(F$2,Inputs!$D$2:$AG$2,0))))=0,"",SUMIFS(INDEX(Inputs!$D$4:$AG$150,0,MATCH(F$2,Inputs!$D$2:$AG$2,0)),Inputs!$B$4:$B$150,$B55)/1000)</f>
        <v>7999</v>
      </c>
      <c r="G55" s="11">
        <f>IF(SUMPRODUCT((Inputs!$B$4:$B$150=$B55)*ISNUMBER(INDEX(Inputs!$D$4:$AG$150,0,MATCH(G$2,Inputs!$D$2:$AG$2,0))))=0,"",SUMIFS(INDEX(Inputs!$D$4:$AG$150,0,MATCH(G$2,Inputs!$D$2:$AG$2,0)),Inputs!$B$4:$B$150,$B55)/1000)</f>
        <v>9305</v>
      </c>
      <c r="H55" s="12">
        <f>IF(COUNT(D55:G55)=4,SUM(D55:G55),"")</f>
        <v>31701</v>
      </c>
      <c r="I55" s="11">
        <f>IF(SUMPRODUCT((Inputs!$B$4:$B$150=$B55)*ISNUMBER(INDEX(Inputs!$D$4:$AG$150,0,MATCH(I$2,Inputs!$D$2:$AG$2,0))))=0,"",SUMIFS(INDEX(Inputs!$D$4:$AG$150,0,MATCH(I$2,Inputs!$D$2:$AG$2,0)),Inputs!$B$4:$B$150,$B55)/1000)</f>
        <v>8174</v>
      </c>
      <c r="J55" s="11">
        <f>IF(SUMPRODUCT((Inputs!$B$4:$B$150=$B55)*ISNUMBER(INDEX(Inputs!$D$4:$AG$150,0,MATCH(J$2,Inputs!$D$2:$AG$2,0))))=0,"",SUMIFS(INDEX(Inputs!$D$4:$AG$150,0,MATCH(J$2,Inputs!$D$2:$AG$2,0)),Inputs!$B$4:$B$150,$B55)/1000)</f>
        <v>8259</v>
      </c>
      <c r="K55" s="11">
        <f>IF(SUMPRODUCT((Inputs!$B$4:$B$150=$B55)*ISNUMBER(INDEX(Inputs!$D$4:$AG$150,0,MATCH(K$2,Inputs!$D$2:$AG$2,0))))=0,"",SUMIFS(INDEX(Inputs!$D$4:$AG$150,0,MATCH(K$2,Inputs!$D$2:$AG$2,0)),Inputs!$B$4:$B$150,$B55)/1000)</f>
        <v>7872</v>
      </c>
      <c r="L55" s="11">
        <f>IF(SUMPRODUCT((Inputs!$B$4:$B$150=$B55)*ISNUMBER(INDEX(Inputs!$D$4:$AG$150,0,MATCH(L$2,Inputs!$D$2:$AG$2,0))))=0,"",SUMIFS(INDEX(Inputs!$D$4:$AG$150,0,MATCH(L$2,Inputs!$D$2:$AG$2,0)),Inputs!$B$4:$B$150,$B55)/1000)</f>
        <v>8475</v>
      </c>
      <c r="M55" s="12">
        <f>IF(COUNT(I55:L55)=4,SUM(I55:L55),"")</f>
        <v>32780</v>
      </c>
      <c r="N55" s="11">
        <f>IF(SUMPRODUCT((Inputs!$B$4:$B$150=$B55)*ISNUMBER(INDEX(Inputs!$D$4:$AG$150,0,MATCH(N$2,Inputs!$D$2:$AG$2,0))))=0,"",SUMIFS(INDEX(Inputs!$D$4:$AG$150,0,MATCH(N$2,Inputs!$D$2:$AG$2,0)),Inputs!$B$4:$B$150,$B55)/1000)</f>
        <v>7496</v>
      </c>
      <c r="O55" s="11">
        <f>IF(SUMPRODUCT((Inputs!$B$4:$B$150=$B55)*ISNUMBER(INDEX(Inputs!$D$4:$AG$150,0,MATCH(O$2,Inputs!$D$2:$AG$2,0))))=0,"",SUMIFS(INDEX(Inputs!$D$4:$AG$150,0,MATCH(O$2,Inputs!$D$2:$AG$2,0)),Inputs!$B$4:$B$150,$B55)/1000)</f>
        <v>7850</v>
      </c>
      <c r="P55" s="11">
        <f>IF(SUMPRODUCT((Inputs!$B$4:$B$150=$B55)*ISNUMBER(INDEX(Inputs!$D$4:$AG$150,0,MATCH(P$2,Inputs!$D$2:$AG$2,0))))=0,"",SUMIFS(INDEX(Inputs!$D$4:$AG$150,0,MATCH(P$2,Inputs!$D$2:$AG$2,0)),Inputs!$B$4:$B$150,$B55)/1000)</f>
        <v>7669</v>
      </c>
      <c r="Q55" s="11">
        <f>IF(SUMPRODUCT((Inputs!$B$4:$B$150=$B55)*ISNUMBER(INDEX(Inputs!$D$4:$AG$150,0,MATCH(Q$2,Inputs!$D$2:$AG$2,0))))=0,"",SUMIFS(INDEX(Inputs!$D$4:$AG$150,0,MATCH(Q$2,Inputs!$D$2:$AG$2,0)),Inputs!$B$4:$B$150,$B55)/1000)</f>
        <v>8297</v>
      </c>
      <c r="R55" s="12">
        <f>IF(COUNT(N55:Q55)=4,SUM(N55:Q55),"")</f>
        <v>31312</v>
      </c>
      <c r="S55" s="11">
        <f>IF(SUMPRODUCT((Inputs!$B$4:$B$150=$B55)*ISNUMBER(INDEX(Inputs!$D$4:$AG$150,0,MATCH(S$2,Inputs!$D$2:$AG$2,0))))=0,"",SUMIFS(INDEX(Inputs!$D$4:$AG$150,0,MATCH(S$2,Inputs!$D$2:$AG$2,0)),Inputs!$B$4:$B$150,$B55)/1000)</f>
        <v>7413</v>
      </c>
      <c r="T55" s="11">
        <f>IF(SUMPRODUCT((Inputs!$B$4:$B$150=$B55)*ISNUMBER(INDEX(Inputs!$D$4:$AG$150,0,MATCH(T$2,Inputs!$D$2:$AG$2,0))))=0,"",SUMIFS(INDEX(Inputs!$D$4:$AG$150,0,MATCH(T$2,Inputs!$D$2:$AG$2,0)),Inputs!$B$4:$B$150,$B55)/1000)</f>
        <v>7444</v>
      </c>
      <c r="U55" s="11">
        <f>IF(SUMPRODUCT((Inputs!$B$4:$B$150=$B55)*ISNUMBER(INDEX(Inputs!$D$4:$AG$150,0,MATCH(U$2,Inputs!$D$2:$AG$2,0))))=0,"",SUMIFS(INDEX(Inputs!$D$4:$AG$150,0,MATCH(U$2,Inputs!$D$2:$AG$2,0)),Inputs!$B$4:$B$150,$B55)/1000)</f>
        <v>7548</v>
      </c>
      <c r="V55" s="11">
        <f>IF(SUMPRODUCT((Inputs!$B$4:$B$150=$B55)*ISNUMBER(INDEX(Inputs!$D$4:$AG$150,0,MATCH(V$2,Inputs!$D$2:$AG$2,0))))=0,"",SUMIFS(INDEX(Inputs!$D$4:$AG$150,0,MATCH(V$2,Inputs!$D$2:$AG$2,0)),Inputs!$B$4:$B$150,$B55)/1000)</f>
        <v>7954</v>
      </c>
      <c r="W55" s="12">
        <f>IF(COUNT(S55:V55)=4,SUM(S55:V55),"")</f>
        <v>30359</v>
      </c>
      <c r="X55" s="11">
        <f>IF(SUMPRODUCT((Inputs!$B$4:$B$150=$B55)*ISNUMBER(INDEX(Inputs!$D$4:$AG$150,0,MATCH(X$2,Inputs!$D$2:$AG$2,0))))=0,"",SUMIFS(INDEX(Inputs!$D$4:$AG$150,0,MATCH(X$2,Inputs!$D$2:$AG$2,0)),Inputs!$B$4:$B$150,$B55)/1000)</f>
        <v>7256</v>
      </c>
      <c r="Y55" s="11">
        <f>IF(SUMPRODUCT((Inputs!$B$4:$B$150=$B55)*ISNUMBER(INDEX(Inputs!$D$4:$AG$150,0,MATCH(Y$2,Inputs!$D$2:$AG$2,0))))=0,"",SUMIFS(INDEX(Inputs!$D$4:$AG$150,0,MATCH(Y$2,Inputs!$D$2:$AG$2,0)),Inputs!$B$4:$B$150,$B55)/1000)</f>
        <v>7354</v>
      </c>
      <c r="Z55" s="11">
        <f>IF(SUMPRODUCT((Inputs!$B$4:$B$150=$B55)*ISNUMBER(INDEX(Inputs!$D$4:$AG$150,0,MATCH(Z$2,Inputs!$D$2:$AG$2,0))))=0,"",SUMIFS(INDEX(Inputs!$D$4:$AG$150,0,MATCH(Z$2,Inputs!$D$2:$AG$2,0)),Inputs!$B$4:$B$150,$B55)/1000)</f>
        <v>7354</v>
      </c>
      <c r="AA55" s="11">
        <f>IF(SUMPRODUCT((Inputs!$B$4:$B$150=$B55)*ISNUMBER(INDEX(Inputs!$D$4:$AG$150,0,MATCH(AA$2,Inputs!$D$2:$AG$2,0))))=0,"",SUMIFS(INDEX(Inputs!$D$4:$AG$150,0,MATCH(AA$2,Inputs!$D$2:$AG$2,0)),Inputs!$B$4:$B$150,$B55)/1000)</f>
        <v>7828</v>
      </c>
      <c r="AB55" s="12">
        <f>IF(COUNT(X55:AA55)=4,SUM(X55:AA55),"")</f>
        <v>29792</v>
      </c>
      <c r="AC55" s="11">
        <f>IF(SUMPRODUCT((Inputs!$B$4:$B$150=$B55)*ISNUMBER(INDEX(Inputs!$D$4:$AG$150,0,MATCH(AC$2,Inputs!$D$2:$AG$2,0))))=0,"",SUMIFS(INDEX(Inputs!$D$4:$AG$150,0,MATCH(AC$2,Inputs!$D$2:$AG$2,0)),Inputs!$B$4:$B$150,$B55)/1000)</f>
        <v>6971</v>
      </c>
      <c r="AD55" s="11">
        <f>IF(SUMPRODUCT((Inputs!$B$4:$B$150=$B55)*ISNUMBER(INDEX(Inputs!$D$4:$AG$150,0,MATCH(AD$2,Inputs!$D$2:$AG$2,0))))=0,"",SUMIFS(INDEX(Inputs!$D$4:$AG$150,0,MATCH(AD$2,Inputs!$D$2:$AG$2,0)),Inputs!$B$4:$B$150,$B55)/1000)</f>
        <v>7303</v>
      </c>
      <c r="AE55" s="11" t="str">
        <f>IF(SUMPRODUCT((Inputs!$B$4:$B$150=$B55)*ISNUMBER(INDEX(Inputs!$D$4:$AG$150,0,MATCH(AE$2,Inputs!$D$2:$AG$2,0))))=0,"",SUMIFS(INDEX(Inputs!$D$4:$AG$150,0,MATCH(AE$2,Inputs!$D$2:$AG$2,0)),Inputs!$B$4:$B$150,$B55)/1000)</f>
        <v/>
      </c>
      <c r="AF55" s="11" t="str">
        <f>IF(SUMPRODUCT((Inputs!$B$4:$B$150=$B55)*ISNUMBER(INDEX(Inputs!$D$4:$AG$150,0,MATCH(AF$2,Inputs!$D$2:$AG$2,0))))=0,"",SUMIFS(INDEX(Inputs!$D$4:$AG$150,0,MATCH(AF$2,Inputs!$D$2:$AG$2,0)),Inputs!$B$4:$B$150,$B55)/1000)</f>
        <v/>
      </c>
      <c r="AG55" s="12" t="str">
        <f>IF(COUNT(AC55:AF55)=4,SUM(AC55:AF55),"")</f>
        <v/>
      </c>
    </row>
    <row r="56">
      <c r="B56" s="9" t="n">
        <v>48</v>
      </c>
      <c r="C56" s="10" t="inlineStr">
        <is>
          <t>Receita Google subscriptions, platforms and devices (USD; até 2021 "Google other")</t>
        </is>
      </c>
      <c r="D56" s="11">
        <f>IF(SUMPRODUCT((Inputs!$B$4:$B$150=$B56)*ISNUMBER(INDEX(Inputs!$D$4:$AG$150,0,MATCH(D$2,Inputs!$D$2:$AG$2,0))))=0,"",SUMIFS(INDEX(Inputs!$D$4:$AG$150,0,MATCH(D$2,Inputs!$D$2:$AG$2,0)),Inputs!$B$4:$B$150,$B56)/1000)</f>
        <v>6494</v>
      </c>
      <c r="E56" s="11">
        <f>IF(SUMPRODUCT((Inputs!$B$4:$B$150=$B56)*ISNUMBER(INDEX(Inputs!$D$4:$AG$150,0,MATCH(E$2,Inputs!$D$2:$AG$2,0))))=0,"",SUMIFS(INDEX(Inputs!$D$4:$AG$150,0,MATCH(E$2,Inputs!$D$2:$AG$2,0)),Inputs!$B$4:$B$150,$B56)/1000)</f>
        <v>6623</v>
      </c>
      <c r="F56" s="11">
        <f>IF(SUMPRODUCT((Inputs!$B$4:$B$150=$B56)*ISNUMBER(INDEX(Inputs!$D$4:$AG$150,0,MATCH(F$2,Inputs!$D$2:$AG$2,0))))=0,"",SUMIFS(INDEX(Inputs!$D$4:$AG$150,0,MATCH(F$2,Inputs!$D$2:$AG$2,0)),Inputs!$B$4:$B$150,$B56)/1000)</f>
        <v>6754</v>
      </c>
      <c r="G56" s="11">
        <f>IF(SUMPRODUCT((Inputs!$B$4:$B$150=$B56)*ISNUMBER(INDEX(Inputs!$D$4:$AG$150,0,MATCH(G$2,Inputs!$D$2:$AG$2,0))))=0,"",SUMIFS(INDEX(Inputs!$D$4:$AG$150,0,MATCH(G$2,Inputs!$D$2:$AG$2,0)),Inputs!$B$4:$B$150,$B56)/1000)</f>
        <v>8161</v>
      </c>
      <c r="H56" s="12">
        <f>IF(COUNT(D56:G56)=4,SUM(D56:G56),"")</f>
        <v>28032</v>
      </c>
      <c r="I56" s="11">
        <f>IF(SUMPRODUCT((Inputs!$B$4:$B$150=$B56)*ISNUMBER(INDEX(Inputs!$D$4:$AG$150,0,MATCH(I$2,Inputs!$D$2:$AG$2,0))))=0,"",SUMIFS(INDEX(Inputs!$D$4:$AG$150,0,MATCH(I$2,Inputs!$D$2:$AG$2,0)),Inputs!$B$4:$B$150,$B56)/1000)</f>
        <v>6811</v>
      </c>
      <c r="J56" s="11">
        <f>IF(SUMPRODUCT((Inputs!$B$4:$B$150=$B56)*ISNUMBER(INDEX(Inputs!$D$4:$AG$150,0,MATCH(J$2,Inputs!$D$2:$AG$2,0))))=0,"",SUMIFS(INDEX(Inputs!$D$4:$AG$150,0,MATCH(J$2,Inputs!$D$2:$AG$2,0)),Inputs!$B$4:$B$150,$B56)/1000)</f>
        <v>6553</v>
      </c>
      <c r="K56" s="11">
        <f>IF(SUMPRODUCT((Inputs!$B$4:$B$150=$B56)*ISNUMBER(INDEX(Inputs!$D$4:$AG$150,0,MATCH(K$2,Inputs!$D$2:$AG$2,0))))=0,"",SUMIFS(INDEX(Inputs!$D$4:$AG$150,0,MATCH(K$2,Inputs!$D$2:$AG$2,0)),Inputs!$B$4:$B$150,$B56)/1000)</f>
        <v>6895</v>
      </c>
      <c r="L56" s="11">
        <f>IF(SUMPRODUCT((Inputs!$B$4:$B$150=$B56)*ISNUMBER(INDEX(Inputs!$D$4:$AG$150,0,MATCH(L$2,Inputs!$D$2:$AG$2,0))))=0,"",SUMIFS(INDEX(Inputs!$D$4:$AG$150,0,MATCH(L$2,Inputs!$D$2:$AG$2,0)),Inputs!$B$4:$B$150,$B56)/1000)</f>
        <v>8796</v>
      </c>
      <c r="M56" s="12">
        <f>IF(COUNT(I56:L56)=4,SUM(I56:L56),"")</f>
        <v>29055</v>
      </c>
      <c r="N56" s="11">
        <f>IF(SUMPRODUCT((Inputs!$B$4:$B$150=$B56)*ISNUMBER(INDEX(Inputs!$D$4:$AG$150,0,MATCH(N$2,Inputs!$D$2:$AG$2,0))))=0,"",SUMIFS(INDEX(Inputs!$D$4:$AG$150,0,MATCH(N$2,Inputs!$D$2:$AG$2,0)),Inputs!$B$4:$B$150,$B56)/1000)</f>
        <v>7413</v>
      </c>
      <c r="O56" s="11">
        <f>IF(SUMPRODUCT((Inputs!$B$4:$B$150=$B56)*ISNUMBER(INDEX(Inputs!$D$4:$AG$150,0,MATCH(O$2,Inputs!$D$2:$AG$2,0))))=0,"",SUMIFS(INDEX(Inputs!$D$4:$AG$150,0,MATCH(O$2,Inputs!$D$2:$AG$2,0)),Inputs!$B$4:$B$150,$B56)/1000)</f>
        <v>8142</v>
      </c>
      <c r="P56" s="11">
        <f>IF(SUMPRODUCT((Inputs!$B$4:$B$150=$B56)*ISNUMBER(INDEX(Inputs!$D$4:$AG$150,0,MATCH(P$2,Inputs!$D$2:$AG$2,0))))=0,"",SUMIFS(INDEX(Inputs!$D$4:$AG$150,0,MATCH(P$2,Inputs!$D$2:$AG$2,0)),Inputs!$B$4:$B$150,$B56)/1000)</f>
        <v>8339</v>
      </c>
      <c r="Q56" s="11">
        <f>IF(SUMPRODUCT((Inputs!$B$4:$B$150=$B56)*ISNUMBER(INDEX(Inputs!$D$4:$AG$150,0,MATCH(Q$2,Inputs!$D$2:$AG$2,0))))=0,"",SUMIFS(INDEX(Inputs!$D$4:$AG$150,0,MATCH(Q$2,Inputs!$D$2:$AG$2,0)),Inputs!$B$4:$B$150,$B56)/1000)</f>
        <v>10794</v>
      </c>
      <c r="R56" s="12">
        <f>IF(COUNT(N56:Q56)=4,SUM(N56:Q56),"")</f>
        <v>34688</v>
      </c>
      <c r="S56" s="11">
        <f>IF(SUMPRODUCT((Inputs!$B$4:$B$150=$B56)*ISNUMBER(INDEX(Inputs!$D$4:$AG$150,0,MATCH(S$2,Inputs!$D$2:$AG$2,0))))=0,"",SUMIFS(INDEX(Inputs!$D$4:$AG$150,0,MATCH(S$2,Inputs!$D$2:$AG$2,0)),Inputs!$B$4:$B$150,$B56)/1000)</f>
        <v>8739</v>
      </c>
      <c r="T56" s="11">
        <f>IF(SUMPRODUCT((Inputs!$B$4:$B$150=$B56)*ISNUMBER(INDEX(Inputs!$D$4:$AG$150,0,MATCH(T$2,Inputs!$D$2:$AG$2,0))))=0,"",SUMIFS(INDEX(Inputs!$D$4:$AG$150,0,MATCH(T$2,Inputs!$D$2:$AG$2,0)),Inputs!$B$4:$B$150,$B56)/1000)</f>
        <v>9312</v>
      </c>
      <c r="U56" s="11">
        <f>IF(SUMPRODUCT((Inputs!$B$4:$B$150=$B56)*ISNUMBER(INDEX(Inputs!$D$4:$AG$150,0,MATCH(U$2,Inputs!$D$2:$AG$2,0))))=0,"",SUMIFS(INDEX(Inputs!$D$4:$AG$150,0,MATCH(U$2,Inputs!$D$2:$AG$2,0)),Inputs!$B$4:$B$150,$B56)/1000)</f>
        <v>10656</v>
      </c>
      <c r="V56" s="11">
        <f>IF(SUMPRODUCT((Inputs!$B$4:$B$150=$B56)*ISNUMBER(INDEX(Inputs!$D$4:$AG$150,0,MATCH(V$2,Inputs!$D$2:$AG$2,0))))=0,"",SUMIFS(INDEX(Inputs!$D$4:$AG$150,0,MATCH(V$2,Inputs!$D$2:$AG$2,0)),Inputs!$B$4:$B$150,$B56)/1000)</f>
        <v>11633</v>
      </c>
      <c r="W56" s="12">
        <f>IF(COUNT(S56:V56)=4,SUM(S56:V56),"")</f>
        <v>40340</v>
      </c>
      <c r="X56" s="11">
        <f>IF(SUMPRODUCT((Inputs!$B$4:$B$150=$B56)*ISNUMBER(INDEX(Inputs!$D$4:$AG$150,0,MATCH(X$2,Inputs!$D$2:$AG$2,0))))=0,"",SUMIFS(INDEX(Inputs!$D$4:$AG$150,0,MATCH(X$2,Inputs!$D$2:$AG$2,0)),Inputs!$B$4:$B$150,$B56)/1000)</f>
        <v>10379</v>
      </c>
      <c r="Y56" s="11">
        <f>IF(SUMPRODUCT((Inputs!$B$4:$B$150=$B56)*ISNUMBER(INDEX(Inputs!$D$4:$AG$150,0,MATCH(Y$2,Inputs!$D$2:$AG$2,0))))=0,"",SUMIFS(INDEX(Inputs!$D$4:$AG$150,0,MATCH(Y$2,Inputs!$D$2:$AG$2,0)),Inputs!$B$4:$B$150,$B56)/1000)</f>
        <v>11203</v>
      </c>
      <c r="Z56" s="11">
        <f>IF(SUMPRODUCT((Inputs!$B$4:$B$150=$B56)*ISNUMBER(INDEX(Inputs!$D$4:$AG$150,0,MATCH(Z$2,Inputs!$D$2:$AG$2,0))))=0,"",SUMIFS(INDEX(Inputs!$D$4:$AG$150,0,MATCH(Z$2,Inputs!$D$2:$AG$2,0)),Inputs!$B$4:$B$150,$B56)/1000)</f>
        <v>12870</v>
      </c>
      <c r="AA56" s="11">
        <f>IF(SUMPRODUCT((Inputs!$B$4:$B$150=$B56)*ISNUMBER(INDEX(Inputs!$D$4:$AG$150,0,MATCH(AA$2,Inputs!$D$2:$AG$2,0))))=0,"",SUMIFS(INDEX(Inputs!$D$4:$AG$150,0,MATCH(AA$2,Inputs!$D$2:$AG$2,0)),Inputs!$B$4:$B$150,$B56)/1000)</f>
        <v>13578</v>
      </c>
      <c r="AB56" s="12">
        <f>IF(COUNT(X56:AA56)=4,SUM(X56:AA56),"")</f>
        <v>48030</v>
      </c>
      <c r="AC56" s="11">
        <f>IF(SUMPRODUCT((Inputs!$B$4:$B$150=$B56)*ISNUMBER(INDEX(Inputs!$D$4:$AG$150,0,MATCH(AC$2,Inputs!$D$2:$AG$2,0))))=0,"",SUMIFS(INDEX(Inputs!$D$4:$AG$150,0,MATCH(AC$2,Inputs!$D$2:$AG$2,0)),Inputs!$B$4:$B$150,$B56)/1000)</f>
        <v>12384</v>
      </c>
      <c r="AD56" s="11">
        <f>IF(SUMPRODUCT((Inputs!$B$4:$B$150=$B56)*ISNUMBER(INDEX(Inputs!$D$4:$AG$150,0,MATCH(AD$2,Inputs!$D$2:$AG$2,0))))=0,"",SUMIFS(INDEX(Inputs!$D$4:$AG$150,0,MATCH(AD$2,Inputs!$D$2:$AG$2,0)),Inputs!$B$4:$B$150,$B56)/1000)</f>
        <v>12911</v>
      </c>
      <c r="AE56" s="11" t="str">
        <f>IF(SUMPRODUCT((Inputs!$B$4:$B$150=$B56)*ISNUMBER(INDEX(Inputs!$D$4:$AG$150,0,MATCH(AE$2,Inputs!$D$2:$AG$2,0))))=0,"",SUMIFS(INDEX(Inputs!$D$4:$AG$150,0,MATCH(AE$2,Inputs!$D$2:$AG$2,0)),Inputs!$B$4:$B$150,$B56)/1000)</f>
        <v/>
      </c>
      <c r="AF56" s="11" t="str">
        <f>IF(SUMPRODUCT((Inputs!$B$4:$B$150=$B56)*ISNUMBER(INDEX(Inputs!$D$4:$AG$150,0,MATCH(AF$2,Inputs!$D$2:$AG$2,0))))=0,"",SUMIFS(INDEX(Inputs!$D$4:$AG$150,0,MATCH(AF$2,Inputs!$D$2:$AG$2,0)),Inputs!$B$4:$B$150,$B56)/1000)</f>
        <v/>
      </c>
      <c r="AG56" s="12" t="str">
        <f>IF(COUNT(AC56:AF56)=4,SUM(AC56:AF56),"")</f>
        <v/>
      </c>
    </row>
    <row r="57">
      <c r="B57" s="9" t="n">
        <v>49</v>
      </c>
      <c r="C57" s="10" t="inlineStr">
        <is>
          <t>Segmento Google Services - receita (USD)</t>
        </is>
      </c>
      <c r="D57" s="11">
        <f>IF(SUMPRODUCT((Inputs!$B$4:$B$150=$B57)*ISNUMBER(INDEX(Inputs!$D$4:$AG$150,0,MATCH(D$2,Inputs!$D$2:$AG$2,0))))=0,"",SUMIFS(INDEX(Inputs!$D$4:$AG$150,0,MATCH(D$2,Inputs!$D$2:$AG$2,0)),Inputs!$B$4:$B$150,$B57)/1000)</f>
        <v>51178</v>
      </c>
      <c r="E57" s="11">
        <f>IF(SUMPRODUCT((Inputs!$B$4:$B$150=$B57)*ISNUMBER(INDEX(Inputs!$D$4:$AG$150,0,MATCH(E$2,Inputs!$D$2:$AG$2,0))))=0,"",SUMIFS(INDEX(Inputs!$D$4:$AG$150,0,MATCH(E$2,Inputs!$D$2:$AG$2,0)),Inputs!$B$4:$B$150,$B57)/1000)</f>
        <v>57067</v>
      </c>
      <c r="F57" s="11">
        <f>IF(SUMPRODUCT((Inputs!$B$4:$B$150=$B57)*ISNUMBER(INDEX(Inputs!$D$4:$AG$150,0,MATCH(F$2,Inputs!$D$2:$AG$2,0))))=0,"",SUMIFS(INDEX(Inputs!$D$4:$AG$150,0,MATCH(F$2,Inputs!$D$2:$AG$2,0)),Inputs!$B$4:$B$150,$B57)/1000)</f>
        <v>59884</v>
      </c>
      <c r="G57" s="11">
        <f>IF(SUMPRODUCT((Inputs!$B$4:$B$150=$B57)*ISNUMBER(INDEX(Inputs!$D$4:$AG$150,0,MATCH(G$2,Inputs!$D$2:$AG$2,0))))=0,"",SUMIFS(INDEX(Inputs!$D$4:$AG$150,0,MATCH(G$2,Inputs!$D$2:$AG$2,0)),Inputs!$B$4:$B$150,$B57)/1000)</f>
        <v>69400</v>
      </c>
      <c r="H57" s="12">
        <f>IF(COUNT(D57:G57)=4,SUM(D57:G57),"")</f>
        <v>237529</v>
      </c>
      <c r="I57" s="11">
        <f>IF(SUMPRODUCT((Inputs!$B$4:$B$150=$B57)*ISNUMBER(INDEX(Inputs!$D$4:$AG$150,0,MATCH(I$2,Inputs!$D$2:$AG$2,0))))=0,"",SUMIFS(INDEX(Inputs!$D$4:$AG$150,0,MATCH(I$2,Inputs!$D$2:$AG$2,0)),Inputs!$B$4:$B$150,$B57)/1000)</f>
        <v>61472</v>
      </c>
      <c r="J57" s="11">
        <f>IF(SUMPRODUCT((Inputs!$B$4:$B$150=$B57)*ISNUMBER(INDEX(Inputs!$D$4:$AG$150,0,MATCH(J$2,Inputs!$D$2:$AG$2,0))))=0,"",SUMIFS(INDEX(Inputs!$D$4:$AG$150,0,MATCH(J$2,Inputs!$D$2:$AG$2,0)),Inputs!$B$4:$B$150,$B57)/1000)</f>
        <v>62841</v>
      </c>
      <c r="K57" s="11">
        <f>IF(SUMPRODUCT((Inputs!$B$4:$B$150=$B57)*ISNUMBER(INDEX(Inputs!$D$4:$AG$150,0,MATCH(K$2,Inputs!$D$2:$AG$2,0))))=0,"",SUMIFS(INDEX(Inputs!$D$4:$AG$150,0,MATCH(K$2,Inputs!$D$2:$AG$2,0)),Inputs!$B$4:$B$150,$B57)/1000)</f>
        <v>61377</v>
      </c>
      <c r="L57" s="11">
        <f>IF(SUMPRODUCT((Inputs!$B$4:$B$150=$B57)*ISNUMBER(INDEX(Inputs!$D$4:$AG$150,0,MATCH(L$2,Inputs!$D$2:$AG$2,0))))=0,"",SUMIFS(INDEX(Inputs!$D$4:$AG$150,0,MATCH(L$2,Inputs!$D$2:$AG$2,0)),Inputs!$B$4:$B$150,$B57)/1000)</f>
        <v>67838</v>
      </c>
      <c r="M57" s="12">
        <f>IF(COUNT(I57:L57)=4,SUM(I57:L57),"")</f>
        <v>253528</v>
      </c>
      <c r="N57" s="11">
        <f>IF(SUMPRODUCT((Inputs!$B$4:$B$150=$B57)*ISNUMBER(INDEX(Inputs!$D$4:$AG$150,0,MATCH(N$2,Inputs!$D$2:$AG$2,0))))=0,"",SUMIFS(INDEX(Inputs!$D$4:$AG$150,0,MATCH(N$2,Inputs!$D$2:$AG$2,0)),Inputs!$B$4:$B$150,$B57)/1000)</f>
        <v>61961</v>
      </c>
      <c r="O57" s="11">
        <f>IF(SUMPRODUCT((Inputs!$B$4:$B$150=$B57)*ISNUMBER(INDEX(Inputs!$D$4:$AG$150,0,MATCH(O$2,Inputs!$D$2:$AG$2,0))))=0,"",SUMIFS(INDEX(Inputs!$D$4:$AG$150,0,MATCH(O$2,Inputs!$D$2:$AG$2,0)),Inputs!$B$4:$B$150,$B57)/1000)</f>
        <v>66285</v>
      </c>
      <c r="P57" s="11">
        <f>IF(SUMPRODUCT((Inputs!$B$4:$B$150=$B57)*ISNUMBER(INDEX(Inputs!$D$4:$AG$150,0,MATCH(P$2,Inputs!$D$2:$AG$2,0))))=0,"",SUMIFS(INDEX(Inputs!$D$4:$AG$150,0,MATCH(P$2,Inputs!$D$2:$AG$2,0)),Inputs!$B$4:$B$150,$B57)/1000)</f>
        <v>67986</v>
      </c>
      <c r="Q57" s="11">
        <f>IF(SUMPRODUCT((Inputs!$B$4:$B$150=$B57)*ISNUMBER(INDEX(Inputs!$D$4:$AG$150,0,MATCH(Q$2,Inputs!$D$2:$AG$2,0))))=0,"",SUMIFS(INDEX(Inputs!$D$4:$AG$150,0,MATCH(Q$2,Inputs!$D$2:$AG$2,0)),Inputs!$B$4:$B$150,$B57)/1000)</f>
        <v>76311</v>
      </c>
      <c r="R57" s="12">
        <f>IF(COUNT(N57:Q57)=4,SUM(N57:Q57),"")</f>
        <v>272543</v>
      </c>
      <c r="S57" s="11">
        <f>IF(SUMPRODUCT((Inputs!$B$4:$B$150=$B57)*ISNUMBER(INDEX(Inputs!$D$4:$AG$150,0,MATCH(S$2,Inputs!$D$2:$AG$2,0))))=0,"",SUMIFS(INDEX(Inputs!$D$4:$AG$150,0,MATCH(S$2,Inputs!$D$2:$AG$2,0)),Inputs!$B$4:$B$150,$B57)/1000)</f>
        <v>70398</v>
      </c>
      <c r="T57" s="11">
        <f>IF(SUMPRODUCT((Inputs!$B$4:$B$150=$B57)*ISNUMBER(INDEX(Inputs!$D$4:$AG$150,0,MATCH(T$2,Inputs!$D$2:$AG$2,0))))=0,"",SUMIFS(INDEX(Inputs!$D$4:$AG$150,0,MATCH(T$2,Inputs!$D$2:$AG$2,0)),Inputs!$B$4:$B$150,$B57)/1000)</f>
        <v>73928</v>
      </c>
      <c r="U57" s="11">
        <f>IF(SUMPRODUCT((Inputs!$B$4:$B$150=$B57)*ISNUMBER(INDEX(Inputs!$D$4:$AG$150,0,MATCH(U$2,Inputs!$D$2:$AG$2,0))))=0,"",SUMIFS(INDEX(Inputs!$D$4:$AG$150,0,MATCH(U$2,Inputs!$D$2:$AG$2,0)),Inputs!$B$4:$B$150,$B57)/1000)</f>
        <v>76510</v>
      </c>
      <c r="V57" s="11">
        <f>IF(SUMPRODUCT((Inputs!$B$4:$B$150=$B57)*ISNUMBER(INDEX(Inputs!$D$4:$AG$150,0,MATCH(V$2,Inputs!$D$2:$AG$2,0))))=0,"",SUMIFS(INDEX(Inputs!$D$4:$AG$150,0,MATCH(V$2,Inputs!$D$2:$AG$2,0)),Inputs!$B$4:$B$150,$B57)/1000)</f>
        <v>84094</v>
      </c>
      <c r="W57" s="12">
        <f>IF(COUNT(S57:V57)=4,SUM(S57:V57),"")</f>
        <v>304930</v>
      </c>
      <c r="X57" s="11">
        <f>IF(SUMPRODUCT((Inputs!$B$4:$B$150=$B57)*ISNUMBER(INDEX(Inputs!$D$4:$AG$150,0,MATCH(X$2,Inputs!$D$2:$AG$2,0))))=0,"",SUMIFS(INDEX(Inputs!$D$4:$AG$150,0,MATCH(X$2,Inputs!$D$2:$AG$2,0)),Inputs!$B$4:$B$150,$B57)/1000)</f>
        <v>77264</v>
      </c>
      <c r="Y57" s="11">
        <f>IF(SUMPRODUCT((Inputs!$B$4:$B$150=$B57)*ISNUMBER(INDEX(Inputs!$D$4:$AG$150,0,MATCH(Y$2,Inputs!$D$2:$AG$2,0))))=0,"",SUMIFS(INDEX(Inputs!$D$4:$AG$150,0,MATCH(Y$2,Inputs!$D$2:$AG$2,0)),Inputs!$B$4:$B$150,$B57)/1000)</f>
        <v>82543</v>
      </c>
      <c r="Z57" s="11">
        <f>IF(SUMPRODUCT((Inputs!$B$4:$B$150=$B57)*ISNUMBER(INDEX(Inputs!$D$4:$AG$150,0,MATCH(Z$2,Inputs!$D$2:$AG$2,0))))=0,"",SUMIFS(INDEX(Inputs!$D$4:$AG$150,0,MATCH(Z$2,Inputs!$D$2:$AG$2,0)),Inputs!$B$4:$B$150,$B57)/1000)</f>
        <v>87052</v>
      </c>
      <c r="AA57" s="11">
        <f>IF(SUMPRODUCT((Inputs!$B$4:$B$150=$B57)*ISNUMBER(INDEX(Inputs!$D$4:$AG$150,0,MATCH(AA$2,Inputs!$D$2:$AG$2,0))))=0,"",SUMIFS(INDEX(Inputs!$D$4:$AG$150,0,MATCH(AA$2,Inputs!$D$2:$AG$2,0)),Inputs!$B$4:$B$150,$B57)/1000)</f>
        <v>95862</v>
      </c>
      <c r="AB57" s="12">
        <f>IF(COUNT(X57:AA57)=4,SUM(X57:AA57),"")</f>
        <v>342721</v>
      </c>
      <c r="AC57" s="11">
        <f>IF(SUMPRODUCT((Inputs!$B$4:$B$150=$B57)*ISNUMBER(INDEX(Inputs!$D$4:$AG$150,0,MATCH(AC$2,Inputs!$D$2:$AG$2,0))))=0,"",SUMIFS(INDEX(Inputs!$D$4:$AG$150,0,MATCH(AC$2,Inputs!$D$2:$AG$2,0)),Inputs!$B$4:$B$150,$B57)/1000)</f>
        <v>89637</v>
      </c>
      <c r="AD57" s="11">
        <f>IF(SUMPRODUCT((Inputs!$B$4:$B$150=$B57)*ISNUMBER(INDEX(Inputs!$D$4:$AG$150,0,MATCH(AD$2,Inputs!$D$2:$AG$2,0))))=0,"",SUMIFS(INDEX(Inputs!$D$4:$AG$150,0,MATCH(AD$2,Inputs!$D$2:$AG$2,0)),Inputs!$B$4:$B$150,$B57)/1000)</f>
        <v>94540</v>
      </c>
      <c r="AE57" s="11" t="str">
        <f>IF(SUMPRODUCT((Inputs!$B$4:$B$150=$B57)*ISNUMBER(INDEX(Inputs!$D$4:$AG$150,0,MATCH(AE$2,Inputs!$D$2:$AG$2,0))))=0,"",SUMIFS(INDEX(Inputs!$D$4:$AG$150,0,MATCH(AE$2,Inputs!$D$2:$AG$2,0)),Inputs!$B$4:$B$150,$B57)/1000)</f>
        <v/>
      </c>
      <c r="AF57" s="11" t="str">
        <f>IF(SUMPRODUCT((Inputs!$B$4:$B$150=$B57)*ISNUMBER(INDEX(Inputs!$D$4:$AG$150,0,MATCH(AF$2,Inputs!$D$2:$AG$2,0))))=0,"",SUMIFS(INDEX(Inputs!$D$4:$AG$150,0,MATCH(AF$2,Inputs!$D$2:$AG$2,0)),Inputs!$B$4:$B$150,$B57)/1000)</f>
        <v/>
      </c>
      <c r="AG57" s="12" t="str">
        <f>IF(COUNT(AC57:AF57)=4,SUM(AC57:AF57),"")</f>
        <v/>
      </c>
    </row>
    <row r="58">
      <c r="B58" s="9" t="n">
        <v>50</v>
      </c>
      <c r="C58" s="10" t="inlineStr">
        <is>
          <t>Segmento Google Cloud - receita (USD)</t>
        </is>
      </c>
      <c r="D58" s="11">
        <f>IF(SUMPRODUCT((Inputs!$B$4:$B$150=$B58)*ISNUMBER(INDEX(Inputs!$D$4:$AG$150,0,MATCH(D$2,Inputs!$D$2:$AG$2,0))))=0,"",SUMIFS(INDEX(Inputs!$D$4:$AG$150,0,MATCH(D$2,Inputs!$D$2:$AG$2,0)),Inputs!$B$4:$B$150,$B58)/1000)</f>
        <v>4047</v>
      </c>
      <c r="E58" s="11">
        <f>IF(SUMPRODUCT((Inputs!$B$4:$B$150=$B58)*ISNUMBER(INDEX(Inputs!$D$4:$AG$150,0,MATCH(E$2,Inputs!$D$2:$AG$2,0))))=0,"",SUMIFS(INDEX(Inputs!$D$4:$AG$150,0,MATCH(E$2,Inputs!$D$2:$AG$2,0)),Inputs!$B$4:$B$150,$B58)/1000)</f>
        <v>4628</v>
      </c>
      <c r="F58" s="11">
        <f>IF(SUMPRODUCT((Inputs!$B$4:$B$150=$B58)*ISNUMBER(INDEX(Inputs!$D$4:$AG$150,0,MATCH(F$2,Inputs!$D$2:$AG$2,0))))=0,"",SUMIFS(INDEX(Inputs!$D$4:$AG$150,0,MATCH(F$2,Inputs!$D$2:$AG$2,0)),Inputs!$B$4:$B$150,$B58)/1000)</f>
        <v>4990</v>
      </c>
      <c r="G58" s="11">
        <f>IF(SUMPRODUCT((Inputs!$B$4:$B$150=$B58)*ISNUMBER(INDEX(Inputs!$D$4:$AG$150,0,MATCH(G$2,Inputs!$D$2:$AG$2,0))))=0,"",SUMIFS(INDEX(Inputs!$D$4:$AG$150,0,MATCH(G$2,Inputs!$D$2:$AG$2,0)),Inputs!$B$4:$B$150,$B58)/1000)</f>
        <v>5541</v>
      </c>
      <c r="H58" s="12">
        <f>IF(COUNT(D58:G58)=4,SUM(D58:G58),"")</f>
        <v>19206</v>
      </c>
      <c r="I58" s="11">
        <f>IF(SUMPRODUCT((Inputs!$B$4:$B$150=$B58)*ISNUMBER(INDEX(Inputs!$D$4:$AG$150,0,MATCH(I$2,Inputs!$D$2:$AG$2,0))))=0,"",SUMIFS(INDEX(Inputs!$D$4:$AG$150,0,MATCH(I$2,Inputs!$D$2:$AG$2,0)),Inputs!$B$4:$B$150,$B58)/1000)</f>
        <v>5821</v>
      </c>
      <c r="J58" s="11">
        <f>IF(SUMPRODUCT((Inputs!$B$4:$B$150=$B58)*ISNUMBER(INDEX(Inputs!$D$4:$AG$150,0,MATCH(J$2,Inputs!$D$2:$AG$2,0))))=0,"",SUMIFS(INDEX(Inputs!$D$4:$AG$150,0,MATCH(J$2,Inputs!$D$2:$AG$2,0)),Inputs!$B$4:$B$150,$B58)/1000)</f>
        <v>6276</v>
      </c>
      <c r="K58" s="11">
        <f>IF(SUMPRODUCT((Inputs!$B$4:$B$150=$B58)*ISNUMBER(INDEX(Inputs!$D$4:$AG$150,0,MATCH(K$2,Inputs!$D$2:$AG$2,0))))=0,"",SUMIFS(INDEX(Inputs!$D$4:$AG$150,0,MATCH(K$2,Inputs!$D$2:$AG$2,0)),Inputs!$B$4:$B$150,$B58)/1000)</f>
        <v>6868</v>
      </c>
      <c r="L58" s="11">
        <f>IF(SUMPRODUCT((Inputs!$B$4:$B$150=$B58)*ISNUMBER(INDEX(Inputs!$D$4:$AG$150,0,MATCH(L$2,Inputs!$D$2:$AG$2,0))))=0,"",SUMIFS(INDEX(Inputs!$D$4:$AG$150,0,MATCH(L$2,Inputs!$D$2:$AG$2,0)),Inputs!$B$4:$B$150,$B58)/1000)</f>
        <v>7315</v>
      </c>
      <c r="M58" s="12">
        <f>IF(COUNT(I58:L58)=4,SUM(I58:L58),"")</f>
        <v>26280</v>
      </c>
      <c r="N58" s="11">
        <f>IF(SUMPRODUCT((Inputs!$B$4:$B$150=$B58)*ISNUMBER(INDEX(Inputs!$D$4:$AG$150,0,MATCH(N$2,Inputs!$D$2:$AG$2,0))))=0,"",SUMIFS(INDEX(Inputs!$D$4:$AG$150,0,MATCH(N$2,Inputs!$D$2:$AG$2,0)),Inputs!$B$4:$B$150,$B58)/1000)</f>
        <v>7454</v>
      </c>
      <c r="O58" s="11">
        <f>IF(SUMPRODUCT((Inputs!$B$4:$B$150=$B58)*ISNUMBER(INDEX(Inputs!$D$4:$AG$150,0,MATCH(O$2,Inputs!$D$2:$AG$2,0))))=0,"",SUMIFS(INDEX(Inputs!$D$4:$AG$150,0,MATCH(O$2,Inputs!$D$2:$AG$2,0)),Inputs!$B$4:$B$150,$B58)/1000)</f>
        <v>8031</v>
      </c>
      <c r="P58" s="11">
        <f>IF(SUMPRODUCT((Inputs!$B$4:$B$150=$B58)*ISNUMBER(INDEX(Inputs!$D$4:$AG$150,0,MATCH(P$2,Inputs!$D$2:$AG$2,0))))=0,"",SUMIFS(INDEX(Inputs!$D$4:$AG$150,0,MATCH(P$2,Inputs!$D$2:$AG$2,0)),Inputs!$B$4:$B$150,$B58)/1000)</f>
        <v>8411</v>
      </c>
      <c r="Q58" s="11">
        <f>IF(SUMPRODUCT((Inputs!$B$4:$B$150=$B58)*ISNUMBER(INDEX(Inputs!$D$4:$AG$150,0,MATCH(Q$2,Inputs!$D$2:$AG$2,0))))=0,"",SUMIFS(INDEX(Inputs!$D$4:$AG$150,0,MATCH(Q$2,Inputs!$D$2:$AG$2,0)),Inputs!$B$4:$B$150,$B58)/1000)</f>
        <v>9192</v>
      </c>
      <c r="R58" s="12">
        <f>IF(COUNT(N58:Q58)=4,SUM(N58:Q58),"")</f>
        <v>33088</v>
      </c>
      <c r="S58" s="11">
        <f>IF(SUMPRODUCT((Inputs!$B$4:$B$150=$B58)*ISNUMBER(INDEX(Inputs!$D$4:$AG$150,0,MATCH(S$2,Inputs!$D$2:$AG$2,0))))=0,"",SUMIFS(INDEX(Inputs!$D$4:$AG$150,0,MATCH(S$2,Inputs!$D$2:$AG$2,0)),Inputs!$B$4:$B$150,$B58)/1000)</f>
        <v>9574</v>
      </c>
      <c r="T58" s="11">
        <f>IF(SUMPRODUCT((Inputs!$B$4:$B$150=$B58)*ISNUMBER(INDEX(Inputs!$D$4:$AG$150,0,MATCH(T$2,Inputs!$D$2:$AG$2,0))))=0,"",SUMIFS(INDEX(Inputs!$D$4:$AG$150,0,MATCH(T$2,Inputs!$D$2:$AG$2,0)),Inputs!$B$4:$B$150,$B58)/1000)</f>
        <v>10347</v>
      </c>
      <c r="U58" s="11">
        <f>IF(SUMPRODUCT((Inputs!$B$4:$B$150=$B58)*ISNUMBER(INDEX(Inputs!$D$4:$AG$150,0,MATCH(U$2,Inputs!$D$2:$AG$2,0))))=0,"",SUMIFS(INDEX(Inputs!$D$4:$AG$150,0,MATCH(U$2,Inputs!$D$2:$AG$2,0)),Inputs!$B$4:$B$150,$B58)/1000)</f>
        <v>11353</v>
      </c>
      <c r="V58" s="11">
        <f>IF(SUMPRODUCT((Inputs!$B$4:$B$150=$B58)*ISNUMBER(INDEX(Inputs!$D$4:$AG$150,0,MATCH(V$2,Inputs!$D$2:$AG$2,0))))=0,"",SUMIFS(INDEX(Inputs!$D$4:$AG$150,0,MATCH(V$2,Inputs!$D$2:$AG$2,0)),Inputs!$B$4:$B$150,$B58)/1000)</f>
        <v>11955</v>
      </c>
      <c r="W58" s="12">
        <f>IF(COUNT(S58:V58)=4,SUM(S58:V58),"")</f>
        <v>43229</v>
      </c>
      <c r="X58" s="11">
        <f>IF(SUMPRODUCT((Inputs!$B$4:$B$150=$B58)*ISNUMBER(INDEX(Inputs!$D$4:$AG$150,0,MATCH(X$2,Inputs!$D$2:$AG$2,0))))=0,"",SUMIFS(INDEX(Inputs!$D$4:$AG$150,0,MATCH(X$2,Inputs!$D$2:$AG$2,0)),Inputs!$B$4:$B$150,$B58)/1000)</f>
        <v>12260</v>
      </c>
      <c r="Y58" s="11">
        <f>IF(SUMPRODUCT((Inputs!$B$4:$B$150=$B58)*ISNUMBER(INDEX(Inputs!$D$4:$AG$150,0,MATCH(Y$2,Inputs!$D$2:$AG$2,0))))=0,"",SUMIFS(INDEX(Inputs!$D$4:$AG$150,0,MATCH(Y$2,Inputs!$D$2:$AG$2,0)),Inputs!$B$4:$B$150,$B58)/1000)</f>
        <v>13624</v>
      </c>
      <c r="Z58" s="11">
        <f>IF(SUMPRODUCT((Inputs!$B$4:$B$150=$B58)*ISNUMBER(INDEX(Inputs!$D$4:$AG$150,0,MATCH(Z$2,Inputs!$D$2:$AG$2,0))))=0,"",SUMIFS(INDEX(Inputs!$D$4:$AG$150,0,MATCH(Z$2,Inputs!$D$2:$AG$2,0)),Inputs!$B$4:$B$150,$B58)/1000)</f>
        <v>15157</v>
      </c>
      <c r="AA58" s="11">
        <f>IF(SUMPRODUCT((Inputs!$B$4:$B$150=$B58)*ISNUMBER(INDEX(Inputs!$D$4:$AG$150,0,MATCH(AA$2,Inputs!$D$2:$AG$2,0))))=0,"",SUMIFS(INDEX(Inputs!$D$4:$AG$150,0,MATCH(AA$2,Inputs!$D$2:$AG$2,0)),Inputs!$B$4:$B$150,$B58)/1000)</f>
        <v>17664</v>
      </c>
      <c r="AB58" s="12">
        <f>IF(COUNT(X58:AA58)=4,SUM(X58:AA58),"")</f>
        <v>58705</v>
      </c>
      <c r="AC58" s="11">
        <f>IF(SUMPRODUCT((Inputs!$B$4:$B$150=$B58)*ISNUMBER(INDEX(Inputs!$D$4:$AG$150,0,MATCH(AC$2,Inputs!$D$2:$AG$2,0))))=0,"",SUMIFS(INDEX(Inputs!$D$4:$AG$150,0,MATCH(AC$2,Inputs!$D$2:$AG$2,0)),Inputs!$B$4:$B$150,$B58)/1000)</f>
        <v>20028</v>
      </c>
      <c r="AD58" s="11">
        <f>IF(SUMPRODUCT((Inputs!$B$4:$B$150=$B58)*ISNUMBER(INDEX(Inputs!$D$4:$AG$150,0,MATCH(AD$2,Inputs!$D$2:$AG$2,0))))=0,"",SUMIFS(INDEX(Inputs!$D$4:$AG$150,0,MATCH(AD$2,Inputs!$D$2:$AG$2,0)),Inputs!$B$4:$B$150,$B58)/1000)</f>
        <v>24768</v>
      </c>
      <c r="AE58" s="11" t="str">
        <f>IF(SUMPRODUCT((Inputs!$B$4:$B$150=$B58)*ISNUMBER(INDEX(Inputs!$D$4:$AG$150,0,MATCH(AE$2,Inputs!$D$2:$AG$2,0))))=0,"",SUMIFS(INDEX(Inputs!$D$4:$AG$150,0,MATCH(AE$2,Inputs!$D$2:$AG$2,0)),Inputs!$B$4:$B$150,$B58)/1000)</f>
        <v/>
      </c>
      <c r="AF58" s="11" t="str">
        <f>IF(SUMPRODUCT((Inputs!$B$4:$B$150=$B58)*ISNUMBER(INDEX(Inputs!$D$4:$AG$150,0,MATCH(AF$2,Inputs!$D$2:$AG$2,0))))=0,"",SUMIFS(INDEX(Inputs!$D$4:$AG$150,0,MATCH(AF$2,Inputs!$D$2:$AG$2,0)),Inputs!$B$4:$B$150,$B58)/1000)</f>
        <v/>
      </c>
      <c r="AG58" s="12" t="str">
        <f>IF(COUNT(AC58:AF58)=4,SUM(AC58:AF58),"")</f>
        <v/>
      </c>
    </row>
    <row r="59">
      <c r="B59" s="9" t="n">
        <v>51</v>
      </c>
      <c r="C59" s="10" t="inlineStr">
        <is>
          <t>Segmento Other Bets - receita (USD)</t>
        </is>
      </c>
      <c r="D59" s="11">
        <f>IF(SUMPRODUCT((Inputs!$B$4:$B$150=$B59)*ISNUMBER(INDEX(Inputs!$D$4:$AG$150,0,MATCH(D$2,Inputs!$D$2:$AG$2,0))))=0,"",SUMIFS(INDEX(Inputs!$D$4:$AG$150,0,MATCH(D$2,Inputs!$D$2:$AG$2,0)),Inputs!$B$4:$B$150,$B59)/1000)</f>
        <v>198</v>
      </c>
      <c r="E59" s="11">
        <f>IF(SUMPRODUCT((Inputs!$B$4:$B$150=$B59)*ISNUMBER(INDEX(Inputs!$D$4:$AG$150,0,MATCH(E$2,Inputs!$D$2:$AG$2,0))))=0,"",SUMIFS(INDEX(Inputs!$D$4:$AG$150,0,MATCH(E$2,Inputs!$D$2:$AG$2,0)),Inputs!$B$4:$B$150,$B59)/1000)</f>
        <v>192</v>
      </c>
      <c r="F59" s="11">
        <f>IF(SUMPRODUCT((Inputs!$B$4:$B$150=$B59)*ISNUMBER(INDEX(Inputs!$D$4:$AG$150,0,MATCH(F$2,Inputs!$D$2:$AG$2,0))))=0,"",SUMIFS(INDEX(Inputs!$D$4:$AG$150,0,MATCH(F$2,Inputs!$D$2:$AG$2,0)),Inputs!$B$4:$B$150,$B59)/1000)</f>
        <v>182</v>
      </c>
      <c r="G59" s="11">
        <f>IF(SUMPRODUCT((Inputs!$B$4:$B$150=$B59)*ISNUMBER(INDEX(Inputs!$D$4:$AG$150,0,MATCH(G$2,Inputs!$D$2:$AG$2,0))))=0,"",SUMIFS(INDEX(Inputs!$D$4:$AG$150,0,MATCH(G$2,Inputs!$D$2:$AG$2,0)),Inputs!$B$4:$B$150,$B59)/1000)</f>
        <v>181</v>
      </c>
      <c r="H59" s="12">
        <f>IF(COUNT(D59:G59)=4,SUM(D59:G59),"")</f>
        <v>753</v>
      </c>
      <c r="I59" s="11">
        <f>IF(SUMPRODUCT((Inputs!$B$4:$B$150=$B59)*ISNUMBER(INDEX(Inputs!$D$4:$AG$150,0,MATCH(I$2,Inputs!$D$2:$AG$2,0))))=0,"",SUMIFS(INDEX(Inputs!$D$4:$AG$150,0,MATCH(I$2,Inputs!$D$2:$AG$2,0)),Inputs!$B$4:$B$150,$B59)/1000)</f>
        <v>440</v>
      </c>
      <c r="J59" s="11">
        <f>IF(SUMPRODUCT((Inputs!$B$4:$B$150=$B59)*ISNUMBER(INDEX(Inputs!$D$4:$AG$150,0,MATCH(J$2,Inputs!$D$2:$AG$2,0))))=0,"",SUMIFS(INDEX(Inputs!$D$4:$AG$150,0,MATCH(J$2,Inputs!$D$2:$AG$2,0)),Inputs!$B$4:$B$150,$B59)/1000)</f>
        <v>193</v>
      </c>
      <c r="K59" s="11">
        <f>IF(SUMPRODUCT((Inputs!$B$4:$B$150=$B59)*ISNUMBER(INDEX(Inputs!$D$4:$AG$150,0,MATCH(K$2,Inputs!$D$2:$AG$2,0))))=0,"",SUMIFS(INDEX(Inputs!$D$4:$AG$150,0,MATCH(K$2,Inputs!$D$2:$AG$2,0)),Inputs!$B$4:$B$150,$B59)/1000)</f>
        <v>209</v>
      </c>
      <c r="L59" s="11">
        <f>IF(SUMPRODUCT((Inputs!$B$4:$B$150=$B59)*ISNUMBER(INDEX(Inputs!$D$4:$AG$150,0,MATCH(L$2,Inputs!$D$2:$AG$2,0))))=0,"",SUMIFS(INDEX(Inputs!$D$4:$AG$150,0,MATCH(L$2,Inputs!$D$2:$AG$2,0)),Inputs!$B$4:$B$150,$B59)/1000)</f>
        <v>226</v>
      </c>
      <c r="M59" s="12">
        <f>IF(COUNT(I59:L59)=4,SUM(I59:L59),"")</f>
        <v>1068</v>
      </c>
      <c r="N59" s="11">
        <f>IF(SUMPRODUCT((Inputs!$B$4:$B$150=$B59)*ISNUMBER(INDEX(Inputs!$D$4:$AG$150,0,MATCH(N$2,Inputs!$D$2:$AG$2,0))))=0,"",SUMIFS(INDEX(Inputs!$D$4:$AG$150,0,MATCH(N$2,Inputs!$D$2:$AG$2,0)),Inputs!$B$4:$B$150,$B59)/1000)</f>
        <v>288</v>
      </c>
      <c r="O59" s="11">
        <f>IF(SUMPRODUCT((Inputs!$B$4:$B$150=$B59)*ISNUMBER(INDEX(Inputs!$D$4:$AG$150,0,MATCH(O$2,Inputs!$D$2:$AG$2,0))))=0,"",SUMIFS(INDEX(Inputs!$D$4:$AG$150,0,MATCH(O$2,Inputs!$D$2:$AG$2,0)),Inputs!$B$4:$B$150,$B59)/1000)</f>
        <v>285</v>
      </c>
      <c r="P59" s="11">
        <f>IF(SUMPRODUCT((Inputs!$B$4:$B$150=$B59)*ISNUMBER(INDEX(Inputs!$D$4:$AG$150,0,MATCH(P$2,Inputs!$D$2:$AG$2,0))))=0,"",SUMIFS(INDEX(Inputs!$D$4:$AG$150,0,MATCH(P$2,Inputs!$D$2:$AG$2,0)),Inputs!$B$4:$B$150,$B59)/1000)</f>
        <v>297</v>
      </c>
      <c r="Q59" s="11">
        <f>IF(SUMPRODUCT((Inputs!$B$4:$B$150=$B59)*ISNUMBER(INDEX(Inputs!$D$4:$AG$150,0,MATCH(Q$2,Inputs!$D$2:$AG$2,0))))=0,"",SUMIFS(INDEX(Inputs!$D$4:$AG$150,0,MATCH(Q$2,Inputs!$D$2:$AG$2,0)),Inputs!$B$4:$B$150,$B59)/1000)</f>
        <v>657</v>
      </c>
      <c r="R59" s="12">
        <f>IF(COUNT(N59:Q59)=4,SUM(N59:Q59),"")</f>
        <v>1527</v>
      </c>
      <c r="S59" s="11">
        <f>IF(SUMPRODUCT((Inputs!$B$4:$B$150=$B59)*ISNUMBER(INDEX(Inputs!$D$4:$AG$150,0,MATCH(S$2,Inputs!$D$2:$AG$2,0))))=0,"",SUMIFS(INDEX(Inputs!$D$4:$AG$150,0,MATCH(S$2,Inputs!$D$2:$AG$2,0)),Inputs!$B$4:$B$150,$B59)/1000)</f>
        <v>495</v>
      </c>
      <c r="T59" s="11">
        <f>IF(SUMPRODUCT((Inputs!$B$4:$B$150=$B59)*ISNUMBER(INDEX(Inputs!$D$4:$AG$150,0,MATCH(T$2,Inputs!$D$2:$AG$2,0))))=0,"",SUMIFS(INDEX(Inputs!$D$4:$AG$150,0,MATCH(T$2,Inputs!$D$2:$AG$2,0)),Inputs!$B$4:$B$150,$B59)/1000)</f>
        <v>365</v>
      </c>
      <c r="U59" s="11">
        <f>IF(SUMPRODUCT((Inputs!$B$4:$B$150=$B59)*ISNUMBER(INDEX(Inputs!$D$4:$AG$150,0,MATCH(U$2,Inputs!$D$2:$AG$2,0))))=0,"",SUMIFS(INDEX(Inputs!$D$4:$AG$150,0,MATCH(U$2,Inputs!$D$2:$AG$2,0)),Inputs!$B$4:$B$150,$B59)/1000)</f>
        <v>388</v>
      </c>
      <c r="V59" s="11">
        <f>IF(SUMPRODUCT((Inputs!$B$4:$B$150=$B59)*ISNUMBER(INDEX(Inputs!$D$4:$AG$150,0,MATCH(V$2,Inputs!$D$2:$AG$2,0))))=0,"",SUMIFS(INDEX(Inputs!$D$4:$AG$150,0,MATCH(V$2,Inputs!$D$2:$AG$2,0)),Inputs!$B$4:$B$150,$B59)/1000)</f>
        <v>400</v>
      </c>
      <c r="W59" s="12">
        <f>IF(COUNT(S59:V59)=4,SUM(S59:V59),"")</f>
        <v>1648</v>
      </c>
      <c r="X59" s="11">
        <f>IF(SUMPRODUCT((Inputs!$B$4:$B$150=$B59)*ISNUMBER(INDEX(Inputs!$D$4:$AG$150,0,MATCH(X$2,Inputs!$D$2:$AG$2,0))))=0,"",SUMIFS(INDEX(Inputs!$D$4:$AG$150,0,MATCH(X$2,Inputs!$D$2:$AG$2,0)),Inputs!$B$4:$B$150,$B59)/1000)</f>
        <v>450</v>
      </c>
      <c r="Y59" s="11">
        <f>IF(SUMPRODUCT((Inputs!$B$4:$B$150=$B59)*ISNUMBER(INDEX(Inputs!$D$4:$AG$150,0,MATCH(Y$2,Inputs!$D$2:$AG$2,0))))=0,"",SUMIFS(INDEX(Inputs!$D$4:$AG$150,0,MATCH(Y$2,Inputs!$D$2:$AG$2,0)),Inputs!$B$4:$B$150,$B59)/1000)</f>
        <v>373</v>
      </c>
      <c r="Z59" s="11">
        <f>IF(SUMPRODUCT((Inputs!$B$4:$B$150=$B59)*ISNUMBER(INDEX(Inputs!$D$4:$AG$150,0,MATCH(Z$2,Inputs!$D$2:$AG$2,0))))=0,"",SUMIFS(INDEX(Inputs!$D$4:$AG$150,0,MATCH(Z$2,Inputs!$D$2:$AG$2,0)),Inputs!$B$4:$B$150,$B59)/1000)</f>
        <v>344</v>
      </c>
      <c r="AA59" s="11">
        <f>IF(SUMPRODUCT((Inputs!$B$4:$B$150=$B59)*ISNUMBER(INDEX(Inputs!$D$4:$AG$150,0,MATCH(AA$2,Inputs!$D$2:$AG$2,0))))=0,"",SUMIFS(INDEX(Inputs!$D$4:$AG$150,0,MATCH(AA$2,Inputs!$D$2:$AG$2,0)),Inputs!$B$4:$B$150,$B59)/1000)</f>
        <v>370</v>
      </c>
      <c r="AB59" s="12">
        <f>IF(COUNT(X59:AA59)=4,SUM(X59:AA59),"")</f>
        <v>1537</v>
      </c>
      <c r="AC59" s="11">
        <f>IF(SUMPRODUCT((Inputs!$B$4:$B$150=$B59)*ISNUMBER(INDEX(Inputs!$D$4:$AG$150,0,MATCH(AC$2,Inputs!$D$2:$AG$2,0))))=0,"",SUMIFS(INDEX(Inputs!$D$4:$AG$150,0,MATCH(AC$2,Inputs!$D$2:$AG$2,0)),Inputs!$B$4:$B$150,$B59)/1000)</f>
        <v>411</v>
      </c>
      <c r="AD59" s="11">
        <f>IF(SUMPRODUCT((Inputs!$B$4:$B$150=$B59)*ISNUMBER(INDEX(Inputs!$D$4:$AG$150,0,MATCH(AD$2,Inputs!$D$2:$AG$2,0))))=0,"",SUMIFS(INDEX(Inputs!$D$4:$AG$150,0,MATCH(AD$2,Inputs!$D$2:$AG$2,0)),Inputs!$B$4:$B$150,$B59)/1000)</f>
        <v>382</v>
      </c>
      <c r="AE59" s="11" t="str">
        <f>IF(SUMPRODUCT((Inputs!$B$4:$B$150=$B59)*ISNUMBER(INDEX(Inputs!$D$4:$AG$150,0,MATCH(AE$2,Inputs!$D$2:$AG$2,0))))=0,"",SUMIFS(INDEX(Inputs!$D$4:$AG$150,0,MATCH(AE$2,Inputs!$D$2:$AG$2,0)),Inputs!$B$4:$B$150,$B59)/1000)</f>
        <v/>
      </c>
      <c r="AF59" s="11" t="str">
        <f>IF(SUMPRODUCT((Inputs!$B$4:$B$150=$B59)*ISNUMBER(INDEX(Inputs!$D$4:$AG$150,0,MATCH(AF$2,Inputs!$D$2:$AG$2,0))))=0,"",SUMIFS(INDEX(Inputs!$D$4:$AG$150,0,MATCH(AF$2,Inputs!$D$2:$AG$2,0)),Inputs!$B$4:$B$150,$B59)/1000)</f>
        <v/>
      </c>
      <c r="AG59" s="12" t="str">
        <f>IF(COUNT(AC59:AF59)=4,SUM(AC59:AF59),"")</f>
        <v/>
      </c>
    </row>
    <row r="60">
      <c r="B60" s="9" t="n">
        <v>52</v>
      </c>
      <c r="C60" s="10" t="inlineStr">
        <is>
          <t>Google Services - lucro operacional (USD)</t>
        </is>
      </c>
      <c r="D60" s="11">
        <f>IF(SUMPRODUCT((Inputs!$B$4:$B$150=$B60)*ISNUMBER(INDEX(Inputs!$D$4:$AG$150,0,MATCH(D$2,Inputs!$D$2:$AG$2,0))))=0,"",SUMIFS(INDEX(Inputs!$D$4:$AG$150,0,MATCH(D$2,Inputs!$D$2:$AG$2,0)),Inputs!$B$4:$B$150,$B60)/1000)</f>
        <v>19546</v>
      </c>
      <c r="E60" s="11">
        <f>IF(SUMPRODUCT((Inputs!$B$4:$B$150=$B60)*ISNUMBER(INDEX(Inputs!$D$4:$AG$150,0,MATCH(E$2,Inputs!$D$2:$AG$2,0))))=0,"",SUMIFS(INDEX(Inputs!$D$4:$AG$150,0,MATCH(E$2,Inputs!$D$2:$AG$2,0)),Inputs!$B$4:$B$150,$B60)/1000)</f>
        <v>22343</v>
      </c>
      <c r="F60" s="11">
        <f>IF(SUMPRODUCT((Inputs!$B$4:$B$150=$B60)*ISNUMBER(INDEX(Inputs!$D$4:$AG$150,0,MATCH(F$2,Inputs!$D$2:$AG$2,0))))=0,"",SUMIFS(INDEX(Inputs!$D$4:$AG$150,0,MATCH(F$2,Inputs!$D$2:$AG$2,0)),Inputs!$B$4:$B$150,$B60)/1000)</f>
        <v>23973</v>
      </c>
      <c r="G60" s="11">
        <f>IF(SUMPRODUCT((Inputs!$B$4:$B$150=$B60)*ISNUMBER(INDEX(Inputs!$D$4:$AG$150,0,MATCH(G$2,Inputs!$D$2:$AG$2,0))))=0,"",SUMIFS(INDEX(Inputs!$D$4:$AG$150,0,MATCH(G$2,Inputs!$D$2:$AG$2,0)),Inputs!$B$4:$B$150,$B60)/1000)</f>
        <v>22270</v>
      </c>
      <c r="H60" s="12">
        <f>IF(COUNT(D60:G60)=4,SUM(D60:G60),"")</f>
        <v>88132</v>
      </c>
      <c r="I60" s="11">
        <f>IF(SUMPRODUCT((Inputs!$B$4:$B$150=$B60)*ISNUMBER(INDEX(Inputs!$D$4:$AG$150,0,MATCH(I$2,Inputs!$D$2:$AG$2,0))))=0,"",SUMIFS(INDEX(Inputs!$D$4:$AG$150,0,MATCH(I$2,Inputs!$D$2:$AG$2,0)),Inputs!$B$4:$B$150,$B60)/1000)</f>
        <v>22920</v>
      </c>
      <c r="J60" s="11">
        <f>IF(SUMPRODUCT((Inputs!$B$4:$B$150=$B60)*ISNUMBER(INDEX(Inputs!$D$4:$AG$150,0,MATCH(J$2,Inputs!$D$2:$AG$2,0))))=0,"",SUMIFS(INDEX(Inputs!$D$4:$AG$150,0,MATCH(J$2,Inputs!$D$2:$AG$2,0)),Inputs!$B$4:$B$150,$B60)/1000)</f>
        <v>22770</v>
      </c>
      <c r="K60" s="11">
        <f>IF(SUMPRODUCT((Inputs!$B$4:$B$150=$B60)*ISNUMBER(INDEX(Inputs!$D$4:$AG$150,0,MATCH(K$2,Inputs!$D$2:$AG$2,0))))=0,"",SUMIFS(INDEX(Inputs!$D$4:$AG$150,0,MATCH(K$2,Inputs!$D$2:$AG$2,0)),Inputs!$B$4:$B$150,$B60)/1000)</f>
        <v>19781</v>
      </c>
      <c r="L60" s="11">
        <f>IF(SUMPRODUCT((Inputs!$B$4:$B$150=$B60)*ISNUMBER(INDEX(Inputs!$D$4:$AG$150,0,MATCH(L$2,Inputs!$D$2:$AG$2,0))))=0,"",SUMIFS(INDEX(Inputs!$D$4:$AG$150,0,MATCH(L$2,Inputs!$D$2:$AG$2,0)),Inputs!$B$4:$B$150,$B60)/1000)</f>
        <v>17228</v>
      </c>
      <c r="M60" s="12">
        <f>IF(COUNT(I60:L60)=4,SUM(I60:L60),"")</f>
        <v>82699</v>
      </c>
      <c r="N60" s="11">
        <f>IF(SUMPRODUCT((Inputs!$B$4:$B$150=$B60)*ISNUMBER(INDEX(Inputs!$D$4:$AG$150,0,MATCH(N$2,Inputs!$D$2:$AG$2,0))))=0,"",SUMIFS(INDEX(Inputs!$D$4:$AG$150,0,MATCH(N$2,Inputs!$D$2:$AG$2,0)),Inputs!$B$4:$B$150,$B60)/1000)</f>
        <v>21737</v>
      </c>
      <c r="O60" s="11">
        <f>IF(SUMPRODUCT((Inputs!$B$4:$B$150=$B60)*ISNUMBER(INDEX(Inputs!$D$4:$AG$150,0,MATCH(O$2,Inputs!$D$2:$AG$2,0))))=0,"",SUMIFS(INDEX(Inputs!$D$4:$AG$150,0,MATCH(O$2,Inputs!$D$2:$AG$2,0)),Inputs!$B$4:$B$150,$B60)/1000)</f>
        <v>23454</v>
      </c>
      <c r="P60" s="11">
        <f>IF(SUMPRODUCT((Inputs!$B$4:$B$150=$B60)*ISNUMBER(INDEX(Inputs!$D$4:$AG$150,0,MATCH(P$2,Inputs!$D$2:$AG$2,0))))=0,"",SUMIFS(INDEX(Inputs!$D$4:$AG$150,0,MATCH(P$2,Inputs!$D$2:$AG$2,0)),Inputs!$B$4:$B$150,$B60)/1000)</f>
        <v>23937</v>
      </c>
      <c r="Q60" s="11">
        <f>IF(SUMPRODUCT((Inputs!$B$4:$B$150=$B60)*ISNUMBER(INDEX(Inputs!$D$4:$AG$150,0,MATCH(Q$2,Inputs!$D$2:$AG$2,0))))=0,"",SUMIFS(INDEX(Inputs!$D$4:$AG$150,0,MATCH(Q$2,Inputs!$D$2:$AG$2,0)),Inputs!$B$4:$B$150,$B60)/1000)</f>
        <v>26730</v>
      </c>
      <c r="R60" s="12">
        <f>IF(COUNT(N60:Q60)=4,SUM(N60:Q60),"")</f>
        <v>95858</v>
      </c>
      <c r="S60" s="11">
        <f>IF(SUMPRODUCT((Inputs!$B$4:$B$150=$B60)*ISNUMBER(INDEX(Inputs!$D$4:$AG$150,0,MATCH(S$2,Inputs!$D$2:$AG$2,0))))=0,"",SUMIFS(INDEX(Inputs!$D$4:$AG$150,0,MATCH(S$2,Inputs!$D$2:$AG$2,0)),Inputs!$B$4:$B$150,$B60)/1000)</f>
        <v>27897</v>
      </c>
      <c r="T60" s="11">
        <f>IF(SUMPRODUCT((Inputs!$B$4:$B$150=$B60)*ISNUMBER(INDEX(Inputs!$D$4:$AG$150,0,MATCH(T$2,Inputs!$D$2:$AG$2,0))))=0,"",SUMIFS(INDEX(Inputs!$D$4:$AG$150,0,MATCH(T$2,Inputs!$D$2:$AG$2,0)),Inputs!$B$4:$B$150,$B60)/1000)</f>
        <v>29674</v>
      </c>
      <c r="U60" s="11">
        <f>IF(SUMPRODUCT((Inputs!$B$4:$B$150=$B60)*ISNUMBER(INDEX(Inputs!$D$4:$AG$150,0,MATCH(U$2,Inputs!$D$2:$AG$2,0))))=0,"",SUMIFS(INDEX(Inputs!$D$4:$AG$150,0,MATCH(U$2,Inputs!$D$2:$AG$2,0)),Inputs!$B$4:$B$150,$B60)/1000)</f>
        <v>30856</v>
      </c>
      <c r="V60" s="11">
        <f>IF(SUMPRODUCT((Inputs!$B$4:$B$150=$B60)*ISNUMBER(INDEX(Inputs!$D$4:$AG$150,0,MATCH(V$2,Inputs!$D$2:$AG$2,0))))=0,"",SUMIFS(INDEX(Inputs!$D$4:$AG$150,0,MATCH(V$2,Inputs!$D$2:$AG$2,0)),Inputs!$B$4:$B$150,$B60)/1000)</f>
        <v>32836</v>
      </c>
      <c r="W60" s="12">
        <f>IF(COUNT(S60:V60)=4,SUM(S60:V60),"")</f>
        <v>121263</v>
      </c>
      <c r="X60" s="11">
        <f>IF(SUMPRODUCT((Inputs!$B$4:$B$150=$B60)*ISNUMBER(INDEX(Inputs!$D$4:$AG$150,0,MATCH(X$2,Inputs!$D$2:$AG$2,0))))=0,"",SUMIFS(INDEX(Inputs!$D$4:$AG$150,0,MATCH(X$2,Inputs!$D$2:$AG$2,0)),Inputs!$B$4:$B$150,$B60)/1000)</f>
        <v>32682</v>
      </c>
      <c r="Y60" s="11">
        <f>IF(SUMPRODUCT((Inputs!$B$4:$B$150=$B60)*ISNUMBER(INDEX(Inputs!$D$4:$AG$150,0,MATCH(Y$2,Inputs!$D$2:$AG$2,0))))=0,"",SUMIFS(INDEX(Inputs!$D$4:$AG$150,0,MATCH(Y$2,Inputs!$D$2:$AG$2,0)),Inputs!$B$4:$B$150,$B60)/1000)</f>
        <v>33063</v>
      </c>
      <c r="Z60" s="11">
        <f>IF(SUMPRODUCT((Inputs!$B$4:$B$150=$B60)*ISNUMBER(INDEX(Inputs!$D$4:$AG$150,0,MATCH(Z$2,Inputs!$D$2:$AG$2,0))))=0,"",SUMIFS(INDEX(Inputs!$D$4:$AG$150,0,MATCH(Z$2,Inputs!$D$2:$AG$2,0)),Inputs!$B$4:$B$150,$B60)/1000)</f>
        <v>33527</v>
      </c>
      <c r="AA60" s="11">
        <f>IF(SUMPRODUCT((Inputs!$B$4:$B$150=$B60)*ISNUMBER(INDEX(Inputs!$D$4:$AG$150,0,MATCH(AA$2,Inputs!$D$2:$AG$2,0))))=0,"",SUMIFS(INDEX(Inputs!$D$4:$AG$150,0,MATCH(AA$2,Inputs!$D$2:$AG$2,0)),Inputs!$B$4:$B$150,$B60)/1000)</f>
        <v>40132</v>
      </c>
      <c r="AB60" s="12">
        <f>IF(COUNT(X60:AA60)=4,SUM(X60:AA60),"")</f>
        <v>139404</v>
      </c>
      <c r="AC60" s="11">
        <f>IF(SUMPRODUCT((Inputs!$B$4:$B$150=$B60)*ISNUMBER(INDEX(Inputs!$D$4:$AG$150,0,MATCH(AC$2,Inputs!$D$2:$AG$2,0))))=0,"",SUMIFS(INDEX(Inputs!$D$4:$AG$150,0,MATCH(AC$2,Inputs!$D$2:$AG$2,0)),Inputs!$B$4:$B$150,$B60)/1000)</f>
        <v>40589</v>
      </c>
      <c r="AD60" s="11">
        <f>IF(SUMPRODUCT((Inputs!$B$4:$B$150=$B60)*ISNUMBER(INDEX(Inputs!$D$4:$AG$150,0,MATCH(AD$2,Inputs!$D$2:$AG$2,0))))=0,"",SUMIFS(INDEX(Inputs!$D$4:$AG$150,0,MATCH(AD$2,Inputs!$D$2:$AG$2,0)),Inputs!$B$4:$B$150,$B60)/1000)</f>
        <v>39544</v>
      </c>
      <c r="AE60" s="11" t="str">
        <f>IF(SUMPRODUCT((Inputs!$B$4:$B$150=$B60)*ISNUMBER(INDEX(Inputs!$D$4:$AG$150,0,MATCH(AE$2,Inputs!$D$2:$AG$2,0))))=0,"",SUMIFS(INDEX(Inputs!$D$4:$AG$150,0,MATCH(AE$2,Inputs!$D$2:$AG$2,0)),Inputs!$B$4:$B$150,$B60)/1000)</f>
        <v/>
      </c>
      <c r="AF60" s="11" t="str">
        <f>IF(SUMPRODUCT((Inputs!$B$4:$B$150=$B60)*ISNUMBER(INDEX(Inputs!$D$4:$AG$150,0,MATCH(AF$2,Inputs!$D$2:$AG$2,0))))=0,"",SUMIFS(INDEX(Inputs!$D$4:$AG$150,0,MATCH(AF$2,Inputs!$D$2:$AG$2,0)),Inputs!$B$4:$B$150,$B60)/1000)</f>
        <v/>
      </c>
      <c r="AG60" s="12" t="str">
        <f>IF(COUNT(AC60:AF60)=4,SUM(AC60:AF60),"")</f>
        <v/>
      </c>
    </row>
    <row r="61">
      <c r="B61" s="9" t="n">
        <v>53</v>
      </c>
      <c r="C61" s="10" t="inlineStr">
        <is>
          <t>Google Cloud - lucro operacional (USD)</t>
        </is>
      </c>
      <c r="D61" s="11">
        <f>IF(SUMPRODUCT((Inputs!$B$4:$B$150=$B61)*ISNUMBER(INDEX(Inputs!$D$4:$AG$150,0,MATCH(D$2,Inputs!$D$2:$AG$2,0))))=0,"",SUMIFS(INDEX(Inputs!$D$4:$AG$150,0,MATCH(D$2,Inputs!$D$2:$AG$2,0)),Inputs!$B$4:$B$150,$B61)/1000)</f>
        <v>-974</v>
      </c>
      <c r="E61" s="11">
        <f>IF(SUMPRODUCT((Inputs!$B$4:$B$150=$B61)*ISNUMBER(INDEX(Inputs!$D$4:$AG$150,0,MATCH(E$2,Inputs!$D$2:$AG$2,0))))=0,"",SUMIFS(INDEX(Inputs!$D$4:$AG$150,0,MATCH(E$2,Inputs!$D$2:$AG$2,0)),Inputs!$B$4:$B$150,$B61)/1000)</f>
        <v>-591</v>
      </c>
      <c r="F61" s="11">
        <f>IF(SUMPRODUCT((Inputs!$B$4:$B$150=$B61)*ISNUMBER(INDEX(Inputs!$D$4:$AG$150,0,MATCH(F$2,Inputs!$D$2:$AG$2,0))))=0,"",SUMIFS(INDEX(Inputs!$D$4:$AG$150,0,MATCH(F$2,Inputs!$D$2:$AG$2,0)),Inputs!$B$4:$B$150,$B61)/1000)</f>
        <v>-644</v>
      </c>
      <c r="G61" s="11">
        <f>IF(SUMPRODUCT((Inputs!$B$4:$B$150=$B61)*ISNUMBER(INDEX(Inputs!$D$4:$AG$150,0,MATCH(G$2,Inputs!$D$2:$AG$2,0))))=0,"",SUMIFS(INDEX(Inputs!$D$4:$AG$150,0,MATCH(G$2,Inputs!$D$2:$AG$2,0)),Inputs!$B$4:$B$150,$B61)/1000)</f>
        <v>-73</v>
      </c>
      <c r="H61" s="12">
        <f>IF(COUNT(D61:G61)=4,SUM(D61:G61),"")</f>
        <v>-2282</v>
      </c>
      <c r="I61" s="11">
        <f>IF(SUMPRODUCT((Inputs!$B$4:$B$150=$B61)*ISNUMBER(INDEX(Inputs!$D$4:$AG$150,0,MATCH(I$2,Inputs!$D$2:$AG$2,0))))=0,"",SUMIFS(INDEX(Inputs!$D$4:$AG$150,0,MATCH(I$2,Inputs!$D$2:$AG$2,0)),Inputs!$B$4:$B$150,$B61)/1000)</f>
        <v>-931</v>
      </c>
      <c r="J61" s="11">
        <f>IF(SUMPRODUCT((Inputs!$B$4:$B$150=$B61)*ISNUMBER(INDEX(Inputs!$D$4:$AG$150,0,MATCH(J$2,Inputs!$D$2:$AG$2,0))))=0,"",SUMIFS(INDEX(Inputs!$D$4:$AG$150,0,MATCH(J$2,Inputs!$D$2:$AG$2,0)),Inputs!$B$4:$B$150,$B61)/1000)</f>
        <v>-858</v>
      </c>
      <c r="K61" s="11">
        <f>IF(SUMPRODUCT((Inputs!$B$4:$B$150=$B61)*ISNUMBER(INDEX(Inputs!$D$4:$AG$150,0,MATCH(K$2,Inputs!$D$2:$AG$2,0))))=0,"",SUMIFS(INDEX(Inputs!$D$4:$AG$150,0,MATCH(K$2,Inputs!$D$2:$AG$2,0)),Inputs!$B$4:$B$150,$B61)/1000)</f>
        <v>-699</v>
      </c>
      <c r="L61" s="11">
        <f>IF(SUMPRODUCT((Inputs!$B$4:$B$150=$B61)*ISNUMBER(INDEX(Inputs!$D$4:$AG$150,0,MATCH(L$2,Inputs!$D$2:$AG$2,0))))=0,"",SUMIFS(INDEX(Inputs!$D$4:$AG$150,0,MATCH(L$2,Inputs!$D$2:$AG$2,0)),Inputs!$B$4:$B$150,$B61)/1000)</f>
        <v>566</v>
      </c>
      <c r="M61" s="12">
        <f>IF(COUNT(I61:L61)=4,SUM(I61:L61),"")</f>
        <v>-1922</v>
      </c>
      <c r="N61" s="11">
        <f>IF(SUMPRODUCT((Inputs!$B$4:$B$150=$B61)*ISNUMBER(INDEX(Inputs!$D$4:$AG$150,0,MATCH(N$2,Inputs!$D$2:$AG$2,0))))=0,"",SUMIFS(INDEX(Inputs!$D$4:$AG$150,0,MATCH(N$2,Inputs!$D$2:$AG$2,0)),Inputs!$B$4:$B$150,$B61)/1000)</f>
        <v>191</v>
      </c>
      <c r="O61" s="11">
        <f>IF(SUMPRODUCT((Inputs!$B$4:$B$150=$B61)*ISNUMBER(INDEX(Inputs!$D$4:$AG$150,0,MATCH(O$2,Inputs!$D$2:$AG$2,0))))=0,"",SUMIFS(INDEX(Inputs!$D$4:$AG$150,0,MATCH(O$2,Inputs!$D$2:$AG$2,0)),Inputs!$B$4:$B$150,$B61)/1000)</f>
        <v>395</v>
      </c>
      <c r="P61" s="11">
        <f>IF(SUMPRODUCT((Inputs!$B$4:$B$150=$B61)*ISNUMBER(INDEX(Inputs!$D$4:$AG$150,0,MATCH(P$2,Inputs!$D$2:$AG$2,0))))=0,"",SUMIFS(INDEX(Inputs!$D$4:$AG$150,0,MATCH(P$2,Inputs!$D$2:$AG$2,0)),Inputs!$B$4:$B$150,$B61)/1000)</f>
        <v>266</v>
      </c>
      <c r="Q61" s="11">
        <f>IF(SUMPRODUCT((Inputs!$B$4:$B$150=$B61)*ISNUMBER(INDEX(Inputs!$D$4:$AG$150,0,MATCH(Q$2,Inputs!$D$2:$AG$2,0))))=0,"",SUMIFS(INDEX(Inputs!$D$4:$AG$150,0,MATCH(Q$2,Inputs!$D$2:$AG$2,0)),Inputs!$B$4:$B$150,$B61)/1000)</f>
        <v>864</v>
      </c>
      <c r="R61" s="12">
        <f>IF(COUNT(N61:Q61)=4,SUM(N61:Q61),"")</f>
        <v>1716</v>
      </c>
      <c r="S61" s="11">
        <f>IF(SUMPRODUCT((Inputs!$B$4:$B$150=$B61)*ISNUMBER(INDEX(Inputs!$D$4:$AG$150,0,MATCH(S$2,Inputs!$D$2:$AG$2,0))))=0,"",SUMIFS(INDEX(Inputs!$D$4:$AG$150,0,MATCH(S$2,Inputs!$D$2:$AG$2,0)),Inputs!$B$4:$B$150,$B61)/1000)</f>
        <v>900</v>
      </c>
      <c r="T61" s="11">
        <f>IF(SUMPRODUCT((Inputs!$B$4:$B$150=$B61)*ISNUMBER(INDEX(Inputs!$D$4:$AG$150,0,MATCH(T$2,Inputs!$D$2:$AG$2,0))))=0,"",SUMIFS(INDEX(Inputs!$D$4:$AG$150,0,MATCH(T$2,Inputs!$D$2:$AG$2,0)),Inputs!$B$4:$B$150,$B61)/1000)</f>
        <v>1172</v>
      </c>
      <c r="U61" s="11">
        <f>IF(SUMPRODUCT((Inputs!$B$4:$B$150=$B61)*ISNUMBER(INDEX(Inputs!$D$4:$AG$150,0,MATCH(U$2,Inputs!$D$2:$AG$2,0))))=0,"",SUMIFS(INDEX(Inputs!$D$4:$AG$150,0,MATCH(U$2,Inputs!$D$2:$AG$2,0)),Inputs!$B$4:$B$150,$B61)/1000)</f>
        <v>1947</v>
      </c>
      <c r="V61" s="11">
        <f>IF(SUMPRODUCT((Inputs!$B$4:$B$150=$B61)*ISNUMBER(INDEX(Inputs!$D$4:$AG$150,0,MATCH(V$2,Inputs!$D$2:$AG$2,0))))=0,"",SUMIFS(INDEX(Inputs!$D$4:$AG$150,0,MATCH(V$2,Inputs!$D$2:$AG$2,0)),Inputs!$B$4:$B$150,$B61)/1000)</f>
        <v>2093</v>
      </c>
      <c r="W61" s="12">
        <f>IF(COUNT(S61:V61)=4,SUM(S61:V61),"")</f>
        <v>6112</v>
      </c>
      <c r="X61" s="11">
        <f>IF(SUMPRODUCT((Inputs!$B$4:$B$150=$B61)*ISNUMBER(INDEX(Inputs!$D$4:$AG$150,0,MATCH(X$2,Inputs!$D$2:$AG$2,0))))=0,"",SUMIFS(INDEX(Inputs!$D$4:$AG$150,0,MATCH(X$2,Inputs!$D$2:$AG$2,0)),Inputs!$B$4:$B$150,$B61)/1000)</f>
        <v>2177</v>
      </c>
      <c r="Y61" s="11">
        <f>IF(SUMPRODUCT((Inputs!$B$4:$B$150=$B61)*ISNUMBER(INDEX(Inputs!$D$4:$AG$150,0,MATCH(Y$2,Inputs!$D$2:$AG$2,0))))=0,"",SUMIFS(INDEX(Inputs!$D$4:$AG$150,0,MATCH(Y$2,Inputs!$D$2:$AG$2,0)),Inputs!$B$4:$B$150,$B61)/1000)</f>
        <v>2826</v>
      </c>
      <c r="Z61" s="11">
        <f>IF(SUMPRODUCT((Inputs!$B$4:$B$150=$B61)*ISNUMBER(INDEX(Inputs!$D$4:$AG$150,0,MATCH(Z$2,Inputs!$D$2:$AG$2,0))))=0,"",SUMIFS(INDEX(Inputs!$D$4:$AG$150,0,MATCH(Z$2,Inputs!$D$2:$AG$2,0)),Inputs!$B$4:$B$150,$B61)/1000)</f>
        <v>3594</v>
      </c>
      <c r="AA61" s="11">
        <f>IF(SUMPRODUCT((Inputs!$B$4:$B$150=$B61)*ISNUMBER(INDEX(Inputs!$D$4:$AG$150,0,MATCH(AA$2,Inputs!$D$2:$AG$2,0))))=0,"",SUMIFS(INDEX(Inputs!$D$4:$AG$150,0,MATCH(AA$2,Inputs!$D$2:$AG$2,0)),Inputs!$B$4:$B$150,$B61)/1000)</f>
        <v>5313</v>
      </c>
      <c r="AB61" s="12">
        <f>IF(COUNT(X61:AA61)=4,SUM(X61:AA61),"")</f>
        <v>13910</v>
      </c>
      <c r="AC61" s="11">
        <f>IF(SUMPRODUCT((Inputs!$B$4:$B$150=$B61)*ISNUMBER(INDEX(Inputs!$D$4:$AG$150,0,MATCH(AC$2,Inputs!$D$2:$AG$2,0))))=0,"",SUMIFS(INDEX(Inputs!$D$4:$AG$150,0,MATCH(AC$2,Inputs!$D$2:$AG$2,0)),Inputs!$B$4:$B$150,$B61)/1000)</f>
        <v>6598</v>
      </c>
      <c r="AD61" s="11">
        <f>IF(SUMPRODUCT((Inputs!$B$4:$B$150=$B61)*ISNUMBER(INDEX(Inputs!$D$4:$AG$150,0,MATCH(AD$2,Inputs!$D$2:$AG$2,0))))=0,"",SUMIFS(INDEX(Inputs!$D$4:$AG$150,0,MATCH(AD$2,Inputs!$D$2:$AG$2,0)),Inputs!$B$4:$B$150,$B61)/1000)</f>
        <v>8814</v>
      </c>
      <c r="AE61" s="11" t="str">
        <f>IF(SUMPRODUCT((Inputs!$B$4:$B$150=$B61)*ISNUMBER(INDEX(Inputs!$D$4:$AG$150,0,MATCH(AE$2,Inputs!$D$2:$AG$2,0))))=0,"",SUMIFS(INDEX(Inputs!$D$4:$AG$150,0,MATCH(AE$2,Inputs!$D$2:$AG$2,0)),Inputs!$B$4:$B$150,$B61)/1000)</f>
        <v/>
      </c>
      <c r="AF61" s="11" t="str">
        <f>IF(SUMPRODUCT((Inputs!$B$4:$B$150=$B61)*ISNUMBER(INDEX(Inputs!$D$4:$AG$150,0,MATCH(AF$2,Inputs!$D$2:$AG$2,0))))=0,"",SUMIFS(INDEX(Inputs!$D$4:$AG$150,0,MATCH(AF$2,Inputs!$D$2:$AG$2,0)),Inputs!$B$4:$B$150,$B61)/1000)</f>
        <v/>
      </c>
      <c r="AG61" s="12" t="str">
        <f>IF(COUNT(AC61:AF61)=4,SUM(AC61:AF61),"")</f>
        <v/>
      </c>
    </row>
    <row r="62">
      <c r="B62" s="9" t="n">
        <v>54</v>
      </c>
      <c r="C62" s="10" t="inlineStr">
        <is>
          <t>Other Bets - lucro operacional (USD)</t>
        </is>
      </c>
      <c r="D62" s="11">
        <f>IF(SUMPRODUCT((Inputs!$B$4:$B$150=$B62)*ISNUMBER(INDEX(Inputs!$D$4:$AG$150,0,MATCH(D$2,Inputs!$D$2:$AG$2,0))))=0,"",SUMIFS(INDEX(Inputs!$D$4:$AG$150,0,MATCH(D$2,Inputs!$D$2:$AG$2,0)),Inputs!$B$4:$B$150,$B62)/1000)</f>
        <v>-1145</v>
      </c>
      <c r="E62" s="11">
        <f>IF(SUMPRODUCT((Inputs!$B$4:$B$150=$B62)*ISNUMBER(INDEX(Inputs!$D$4:$AG$150,0,MATCH(E$2,Inputs!$D$2:$AG$2,0))))=0,"",SUMIFS(INDEX(Inputs!$D$4:$AG$150,0,MATCH(E$2,Inputs!$D$2:$AG$2,0)),Inputs!$B$4:$B$150,$B62)/1000)</f>
        <v>-1398</v>
      </c>
      <c r="F62" s="11">
        <f>IF(SUMPRODUCT((Inputs!$B$4:$B$150=$B62)*ISNUMBER(INDEX(Inputs!$D$4:$AG$150,0,MATCH(F$2,Inputs!$D$2:$AG$2,0))))=0,"",SUMIFS(INDEX(Inputs!$D$4:$AG$150,0,MATCH(F$2,Inputs!$D$2:$AG$2,0)),Inputs!$B$4:$B$150,$B62)/1000)</f>
        <v>-1288</v>
      </c>
      <c r="G62" s="11">
        <f>IF(SUMPRODUCT((Inputs!$B$4:$B$150=$B62)*ISNUMBER(INDEX(Inputs!$D$4:$AG$150,0,MATCH(G$2,Inputs!$D$2:$AG$2,0))))=0,"",SUMIFS(INDEX(Inputs!$D$4:$AG$150,0,MATCH(G$2,Inputs!$D$2:$AG$2,0)),Inputs!$B$4:$B$150,$B62)/1000)</f>
        <v>-220</v>
      </c>
      <c r="H62" s="12">
        <f>IF(COUNT(D62:G62)=4,SUM(D62:G62),"")</f>
        <v>-4051</v>
      </c>
      <c r="I62" s="11">
        <f>IF(SUMPRODUCT((Inputs!$B$4:$B$150=$B62)*ISNUMBER(INDEX(Inputs!$D$4:$AG$150,0,MATCH(I$2,Inputs!$D$2:$AG$2,0))))=0,"",SUMIFS(INDEX(Inputs!$D$4:$AG$150,0,MATCH(I$2,Inputs!$D$2:$AG$2,0)),Inputs!$B$4:$B$150,$B62)/1000)</f>
        <v>-835</v>
      </c>
      <c r="J62" s="11">
        <f>IF(SUMPRODUCT((Inputs!$B$4:$B$150=$B62)*ISNUMBER(INDEX(Inputs!$D$4:$AG$150,0,MATCH(J$2,Inputs!$D$2:$AG$2,0))))=0,"",SUMIFS(INDEX(Inputs!$D$4:$AG$150,0,MATCH(J$2,Inputs!$D$2:$AG$2,0)),Inputs!$B$4:$B$150,$B62)/1000)</f>
        <v>-1339</v>
      </c>
      <c r="K62" s="11">
        <f>IF(SUMPRODUCT((Inputs!$B$4:$B$150=$B62)*ISNUMBER(INDEX(Inputs!$D$4:$AG$150,0,MATCH(K$2,Inputs!$D$2:$AG$2,0))))=0,"",SUMIFS(INDEX(Inputs!$D$4:$AG$150,0,MATCH(K$2,Inputs!$D$2:$AG$2,0)),Inputs!$B$4:$B$150,$B62)/1000)</f>
        <v>-1225</v>
      </c>
      <c r="L62" s="11">
        <f>IF(SUMPRODUCT((Inputs!$B$4:$B$150=$B62)*ISNUMBER(INDEX(Inputs!$D$4:$AG$150,0,MATCH(L$2,Inputs!$D$2:$AG$2,0))))=0,"",SUMIFS(INDEX(Inputs!$D$4:$AG$150,0,MATCH(L$2,Inputs!$D$2:$AG$2,0)),Inputs!$B$4:$B$150,$B62)/1000)</f>
        <v>-1237</v>
      </c>
      <c r="M62" s="12">
        <f>IF(COUNT(I62:L62)=4,SUM(I62:L62),"")</f>
        <v>-4636</v>
      </c>
      <c r="N62" s="11">
        <f>IF(SUMPRODUCT((Inputs!$B$4:$B$150=$B62)*ISNUMBER(INDEX(Inputs!$D$4:$AG$150,0,MATCH(N$2,Inputs!$D$2:$AG$2,0))))=0,"",SUMIFS(INDEX(Inputs!$D$4:$AG$150,0,MATCH(N$2,Inputs!$D$2:$AG$2,0)),Inputs!$B$4:$B$150,$B62)/1000)</f>
        <v>-1225</v>
      </c>
      <c r="O62" s="11">
        <f>IF(SUMPRODUCT((Inputs!$B$4:$B$150=$B62)*ISNUMBER(INDEX(Inputs!$D$4:$AG$150,0,MATCH(O$2,Inputs!$D$2:$AG$2,0))))=0,"",SUMIFS(INDEX(Inputs!$D$4:$AG$150,0,MATCH(O$2,Inputs!$D$2:$AG$2,0)),Inputs!$B$4:$B$150,$B62)/1000)</f>
        <v>-813</v>
      </c>
      <c r="P62" s="11">
        <f>IF(SUMPRODUCT((Inputs!$B$4:$B$150=$B62)*ISNUMBER(INDEX(Inputs!$D$4:$AG$150,0,MATCH(P$2,Inputs!$D$2:$AG$2,0))))=0,"",SUMIFS(INDEX(Inputs!$D$4:$AG$150,0,MATCH(P$2,Inputs!$D$2:$AG$2,0)),Inputs!$B$4:$B$150,$B62)/1000)</f>
        <v>-1194</v>
      </c>
      <c r="Q62" s="11">
        <f>IF(SUMPRODUCT((Inputs!$B$4:$B$150=$B62)*ISNUMBER(INDEX(Inputs!$D$4:$AG$150,0,MATCH(Q$2,Inputs!$D$2:$AG$2,0))))=0,"",SUMIFS(INDEX(Inputs!$D$4:$AG$150,0,MATCH(Q$2,Inputs!$D$2:$AG$2,0)),Inputs!$B$4:$B$150,$B62)/1000)</f>
        <v>-863</v>
      </c>
      <c r="R62" s="12">
        <f>IF(COUNT(N62:Q62)=4,SUM(N62:Q62),"")</f>
        <v>-4095</v>
      </c>
      <c r="S62" s="11">
        <f>IF(SUMPRODUCT((Inputs!$B$4:$B$150=$B62)*ISNUMBER(INDEX(Inputs!$D$4:$AG$150,0,MATCH(S$2,Inputs!$D$2:$AG$2,0))))=0,"",SUMIFS(INDEX(Inputs!$D$4:$AG$150,0,MATCH(S$2,Inputs!$D$2:$AG$2,0)),Inputs!$B$4:$B$150,$B62)/1000)</f>
        <v>-1020</v>
      </c>
      <c r="T62" s="11">
        <f>IF(SUMPRODUCT((Inputs!$B$4:$B$150=$B62)*ISNUMBER(INDEX(Inputs!$D$4:$AG$150,0,MATCH(T$2,Inputs!$D$2:$AG$2,0))))=0,"",SUMIFS(INDEX(Inputs!$D$4:$AG$150,0,MATCH(T$2,Inputs!$D$2:$AG$2,0)),Inputs!$B$4:$B$150,$B62)/1000)</f>
        <v>-1134</v>
      </c>
      <c r="U62" s="11">
        <f>IF(SUMPRODUCT((Inputs!$B$4:$B$150=$B62)*ISNUMBER(INDEX(Inputs!$D$4:$AG$150,0,MATCH(U$2,Inputs!$D$2:$AG$2,0))))=0,"",SUMIFS(INDEX(Inputs!$D$4:$AG$150,0,MATCH(U$2,Inputs!$D$2:$AG$2,0)),Inputs!$B$4:$B$150,$B62)/1000)</f>
        <v>-1116</v>
      </c>
      <c r="V62" s="11">
        <f>IF(SUMPRODUCT((Inputs!$B$4:$B$150=$B62)*ISNUMBER(INDEX(Inputs!$D$4:$AG$150,0,MATCH(V$2,Inputs!$D$2:$AG$2,0))))=0,"",SUMIFS(INDEX(Inputs!$D$4:$AG$150,0,MATCH(V$2,Inputs!$D$2:$AG$2,0)),Inputs!$B$4:$B$150,$B62)/1000)</f>
        <v>-1174</v>
      </c>
      <c r="W62" s="12">
        <f>IF(COUNT(S62:V62)=4,SUM(S62:V62),"")</f>
        <v>-4444</v>
      </c>
      <c r="X62" s="11">
        <f>IF(SUMPRODUCT((Inputs!$B$4:$B$150=$B62)*ISNUMBER(INDEX(Inputs!$D$4:$AG$150,0,MATCH(X$2,Inputs!$D$2:$AG$2,0))))=0,"",SUMIFS(INDEX(Inputs!$D$4:$AG$150,0,MATCH(X$2,Inputs!$D$2:$AG$2,0)),Inputs!$B$4:$B$150,$B62)/1000)</f>
        <v>-1226</v>
      </c>
      <c r="Y62" s="11">
        <f>IF(SUMPRODUCT((Inputs!$B$4:$B$150=$B62)*ISNUMBER(INDEX(Inputs!$D$4:$AG$150,0,MATCH(Y$2,Inputs!$D$2:$AG$2,0))))=0,"",SUMIFS(INDEX(Inputs!$D$4:$AG$150,0,MATCH(Y$2,Inputs!$D$2:$AG$2,0)),Inputs!$B$4:$B$150,$B62)/1000)</f>
        <v>-1246</v>
      </c>
      <c r="Z62" s="11">
        <f>IF(SUMPRODUCT((Inputs!$B$4:$B$150=$B62)*ISNUMBER(INDEX(Inputs!$D$4:$AG$150,0,MATCH(Z$2,Inputs!$D$2:$AG$2,0))))=0,"",SUMIFS(INDEX(Inputs!$D$4:$AG$150,0,MATCH(Z$2,Inputs!$D$2:$AG$2,0)),Inputs!$B$4:$B$150,$B62)/1000)</f>
        <v>-1426</v>
      </c>
      <c r="AA62" s="11">
        <f>IF(SUMPRODUCT((Inputs!$B$4:$B$150=$B62)*ISNUMBER(INDEX(Inputs!$D$4:$AG$150,0,MATCH(AA$2,Inputs!$D$2:$AG$2,0))))=0,"",SUMIFS(INDEX(Inputs!$D$4:$AG$150,0,MATCH(AA$2,Inputs!$D$2:$AG$2,0)),Inputs!$B$4:$B$150,$B62)/1000)</f>
        <v>-3617</v>
      </c>
      <c r="AB62" s="12">
        <f>IF(COUNT(X62:AA62)=4,SUM(X62:AA62),"")</f>
        <v>-7515</v>
      </c>
      <c r="AC62" s="11">
        <f>IF(SUMPRODUCT((Inputs!$B$4:$B$150=$B62)*ISNUMBER(INDEX(Inputs!$D$4:$AG$150,0,MATCH(AC$2,Inputs!$D$2:$AG$2,0))))=0,"",SUMIFS(INDEX(Inputs!$D$4:$AG$150,0,MATCH(AC$2,Inputs!$D$2:$AG$2,0)),Inputs!$B$4:$B$150,$B62)/1000)</f>
        <v>-2100</v>
      </c>
      <c r="AD62" s="11">
        <f>IF(SUMPRODUCT((Inputs!$B$4:$B$150=$B62)*ISNUMBER(INDEX(Inputs!$D$4:$AG$150,0,MATCH(AD$2,Inputs!$D$2:$AG$2,0))))=0,"",SUMIFS(INDEX(Inputs!$D$4:$AG$150,0,MATCH(AD$2,Inputs!$D$2:$AG$2,0)),Inputs!$B$4:$B$150,$B62)/1000)</f>
        <v>-1799</v>
      </c>
      <c r="AE62" s="11" t="str">
        <f>IF(SUMPRODUCT((Inputs!$B$4:$B$150=$B62)*ISNUMBER(INDEX(Inputs!$D$4:$AG$150,0,MATCH(AE$2,Inputs!$D$2:$AG$2,0))))=0,"",SUMIFS(INDEX(Inputs!$D$4:$AG$150,0,MATCH(AE$2,Inputs!$D$2:$AG$2,0)),Inputs!$B$4:$B$150,$B62)/1000)</f>
        <v/>
      </c>
      <c r="AF62" s="11" t="str">
        <f>IF(SUMPRODUCT((Inputs!$B$4:$B$150=$B62)*ISNUMBER(INDEX(Inputs!$D$4:$AG$150,0,MATCH(AF$2,Inputs!$D$2:$AG$2,0))))=0,"",SUMIFS(INDEX(Inputs!$D$4:$AG$150,0,MATCH(AF$2,Inputs!$D$2:$AG$2,0)),Inputs!$B$4:$B$150,$B62)/1000)</f>
        <v/>
      </c>
      <c r="AG62" s="12" t="str">
        <f>IF(COUNT(AC62:AF62)=4,SUM(AC62:AF62),"")</f>
        <v/>
      </c>
    </row>
    <row r="63">
      <c r="B63" s="9" t="n">
        <v>55</v>
      </c>
      <c r="C63" s="10" t="inlineStr">
        <is>
          <t>Alphabet-level activities - resultado operacional (USD)</t>
        </is>
      </c>
      <c r="D63" s="11">
        <f>IF(SUMPRODUCT((Inputs!$B$4:$B$150=$B63)*ISNUMBER(INDEX(Inputs!$D$4:$AG$150,0,MATCH(D$2,Inputs!$D$2:$AG$2,0))))=0,"",SUMIFS(INDEX(Inputs!$D$4:$AG$150,0,MATCH(D$2,Inputs!$D$2:$AG$2,0)),Inputs!$B$4:$B$150,$B63)/1000)</f>
        <v>-990</v>
      </c>
      <c r="E63" s="11">
        <f>IF(SUMPRODUCT((Inputs!$B$4:$B$150=$B63)*ISNUMBER(INDEX(Inputs!$D$4:$AG$150,0,MATCH(E$2,Inputs!$D$2:$AG$2,0))))=0,"",SUMIFS(INDEX(Inputs!$D$4:$AG$150,0,MATCH(E$2,Inputs!$D$2:$AG$2,0)),Inputs!$B$4:$B$150,$B63)/1000)</f>
        <v>-993</v>
      </c>
      <c r="F63" s="11">
        <f>IF(SUMPRODUCT((Inputs!$B$4:$B$150=$B63)*ISNUMBER(INDEX(Inputs!$D$4:$AG$150,0,MATCH(F$2,Inputs!$D$2:$AG$2,0))))=0,"",SUMIFS(INDEX(Inputs!$D$4:$AG$150,0,MATCH(F$2,Inputs!$D$2:$AG$2,0)),Inputs!$B$4:$B$150,$B63)/1000)</f>
        <v>-1010</v>
      </c>
      <c r="G63" s="11">
        <f>IF(SUMPRODUCT((Inputs!$B$4:$B$150=$B63)*ISNUMBER(INDEX(Inputs!$D$4:$AG$150,0,MATCH(G$2,Inputs!$D$2:$AG$2,0))))=0,"",SUMIFS(INDEX(Inputs!$D$4:$AG$150,0,MATCH(G$2,Inputs!$D$2:$AG$2,0)),Inputs!$B$4:$B$150,$B63)/1000)</f>
        <v>-92</v>
      </c>
      <c r="H63" s="12">
        <f>IF(COUNT(D63:G63)=4,SUM(D63:G63),"")</f>
        <v>-3085</v>
      </c>
      <c r="I63" s="11">
        <f>IF(SUMPRODUCT((Inputs!$B$4:$B$150=$B63)*ISNUMBER(INDEX(Inputs!$D$4:$AG$150,0,MATCH(I$2,Inputs!$D$2:$AG$2,0))))=0,"",SUMIFS(INDEX(Inputs!$D$4:$AG$150,0,MATCH(I$2,Inputs!$D$2:$AG$2,0)),Inputs!$B$4:$B$150,$B63)/1000)</f>
        <v>-338</v>
      </c>
      <c r="J63" s="11">
        <f>IF(SUMPRODUCT((Inputs!$B$4:$B$150=$B63)*ISNUMBER(INDEX(Inputs!$D$4:$AG$150,0,MATCH(J$2,Inputs!$D$2:$AG$2,0))))=0,"",SUMIFS(INDEX(Inputs!$D$4:$AG$150,0,MATCH(J$2,Inputs!$D$2:$AG$2,0)),Inputs!$B$4:$B$150,$B63)/1000)</f>
        <v>-239</v>
      </c>
      <c r="K63" s="11">
        <f>IF(SUMPRODUCT((Inputs!$B$4:$B$150=$B63)*ISNUMBER(INDEX(Inputs!$D$4:$AG$150,0,MATCH(K$2,Inputs!$D$2:$AG$2,0))))=0,"",SUMIFS(INDEX(Inputs!$D$4:$AG$150,0,MATCH(K$2,Inputs!$D$2:$AG$2,0)),Inputs!$B$4:$B$150,$B63)/1000)</f>
        <v>-83</v>
      </c>
      <c r="L63" s="11">
        <f>IF(SUMPRODUCT((Inputs!$B$4:$B$150=$B63)*ISNUMBER(INDEX(Inputs!$D$4:$AG$150,0,MATCH(L$2,Inputs!$D$2:$AG$2,0))))=0,"",SUMIFS(INDEX(Inputs!$D$4:$AG$150,0,MATCH(L$2,Inputs!$D$2:$AG$2,0)),Inputs!$B$4:$B$150,$B63)/1000)</f>
        <v>-639</v>
      </c>
      <c r="M63" s="12">
        <f>IF(COUNT(I63:L63)=4,SUM(I63:L63),"")</f>
        <v>-1299</v>
      </c>
      <c r="N63" s="11">
        <f>IF(SUMPRODUCT((Inputs!$B$4:$B$150=$B63)*ISNUMBER(INDEX(Inputs!$D$4:$AG$150,0,MATCH(N$2,Inputs!$D$2:$AG$2,0))))=0,"",SUMIFS(INDEX(Inputs!$D$4:$AG$150,0,MATCH(N$2,Inputs!$D$2:$AG$2,0)),Inputs!$B$4:$B$150,$B63)/1000)</f>
        <v>-3288</v>
      </c>
      <c r="O63" s="11">
        <f>IF(SUMPRODUCT((Inputs!$B$4:$B$150=$B63)*ISNUMBER(INDEX(Inputs!$D$4:$AG$150,0,MATCH(O$2,Inputs!$D$2:$AG$2,0))))=0,"",SUMIFS(INDEX(Inputs!$D$4:$AG$150,0,MATCH(O$2,Inputs!$D$2:$AG$2,0)),Inputs!$B$4:$B$150,$B63)/1000)</f>
        <v>-1198</v>
      </c>
      <c r="P63" s="11">
        <f>IF(SUMPRODUCT((Inputs!$B$4:$B$150=$B63)*ISNUMBER(INDEX(Inputs!$D$4:$AG$150,0,MATCH(P$2,Inputs!$D$2:$AG$2,0))))=0,"",SUMIFS(INDEX(Inputs!$D$4:$AG$150,0,MATCH(P$2,Inputs!$D$2:$AG$2,0)),Inputs!$B$4:$B$150,$B63)/1000)</f>
        <v>-1666</v>
      </c>
      <c r="Q63" s="11">
        <f>IF(SUMPRODUCT((Inputs!$B$4:$B$150=$B63)*ISNUMBER(INDEX(Inputs!$D$4:$AG$150,0,MATCH(Q$2,Inputs!$D$2:$AG$2,0))))=0,"",SUMIFS(INDEX(Inputs!$D$4:$AG$150,0,MATCH(Q$2,Inputs!$D$2:$AG$2,0)),Inputs!$B$4:$B$150,$B63)/1000)</f>
        <v>-3034</v>
      </c>
      <c r="R63" s="12">
        <f>IF(COUNT(N63:Q63)=4,SUM(N63:Q63),"")</f>
        <v>-9186</v>
      </c>
      <c r="S63" s="11">
        <f>IF(SUMPRODUCT((Inputs!$B$4:$B$150=$B63)*ISNUMBER(INDEX(Inputs!$D$4:$AG$150,0,MATCH(S$2,Inputs!$D$2:$AG$2,0))))=0,"",SUMIFS(INDEX(Inputs!$D$4:$AG$150,0,MATCH(S$2,Inputs!$D$2:$AG$2,0)),Inputs!$B$4:$B$150,$B63)/1000)</f>
        <v>-2305</v>
      </c>
      <c r="T63" s="11">
        <f>IF(SUMPRODUCT((Inputs!$B$4:$B$150=$B63)*ISNUMBER(INDEX(Inputs!$D$4:$AG$150,0,MATCH(T$2,Inputs!$D$2:$AG$2,0))))=0,"",SUMIFS(INDEX(Inputs!$D$4:$AG$150,0,MATCH(T$2,Inputs!$D$2:$AG$2,0)),Inputs!$B$4:$B$150,$B63)/1000)</f>
        <v>-2287</v>
      </c>
      <c r="U63" s="11">
        <f>IF(SUMPRODUCT((Inputs!$B$4:$B$150=$B63)*ISNUMBER(INDEX(Inputs!$D$4:$AG$150,0,MATCH(U$2,Inputs!$D$2:$AG$2,0))))=0,"",SUMIFS(INDEX(Inputs!$D$4:$AG$150,0,MATCH(U$2,Inputs!$D$2:$AG$2,0)),Inputs!$B$4:$B$150,$B63)/1000)</f>
        <v>-3166</v>
      </c>
      <c r="V63" s="11">
        <f>IF(SUMPRODUCT((Inputs!$B$4:$B$150=$B63)*ISNUMBER(INDEX(Inputs!$D$4:$AG$150,0,MATCH(V$2,Inputs!$D$2:$AG$2,0))))=0,"",SUMIFS(INDEX(Inputs!$D$4:$AG$150,0,MATCH(V$2,Inputs!$D$2:$AG$2,0)),Inputs!$B$4:$B$150,$B63)/1000)</f>
        <v>-2783</v>
      </c>
      <c r="W63" s="12">
        <f>IF(COUNT(S63:V63)=4,SUM(S63:V63),"")</f>
        <v>-10541</v>
      </c>
      <c r="X63" s="11">
        <f>IF(SUMPRODUCT((Inputs!$B$4:$B$150=$B63)*ISNUMBER(INDEX(Inputs!$D$4:$AG$150,0,MATCH(X$2,Inputs!$D$2:$AG$2,0))))=0,"",SUMIFS(INDEX(Inputs!$D$4:$AG$150,0,MATCH(X$2,Inputs!$D$2:$AG$2,0)),Inputs!$B$4:$B$150,$B63)/1000)</f>
        <v>-3027</v>
      </c>
      <c r="Y63" s="11">
        <f>IF(SUMPRODUCT((Inputs!$B$4:$B$150=$B63)*ISNUMBER(INDEX(Inputs!$D$4:$AG$150,0,MATCH(Y$2,Inputs!$D$2:$AG$2,0))))=0,"",SUMIFS(INDEX(Inputs!$D$4:$AG$150,0,MATCH(Y$2,Inputs!$D$2:$AG$2,0)),Inputs!$B$4:$B$150,$B63)/1000)</f>
        <v>-3372</v>
      </c>
      <c r="Z63" s="11">
        <f>IF(SUMPRODUCT((Inputs!$B$4:$B$150=$B63)*ISNUMBER(INDEX(Inputs!$D$4:$AG$150,0,MATCH(Z$2,Inputs!$D$2:$AG$2,0))))=0,"",SUMIFS(INDEX(Inputs!$D$4:$AG$150,0,MATCH(Z$2,Inputs!$D$2:$AG$2,0)),Inputs!$B$4:$B$150,$B63)/1000)</f>
        <v>-4467</v>
      </c>
      <c r="AA63" s="11">
        <f>IF(SUMPRODUCT((Inputs!$B$4:$B$150=$B63)*ISNUMBER(INDEX(Inputs!$D$4:$AG$150,0,MATCH(AA$2,Inputs!$D$2:$AG$2,0))))=0,"",SUMIFS(INDEX(Inputs!$D$4:$AG$150,0,MATCH(AA$2,Inputs!$D$2:$AG$2,0)),Inputs!$B$4:$B$150,$B63)/1000)</f>
        <v>-5894</v>
      </c>
      <c r="AB63" s="12">
        <f>IF(COUNT(X63:AA63)=4,SUM(X63:AA63),"")</f>
        <v>-16760</v>
      </c>
      <c r="AC63" s="11">
        <f>IF(SUMPRODUCT((Inputs!$B$4:$B$150=$B63)*ISNUMBER(INDEX(Inputs!$D$4:$AG$150,0,MATCH(AC$2,Inputs!$D$2:$AG$2,0))))=0,"",SUMIFS(INDEX(Inputs!$D$4:$AG$150,0,MATCH(AC$2,Inputs!$D$2:$AG$2,0)),Inputs!$B$4:$B$150,$B63)/1000)</f>
        <v>-5391</v>
      </c>
      <c r="AD63" s="11">
        <f>IF(SUMPRODUCT((Inputs!$B$4:$B$150=$B63)*ISNUMBER(INDEX(Inputs!$D$4:$AG$150,0,MATCH(AD$2,Inputs!$D$2:$AG$2,0))))=0,"",SUMIFS(INDEX(Inputs!$D$4:$AG$150,0,MATCH(AD$2,Inputs!$D$2:$AG$2,0)),Inputs!$B$4:$B$150,$B63)/1000)</f>
        <v>-5789</v>
      </c>
      <c r="AE63" s="11" t="str">
        <f>IF(SUMPRODUCT((Inputs!$B$4:$B$150=$B63)*ISNUMBER(INDEX(Inputs!$D$4:$AG$150,0,MATCH(AE$2,Inputs!$D$2:$AG$2,0))))=0,"",SUMIFS(INDEX(Inputs!$D$4:$AG$150,0,MATCH(AE$2,Inputs!$D$2:$AG$2,0)),Inputs!$B$4:$B$150,$B63)/1000)</f>
        <v/>
      </c>
      <c r="AF63" s="11" t="str">
        <f>IF(SUMPRODUCT((Inputs!$B$4:$B$150=$B63)*ISNUMBER(INDEX(Inputs!$D$4:$AG$150,0,MATCH(AF$2,Inputs!$D$2:$AG$2,0))))=0,"",SUMIFS(INDEX(Inputs!$D$4:$AG$150,0,MATCH(AF$2,Inputs!$D$2:$AG$2,0)),Inputs!$B$4:$B$150,$B63)/1000)</f>
        <v/>
      </c>
      <c r="AG63" s="12" t="str">
        <f>IF(COUNT(AC63:AF63)=4,SUM(AC63:AF63),"")</f>
        <v/>
      </c>
    </row>
    <row r="64">
      <c r="B64" s="9" t="n">
        <v>56</v>
      </c>
      <c r="C64" s="10" t="inlineStr">
        <is>
          <t>Receita Estados Unidos (USD)</t>
        </is>
      </c>
      <c r="D64" s="11">
        <f>IF(SUMPRODUCT((Inputs!$B$4:$B$150=$B64)*ISNUMBER(INDEX(Inputs!$D$4:$AG$150,0,MATCH(D$2,Inputs!$D$2:$AG$2,0))))=0,"",SUMIFS(INDEX(Inputs!$D$4:$AG$150,0,MATCH(D$2,Inputs!$D$2:$AG$2,0)),Inputs!$B$4:$B$150,$B64)/1000)</f>
        <v>25032</v>
      </c>
      <c r="E64" s="11">
        <f>IF(SUMPRODUCT((Inputs!$B$4:$B$150=$B64)*ISNUMBER(INDEX(Inputs!$D$4:$AG$150,0,MATCH(E$2,Inputs!$D$2:$AG$2,0))))=0,"",SUMIFS(INDEX(Inputs!$D$4:$AG$150,0,MATCH(E$2,Inputs!$D$2:$AG$2,0)),Inputs!$B$4:$B$150,$B64)/1000)</f>
        <v>28208</v>
      </c>
      <c r="F64" s="11">
        <f>IF(SUMPRODUCT((Inputs!$B$4:$B$150=$B64)*ISNUMBER(INDEX(Inputs!$D$4:$AG$150,0,MATCH(F$2,Inputs!$D$2:$AG$2,0))))=0,"",SUMIFS(INDEX(Inputs!$D$4:$AG$150,0,MATCH(F$2,Inputs!$D$2:$AG$2,0)),Inputs!$B$4:$B$150,$B64)/1000)</f>
        <v>29824</v>
      </c>
      <c r="G64" s="11">
        <f>IF(SUMPRODUCT((Inputs!$B$4:$B$150=$B64)*ISNUMBER(INDEX(Inputs!$D$4:$AG$150,0,MATCH(G$2,Inputs!$D$2:$AG$2,0))))=0,"",SUMIFS(INDEX(Inputs!$D$4:$AG$150,0,MATCH(G$2,Inputs!$D$2:$AG$2,0)),Inputs!$B$4:$B$150,$B64)/1000)</f>
        <v>34790</v>
      </c>
      <c r="H64" s="12">
        <f>IF(COUNT(D64:G64)=4,SUM(D64:G64),"")</f>
        <v>117854</v>
      </c>
      <c r="I64" s="11">
        <f>IF(SUMPRODUCT((Inputs!$B$4:$B$150=$B64)*ISNUMBER(INDEX(Inputs!$D$4:$AG$150,0,MATCH(I$2,Inputs!$D$2:$AG$2,0))))=0,"",SUMIFS(INDEX(Inputs!$D$4:$AG$150,0,MATCH(I$2,Inputs!$D$2:$AG$2,0)),Inputs!$B$4:$B$150,$B64)/1000)</f>
        <v>31733</v>
      </c>
      <c r="J64" s="11">
        <f>IF(SUMPRODUCT((Inputs!$B$4:$B$150=$B64)*ISNUMBER(INDEX(Inputs!$D$4:$AG$150,0,MATCH(J$2,Inputs!$D$2:$AG$2,0))))=0,"",SUMIFS(INDEX(Inputs!$D$4:$AG$150,0,MATCH(J$2,Inputs!$D$2:$AG$2,0)),Inputs!$B$4:$B$150,$B64)/1000)</f>
        <v>32727</v>
      </c>
      <c r="K64" s="11">
        <f>IF(SUMPRODUCT((Inputs!$B$4:$B$150=$B64)*ISNUMBER(INDEX(Inputs!$D$4:$AG$150,0,MATCH(K$2,Inputs!$D$2:$AG$2,0))))=0,"",SUMIFS(INDEX(Inputs!$D$4:$AG$150,0,MATCH(K$2,Inputs!$D$2:$AG$2,0)),Inputs!$B$4:$B$150,$B64)/1000)</f>
        <v>33372</v>
      </c>
      <c r="L64" s="11">
        <f>IF(SUMPRODUCT((Inputs!$B$4:$B$150=$B64)*ISNUMBER(INDEX(Inputs!$D$4:$AG$150,0,MATCH(L$2,Inputs!$D$2:$AG$2,0))))=0,"",SUMIFS(INDEX(Inputs!$D$4:$AG$150,0,MATCH(L$2,Inputs!$D$2:$AG$2,0)),Inputs!$B$4:$B$150,$B64)/1000)</f>
        <v>36982</v>
      </c>
      <c r="M64" s="12">
        <f>IF(COUNT(I64:L64)=4,SUM(I64:L64),"")</f>
        <v>134814</v>
      </c>
      <c r="N64" s="11">
        <f>IF(SUMPRODUCT((Inputs!$B$4:$B$150=$B64)*ISNUMBER(INDEX(Inputs!$D$4:$AG$150,0,MATCH(N$2,Inputs!$D$2:$AG$2,0))))=0,"",SUMIFS(INDEX(Inputs!$D$4:$AG$150,0,MATCH(N$2,Inputs!$D$2:$AG$2,0)),Inputs!$B$4:$B$150,$B64)/1000)</f>
        <v>32864</v>
      </c>
      <c r="O64" s="11">
        <f>IF(SUMPRODUCT((Inputs!$B$4:$B$150=$B64)*ISNUMBER(INDEX(Inputs!$D$4:$AG$150,0,MATCH(O$2,Inputs!$D$2:$AG$2,0))))=0,"",SUMIFS(INDEX(Inputs!$D$4:$AG$150,0,MATCH(O$2,Inputs!$D$2:$AG$2,0)),Inputs!$B$4:$B$150,$B64)/1000)</f>
        <v>35073</v>
      </c>
      <c r="P64" s="11">
        <f>IF(SUMPRODUCT((Inputs!$B$4:$B$150=$B64)*ISNUMBER(INDEX(Inputs!$D$4:$AG$150,0,MATCH(P$2,Inputs!$D$2:$AG$2,0))))=0,"",SUMIFS(INDEX(Inputs!$D$4:$AG$150,0,MATCH(P$2,Inputs!$D$2:$AG$2,0)),Inputs!$B$4:$B$150,$B64)/1000)</f>
        <v>36354</v>
      </c>
      <c r="Q64" s="11">
        <f>IF(SUMPRODUCT((Inputs!$B$4:$B$150=$B64)*ISNUMBER(INDEX(Inputs!$D$4:$AG$150,0,MATCH(Q$2,Inputs!$D$2:$AG$2,0))))=0,"",SUMIFS(INDEX(Inputs!$D$4:$AG$150,0,MATCH(Q$2,Inputs!$D$2:$AG$2,0)),Inputs!$B$4:$B$150,$B64)/1000)</f>
        <v>41995</v>
      </c>
      <c r="R64" s="12">
        <f>IF(COUNT(N64:Q64)=4,SUM(N64:Q64),"")</f>
        <v>146286</v>
      </c>
      <c r="S64" s="11">
        <f>IF(SUMPRODUCT((Inputs!$B$4:$B$150=$B64)*ISNUMBER(INDEX(Inputs!$D$4:$AG$150,0,MATCH(S$2,Inputs!$D$2:$AG$2,0))))=0,"",SUMIFS(INDEX(Inputs!$D$4:$AG$150,0,MATCH(S$2,Inputs!$D$2:$AG$2,0)),Inputs!$B$4:$B$150,$B64)/1000)</f>
        <v>38737</v>
      </c>
      <c r="T64" s="11">
        <f>IF(SUMPRODUCT((Inputs!$B$4:$B$150=$B64)*ISNUMBER(INDEX(Inputs!$D$4:$AG$150,0,MATCH(T$2,Inputs!$D$2:$AG$2,0))))=0,"",SUMIFS(INDEX(Inputs!$D$4:$AG$150,0,MATCH(T$2,Inputs!$D$2:$AG$2,0)),Inputs!$B$4:$B$150,$B64)/1000)</f>
        <v>41196</v>
      </c>
      <c r="U64" s="11">
        <f>IF(SUMPRODUCT((Inputs!$B$4:$B$150=$B64)*ISNUMBER(INDEX(Inputs!$D$4:$AG$150,0,MATCH(U$2,Inputs!$D$2:$AG$2,0))))=0,"",SUMIFS(INDEX(Inputs!$D$4:$AG$150,0,MATCH(U$2,Inputs!$D$2:$AG$2,0)),Inputs!$B$4:$B$150,$B64)/1000)</f>
        <v>43139</v>
      </c>
      <c r="V64" s="11">
        <f>IF(SUMPRODUCT((Inputs!$B$4:$B$150=$B64)*ISNUMBER(INDEX(Inputs!$D$4:$AG$150,0,MATCH(V$2,Inputs!$D$2:$AG$2,0))))=0,"",SUMIFS(INDEX(Inputs!$D$4:$AG$150,0,MATCH(V$2,Inputs!$D$2:$AG$2,0)),Inputs!$B$4:$B$150,$B64)/1000)</f>
        <v>47375</v>
      </c>
      <c r="W64" s="12">
        <f>IF(COUNT(S64:V64)=4,SUM(S64:V64),"")</f>
        <v>170447</v>
      </c>
      <c r="X64" s="11">
        <f>IF(SUMPRODUCT((Inputs!$B$4:$B$150=$B64)*ISNUMBER(INDEX(Inputs!$D$4:$AG$150,0,MATCH(X$2,Inputs!$D$2:$AG$2,0))))=0,"",SUMIFS(INDEX(Inputs!$D$4:$AG$150,0,MATCH(X$2,Inputs!$D$2:$AG$2,0)),Inputs!$B$4:$B$150,$B64)/1000)</f>
        <v>43964</v>
      </c>
      <c r="Y64" s="11">
        <f>IF(SUMPRODUCT((Inputs!$B$4:$B$150=$B64)*ISNUMBER(INDEX(Inputs!$D$4:$AG$150,0,MATCH(Y$2,Inputs!$D$2:$AG$2,0))))=0,"",SUMIFS(INDEX(Inputs!$D$4:$AG$150,0,MATCH(Y$2,Inputs!$D$2:$AG$2,0)),Inputs!$B$4:$B$150,$B64)/1000)</f>
        <v>46063</v>
      </c>
      <c r="Z64" s="11">
        <f>IF(SUMPRODUCT((Inputs!$B$4:$B$150=$B64)*ISNUMBER(INDEX(Inputs!$D$4:$AG$150,0,MATCH(Z$2,Inputs!$D$2:$AG$2,0))))=0,"",SUMIFS(INDEX(Inputs!$D$4:$AG$150,0,MATCH(Z$2,Inputs!$D$2:$AG$2,0)),Inputs!$B$4:$B$150,$B64)/1000)</f>
        <v>48758</v>
      </c>
      <c r="AA64" s="11">
        <f>IF(SUMPRODUCT((Inputs!$B$4:$B$150=$B64)*ISNUMBER(INDEX(Inputs!$D$4:$AG$150,0,MATCH(AA$2,Inputs!$D$2:$AG$2,0))))=0,"",SUMIFS(INDEX(Inputs!$D$4:$AG$150,0,MATCH(AA$2,Inputs!$D$2:$AG$2,0)),Inputs!$B$4:$B$150,$B64)/1000)</f>
        <v>55444</v>
      </c>
      <c r="AB64" s="12">
        <f>IF(COUNT(X64:AA64)=4,SUM(X64:AA64),"")</f>
        <v>194229</v>
      </c>
      <c r="AC64" s="11">
        <f>IF(SUMPRODUCT((Inputs!$B$4:$B$150=$B64)*ISNUMBER(INDEX(Inputs!$D$4:$AG$150,0,MATCH(AC$2,Inputs!$D$2:$AG$2,0))))=0,"",SUMIFS(INDEX(Inputs!$D$4:$AG$150,0,MATCH(AC$2,Inputs!$D$2:$AG$2,0)),Inputs!$B$4:$B$150,$B64)/1000)</f>
        <v>53975</v>
      </c>
      <c r="AD64" s="11">
        <f>IF(SUMPRODUCT((Inputs!$B$4:$B$150=$B64)*ISNUMBER(INDEX(Inputs!$D$4:$AG$150,0,MATCH(AD$2,Inputs!$D$2:$AG$2,0))))=0,"",SUMIFS(INDEX(Inputs!$D$4:$AG$150,0,MATCH(AD$2,Inputs!$D$2:$AG$2,0)),Inputs!$B$4:$B$150,$B64)/1000)</f>
        <v>60846</v>
      </c>
      <c r="AE64" s="11" t="str">
        <f>IF(SUMPRODUCT((Inputs!$B$4:$B$150=$B64)*ISNUMBER(INDEX(Inputs!$D$4:$AG$150,0,MATCH(AE$2,Inputs!$D$2:$AG$2,0))))=0,"",SUMIFS(INDEX(Inputs!$D$4:$AG$150,0,MATCH(AE$2,Inputs!$D$2:$AG$2,0)),Inputs!$B$4:$B$150,$B64)/1000)</f>
        <v/>
      </c>
      <c r="AF64" s="11" t="str">
        <f>IF(SUMPRODUCT((Inputs!$B$4:$B$150=$B64)*ISNUMBER(INDEX(Inputs!$D$4:$AG$150,0,MATCH(AF$2,Inputs!$D$2:$AG$2,0))))=0,"",SUMIFS(INDEX(Inputs!$D$4:$AG$150,0,MATCH(AF$2,Inputs!$D$2:$AG$2,0)),Inputs!$B$4:$B$150,$B64)/1000)</f>
        <v/>
      </c>
      <c r="AG64" s="12" t="str">
        <f>IF(COUNT(AC64:AF64)=4,SUM(AC64:AF64),"")</f>
        <v/>
      </c>
    </row>
    <row r="65">
      <c r="B65" s="9" t="n">
        <v>57</v>
      </c>
      <c r="C65" s="10" t="inlineStr">
        <is>
          <t>Receita EMEA (USD)</t>
        </is>
      </c>
      <c r="D65" s="11">
        <f>IF(SUMPRODUCT((Inputs!$B$4:$B$150=$B65)*ISNUMBER(INDEX(Inputs!$D$4:$AG$150,0,MATCH(D$2,Inputs!$D$2:$AG$2,0))))=0,"",SUMIFS(INDEX(Inputs!$D$4:$AG$150,0,MATCH(D$2,Inputs!$D$2:$AG$2,0)),Inputs!$B$4:$B$150,$B65)/1000)</f>
        <v>17031</v>
      </c>
      <c r="E65" s="11">
        <f>IF(SUMPRODUCT((Inputs!$B$4:$B$150=$B65)*ISNUMBER(INDEX(Inputs!$D$4:$AG$150,0,MATCH(E$2,Inputs!$D$2:$AG$2,0))))=0,"",SUMIFS(INDEX(Inputs!$D$4:$AG$150,0,MATCH(E$2,Inputs!$D$2:$AG$2,0)),Inputs!$B$4:$B$150,$B65)/1000)</f>
        <v>19084</v>
      </c>
      <c r="F65" s="11">
        <f>IF(SUMPRODUCT((Inputs!$B$4:$B$150=$B65)*ISNUMBER(INDEX(Inputs!$D$4:$AG$150,0,MATCH(F$2,Inputs!$D$2:$AG$2,0))))=0,"",SUMIFS(INDEX(Inputs!$D$4:$AG$150,0,MATCH(F$2,Inputs!$D$2:$AG$2,0)),Inputs!$B$4:$B$150,$B65)/1000)</f>
        <v>19839</v>
      </c>
      <c r="G65" s="11">
        <f>IF(SUMPRODUCT((Inputs!$B$4:$B$150=$B65)*ISNUMBER(INDEX(Inputs!$D$4:$AG$150,0,MATCH(G$2,Inputs!$D$2:$AG$2,0))))=0,"",SUMIFS(INDEX(Inputs!$D$4:$AG$150,0,MATCH(G$2,Inputs!$D$2:$AG$2,0)),Inputs!$B$4:$B$150,$B65)/1000)</f>
        <v>23153</v>
      </c>
      <c r="H65" s="12">
        <f>IF(COUNT(D65:G65)=4,SUM(D65:G65),"")</f>
        <v>79107</v>
      </c>
      <c r="I65" s="11">
        <f>IF(SUMPRODUCT((Inputs!$B$4:$B$150=$B65)*ISNUMBER(INDEX(Inputs!$D$4:$AG$150,0,MATCH(I$2,Inputs!$D$2:$AG$2,0))))=0,"",SUMIFS(INDEX(Inputs!$D$4:$AG$150,0,MATCH(I$2,Inputs!$D$2:$AG$2,0)),Inputs!$B$4:$B$150,$B65)/1000)</f>
        <v>20317</v>
      </c>
      <c r="J65" s="11">
        <f>IF(SUMPRODUCT((Inputs!$B$4:$B$150=$B65)*ISNUMBER(INDEX(Inputs!$D$4:$AG$150,0,MATCH(J$2,Inputs!$D$2:$AG$2,0))))=0,"",SUMIFS(INDEX(Inputs!$D$4:$AG$150,0,MATCH(J$2,Inputs!$D$2:$AG$2,0)),Inputs!$B$4:$B$150,$B65)/1000)</f>
        <v>20533</v>
      </c>
      <c r="K65" s="11">
        <f>IF(SUMPRODUCT((Inputs!$B$4:$B$150=$B65)*ISNUMBER(INDEX(Inputs!$D$4:$AG$150,0,MATCH(K$2,Inputs!$D$2:$AG$2,0))))=0,"",SUMIFS(INDEX(Inputs!$D$4:$AG$150,0,MATCH(K$2,Inputs!$D$2:$AG$2,0)),Inputs!$B$4:$B$150,$B65)/1000)</f>
        <v>19450</v>
      </c>
      <c r="L65" s="11">
        <f>IF(SUMPRODUCT((Inputs!$B$4:$B$150=$B65)*ISNUMBER(INDEX(Inputs!$D$4:$AG$150,0,MATCH(L$2,Inputs!$D$2:$AG$2,0))))=0,"",SUMIFS(INDEX(Inputs!$D$4:$AG$150,0,MATCH(L$2,Inputs!$D$2:$AG$2,0)),Inputs!$B$4:$B$150,$B65)/1000)</f>
        <v>21762</v>
      </c>
      <c r="M65" s="12">
        <f>IF(COUNT(I65:L65)=4,SUM(I65:L65),"")</f>
        <v>82062</v>
      </c>
      <c r="N65" s="11">
        <f>IF(SUMPRODUCT((Inputs!$B$4:$B$150=$B65)*ISNUMBER(INDEX(Inputs!$D$4:$AG$150,0,MATCH(N$2,Inputs!$D$2:$AG$2,0))))=0,"",SUMIFS(INDEX(Inputs!$D$4:$AG$150,0,MATCH(N$2,Inputs!$D$2:$AG$2,0)),Inputs!$B$4:$B$150,$B65)/1000)</f>
        <v>21078</v>
      </c>
      <c r="O65" s="11">
        <f>IF(SUMPRODUCT((Inputs!$B$4:$B$150=$B65)*ISNUMBER(INDEX(Inputs!$D$4:$AG$150,0,MATCH(O$2,Inputs!$D$2:$AG$2,0))))=0,"",SUMIFS(INDEX(Inputs!$D$4:$AG$150,0,MATCH(O$2,Inputs!$D$2:$AG$2,0)),Inputs!$B$4:$B$150,$B65)/1000)</f>
        <v>22289</v>
      </c>
      <c r="P65" s="11">
        <f>IF(SUMPRODUCT((Inputs!$B$4:$B$150=$B65)*ISNUMBER(INDEX(Inputs!$D$4:$AG$150,0,MATCH(P$2,Inputs!$D$2:$AG$2,0))))=0,"",SUMIFS(INDEX(Inputs!$D$4:$AG$150,0,MATCH(P$2,Inputs!$D$2:$AG$2,0)),Inputs!$B$4:$B$150,$B65)/1000)</f>
        <v>22661</v>
      </c>
      <c r="Q65" s="11">
        <f>IF(SUMPRODUCT((Inputs!$B$4:$B$150=$B65)*ISNUMBER(INDEX(Inputs!$D$4:$AG$150,0,MATCH(Q$2,Inputs!$D$2:$AG$2,0))))=0,"",SUMIFS(INDEX(Inputs!$D$4:$AG$150,0,MATCH(Q$2,Inputs!$D$2:$AG$2,0)),Inputs!$B$4:$B$150,$B65)/1000)</f>
        <v>25010</v>
      </c>
      <c r="R65" s="12">
        <f>IF(COUNT(N65:Q65)=4,SUM(N65:Q65),"")</f>
        <v>91038</v>
      </c>
      <c r="S65" s="11">
        <f>IF(SUMPRODUCT((Inputs!$B$4:$B$150=$B65)*ISNUMBER(INDEX(Inputs!$D$4:$AG$150,0,MATCH(S$2,Inputs!$D$2:$AG$2,0))))=0,"",SUMIFS(INDEX(Inputs!$D$4:$AG$150,0,MATCH(S$2,Inputs!$D$2:$AG$2,0)),Inputs!$B$4:$B$150,$B65)/1000)</f>
        <v>23788</v>
      </c>
      <c r="T65" s="11">
        <f>IF(SUMPRODUCT((Inputs!$B$4:$B$150=$B65)*ISNUMBER(INDEX(Inputs!$D$4:$AG$150,0,MATCH(T$2,Inputs!$D$2:$AG$2,0))))=0,"",SUMIFS(INDEX(Inputs!$D$4:$AG$150,0,MATCH(T$2,Inputs!$D$2:$AG$2,0)),Inputs!$B$4:$B$150,$B65)/1000)</f>
        <v>24683</v>
      </c>
      <c r="U65" s="11">
        <f>IF(SUMPRODUCT((Inputs!$B$4:$B$150=$B65)*ISNUMBER(INDEX(Inputs!$D$4:$AG$150,0,MATCH(U$2,Inputs!$D$2:$AG$2,0))))=0,"",SUMIFS(INDEX(Inputs!$D$4:$AG$150,0,MATCH(U$2,Inputs!$D$2:$AG$2,0)),Inputs!$B$4:$B$150,$B65)/1000)</f>
        <v>25472</v>
      </c>
      <c r="V65" s="11">
        <f>IF(SUMPRODUCT((Inputs!$B$4:$B$150=$B65)*ISNUMBER(INDEX(Inputs!$D$4:$AG$150,0,MATCH(V$2,Inputs!$D$2:$AG$2,0))))=0,"",SUMIFS(INDEX(Inputs!$D$4:$AG$150,0,MATCH(V$2,Inputs!$D$2:$AG$2,0)),Inputs!$B$4:$B$150,$B65)/1000)</f>
        <v>28184</v>
      </c>
      <c r="W65" s="12">
        <f>IF(COUNT(S65:V65)=4,SUM(S65:V65),"")</f>
        <v>102127</v>
      </c>
      <c r="X65" s="11">
        <f>IF(SUMPRODUCT((Inputs!$B$4:$B$150=$B65)*ISNUMBER(INDEX(Inputs!$D$4:$AG$150,0,MATCH(X$2,Inputs!$D$2:$AG$2,0))))=0,"",SUMIFS(INDEX(Inputs!$D$4:$AG$150,0,MATCH(X$2,Inputs!$D$2:$AG$2,0)),Inputs!$B$4:$B$150,$B65)/1000)</f>
        <v>25923</v>
      </c>
      <c r="Y65" s="11">
        <f>IF(SUMPRODUCT((Inputs!$B$4:$B$150=$B65)*ISNUMBER(INDEX(Inputs!$D$4:$AG$150,0,MATCH(Y$2,Inputs!$D$2:$AG$2,0))))=0,"",SUMIFS(INDEX(Inputs!$D$4:$AG$150,0,MATCH(Y$2,Inputs!$D$2:$AG$2,0)),Inputs!$B$4:$B$150,$B65)/1000)</f>
        <v>28262</v>
      </c>
      <c r="Z65" s="11">
        <f>IF(SUMPRODUCT((Inputs!$B$4:$B$150=$B65)*ISNUMBER(INDEX(Inputs!$D$4:$AG$150,0,MATCH(Z$2,Inputs!$D$2:$AG$2,0))))=0,"",SUMIFS(INDEX(Inputs!$D$4:$AG$150,0,MATCH(Z$2,Inputs!$D$2:$AG$2,0)),Inputs!$B$4:$B$150,$B65)/1000)</f>
        <v>29911</v>
      </c>
      <c r="AA65" s="11">
        <f>IF(SUMPRODUCT((Inputs!$B$4:$B$150=$B65)*ISNUMBER(INDEX(Inputs!$D$4:$AG$150,0,MATCH(AA$2,Inputs!$D$2:$AG$2,0))))=0,"",SUMIFS(INDEX(Inputs!$D$4:$AG$150,0,MATCH(AA$2,Inputs!$D$2:$AG$2,0)),Inputs!$B$4:$B$150,$B65)/1000)</f>
        <v>33056</v>
      </c>
      <c r="AB65" s="12">
        <f>IF(COUNT(X65:AA65)=4,SUM(X65:AA65),"")</f>
        <v>117152</v>
      </c>
      <c r="AC65" s="11">
        <f>IF(SUMPRODUCT((Inputs!$B$4:$B$150=$B65)*ISNUMBER(INDEX(Inputs!$D$4:$AG$150,0,MATCH(AC$2,Inputs!$D$2:$AG$2,0))))=0,"",SUMIFS(INDEX(Inputs!$D$4:$AG$150,0,MATCH(AC$2,Inputs!$D$2:$AG$2,0)),Inputs!$B$4:$B$150,$B65)/1000)</f>
        <v>31468</v>
      </c>
      <c r="AD65" s="11">
        <f>IF(SUMPRODUCT((Inputs!$B$4:$B$150=$B65)*ISNUMBER(INDEX(Inputs!$D$4:$AG$150,0,MATCH(AD$2,Inputs!$D$2:$AG$2,0))))=0,"",SUMIFS(INDEX(Inputs!$D$4:$AG$150,0,MATCH(AD$2,Inputs!$D$2:$AG$2,0)),Inputs!$B$4:$B$150,$B65)/1000)</f>
        <v>32501</v>
      </c>
      <c r="AE65" s="11" t="str">
        <f>IF(SUMPRODUCT((Inputs!$B$4:$B$150=$B65)*ISNUMBER(INDEX(Inputs!$D$4:$AG$150,0,MATCH(AE$2,Inputs!$D$2:$AG$2,0))))=0,"",SUMIFS(INDEX(Inputs!$D$4:$AG$150,0,MATCH(AE$2,Inputs!$D$2:$AG$2,0)),Inputs!$B$4:$B$150,$B65)/1000)</f>
        <v/>
      </c>
      <c r="AF65" s="11" t="str">
        <f>IF(SUMPRODUCT((Inputs!$B$4:$B$150=$B65)*ISNUMBER(INDEX(Inputs!$D$4:$AG$150,0,MATCH(AF$2,Inputs!$D$2:$AG$2,0))))=0,"",SUMIFS(INDEX(Inputs!$D$4:$AG$150,0,MATCH(AF$2,Inputs!$D$2:$AG$2,0)),Inputs!$B$4:$B$150,$B65)/1000)</f>
        <v/>
      </c>
      <c r="AG65" s="12" t="str">
        <f>IF(COUNT(AC65:AF65)=4,SUM(AC65:AF65),"")</f>
        <v/>
      </c>
    </row>
    <row r="66">
      <c r="B66" s="9" t="n">
        <v>58</v>
      </c>
      <c r="C66" s="10" t="inlineStr">
        <is>
          <t>Receita APAC (USD)</t>
        </is>
      </c>
      <c r="D66" s="11">
        <f>IF(SUMPRODUCT((Inputs!$B$4:$B$150=$B66)*ISNUMBER(INDEX(Inputs!$D$4:$AG$150,0,MATCH(D$2,Inputs!$D$2:$AG$2,0))))=0,"",SUMIFS(INDEX(Inputs!$D$4:$AG$150,0,MATCH(D$2,Inputs!$D$2:$AG$2,0)),Inputs!$B$4:$B$150,$B66)/1000)</f>
        <v>10455</v>
      </c>
      <c r="E66" s="11">
        <f>IF(SUMPRODUCT((Inputs!$B$4:$B$150=$B66)*ISNUMBER(INDEX(Inputs!$D$4:$AG$150,0,MATCH(E$2,Inputs!$D$2:$AG$2,0))))=0,"",SUMIFS(INDEX(Inputs!$D$4:$AG$150,0,MATCH(E$2,Inputs!$D$2:$AG$2,0)),Inputs!$B$4:$B$150,$B66)/1000)</f>
        <v>11231</v>
      </c>
      <c r="F66" s="11">
        <f>IF(SUMPRODUCT((Inputs!$B$4:$B$150=$B66)*ISNUMBER(INDEX(Inputs!$D$4:$AG$150,0,MATCH(F$2,Inputs!$D$2:$AG$2,0))))=0,"",SUMIFS(INDEX(Inputs!$D$4:$AG$150,0,MATCH(F$2,Inputs!$D$2:$AG$2,0)),Inputs!$B$4:$B$150,$B66)/1000)</f>
        <v>11705</v>
      </c>
      <c r="G66" s="11">
        <f>IF(SUMPRODUCT((Inputs!$B$4:$B$150=$B66)*ISNUMBER(INDEX(Inputs!$D$4:$AG$150,0,MATCH(G$2,Inputs!$D$2:$AG$2,0))))=0,"",SUMIFS(INDEX(Inputs!$D$4:$AG$150,0,MATCH(G$2,Inputs!$D$2:$AG$2,0)),Inputs!$B$4:$B$150,$B66)/1000)</f>
        <v>12732</v>
      </c>
      <c r="H66" s="12">
        <f>IF(COUNT(D66:G66)=4,SUM(D66:G66),"")</f>
        <v>46123</v>
      </c>
      <c r="I66" s="11">
        <f>IF(SUMPRODUCT((Inputs!$B$4:$B$150=$B66)*ISNUMBER(INDEX(Inputs!$D$4:$AG$150,0,MATCH(I$2,Inputs!$D$2:$AG$2,0))))=0,"",SUMIFS(INDEX(Inputs!$D$4:$AG$150,0,MATCH(I$2,Inputs!$D$2:$AG$2,0)),Inputs!$B$4:$B$150,$B66)/1000)</f>
        <v>11841</v>
      </c>
      <c r="J66" s="11">
        <f>IF(SUMPRODUCT((Inputs!$B$4:$B$150=$B66)*ISNUMBER(INDEX(Inputs!$D$4:$AG$150,0,MATCH(J$2,Inputs!$D$2:$AG$2,0))))=0,"",SUMIFS(INDEX(Inputs!$D$4:$AG$150,0,MATCH(J$2,Inputs!$D$2:$AG$2,0)),Inputs!$B$4:$B$150,$B66)/1000)</f>
        <v>11710</v>
      </c>
      <c r="K66" s="11">
        <f>IF(SUMPRODUCT((Inputs!$B$4:$B$150=$B66)*ISNUMBER(INDEX(Inputs!$D$4:$AG$150,0,MATCH(K$2,Inputs!$D$2:$AG$2,0))))=0,"",SUMIFS(INDEX(Inputs!$D$4:$AG$150,0,MATCH(K$2,Inputs!$D$2:$AG$2,0)),Inputs!$B$4:$B$150,$B66)/1000)</f>
        <v>11494</v>
      </c>
      <c r="L66" s="11">
        <f>IF(SUMPRODUCT((Inputs!$B$4:$B$150=$B66)*ISNUMBER(INDEX(Inputs!$D$4:$AG$150,0,MATCH(L$2,Inputs!$D$2:$AG$2,0))))=0,"",SUMIFS(INDEX(Inputs!$D$4:$AG$150,0,MATCH(L$2,Inputs!$D$2:$AG$2,0)),Inputs!$B$4:$B$150,$B66)/1000)</f>
        <v>11979</v>
      </c>
      <c r="M66" s="12">
        <f>IF(COUNT(I66:L66)=4,SUM(I66:L66),"")</f>
        <v>47024</v>
      </c>
      <c r="N66" s="11">
        <f>IF(SUMPRODUCT((Inputs!$B$4:$B$150=$B66)*ISNUMBER(INDEX(Inputs!$D$4:$AG$150,0,MATCH(N$2,Inputs!$D$2:$AG$2,0))))=0,"",SUMIFS(INDEX(Inputs!$D$4:$AG$150,0,MATCH(N$2,Inputs!$D$2:$AG$2,0)),Inputs!$B$4:$B$150,$B66)/1000)</f>
        <v>11681</v>
      </c>
      <c r="O66" s="11">
        <f>IF(SUMPRODUCT((Inputs!$B$4:$B$150=$B66)*ISNUMBER(INDEX(Inputs!$D$4:$AG$150,0,MATCH(O$2,Inputs!$D$2:$AG$2,0))))=0,"",SUMIFS(INDEX(Inputs!$D$4:$AG$150,0,MATCH(O$2,Inputs!$D$2:$AG$2,0)),Inputs!$B$4:$B$150,$B66)/1000)</f>
        <v>12728</v>
      </c>
      <c r="P66" s="11">
        <f>IF(SUMPRODUCT((Inputs!$B$4:$B$150=$B66)*ISNUMBER(INDEX(Inputs!$D$4:$AG$150,0,MATCH(P$2,Inputs!$D$2:$AG$2,0))))=0,"",SUMIFS(INDEX(Inputs!$D$4:$AG$150,0,MATCH(P$2,Inputs!$D$2:$AG$2,0)),Inputs!$B$4:$B$150,$B66)/1000)</f>
        <v>13126</v>
      </c>
      <c r="Q66" s="11">
        <f>IF(SUMPRODUCT((Inputs!$B$4:$B$150=$B66)*ISNUMBER(INDEX(Inputs!$D$4:$AG$150,0,MATCH(Q$2,Inputs!$D$2:$AG$2,0))))=0,"",SUMIFS(INDEX(Inputs!$D$4:$AG$150,0,MATCH(Q$2,Inputs!$D$2:$AG$2,0)),Inputs!$B$4:$B$150,$B66)/1000)</f>
        <v>13979</v>
      </c>
      <c r="R66" s="12">
        <f>IF(COUNT(N66:Q66)=4,SUM(N66:Q66),"")</f>
        <v>51514</v>
      </c>
      <c r="S66" s="11">
        <f>IF(SUMPRODUCT((Inputs!$B$4:$B$150=$B66)*ISNUMBER(INDEX(Inputs!$D$4:$AG$150,0,MATCH(S$2,Inputs!$D$2:$AG$2,0))))=0,"",SUMIFS(INDEX(Inputs!$D$4:$AG$150,0,MATCH(S$2,Inputs!$D$2:$AG$2,0)),Inputs!$B$4:$B$150,$B66)/1000)</f>
        <v>13289</v>
      </c>
      <c r="T66" s="11">
        <f>IF(SUMPRODUCT((Inputs!$B$4:$B$150=$B66)*ISNUMBER(INDEX(Inputs!$D$4:$AG$150,0,MATCH(T$2,Inputs!$D$2:$AG$2,0))))=0,"",SUMIFS(INDEX(Inputs!$D$4:$AG$150,0,MATCH(T$2,Inputs!$D$2:$AG$2,0)),Inputs!$B$4:$B$150,$B66)/1000)</f>
        <v>13823</v>
      </c>
      <c r="U66" s="11">
        <f>IF(SUMPRODUCT((Inputs!$B$4:$B$150=$B66)*ISNUMBER(INDEX(Inputs!$D$4:$AG$150,0,MATCH(U$2,Inputs!$D$2:$AG$2,0))))=0,"",SUMIFS(INDEX(Inputs!$D$4:$AG$150,0,MATCH(U$2,Inputs!$D$2:$AG$2,0)),Inputs!$B$4:$B$150,$B66)/1000)</f>
        <v>14547</v>
      </c>
      <c r="V66" s="11">
        <f>IF(SUMPRODUCT((Inputs!$B$4:$B$150=$B66)*ISNUMBER(INDEX(Inputs!$D$4:$AG$150,0,MATCH(V$2,Inputs!$D$2:$AG$2,0))))=0,"",SUMIFS(INDEX(Inputs!$D$4:$AG$150,0,MATCH(V$2,Inputs!$D$2:$AG$2,0)),Inputs!$B$4:$B$150,$B66)/1000)</f>
        <v>15156</v>
      </c>
      <c r="W66" s="12">
        <f>IF(COUNT(S66:V66)=4,SUM(S66:V66),"")</f>
        <v>56815</v>
      </c>
      <c r="X66" s="11">
        <f>IF(SUMPRODUCT((Inputs!$B$4:$B$150=$B66)*ISNUMBER(INDEX(Inputs!$D$4:$AG$150,0,MATCH(X$2,Inputs!$D$2:$AG$2,0))))=0,"",SUMIFS(INDEX(Inputs!$D$4:$AG$150,0,MATCH(X$2,Inputs!$D$2:$AG$2,0)),Inputs!$B$4:$B$150,$B66)/1000)</f>
        <v>14854</v>
      </c>
      <c r="Y66" s="11">
        <f>IF(SUMPRODUCT((Inputs!$B$4:$B$150=$B66)*ISNUMBER(INDEX(Inputs!$D$4:$AG$150,0,MATCH(Y$2,Inputs!$D$2:$AG$2,0))))=0,"",SUMIFS(INDEX(Inputs!$D$4:$AG$150,0,MATCH(Y$2,Inputs!$D$2:$AG$2,0)),Inputs!$B$4:$B$150,$B66)/1000)</f>
        <v>16480</v>
      </c>
      <c r="Z66" s="11">
        <f>IF(SUMPRODUCT((Inputs!$B$4:$B$150=$B66)*ISNUMBER(INDEX(Inputs!$D$4:$AG$150,0,MATCH(Z$2,Inputs!$D$2:$AG$2,0))))=0,"",SUMIFS(INDEX(Inputs!$D$4:$AG$150,0,MATCH(Z$2,Inputs!$D$2:$AG$2,0)),Inputs!$B$4:$B$150,$B66)/1000)</f>
        <v>17819</v>
      </c>
      <c r="AA66" s="11">
        <f>IF(SUMPRODUCT((Inputs!$B$4:$B$150=$B66)*ISNUMBER(INDEX(Inputs!$D$4:$AG$150,0,MATCH(AA$2,Inputs!$D$2:$AG$2,0))))=0,"",SUMIFS(INDEX(Inputs!$D$4:$AG$150,0,MATCH(AA$2,Inputs!$D$2:$AG$2,0)),Inputs!$B$4:$B$150,$B66)/1000)</f>
        <v>18527</v>
      </c>
      <c r="AB66" s="12">
        <f>IF(COUNT(X66:AA66)=4,SUM(X66:AA66),"")</f>
        <v>67680</v>
      </c>
      <c r="AC66" s="11">
        <f>IF(SUMPRODUCT((Inputs!$B$4:$B$150=$B66)*ISNUMBER(INDEX(Inputs!$D$4:$AG$150,0,MATCH(AC$2,Inputs!$D$2:$AG$2,0))))=0,"",SUMIFS(INDEX(Inputs!$D$4:$AG$150,0,MATCH(AC$2,Inputs!$D$2:$AG$2,0)),Inputs!$B$4:$B$150,$B66)/1000)</f>
        <v>18288</v>
      </c>
      <c r="AD66" s="11">
        <f>IF(SUMPRODUCT((Inputs!$B$4:$B$150=$B66)*ISNUMBER(INDEX(Inputs!$D$4:$AG$150,0,MATCH(AD$2,Inputs!$D$2:$AG$2,0))))=0,"",SUMIFS(INDEX(Inputs!$D$4:$AG$150,0,MATCH(AD$2,Inputs!$D$2:$AG$2,0)),Inputs!$B$4:$B$150,$B66)/1000)</f>
        <v>19317</v>
      </c>
      <c r="AE66" s="11" t="str">
        <f>IF(SUMPRODUCT((Inputs!$B$4:$B$150=$B66)*ISNUMBER(INDEX(Inputs!$D$4:$AG$150,0,MATCH(AE$2,Inputs!$D$2:$AG$2,0))))=0,"",SUMIFS(INDEX(Inputs!$D$4:$AG$150,0,MATCH(AE$2,Inputs!$D$2:$AG$2,0)),Inputs!$B$4:$B$150,$B66)/1000)</f>
        <v/>
      </c>
      <c r="AF66" s="11" t="str">
        <f>IF(SUMPRODUCT((Inputs!$B$4:$B$150=$B66)*ISNUMBER(INDEX(Inputs!$D$4:$AG$150,0,MATCH(AF$2,Inputs!$D$2:$AG$2,0))))=0,"",SUMIFS(INDEX(Inputs!$D$4:$AG$150,0,MATCH(AF$2,Inputs!$D$2:$AG$2,0)),Inputs!$B$4:$B$150,$B66)/1000)</f>
        <v/>
      </c>
      <c r="AG66" s="12" t="str">
        <f>IF(COUNT(AC66:AF66)=4,SUM(AC66:AF66),"")</f>
        <v/>
      </c>
    </row>
    <row r="67">
      <c r="B67" s="9" t="n">
        <v>59</v>
      </c>
      <c r="C67" s="10" t="inlineStr">
        <is>
          <t>Receita Outras Américas (USD)</t>
        </is>
      </c>
      <c r="D67" s="11">
        <f>IF(SUMPRODUCT((Inputs!$B$4:$B$150=$B67)*ISNUMBER(INDEX(Inputs!$D$4:$AG$150,0,MATCH(D$2,Inputs!$D$2:$AG$2,0))))=0,"",SUMIFS(INDEX(Inputs!$D$4:$AG$150,0,MATCH(D$2,Inputs!$D$2:$AG$2,0)),Inputs!$B$4:$B$150,$B67)/1000)</f>
        <v>2905</v>
      </c>
      <c r="E67" s="11">
        <f>IF(SUMPRODUCT((Inputs!$B$4:$B$150=$B67)*ISNUMBER(INDEX(Inputs!$D$4:$AG$150,0,MATCH(E$2,Inputs!$D$2:$AG$2,0))))=0,"",SUMIFS(INDEX(Inputs!$D$4:$AG$150,0,MATCH(E$2,Inputs!$D$2:$AG$2,0)),Inputs!$B$4:$B$150,$B67)/1000)</f>
        <v>3364</v>
      </c>
      <c r="F67" s="11">
        <f>IF(SUMPRODUCT((Inputs!$B$4:$B$150=$B67)*ISNUMBER(INDEX(Inputs!$D$4:$AG$150,0,MATCH(F$2,Inputs!$D$2:$AG$2,0))))=0,"",SUMIFS(INDEX(Inputs!$D$4:$AG$150,0,MATCH(F$2,Inputs!$D$2:$AG$2,0)),Inputs!$B$4:$B$150,$B67)/1000)</f>
        <v>3688</v>
      </c>
      <c r="G67" s="11">
        <f>IF(SUMPRODUCT((Inputs!$B$4:$B$150=$B67)*ISNUMBER(INDEX(Inputs!$D$4:$AG$150,0,MATCH(G$2,Inputs!$D$2:$AG$2,0))))=0,"",SUMIFS(INDEX(Inputs!$D$4:$AG$150,0,MATCH(G$2,Inputs!$D$2:$AG$2,0)),Inputs!$B$4:$B$150,$B67)/1000)</f>
        <v>4447</v>
      </c>
      <c r="H67" s="12">
        <f>IF(COUNT(D67:G67)=4,SUM(D67:G67),"")</f>
        <v>14404</v>
      </c>
      <c r="I67" s="11">
        <f>IF(SUMPRODUCT((Inputs!$B$4:$B$150=$B67)*ISNUMBER(INDEX(Inputs!$D$4:$AG$150,0,MATCH(I$2,Inputs!$D$2:$AG$2,0))))=0,"",SUMIFS(INDEX(Inputs!$D$4:$AG$150,0,MATCH(I$2,Inputs!$D$2:$AG$2,0)),Inputs!$B$4:$B$150,$B67)/1000)</f>
        <v>3842</v>
      </c>
      <c r="J67" s="11">
        <f>IF(SUMPRODUCT((Inputs!$B$4:$B$150=$B67)*ISNUMBER(INDEX(Inputs!$D$4:$AG$150,0,MATCH(J$2,Inputs!$D$2:$AG$2,0))))=0,"",SUMIFS(INDEX(Inputs!$D$4:$AG$150,0,MATCH(J$2,Inputs!$D$2:$AG$2,0)),Inputs!$B$4:$B$150,$B67)/1000)</f>
        <v>4340</v>
      </c>
      <c r="K67" s="11">
        <f>IF(SUMPRODUCT((Inputs!$B$4:$B$150=$B67)*ISNUMBER(INDEX(Inputs!$D$4:$AG$150,0,MATCH(K$2,Inputs!$D$2:$AG$2,0))))=0,"",SUMIFS(INDEX(Inputs!$D$4:$AG$150,0,MATCH(K$2,Inputs!$D$2:$AG$2,0)),Inputs!$B$4:$B$150,$B67)/1000)</f>
        <v>4138</v>
      </c>
      <c r="L67" s="11">
        <f>IF(SUMPRODUCT((Inputs!$B$4:$B$150=$B67)*ISNUMBER(INDEX(Inputs!$D$4:$AG$150,0,MATCH(L$2,Inputs!$D$2:$AG$2,0))))=0,"",SUMIFS(INDEX(Inputs!$D$4:$AG$150,0,MATCH(L$2,Inputs!$D$2:$AG$2,0)),Inputs!$B$4:$B$150,$B67)/1000)</f>
        <v>4656</v>
      </c>
      <c r="M67" s="12">
        <f>IF(COUNT(I67:L67)=4,SUM(I67:L67),"")</f>
        <v>16976</v>
      </c>
      <c r="N67" s="11">
        <f>IF(SUMPRODUCT((Inputs!$B$4:$B$150=$B67)*ISNUMBER(INDEX(Inputs!$D$4:$AG$150,0,MATCH(N$2,Inputs!$D$2:$AG$2,0))))=0,"",SUMIFS(INDEX(Inputs!$D$4:$AG$150,0,MATCH(N$2,Inputs!$D$2:$AG$2,0)),Inputs!$B$4:$B$150,$B67)/1000)</f>
        <v>4080</v>
      </c>
      <c r="O67" s="11">
        <f>IF(SUMPRODUCT((Inputs!$B$4:$B$150=$B67)*ISNUMBER(INDEX(Inputs!$D$4:$AG$150,0,MATCH(O$2,Inputs!$D$2:$AG$2,0))))=0,"",SUMIFS(INDEX(Inputs!$D$4:$AG$150,0,MATCH(O$2,Inputs!$D$2:$AG$2,0)),Inputs!$B$4:$B$150,$B67)/1000)</f>
        <v>4511</v>
      </c>
      <c r="P67" s="11">
        <f>IF(SUMPRODUCT((Inputs!$B$4:$B$150=$B67)*ISNUMBER(INDEX(Inputs!$D$4:$AG$150,0,MATCH(P$2,Inputs!$D$2:$AG$2,0))))=0,"",SUMIFS(INDEX(Inputs!$D$4:$AG$150,0,MATCH(P$2,Inputs!$D$2:$AG$2,0)),Inputs!$B$4:$B$150,$B67)/1000)</f>
        <v>4553</v>
      </c>
      <c r="Q67" s="11">
        <f>IF(SUMPRODUCT((Inputs!$B$4:$B$150=$B67)*ISNUMBER(INDEX(Inputs!$D$4:$AG$150,0,MATCH(Q$2,Inputs!$D$2:$AG$2,0))))=0,"",SUMIFS(INDEX(Inputs!$D$4:$AG$150,0,MATCH(Q$2,Inputs!$D$2:$AG$2,0)),Inputs!$B$4:$B$150,$B67)/1000)</f>
        <v>5176</v>
      </c>
      <c r="R67" s="12">
        <f>IF(COUNT(N67:Q67)=4,SUM(N67:Q67),"")</f>
        <v>18320</v>
      </c>
      <c r="S67" s="11">
        <f>IF(SUMPRODUCT((Inputs!$B$4:$B$150=$B67)*ISNUMBER(INDEX(Inputs!$D$4:$AG$150,0,MATCH(S$2,Inputs!$D$2:$AG$2,0))))=0,"",SUMIFS(INDEX(Inputs!$D$4:$AG$150,0,MATCH(S$2,Inputs!$D$2:$AG$2,0)),Inputs!$B$4:$B$150,$B67)/1000)</f>
        <v>4653</v>
      </c>
      <c r="T67" s="11">
        <f>IF(SUMPRODUCT((Inputs!$B$4:$B$150=$B67)*ISNUMBER(INDEX(Inputs!$D$4:$AG$150,0,MATCH(T$2,Inputs!$D$2:$AG$2,0))))=0,"",SUMIFS(INDEX(Inputs!$D$4:$AG$150,0,MATCH(T$2,Inputs!$D$2:$AG$2,0)),Inputs!$B$4:$B$150,$B67)/1000)</f>
        <v>4938</v>
      </c>
      <c r="U67" s="11">
        <f>IF(SUMPRODUCT((Inputs!$B$4:$B$150=$B67)*ISNUMBER(INDEX(Inputs!$D$4:$AG$150,0,MATCH(U$2,Inputs!$D$2:$AG$2,0))))=0,"",SUMIFS(INDEX(Inputs!$D$4:$AG$150,0,MATCH(U$2,Inputs!$D$2:$AG$2,0)),Inputs!$B$4:$B$150,$B67)/1000)</f>
        <v>5093</v>
      </c>
      <c r="V67" s="11">
        <f>IF(SUMPRODUCT((Inputs!$B$4:$B$150=$B67)*ISNUMBER(INDEX(Inputs!$D$4:$AG$150,0,MATCH(V$2,Inputs!$D$2:$AG$2,0))))=0,"",SUMIFS(INDEX(Inputs!$D$4:$AG$150,0,MATCH(V$2,Inputs!$D$2:$AG$2,0)),Inputs!$B$4:$B$150,$B67)/1000)</f>
        <v>5734</v>
      </c>
      <c r="W67" s="12">
        <f>IF(COUNT(S67:V67)=4,SUM(S67:V67),"")</f>
        <v>20418</v>
      </c>
      <c r="X67" s="11">
        <f>IF(SUMPRODUCT((Inputs!$B$4:$B$150=$B67)*ISNUMBER(INDEX(Inputs!$D$4:$AG$150,0,MATCH(X$2,Inputs!$D$2:$AG$2,0))))=0,"",SUMIFS(INDEX(Inputs!$D$4:$AG$150,0,MATCH(X$2,Inputs!$D$2:$AG$2,0)),Inputs!$B$4:$B$150,$B67)/1000)</f>
        <v>5233</v>
      </c>
      <c r="Y67" s="11">
        <f>IF(SUMPRODUCT((Inputs!$B$4:$B$150=$B67)*ISNUMBER(INDEX(Inputs!$D$4:$AG$150,0,MATCH(Y$2,Inputs!$D$2:$AG$2,0))))=0,"",SUMIFS(INDEX(Inputs!$D$4:$AG$150,0,MATCH(Y$2,Inputs!$D$2:$AG$2,0)),Inputs!$B$4:$B$150,$B67)/1000)</f>
        <v>5735</v>
      </c>
      <c r="Z67" s="11">
        <f>IF(SUMPRODUCT((Inputs!$B$4:$B$150=$B67)*ISNUMBER(INDEX(Inputs!$D$4:$AG$150,0,MATCH(Z$2,Inputs!$D$2:$AG$2,0))))=0,"",SUMIFS(INDEX(Inputs!$D$4:$AG$150,0,MATCH(Z$2,Inputs!$D$2:$AG$2,0)),Inputs!$B$4:$B$150,$B67)/1000)</f>
        <v>6065</v>
      </c>
      <c r="AA67" s="11">
        <f>IF(SUMPRODUCT((Inputs!$B$4:$B$150=$B67)*ISNUMBER(INDEX(Inputs!$D$4:$AG$150,0,MATCH(AA$2,Inputs!$D$2:$AG$2,0))))=0,"",SUMIFS(INDEX(Inputs!$D$4:$AG$150,0,MATCH(AA$2,Inputs!$D$2:$AG$2,0)),Inputs!$B$4:$B$150,$B67)/1000)</f>
        <v>6869</v>
      </c>
      <c r="AB67" s="12">
        <f>IF(COUNT(X67:AA67)=4,SUM(X67:AA67),"")</f>
        <v>23902</v>
      </c>
      <c r="AC67" s="11">
        <f>IF(SUMPRODUCT((Inputs!$B$4:$B$150=$B67)*ISNUMBER(INDEX(Inputs!$D$4:$AG$150,0,MATCH(AC$2,Inputs!$D$2:$AG$2,0))))=0,"",SUMIFS(INDEX(Inputs!$D$4:$AG$150,0,MATCH(AC$2,Inputs!$D$2:$AG$2,0)),Inputs!$B$4:$B$150,$B67)/1000)</f>
        <v>6345</v>
      </c>
      <c r="AD67" s="11">
        <f>IF(SUMPRODUCT((Inputs!$B$4:$B$150=$B67)*ISNUMBER(INDEX(Inputs!$D$4:$AG$150,0,MATCH(AD$2,Inputs!$D$2:$AG$2,0))))=0,"",SUMIFS(INDEX(Inputs!$D$4:$AG$150,0,MATCH(AD$2,Inputs!$D$2:$AG$2,0)),Inputs!$B$4:$B$150,$B67)/1000)</f>
        <v>7026</v>
      </c>
      <c r="AE67" s="11" t="str">
        <f>IF(SUMPRODUCT((Inputs!$B$4:$B$150=$B67)*ISNUMBER(INDEX(Inputs!$D$4:$AG$150,0,MATCH(AE$2,Inputs!$D$2:$AG$2,0))))=0,"",SUMIFS(INDEX(Inputs!$D$4:$AG$150,0,MATCH(AE$2,Inputs!$D$2:$AG$2,0)),Inputs!$B$4:$B$150,$B67)/1000)</f>
        <v/>
      </c>
      <c r="AF67" s="11" t="str">
        <f>IF(SUMPRODUCT((Inputs!$B$4:$B$150=$B67)*ISNUMBER(INDEX(Inputs!$D$4:$AG$150,0,MATCH(AF$2,Inputs!$D$2:$AG$2,0))))=0,"",SUMIFS(INDEX(Inputs!$D$4:$AG$150,0,MATCH(AF$2,Inputs!$D$2:$AG$2,0)),Inputs!$B$4:$B$150,$B67)/1000)</f>
        <v/>
      </c>
      <c r="AG67" s="12" t="str">
        <f>IF(COUNT(AC67:AF67)=4,SUM(AC67:AF67),"")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C388"/>
  <sheetViews>
    <sheetView showGridLines="0" zoomScaleNormal="100" workbookViewId="0">
      <pane xSplit="3" ySplit="11" topLeftCell="D270" activePane="bottomRight" state="frozen"/>
      <selection pane="topRight" activeCell="D1" sqref="D1"/>
      <selection pane="bottomLeft" activeCell="A12" sqref="A12"/>
      <selection pane="bottomRight" activeCell="O315" sqref="O315"/>
    </sheetView>
  </sheetViews>
  <sheetFormatPr baseColWidth="8" defaultColWidth="10.42578125" defaultRowHeight="12.75" outlineLevelRow="1"/>
  <cols>
    <col width="2" customWidth="1" style="3" min="1" max="1"/>
    <col width="8.85546875" customWidth="1" style="3" min="2" max="2"/>
    <col width="96.140625" customWidth="1" style="4" min="3" max="3"/>
    <col width="13" customWidth="1" style="4" min="4" max="24"/>
    <col width="12.7109375" customWidth="1" style="4" min="25" max="25"/>
    <col width="13" customWidth="1" style="4" min="26" max="27"/>
    <col width="12.7109375" customWidth="1" style="4" min="28" max="28"/>
    <col width="14" customWidth="1" style="4" min="29" max="29"/>
    <col width="15.140625" customWidth="1" style="4" min="30" max="30"/>
    <col width="12.42578125" customWidth="1" style="4" min="31" max="31"/>
    <col width="11.5703125" customWidth="1" style="4" min="32" max="32"/>
    <col width="12.42578125" customWidth="1" style="4" min="33" max="33"/>
    <col width="11.5703125" customWidth="1" style="4" min="34" max="34"/>
    <col width="12.7109375" customWidth="1" style="4" min="35" max="35"/>
    <col width="11.5703125" customWidth="1" style="4" min="36" max="37"/>
    <col width="11.28515625" customWidth="1" style="4" min="38" max="38"/>
    <col width="11.5703125" customWidth="1" style="4" min="39" max="39"/>
    <col width="12.7109375" customWidth="1" style="4" min="40" max="40"/>
    <col width="11.5703125" customWidth="1" style="4" min="41" max="42"/>
    <col width="11.28515625" customWidth="1" style="4" min="43" max="43"/>
    <col width="11.5703125" customWidth="1" style="4" min="44" max="44"/>
    <col width="12.7109375" customWidth="1" style="4" min="45" max="45"/>
    <col width="11.5703125" customWidth="1" style="4" min="46" max="47"/>
    <col width="11.28515625" customWidth="1" style="4" min="48" max="48"/>
    <col width="11.5703125" customWidth="1" style="4" min="49" max="49"/>
    <col width="12.7109375" customWidth="1" style="4" min="50" max="50"/>
    <col width="11.5703125" customWidth="1" style="4" min="51" max="52"/>
    <col width="11.28515625" customWidth="1" style="4" min="53" max="53"/>
    <col width="11.5703125" customWidth="1" style="4" min="54" max="54"/>
    <col width="12.7109375" customWidth="1" style="4" min="55" max="55"/>
    <col width="11.5703125" customWidth="1" style="4" min="56" max="57"/>
    <col width="11.28515625" customWidth="1" style="4" min="58" max="58"/>
    <col width="11.5703125" customWidth="1" style="4" min="59" max="59"/>
    <col width="12.7109375" customWidth="1" style="4" min="60" max="60"/>
    <col width="11.5703125" customWidth="1" style="4" min="61" max="62"/>
    <col width="11.28515625" customWidth="1" style="4" min="63" max="63"/>
    <col width="11.5703125" customWidth="1" style="4" min="64" max="64"/>
    <col width="12.7109375" customWidth="1" style="4" min="65" max="65"/>
    <col width="11.5703125" customWidth="1" style="4" min="66" max="67"/>
    <col width="11.28515625" customWidth="1" style="4" min="68" max="68"/>
    <col width="11.5703125" customWidth="1" style="4" min="69" max="69"/>
    <col width="12.7109375" customWidth="1" style="4" min="70" max="70"/>
    <col width="11.5703125" customWidth="1" style="4" min="71" max="72"/>
    <col width="11.28515625" customWidth="1" style="4" min="73" max="73"/>
    <col width="11.5703125" customWidth="1" style="4" min="74" max="74"/>
    <col width="12.7109375" customWidth="1" style="4" min="75" max="75"/>
    <col width="11.5703125" customWidth="1" style="4" min="76" max="77"/>
    <col width="11.28515625" customWidth="1" style="4" min="78" max="78"/>
    <col width="11.5703125" customWidth="1" style="4" min="79" max="79"/>
    <col width="12.7109375" customWidth="1" style="4" min="80" max="80"/>
    <col width="11.5703125" customWidth="1" style="4" min="81" max="82"/>
    <col width="11.28515625" customWidth="1" style="4" min="83" max="83"/>
    <col width="11.5703125" customWidth="1" style="4" min="84" max="84"/>
    <col width="12.7109375" customWidth="1" style="4" min="85" max="85"/>
    <col width="11.5703125" customWidth="1" style="4" min="86" max="87"/>
    <col width="11.28515625" customWidth="1" style="4" min="88" max="88"/>
    <col width="11.5703125" customWidth="1" style="4" min="89" max="89"/>
    <col width="12.7109375" customWidth="1" style="4" min="90" max="90"/>
    <col width="11.5703125" customWidth="1" style="4" min="91" max="92"/>
    <col width="11.28515625" customWidth="1" style="4" min="93" max="93"/>
    <col width="11.5703125" customWidth="1" style="4" min="94" max="94"/>
    <col width="12.7109375" customWidth="1" style="4" min="95" max="95"/>
    <col width="11.5703125" customWidth="1" style="4" min="96" max="97"/>
    <col width="11.28515625" customWidth="1" style="4" min="98" max="98"/>
    <col width="11.5703125" customWidth="1" style="4" min="99" max="99"/>
    <col width="12.7109375" customWidth="1" style="4" min="100" max="100"/>
    <col width="11.5703125" customWidth="1" style="4" min="101" max="102"/>
    <col width="11.28515625" customWidth="1" style="4" min="103" max="103"/>
    <col width="10.42578125" customWidth="1" style="4" min="104" max="106"/>
    <col width="10.42578125" customWidth="1" style="4" min="107" max="16384"/>
  </cols>
  <sheetData>
    <row r="1">
      <c r="C1" s="17" t="inlineStr">
        <is>
          <t>CHECKS</t>
        </is>
      </c>
      <c r="D1" s="12" t="n"/>
      <c r="E1" s="12" t="n"/>
      <c r="F1" s="12" t="n"/>
      <c r="G1" s="12" t="n"/>
      <c r="H1" s="12" t="n"/>
      <c r="I1" s="12">
        <f>IF(I2="","",SUM(I2,I3))</f>
        <v>0</v>
      </c>
      <c r="J1" s="12">
        <f>IF(J2="","",SUM(J2,J3))</f>
        <v>0</v>
      </c>
      <c r="K1" s="12">
        <f>IF(K2="","",SUM(K2,K3))</f>
        <v>0</v>
      </c>
      <c r="L1" s="12">
        <f>IF(L2="","",SUM(L2,L3))</f>
        <v>0</v>
      </c>
      <c r="M1" s="12">
        <f>IF(M2="","",SUM(M2,M3))</f>
        <v>0</v>
      </c>
      <c r="N1" s="12">
        <f>IF(N2="","",SUM(N2,N3))</f>
        <v>0</v>
      </c>
      <c r="O1" s="12">
        <f>IF(O2="","",SUM(O2,O3))</f>
        <v>0</v>
      </c>
      <c r="P1" s="12">
        <f>IF(P2="","",SUM(P2,P3))</f>
        <v>0</v>
      </c>
      <c r="Q1" s="12">
        <f>IF(Q2="","",SUM(Q2,Q3))</f>
        <v>0</v>
      </c>
      <c r="R1" s="12">
        <f>IF(R2="","",SUM(R2,R3))</f>
        <v>0</v>
      </c>
      <c r="S1" s="12">
        <f>IF(S2="","",SUM(S2,S3))</f>
        <v>0</v>
      </c>
      <c r="T1" s="12">
        <f>IF(T2="","",SUM(T2,T3))</f>
        <v>0</v>
      </c>
      <c r="U1" s="12">
        <f>IF(U2="","",SUM(U2,U3))</f>
        <v>0</v>
      </c>
      <c r="V1" s="12">
        <f>IF(V2="","",SUM(V2,V3))</f>
        <v>0</v>
      </c>
      <c r="W1" s="12">
        <f>IF(W2="","",SUM(W2,W3))</f>
        <v>0</v>
      </c>
      <c r="X1" s="12">
        <f>IF(X2="","",SUM(X2,X3))</f>
        <v>0</v>
      </c>
      <c r="Y1" s="12">
        <f>IF(Y2="","",SUM(Y2,Y3))</f>
        <v>0</v>
      </c>
      <c r="Z1" s="12">
        <f>IF(Z2="","",SUM(Z2,Z3))</f>
        <v>0</v>
      </c>
      <c r="AA1" s="12">
        <f>IF(AA2="","",SUM(AA2,AA3))</f>
        <v>0</v>
      </c>
      <c r="AB1" s="12">
        <f>IF(AB2="","",SUM(AB2,AB3))</f>
        <v>0</v>
      </c>
      <c r="AC1" s="12">
        <f>IF(AC2="","",SUM(AC2,AC3))</f>
        <v>0</v>
      </c>
      <c r="AD1" s="12">
        <f>IF(AD2="","",SUM(AD2,AD3))</f>
        <v>0</v>
      </c>
      <c r="AE1" s="12">
        <f>IF(AE2="","",SUM(AE2,AE3))</f>
        <v>0</v>
      </c>
      <c r="AF1" s="12">
        <f>IF(AF2="","",SUM(AF2,AF3))</f>
        <v>0</v>
      </c>
      <c r="AG1" s="12">
        <f>IF(AG2="","",SUM(AG2,AG3))</f>
        <v>0</v>
      </c>
      <c r="AH1" s="12">
        <f>IF(AH2="","",SUM(AH2,AH3))</f>
        <v>0</v>
      </c>
      <c r="AI1" s="12">
        <f>IF(AI2="","",SUM(AI2,AI3))</f>
        <v>0</v>
      </c>
      <c r="AJ1" s="12">
        <f>IF(AJ2="","",SUM(AJ2,AJ3))</f>
        <v>59264.2880000586</v>
      </c>
      <c r="AK1" s="12">
        <f>IF(AK2="","",SUM(AK2,AK3))</f>
        <v>65913.6130259968</v>
      </c>
      <c r="AL1" s="12">
        <f>IF(AL2="","",SUM(AL2,AL3))</f>
        <v>299948.901026055</v>
      </c>
      <c r="AM1" s="12">
        <f>IF(AM2="","",SUM(AM2,AM3))</f>
        <v>63636.1772228953</v>
      </c>
      <c r="AN1" s="12">
        <f>IF(AN2="","",SUM(AN2,AN3))</f>
        <v>69368.8531574758</v>
      </c>
      <c r="AO1" s="12">
        <f>IF(AO2="","",SUM(AO2,AO3))</f>
        <v>69714.1573598568</v>
      </c>
      <c r="AP1" s="12">
        <f>IF(AP2="","",SUM(AP2,AP3))</f>
        <v>77535.9351427036</v>
      </c>
      <c r="AQ1" s="12">
        <f>IF(AQ2="","",SUM(AQ2,AQ3))</f>
        <v>280255.122882932</v>
      </c>
      <c r="AR1" s="12">
        <f>IF(AR2="","",SUM(AR2,AR3))</f>
        <v>74538.7459817536</v>
      </c>
      <c r="AS1" s="12">
        <f>IF(AS2="","",SUM(AS2,AS3))</f>
        <v>81253.5816920557</v>
      </c>
      <c r="AT1" s="12">
        <f>IF(AT2="","",SUM(AT2,AT3))</f>
        <v>81658.0456833096</v>
      </c>
      <c r="AU1" s="12">
        <f>IF(AU2="","",SUM(AU2,AU3))</f>
        <v>90819.9019217698</v>
      </c>
      <c r="AV1" s="12">
        <f>IF(AV2="","",SUM(AV2,AV3))</f>
        <v>328270.275278889</v>
      </c>
      <c r="AW1" s="12">
        <f>IF(AW2="","",SUM(AW2,AW3))</f>
        <v>86936.5208552411</v>
      </c>
      <c r="AX1" s="12">
        <f>IF(AX2="","",SUM(AX2,AX3))</f>
        <v>94768.2122404315</v>
      </c>
      <c r="AY1" s="12">
        <f>IF(AY2="","",SUM(AY2,AY3))</f>
        <v>95239.9493450435</v>
      </c>
      <c r="AZ1" s="12">
        <f>IF(AZ2="","",SUM(AZ2,AZ3))</f>
        <v>105925.665819836</v>
      </c>
      <c r="BA1" s="12">
        <f>IF(BA2="","",SUM(BA2,BA3))</f>
        <v>382870.348260552</v>
      </c>
      <c r="BB1" s="12">
        <f>IF(BB2="","",SUM(BB2,BB3))</f>
        <v>100961.692648185</v>
      </c>
      <c r="BC1" s="12">
        <f>IF(BC2="","",SUM(BC2,BC3))</f>
        <v>110056.844038745</v>
      </c>
      <c r="BD1" s="12">
        <f>IF(BD2="","",SUM(BD2,BD3))</f>
        <v>110604.684878223</v>
      </c>
      <c r="BE1" s="12">
        <f>IF(BE2="","",SUM(BE2,BE3))</f>
        <v>123014.291472097</v>
      </c>
      <c r="BF1" s="12">
        <f>IF(BF2="","",SUM(BF2,BF3))</f>
        <v>444637.51303725</v>
      </c>
      <c r="BG1" s="12" t="n"/>
      <c r="BH1" s="12" t="n"/>
      <c r="BI1" s="12" t="n"/>
      <c r="BJ1" s="12" t="n"/>
      <c r="BK1" s="12" t="n"/>
      <c r="BL1" s="12" t="n"/>
      <c r="BM1" s="12" t="n"/>
      <c r="BN1" s="12" t="n"/>
      <c r="BO1" s="12" t="n"/>
      <c r="BP1" s="12" t="n"/>
      <c r="BQ1" s="12" t="n"/>
      <c r="BR1" s="12" t="n"/>
      <c r="BS1" s="12" t="n"/>
      <c r="BT1" s="12" t="n"/>
      <c r="BU1" s="12" t="n"/>
      <c r="BV1" s="12" t="n"/>
      <c r="BW1" s="12" t="n"/>
      <c r="BX1" s="12" t="n"/>
      <c r="BY1" s="12" t="n"/>
      <c r="BZ1" s="12" t="n"/>
      <c r="CA1" s="12" t="n"/>
      <c r="CB1" s="12" t="n"/>
      <c r="CC1" s="12" t="n"/>
      <c r="CD1" s="12" t="n"/>
      <c r="CE1" s="12" t="n"/>
      <c r="CF1" s="12" t="n"/>
      <c r="CG1" s="12" t="n"/>
      <c r="CH1" s="12" t="n"/>
      <c r="CI1" s="12" t="n"/>
      <c r="CJ1" s="12" t="n"/>
      <c r="CK1" s="12" t="n"/>
      <c r="CL1" s="12" t="n"/>
      <c r="CM1" s="12" t="n"/>
      <c r="CN1" s="12" t="n"/>
      <c r="CO1" s="12" t="n"/>
      <c r="CP1" s="12" t="n"/>
      <c r="CQ1" s="12" t="n"/>
      <c r="CR1" s="12" t="n"/>
      <c r="CS1" s="12" t="n"/>
      <c r="CT1" s="12" t="n"/>
      <c r="CU1" s="12" t="n"/>
      <c r="CV1" s="12" t="n"/>
      <c r="CW1" s="12" t="n"/>
      <c r="CX1" s="12" t="n"/>
      <c r="CY1" s="12" t="n"/>
    </row>
    <row r="2">
      <c r="C2" s="18" t="inlineStr">
        <is>
          <t>BS</t>
        </is>
      </c>
      <c r="D2" s="12" t="n"/>
      <c r="E2" s="12" t="n"/>
      <c r="F2" s="12" t="n"/>
      <c r="G2" s="12" t="n"/>
      <c r="H2" s="12" t="n"/>
      <c r="I2" s="12">
        <f>IF(COUNT(I193,I269)&lt;2,"",ABS(I193-I269))</f>
        <v>0</v>
      </c>
      <c r="J2" s="12">
        <f>IF(COUNT(J193,J269)&lt;2,"",ABS(J193-J269))</f>
        <v>0</v>
      </c>
      <c r="K2" s="12">
        <f>IF(COUNT(K193,K269)&lt;2,"",ABS(K193-K269))</f>
        <v>0</v>
      </c>
      <c r="L2" s="12">
        <f>IF(COUNT(L193,L269)&lt;2,"",ABS(L193-L269))</f>
        <v>0</v>
      </c>
      <c r="M2" s="12">
        <f>IF(COUNT(M193,M269)&lt;2,"",ABS(M193-M269))</f>
        <v>0</v>
      </c>
      <c r="N2" s="12">
        <f>IF(COUNT(N193,N269)&lt;2,"",ABS(N193-N269))</f>
        <v>0</v>
      </c>
      <c r="O2" s="12">
        <f>IF(COUNT(O193,O269)&lt;2,"",ABS(O193-O269))</f>
        <v>0</v>
      </c>
      <c r="P2" s="12">
        <f>IF(COUNT(P193,P269)&lt;2,"",ABS(P193-P269))</f>
        <v>0</v>
      </c>
      <c r="Q2" s="12">
        <f>IF(COUNT(Q193,Q269)&lt;2,"",ABS(Q193-Q269))</f>
        <v>0</v>
      </c>
      <c r="R2" s="12">
        <f>IF(COUNT(R193,R269)&lt;2,"",ABS(R193-R269))</f>
        <v>0</v>
      </c>
      <c r="S2" s="12">
        <f>IF(COUNT(S193,S269)&lt;2,"",ABS(S193-S269))</f>
        <v>0</v>
      </c>
      <c r="T2" s="12">
        <f>IF(COUNT(T193,T269)&lt;2,"",ABS(T193-T269))</f>
        <v>0</v>
      </c>
      <c r="U2" s="12">
        <f>IF(COUNT(U193,U269)&lt;2,"",ABS(U193-U269))</f>
        <v>0</v>
      </c>
      <c r="V2" s="12">
        <f>IF(COUNT(V193,V269)&lt;2,"",ABS(V193-V269))</f>
        <v>0</v>
      </c>
      <c r="W2" s="12">
        <f>IF(COUNT(W193,W269)&lt;2,"",ABS(W193-W269))</f>
        <v>0</v>
      </c>
      <c r="X2" s="12">
        <f>IF(COUNT(X193,X269)&lt;2,"",ABS(X193-X269))</f>
        <v>0</v>
      </c>
      <c r="Y2" s="12">
        <f>IF(COUNT(Y193,Y269)&lt;2,"",ABS(Y193-Y269))</f>
        <v>0</v>
      </c>
      <c r="Z2" s="12">
        <f>IF(COUNT(Z193,Z269)&lt;2,"",ABS(Z193-Z269))</f>
        <v>0</v>
      </c>
      <c r="AA2" s="12">
        <f>IF(COUNT(AA193,AA269)&lt;2,"",ABS(AA193-AA269))</f>
        <v>0</v>
      </c>
      <c r="AB2" s="12">
        <f>IF(COUNT(AB193,AB269)&lt;2,"",ABS(AB193-AB269))</f>
        <v>0</v>
      </c>
      <c r="AC2" s="12">
        <f>IF(COUNT(AC193,AC269)&lt;2,"",ABS(AC193-AC269))</f>
        <v>0</v>
      </c>
      <c r="AD2" s="12">
        <f>IF(COUNT(AD193,AD269)&lt;2,"",ABS(AD193-AD269))</f>
        <v>0</v>
      </c>
      <c r="AE2" s="12">
        <f>IF(COUNT(AE193,AE269)&lt;2,"",ABS(AE193-AE269))</f>
        <v>0</v>
      </c>
      <c r="AF2" s="12">
        <f>IF(COUNT(AF193,AF269)&lt;2,"",ABS(AF193-AF269))</f>
        <v>0</v>
      </c>
      <c r="AG2" s="12">
        <f>IF(COUNT(AG193,AG269)&lt;2,"",ABS(AG193-AG269))</f>
        <v>0</v>
      </c>
      <c r="AH2" s="12">
        <f>IF(COUNT(AH193,AH269)&lt;2,"",ABS(AH193-AH269))</f>
        <v>0</v>
      </c>
      <c r="AI2" s="12">
        <f>IF(COUNT(AI193,AI269)&lt;2,"",ABS(AI193-AI269))</f>
        <v>0</v>
      </c>
      <c r="AJ2" s="12">
        <f>IF(COUNT(AJ193,AJ269)&lt;2,"",ABS(AJ193-AJ269))</f>
        <v>0</v>
      </c>
      <c r="AK2" s="12">
        <f>IF(COUNT(AK193,AK269)&lt;2,"",ABS(AK193-AK269))</f>
        <v>0</v>
      </c>
      <c r="AL2" s="12">
        <f>IF(COUNT(AL193,AL269)&lt;2,"",ABS(AL193-AL269))</f>
        <v>0</v>
      </c>
      <c r="AM2" s="12">
        <f>IF(COUNT(AM193,AM269)&lt;2,"",ABS(AM193-AM269))</f>
        <v>0</v>
      </c>
      <c r="AN2" s="12">
        <f>IF(COUNT(AN193,AN269)&lt;2,"",ABS(AN193-AN269))</f>
        <v>0</v>
      </c>
      <c r="AO2" s="12">
        <f>IF(COUNT(AO193,AO269)&lt;2,"",ABS(AO193-AO269))</f>
        <v>0</v>
      </c>
      <c r="AP2" s="12">
        <f>IF(COUNT(AP193,AP269)&lt;2,"",ABS(AP193-AP269))</f>
        <v>0</v>
      </c>
      <c r="AQ2" s="12">
        <f>IF(COUNT(AQ193,AQ269)&lt;2,"",ABS(AQ193-AQ269))</f>
        <v>0</v>
      </c>
      <c r="AR2" s="12">
        <f>IF(COUNT(AR193,AR269)&lt;2,"",ABS(AR193-AR269))</f>
        <v>0</v>
      </c>
      <c r="AS2" s="12">
        <f>IF(COUNT(AS193,AS269)&lt;2,"",ABS(AS193-AS269))</f>
        <v>0</v>
      </c>
      <c r="AT2" s="12">
        <f>IF(COUNT(AT193,AT269)&lt;2,"",ABS(AT193-AT269))</f>
        <v>0</v>
      </c>
      <c r="AU2" s="12">
        <f>IF(COUNT(AU193,AU269)&lt;2,"",ABS(AU193-AU269))</f>
        <v>0</v>
      </c>
      <c r="AV2" s="12">
        <f>IF(COUNT(AV193,AV269)&lt;2,"",ABS(AV193-AV269))</f>
        <v>0</v>
      </c>
      <c r="AW2" s="12">
        <f>IF(COUNT(AW193,AW269)&lt;2,"",ABS(AW193-AW269))</f>
        <v>0</v>
      </c>
      <c r="AX2" s="12">
        <f>IF(COUNT(AX193,AX269)&lt;2,"",ABS(AX193-AX269))</f>
        <v>0</v>
      </c>
      <c r="AY2" s="12">
        <f>IF(COUNT(AY193,AY269)&lt;2,"",ABS(AY193-AY269))</f>
        <v>0</v>
      </c>
      <c r="AZ2" s="12">
        <f>IF(COUNT(AZ193,AZ269)&lt;2,"",ABS(AZ193-AZ269))</f>
        <v>0</v>
      </c>
      <c r="BA2" s="12">
        <f>IF(COUNT(BA193,BA269)&lt;2,"",ABS(BA193-BA269))</f>
        <v>0</v>
      </c>
      <c r="BB2" s="12">
        <f>IF(COUNT(BB193,BB269)&lt;2,"",ABS(BB193-BB269))</f>
        <v>0</v>
      </c>
      <c r="BC2" s="12">
        <f>IF(COUNT(BC193,BC269)&lt;2,"",ABS(BC193-BC269))</f>
        <v>0</v>
      </c>
      <c r="BD2" s="12">
        <f>IF(COUNT(BD193,BD269)&lt;2,"",ABS(BD193-BD269))</f>
        <v>0</v>
      </c>
      <c r="BE2" s="12">
        <f>IF(COUNT(BE193,BE269)&lt;2,"",ABS(BE193-BE269))</f>
        <v>0</v>
      </c>
      <c r="BF2" s="12">
        <f>IF(COUNT(BF193,BF269)&lt;2,"",ABS(BF193-BF269))</f>
        <v>0</v>
      </c>
      <c r="BG2" s="12" t="n"/>
      <c r="BH2" s="12" t="n"/>
      <c r="BI2" s="12" t="n"/>
      <c r="BJ2" s="12" t="n"/>
      <c r="BK2" s="12" t="n"/>
      <c r="BL2" s="12" t="n"/>
      <c r="BM2" s="12" t="n"/>
      <c r="BN2" s="12" t="n"/>
      <c r="BO2" s="12" t="n"/>
      <c r="BP2" s="12" t="n"/>
      <c r="BQ2" s="12" t="n"/>
      <c r="BR2" s="12" t="n"/>
      <c r="BS2" s="12" t="n"/>
      <c r="BT2" s="12" t="n"/>
      <c r="BU2" s="12" t="n"/>
      <c r="BV2" s="12" t="n"/>
      <c r="BW2" s="12" t="n"/>
      <c r="BX2" s="12" t="n"/>
      <c r="BY2" s="12" t="n"/>
      <c r="BZ2" s="12" t="n"/>
      <c r="CA2" s="12" t="n"/>
      <c r="CB2" s="12" t="n"/>
      <c r="CC2" s="12" t="n"/>
      <c r="CD2" s="12" t="n"/>
      <c r="CE2" s="12" t="n"/>
      <c r="CF2" s="12" t="n"/>
      <c r="CG2" s="12" t="n"/>
      <c r="CH2" s="12" t="n"/>
      <c r="CI2" s="12" t="n"/>
      <c r="CJ2" s="12" t="n"/>
      <c r="CK2" s="12" t="n"/>
      <c r="CL2" s="12" t="n"/>
      <c r="CM2" s="12" t="n"/>
      <c r="CN2" s="12" t="n"/>
      <c r="CO2" s="12" t="n"/>
      <c r="CP2" s="12" t="n"/>
      <c r="CQ2" s="12" t="n"/>
      <c r="CR2" s="12" t="n"/>
      <c r="CS2" s="12" t="n"/>
      <c r="CT2" s="12" t="n"/>
      <c r="CU2" s="12" t="n"/>
      <c r="CV2" s="12" t="n"/>
      <c r="CW2" s="12" t="n"/>
      <c r="CX2" s="12" t="n"/>
      <c r="CY2" s="12" t="n"/>
    </row>
    <row r="3">
      <c r="C3" s="18" t="inlineStr">
        <is>
          <t>IS</t>
        </is>
      </c>
      <c r="D3" s="12" t="n"/>
      <c r="E3" s="12" t="n"/>
      <c r="F3" s="12" t="n"/>
      <c r="G3" s="12" t="n"/>
      <c r="H3" s="12" t="n"/>
      <c r="I3" s="12">
        <f>IF(COUNT(I133,I4)&lt;2,"",ABS(I133-I4))</f>
        <v>0</v>
      </c>
      <c r="J3" s="12">
        <f>IF(COUNT(J133,J4)&lt;2,"",ABS(J133-J4))</f>
        <v>0</v>
      </c>
      <c r="K3" s="12">
        <f>IF(COUNT(K133,K4)&lt;2,"",ABS(K133-K4))</f>
        <v>0</v>
      </c>
      <c r="L3" s="12">
        <f>IF(COUNT(L133,L4)&lt;2,"",ABS(L133-L4))</f>
        <v>0</v>
      </c>
      <c r="M3" s="12">
        <f>IF(COUNT(M133,M4)&lt;2,"",ABS(M133-M4))</f>
        <v>0</v>
      </c>
      <c r="N3" s="12">
        <f>IF(COUNT(N133,N4)&lt;2,"",ABS(N133-N4))</f>
        <v>0</v>
      </c>
      <c r="O3" s="12">
        <f>IF(COUNT(O133,O4)&lt;2,"",ABS(O133-O4))</f>
        <v>0</v>
      </c>
      <c r="P3" s="12">
        <f>IF(COUNT(P133,P4)&lt;2,"",ABS(P133-P4))</f>
        <v>0</v>
      </c>
      <c r="Q3" s="12">
        <f>IF(COUNT(Q133,Q4)&lt;2,"",ABS(Q133-Q4))</f>
        <v>0</v>
      </c>
      <c r="R3" s="12">
        <f>IF(COUNT(R133,R4)&lt;2,"",ABS(R133-R4))</f>
        <v>0</v>
      </c>
      <c r="S3" s="12">
        <f>IF(COUNT(S133,S4)&lt;2,"",ABS(S133-S4))</f>
        <v>0</v>
      </c>
      <c r="T3" s="12">
        <f>IF(COUNT(T133,T4)&lt;2,"",ABS(T133-T4))</f>
        <v>0</v>
      </c>
      <c r="U3" s="12">
        <f>IF(COUNT(U133,U4)&lt;2,"",ABS(U133-U4))</f>
        <v>0</v>
      </c>
      <c r="V3" s="12">
        <f>IF(COUNT(V133,V4)&lt;2,"",ABS(V133-V4))</f>
        <v>0</v>
      </c>
      <c r="W3" s="12">
        <f>IF(COUNT(W133,W4)&lt;2,"",ABS(W133-W4))</f>
        <v>0</v>
      </c>
      <c r="X3" s="12">
        <f>IF(COUNT(X133,X4)&lt;2,"",ABS(X133-X4))</f>
        <v>0</v>
      </c>
      <c r="Y3" s="12">
        <f>IF(COUNT(Y133,Y4)&lt;2,"",ABS(Y133-Y4))</f>
        <v>0</v>
      </c>
      <c r="Z3" s="12">
        <f>IF(COUNT(Z133,Z4)&lt;2,"",ABS(Z133-Z4))</f>
        <v>0</v>
      </c>
      <c r="AA3" s="12">
        <f>IF(COUNT(AA133,AA4)&lt;2,"",ABS(AA133-AA4))</f>
        <v>0</v>
      </c>
      <c r="AB3" s="12">
        <f>IF(COUNT(AB133,AB4)&lt;2,"",ABS(AB133-AB4))</f>
        <v>0</v>
      </c>
      <c r="AC3" s="12">
        <f>IF(COUNT(AC133,AC4)&lt;2,"",ABS(AC133-AC4))</f>
        <v>0</v>
      </c>
      <c r="AD3" s="12">
        <f>IF(COUNT(AD133,AD4)&lt;2,"",ABS(AD133-AD4))</f>
        <v>0</v>
      </c>
      <c r="AE3" s="12">
        <f>IF(COUNT(AE133,AE4)&lt;2,"",ABS(AE133-AE4))</f>
        <v>0</v>
      </c>
      <c r="AF3" s="12">
        <f>IF(COUNT(AF133,AF4)&lt;2,"",ABS(AF133-AF4))</f>
        <v>0</v>
      </c>
      <c r="AG3" s="12">
        <f>IF(COUNT(AG133,AG4)&lt;2,"",ABS(AG133-AG4))</f>
        <v>0</v>
      </c>
      <c r="AH3" s="12">
        <f>IF(COUNT(AH133,AH4)&lt;2,"",ABS(AH133-AH4))</f>
        <v>0</v>
      </c>
      <c r="AI3" s="12">
        <f>IF(COUNT(AI133,AI4)&lt;2,"",ABS(AI133-AI4))</f>
        <v>0</v>
      </c>
      <c r="AJ3" s="12">
        <f>ABS(AJ133-AJ4)</f>
        <v>59264.2880000586</v>
      </c>
      <c r="AK3" s="12">
        <f>ABS(AK133-AK4)</f>
        <v>65913.6130259968</v>
      </c>
      <c r="AL3" s="12">
        <f>ABS(AL133-AL4)</f>
        <v>299948.901026055</v>
      </c>
      <c r="AM3" s="12">
        <f>ABS(AM133-AM4)</f>
        <v>63636.1772228953</v>
      </c>
      <c r="AN3" s="12">
        <f>ABS(AN133-AN4)</f>
        <v>69368.8531574758</v>
      </c>
      <c r="AO3" s="12">
        <f>ABS(AO133-AO4)</f>
        <v>69714.1573598568</v>
      </c>
      <c r="AP3" s="12">
        <f>ABS(AP133-AP4)</f>
        <v>77535.9351427036</v>
      </c>
      <c r="AQ3" s="12">
        <f>ABS(AQ133-AQ4)</f>
        <v>280255.122882932</v>
      </c>
      <c r="AR3" s="12">
        <f>ABS(AR133-AR4)</f>
        <v>74538.7459817536</v>
      </c>
      <c r="AS3" s="12">
        <f>ABS(AS133-AS4)</f>
        <v>81253.5816920557</v>
      </c>
      <c r="AT3" s="12">
        <f>ABS(AT133-AT4)</f>
        <v>81658.0456833096</v>
      </c>
      <c r="AU3" s="12">
        <f>ABS(AU133-AU4)</f>
        <v>90819.9019217698</v>
      </c>
      <c r="AV3" s="12">
        <f>ABS(AV133-AV4)</f>
        <v>328270.275278889</v>
      </c>
      <c r="AW3" s="12">
        <f>ABS(AW133-AW4)</f>
        <v>86936.5208552411</v>
      </c>
      <c r="AX3" s="12">
        <f>ABS(AX133-AX4)</f>
        <v>94768.2122404315</v>
      </c>
      <c r="AY3" s="12">
        <f>ABS(AY133-AY4)</f>
        <v>95239.9493450435</v>
      </c>
      <c r="AZ3" s="12">
        <f>ABS(AZ133-AZ4)</f>
        <v>105925.665819836</v>
      </c>
      <c r="BA3" s="12">
        <f>ABS(BA133-BA4)</f>
        <v>382870.348260552</v>
      </c>
      <c r="BB3" s="12">
        <f>ABS(BB133-BB4)</f>
        <v>100961.692648185</v>
      </c>
      <c r="BC3" s="12">
        <f>ABS(BC133-BC4)</f>
        <v>110056.844038745</v>
      </c>
      <c r="BD3" s="12">
        <f>ABS(BD133-BD4)</f>
        <v>110604.684878223</v>
      </c>
      <c r="BE3" s="12">
        <f>ABS(BE133-BE4)</f>
        <v>123014.291472097</v>
      </c>
      <c r="BF3" s="12">
        <f>ABS(BF133-BF4)</f>
        <v>444637.51303725</v>
      </c>
      <c r="BG3" s="12" t="n"/>
      <c r="BH3" s="12" t="n"/>
      <c r="BI3" s="12" t="n"/>
      <c r="BJ3" s="12" t="n"/>
      <c r="BK3" s="12" t="n"/>
      <c r="BL3" s="12" t="n"/>
      <c r="BM3" s="12" t="n"/>
      <c r="BN3" s="12" t="n"/>
      <c r="BO3" s="12" t="n"/>
      <c r="BP3" s="12" t="n"/>
      <c r="BQ3" s="12" t="n"/>
      <c r="BR3" s="12" t="n"/>
      <c r="BS3" s="12" t="n"/>
      <c r="BT3" s="12" t="n"/>
      <c r="BU3" s="12" t="n"/>
      <c r="BV3" s="12" t="n"/>
      <c r="BW3" s="12" t="n"/>
      <c r="BX3" s="12" t="n"/>
      <c r="BY3" s="12" t="n"/>
      <c r="BZ3" s="12" t="n"/>
      <c r="CA3" s="12" t="n"/>
      <c r="CB3" s="12" t="n"/>
      <c r="CC3" s="12" t="n"/>
      <c r="CD3" s="12" t="n"/>
      <c r="CE3" s="12" t="n"/>
      <c r="CF3" s="12" t="n"/>
      <c r="CG3" s="12" t="n"/>
      <c r="CH3" s="12" t="n"/>
      <c r="CI3" s="12" t="n"/>
      <c r="CJ3" s="12" t="n"/>
      <c r="CK3" s="12" t="n"/>
      <c r="CL3" s="12" t="n"/>
      <c r="CM3" s="12" t="n"/>
      <c r="CN3" s="12" t="n"/>
      <c r="CO3" s="12" t="n"/>
      <c r="CP3" s="12" t="n"/>
      <c r="CQ3" s="12" t="n"/>
      <c r="CR3" s="12" t="n"/>
      <c r="CS3" s="12" t="n"/>
      <c r="CT3" s="12" t="n"/>
      <c r="CU3" s="12" t="n"/>
      <c r="CV3" s="12" t="n"/>
      <c r="CW3" s="12" t="n"/>
      <c r="CX3" s="12" t="n"/>
      <c r="CY3" s="12" t="n"/>
    </row>
    <row r="4">
      <c r="C4" s="17" t="inlineStr">
        <is>
          <t>Net Income reportado (lucro líquido) — base do check de DRE</t>
        </is>
      </c>
      <c r="H4" s="11" t="n"/>
      <c r="I4">
        <f>IF(ISNUMBER('Inputs (2)'!D50),'Inputs (2)'!D50,"")</f>
        <v>17930</v>
      </c>
      <c r="J4">
        <f>IF(ISNUMBER('Inputs (2)'!E50),'Inputs (2)'!E50,"")</f>
        <v>18525</v>
      </c>
      <c r="K4">
        <f>IF(ISNUMBER('Inputs (2)'!F50),'Inputs (2)'!F50,"")</f>
        <v>18936</v>
      </c>
      <c r="L4">
        <f>IF(ISNUMBER('Inputs (2)'!G50),'Inputs (2)'!G50,"")</f>
        <v>20642</v>
      </c>
      <c r="M4" s="11">
        <f>IF(COUNT(I4:L4)=4,SUM(I4:L4),"")</f>
        <v>76033</v>
      </c>
      <c r="N4">
        <f>IF(ISNUMBER('Inputs (2)'!I50),'Inputs (2)'!I50,"")</f>
        <v>16436</v>
      </c>
      <c r="O4">
        <f>IF(ISNUMBER('Inputs (2)'!J50),'Inputs (2)'!J50,"")</f>
        <v>16002</v>
      </c>
      <c r="P4">
        <f>IF(ISNUMBER('Inputs (2)'!K50),'Inputs (2)'!K50,"")</f>
        <v>13910</v>
      </c>
      <c r="Q4">
        <f>IF(ISNUMBER('Inputs (2)'!L50),'Inputs (2)'!L50,"")</f>
        <v>13624</v>
      </c>
      <c r="R4" s="11">
        <f>IF(COUNT(N4:Q4)=4,SUM(N4:Q4),"")</f>
        <v>59972</v>
      </c>
      <c r="S4">
        <f>IF(ISNUMBER('Inputs (2)'!N50),'Inputs (2)'!N50,"")</f>
        <v>15051</v>
      </c>
      <c r="T4">
        <f>IF(ISNUMBER('Inputs (2)'!O50),'Inputs (2)'!O50,"")</f>
        <v>18368</v>
      </c>
      <c r="U4">
        <f>IF(ISNUMBER('Inputs (2)'!P50),'Inputs (2)'!P50,"")</f>
        <v>19689</v>
      </c>
      <c r="V4">
        <f>IF(ISNUMBER('Inputs (2)'!Q50),'Inputs (2)'!Q50,"")</f>
        <v>20687</v>
      </c>
      <c r="W4" s="11">
        <f>IF(COUNT(S4:V4)=4,SUM(S4:V4),"")</f>
        <v>73795</v>
      </c>
      <c r="X4">
        <f>IF(ISNUMBER('Inputs (2)'!S50),'Inputs (2)'!S50,"")</f>
        <v>23662</v>
      </c>
      <c r="Y4">
        <f>IF(ISNUMBER('Inputs (2)'!T50),'Inputs (2)'!T50,"")</f>
        <v>23619</v>
      </c>
      <c r="Z4">
        <f>IF(ISNUMBER('Inputs (2)'!U50),'Inputs (2)'!U50,"")</f>
        <v>26301</v>
      </c>
      <c r="AA4">
        <f>IF(ISNUMBER('Inputs (2)'!V50),'Inputs (2)'!V50,"")</f>
        <v>26536</v>
      </c>
      <c r="AB4" s="11">
        <f>IF(COUNT(X4:AA4)=4,SUM(X4:AA4),"")</f>
        <v>100118</v>
      </c>
      <c r="AC4">
        <f>IF(ISNUMBER('Inputs (2)'!X50),'Inputs (2)'!X50,"")</f>
        <v>34540</v>
      </c>
      <c r="AD4">
        <f>IF(ISNUMBER('Inputs (2)'!Y50),'Inputs (2)'!Y50,"")</f>
        <v>28196</v>
      </c>
      <c r="AE4">
        <f>IF(ISNUMBER('Inputs (2)'!Z50),'Inputs (2)'!Z50,"")</f>
        <v>34979</v>
      </c>
      <c r="AF4">
        <f>IF(ISNUMBER('Inputs (2)'!AA50),'Inputs (2)'!AA50,"")</f>
        <v>34455</v>
      </c>
      <c r="AG4" s="11">
        <f>IF(COUNT(AC4:AF4)=4,SUM(AC4:AF4),"")</f>
        <v>132170</v>
      </c>
      <c r="AH4" s="11">
        <f>IF(ISNUMBER('Inputs (2)'!AC50),'Inputs (2)'!AC50,"")</f>
        <v>62578</v>
      </c>
      <c r="AI4" s="11">
        <f>IF(ISNUMBER('Inputs (2)'!AD50),'Inputs (2)'!AD50,"")</f>
        <v>112193</v>
      </c>
      <c r="AJ4" s="11" t="n"/>
      <c r="AK4" s="11" t="n"/>
      <c r="AL4" s="11" t="n"/>
      <c r="AM4" s="11" t="n"/>
      <c r="AN4" s="11" t="n"/>
      <c r="AO4" s="11" t="n"/>
      <c r="AP4" s="11" t="n"/>
      <c r="AQ4" s="11" t="n"/>
      <c r="AR4" s="11" t="n"/>
      <c r="AS4" s="11" t="n"/>
      <c r="AT4" s="11" t="n"/>
      <c r="AU4" s="11" t="n"/>
      <c r="AV4" s="11" t="n"/>
      <c r="AW4" s="11" t="n"/>
      <c r="AX4" s="11" t="n"/>
      <c r="AY4" s="11" t="n"/>
      <c r="AZ4" s="11" t="n"/>
      <c r="BA4" s="11" t="n"/>
      <c r="BB4" s="11" t="n"/>
      <c r="BC4" s="11" t="n"/>
      <c r="BD4" s="11" t="n"/>
      <c r="BE4" s="11" t="n"/>
      <c r="BF4" s="11" t="n"/>
      <c r="BG4" s="11" t="n"/>
      <c r="BH4" s="11" t="n"/>
      <c r="BI4" s="11" t="n"/>
      <c r="BJ4" s="11" t="n"/>
      <c r="BK4" s="11" t="n"/>
      <c r="BL4" s="11" t="n"/>
      <c r="BM4" s="11" t="n"/>
      <c r="BN4" s="11" t="n"/>
      <c r="BO4" s="11" t="n"/>
      <c r="BP4" s="11" t="n"/>
      <c r="BQ4" s="11" t="n"/>
      <c r="BR4" s="11" t="n"/>
      <c r="BS4" s="11" t="n"/>
      <c r="BT4" s="11" t="n"/>
      <c r="BU4" s="11" t="n"/>
      <c r="BV4" s="11" t="n"/>
      <c r="BW4" s="11" t="n"/>
      <c r="BX4" s="11" t="n"/>
      <c r="BY4" s="11" t="n"/>
      <c r="BZ4" s="11" t="n"/>
      <c r="CA4" s="11" t="n"/>
      <c r="CB4" s="11" t="n"/>
      <c r="CC4" s="11" t="n"/>
      <c r="CD4" s="11" t="n"/>
      <c r="CE4" s="11" t="n"/>
      <c r="CF4" s="11" t="n"/>
      <c r="CG4" s="11" t="n"/>
      <c r="CH4" s="11" t="n"/>
      <c r="CI4" s="11" t="n"/>
      <c r="CJ4" s="11" t="n"/>
      <c r="CK4" s="11" t="n"/>
      <c r="CL4" s="11" t="n"/>
      <c r="CM4" s="11" t="n"/>
      <c r="CN4" s="11" t="n"/>
      <c r="CO4" s="11" t="n"/>
      <c r="CP4" s="11" t="n"/>
      <c r="CQ4" s="11" t="n"/>
      <c r="CR4" s="11" t="n"/>
      <c r="CS4" s="11" t="n"/>
      <c r="CT4" s="11" t="n"/>
      <c r="CU4" s="11" t="n"/>
      <c r="CV4" s="11" t="n"/>
      <c r="CW4" s="11" t="n"/>
      <c r="CX4" s="11" t="n"/>
      <c r="CY4" s="11" t="n"/>
    </row>
    <row r="5">
      <c r="B5" s="19" t="n">
        <v>45930</v>
      </c>
      <c r="D5" s="20" t="n"/>
      <c r="E5" s="21" t="n"/>
      <c r="F5" s="21" t="n"/>
      <c r="G5" s="21" t="n"/>
      <c r="H5" s="266" t="n">
        <v>44196</v>
      </c>
      <c r="I5" s="20" t="n">
        <v>44286</v>
      </c>
      <c r="J5" s="21">
        <f>DATE(YEAR(I5),MONTH(I5)+3,DAY(I5)-1)</f>
        <v>44377.0</v>
      </c>
      <c r="K5" s="21">
        <f>DATE(YEAR(J5),MONTH(J5)+3,DAY(J5))</f>
        <v>44469.0</v>
      </c>
      <c r="L5" s="21">
        <f>DATE(YEAR(K5),MONTH(K5)+3,DAY(K5)+1)</f>
        <v>44561.0</v>
      </c>
      <c r="M5" s="22">
        <f>L5</f>
        <v>44561.0</v>
      </c>
      <c r="N5" s="21">
        <f>DATE(YEAR(M5),MONTH(M5)+3,DAY(M5))</f>
        <v>44651.0</v>
      </c>
      <c r="O5" s="21">
        <f>DATE(YEAR(N5),MONTH(N5)+3,DAY(N5)-1)</f>
        <v>44742.0</v>
      </c>
      <c r="P5" s="21">
        <f>DATE(YEAR(O5),MONTH(O5)+3,DAY(O5))</f>
        <v>44834.0</v>
      </c>
      <c r="Q5" s="21">
        <f>DATE(YEAR(P5),MONTH(P5)+3,DAY(P5)+1)</f>
        <v>44926.0</v>
      </c>
      <c r="R5" s="22">
        <f>Q5</f>
        <v>44926.0</v>
      </c>
      <c r="S5" s="21">
        <f>DATE(YEAR(R5),MONTH(R5)+3,DAY(R5))</f>
        <v>45016.0</v>
      </c>
      <c r="T5" s="21">
        <f>DATE(YEAR(S5),MONTH(S5)+3,DAY(S5))-1</f>
        <v>45107.0</v>
      </c>
      <c r="U5" s="21">
        <f>DATE(YEAR(T5),MONTH(T5)+3,DAY(T5))</f>
        <v>45199.0</v>
      </c>
      <c r="V5" s="21">
        <f>DATE(YEAR(U5),MONTH(U5)+3,DAY(U5))+1</f>
        <v>45291.0</v>
      </c>
      <c r="W5" s="22">
        <f>V5</f>
        <v>45291.0</v>
      </c>
      <c r="X5" s="21">
        <f>DATE(YEAR(W5),MONTH(W5)+3,DAY(W5))</f>
        <v>45382.0</v>
      </c>
      <c r="Y5" s="21">
        <f>DATE(YEAR(X5),MONTH(X5)+3,DAY(X5))-1</f>
        <v>45473.0</v>
      </c>
      <c r="Z5" s="21">
        <f>DATE(YEAR(Y5),MONTH(Y5)+3,DAY(Y5))</f>
        <v>45565.0</v>
      </c>
      <c r="AA5" s="21">
        <f>DATE(YEAR(Z5),MONTH(Z5)+3,DAY(Z5))+1</f>
        <v>45657.0</v>
      </c>
      <c r="AB5" s="22">
        <f>AA5</f>
        <v>45657.0</v>
      </c>
      <c r="AC5" s="21">
        <f>DATE(YEAR(AB5),MONTH(AB5)+3,DAY(AB5))</f>
        <v>45747.0</v>
      </c>
      <c r="AD5" s="21">
        <f>DATE(YEAR(AC5),MONTH(AC5)+3,DAY(AC5))-1</f>
        <v>45838.0</v>
      </c>
      <c r="AE5" s="21">
        <f>DATE(YEAR(AD5),MONTH(AD5)+3,DAY(AD5))</f>
        <v>45930.0</v>
      </c>
      <c r="AF5" s="21">
        <f>DATE(YEAR(AE5),MONTH(AE5)+3,DAY(AE5))+1</f>
        <v>46022.0</v>
      </c>
      <c r="AG5" s="22">
        <f>AF5</f>
        <v>46022.0</v>
      </c>
      <c r="AH5" s="21">
        <f>DATE(YEAR(AG5),MONTH(AG5)+3,DAY(AG5))</f>
        <v>46112.0</v>
      </c>
      <c r="AI5" s="21">
        <f>DATE(YEAR(AH5),MONTH(AH5)+3,DAY(AH5))-1</f>
        <v>46203.0</v>
      </c>
      <c r="AJ5" s="21">
        <f>DATE(YEAR(AI5),MONTH(AI5)+3,DAY(AI5))</f>
        <v>46295.0</v>
      </c>
      <c r="AK5" s="21">
        <f>DATE(YEAR(AJ5),MONTH(AJ5)+3,DAY(AJ5))+1</f>
        <v>46387.0</v>
      </c>
      <c r="AL5" s="22">
        <f>AK5</f>
        <v>46387.0</v>
      </c>
      <c r="AM5" s="21">
        <f>DATE(YEAR(AL5),MONTH(AL5)+3,DAY(AL5))</f>
        <v>46477.0</v>
      </c>
      <c r="AN5" s="21">
        <f>DATE(YEAR(AM5),MONTH(AM5)+3,DAY(AM5))-1</f>
        <v>46568.0</v>
      </c>
      <c r="AO5" s="21">
        <f>DATE(YEAR(AN5),MONTH(AN5)+3,DAY(AN5))</f>
        <v>46660.0</v>
      </c>
      <c r="AP5" s="21">
        <f>DATE(YEAR(AO5),MONTH(AO5)+3,DAY(AO5))+1</f>
        <v>46752.0</v>
      </c>
      <c r="AQ5" s="22">
        <f>AP5</f>
        <v>46752.0</v>
      </c>
      <c r="AR5" s="21">
        <f>DATE(YEAR(AQ5),MONTH(AQ5)+3,DAY(AQ5))</f>
        <v>46843.0</v>
      </c>
      <c r="AS5" s="21">
        <f>DATE(YEAR(AR5),MONTH(AR5)+3,DAY(AR5))-1</f>
        <v>46934.0</v>
      </c>
      <c r="AT5" s="21">
        <f>DATE(YEAR(AS5),MONTH(AS5)+3,DAY(AS5))</f>
        <v>47026.0</v>
      </c>
      <c r="AU5" s="21">
        <f>DATE(YEAR(AT5),MONTH(AT5)+3,DAY(AT5))+1</f>
        <v>47118.0</v>
      </c>
      <c r="AV5" s="22">
        <f>AU5</f>
        <v>47118.0</v>
      </c>
      <c r="AW5" s="21">
        <f>DATE(YEAR(AV5),MONTH(AV5)+3,DAY(AV5))</f>
        <v>47208.0</v>
      </c>
      <c r="AX5" s="21">
        <f>DATE(YEAR(AW5),MONTH(AW5)+3,DAY(AW5))-1</f>
        <v>47299.0</v>
      </c>
      <c r="AY5" s="21">
        <f>DATE(YEAR(AX5),MONTH(AX5)+3,DAY(AX5))</f>
        <v>47391.0</v>
      </c>
      <c r="AZ5" s="21">
        <f>DATE(YEAR(AY5),MONTH(AY5)+3,DAY(AY5))+1</f>
        <v>47483.0</v>
      </c>
      <c r="BA5" s="22">
        <f>AZ5</f>
        <v>47483.0</v>
      </c>
      <c r="BB5" s="21">
        <f>DATE(YEAR(BA5),MONTH(BA5)+3,DAY(BA5))</f>
        <v>47573.0</v>
      </c>
      <c r="BC5" s="21">
        <f>DATE(YEAR(BB5),MONTH(BB5)+3,DAY(BB5))-1</f>
        <v>47664.0</v>
      </c>
      <c r="BD5" s="21">
        <f>DATE(YEAR(BC5),MONTH(BC5)+3,DAY(BC5))</f>
        <v>47756.0</v>
      </c>
      <c r="BE5" s="21">
        <f>DATE(YEAR(BD5),MONTH(BD5)+3,DAY(BD5))+1</f>
        <v>47848.0</v>
      </c>
      <c r="BF5" s="22">
        <f>BE5</f>
        <v>47848.0</v>
      </c>
      <c r="BG5" s="21" t="n"/>
      <c r="BH5" s="21" t="n"/>
      <c r="BI5" s="21" t="n"/>
      <c r="BJ5" s="21" t="n"/>
      <c r="BK5" s="22" t="n"/>
      <c r="BL5" s="21" t="n"/>
      <c r="BM5" s="21" t="n"/>
      <c r="BN5" s="21" t="n"/>
      <c r="BO5" s="21" t="n"/>
      <c r="BP5" s="22" t="n"/>
      <c r="BQ5" s="21" t="n"/>
      <c r="BR5" s="21" t="n"/>
      <c r="BS5" s="21" t="n"/>
      <c r="BT5" s="21" t="n"/>
      <c r="BU5" s="22" t="n"/>
      <c r="BV5" s="21" t="n"/>
      <c r="BW5" s="21" t="n"/>
      <c r="BX5" s="21" t="n"/>
      <c r="BY5" s="21" t="n"/>
      <c r="BZ5" s="22" t="n"/>
      <c r="CA5" s="21" t="n"/>
      <c r="CB5" s="21" t="n"/>
      <c r="CC5" s="21" t="n"/>
      <c r="CD5" s="21" t="n"/>
      <c r="CE5" s="22" t="n"/>
      <c r="CF5" s="21" t="n"/>
      <c r="CG5" s="21" t="n"/>
      <c r="CH5" s="21" t="n"/>
      <c r="CI5" s="21" t="n"/>
      <c r="CJ5" s="22" t="n"/>
      <c r="CK5" s="21" t="n"/>
      <c r="CL5" s="21" t="n"/>
      <c r="CM5" s="21" t="n"/>
      <c r="CN5" s="21" t="n"/>
      <c r="CO5" s="22" t="n"/>
      <c r="CP5" s="21" t="n"/>
      <c r="CQ5" s="21" t="n"/>
      <c r="CR5" s="21" t="n"/>
      <c r="CS5" s="21" t="n"/>
      <c r="CT5" s="22" t="n"/>
      <c r="CU5" s="21" t="n"/>
      <c r="CV5" s="21" t="n"/>
      <c r="CW5" s="21" t="n"/>
      <c r="CX5" s="21" t="n"/>
      <c r="CY5" s="22" t="n"/>
    </row>
    <row r="6">
      <c r="B6" s="23" t="n"/>
      <c r="D6" s="24" t="n"/>
      <c r="E6" s="24" t="n"/>
      <c r="F6" s="24" t="n"/>
      <c r="G6" s="24" t="n"/>
      <c r="H6" s="24" t="n"/>
      <c r="I6" s="24">
        <f>YEAR(I5)</f>
        <v>2021</v>
      </c>
      <c r="J6" s="24">
        <f>YEAR(J5)</f>
        <v>2021</v>
      </c>
      <c r="K6" s="24">
        <f>YEAR(K5)</f>
        <v>2021</v>
      </c>
      <c r="L6" s="24">
        <f>YEAR(L5)</f>
        <v>2021</v>
      </c>
      <c r="M6" s="24">
        <f>YEAR(M5)</f>
        <v>2021</v>
      </c>
      <c r="N6" s="24">
        <f>YEAR(N5)</f>
        <v>2022</v>
      </c>
      <c r="O6" s="24">
        <f>YEAR(O5)</f>
        <v>2022</v>
      </c>
      <c r="P6" s="24">
        <f>YEAR(P5)</f>
        <v>2022</v>
      </c>
      <c r="Q6" s="24">
        <f>YEAR(Q5)</f>
        <v>2022</v>
      </c>
      <c r="R6" s="24">
        <f>YEAR(R5)</f>
        <v>2022</v>
      </c>
      <c r="S6" s="24">
        <f>YEAR(S5)</f>
        <v>2023</v>
      </c>
      <c r="T6" s="24">
        <f>YEAR(T5)</f>
        <v>2023</v>
      </c>
      <c r="U6" s="24">
        <f>YEAR(U5)</f>
        <v>2023</v>
      </c>
      <c r="V6" s="24">
        <f>YEAR(V5)</f>
        <v>2023</v>
      </c>
      <c r="W6" s="24">
        <f>YEAR(W5)</f>
        <v>2023</v>
      </c>
      <c r="X6" s="24">
        <f>YEAR(X5)</f>
        <v>2024</v>
      </c>
      <c r="Y6" s="24">
        <f>YEAR(Y5)</f>
        <v>2024</v>
      </c>
      <c r="Z6" s="24">
        <f>YEAR(Z5)</f>
        <v>2024</v>
      </c>
      <c r="AA6" s="24">
        <f>YEAR(AA5)</f>
        <v>2024</v>
      </c>
      <c r="AB6" s="24">
        <f>YEAR(AB5)</f>
        <v>2024</v>
      </c>
      <c r="AC6" s="24">
        <f>YEAR(AC5)</f>
        <v>2025</v>
      </c>
      <c r="AD6" s="24">
        <f>YEAR(AD5)</f>
        <v>2025</v>
      </c>
      <c r="AE6" s="24">
        <f>YEAR(AE5)</f>
        <v>2025</v>
      </c>
      <c r="AF6" s="24">
        <f>YEAR(AF5)</f>
        <v>2025</v>
      </c>
      <c r="AG6" s="24">
        <f>YEAR(AG5)</f>
        <v>2025</v>
      </c>
      <c r="AH6" s="24">
        <f>YEAR(AH5)</f>
        <v>2026</v>
      </c>
      <c r="AI6" s="24">
        <f>YEAR(AI5)</f>
        <v>2026</v>
      </c>
      <c r="AJ6" s="24">
        <f>YEAR(AJ5)</f>
        <v>2026</v>
      </c>
      <c r="AK6" s="24">
        <f>YEAR(AK5)</f>
        <v>2026</v>
      </c>
      <c r="AL6" s="24">
        <f>YEAR(AL5)</f>
        <v>2026</v>
      </c>
      <c r="AM6" s="24">
        <f>YEAR(AM5)</f>
        <v>2027</v>
      </c>
      <c r="AN6" s="24">
        <f>YEAR(AN5)</f>
        <v>2027</v>
      </c>
      <c r="AO6" s="24">
        <f>YEAR(AO5)</f>
        <v>2027</v>
      </c>
      <c r="AP6" s="24">
        <f>YEAR(AP5)</f>
        <v>2027</v>
      </c>
      <c r="AQ6" s="24">
        <f>YEAR(AQ5)</f>
        <v>2027</v>
      </c>
      <c r="AR6" s="24">
        <f>YEAR(AR5)</f>
        <v>2028</v>
      </c>
      <c r="AS6" s="24">
        <f>YEAR(AS5)</f>
        <v>2028</v>
      </c>
      <c r="AT6" s="24">
        <f>YEAR(AT5)</f>
        <v>2028</v>
      </c>
      <c r="AU6" s="24">
        <f>YEAR(AU5)</f>
        <v>2028</v>
      </c>
      <c r="AV6" s="24">
        <f>YEAR(AV5)</f>
        <v>2028</v>
      </c>
      <c r="AW6" s="24">
        <f>YEAR(AW5)</f>
        <v>2029</v>
      </c>
      <c r="AX6" s="24">
        <f>YEAR(AX5)</f>
        <v>2029</v>
      </c>
      <c r="AY6" s="24">
        <f>YEAR(AY5)</f>
        <v>2029</v>
      </c>
      <c r="AZ6" s="24">
        <f>YEAR(AZ5)</f>
        <v>2029</v>
      </c>
      <c r="BA6" s="24">
        <f>YEAR(BA5)</f>
        <v>2029</v>
      </c>
      <c r="BB6" s="24">
        <f>YEAR(BB5)</f>
        <v>2030</v>
      </c>
      <c r="BC6" s="24">
        <f>YEAR(BC5)</f>
        <v>2030</v>
      </c>
      <c r="BD6" s="24">
        <f>YEAR(BD5)</f>
        <v>2030</v>
      </c>
      <c r="BE6" s="24">
        <f>YEAR(BE5)</f>
        <v>2030</v>
      </c>
      <c r="BF6" s="24">
        <f>YEAR(BF5)</f>
        <v>2030</v>
      </c>
      <c r="BG6" s="24" t="n"/>
      <c r="BH6" s="24" t="n"/>
      <c r="BI6" s="24" t="n"/>
      <c r="BJ6" s="24" t="n"/>
      <c r="BK6" s="24" t="n"/>
      <c r="BL6" s="24" t="n"/>
      <c r="BM6" s="24" t="n"/>
      <c r="BN6" s="24" t="n"/>
      <c r="BO6" s="24" t="n"/>
      <c r="BP6" s="24" t="n"/>
      <c r="BQ6" s="24" t="n"/>
      <c r="BR6" s="24" t="n"/>
      <c r="BS6" s="24" t="n"/>
      <c r="BT6" s="24" t="n"/>
      <c r="BU6" s="24" t="n"/>
      <c r="BV6" s="24" t="n"/>
      <c r="BW6" s="24" t="n"/>
      <c r="BX6" s="24" t="n"/>
      <c r="BY6" s="24" t="n"/>
      <c r="BZ6" s="24" t="n"/>
      <c r="CA6" s="24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n"/>
      <c r="CT6" s="24" t="n"/>
      <c r="CU6" s="24" t="n"/>
      <c r="CV6" s="24" t="n"/>
      <c r="CW6" s="24" t="n"/>
      <c r="CX6" s="24" t="n"/>
      <c r="CY6" s="24" t="n"/>
    </row>
    <row r="7">
      <c r="B7" s="4" t="n"/>
      <c r="D7" s="25" t="n"/>
      <c r="E7" s="25" t="n"/>
      <c r="F7" s="25" t="n"/>
      <c r="G7" s="25" t="n"/>
      <c r="H7" s="26" t="n">
        <v>2020</v>
      </c>
      <c r="I7" s="25" t="str">
        <f>"1Q"&amp;RIGHT(I6,2)</f>
        <v>1Q21</v>
      </c>
      <c r="J7" s="25" t="str">
        <f>"2Q"&amp;RIGHT(J6,2)</f>
        <v>2Q21</v>
      </c>
      <c r="K7" s="25" t="str">
        <f>"3Q"&amp;RIGHT(K6,2)</f>
        <v>3Q21</v>
      </c>
      <c r="L7" s="25" t="str">
        <f>"4Q"&amp;RIGHT(L6,2)</f>
        <v>4Q21</v>
      </c>
      <c r="M7" s="26">
        <f>H7+1</f>
        <v>2021</v>
      </c>
      <c r="N7" s="25" t="str">
        <f>"1Q"&amp;RIGHT(N6,2)</f>
        <v>1Q22</v>
      </c>
      <c r="O7" s="25" t="str">
        <f>"2Q"&amp;RIGHT(O6,2)</f>
        <v>2Q22</v>
      </c>
      <c r="P7" s="25" t="str">
        <f>"3Q"&amp;RIGHT(P6,2)</f>
        <v>3Q22</v>
      </c>
      <c r="Q7" s="25" t="str">
        <f>"4Q"&amp;RIGHT(Q6,2)</f>
        <v>4Q22</v>
      </c>
      <c r="R7" s="26">
        <f>M7+1</f>
        <v>2022</v>
      </c>
      <c r="S7" s="25" t="str">
        <f>"1Q"&amp;RIGHT(S6,2)</f>
        <v>1Q23</v>
      </c>
      <c r="T7" s="25" t="str">
        <f>"2Q"&amp;RIGHT(T6,2)</f>
        <v>2Q23</v>
      </c>
      <c r="U7" s="25" t="str">
        <f>"3Q"&amp;RIGHT(U6,2)</f>
        <v>3Q23</v>
      </c>
      <c r="V7" s="25" t="str">
        <f>"4Q"&amp;RIGHT(V6,2)</f>
        <v>4Q23</v>
      </c>
      <c r="W7" s="26">
        <f>R7+1</f>
        <v>2023</v>
      </c>
      <c r="X7" s="25" t="str">
        <f>"1Q"&amp;RIGHT(X6,2)</f>
        <v>1Q24</v>
      </c>
      <c r="Y7" s="25" t="str">
        <f>"2Q"&amp;RIGHT(Y6,2)</f>
        <v>2Q24</v>
      </c>
      <c r="Z7" s="25" t="str">
        <f>"3Q"&amp;RIGHT(Z6,2)</f>
        <v>3Q24</v>
      </c>
      <c r="AA7" s="25" t="str">
        <f>"4Q"&amp;RIGHT(AA6,2)</f>
        <v>4Q24</v>
      </c>
      <c r="AB7" s="26">
        <f>W7+1</f>
        <v>2024</v>
      </c>
      <c r="AC7" s="25" t="str">
        <f>"1Q"&amp;RIGHT(AC6,2)</f>
        <v>1Q25</v>
      </c>
      <c r="AD7" s="25" t="str">
        <f>"2Q"&amp;RIGHT(AD6,2)</f>
        <v>2Q25</v>
      </c>
      <c r="AE7" s="25" t="str">
        <f>"3Q"&amp;RIGHT(AE6,2)</f>
        <v>3Q25</v>
      </c>
      <c r="AF7" s="25" t="str">
        <f>"4Q"&amp;RIGHT(AF6,2)</f>
        <v>4Q25</v>
      </c>
      <c r="AG7" s="26">
        <f>AB7+1</f>
        <v>2025</v>
      </c>
      <c r="AH7" s="25" t="str">
        <f>"1Q"&amp;RIGHT(AH6,2)</f>
        <v>1Q26</v>
      </c>
      <c r="AI7" s="25" t="str">
        <f>"2Q"&amp;RIGHT(AI6,2)</f>
        <v>2Q26</v>
      </c>
      <c r="AJ7" s="25" t="str">
        <f>"3Q"&amp;RIGHT(AJ6,2)</f>
        <v>3Q26</v>
      </c>
      <c r="AK7" s="25" t="str">
        <f>"4Q"&amp;RIGHT(AK6,2)</f>
        <v>4Q26</v>
      </c>
      <c r="AL7" s="26">
        <f>AG7+1</f>
        <v>2026</v>
      </c>
      <c r="AM7" s="25" t="str">
        <f>"1Q"&amp;RIGHT(AM6,2)</f>
        <v>1Q27</v>
      </c>
      <c r="AN7" s="25" t="str">
        <f>"2Q"&amp;RIGHT(AN6,2)</f>
        <v>2Q27</v>
      </c>
      <c r="AO7" s="25" t="str">
        <f>"3Q"&amp;RIGHT(AO6,2)</f>
        <v>3Q27</v>
      </c>
      <c r="AP7" s="25" t="str">
        <f>"4Q"&amp;RIGHT(AP6,2)</f>
        <v>4Q27</v>
      </c>
      <c r="AQ7" s="26">
        <f>AL7+1</f>
        <v>2027</v>
      </c>
      <c r="AR7" s="25" t="str">
        <f>"1Q"&amp;RIGHT(AR6,2)</f>
        <v>1Q28</v>
      </c>
      <c r="AS7" s="25" t="str">
        <f>"2Q"&amp;RIGHT(AS6,2)</f>
        <v>2Q28</v>
      </c>
      <c r="AT7" s="25" t="str">
        <f>"3Q"&amp;RIGHT(AT6,2)</f>
        <v>3Q28</v>
      </c>
      <c r="AU7" s="25" t="str">
        <f>"4Q"&amp;RIGHT(AU6,2)</f>
        <v>4Q28</v>
      </c>
      <c r="AV7" s="26">
        <f>AQ7+1</f>
        <v>2028</v>
      </c>
      <c r="AW7" s="25" t="str">
        <f>"1Q"&amp;RIGHT(AW6,2)</f>
        <v>1Q29</v>
      </c>
      <c r="AX7" s="25" t="str">
        <f>"2Q"&amp;RIGHT(AX6,2)</f>
        <v>2Q29</v>
      </c>
      <c r="AY7" s="25" t="str">
        <f>"3Q"&amp;RIGHT(AY6,2)</f>
        <v>3Q29</v>
      </c>
      <c r="AZ7" s="25" t="str">
        <f>"4Q"&amp;RIGHT(AZ6,2)</f>
        <v>4Q29</v>
      </c>
      <c r="BA7" s="26">
        <f>AV7+1</f>
        <v>2029</v>
      </c>
      <c r="BB7" s="25" t="str">
        <f>"1Q"&amp;RIGHT(BB6,2)</f>
        <v>1Q30</v>
      </c>
      <c r="BC7" s="25" t="str">
        <f>"2Q"&amp;RIGHT(BC6,2)</f>
        <v>2Q30</v>
      </c>
      <c r="BD7" s="25" t="str">
        <f>"3Q"&amp;RIGHT(BD6,2)</f>
        <v>3Q30</v>
      </c>
      <c r="BE7" s="25" t="str">
        <f>"4Q"&amp;RIGHT(BE6,2)</f>
        <v>4Q30</v>
      </c>
      <c r="BF7" s="26">
        <f>BA7+1</f>
        <v>2030</v>
      </c>
      <c r="BG7" s="25" t="n"/>
      <c r="BH7" s="25" t="n"/>
      <c r="BI7" s="25" t="n"/>
      <c r="BJ7" s="25" t="n"/>
      <c r="BK7" s="26" t="n"/>
      <c r="BL7" s="25" t="n"/>
      <c r="BM7" s="25" t="n"/>
      <c r="BN7" s="25" t="n"/>
      <c r="BO7" s="25" t="n"/>
      <c r="BP7" s="26" t="n"/>
      <c r="BQ7" s="25" t="n"/>
      <c r="BR7" s="25" t="n"/>
      <c r="BS7" s="25" t="n"/>
      <c r="BT7" s="25" t="n"/>
      <c r="BU7" s="26" t="n"/>
      <c r="BV7" s="25" t="n"/>
      <c r="BW7" s="25" t="n"/>
      <c r="BX7" s="25" t="n"/>
      <c r="BY7" s="25" t="n"/>
      <c r="BZ7" s="26" t="n"/>
      <c r="CA7" s="25" t="n"/>
      <c r="CB7" s="25" t="n"/>
      <c r="CC7" s="25" t="n"/>
      <c r="CD7" s="25" t="n"/>
      <c r="CE7" s="26" t="n"/>
      <c r="CF7" s="25" t="n"/>
      <c r="CG7" s="25" t="n"/>
      <c r="CH7" s="25" t="n"/>
      <c r="CI7" s="25" t="n"/>
      <c r="CJ7" s="26" t="n"/>
      <c r="CK7" s="25" t="n"/>
      <c r="CL7" s="25" t="n"/>
      <c r="CM7" s="25" t="n"/>
      <c r="CN7" s="25" t="n"/>
      <c r="CO7" s="26" t="n"/>
      <c r="CP7" s="25" t="n"/>
      <c r="CQ7" s="25" t="n"/>
      <c r="CR7" s="25" t="n"/>
      <c r="CS7" s="25" t="n"/>
      <c r="CT7" s="26" t="n"/>
      <c r="CU7" s="25" t="n"/>
      <c r="CV7" s="25" t="n"/>
      <c r="CW7" s="25" t="n"/>
      <c r="CX7" s="25" t="n"/>
      <c r="CY7" s="26" t="n"/>
    </row>
    <row r="8">
      <c r="B8" s="4" t="n"/>
      <c r="C8" s="4" t="inlineStr">
        <is>
          <t>IPCA</t>
        </is>
      </c>
      <c r="D8" s="25" t="n"/>
      <c r="E8" s="25" t="n"/>
      <c r="F8" s="25" t="n"/>
      <c r="G8" s="25" t="n"/>
      <c r="H8" s="27" t="n"/>
      <c r="I8" s="25" t="n"/>
      <c r="J8" s="25" t="n"/>
      <c r="K8" s="25" t="n"/>
      <c r="L8" s="25" t="n"/>
      <c r="M8" s="27" t="n">
        <v>0.1006</v>
      </c>
      <c r="N8" s="25" t="n"/>
      <c r="O8" s="25" t="n"/>
      <c r="P8" s="25" t="n"/>
      <c r="Q8" s="25" t="n"/>
      <c r="R8" s="27" t="n">
        <v>0.0579</v>
      </c>
      <c r="S8" s="25" t="n"/>
      <c r="T8" s="25" t="n"/>
      <c r="U8" s="25" t="n"/>
      <c r="V8" s="25" t="n"/>
      <c r="W8" s="27" t="n">
        <v>0.0468</v>
      </c>
      <c r="X8" s="25" t="n"/>
      <c r="Y8" s="25" t="n"/>
      <c r="Z8" s="25" t="n"/>
      <c r="AA8" s="25" t="n"/>
      <c r="AB8" s="27" t="n">
        <v>0.0483</v>
      </c>
      <c r="AC8" s="25" t="n"/>
      <c r="AD8" s="25" t="n"/>
      <c r="AE8" s="25" t="n"/>
      <c r="AF8" s="25" t="n"/>
      <c r="AG8" s="27" t="n">
        <v>0.0468</v>
      </c>
      <c r="AH8" s="25" t="n"/>
      <c r="AI8" s="25" t="n"/>
      <c r="AJ8" s="25" t="n"/>
      <c r="AK8" s="25" t="n"/>
      <c r="AL8" s="28" t="n"/>
      <c r="AM8" s="25" t="n"/>
      <c r="AN8" s="25" t="n"/>
      <c r="AO8" s="25" t="n"/>
      <c r="AP8" s="25" t="n"/>
      <c r="AQ8" s="28" t="n"/>
      <c r="AR8" s="25" t="n"/>
      <c r="AS8" s="25" t="n"/>
      <c r="AT8" s="25" t="n"/>
      <c r="AU8" s="25" t="n"/>
      <c r="AV8" s="28" t="n"/>
      <c r="AW8" s="25" t="n"/>
      <c r="AX8" s="25" t="n"/>
      <c r="AY8" s="25" t="n"/>
      <c r="AZ8" s="25" t="n"/>
      <c r="BA8" s="28" t="n"/>
      <c r="BB8" s="25" t="n"/>
      <c r="BC8" s="25" t="n"/>
      <c r="BD8" s="25" t="n"/>
      <c r="BE8" s="25" t="n"/>
      <c r="BF8" s="28" t="n"/>
      <c r="BG8" s="25" t="n"/>
      <c r="BH8" s="25" t="n"/>
      <c r="BI8" s="25" t="n"/>
      <c r="BJ8" s="25" t="n"/>
      <c r="BK8" s="28" t="n"/>
      <c r="BL8" s="25" t="n"/>
      <c r="BM8" s="25" t="n"/>
      <c r="BN8" s="25" t="n"/>
      <c r="BO8" s="25" t="n"/>
      <c r="BP8" s="28" t="n"/>
      <c r="BQ8" s="25" t="n"/>
      <c r="BR8" s="25" t="n"/>
      <c r="BS8" s="25" t="n"/>
      <c r="BT8" s="25" t="n"/>
      <c r="BU8" s="28" t="n"/>
      <c r="BV8" s="25" t="n"/>
      <c r="BW8" s="25" t="n"/>
      <c r="BX8" s="25" t="n"/>
      <c r="BY8" s="25" t="n"/>
      <c r="BZ8" s="28" t="n"/>
      <c r="CA8" s="25" t="n"/>
      <c r="CB8" s="25" t="n"/>
      <c r="CC8" s="25" t="n"/>
      <c r="CD8" s="25" t="n"/>
      <c r="CE8" s="28" t="n"/>
      <c r="CF8" s="25" t="n"/>
      <c r="CG8" s="25" t="n"/>
      <c r="CH8" s="25" t="n"/>
      <c r="CI8" s="25" t="n"/>
      <c r="CJ8" s="28" t="n"/>
      <c r="CK8" s="25" t="n"/>
      <c r="CL8" s="25" t="n"/>
      <c r="CM8" s="25" t="n"/>
      <c r="CN8" s="25" t="n"/>
      <c r="CO8" s="28" t="n"/>
      <c r="CP8" s="25" t="n"/>
      <c r="CQ8" s="25" t="n"/>
      <c r="CR8" s="25" t="n"/>
      <c r="CS8" s="25" t="n"/>
      <c r="CT8" s="28" t="n"/>
      <c r="CU8" s="25" t="n"/>
      <c r="CV8" s="25" t="n"/>
      <c r="CW8" s="25" t="n"/>
      <c r="CX8" s="25" t="n"/>
      <c r="CY8" s="28" t="n"/>
    </row>
    <row r="9">
      <c r="B9" s="4" t="n"/>
      <c r="C9" s="4" t="inlineStr">
        <is>
          <t>GDP BRAZIL</t>
        </is>
      </c>
      <c r="D9" s="25" t="n"/>
      <c r="E9" s="25" t="n"/>
      <c r="F9" s="25" t="n"/>
      <c r="G9" s="25" t="n"/>
      <c r="H9" s="29" t="n"/>
      <c r="I9" s="25" t="n"/>
      <c r="J9" s="25" t="n"/>
      <c r="K9" s="25" t="n"/>
      <c r="L9" s="25" t="n"/>
      <c r="M9" s="29" t="n">
        <v>0.046</v>
      </c>
      <c r="N9" s="25" t="n"/>
      <c r="O9" s="25" t="n"/>
      <c r="P9" s="25" t="n"/>
      <c r="Q9" s="25" t="n"/>
      <c r="R9" s="29" t="n"/>
      <c r="S9" s="25" t="n"/>
      <c r="T9" s="25" t="n"/>
      <c r="U9" s="25" t="n"/>
      <c r="V9" s="25" t="n"/>
      <c r="W9" s="29" t="n"/>
      <c r="X9" s="25" t="n"/>
      <c r="Y9" s="25" t="n"/>
      <c r="Z9" s="25" t="n"/>
      <c r="AA9" s="25" t="n"/>
      <c r="AB9" s="29" t="n"/>
      <c r="AC9" s="25" t="n"/>
      <c r="AD9" s="25" t="n"/>
      <c r="AE9" s="25" t="n"/>
      <c r="AF9" s="25" t="n"/>
      <c r="AG9" s="29" t="n"/>
      <c r="AH9" s="25" t="n"/>
      <c r="AI9" s="25" t="n"/>
      <c r="AJ9" s="25" t="n"/>
      <c r="AK9" s="25" t="n"/>
      <c r="AL9" s="28" t="n"/>
      <c r="AM9" s="25" t="n"/>
      <c r="AN9" s="25" t="n"/>
      <c r="AO9" s="25" t="n"/>
      <c r="AP9" s="25" t="n"/>
      <c r="AQ9" s="28" t="n"/>
      <c r="AR9" s="25" t="n"/>
      <c r="AS9" s="25" t="n"/>
      <c r="AT9" s="25" t="n"/>
      <c r="AU9" s="25" t="n"/>
      <c r="AV9" s="28" t="n"/>
      <c r="AW9" s="25" t="n"/>
      <c r="AX9" s="25" t="n"/>
      <c r="AY9" s="25" t="n"/>
      <c r="AZ9" s="25" t="n"/>
      <c r="BA9" s="28" t="n"/>
      <c r="BB9" s="25" t="n"/>
      <c r="BC9" s="25" t="n"/>
      <c r="BD9" s="25" t="n"/>
      <c r="BE9" s="25" t="n"/>
      <c r="BF9" s="28" t="n"/>
      <c r="BG9" s="25" t="n"/>
      <c r="BH9" s="25" t="n"/>
      <c r="BI9" s="25" t="n"/>
      <c r="BJ9" s="25" t="n"/>
      <c r="BK9" s="28" t="n"/>
      <c r="BL9" s="25" t="n"/>
      <c r="BM9" s="25" t="n"/>
      <c r="BN9" s="25" t="n"/>
      <c r="BO9" s="25" t="n"/>
      <c r="BP9" s="28" t="n"/>
      <c r="BQ9" s="25" t="n"/>
      <c r="BR9" s="25" t="n"/>
      <c r="BS9" s="25" t="n"/>
      <c r="BT9" s="25" t="n"/>
      <c r="BU9" s="28" t="n"/>
      <c r="BV9" s="25" t="n"/>
      <c r="BW9" s="25" t="n"/>
      <c r="BX9" s="25" t="n"/>
      <c r="BY9" s="25" t="n"/>
      <c r="BZ9" s="28" t="n"/>
      <c r="CA9" s="25" t="n"/>
      <c r="CB9" s="25" t="n"/>
      <c r="CC9" s="25" t="n"/>
      <c r="CD9" s="25" t="n"/>
      <c r="CE9" s="28" t="n"/>
      <c r="CF9" s="25" t="n"/>
      <c r="CG9" s="25" t="n"/>
      <c r="CH9" s="25" t="n"/>
      <c r="CI9" s="25" t="n"/>
      <c r="CJ9" s="28" t="n"/>
      <c r="CK9" s="25" t="n"/>
      <c r="CL9" s="25" t="n"/>
      <c r="CM9" s="25" t="n"/>
      <c r="CN9" s="25" t="n"/>
      <c r="CO9" s="28" t="n"/>
      <c r="CP9" s="25" t="n"/>
      <c r="CQ9" s="25" t="n"/>
      <c r="CR9" s="25" t="n"/>
      <c r="CS9" s="25" t="n"/>
      <c r="CT9" s="28" t="n"/>
      <c r="CU9" s="25" t="n"/>
      <c r="CV9" s="25" t="n"/>
      <c r="CW9" s="25" t="n"/>
      <c r="CX9" s="25" t="n"/>
      <c r="CY9" s="28" t="n"/>
    </row>
    <row r="10">
      <c r="C10" s="4" t="inlineStr">
        <is>
          <t>CDI</t>
        </is>
      </c>
      <c r="H10" s="29" t="n"/>
      <c r="M10" s="29" t="n">
        <v>0.0442</v>
      </c>
      <c r="R10" s="29" t="n">
        <v>0.1239</v>
      </c>
      <c r="W10" s="29" t="n">
        <v>0.1304</v>
      </c>
      <c r="AB10" s="29" t="n">
        <v>0.1064</v>
      </c>
      <c r="AG10" s="29" t="n">
        <v>0.1464</v>
      </c>
    </row>
    <row r="11"/>
    <row r="12"/>
    <row r="13" customFormat="1" s="32">
      <c r="A13" s="30" t="n"/>
      <c r="B13" s="30" t="n"/>
      <c r="C13" s="31" t="inlineStr">
        <is>
          <t>Income Statement</t>
        </is>
      </c>
      <c r="D13" s="31" t="n"/>
      <c r="E13" s="31" t="n"/>
      <c r="F13" s="31" t="n"/>
      <c r="G13" s="31" t="n"/>
      <c r="H13" s="31" t="n"/>
      <c r="I13" s="31" t="str">
        <f>I7</f>
        <v>1Q21</v>
      </c>
      <c r="J13" s="31" t="str">
        <f>J7</f>
        <v>2Q21</v>
      </c>
      <c r="K13" s="31" t="str">
        <f>K7</f>
        <v>3Q21</v>
      </c>
      <c r="L13" s="31" t="str">
        <f>L7</f>
        <v>4Q21</v>
      </c>
      <c r="M13" s="31">
        <f>M7</f>
        <v>2021</v>
      </c>
      <c r="N13" s="31" t="str">
        <f>N7</f>
        <v>1Q22</v>
      </c>
      <c r="O13" s="31" t="str">
        <f>O7</f>
        <v>2Q22</v>
      </c>
      <c r="P13" s="31" t="str">
        <f>P7</f>
        <v>3Q22</v>
      </c>
      <c r="Q13" s="31" t="str">
        <f>Q7</f>
        <v>4Q22</v>
      </c>
      <c r="R13" s="31">
        <f>R7</f>
        <v>2022</v>
      </c>
      <c r="S13" s="31" t="str">
        <f>S7</f>
        <v>1Q23</v>
      </c>
      <c r="T13" s="31" t="str">
        <f>T7</f>
        <v>2Q23</v>
      </c>
      <c r="U13" s="31" t="str">
        <f>U7</f>
        <v>3Q23</v>
      </c>
      <c r="V13" s="31" t="str">
        <f>V7</f>
        <v>4Q23</v>
      </c>
      <c r="W13" s="31">
        <f>W7</f>
        <v>2023</v>
      </c>
      <c r="X13" s="31" t="str">
        <f>X7</f>
        <v>1Q24</v>
      </c>
      <c r="Y13" s="31" t="str">
        <f>Y7</f>
        <v>2Q24</v>
      </c>
      <c r="Z13" s="31" t="str">
        <f>Z7</f>
        <v>3Q24</v>
      </c>
      <c r="AA13" s="31" t="str">
        <f>AA7</f>
        <v>4Q24</v>
      </c>
      <c r="AB13" s="31">
        <f>AB7</f>
        <v>2024</v>
      </c>
      <c r="AC13" s="31" t="str">
        <f>AC7</f>
        <v>1Q25</v>
      </c>
      <c r="AD13" s="31" t="str">
        <f>AD7</f>
        <v>2Q25</v>
      </c>
      <c r="AE13" s="31" t="str">
        <f>AE7</f>
        <v>3Q25</v>
      </c>
      <c r="AF13" s="31" t="str">
        <f>AF7</f>
        <v>4Q25</v>
      </c>
      <c r="AG13" s="31">
        <f>AG7</f>
        <v>2025</v>
      </c>
      <c r="AH13" s="31" t="str">
        <f>AH7</f>
        <v>1Q26</v>
      </c>
      <c r="AI13" s="31" t="str">
        <f>AI7</f>
        <v>2Q26</v>
      </c>
      <c r="AJ13" s="31" t="str">
        <f>AJ7</f>
        <v>3Q26</v>
      </c>
      <c r="AK13" s="31" t="str">
        <f>AK7</f>
        <v>4Q26</v>
      </c>
      <c r="AL13" s="31">
        <f>AL7</f>
        <v>2026</v>
      </c>
      <c r="AM13" s="31" t="str">
        <f>AM7</f>
        <v>1Q27</v>
      </c>
      <c r="AN13" s="31" t="str">
        <f>AN7</f>
        <v>2Q27</v>
      </c>
      <c r="AO13" s="31" t="str">
        <f>AO7</f>
        <v>3Q27</v>
      </c>
      <c r="AP13" s="31" t="str">
        <f>AP7</f>
        <v>4Q27</v>
      </c>
      <c r="AQ13" s="31">
        <f>AQ7</f>
        <v>2027</v>
      </c>
      <c r="AR13" s="31" t="str">
        <f>AR7</f>
        <v>1Q28</v>
      </c>
      <c r="AS13" s="31" t="str">
        <f>AS7</f>
        <v>2Q28</v>
      </c>
      <c r="AT13" s="31" t="str">
        <f>AT7</f>
        <v>3Q28</v>
      </c>
      <c r="AU13" s="31" t="str">
        <f>AU7</f>
        <v>4Q28</v>
      </c>
      <c r="AV13" s="31">
        <f>AV7</f>
        <v>2028</v>
      </c>
      <c r="AW13" s="31" t="str">
        <f>AW7</f>
        <v>1Q29</v>
      </c>
      <c r="AX13" s="31" t="str">
        <f>AX7</f>
        <v>2Q29</v>
      </c>
      <c r="AY13" s="31" t="str">
        <f>AY7</f>
        <v>3Q29</v>
      </c>
      <c r="AZ13" s="31" t="str">
        <f>AZ7</f>
        <v>4Q29</v>
      </c>
      <c r="BA13" s="31">
        <f>BA7</f>
        <v>2029</v>
      </c>
      <c r="BB13" s="31" t="str">
        <f>BB7</f>
        <v>1Q30</v>
      </c>
      <c r="BC13" s="31" t="str">
        <f>BC7</f>
        <v>2Q30</v>
      </c>
      <c r="BD13" s="31" t="str">
        <f>BD7</f>
        <v>3Q30</v>
      </c>
      <c r="BE13" s="31" t="str">
        <f>BE7</f>
        <v>4Q30</v>
      </c>
      <c r="BF13" s="31">
        <f>BF7</f>
        <v>2030</v>
      </c>
      <c r="BG13" s="31" t="n"/>
      <c r="BH13" s="31" t="n"/>
      <c r="BI13" s="31" t="n"/>
      <c r="BJ13" s="31" t="n"/>
      <c r="BK13" s="31" t="n"/>
      <c r="BL13" s="31" t="n"/>
      <c r="BM13" s="31" t="n"/>
      <c r="BN13" s="31" t="n"/>
      <c r="BO13" s="31" t="n"/>
      <c r="BP13" s="31" t="n"/>
      <c r="BQ13" s="31" t="n"/>
      <c r="BR13" s="31" t="n"/>
      <c r="BS13" s="31" t="n"/>
      <c r="BT13" s="31" t="n"/>
      <c r="BU13" s="31" t="n"/>
      <c r="BV13" s="31" t="n"/>
      <c r="BW13" s="31" t="n"/>
      <c r="BX13" s="31" t="n"/>
      <c r="BY13" s="31" t="n"/>
      <c r="BZ13" s="31" t="n"/>
      <c r="CA13" s="31" t="n"/>
      <c r="CB13" s="31" t="n"/>
      <c r="CC13" s="31" t="n"/>
      <c r="CD13" s="31" t="n"/>
      <c r="CE13" s="31" t="n"/>
      <c r="CF13" s="31" t="n"/>
      <c r="CG13" s="31" t="n"/>
      <c r="CH13" s="31" t="n"/>
      <c r="CI13" s="31" t="n"/>
      <c r="CJ13" s="31" t="n"/>
      <c r="CK13" s="31" t="n"/>
      <c r="CL13" s="31" t="n"/>
      <c r="CM13" s="31" t="n"/>
      <c r="CN13" s="31" t="n"/>
      <c r="CO13" s="31" t="n"/>
      <c r="CP13" s="31" t="n"/>
      <c r="CQ13" s="31" t="n"/>
      <c r="CR13" s="31" t="n"/>
      <c r="CS13" s="31" t="n"/>
      <c r="CT13" s="31" t="n"/>
      <c r="CU13" s="31" t="n"/>
      <c r="CV13" s="31" t="n"/>
      <c r="CW13" s="31" t="n"/>
      <c r="CX13" s="31" t="n"/>
      <c r="CY13" s="31" t="n"/>
    </row>
    <row r="14">
      <c r="C14" s="17" t="n"/>
    </row>
    <row r="15" customFormat="1" s="32">
      <c r="A15" s="30" t="n"/>
      <c r="B15" s="3" t="n"/>
      <c r="C15" s="33" t="inlineStr">
        <is>
          <t>Net Revenues</t>
        </is>
      </c>
      <c r="D15" s="34" t="n"/>
      <c r="E15" s="34" t="n"/>
      <c r="F15" s="34" t="n"/>
      <c r="G15" s="34" t="n"/>
      <c r="H15" s="35" t="n"/>
      <c r="I15" s="34">
        <f>'Inputs (2)'!D4</f>
        <v>55314</v>
      </c>
      <c r="J15" s="34">
        <f>'Inputs (2)'!E4</f>
        <v>61880</v>
      </c>
      <c r="K15" s="34">
        <f>'Inputs (2)'!F4</f>
        <v>65118</v>
      </c>
      <c r="L15" s="34">
        <f>'Inputs (2)'!G4</f>
        <v>75325</v>
      </c>
      <c r="M15" s="35">
        <f>'Inputs (2)'!H4</f>
        <v>257637</v>
      </c>
      <c r="N15" s="34">
        <f>'Inputs (2)'!I4</f>
        <v>68011</v>
      </c>
      <c r="O15" s="34">
        <f>'Inputs (2)'!J4</f>
        <v>69685</v>
      </c>
      <c r="P15" s="34">
        <f>'Inputs (2)'!K4</f>
        <v>69092</v>
      </c>
      <c r="Q15" s="34">
        <f>'Inputs (2)'!L4</f>
        <v>76048</v>
      </c>
      <c r="R15" s="35">
        <f>'Inputs (2)'!M4</f>
        <v>282836</v>
      </c>
      <c r="S15" s="34">
        <f>'Inputs (2)'!N4</f>
        <v>69787</v>
      </c>
      <c r="T15" s="34">
        <f>'Inputs (2)'!O4</f>
        <v>74604</v>
      </c>
      <c r="U15" s="34">
        <f>'Inputs (2)'!P4</f>
        <v>76693</v>
      </c>
      <c r="V15" s="34">
        <f>'Inputs (2)'!Q4</f>
        <v>86310</v>
      </c>
      <c r="W15" s="35">
        <f>'Inputs (2)'!R4</f>
        <v>307394</v>
      </c>
      <c r="X15" s="34">
        <f>'Inputs (2)'!S4</f>
        <v>80539</v>
      </c>
      <c r="Y15" s="34">
        <f>'Inputs (2)'!T4</f>
        <v>84742</v>
      </c>
      <c r="Z15" s="34">
        <f>'Inputs (2)'!U4</f>
        <v>88268</v>
      </c>
      <c r="AA15" s="34">
        <f>'Inputs (2)'!V4</f>
        <v>96469</v>
      </c>
      <c r="AB15" s="35">
        <f>'Inputs (2)'!W4</f>
        <v>350018</v>
      </c>
      <c r="AC15" s="34">
        <f>'Inputs (2)'!X4</f>
        <v>90234</v>
      </c>
      <c r="AD15" s="34">
        <f>'Inputs (2)'!Y4</f>
        <v>96428</v>
      </c>
      <c r="AE15" s="34">
        <f>'Inputs (2)'!Z4</f>
        <v>102346</v>
      </c>
      <c r="AF15" s="34">
        <f>'Inputs (2)'!AA4</f>
        <v>113829</v>
      </c>
      <c r="AG15" s="35">
        <f>'Inputs (2)'!AB4</f>
        <v>402837</v>
      </c>
      <c r="AH15" s="35">
        <f>'Inputs (2)'!AC4</f>
        <v>109896</v>
      </c>
      <c r="AI15" s="35">
        <f>'Inputs (2)'!AD4</f>
        <v>119796</v>
      </c>
      <c r="AJ15" s="35">
        <f>AE15*(1+AJ16)</f>
        <v>120392.32039951</v>
      </c>
      <c r="AK15" s="35">
        <f>AF15*(1+AK16)</f>
        <v>133900.078544895</v>
      </c>
      <c r="AL15" s="35">
        <f>SUM(AH15:AK15)</f>
        <v>483984.398944406</v>
      </c>
      <c r="AM15" s="35">
        <f>AH15*(1+AM16)</f>
        <v>129273.586096424</v>
      </c>
      <c r="AN15" s="35">
        <f>AI15*(1+AN16)</f>
        <v>140919.219261913</v>
      </c>
      <c r="AO15" s="35">
        <f>AJ15*(1+AO16)</f>
        <v>141620.686799468</v>
      </c>
      <c r="AP15" s="35">
        <f>AK15*(1+AP16)</f>
        <v>157510.221774145</v>
      </c>
      <c r="AQ15" s="35">
        <f>SUM(AM15:AP15)</f>
        <v>569323.71393195</v>
      </c>
      <c r="AR15" s="35">
        <f>AM15*(1+AR16)</f>
        <v>151421.587793379</v>
      </c>
      <c r="AS15" s="35">
        <f>AN15*(1+AS16)</f>
        <v>165062.427488677</v>
      </c>
      <c r="AT15" s="35">
        <f>AO15*(1+AT16)</f>
        <v>165884.075062087</v>
      </c>
      <c r="AU15" s="35">
        <f>AP15*(1+AU16)</f>
        <v>184495.909759466</v>
      </c>
      <c r="AV15" s="35">
        <f>SUM(AR15:AU15)</f>
        <v>666864.00010361</v>
      </c>
      <c r="AW15" s="35">
        <f>AR15*(1+AW16)</f>
        <v>176607.022988491</v>
      </c>
      <c r="AX15" s="35">
        <f>AS15*(1+AX16)</f>
        <v>192516.696931001</v>
      </c>
      <c r="AY15" s="35">
        <f>AT15*(1+AY16)</f>
        <v>193475.006337211</v>
      </c>
      <c r="AZ15" s="35">
        <f>AU15*(1+AZ16)</f>
        <v>215182.483891489</v>
      </c>
      <c r="BA15" s="35">
        <f>SUM(AW15:AZ15)</f>
        <v>777781.210148191</v>
      </c>
      <c r="BB15" s="35">
        <f>AW15*(1+BB16)</f>
        <v>205098.430430231</v>
      </c>
      <c r="BC15" s="35">
        <f>AX15*(1+BC16)</f>
        <v>223574.757696549</v>
      </c>
      <c r="BD15" s="35">
        <f>AY15*(1+BD16)</f>
        <v>224687.667884118</v>
      </c>
      <c r="BE15" s="35">
        <f>AZ15*(1+BE16)</f>
        <v>249897.138604159</v>
      </c>
      <c r="BF15" s="35">
        <f>SUM(BB15:BE15)</f>
        <v>903257.994615056</v>
      </c>
      <c r="BG15" s="35" t="n"/>
      <c r="BH15" s="35" t="n"/>
      <c r="BI15" s="35" t="n"/>
      <c r="BJ15" s="35" t="n"/>
      <c r="BK15" s="35" t="n"/>
      <c r="BL15" s="35" t="n"/>
      <c r="BM15" s="35" t="n"/>
      <c r="BN15" s="35" t="n"/>
      <c r="BO15" s="35" t="n"/>
      <c r="BP15" s="35" t="n"/>
      <c r="BQ15" s="35" t="n"/>
      <c r="BR15" s="35" t="n"/>
      <c r="BS15" s="35" t="n"/>
      <c r="BT15" s="35" t="n"/>
      <c r="BU15" s="35" t="n"/>
      <c r="BV15" s="35" t="n"/>
      <c r="BW15" s="35" t="n"/>
      <c r="BX15" s="35" t="n"/>
      <c r="BY15" s="35" t="n"/>
      <c r="BZ15" s="35" t="n"/>
      <c r="CA15" s="35" t="n"/>
      <c r="CB15" s="35" t="n"/>
      <c r="CC15" s="35" t="n"/>
      <c r="CD15" s="35" t="n"/>
      <c r="CE15" s="35" t="n"/>
      <c r="CF15" s="35" t="n"/>
      <c r="CG15" s="35" t="n"/>
      <c r="CH15" s="35" t="n"/>
      <c r="CI15" s="35" t="n"/>
      <c r="CJ15" s="35" t="n"/>
      <c r="CK15" s="35" t="n"/>
      <c r="CL15" s="35" t="n"/>
      <c r="CM15" s="35" t="n"/>
      <c r="CN15" s="35" t="n"/>
      <c r="CO15" s="35" t="n"/>
      <c r="CP15" s="35" t="n"/>
      <c r="CQ15" s="35" t="n"/>
      <c r="CR15" s="35" t="n"/>
      <c r="CS15" s="35" t="n"/>
      <c r="CT15" s="35" t="n"/>
      <c r="CU15" s="35" t="n"/>
      <c r="CV15" s="35" t="n"/>
      <c r="CW15" s="35" t="n"/>
      <c r="CX15" s="35" t="n"/>
      <c r="CY15" s="35" t="n"/>
    </row>
    <row r="16" hidden="1" outlineLevel="1" customFormat="1" s="43">
      <c r="A16" s="36" t="n"/>
      <c r="B16" s="37" t="n"/>
      <c r="C16" s="38" t="inlineStr">
        <is>
          <t>% YoY</t>
        </is>
      </c>
      <c r="D16" s="39" t="n"/>
      <c r="E16" s="40" t="n"/>
      <c r="F16" s="40" t="n"/>
      <c r="G16" s="40" t="n"/>
      <c r="H16" s="39" t="n"/>
      <c r="I16" s="39" t="n"/>
      <c r="J16" s="40" t="n"/>
      <c r="K16" s="40" t="n"/>
      <c r="L16" s="40" t="n"/>
      <c r="M16" s="39" t="n"/>
      <c r="N16" s="40">
        <f>IFERROR(N15/I15-1,"")</f>
        <v>0.229544057562281</v>
      </c>
      <c r="O16" s="40">
        <f>IFERROR(O15/J15-1,"")</f>
        <v>0.126131221719457</v>
      </c>
      <c r="P16" s="40">
        <f>IFERROR(P15/K15-1,"")</f>
        <v>0.0610276728400749</v>
      </c>
      <c r="Q16" s="40">
        <f>IFERROR(Q15/L15-1,"")</f>
        <v>0.00959840690341851</v>
      </c>
      <c r="R16" s="40">
        <f>IFERROR(R15/M15-1,"")</f>
        <v>0.0978081564371578</v>
      </c>
      <c r="S16" s="40">
        <f>IFERROR(S15/N15-1,"")</f>
        <v>0.0261134228286601</v>
      </c>
      <c r="T16" s="40">
        <f>IFERROR(T15/O15-1,"")</f>
        <v>0.0705890794288584</v>
      </c>
      <c r="U16" s="40">
        <f>IFERROR(U15/P15-1,"")</f>
        <v>0.110012736641</v>
      </c>
      <c r="V16" s="40">
        <f>IFERROR(V15/Q15-1,"")</f>
        <v>0.134941089837997</v>
      </c>
      <c r="W16" s="40">
        <f>IFERROR(W15/R15-1,"")</f>
        <v>0.0868277022726951</v>
      </c>
      <c r="X16" s="40">
        <f>IFERROR(X15/S15-1,"")</f>
        <v>0.154068809377105</v>
      </c>
      <c r="Y16" s="40">
        <f>IFERROR(Y15/T15-1,"")</f>
        <v>0.135890836952442</v>
      </c>
      <c r="Z16" s="40">
        <f>IFERROR(Z15/U15-1,"")</f>
        <v>0.150926420924987</v>
      </c>
      <c r="AA16" s="40">
        <f>IFERROR(AA15/V15-1,"")</f>
        <v>0.11770362646275</v>
      </c>
      <c r="AB16" s="40">
        <f>IFERROR(AB15/W15-1,"")</f>
        <v>0.138662433229016</v>
      </c>
      <c r="AC16" s="40">
        <f>IFERROR(AC15/X15-1,"")</f>
        <v>0.120376463576652</v>
      </c>
      <c r="AD16" s="40">
        <f>IFERROR(AD15/Y15-1,"")</f>
        <v>0.137900922800972</v>
      </c>
      <c r="AE16" s="40">
        <f>IFERROR(AE15/Z15-1,"")</f>
        <v>0.159491548466035</v>
      </c>
      <c r="AF16" s="41">
        <f>IFERROR(AF15/AA15-1,"")</f>
        <v>0.179954182172511</v>
      </c>
      <c r="AG16" s="40">
        <f>IFERROR(AG15/AB15-1,"")</f>
        <v>0.15090366781137</v>
      </c>
      <c r="AH16" s="41">
        <f>IFERROR(AH15/AC15-1,"")</f>
        <v>0.217900126338187</v>
      </c>
      <c r="AI16" s="41">
        <f>IFERROR(AI15/AD15-1,"")</f>
        <v>0.242336250881487</v>
      </c>
      <c r="AJ16" s="41">
        <f>Control!$B$18</f>
        <v>0.176326582372641</v>
      </c>
      <c r="AK16" s="41">
        <f>Control!$B$18</f>
        <v>0.176326582372641</v>
      </c>
      <c r="AL16" s="42">
        <f>IFERROR(AL15/AG15-1,"")</f>
        <v>0.201439785681071</v>
      </c>
      <c r="AM16" s="41">
        <f>Control!$C$18</f>
        <v>0.176326582372641</v>
      </c>
      <c r="AN16" s="41">
        <f>Control!$C$18</f>
        <v>0.176326582372641</v>
      </c>
      <c r="AO16" s="41">
        <f>Control!$C$18</f>
        <v>0.176326582372641</v>
      </c>
      <c r="AP16" s="41">
        <f>Control!$C$18</f>
        <v>0.176326582372641</v>
      </c>
      <c r="AQ16" s="42">
        <f>IFERROR(AQ15/AL15-1,"")</f>
        <v>0.176326582372641</v>
      </c>
      <c r="AR16" s="41">
        <f>Control!$D$18</f>
        <v>0.171326582372641</v>
      </c>
      <c r="AS16" s="41">
        <f>Control!$D$18</f>
        <v>0.171326582372641</v>
      </c>
      <c r="AT16" s="41">
        <f>Control!$D$18</f>
        <v>0.171326582372641</v>
      </c>
      <c r="AU16" s="41">
        <f>Control!$D$18</f>
        <v>0.171326582372641</v>
      </c>
      <c r="AV16" s="42">
        <f>IFERROR(AV15/AQ15-1,"")</f>
        <v>0.171326582372641</v>
      </c>
      <c r="AW16" s="41">
        <f>Control!$E$18</f>
        <v>0.166326582372641</v>
      </c>
      <c r="AX16" s="41">
        <f>Control!$E$18</f>
        <v>0.166326582372641</v>
      </c>
      <c r="AY16" s="41">
        <f>Control!$E$18</f>
        <v>0.166326582372641</v>
      </c>
      <c r="AZ16" s="41">
        <f>Control!$E$18</f>
        <v>0.166326582372641</v>
      </c>
      <c r="BA16" s="42">
        <f>IFERROR(BA15/AV15-1,"")</f>
        <v>0.166326582372641</v>
      </c>
      <c r="BB16" s="41">
        <f>Control!$F$18</f>
        <v>0.161326582372641</v>
      </c>
      <c r="BC16" s="41">
        <f>Control!$F$18</f>
        <v>0.161326582372641</v>
      </c>
      <c r="BD16" s="41">
        <f>Control!$F$18</f>
        <v>0.161326582372641</v>
      </c>
      <c r="BE16" s="41">
        <f>Control!$F$18</f>
        <v>0.161326582372641</v>
      </c>
      <c r="BF16" s="42">
        <f>IFERROR(BF15/BA15-1,"")</f>
        <v>0.161326582372641</v>
      </c>
      <c r="BG16" s="41" t="n"/>
      <c r="BH16" s="41" t="n"/>
      <c r="BI16" s="41" t="n"/>
      <c r="BJ16" s="41" t="n"/>
      <c r="BK16" s="42" t="n"/>
      <c r="BL16" s="41" t="n"/>
      <c r="BM16" s="41" t="n"/>
      <c r="BN16" s="41" t="n"/>
      <c r="BO16" s="41" t="n"/>
      <c r="BP16" s="42" t="n"/>
      <c r="BQ16" s="41" t="n"/>
      <c r="BR16" s="41" t="n"/>
      <c r="BS16" s="41" t="n"/>
      <c r="BT16" s="41" t="n"/>
      <c r="BU16" s="42" t="n"/>
      <c r="BV16" s="41" t="n"/>
      <c r="BW16" s="41" t="n"/>
      <c r="BX16" s="41" t="n"/>
      <c r="BY16" s="41" t="n"/>
      <c r="BZ16" s="42" t="n"/>
      <c r="CA16" s="41" t="n"/>
      <c r="CB16" s="41" t="n"/>
      <c r="CC16" s="41" t="n"/>
      <c r="CD16" s="41" t="n"/>
      <c r="CE16" s="42" t="n"/>
      <c r="CF16" s="41" t="n"/>
      <c r="CG16" s="41" t="n"/>
      <c r="CH16" s="41" t="n"/>
      <c r="CI16" s="41" t="n"/>
      <c r="CJ16" s="42" t="n"/>
      <c r="CK16" s="41" t="n"/>
      <c r="CL16" s="41" t="n"/>
      <c r="CM16" s="41" t="n"/>
      <c r="CN16" s="41" t="n"/>
      <c r="CO16" s="42" t="n"/>
      <c r="CP16" s="41" t="n"/>
      <c r="CQ16" s="41" t="n"/>
      <c r="CR16" s="41" t="n"/>
      <c r="CS16" s="41" t="n"/>
      <c r="CT16" s="42" t="n"/>
      <c r="CU16" s="41" t="n"/>
      <c r="CV16" s="41" t="n"/>
      <c r="CW16" s="41" t="n"/>
      <c r="CX16" s="41" t="n"/>
      <c r="CY16" s="42" t="n"/>
    </row>
    <row r="17" hidden="1" outlineLevel="1" customFormat="1" s="43">
      <c r="A17" s="36" t="n"/>
      <c r="B17" s="37" t="n"/>
      <c r="C17" s="44" t="inlineStr">
        <is>
          <t>Check Receita</t>
        </is>
      </c>
      <c r="D17" s="39" t="n"/>
      <c r="E17" s="40" t="n"/>
      <c r="F17" s="40" t="n"/>
      <c r="G17" s="40" t="n"/>
      <c r="H17" s="39" t="n"/>
      <c r="I17" s="39" t="n"/>
      <c r="J17" s="40" t="n"/>
      <c r="K17" s="40" t="n"/>
      <c r="L17" s="40" t="n"/>
      <c r="M17" s="39" t="n"/>
      <c r="N17" s="40" t="n"/>
      <c r="O17" s="40" t="n"/>
      <c r="P17" s="40" t="n"/>
      <c r="Q17" s="40" t="n"/>
      <c r="R17" s="40" t="n"/>
      <c r="S17" s="40" t="n"/>
      <c r="T17" s="40" t="n"/>
      <c r="U17" s="40" t="n"/>
      <c r="V17" s="40" t="n"/>
      <c r="W17" s="40" t="n"/>
      <c r="X17" s="40" t="n"/>
      <c r="Y17" s="40" t="n"/>
      <c r="Z17" s="40" t="n"/>
      <c r="AA17" s="40" t="n"/>
      <c r="AB17" s="40" t="n"/>
      <c r="AC17" s="40" t="n"/>
      <c r="AD17" s="40" t="n"/>
      <c r="AE17" s="40" t="n"/>
      <c r="AF17" s="40" t="n"/>
      <c r="AG17" s="40" t="n"/>
      <c r="AH17" s="41" t="n"/>
      <c r="AI17" s="41" t="n"/>
      <c r="AJ17" s="41" t="n"/>
      <c r="AK17" s="41" t="n"/>
      <c r="AL17" s="42" t="n"/>
      <c r="AM17" s="41" t="n"/>
      <c r="AN17" s="41" t="n"/>
      <c r="AO17" s="41" t="n"/>
      <c r="AP17" s="41" t="n"/>
      <c r="AQ17" s="42" t="n"/>
      <c r="AR17" s="41" t="n"/>
      <c r="AS17" s="41" t="n"/>
      <c r="AT17" s="41" t="n"/>
      <c r="AU17" s="41" t="n"/>
      <c r="AV17" s="42" t="n"/>
      <c r="AW17" s="41" t="n"/>
      <c r="AX17" s="41" t="n"/>
      <c r="AY17" s="41" t="n"/>
      <c r="AZ17" s="41" t="n"/>
      <c r="BA17" s="42" t="n"/>
      <c r="BB17" s="41" t="n"/>
      <c r="BC17" s="41" t="n"/>
      <c r="BD17" s="41" t="n"/>
      <c r="BE17" s="41" t="n"/>
      <c r="BF17" s="42" t="n"/>
      <c r="BG17" s="41" t="n"/>
      <c r="BH17" s="41" t="n"/>
      <c r="BI17" s="41" t="n"/>
      <c r="BJ17" s="41" t="n"/>
      <c r="BK17" s="42" t="n"/>
      <c r="BL17" s="41" t="n"/>
      <c r="BM17" s="41" t="n"/>
      <c r="BN17" s="41" t="n"/>
      <c r="BO17" s="41" t="n"/>
      <c r="BP17" s="42" t="n"/>
      <c r="BQ17" s="41" t="n"/>
      <c r="BR17" s="41" t="n"/>
      <c r="BS17" s="41" t="n"/>
      <c r="BT17" s="41" t="n"/>
      <c r="BU17" s="42" t="n"/>
      <c r="BV17" s="41" t="n"/>
      <c r="BW17" s="41" t="n"/>
      <c r="BX17" s="41" t="n"/>
      <c r="BY17" s="41" t="n"/>
      <c r="BZ17" s="42" t="n"/>
      <c r="CA17" s="41" t="n"/>
      <c r="CB17" s="41" t="n"/>
      <c r="CC17" s="41" t="n"/>
      <c r="CD17" s="41" t="n"/>
      <c r="CE17" s="42" t="n"/>
      <c r="CF17" s="41" t="n"/>
      <c r="CG17" s="41" t="n"/>
      <c r="CH17" s="41" t="n"/>
      <c r="CI17" s="41" t="n"/>
      <c r="CJ17" s="42" t="n"/>
      <c r="CK17" s="41" t="n"/>
      <c r="CL17" s="41" t="n"/>
      <c r="CM17" s="41" t="n"/>
      <c r="CN17" s="41" t="n"/>
      <c r="CO17" s="42" t="n"/>
      <c r="CP17" s="41" t="n"/>
      <c r="CQ17" s="41" t="n"/>
      <c r="CR17" s="41" t="n"/>
      <c r="CS17" s="41" t="n"/>
      <c r="CT17" s="42" t="n"/>
      <c r="CU17" s="41" t="n"/>
      <c r="CV17" s="41" t="n"/>
      <c r="CW17" s="41" t="n"/>
      <c r="CX17" s="41" t="n"/>
      <c r="CY17" s="42" t="n"/>
    </row>
    <row r="18">
      <c r="C18" s="267" t="inlineStr">
        <is>
          <t>Receita por tipo - como a Alphabet divulga (USD milhões)</t>
        </is>
      </c>
      <c r="D18" s="267">
        <f>D7</f>
        <v>0</v>
      </c>
      <c r="E18" s="267">
        <f>E7</f>
        <v>0</v>
      </c>
      <c r="F18" s="267">
        <f>F7</f>
        <v>0</v>
      </c>
      <c r="G18" s="267">
        <f>G7</f>
        <v>0</v>
      </c>
      <c r="H18" s="267">
        <f>H7</f>
        <v>2020</v>
      </c>
      <c r="I18" s="267" t="str">
        <f>I7</f>
        <v>1Q21</v>
      </c>
      <c r="J18" s="267" t="str">
        <f>J7</f>
        <v>2Q21</v>
      </c>
      <c r="K18" s="267" t="str">
        <f>K7</f>
        <v>3Q21</v>
      </c>
      <c r="L18" s="267" t="str">
        <f>L7</f>
        <v>4Q21</v>
      </c>
      <c r="M18" s="267">
        <f>M7</f>
        <v>2021</v>
      </c>
      <c r="N18" s="267" t="str">
        <f>N7</f>
        <v>1Q22</v>
      </c>
      <c r="O18" s="267" t="str">
        <f>O7</f>
        <v>2Q22</v>
      </c>
      <c r="P18" s="267" t="str">
        <f>P7</f>
        <v>3Q22</v>
      </c>
      <c r="Q18" s="267" t="str">
        <f>Q7</f>
        <v>4Q22</v>
      </c>
      <c r="R18" s="267">
        <f>R7</f>
        <v>2022</v>
      </c>
      <c r="S18" s="267" t="str">
        <f>S7</f>
        <v>1Q23</v>
      </c>
      <c r="T18" s="267" t="str">
        <f>T7</f>
        <v>2Q23</v>
      </c>
      <c r="U18" s="267" t="str">
        <f>U7</f>
        <v>3Q23</v>
      </c>
      <c r="V18" s="267" t="str">
        <f>V7</f>
        <v>4Q23</v>
      </c>
      <c r="W18" s="267">
        <f>W7</f>
        <v>2023</v>
      </c>
      <c r="X18" s="267" t="str">
        <f>X7</f>
        <v>1Q24</v>
      </c>
      <c r="Y18" s="267" t="str">
        <f>Y7</f>
        <v>2Q24</v>
      </c>
      <c r="Z18" s="267" t="str">
        <f>Z7</f>
        <v>3Q24</v>
      </c>
      <c r="AA18" s="267" t="str">
        <f>AA7</f>
        <v>4Q24</v>
      </c>
      <c r="AB18" s="267">
        <f>AB7</f>
        <v>2024</v>
      </c>
      <c r="AC18" s="267" t="str">
        <f>AC7</f>
        <v>1Q25</v>
      </c>
      <c r="AD18" s="267" t="str">
        <f>AD7</f>
        <v>2Q25</v>
      </c>
      <c r="AE18" s="267" t="str">
        <f>AE7</f>
        <v>3Q25</v>
      </c>
      <c r="AF18" s="267" t="str">
        <f>AF7</f>
        <v>4Q25</v>
      </c>
      <c r="AG18" s="267">
        <f>AG7</f>
        <v>2025</v>
      </c>
      <c r="AH18" s="267" t="str">
        <f>AH7</f>
        <v>1Q26</v>
      </c>
      <c r="AI18" s="267" t="str">
        <f>AI7</f>
        <v>2Q26</v>
      </c>
    </row>
    <row r="19">
      <c r="C19" s="268" t="inlineStr">
        <is>
          <t xml:space="preserve">   Google Search &amp; other</t>
        </is>
      </c>
      <c r="D19" s="269" t="str">
        <f>IFERROR(INDEX('Inputs (2)'!$D$53:$AL$53,MATCH(D$7&amp;"",'Inputs (2)'!$D$2:$AL$2,0)),"")</f>
        <v/>
      </c>
      <c r="E19" s="269" t="str">
        <f>IFERROR(INDEX('Inputs (2)'!$D$53:$AL$53,MATCH(E$7&amp;"",'Inputs (2)'!$D$2:$AL$2,0)),"")</f>
        <v/>
      </c>
      <c r="F19" s="269" t="str">
        <f>IFERROR(INDEX('Inputs (2)'!$D$53:$AL$53,MATCH(F$7&amp;"",'Inputs (2)'!$D$2:$AL$2,0)),"")</f>
        <v/>
      </c>
      <c r="G19" s="269" t="str">
        <f>IFERROR(INDEX('Inputs (2)'!$D$53:$AL$53,MATCH(G$7&amp;"",'Inputs (2)'!$D$2:$AL$2,0)),"")</f>
        <v/>
      </c>
      <c r="H19" s="270" t="str">
        <f>IF(COUNT(D19:G19)=4,SUM(D19:G19),"")</f>
        <v/>
      </c>
      <c r="I19" s="269">
        <f>IFERROR(INDEX('Inputs (2)'!$D$53:$AL$53,MATCH(I$7&amp;"",'Inputs (2)'!$D$2:$AL$2,0)),"")</f>
        <v>31879</v>
      </c>
      <c r="J19" s="269">
        <f>IFERROR(INDEX('Inputs (2)'!$D$53:$AL$53,MATCH(J$7&amp;"",'Inputs (2)'!$D$2:$AL$2,0)),"")</f>
        <v>35845</v>
      </c>
      <c r="K19" s="269">
        <f>IFERROR(INDEX('Inputs (2)'!$D$53:$AL$53,MATCH(K$7&amp;"",'Inputs (2)'!$D$2:$AL$2,0)),"")</f>
        <v>37926</v>
      </c>
      <c r="L19" s="269">
        <f>IFERROR(INDEX('Inputs (2)'!$D$53:$AL$53,MATCH(L$7&amp;"",'Inputs (2)'!$D$2:$AL$2,0)),"")</f>
        <v>43301</v>
      </c>
      <c r="M19" s="270">
        <f>IF(COUNT(I19:L19)=4,SUM(I19:L19),"")</f>
        <v>148951</v>
      </c>
      <c r="N19" s="269">
        <f>IFERROR(INDEX('Inputs (2)'!$D$53:$AL$53,MATCH(N$7&amp;"",'Inputs (2)'!$D$2:$AL$2,0)),"")</f>
        <v>39618</v>
      </c>
      <c r="O19" s="269">
        <f>IFERROR(INDEX('Inputs (2)'!$D$53:$AL$53,MATCH(O$7&amp;"",'Inputs (2)'!$D$2:$AL$2,0)),"")</f>
        <v>40689</v>
      </c>
      <c r="P19" s="269">
        <f>IFERROR(INDEX('Inputs (2)'!$D$53:$AL$53,MATCH(P$7&amp;"",'Inputs (2)'!$D$2:$AL$2,0)),"")</f>
        <v>39539</v>
      </c>
      <c r="Q19" s="269">
        <f>IFERROR(INDEX('Inputs (2)'!$D$53:$AL$53,MATCH(Q$7&amp;"",'Inputs (2)'!$D$2:$AL$2,0)),"")</f>
        <v>42604</v>
      </c>
      <c r="R19" s="270">
        <f>IF(COUNT(N19:Q19)=4,SUM(N19:Q19),"")</f>
        <v>162450</v>
      </c>
      <c r="S19" s="269">
        <f>IFERROR(INDEX('Inputs (2)'!$D$53:$AL$53,MATCH(S$7&amp;"",'Inputs (2)'!$D$2:$AL$2,0)),"")</f>
        <v>40359</v>
      </c>
      <c r="T19" s="269">
        <f>IFERROR(INDEX('Inputs (2)'!$D$53:$AL$53,MATCH(T$7&amp;"",'Inputs (2)'!$D$2:$AL$2,0)),"")</f>
        <v>42628</v>
      </c>
      <c r="U19" s="269">
        <f>IFERROR(INDEX('Inputs (2)'!$D$53:$AL$53,MATCH(U$7&amp;"",'Inputs (2)'!$D$2:$AL$2,0)),"")</f>
        <v>44026</v>
      </c>
      <c r="V19" s="269">
        <f>IFERROR(INDEX('Inputs (2)'!$D$53:$AL$53,MATCH(V$7&amp;"",'Inputs (2)'!$D$2:$AL$2,0)),"")</f>
        <v>48020</v>
      </c>
      <c r="W19" s="270">
        <f>IF(COUNT(S19:V19)=4,SUM(S19:V19),"")</f>
        <v>175033</v>
      </c>
      <c r="X19" s="269">
        <f>IFERROR(INDEX('Inputs (2)'!$D$53:$AL$53,MATCH(X$7&amp;"",'Inputs (2)'!$D$2:$AL$2,0)),"")</f>
        <v>46156</v>
      </c>
      <c r="Y19" s="269">
        <f>IFERROR(INDEX('Inputs (2)'!$D$53:$AL$53,MATCH(Y$7&amp;"",'Inputs (2)'!$D$2:$AL$2,0)),"")</f>
        <v>48509</v>
      </c>
      <c r="Z19" s="269">
        <f>IFERROR(INDEX('Inputs (2)'!$D$53:$AL$53,MATCH(Z$7&amp;"",'Inputs (2)'!$D$2:$AL$2,0)),"")</f>
        <v>49385</v>
      </c>
      <c r="AA19" s="269">
        <f>IFERROR(INDEX('Inputs (2)'!$D$53:$AL$53,MATCH(AA$7&amp;"",'Inputs (2)'!$D$2:$AL$2,0)),"")</f>
        <v>54034</v>
      </c>
      <c r="AB19" s="270">
        <f>IF(COUNT(X19:AA19)=4,SUM(X19:AA19),"")</f>
        <v>198084</v>
      </c>
      <c r="AC19" s="269">
        <f>IFERROR(INDEX('Inputs (2)'!$D$53:$AL$53,MATCH(AC$7&amp;"",'Inputs (2)'!$D$2:$AL$2,0)),"")</f>
        <v>50702</v>
      </c>
      <c r="AD19" s="269">
        <f>IFERROR(INDEX('Inputs (2)'!$D$53:$AL$53,MATCH(AD$7&amp;"",'Inputs (2)'!$D$2:$AL$2,0)),"")</f>
        <v>54190</v>
      </c>
      <c r="AE19" s="269">
        <f>IFERROR(INDEX('Inputs (2)'!$D$53:$AL$53,MATCH(AE$7&amp;"",'Inputs (2)'!$D$2:$AL$2,0)),"")</f>
        <v>56567</v>
      </c>
      <c r="AF19" s="269">
        <f>IFERROR(INDEX('Inputs (2)'!$D$53:$AL$53,MATCH(AF$7&amp;"",'Inputs (2)'!$D$2:$AL$2,0)),"")</f>
        <v>63073</v>
      </c>
      <c r="AG19" s="270">
        <f>IF(COUNT(AC19:AF19)=4,SUM(AC19:AF19),"")</f>
        <v>224532</v>
      </c>
      <c r="AH19" s="270">
        <f>IFERROR(INDEX('Inputs (2)'!$D$53:$AL$53,MATCH(AH$7&amp;"",'Inputs (2)'!$D$2:$AL$2,0)),"")</f>
        <v>60399</v>
      </c>
      <c r="AI19" s="270">
        <f>IFERROR(INDEX('Inputs (2)'!$D$53:$AL$53,MATCH(AI$7&amp;"",'Inputs (2)'!$D$2:$AL$2,0)),"")</f>
        <v>63271</v>
      </c>
    </row>
    <row r="20">
      <c r="C20" s="268" t="inlineStr">
        <is>
          <t xml:space="preserve">   YouTube ads</t>
        </is>
      </c>
      <c r="D20" s="269" t="str">
        <f>IFERROR(INDEX('Inputs (2)'!$D$54:$AL$54,MATCH(D$7&amp;"",'Inputs (2)'!$D$2:$AL$2,0)),"")</f>
        <v/>
      </c>
      <c r="E20" s="269" t="str">
        <f>IFERROR(INDEX('Inputs (2)'!$D$54:$AL$54,MATCH(E$7&amp;"",'Inputs (2)'!$D$2:$AL$2,0)),"")</f>
        <v/>
      </c>
      <c r="F20" s="269" t="str">
        <f>IFERROR(INDEX('Inputs (2)'!$D$54:$AL$54,MATCH(F$7&amp;"",'Inputs (2)'!$D$2:$AL$2,0)),"")</f>
        <v/>
      </c>
      <c r="G20" s="269" t="str">
        <f>IFERROR(INDEX('Inputs (2)'!$D$54:$AL$54,MATCH(G$7&amp;"",'Inputs (2)'!$D$2:$AL$2,0)),"")</f>
        <v/>
      </c>
      <c r="H20" s="270" t="str">
        <f>IF(COUNT(D20:G20)=4,SUM(D20:G20),"")</f>
        <v/>
      </c>
      <c r="I20" s="269">
        <f>IFERROR(INDEX('Inputs (2)'!$D$54:$AL$54,MATCH(I$7&amp;"",'Inputs (2)'!$D$2:$AL$2,0)),"")</f>
        <v>6005</v>
      </c>
      <c r="J20" s="269">
        <f>IFERROR(INDEX('Inputs (2)'!$D$54:$AL$54,MATCH(J$7&amp;"",'Inputs (2)'!$D$2:$AL$2,0)),"")</f>
        <v>7002</v>
      </c>
      <c r="K20" s="269">
        <f>IFERROR(INDEX('Inputs (2)'!$D$54:$AL$54,MATCH(K$7&amp;"",'Inputs (2)'!$D$2:$AL$2,0)),"")</f>
        <v>7205</v>
      </c>
      <c r="L20" s="269">
        <f>IFERROR(INDEX('Inputs (2)'!$D$54:$AL$54,MATCH(L$7&amp;"",'Inputs (2)'!$D$2:$AL$2,0)),"")</f>
        <v>8633</v>
      </c>
      <c r="M20" s="270">
        <f>IF(COUNT(I20:L20)=4,SUM(I20:L20),"")</f>
        <v>28845</v>
      </c>
      <c r="N20" s="269">
        <f>IFERROR(INDEX('Inputs (2)'!$D$54:$AL$54,MATCH(N$7&amp;"",'Inputs (2)'!$D$2:$AL$2,0)),"")</f>
        <v>6869</v>
      </c>
      <c r="O20" s="269">
        <f>IFERROR(INDEX('Inputs (2)'!$D$54:$AL$54,MATCH(O$7&amp;"",'Inputs (2)'!$D$2:$AL$2,0)),"")</f>
        <v>7340</v>
      </c>
      <c r="P20" s="269">
        <f>IFERROR(INDEX('Inputs (2)'!$D$54:$AL$54,MATCH(P$7&amp;"",'Inputs (2)'!$D$2:$AL$2,0)),"")</f>
        <v>7071</v>
      </c>
      <c r="Q20" s="269">
        <f>IFERROR(INDEX('Inputs (2)'!$D$54:$AL$54,MATCH(Q$7&amp;"",'Inputs (2)'!$D$2:$AL$2,0)),"")</f>
        <v>7963</v>
      </c>
      <c r="R20" s="270">
        <f>IF(COUNT(N20:Q20)=4,SUM(N20:Q20),"")</f>
        <v>29243</v>
      </c>
      <c r="S20" s="269">
        <f>IFERROR(INDEX('Inputs (2)'!$D$54:$AL$54,MATCH(S$7&amp;"",'Inputs (2)'!$D$2:$AL$2,0)),"")</f>
        <v>6693</v>
      </c>
      <c r="T20" s="269">
        <f>IFERROR(INDEX('Inputs (2)'!$D$54:$AL$54,MATCH(T$7&amp;"",'Inputs (2)'!$D$2:$AL$2,0)),"")</f>
        <v>7665</v>
      </c>
      <c r="U20" s="269">
        <f>IFERROR(INDEX('Inputs (2)'!$D$54:$AL$54,MATCH(U$7&amp;"",'Inputs (2)'!$D$2:$AL$2,0)),"")</f>
        <v>7952</v>
      </c>
      <c r="V20" s="269">
        <f>IFERROR(INDEX('Inputs (2)'!$D$54:$AL$54,MATCH(V$7&amp;"",'Inputs (2)'!$D$2:$AL$2,0)),"")</f>
        <v>9200</v>
      </c>
      <c r="W20" s="270">
        <f>IF(COUNT(S20:V20)=4,SUM(S20:V20),"")</f>
        <v>31510</v>
      </c>
      <c r="X20" s="269">
        <f>IFERROR(INDEX('Inputs (2)'!$D$54:$AL$54,MATCH(X$7&amp;"",'Inputs (2)'!$D$2:$AL$2,0)),"")</f>
        <v>8090</v>
      </c>
      <c r="Y20" s="269">
        <f>IFERROR(INDEX('Inputs (2)'!$D$54:$AL$54,MATCH(Y$7&amp;"",'Inputs (2)'!$D$2:$AL$2,0)),"")</f>
        <v>8663</v>
      </c>
      <c r="Z20" s="269">
        <f>IFERROR(INDEX('Inputs (2)'!$D$54:$AL$54,MATCH(Z$7&amp;"",'Inputs (2)'!$D$2:$AL$2,0)),"")</f>
        <v>8921</v>
      </c>
      <c r="AA20" s="269">
        <f>IFERROR(INDEX('Inputs (2)'!$D$54:$AL$54,MATCH(AA$7&amp;"",'Inputs (2)'!$D$2:$AL$2,0)),"")</f>
        <v>10473</v>
      </c>
      <c r="AB20" s="270">
        <f>IF(COUNT(X20:AA20)=4,SUM(X20:AA20),"")</f>
        <v>36147</v>
      </c>
      <c r="AC20" s="269">
        <f>IFERROR(INDEX('Inputs (2)'!$D$54:$AL$54,MATCH(AC$7&amp;"",'Inputs (2)'!$D$2:$AL$2,0)),"")</f>
        <v>8927</v>
      </c>
      <c r="AD20" s="269">
        <f>IFERROR(INDEX('Inputs (2)'!$D$54:$AL$54,MATCH(AD$7&amp;"",'Inputs (2)'!$D$2:$AL$2,0)),"")</f>
        <v>9796</v>
      </c>
      <c r="AE20" s="269">
        <f>IFERROR(INDEX('Inputs (2)'!$D$54:$AL$54,MATCH(AE$7&amp;"",'Inputs (2)'!$D$2:$AL$2,0)),"")</f>
        <v>10261</v>
      </c>
      <c r="AF20" s="269">
        <f>IFERROR(INDEX('Inputs (2)'!$D$54:$AL$54,MATCH(AF$7&amp;"",'Inputs (2)'!$D$2:$AL$2,0)),"")</f>
        <v>11383</v>
      </c>
      <c r="AG20" s="270">
        <f>IF(COUNT(AC20:AF20)=4,SUM(AC20:AF20),"")</f>
        <v>40367</v>
      </c>
      <c r="AH20" s="270">
        <f>IFERROR(INDEX('Inputs (2)'!$D$54:$AL$54,MATCH(AH$7&amp;"",'Inputs (2)'!$D$2:$AL$2,0)),"")</f>
        <v>9883</v>
      </c>
      <c r="AI20" s="270">
        <f>IFERROR(INDEX('Inputs (2)'!$D$54:$AL$54,MATCH(AI$7&amp;"",'Inputs (2)'!$D$2:$AL$2,0)),"")</f>
        <v>11055</v>
      </c>
    </row>
    <row r="21">
      <c r="C21" s="268" t="inlineStr">
        <is>
          <t xml:space="preserve">   Google Network</t>
        </is>
      </c>
      <c r="D21" s="269" t="str">
        <f>IFERROR(INDEX('Inputs (2)'!$D$55:$AL$55,MATCH(D$7&amp;"",'Inputs (2)'!$D$2:$AL$2,0)),"")</f>
        <v/>
      </c>
      <c r="E21" s="269" t="str">
        <f>IFERROR(INDEX('Inputs (2)'!$D$55:$AL$55,MATCH(E$7&amp;"",'Inputs (2)'!$D$2:$AL$2,0)),"")</f>
        <v/>
      </c>
      <c r="F21" s="269" t="str">
        <f>IFERROR(INDEX('Inputs (2)'!$D$55:$AL$55,MATCH(F$7&amp;"",'Inputs (2)'!$D$2:$AL$2,0)),"")</f>
        <v/>
      </c>
      <c r="G21" s="269" t="str">
        <f>IFERROR(INDEX('Inputs (2)'!$D$55:$AL$55,MATCH(G$7&amp;"",'Inputs (2)'!$D$2:$AL$2,0)),"")</f>
        <v/>
      </c>
      <c r="H21" s="270" t="str">
        <f>IF(COUNT(D21:G21)=4,SUM(D21:G21),"")</f>
        <v/>
      </c>
      <c r="I21" s="269">
        <f>IFERROR(INDEX('Inputs (2)'!$D$55:$AL$55,MATCH(I$7&amp;"",'Inputs (2)'!$D$2:$AL$2,0)),"")</f>
        <v>6800</v>
      </c>
      <c r="J21" s="269">
        <f>IFERROR(INDEX('Inputs (2)'!$D$55:$AL$55,MATCH(J$7&amp;"",'Inputs (2)'!$D$2:$AL$2,0)),"")</f>
        <v>7597</v>
      </c>
      <c r="K21" s="269">
        <f>IFERROR(INDEX('Inputs (2)'!$D$55:$AL$55,MATCH(K$7&amp;"",'Inputs (2)'!$D$2:$AL$2,0)),"")</f>
        <v>7999</v>
      </c>
      <c r="L21" s="269">
        <f>IFERROR(INDEX('Inputs (2)'!$D$55:$AL$55,MATCH(L$7&amp;"",'Inputs (2)'!$D$2:$AL$2,0)),"")</f>
        <v>9305</v>
      </c>
      <c r="M21" s="270">
        <f>IF(COUNT(I21:L21)=4,SUM(I21:L21),"")</f>
        <v>31701</v>
      </c>
      <c r="N21" s="269">
        <f>IFERROR(INDEX('Inputs (2)'!$D$55:$AL$55,MATCH(N$7&amp;"",'Inputs (2)'!$D$2:$AL$2,0)),"")</f>
        <v>8174</v>
      </c>
      <c r="O21" s="269">
        <f>IFERROR(INDEX('Inputs (2)'!$D$55:$AL$55,MATCH(O$7&amp;"",'Inputs (2)'!$D$2:$AL$2,0)),"")</f>
        <v>8259</v>
      </c>
      <c r="P21" s="269">
        <f>IFERROR(INDEX('Inputs (2)'!$D$55:$AL$55,MATCH(P$7&amp;"",'Inputs (2)'!$D$2:$AL$2,0)),"")</f>
        <v>7872</v>
      </c>
      <c r="Q21" s="269">
        <f>IFERROR(INDEX('Inputs (2)'!$D$55:$AL$55,MATCH(Q$7&amp;"",'Inputs (2)'!$D$2:$AL$2,0)),"")</f>
        <v>8475</v>
      </c>
      <c r="R21" s="270">
        <f>IF(COUNT(N21:Q21)=4,SUM(N21:Q21),"")</f>
        <v>32780</v>
      </c>
      <c r="S21" s="269">
        <f>IFERROR(INDEX('Inputs (2)'!$D$55:$AL$55,MATCH(S$7&amp;"",'Inputs (2)'!$D$2:$AL$2,0)),"")</f>
        <v>7496</v>
      </c>
      <c r="T21" s="269">
        <f>IFERROR(INDEX('Inputs (2)'!$D$55:$AL$55,MATCH(T$7&amp;"",'Inputs (2)'!$D$2:$AL$2,0)),"")</f>
        <v>7850</v>
      </c>
      <c r="U21" s="269">
        <f>IFERROR(INDEX('Inputs (2)'!$D$55:$AL$55,MATCH(U$7&amp;"",'Inputs (2)'!$D$2:$AL$2,0)),"")</f>
        <v>7669</v>
      </c>
      <c r="V21" s="269">
        <f>IFERROR(INDEX('Inputs (2)'!$D$55:$AL$55,MATCH(V$7&amp;"",'Inputs (2)'!$D$2:$AL$2,0)),"")</f>
        <v>8297</v>
      </c>
      <c r="W21" s="270">
        <f>IF(COUNT(S21:V21)=4,SUM(S21:V21),"")</f>
        <v>31312</v>
      </c>
      <c r="X21" s="269">
        <f>IFERROR(INDEX('Inputs (2)'!$D$55:$AL$55,MATCH(X$7&amp;"",'Inputs (2)'!$D$2:$AL$2,0)),"")</f>
        <v>7413</v>
      </c>
      <c r="Y21" s="269">
        <f>IFERROR(INDEX('Inputs (2)'!$D$55:$AL$55,MATCH(Y$7&amp;"",'Inputs (2)'!$D$2:$AL$2,0)),"")</f>
        <v>7444</v>
      </c>
      <c r="Z21" s="269">
        <f>IFERROR(INDEX('Inputs (2)'!$D$55:$AL$55,MATCH(Z$7&amp;"",'Inputs (2)'!$D$2:$AL$2,0)),"")</f>
        <v>7548</v>
      </c>
      <c r="AA21" s="269">
        <f>IFERROR(INDEX('Inputs (2)'!$D$55:$AL$55,MATCH(AA$7&amp;"",'Inputs (2)'!$D$2:$AL$2,0)),"")</f>
        <v>7954</v>
      </c>
      <c r="AB21" s="270">
        <f>IF(COUNT(X21:AA21)=4,SUM(X21:AA21),"")</f>
        <v>30359</v>
      </c>
      <c r="AC21" s="269">
        <f>IFERROR(INDEX('Inputs (2)'!$D$55:$AL$55,MATCH(AC$7&amp;"",'Inputs (2)'!$D$2:$AL$2,0)),"")</f>
        <v>7256</v>
      </c>
      <c r="AD21" s="269">
        <f>IFERROR(INDEX('Inputs (2)'!$D$55:$AL$55,MATCH(AD$7&amp;"",'Inputs (2)'!$D$2:$AL$2,0)),"")</f>
        <v>7354</v>
      </c>
      <c r="AE21" s="269">
        <f>IFERROR(INDEX('Inputs (2)'!$D$55:$AL$55,MATCH(AE$7&amp;"",'Inputs (2)'!$D$2:$AL$2,0)),"")</f>
        <v>7354</v>
      </c>
      <c r="AF21" s="269">
        <f>IFERROR(INDEX('Inputs (2)'!$D$55:$AL$55,MATCH(AF$7&amp;"",'Inputs (2)'!$D$2:$AL$2,0)),"")</f>
        <v>7828</v>
      </c>
      <c r="AG21" s="270">
        <f>IF(COUNT(AC21:AF21)=4,SUM(AC21:AF21),"")</f>
        <v>29792</v>
      </c>
      <c r="AH21" s="270">
        <f>IFERROR(INDEX('Inputs (2)'!$D$55:$AL$55,MATCH(AH$7&amp;"",'Inputs (2)'!$D$2:$AL$2,0)),"")</f>
        <v>6971</v>
      </c>
      <c r="AI21" s="270">
        <f>IFERROR(INDEX('Inputs (2)'!$D$55:$AL$55,MATCH(AI$7&amp;"",'Inputs (2)'!$D$2:$AL$2,0)),"")</f>
        <v>7303</v>
      </c>
    </row>
    <row r="22">
      <c r="C22" s="271" t="inlineStr">
        <is>
          <t>Google advertising</t>
        </is>
      </c>
      <c r="D22" s="269" t="str">
        <f>IF(COUNT(D19,D20,D21)=0,"",N(D19)+N(D20)+N(D21))</f>
        <v/>
      </c>
      <c r="E22" s="269" t="str">
        <f>IF(COUNT(E19,E20,E21)=0,"",N(E19)+N(E20)+N(E21))</f>
        <v/>
      </c>
      <c r="F22" s="269" t="str">
        <f>IF(COUNT(F19,F20,F21)=0,"",N(F19)+N(F20)+N(F21))</f>
        <v/>
      </c>
      <c r="G22" s="269" t="str">
        <f>IF(COUNT(G19,G20,G21)=0,"",N(G19)+N(G20)+N(G21))</f>
        <v/>
      </c>
      <c r="H22" s="270" t="str">
        <f>IF(COUNT(H19,H20,H21)=0,"",N(H19)+N(H20)+N(H21))</f>
        <v/>
      </c>
      <c r="I22" s="269">
        <f>IF(COUNT(I19,I20,I21)=0,"",N(I19)+N(I20)+N(I21))</f>
        <v>44684</v>
      </c>
      <c r="J22" s="269">
        <f>IF(COUNT(J19,J20,J21)=0,"",N(J19)+N(J20)+N(J21))</f>
        <v>50444</v>
      </c>
      <c r="K22" s="269">
        <f>IF(COUNT(K19,K20,K21)=0,"",N(K19)+N(K20)+N(K21))</f>
        <v>53130</v>
      </c>
      <c r="L22" s="269">
        <f>IF(COUNT(L19,L20,L21)=0,"",N(L19)+N(L20)+N(L21))</f>
        <v>61239</v>
      </c>
      <c r="M22" s="270">
        <f>IF(COUNT(M19,M20,M21)=0,"",N(M19)+N(M20)+N(M21))</f>
        <v>209497</v>
      </c>
      <c r="N22" s="269">
        <f>IF(COUNT(N19,N20,N21)=0,"",N(N19)+N(N20)+N(N21))</f>
        <v>54661</v>
      </c>
      <c r="O22" s="269">
        <f>IF(COUNT(O19,O20,O21)=0,"",N(O19)+N(O20)+N(O21))</f>
        <v>56288</v>
      </c>
      <c r="P22" s="269">
        <f>IF(COUNT(P19,P20,P21)=0,"",N(P19)+N(P20)+N(P21))</f>
        <v>54482</v>
      </c>
      <c r="Q22" s="269">
        <f>IF(COUNT(Q19,Q20,Q21)=0,"",N(Q19)+N(Q20)+N(Q21))</f>
        <v>59042</v>
      </c>
      <c r="R22" s="270">
        <f>IF(COUNT(R19,R20,R21)=0,"",N(R19)+N(R20)+N(R21))</f>
        <v>224473</v>
      </c>
      <c r="S22" s="269">
        <f>IF(COUNT(S19,S20,S21)=0,"",N(S19)+N(S20)+N(S21))</f>
        <v>54548</v>
      </c>
      <c r="T22" s="269">
        <f>IF(COUNT(T19,T20,T21)=0,"",N(T19)+N(T20)+N(T21))</f>
        <v>58143</v>
      </c>
      <c r="U22" s="269">
        <f>IF(COUNT(U19,U20,U21)=0,"",N(U19)+N(U20)+N(U21))</f>
        <v>59647</v>
      </c>
      <c r="V22" s="269">
        <f>IF(COUNT(V19,V20,V21)=0,"",N(V19)+N(V20)+N(V21))</f>
        <v>65517</v>
      </c>
      <c r="W22" s="270">
        <f>IF(COUNT(W19,W20,W21)=0,"",N(W19)+N(W20)+N(W21))</f>
        <v>237855</v>
      </c>
      <c r="X22" s="269">
        <f>IF(COUNT(X19,X20,X21)=0,"",N(X19)+N(X20)+N(X21))</f>
        <v>61659</v>
      </c>
      <c r="Y22" s="269">
        <f>IF(COUNT(Y19,Y20,Y21)=0,"",N(Y19)+N(Y20)+N(Y21))</f>
        <v>64616</v>
      </c>
      <c r="Z22" s="269">
        <f>IF(COUNT(Z19,Z20,Z21)=0,"",N(Z19)+N(Z20)+N(Z21))</f>
        <v>65854</v>
      </c>
      <c r="AA22" s="269">
        <f>IF(COUNT(AA19,AA20,AA21)=0,"",N(AA19)+N(AA20)+N(AA21))</f>
        <v>72461</v>
      </c>
      <c r="AB22" s="270">
        <f>IF(COUNT(AB19,AB20,AB21)=0,"",N(AB19)+N(AB20)+N(AB21))</f>
        <v>264590</v>
      </c>
      <c r="AC22" s="269">
        <f>IF(COUNT(AC19,AC20,AC21)=0,"",N(AC19)+N(AC20)+N(AC21))</f>
        <v>66885</v>
      </c>
      <c r="AD22" s="269">
        <f>IF(COUNT(AD19,AD20,AD21)=0,"",N(AD19)+N(AD20)+N(AD21))</f>
        <v>71340</v>
      </c>
      <c r="AE22" s="269">
        <f>IF(COUNT(AE19,AE20,AE21)=0,"",N(AE19)+N(AE20)+N(AE21))</f>
        <v>74182</v>
      </c>
      <c r="AF22" s="269">
        <f>IF(COUNT(AF19,AF20,AF21)=0,"",N(AF19)+N(AF20)+N(AF21))</f>
        <v>82284</v>
      </c>
      <c r="AG22" s="270">
        <f>IF(COUNT(AG19,AG20,AG21)=0,"",N(AG19)+N(AG20)+N(AG21))</f>
        <v>294691</v>
      </c>
      <c r="AH22" s="270">
        <f>IF(COUNT(AH19,AH20,AH21)=0,"",N(AH19)+N(AH20)+N(AH21))</f>
        <v>77253</v>
      </c>
      <c r="AI22" s="270">
        <f>IF(COUNT(AI19,AI20,AI21)=0,"",N(AI19)+N(AI20)+N(AI21))</f>
        <v>81629</v>
      </c>
    </row>
    <row r="23">
      <c r="C23" s="268" t="inlineStr">
        <is>
          <t xml:space="preserve">   Subscriptions, platforms and devices</t>
        </is>
      </c>
      <c r="D23" s="269" t="str">
        <f>IFERROR(INDEX('Inputs (2)'!$D$56:$AL$56,MATCH(D$7&amp;"",'Inputs (2)'!$D$2:$AL$2,0)),"")</f>
        <v/>
      </c>
      <c r="E23" s="269" t="str">
        <f>IFERROR(INDEX('Inputs (2)'!$D$56:$AL$56,MATCH(E$7&amp;"",'Inputs (2)'!$D$2:$AL$2,0)),"")</f>
        <v/>
      </c>
      <c r="F23" s="269" t="str">
        <f>IFERROR(INDEX('Inputs (2)'!$D$56:$AL$56,MATCH(F$7&amp;"",'Inputs (2)'!$D$2:$AL$2,0)),"")</f>
        <v/>
      </c>
      <c r="G23" s="269" t="str">
        <f>IFERROR(INDEX('Inputs (2)'!$D$56:$AL$56,MATCH(G$7&amp;"",'Inputs (2)'!$D$2:$AL$2,0)),"")</f>
        <v/>
      </c>
      <c r="H23" s="270" t="str">
        <f>IF(COUNT(D23:G23)=4,SUM(D23:G23),"")</f>
        <v/>
      </c>
      <c r="I23" s="269">
        <f>IFERROR(INDEX('Inputs (2)'!$D$56:$AL$56,MATCH(I$7&amp;"",'Inputs (2)'!$D$2:$AL$2,0)),"")</f>
        <v>6494</v>
      </c>
      <c r="J23" s="269">
        <f>IFERROR(INDEX('Inputs (2)'!$D$56:$AL$56,MATCH(J$7&amp;"",'Inputs (2)'!$D$2:$AL$2,0)),"")</f>
        <v>6623</v>
      </c>
      <c r="K23" s="269">
        <f>IFERROR(INDEX('Inputs (2)'!$D$56:$AL$56,MATCH(K$7&amp;"",'Inputs (2)'!$D$2:$AL$2,0)),"")</f>
        <v>6754</v>
      </c>
      <c r="L23" s="269">
        <f>IFERROR(INDEX('Inputs (2)'!$D$56:$AL$56,MATCH(L$7&amp;"",'Inputs (2)'!$D$2:$AL$2,0)),"")</f>
        <v>8161</v>
      </c>
      <c r="M23" s="270">
        <f>IF(COUNT(I23:L23)=4,SUM(I23:L23),"")</f>
        <v>28032</v>
      </c>
      <c r="N23" s="269">
        <f>IFERROR(INDEX('Inputs (2)'!$D$56:$AL$56,MATCH(N$7&amp;"",'Inputs (2)'!$D$2:$AL$2,0)),"")</f>
        <v>6811</v>
      </c>
      <c r="O23" s="269">
        <f>IFERROR(INDEX('Inputs (2)'!$D$56:$AL$56,MATCH(O$7&amp;"",'Inputs (2)'!$D$2:$AL$2,0)),"")</f>
        <v>6553</v>
      </c>
      <c r="P23" s="269">
        <f>IFERROR(INDEX('Inputs (2)'!$D$56:$AL$56,MATCH(P$7&amp;"",'Inputs (2)'!$D$2:$AL$2,0)),"")</f>
        <v>6895</v>
      </c>
      <c r="Q23" s="269">
        <f>IFERROR(INDEX('Inputs (2)'!$D$56:$AL$56,MATCH(Q$7&amp;"",'Inputs (2)'!$D$2:$AL$2,0)),"")</f>
        <v>8796</v>
      </c>
      <c r="R23" s="270">
        <f>IF(COUNT(N23:Q23)=4,SUM(N23:Q23),"")</f>
        <v>29055</v>
      </c>
      <c r="S23" s="269">
        <f>IFERROR(INDEX('Inputs (2)'!$D$56:$AL$56,MATCH(S$7&amp;"",'Inputs (2)'!$D$2:$AL$2,0)),"")</f>
        <v>7413</v>
      </c>
      <c r="T23" s="269">
        <f>IFERROR(INDEX('Inputs (2)'!$D$56:$AL$56,MATCH(T$7&amp;"",'Inputs (2)'!$D$2:$AL$2,0)),"")</f>
        <v>8142</v>
      </c>
      <c r="U23" s="269">
        <f>IFERROR(INDEX('Inputs (2)'!$D$56:$AL$56,MATCH(U$7&amp;"",'Inputs (2)'!$D$2:$AL$2,0)),"")</f>
        <v>8339</v>
      </c>
      <c r="V23" s="269">
        <f>IFERROR(INDEX('Inputs (2)'!$D$56:$AL$56,MATCH(V$7&amp;"",'Inputs (2)'!$D$2:$AL$2,0)),"")</f>
        <v>10794</v>
      </c>
      <c r="W23" s="270">
        <f>IF(COUNT(S23:V23)=4,SUM(S23:V23),"")</f>
        <v>34688</v>
      </c>
      <c r="X23" s="269">
        <f>IFERROR(INDEX('Inputs (2)'!$D$56:$AL$56,MATCH(X$7&amp;"",'Inputs (2)'!$D$2:$AL$2,0)),"")</f>
        <v>8739</v>
      </c>
      <c r="Y23" s="269">
        <f>IFERROR(INDEX('Inputs (2)'!$D$56:$AL$56,MATCH(Y$7&amp;"",'Inputs (2)'!$D$2:$AL$2,0)),"")</f>
        <v>9312</v>
      </c>
      <c r="Z23" s="269">
        <f>IFERROR(INDEX('Inputs (2)'!$D$56:$AL$56,MATCH(Z$7&amp;"",'Inputs (2)'!$D$2:$AL$2,0)),"")</f>
        <v>10656</v>
      </c>
      <c r="AA23" s="269">
        <f>IFERROR(INDEX('Inputs (2)'!$D$56:$AL$56,MATCH(AA$7&amp;"",'Inputs (2)'!$D$2:$AL$2,0)),"")</f>
        <v>11633</v>
      </c>
      <c r="AB23" s="270">
        <f>IF(COUNT(X23:AA23)=4,SUM(X23:AA23),"")</f>
        <v>40340</v>
      </c>
      <c r="AC23" s="269">
        <f>IFERROR(INDEX('Inputs (2)'!$D$56:$AL$56,MATCH(AC$7&amp;"",'Inputs (2)'!$D$2:$AL$2,0)),"")</f>
        <v>10379</v>
      </c>
      <c r="AD23" s="269">
        <f>IFERROR(INDEX('Inputs (2)'!$D$56:$AL$56,MATCH(AD$7&amp;"",'Inputs (2)'!$D$2:$AL$2,0)),"")</f>
        <v>11203</v>
      </c>
      <c r="AE23" s="269">
        <f>IFERROR(INDEX('Inputs (2)'!$D$56:$AL$56,MATCH(AE$7&amp;"",'Inputs (2)'!$D$2:$AL$2,0)),"")</f>
        <v>12870</v>
      </c>
      <c r="AF23" s="269">
        <f>IFERROR(INDEX('Inputs (2)'!$D$56:$AL$56,MATCH(AF$7&amp;"",'Inputs (2)'!$D$2:$AL$2,0)),"")</f>
        <v>13578</v>
      </c>
      <c r="AG23" s="270">
        <f>IF(COUNT(AC23:AF23)=4,SUM(AC23:AF23),"")</f>
        <v>48030</v>
      </c>
      <c r="AH23" s="270">
        <f>IFERROR(INDEX('Inputs (2)'!$D$56:$AL$56,MATCH(AH$7&amp;"",'Inputs (2)'!$D$2:$AL$2,0)),"")</f>
        <v>12384</v>
      </c>
      <c r="AI23" s="270">
        <f>IFERROR(INDEX('Inputs (2)'!$D$56:$AL$56,MATCH(AI$7&amp;"",'Inputs (2)'!$D$2:$AL$2,0)),"")</f>
        <v>12911</v>
      </c>
    </row>
    <row r="24">
      <c r="C24" s="268" t="inlineStr">
        <is>
          <t>Google Cloud</t>
        </is>
      </c>
      <c r="D24" s="269" t="str">
        <f>IFERROR(INDEX('Inputs (2)'!$D$58:$AL$58,MATCH(D$7&amp;"",'Inputs (2)'!$D$2:$AL$2,0)),"")</f>
        <v/>
      </c>
      <c r="E24" s="269" t="str">
        <f>IFERROR(INDEX('Inputs (2)'!$D$58:$AL$58,MATCH(E$7&amp;"",'Inputs (2)'!$D$2:$AL$2,0)),"")</f>
        <v/>
      </c>
      <c r="F24" s="269" t="str">
        <f>IFERROR(INDEX('Inputs (2)'!$D$58:$AL$58,MATCH(F$7&amp;"",'Inputs (2)'!$D$2:$AL$2,0)),"")</f>
        <v/>
      </c>
      <c r="G24" s="269" t="str">
        <f>IFERROR(INDEX('Inputs (2)'!$D$58:$AL$58,MATCH(G$7&amp;"",'Inputs (2)'!$D$2:$AL$2,0)),"")</f>
        <v/>
      </c>
      <c r="H24" s="270" t="str">
        <f>IF(COUNT(D24:G24)=4,SUM(D24:G24),"")</f>
        <v/>
      </c>
      <c r="I24" s="269">
        <f>IFERROR(INDEX('Inputs (2)'!$D$58:$AL$58,MATCH(I$7&amp;"",'Inputs (2)'!$D$2:$AL$2,0)),"")</f>
        <v>4047</v>
      </c>
      <c r="J24" s="269">
        <f>IFERROR(INDEX('Inputs (2)'!$D$58:$AL$58,MATCH(J$7&amp;"",'Inputs (2)'!$D$2:$AL$2,0)),"")</f>
        <v>4628</v>
      </c>
      <c r="K24" s="269">
        <f>IFERROR(INDEX('Inputs (2)'!$D$58:$AL$58,MATCH(K$7&amp;"",'Inputs (2)'!$D$2:$AL$2,0)),"")</f>
        <v>4990</v>
      </c>
      <c r="L24" s="269">
        <f>IFERROR(INDEX('Inputs (2)'!$D$58:$AL$58,MATCH(L$7&amp;"",'Inputs (2)'!$D$2:$AL$2,0)),"")</f>
        <v>5541</v>
      </c>
      <c r="M24" s="270">
        <f>IF(COUNT(I24:L24)=4,SUM(I24:L24),"")</f>
        <v>19206</v>
      </c>
      <c r="N24" s="269">
        <f>IFERROR(INDEX('Inputs (2)'!$D$58:$AL$58,MATCH(N$7&amp;"",'Inputs (2)'!$D$2:$AL$2,0)),"")</f>
        <v>5821</v>
      </c>
      <c r="O24" s="269">
        <f>IFERROR(INDEX('Inputs (2)'!$D$58:$AL$58,MATCH(O$7&amp;"",'Inputs (2)'!$D$2:$AL$2,0)),"")</f>
        <v>6276</v>
      </c>
      <c r="P24" s="269">
        <f>IFERROR(INDEX('Inputs (2)'!$D$58:$AL$58,MATCH(P$7&amp;"",'Inputs (2)'!$D$2:$AL$2,0)),"")</f>
        <v>6868</v>
      </c>
      <c r="Q24" s="269">
        <f>IFERROR(INDEX('Inputs (2)'!$D$58:$AL$58,MATCH(Q$7&amp;"",'Inputs (2)'!$D$2:$AL$2,0)),"")</f>
        <v>7315</v>
      </c>
      <c r="R24" s="270">
        <f>IF(COUNT(N24:Q24)=4,SUM(N24:Q24),"")</f>
        <v>26280</v>
      </c>
      <c r="S24" s="269">
        <f>IFERROR(INDEX('Inputs (2)'!$D$58:$AL$58,MATCH(S$7&amp;"",'Inputs (2)'!$D$2:$AL$2,0)),"")</f>
        <v>7454</v>
      </c>
      <c r="T24" s="269">
        <f>IFERROR(INDEX('Inputs (2)'!$D$58:$AL$58,MATCH(T$7&amp;"",'Inputs (2)'!$D$2:$AL$2,0)),"")</f>
        <v>8031</v>
      </c>
      <c r="U24" s="269">
        <f>IFERROR(INDEX('Inputs (2)'!$D$58:$AL$58,MATCH(U$7&amp;"",'Inputs (2)'!$D$2:$AL$2,0)),"")</f>
        <v>8411</v>
      </c>
      <c r="V24" s="269">
        <f>IFERROR(INDEX('Inputs (2)'!$D$58:$AL$58,MATCH(V$7&amp;"",'Inputs (2)'!$D$2:$AL$2,0)),"")</f>
        <v>9192</v>
      </c>
      <c r="W24" s="270">
        <f>IF(COUNT(S24:V24)=4,SUM(S24:V24),"")</f>
        <v>33088</v>
      </c>
      <c r="X24" s="269">
        <f>IFERROR(INDEX('Inputs (2)'!$D$58:$AL$58,MATCH(X$7&amp;"",'Inputs (2)'!$D$2:$AL$2,0)),"")</f>
        <v>9574</v>
      </c>
      <c r="Y24" s="269">
        <f>IFERROR(INDEX('Inputs (2)'!$D$58:$AL$58,MATCH(Y$7&amp;"",'Inputs (2)'!$D$2:$AL$2,0)),"")</f>
        <v>10347</v>
      </c>
      <c r="Z24" s="269">
        <f>IFERROR(INDEX('Inputs (2)'!$D$58:$AL$58,MATCH(Z$7&amp;"",'Inputs (2)'!$D$2:$AL$2,0)),"")</f>
        <v>11353</v>
      </c>
      <c r="AA24" s="269">
        <f>IFERROR(INDEX('Inputs (2)'!$D$58:$AL$58,MATCH(AA$7&amp;"",'Inputs (2)'!$D$2:$AL$2,0)),"")</f>
        <v>11955</v>
      </c>
      <c r="AB24" s="270">
        <f>IF(COUNT(X24:AA24)=4,SUM(X24:AA24),"")</f>
        <v>43229</v>
      </c>
      <c r="AC24" s="269">
        <f>IFERROR(INDEX('Inputs (2)'!$D$58:$AL$58,MATCH(AC$7&amp;"",'Inputs (2)'!$D$2:$AL$2,0)),"")</f>
        <v>12260</v>
      </c>
      <c r="AD24" s="269">
        <f>IFERROR(INDEX('Inputs (2)'!$D$58:$AL$58,MATCH(AD$7&amp;"",'Inputs (2)'!$D$2:$AL$2,0)),"")</f>
        <v>13624</v>
      </c>
      <c r="AE24" s="269">
        <f>IFERROR(INDEX('Inputs (2)'!$D$58:$AL$58,MATCH(AE$7&amp;"",'Inputs (2)'!$D$2:$AL$2,0)),"")</f>
        <v>15157</v>
      </c>
      <c r="AF24" s="269">
        <f>IFERROR(INDEX('Inputs (2)'!$D$58:$AL$58,MATCH(AF$7&amp;"",'Inputs (2)'!$D$2:$AL$2,0)),"")</f>
        <v>17664</v>
      </c>
      <c r="AG24" s="270">
        <f>IF(COUNT(AC24:AF24)=4,SUM(AC24:AF24),"")</f>
        <v>58705</v>
      </c>
      <c r="AH24" s="270">
        <f>IFERROR(INDEX('Inputs (2)'!$D$58:$AL$58,MATCH(AH$7&amp;"",'Inputs (2)'!$D$2:$AL$2,0)),"")</f>
        <v>20028</v>
      </c>
      <c r="AI24" s="270">
        <f>IFERROR(INDEX('Inputs (2)'!$D$58:$AL$58,MATCH(AI$7&amp;"",'Inputs (2)'!$D$2:$AL$2,0)),"")</f>
        <v>24768</v>
      </c>
    </row>
    <row r="25">
      <c r="C25" s="268" t="inlineStr">
        <is>
          <t>Other Bets</t>
        </is>
      </c>
      <c r="D25" s="269" t="str">
        <f>IFERROR(INDEX('Inputs (2)'!$D$59:$AL$59,MATCH(D$7&amp;"",'Inputs (2)'!$D$2:$AL$2,0)),"")</f>
        <v/>
      </c>
      <c r="E25" s="269" t="str">
        <f>IFERROR(INDEX('Inputs (2)'!$D$59:$AL$59,MATCH(E$7&amp;"",'Inputs (2)'!$D$2:$AL$2,0)),"")</f>
        <v/>
      </c>
      <c r="F25" s="269" t="str">
        <f>IFERROR(INDEX('Inputs (2)'!$D$59:$AL$59,MATCH(F$7&amp;"",'Inputs (2)'!$D$2:$AL$2,0)),"")</f>
        <v/>
      </c>
      <c r="G25" s="269" t="str">
        <f>IFERROR(INDEX('Inputs (2)'!$D$59:$AL$59,MATCH(G$7&amp;"",'Inputs (2)'!$D$2:$AL$2,0)),"")</f>
        <v/>
      </c>
      <c r="H25" s="270" t="str">
        <f>IF(COUNT(D25:G25)=4,SUM(D25:G25),"")</f>
        <v/>
      </c>
      <c r="I25" s="269">
        <f>IFERROR(INDEX('Inputs (2)'!$D$59:$AL$59,MATCH(I$7&amp;"",'Inputs (2)'!$D$2:$AL$2,0)),"")</f>
        <v>198</v>
      </c>
      <c r="J25" s="269">
        <f>IFERROR(INDEX('Inputs (2)'!$D$59:$AL$59,MATCH(J$7&amp;"",'Inputs (2)'!$D$2:$AL$2,0)),"")</f>
        <v>192</v>
      </c>
      <c r="K25" s="269">
        <f>IFERROR(INDEX('Inputs (2)'!$D$59:$AL$59,MATCH(K$7&amp;"",'Inputs (2)'!$D$2:$AL$2,0)),"")</f>
        <v>182</v>
      </c>
      <c r="L25" s="269">
        <f>IFERROR(INDEX('Inputs (2)'!$D$59:$AL$59,MATCH(L$7&amp;"",'Inputs (2)'!$D$2:$AL$2,0)),"")</f>
        <v>181</v>
      </c>
      <c r="M25" s="270">
        <f>IF(COUNT(I25:L25)=4,SUM(I25:L25),"")</f>
        <v>753</v>
      </c>
      <c r="N25" s="269">
        <f>IFERROR(INDEX('Inputs (2)'!$D$59:$AL$59,MATCH(N$7&amp;"",'Inputs (2)'!$D$2:$AL$2,0)),"")</f>
        <v>440</v>
      </c>
      <c r="O25" s="269">
        <f>IFERROR(INDEX('Inputs (2)'!$D$59:$AL$59,MATCH(O$7&amp;"",'Inputs (2)'!$D$2:$AL$2,0)),"")</f>
        <v>193</v>
      </c>
      <c r="P25" s="269">
        <f>IFERROR(INDEX('Inputs (2)'!$D$59:$AL$59,MATCH(P$7&amp;"",'Inputs (2)'!$D$2:$AL$2,0)),"")</f>
        <v>209</v>
      </c>
      <c r="Q25" s="269">
        <f>IFERROR(INDEX('Inputs (2)'!$D$59:$AL$59,MATCH(Q$7&amp;"",'Inputs (2)'!$D$2:$AL$2,0)),"")</f>
        <v>226</v>
      </c>
      <c r="R25" s="270">
        <f>IF(COUNT(N25:Q25)=4,SUM(N25:Q25),"")</f>
        <v>1068</v>
      </c>
      <c r="S25" s="269">
        <f>IFERROR(INDEX('Inputs (2)'!$D$59:$AL$59,MATCH(S$7&amp;"",'Inputs (2)'!$D$2:$AL$2,0)),"")</f>
        <v>288</v>
      </c>
      <c r="T25" s="269">
        <f>IFERROR(INDEX('Inputs (2)'!$D$59:$AL$59,MATCH(T$7&amp;"",'Inputs (2)'!$D$2:$AL$2,0)),"")</f>
        <v>285</v>
      </c>
      <c r="U25" s="269">
        <f>IFERROR(INDEX('Inputs (2)'!$D$59:$AL$59,MATCH(U$7&amp;"",'Inputs (2)'!$D$2:$AL$2,0)),"")</f>
        <v>297</v>
      </c>
      <c r="V25" s="269">
        <f>IFERROR(INDEX('Inputs (2)'!$D$59:$AL$59,MATCH(V$7&amp;"",'Inputs (2)'!$D$2:$AL$2,0)),"")</f>
        <v>657</v>
      </c>
      <c r="W25" s="270">
        <f>IF(COUNT(S25:V25)=4,SUM(S25:V25),"")</f>
        <v>1527</v>
      </c>
      <c r="X25" s="269">
        <f>IFERROR(INDEX('Inputs (2)'!$D$59:$AL$59,MATCH(X$7&amp;"",'Inputs (2)'!$D$2:$AL$2,0)),"")</f>
        <v>495</v>
      </c>
      <c r="Y25" s="269">
        <f>IFERROR(INDEX('Inputs (2)'!$D$59:$AL$59,MATCH(Y$7&amp;"",'Inputs (2)'!$D$2:$AL$2,0)),"")</f>
        <v>365</v>
      </c>
      <c r="Z25" s="269">
        <f>IFERROR(INDEX('Inputs (2)'!$D$59:$AL$59,MATCH(Z$7&amp;"",'Inputs (2)'!$D$2:$AL$2,0)),"")</f>
        <v>388</v>
      </c>
      <c r="AA25" s="269">
        <f>IFERROR(INDEX('Inputs (2)'!$D$59:$AL$59,MATCH(AA$7&amp;"",'Inputs (2)'!$D$2:$AL$2,0)),"")</f>
        <v>400</v>
      </c>
      <c r="AB25" s="270">
        <f>IF(COUNT(X25:AA25)=4,SUM(X25:AA25),"")</f>
        <v>1648</v>
      </c>
      <c r="AC25" s="269">
        <f>IFERROR(INDEX('Inputs (2)'!$D$59:$AL$59,MATCH(AC$7&amp;"",'Inputs (2)'!$D$2:$AL$2,0)),"")</f>
        <v>450</v>
      </c>
      <c r="AD25" s="269">
        <f>IFERROR(INDEX('Inputs (2)'!$D$59:$AL$59,MATCH(AD$7&amp;"",'Inputs (2)'!$D$2:$AL$2,0)),"")</f>
        <v>373</v>
      </c>
      <c r="AE25" s="269">
        <f>IFERROR(INDEX('Inputs (2)'!$D$59:$AL$59,MATCH(AE$7&amp;"",'Inputs (2)'!$D$2:$AL$2,0)),"")</f>
        <v>344</v>
      </c>
      <c r="AF25" s="269">
        <f>IFERROR(INDEX('Inputs (2)'!$D$59:$AL$59,MATCH(AF$7&amp;"",'Inputs (2)'!$D$2:$AL$2,0)),"")</f>
        <v>370</v>
      </c>
      <c r="AG25" s="270">
        <f>IF(COUNT(AC25:AF25)=4,SUM(AC25:AF25),"")</f>
        <v>1537</v>
      </c>
      <c r="AH25" s="270">
        <f>IFERROR(INDEX('Inputs (2)'!$D$59:$AL$59,MATCH(AH$7&amp;"",'Inputs (2)'!$D$2:$AL$2,0)),"")</f>
        <v>411</v>
      </c>
      <c r="AI25" s="270">
        <f>IFERROR(INDEX('Inputs (2)'!$D$59:$AL$59,MATCH(AI$7&amp;"",'Inputs (2)'!$D$2:$AL$2,0)),"")</f>
        <v>382</v>
      </c>
    </row>
    <row r="26">
      <c r="C26" s="271" t="inlineStr">
        <is>
          <t>Receita (soma dos tipos; a diferença para a linha 15 são os ganhos de hedge)</t>
        </is>
      </c>
      <c r="D26" s="269" t="str">
        <f>IF(COUNT(D22,D23,D24,D25)=0,"",N(D22)+N(D23)+N(D24)+N(D25))</f>
        <v/>
      </c>
      <c r="E26" s="269" t="str">
        <f>IF(COUNT(E22,E23,E24,E25)=0,"",N(E22)+N(E23)+N(E24)+N(E25))</f>
        <v/>
      </c>
      <c r="F26" s="269" t="str">
        <f>IF(COUNT(F22,F23,F24,F25)=0,"",N(F22)+N(F23)+N(F24)+N(F25))</f>
        <v/>
      </c>
      <c r="G26" s="269" t="str">
        <f>IF(COUNT(G22,G23,G24,G25)=0,"",N(G22)+N(G23)+N(G24)+N(G25))</f>
        <v/>
      </c>
      <c r="H26" s="270" t="str">
        <f>IF(COUNT(H22,H23,H24,H25)=0,"",N(H22)+N(H23)+N(H24)+N(H25))</f>
        <v/>
      </c>
      <c r="I26" s="269">
        <f>IF(COUNT(I22,I23,I24,I25)=0,"",N(I22)+N(I23)+N(I24)+N(I25))</f>
        <v>55423</v>
      </c>
      <c r="J26" s="269">
        <f>IF(COUNT(J22,J23,J24,J25)=0,"",N(J22)+N(J23)+N(J24)+N(J25))</f>
        <v>61887</v>
      </c>
      <c r="K26" s="269">
        <f>IF(COUNT(K22,K23,K24,K25)=0,"",N(K22)+N(K23)+N(K24)+N(K25))</f>
        <v>65056</v>
      </c>
      <c r="L26" s="269">
        <f>IF(COUNT(L22,L23,L24,L25)=0,"",N(L22)+N(L23)+N(L24)+N(L25))</f>
        <v>75122</v>
      </c>
      <c r="M26" s="270">
        <f>IF(COUNT(M22,M23,M24,M25)=0,"",N(M22)+N(M23)+N(M24)+N(M25))</f>
        <v>257488</v>
      </c>
      <c r="N26" s="269">
        <f>IF(COUNT(N22,N23,N24,N25)=0,"",N(N22)+N(N23)+N(N24)+N(N25))</f>
        <v>67733</v>
      </c>
      <c r="O26" s="269">
        <f>IF(COUNT(O22,O23,O24,O25)=0,"",N(O22)+N(O23)+N(O24)+N(O25))</f>
        <v>69310</v>
      </c>
      <c r="P26" s="269">
        <f>IF(COUNT(P22,P23,P24,P25)=0,"",N(P22)+N(P23)+N(P24)+N(P25))</f>
        <v>68454</v>
      </c>
      <c r="Q26" s="269">
        <f>IF(COUNT(Q22,Q23,Q24,Q25)=0,"",N(Q22)+N(Q23)+N(Q24)+N(Q25))</f>
        <v>75379</v>
      </c>
      <c r="R26" s="270">
        <f>IF(COUNT(R22,R23,R24,R25)=0,"",N(R22)+N(R23)+N(R24)+N(R25))</f>
        <v>280876</v>
      </c>
      <c r="S26" s="269">
        <f>IF(COUNT(S22,S23,S24,S25)=0,"",N(S22)+N(S23)+N(S24)+N(S25))</f>
        <v>69703</v>
      </c>
      <c r="T26" s="269">
        <f>IF(COUNT(T22,T23,T24,T25)=0,"",N(T22)+N(T23)+N(T24)+N(T25))</f>
        <v>74601</v>
      </c>
      <c r="U26" s="269">
        <f>IF(COUNT(U22,U23,U24,U25)=0,"",N(U22)+N(U23)+N(U24)+N(U25))</f>
        <v>76694</v>
      </c>
      <c r="V26" s="269">
        <f>IF(COUNT(V22,V23,V24,V25)=0,"",N(V22)+N(V23)+N(V24)+N(V25))</f>
        <v>86160</v>
      </c>
      <c r="W26" s="270">
        <f>IF(COUNT(W22,W23,W24,W25)=0,"",N(W22)+N(W23)+N(W24)+N(W25))</f>
        <v>307158</v>
      </c>
      <c r="X26" s="269">
        <f>IF(COUNT(X22,X23,X24,X25)=0,"",N(X22)+N(X23)+N(X24)+N(X25))</f>
        <v>80467</v>
      </c>
      <c r="Y26" s="269">
        <f>IF(COUNT(Y22,Y23,Y24,Y25)=0,"",N(Y22)+N(Y23)+N(Y24)+N(Y25))</f>
        <v>84640</v>
      </c>
      <c r="Z26" s="269">
        <f>IF(COUNT(Z22,Z23,Z24,Z25)=0,"",N(Z22)+N(Z23)+N(Z24)+N(Z25))</f>
        <v>88251</v>
      </c>
      <c r="AA26" s="269">
        <f>IF(COUNT(AA22,AA23,AA24,AA25)=0,"",N(AA22)+N(AA23)+N(AA24)+N(AA25))</f>
        <v>96449</v>
      </c>
      <c r="AB26" s="270">
        <f>IF(COUNT(AB22,AB23,AB24,AB25)=0,"",N(AB22)+N(AB23)+N(AB24)+N(AB25))</f>
        <v>349807</v>
      </c>
      <c r="AC26" s="269">
        <f>IF(COUNT(AC22,AC23,AC24,AC25)=0,"",N(AC22)+N(AC23)+N(AC24)+N(AC25))</f>
        <v>89974</v>
      </c>
      <c r="AD26" s="269">
        <f>IF(COUNT(AD22,AD23,AD24,AD25)=0,"",N(AD22)+N(AD23)+N(AD24)+N(AD25))</f>
        <v>96540</v>
      </c>
      <c r="AE26" s="269">
        <f>IF(COUNT(AE22,AE23,AE24,AE25)=0,"",N(AE22)+N(AE23)+N(AE24)+N(AE25))</f>
        <v>102553</v>
      </c>
      <c r="AF26" s="269">
        <f>IF(COUNT(AF22,AF23,AF24,AF25)=0,"",N(AF22)+N(AF23)+N(AF24)+N(AF25))</f>
        <v>113896</v>
      </c>
      <c r="AG26" s="270">
        <f>IF(COUNT(AG22,AG23,AG24,AG25)=0,"",N(AG22)+N(AG23)+N(AG24)+N(AG25))</f>
        <v>402963</v>
      </c>
      <c r="AH26" s="270">
        <f>IF(COUNT(AH22,AH23,AH24,AH25)=0,"",N(AH22)+N(AH23)+N(AH24)+N(AH25))</f>
        <v>110076</v>
      </c>
      <c r="AI26" s="270">
        <f>IF(COUNT(AI22,AI23,AI24,AI25)=0,"",N(AI22)+N(AI23)+N(AI24)+N(AI25))</f>
        <v>119690</v>
      </c>
    </row>
    <row r="27">
      <c r="C27" s="268" t="inlineStr">
        <is>
          <t>Hedge / diferença vs Net Revenues (linha 15)</t>
        </is>
      </c>
      <c r="D27" s="269" t="str">
        <f>IF(COUNT(D26)=0,"",ROUND(D15-D26,1))</f>
        <v/>
      </c>
      <c r="E27" s="269" t="str">
        <f>IF(COUNT(E26)=0,"",ROUND(E15-E26,1))</f>
        <v/>
      </c>
      <c r="F27" s="269" t="str">
        <f>IF(COUNT(F26)=0,"",ROUND(F15-F26,1))</f>
        <v/>
      </c>
      <c r="G27" s="269" t="str">
        <f>IF(COUNT(G26)=0,"",ROUND(G15-G26,1))</f>
        <v/>
      </c>
      <c r="H27" s="270" t="str">
        <f>IF(COUNT(H26)=0,"",ROUND(H15-H26,1))</f>
        <v/>
      </c>
      <c r="I27" s="269">
        <f>IF(COUNT(I26)=0,"",ROUND(I15-I26,1))</f>
        <v>-109</v>
      </c>
      <c r="J27" s="269">
        <f>IF(COUNT(J26)=0,"",ROUND(J15-J26,1))</f>
        <v>-7</v>
      </c>
      <c r="K27" s="269">
        <f>IF(COUNT(K26)=0,"",ROUND(K15-K26,1))</f>
        <v>62</v>
      </c>
      <c r="L27" s="269">
        <f>IF(COUNT(L26)=0,"",ROUND(L15-L26,1))</f>
        <v>203</v>
      </c>
      <c r="M27" s="270">
        <f>IF(COUNT(M26)=0,"",ROUND(M15-M26,1))</f>
        <v>149</v>
      </c>
      <c r="N27" s="269">
        <f>IF(COUNT(N26)=0,"",ROUND(N15-N26,1))</f>
        <v>278</v>
      </c>
      <c r="O27" s="269">
        <f>IF(COUNT(O26)=0,"",ROUND(O15-O26,1))</f>
        <v>375</v>
      </c>
      <c r="P27" s="269">
        <f>IF(COUNT(P26)=0,"",ROUND(P15-P26,1))</f>
        <v>638</v>
      </c>
      <c r="Q27" s="269">
        <f>IF(COUNT(Q26)=0,"",ROUND(Q15-Q26,1))</f>
        <v>669</v>
      </c>
      <c r="R27" s="270">
        <f>IF(COUNT(R26)=0,"",ROUND(R15-R26,1))</f>
        <v>1960</v>
      </c>
      <c r="S27" s="269">
        <f>IF(COUNT(S26)=0,"",ROUND(S15-S26,1))</f>
        <v>84</v>
      </c>
      <c r="T27" s="269">
        <f>IF(COUNT(T26)=0,"",ROUND(T15-T26,1))</f>
        <v>3</v>
      </c>
      <c r="U27" s="269">
        <f>IF(COUNT(U26)=0,"",ROUND(U15-U26,1))</f>
        <v>-1</v>
      </c>
      <c r="V27" s="269">
        <f>IF(COUNT(V26)=0,"",ROUND(V15-V26,1))</f>
        <v>150</v>
      </c>
      <c r="W27" s="270">
        <f>IF(COUNT(W26)=0,"",ROUND(W15-W26,1))</f>
        <v>236</v>
      </c>
      <c r="X27" s="269">
        <f>IF(COUNT(X26)=0,"",ROUND(X15-X26,1))</f>
        <v>72</v>
      </c>
      <c r="Y27" s="269">
        <f>IF(COUNT(Y26)=0,"",ROUND(Y15-Y26,1))</f>
        <v>102</v>
      </c>
      <c r="Z27" s="269">
        <f>IF(COUNT(Z26)=0,"",ROUND(Z15-Z26,1))</f>
        <v>17</v>
      </c>
      <c r="AA27" s="269">
        <f>IF(COUNT(AA26)=0,"",ROUND(AA15-AA26,1))</f>
        <v>20</v>
      </c>
      <c r="AB27" s="270">
        <f>IF(COUNT(AB26)=0,"",ROUND(AB15-AB26,1))</f>
        <v>211</v>
      </c>
      <c r="AC27" s="269">
        <f>IF(COUNT(AC26)=0,"",ROUND(AC15-AC26,1))</f>
        <v>260</v>
      </c>
      <c r="AD27" s="269">
        <f>IF(COUNT(AD26)=0,"",ROUND(AD15-AD26,1))</f>
        <v>-112</v>
      </c>
      <c r="AE27" s="269">
        <f>IF(COUNT(AE26)=0,"",ROUND(AE15-AE26,1))</f>
        <v>-207</v>
      </c>
      <c r="AF27" s="269">
        <f>IF(COUNT(AF26)=0,"",ROUND(AF15-AF26,1))</f>
        <v>-67</v>
      </c>
      <c r="AG27" s="270">
        <f>IF(COUNT(AG26)=0,"",ROUND(AG15-AG26,1))</f>
        <v>-126</v>
      </c>
      <c r="AH27" s="270">
        <f>IF(COUNT(AH26)=0,"",ROUND(AH15-AH26,1))</f>
        <v>-180</v>
      </c>
      <c r="AI27" s="270">
        <f>IF(COUNT(AI26)=0,"",ROUND(AI15-AI26,1))</f>
        <v>106</v>
      </c>
    </row>
    <row r="28">
      <c r="C28" s="268" t="inlineStr">
        <is>
          <t xml:space="preserve">   % YoY Search</t>
        </is>
      </c>
      <c r="D28" s="272" t="str">
        <f>""</f>
        <v/>
      </c>
      <c r="E28" s="272" t="str">
        <f>""</f>
        <v/>
      </c>
      <c r="F28" s="272" t="str">
        <f>""</f>
        <v/>
      </c>
      <c r="G28" s="272" t="str">
        <f>""</f>
        <v/>
      </c>
      <c r="H28" s="273" t="str">
        <f>""</f>
        <v/>
      </c>
      <c r="I28" s="272" t="str">
        <f>IFERROR(I19/D19-1,"")</f>
        <v/>
      </c>
      <c r="J28" s="272" t="str">
        <f>IFERROR(J19/E19-1,"")</f>
        <v/>
      </c>
      <c r="K28" s="272" t="str">
        <f>IFERROR(K19/F19-1,"")</f>
        <v/>
      </c>
      <c r="L28" s="272" t="str">
        <f>IFERROR(L19/G19-1,"")</f>
        <v/>
      </c>
      <c r="M28" s="273" t="str">
        <f>IFERROR(M19/H19-1,"")</f>
        <v/>
      </c>
      <c r="N28" s="272">
        <f>IFERROR(N19/I19-1,"")</f>
        <v>0.242761692650334</v>
      </c>
      <c r="O28" s="272">
        <f>IFERROR(O19/J19-1,"")</f>
        <v>0.135137397126517</v>
      </c>
      <c r="P28" s="272">
        <f>IFERROR(P19/K19-1,"")</f>
        <v>0.042530190370722</v>
      </c>
      <c r="Q28" s="272">
        <f>IFERROR(Q19/L19-1,"")</f>
        <v>-0.0160966259439735</v>
      </c>
      <c r="R28" s="273">
        <f>IFERROR(R19/M19-1,"")</f>
        <v>0.0906271189854382</v>
      </c>
      <c r="S28" s="272">
        <f>IFERROR(S19/N19-1,"")</f>
        <v>0.0187036195668635</v>
      </c>
      <c r="T28" s="272">
        <f>IFERROR(T19/O19-1,"")</f>
        <v>0.0476541571432083</v>
      </c>
      <c r="U28" s="272">
        <f>IFERROR(U19/P19-1,"")</f>
        <v>0.113482890310832</v>
      </c>
      <c r="V28" s="272">
        <f>IFERROR(V19/Q19-1,"")</f>
        <v>0.127124213688856</v>
      </c>
      <c r="W28" s="273">
        <f>IFERROR(W19/R19-1,"")</f>
        <v>0.0774576792859341</v>
      </c>
      <c r="X28" s="272">
        <f>IFERROR(X19/S19-1,"")</f>
        <v>0.143635868083947</v>
      </c>
      <c r="Y28" s="272">
        <f>IFERROR(Y19/T19-1,"")</f>
        <v>0.137960964624191</v>
      </c>
      <c r="Z28" s="272">
        <f>IFERROR(Z19/U19-1,"")</f>
        <v>0.121723527006769</v>
      </c>
      <c r="AA28" s="272">
        <f>IFERROR(AA19/V19-1,"")</f>
        <v>0.125239483548522</v>
      </c>
      <c r="AB28" s="273">
        <f>IFERROR(AB19/W19-1,"")</f>
        <v>0.131695166054401</v>
      </c>
      <c r="AC28" s="272">
        <f>IFERROR(AC19/X19-1,"")</f>
        <v>0.0984920703700494</v>
      </c>
      <c r="AD28" s="272">
        <f>IFERROR(AD19/Y19-1,"")</f>
        <v>0.11711228844132</v>
      </c>
      <c r="AE28" s="272">
        <f>IFERROR(AE19/Z19-1,"")</f>
        <v>0.145428773919206</v>
      </c>
      <c r="AF28" s="272">
        <f>IFERROR(AF19/AA19-1,"")</f>
        <v>0.167283562201577</v>
      </c>
      <c r="AG28" s="273">
        <f>IFERROR(AG19/AB19-1,"")</f>
        <v>0.133519113103532</v>
      </c>
      <c r="AH28" s="273">
        <f>IFERROR(AH19/AC19-1,"")</f>
        <v>0.191254782848803</v>
      </c>
      <c r="AI28" s="273">
        <f>IFERROR(AI19/AD19-1,"")</f>
        <v>0.167577043735006</v>
      </c>
    </row>
    <row r="29">
      <c r="C29" s="268" t="inlineStr">
        <is>
          <t xml:space="preserve">   % YoY YouTube ads</t>
        </is>
      </c>
      <c r="D29" s="272" t="str">
        <f>""</f>
        <v/>
      </c>
      <c r="E29" s="272" t="str">
        <f>""</f>
        <v/>
      </c>
      <c r="F29" s="272" t="str">
        <f>""</f>
        <v/>
      </c>
      <c r="G29" s="272" t="str">
        <f>""</f>
        <v/>
      </c>
      <c r="H29" s="273" t="str">
        <f>""</f>
        <v/>
      </c>
      <c r="I29" s="272" t="str">
        <f>IFERROR(I20/D20-1,"")</f>
        <v/>
      </c>
      <c r="J29" s="272" t="str">
        <f>IFERROR(J20/E20-1,"")</f>
        <v/>
      </c>
      <c r="K29" s="272" t="str">
        <f>IFERROR(K20/F20-1,"")</f>
        <v/>
      </c>
      <c r="L29" s="272" t="str">
        <f>IFERROR(L20/G20-1,"")</f>
        <v/>
      </c>
      <c r="M29" s="273" t="str">
        <f>IFERROR(M20/H20-1,"")</f>
        <v/>
      </c>
      <c r="N29" s="272">
        <f>IFERROR(N20/I20-1,"")</f>
        <v>0.143880099916736</v>
      </c>
      <c r="O29" s="272">
        <f>IFERROR(O20/J20-1,"")</f>
        <v>0.048271922307912</v>
      </c>
      <c r="P29" s="272">
        <f>IFERROR(P20/K20-1,"")</f>
        <v>-0.0185981956974324</v>
      </c>
      <c r="Q29" s="272">
        <f>IFERROR(Q20/L20-1,"")</f>
        <v>-0.0776091740993861</v>
      </c>
      <c r="R29" s="273">
        <f>IFERROR(R20/M20-1,"")</f>
        <v>0.0137978852487433</v>
      </c>
      <c r="S29" s="272">
        <f>IFERROR(S20/N20-1,"")</f>
        <v>-0.0256223613335275</v>
      </c>
      <c r="T29" s="272">
        <f>IFERROR(T20/O20-1,"")</f>
        <v>0.0442779291553133</v>
      </c>
      <c r="U29" s="272">
        <f>IFERROR(U20/P20-1,"")</f>
        <v>0.124593409701598</v>
      </c>
      <c r="V29" s="272">
        <f>IFERROR(V20/Q20-1,"")</f>
        <v>0.155343463518774</v>
      </c>
      <c r="W29" s="273">
        <f>IFERROR(W20/R20-1,"")</f>
        <v>0.077522825975447</v>
      </c>
      <c r="X29" s="272">
        <f>IFERROR(X20/S20-1,"")</f>
        <v>0.208725534140146</v>
      </c>
      <c r="Y29" s="272">
        <f>IFERROR(Y20/T20-1,"")</f>
        <v>0.130202217873451</v>
      </c>
      <c r="Z29" s="272">
        <f>IFERROR(Z20/U20-1,"")</f>
        <v>0.121856136820925</v>
      </c>
      <c r="AA29" s="272">
        <f>IFERROR(AA20/V20-1,"")</f>
        <v>0.138369565217391</v>
      </c>
      <c r="AB29" s="273">
        <f>IFERROR(AB20/W20-1,"")</f>
        <v>0.147159631862901</v>
      </c>
      <c r="AC29" s="272">
        <f>IFERROR(AC20/X20-1,"")</f>
        <v>0.103461063040791</v>
      </c>
      <c r="AD29" s="272">
        <f>IFERROR(AD20/Y20-1,"")</f>
        <v>0.130786101812305</v>
      </c>
      <c r="AE29" s="272">
        <f>IFERROR(AE20/Z20-1,"")</f>
        <v>0.150207375854725</v>
      </c>
      <c r="AF29" s="272">
        <f>IFERROR(AF20/AA20-1,"")</f>
        <v>0.0868900983481333</v>
      </c>
      <c r="AG29" s="273">
        <f>IFERROR(AG20/AB20-1,"")</f>
        <v>0.116745511384071</v>
      </c>
      <c r="AH29" s="273">
        <f>IFERROR(AH20/AC20-1,"")</f>
        <v>0.107090847989246</v>
      </c>
      <c r="AI29" s="273">
        <f>IFERROR(AI20/AD20-1,"")</f>
        <v>0.128521845651286</v>
      </c>
    </row>
    <row r="30">
      <c r="C30" s="268" t="inlineStr">
        <is>
          <t xml:space="preserve">   % YoY Google Cloud</t>
        </is>
      </c>
      <c r="D30" s="272" t="str">
        <f>""</f>
        <v/>
      </c>
      <c r="E30" s="272" t="str">
        <f>""</f>
        <v/>
      </c>
      <c r="F30" s="272" t="str">
        <f>""</f>
        <v/>
      </c>
      <c r="G30" s="272" t="str">
        <f>""</f>
        <v/>
      </c>
      <c r="H30" s="273" t="str">
        <f>""</f>
        <v/>
      </c>
      <c r="I30" s="272" t="str">
        <f>IFERROR(I24/D24-1,"")</f>
        <v/>
      </c>
      <c r="J30" s="272" t="str">
        <f>IFERROR(J24/E24-1,"")</f>
        <v/>
      </c>
      <c r="K30" s="272" t="str">
        <f>IFERROR(K24/F24-1,"")</f>
        <v/>
      </c>
      <c r="L30" s="272" t="str">
        <f>IFERROR(L24/G24-1,"")</f>
        <v/>
      </c>
      <c r="M30" s="273" t="str">
        <f>IFERROR(M24/H24-1,"")</f>
        <v/>
      </c>
      <c r="N30" s="272">
        <f>IFERROR(N24/I24-1,"")</f>
        <v>0.438349394613294</v>
      </c>
      <c r="O30" s="272">
        <f>IFERROR(O24/J24-1,"")</f>
        <v>0.35609334485739</v>
      </c>
      <c r="P30" s="272">
        <f>IFERROR(P24/K24-1,"")</f>
        <v>0.376352705410822</v>
      </c>
      <c r="Q30" s="272">
        <f>IFERROR(Q24/L24-1,"")</f>
        <v>0.320158816098177</v>
      </c>
      <c r="R30" s="273">
        <f>IFERROR(R24/M24-1,"")</f>
        <v>0.368322399250234</v>
      </c>
      <c r="S30" s="272">
        <f>IFERROR(S24/N24-1,"")</f>
        <v>0.28053599037966</v>
      </c>
      <c r="T30" s="272">
        <f>IFERROR(T24/O24-1,"")</f>
        <v>0.279636711281071</v>
      </c>
      <c r="U30" s="272">
        <f>IFERROR(U24/P24-1,"")</f>
        <v>0.22466511357018</v>
      </c>
      <c r="V30" s="272">
        <f>IFERROR(V24/Q24-1,"")</f>
        <v>0.256596035543404</v>
      </c>
      <c r="W30" s="273">
        <f>IFERROR(W24/R24-1,"")</f>
        <v>0.259056316590563</v>
      </c>
      <c r="X30" s="272">
        <f>IFERROR(X24/S24-1,"")</f>
        <v>0.2844110544674</v>
      </c>
      <c r="Y30" s="272">
        <f>IFERROR(Y24/T24-1,"")</f>
        <v>0.288382517743743</v>
      </c>
      <c r="Z30" s="272">
        <f>IFERROR(Z24/U24-1,"")</f>
        <v>0.34978004993461</v>
      </c>
      <c r="AA30" s="272">
        <f>IFERROR(AA24/V24-1,"")</f>
        <v>0.300587467362924</v>
      </c>
      <c r="AB30" s="273">
        <f>IFERROR(AB24/W24-1,"")</f>
        <v>0.306485735009671</v>
      </c>
      <c r="AC30" s="272">
        <f>IFERROR(AC24/X24-1,"")</f>
        <v>0.280551493628577</v>
      </c>
      <c r="AD30" s="272">
        <f>IFERROR(AD24/Y24-1,"")</f>
        <v>0.316710157533585</v>
      </c>
      <c r="AE30" s="272">
        <f>IFERROR(AE24/Z24-1,"")</f>
        <v>0.335065621421651</v>
      </c>
      <c r="AF30" s="272">
        <f>IFERROR(AF24/AA24-1,"")</f>
        <v>0.477540777917189</v>
      </c>
      <c r="AG30" s="273">
        <f>IFERROR(AG24/AB24-1,"")</f>
        <v>0.358000416387148</v>
      </c>
      <c r="AH30" s="273">
        <f>IFERROR(AH24/AC24-1,"")</f>
        <v>0.633605220228385</v>
      </c>
      <c r="AI30" s="273">
        <f>IFERROR(AI24/AD24-1,"")</f>
        <v>0.817968291250734</v>
      </c>
    </row>
    <row r="31"/>
    <row r="32">
      <c r="C32" s="267" t="inlineStr">
        <is>
          <t>Segmentos - receita e lucro operacional (USD milhões)</t>
        </is>
      </c>
      <c r="D32" s="267">
        <f>D7</f>
        <v>0</v>
      </c>
      <c r="E32" s="267">
        <f>E7</f>
        <v>0</v>
      </c>
      <c r="F32" s="267">
        <f>F7</f>
        <v>0</v>
      </c>
      <c r="G32" s="267">
        <f>G7</f>
        <v>0</v>
      </c>
      <c r="H32" s="267">
        <f>H7</f>
        <v>2020</v>
      </c>
      <c r="I32" s="267" t="str">
        <f>I7</f>
        <v>1Q21</v>
      </c>
      <c r="J32" s="267" t="str">
        <f>J7</f>
        <v>2Q21</v>
      </c>
      <c r="K32" s="267" t="str">
        <f>K7</f>
        <v>3Q21</v>
      </c>
      <c r="L32" s="267" t="str">
        <f>L7</f>
        <v>4Q21</v>
      </c>
      <c r="M32" s="267">
        <f>M7</f>
        <v>2021</v>
      </c>
      <c r="N32" s="267" t="str">
        <f>N7</f>
        <v>1Q22</v>
      </c>
      <c r="O32" s="267" t="str">
        <f>O7</f>
        <v>2Q22</v>
      </c>
      <c r="P32" s="267" t="str">
        <f>P7</f>
        <v>3Q22</v>
      </c>
      <c r="Q32" s="267" t="str">
        <f>Q7</f>
        <v>4Q22</v>
      </c>
      <c r="R32" s="267">
        <f>R7</f>
        <v>2022</v>
      </c>
      <c r="S32" s="267" t="str">
        <f>S7</f>
        <v>1Q23</v>
      </c>
      <c r="T32" s="267" t="str">
        <f>T7</f>
        <v>2Q23</v>
      </c>
      <c r="U32" s="267" t="str">
        <f>U7</f>
        <v>3Q23</v>
      </c>
      <c r="V32" s="267" t="str">
        <f>V7</f>
        <v>4Q23</v>
      </c>
      <c r="W32" s="267">
        <f>W7</f>
        <v>2023</v>
      </c>
      <c r="X32" s="267" t="str">
        <f>X7</f>
        <v>1Q24</v>
      </c>
      <c r="Y32" s="267" t="str">
        <f>Y7</f>
        <v>2Q24</v>
      </c>
      <c r="Z32" s="267" t="str">
        <f>Z7</f>
        <v>3Q24</v>
      </c>
      <c r="AA32" s="267" t="str">
        <f>AA7</f>
        <v>4Q24</v>
      </c>
      <c r="AB32" s="267">
        <f>AB7</f>
        <v>2024</v>
      </c>
      <c r="AC32" s="267" t="str">
        <f>AC7</f>
        <v>1Q25</v>
      </c>
      <c r="AD32" s="267" t="str">
        <f>AD7</f>
        <v>2Q25</v>
      </c>
      <c r="AE32" s="267" t="str">
        <f>AE7</f>
        <v>3Q25</v>
      </c>
      <c r="AF32" s="267" t="str">
        <f>AF7</f>
        <v>4Q25</v>
      </c>
      <c r="AG32" s="267">
        <f>AG7</f>
        <v>2025</v>
      </c>
      <c r="AH32" s="267" t="str">
        <f>AH7</f>
        <v>1Q26</v>
      </c>
      <c r="AI32" s="267" t="str">
        <f>AI7</f>
        <v>2Q26</v>
      </c>
    </row>
    <row r="33">
      <c r="C33" s="268" t="inlineStr">
        <is>
          <t xml:space="preserve">   Receita Google Services</t>
        </is>
      </c>
      <c r="D33" s="269" t="str">
        <f>IFERROR(INDEX('Inputs (2)'!$D$57:$AL$57,MATCH(D$7&amp;"",'Inputs (2)'!$D$2:$AL$2,0)),"")</f>
        <v/>
      </c>
      <c r="E33" s="269" t="str">
        <f>IFERROR(INDEX('Inputs (2)'!$D$57:$AL$57,MATCH(E$7&amp;"",'Inputs (2)'!$D$2:$AL$2,0)),"")</f>
        <v/>
      </c>
      <c r="F33" s="269" t="str">
        <f>IFERROR(INDEX('Inputs (2)'!$D$57:$AL$57,MATCH(F$7&amp;"",'Inputs (2)'!$D$2:$AL$2,0)),"")</f>
        <v/>
      </c>
      <c r="G33" s="269" t="str">
        <f>IFERROR(INDEX('Inputs (2)'!$D$57:$AL$57,MATCH(G$7&amp;"",'Inputs (2)'!$D$2:$AL$2,0)),"")</f>
        <v/>
      </c>
      <c r="H33" s="270" t="str">
        <f>IF(COUNT(D33:G33)=4,SUM(D33:G33),"")</f>
        <v/>
      </c>
      <c r="I33" s="269">
        <f>IFERROR(INDEX('Inputs (2)'!$D$57:$AL$57,MATCH(I$7&amp;"",'Inputs (2)'!$D$2:$AL$2,0)),"")</f>
        <v>51178</v>
      </c>
      <c r="J33" s="269">
        <f>IFERROR(INDEX('Inputs (2)'!$D$57:$AL$57,MATCH(J$7&amp;"",'Inputs (2)'!$D$2:$AL$2,0)),"")</f>
        <v>57067</v>
      </c>
      <c r="K33" s="269">
        <f>IFERROR(INDEX('Inputs (2)'!$D$57:$AL$57,MATCH(K$7&amp;"",'Inputs (2)'!$D$2:$AL$2,0)),"")</f>
        <v>59884</v>
      </c>
      <c r="L33" s="269">
        <f>IFERROR(INDEX('Inputs (2)'!$D$57:$AL$57,MATCH(L$7&amp;"",'Inputs (2)'!$D$2:$AL$2,0)),"")</f>
        <v>69400</v>
      </c>
      <c r="M33" s="270">
        <f>IF(COUNT(I33:L33)=4,SUM(I33:L33),"")</f>
        <v>237529</v>
      </c>
      <c r="N33" s="269">
        <f>IFERROR(INDEX('Inputs (2)'!$D$57:$AL$57,MATCH(N$7&amp;"",'Inputs (2)'!$D$2:$AL$2,0)),"")</f>
        <v>61472</v>
      </c>
      <c r="O33" s="269">
        <f>IFERROR(INDEX('Inputs (2)'!$D$57:$AL$57,MATCH(O$7&amp;"",'Inputs (2)'!$D$2:$AL$2,0)),"")</f>
        <v>62841</v>
      </c>
      <c r="P33" s="269">
        <f>IFERROR(INDEX('Inputs (2)'!$D$57:$AL$57,MATCH(P$7&amp;"",'Inputs (2)'!$D$2:$AL$2,0)),"")</f>
        <v>61377</v>
      </c>
      <c r="Q33" s="269">
        <f>IFERROR(INDEX('Inputs (2)'!$D$57:$AL$57,MATCH(Q$7&amp;"",'Inputs (2)'!$D$2:$AL$2,0)),"")</f>
        <v>67838</v>
      </c>
      <c r="R33" s="270">
        <f>IF(COUNT(N33:Q33)=4,SUM(N33:Q33),"")</f>
        <v>253528</v>
      </c>
      <c r="S33" s="269">
        <f>IFERROR(INDEX('Inputs (2)'!$D$57:$AL$57,MATCH(S$7&amp;"",'Inputs (2)'!$D$2:$AL$2,0)),"")</f>
        <v>61961</v>
      </c>
      <c r="T33" s="269">
        <f>IFERROR(INDEX('Inputs (2)'!$D$57:$AL$57,MATCH(T$7&amp;"",'Inputs (2)'!$D$2:$AL$2,0)),"")</f>
        <v>66285</v>
      </c>
      <c r="U33" s="269">
        <f>IFERROR(INDEX('Inputs (2)'!$D$57:$AL$57,MATCH(U$7&amp;"",'Inputs (2)'!$D$2:$AL$2,0)),"")</f>
        <v>67986</v>
      </c>
      <c r="V33" s="269">
        <f>IFERROR(INDEX('Inputs (2)'!$D$57:$AL$57,MATCH(V$7&amp;"",'Inputs (2)'!$D$2:$AL$2,0)),"")</f>
        <v>76311</v>
      </c>
      <c r="W33" s="270">
        <f>IF(COUNT(S33:V33)=4,SUM(S33:V33),"")</f>
        <v>272543</v>
      </c>
      <c r="X33" s="269">
        <f>IFERROR(INDEX('Inputs (2)'!$D$57:$AL$57,MATCH(X$7&amp;"",'Inputs (2)'!$D$2:$AL$2,0)),"")</f>
        <v>70398</v>
      </c>
      <c r="Y33" s="269">
        <f>IFERROR(INDEX('Inputs (2)'!$D$57:$AL$57,MATCH(Y$7&amp;"",'Inputs (2)'!$D$2:$AL$2,0)),"")</f>
        <v>73928</v>
      </c>
      <c r="Z33" s="269">
        <f>IFERROR(INDEX('Inputs (2)'!$D$57:$AL$57,MATCH(Z$7&amp;"",'Inputs (2)'!$D$2:$AL$2,0)),"")</f>
        <v>76510</v>
      </c>
      <c r="AA33" s="269">
        <f>IFERROR(INDEX('Inputs (2)'!$D$57:$AL$57,MATCH(AA$7&amp;"",'Inputs (2)'!$D$2:$AL$2,0)),"")</f>
        <v>84094</v>
      </c>
      <c r="AB33" s="270">
        <f>IF(COUNT(X33:AA33)=4,SUM(X33:AA33),"")</f>
        <v>304930</v>
      </c>
      <c r="AC33" s="269">
        <f>IFERROR(INDEX('Inputs (2)'!$D$57:$AL$57,MATCH(AC$7&amp;"",'Inputs (2)'!$D$2:$AL$2,0)),"")</f>
        <v>77264</v>
      </c>
      <c r="AD33" s="269">
        <f>IFERROR(INDEX('Inputs (2)'!$D$57:$AL$57,MATCH(AD$7&amp;"",'Inputs (2)'!$D$2:$AL$2,0)),"")</f>
        <v>82543</v>
      </c>
      <c r="AE33" s="269">
        <f>IFERROR(INDEX('Inputs (2)'!$D$57:$AL$57,MATCH(AE$7&amp;"",'Inputs (2)'!$D$2:$AL$2,0)),"")</f>
        <v>87052</v>
      </c>
      <c r="AF33" s="269">
        <f>IFERROR(INDEX('Inputs (2)'!$D$57:$AL$57,MATCH(AF$7&amp;"",'Inputs (2)'!$D$2:$AL$2,0)),"")</f>
        <v>95862</v>
      </c>
      <c r="AG33" s="270">
        <f>IF(COUNT(AC33:AF33)=4,SUM(AC33:AF33),"")</f>
        <v>342721</v>
      </c>
      <c r="AH33" s="270">
        <f>IFERROR(INDEX('Inputs (2)'!$D$57:$AL$57,MATCH(AH$7&amp;"",'Inputs (2)'!$D$2:$AL$2,0)),"")</f>
        <v>89637</v>
      </c>
      <c r="AI33" s="270">
        <f>IFERROR(INDEX('Inputs (2)'!$D$57:$AL$57,MATCH(AI$7&amp;"",'Inputs (2)'!$D$2:$AL$2,0)),"")</f>
        <v>94540</v>
      </c>
    </row>
    <row r="34">
      <c r="C34" s="268" t="inlineStr">
        <is>
          <t xml:space="preserve">   Lucro operacional Google Services</t>
        </is>
      </c>
      <c r="D34" s="269" t="str">
        <f>IFERROR(INDEX('Inputs (2)'!$D$60:$AL$60,MATCH(D$7&amp;"",'Inputs (2)'!$D$2:$AL$2,0)),"")</f>
        <v/>
      </c>
      <c r="E34" s="269" t="str">
        <f>IFERROR(INDEX('Inputs (2)'!$D$60:$AL$60,MATCH(E$7&amp;"",'Inputs (2)'!$D$2:$AL$2,0)),"")</f>
        <v/>
      </c>
      <c r="F34" s="269" t="str">
        <f>IFERROR(INDEX('Inputs (2)'!$D$60:$AL$60,MATCH(F$7&amp;"",'Inputs (2)'!$D$2:$AL$2,0)),"")</f>
        <v/>
      </c>
      <c r="G34" s="269" t="str">
        <f>IFERROR(INDEX('Inputs (2)'!$D$60:$AL$60,MATCH(G$7&amp;"",'Inputs (2)'!$D$2:$AL$2,0)),"")</f>
        <v/>
      </c>
      <c r="H34" s="270" t="str">
        <f>IF(COUNT(D34:G34)=4,SUM(D34:G34),"")</f>
        <v/>
      </c>
      <c r="I34" s="269">
        <f>IFERROR(INDEX('Inputs (2)'!$D$60:$AL$60,MATCH(I$7&amp;"",'Inputs (2)'!$D$2:$AL$2,0)),"")</f>
        <v>19546</v>
      </c>
      <c r="J34" s="269">
        <f>IFERROR(INDEX('Inputs (2)'!$D$60:$AL$60,MATCH(J$7&amp;"",'Inputs (2)'!$D$2:$AL$2,0)),"")</f>
        <v>22343</v>
      </c>
      <c r="K34" s="269">
        <f>IFERROR(INDEX('Inputs (2)'!$D$60:$AL$60,MATCH(K$7&amp;"",'Inputs (2)'!$D$2:$AL$2,0)),"")</f>
        <v>23973</v>
      </c>
      <c r="L34" s="269">
        <f>IFERROR(INDEX('Inputs (2)'!$D$60:$AL$60,MATCH(L$7&amp;"",'Inputs (2)'!$D$2:$AL$2,0)),"")</f>
        <v>22270</v>
      </c>
      <c r="M34" s="270">
        <f>IF(COUNT(I34:L34)=4,SUM(I34:L34),"")</f>
        <v>88132</v>
      </c>
      <c r="N34" s="269">
        <f>IFERROR(INDEX('Inputs (2)'!$D$60:$AL$60,MATCH(N$7&amp;"",'Inputs (2)'!$D$2:$AL$2,0)),"")</f>
        <v>22920</v>
      </c>
      <c r="O34" s="269">
        <f>IFERROR(INDEX('Inputs (2)'!$D$60:$AL$60,MATCH(O$7&amp;"",'Inputs (2)'!$D$2:$AL$2,0)),"")</f>
        <v>22770</v>
      </c>
      <c r="P34" s="269">
        <f>IFERROR(INDEX('Inputs (2)'!$D$60:$AL$60,MATCH(P$7&amp;"",'Inputs (2)'!$D$2:$AL$2,0)),"")</f>
        <v>19781</v>
      </c>
      <c r="Q34" s="269">
        <f>IFERROR(INDEX('Inputs (2)'!$D$60:$AL$60,MATCH(Q$7&amp;"",'Inputs (2)'!$D$2:$AL$2,0)),"")</f>
        <v>17228</v>
      </c>
      <c r="R34" s="270">
        <f>IF(COUNT(N34:Q34)=4,SUM(N34:Q34),"")</f>
        <v>82699</v>
      </c>
      <c r="S34" s="269">
        <f>IFERROR(INDEX('Inputs (2)'!$D$60:$AL$60,MATCH(S$7&amp;"",'Inputs (2)'!$D$2:$AL$2,0)),"")</f>
        <v>21737</v>
      </c>
      <c r="T34" s="269">
        <f>IFERROR(INDEX('Inputs (2)'!$D$60:$AL$60,MATCH(T$7&amp;"",'Inputs (2)'!$D$2:$AL$2,0)),"")</f>
        <v>23454</v>
      </c>
      <c r="U34" s="269">
        <f>IFERROR(INDEX('Inputs (2)'!$D$60:$AL$60,MATCH(U$7&amp;"",'Inputs (2)'!$D$2:$AL$2,0)),"")</f>
        <v>23937</v>
      </c>
      <c r="V34" s="269">
        <f>IFERROR(INDEX('Inputs (2)'!$D$60:$AL$60,MATCH(V$7&amp;"",'Inputs (2)'!$D$2:$AL$2,0)),"")</f>
        <v>26730</v>
      </c>
      <c r="W34" s="270">
        <f>IF(COUNT(S34:V34)=4,SUM(S34:V34),"")</f>
        <v>95858</v>
      </c>
      <c r="X34" s="269">
        <f>IFERROR(INDEX('Inputs (2)'!$D$60:$AL$60,MATCH(X$7&amp;"",'Inputs (2)'!$D$2:$AL$2,0)),"")</f>
        <v>27897</v>
      </c>
      <c r="Y34" s="269">
        <f>IFERROR(INDEX('Inputs (2)'!$D$60:$AL$60,MATCH(Y$7&amp;"",'Inputs (2)'!$D$2:$AL$2,0)),"")</f>
        <v>29674</v>
      </c>
      <c r="Z34" s="269">
        <f>IFERROR(INDEX('Inputs (2)'!$D$60:$AL$60,MATCH(Z$7&amp;"",'Inputs (2)'!$D$2:$AL$2,0)),"")</f>
        <v>30856</v>
      </c>
      <c r="AA34" s="269">
        <f>IFERROR(INDEX('Inputs (2)'!$D$60:$AL$60,MATCH(AA$7&amp;"",'Inputs (2)'!$D$2:$AL$2,0)),"")</f>
        <v>32836</v>
      </c>
      <c r="AB34" s="270">
        <f>IF(COUNT(X34:AA34)=4,SUM(X34:AA34),"")</f>
        <v>121263</v>
      </c>
      <c r="AC34" s="269">
        <f>IFERROR(INDEX('Inputs (2)'!$D$60:$AL$60,MATCH(AC$7&amp;"",'Inputs (2)'!$D$2:$AL$2,0)),"")</f>
        <v>32682</v>
      </c>
      <c r="AD34" s="269">
        <f>IFERROR(INDEX('Inputs (2)'!$D$60:$AL$60,MATCH(AD$7&amp;"",'Inputs (2)'!$D$2:$AL$2,0)),"")</f>
        <v>33063</v>
      </c>
      <c r="AE34" s="269">
        <f>IFERROR(INDEX('Inputs (2)'!$D$60:$AL$60,MATCH(AE$7&amp;"",'Inputs (2)'!$D$2:$AL$2,0)),"")</f>
        <v>33527</v>
      </c>
      <c r="AF34" s="269">
        <f>IFERROR(INDEX('Inputs (2)'!$D$60:$AL$60,MATCH(AF$7&amp;"",'Inputs (2)'!$D$2:$AL$2,0)),"")</f>
        <v>40132</v>
      </c>
      <c r="AG34" s="270">
        <f>IF(COUNT(AC34:AF34)=4,SUM(AC34:AF34),"")</f>
        <v>139404</v>
      </c>
      <c r="AH34" s="270">
        <f>IFERROR(INDEX('Inputs (2)'!$D$60:$AL$60,MATCH(AH$7&amp;"",'Inputs (2)'!$D$2:$AL$2,0)),"")</f>
        <v>40589</v>
      </c>
      <c r="AI34" s="270">
        <f>IFERROR(INDEX('Inputs (2)'!$D$60:$AL$60,MATCH(AI$7&amp;"",'Inputs (2)'!$D$2:$AL$2,0)),"")</f>
        <v>39544</v>
      </c>
    </row>
    <row r="35">
      <c r="C35" s="268" t="inlineStr">
        <is>
          <t xml:space="preserve">   Lucro operacional Google Cloud</t>
        </is>
      </c>
      <c r="D35" s="269" t="str">
        <f>IFERROR(INDEX('Inputs (2)'!$D$61:$AL$61,MATCH(D$7&amp;"",'Inputs (2)'!$D$2:$AL$2,0)),"")</f>
        <v/>
      </c>
      <c r="E35" s="269" t="str">
        <f>IFERROR(INDEX('Inputs (2)'!$D$61:$AL$61,MATCH(E$7&amp;"",'Inputs (2)'!$D$2:$AL$2,0)),"")</f>
        <v/>
      </c>
      <c r="F35" s="269" t="str">
        <f>IFERROR(INDEX('Inputs (2)'!$D$61:$AL$61,MATCH(F$7&amp;"",'Inputs (2)'!$D$2:$AL$2,0)),"")</f>
        <v/>
      </c>
      <c r="G35" s="269" t="str">
        <f>IFERROR(INDEX('Inputs (2)'!$D$61:$AL$61,MATCH(G$7&amp;"",'Inputs (2)'!$D$2:$AL$2,0)),"")</f>
        <v/>
      </c>
      <c r="H35" s="270" t="str">
        <f>IF(COUNT(D35:G35)=4,SUM(D35:G35),"")</f>
        <v/>
      </c>
      <c r="I35" s="269">
        <f>IFERROR(INDEX('Inputs (2)'!$D$61:$AL$61,MATCH(I$7&amp;"",'Inputs (2)'!$D$2:$AL$2,0)),"")</f>
        <v>-974</v>
      </c>
      <c r="J35" s="269">
        <f>IFERROR(INDEX('Inputs (2)'!$D$61:$AL$61,MATCH(J$7&amp;"",'Inputs (2)'!$D$2:$AL$2,0)),"")</f>
        <v>-591</v>
      </c>
      <c r="K35" s="269">
        <f>IFERROR(INDEX('Inputs (2)'!$D$61:$AL$61,MATCH(K$7&amp;"",'Inputs (2)'!$D$2:$AL$2,0)),"")</f>
        <v>-644</v>
      </c>
      <c r="L35" s="269">
        <f>IFERROR(INDEX('Inputs (2)'!$D$61:$AL$61,MATCH(L$7&amp;"",'Inputs (2)'!$D$2:$AL$2,0)),"")</f>
        <v>-73</v>
      </c>
      <c r="M35" s="270">
        <f>IF(COUNT(I35:L35)=4,SUM(I35:L35),"")</f>
        <v>-2282</v>
      </c>
      <c r="N35" s="269">
        <f>IFERROR(INDEX('Inputs (2)'!$D$61:$AL$61,MATCH(N$7&amp;"",'Inputs (2)'!$D$2:$AL$2,0)),"")</f>
        <v>-931</v>
      </c>
      <c r="O35" s="269">
        <f>IFERROR(INDEX('Inputs (2)'!$D$61:$AL$61,MATCH(O$7&amp;"",'Inputs (2)'!$D$2:$AL$2,0)),"")</f>
        <v>-858</v>
      </c>
      <c r="P35" s="269">
        <f>IFERROR(INDEX('Inputs (2)'!$D$61:$AL$61,MATCH(P$7&amp;"",'Inputs (2)'!$D$2:$AL$2,0)),"")</f>
        <v>-699</v>
      </c>
      <c r="Q35" s="269">
        <f>IFERROR(INDEX('Inputs (2)'!$D$61:$AL$61,MATCH(Q$7&amp;"",'Inputs (2)'!$D$2:$AL$2,0)),"")</f>
        <v>566</v>
      </c>
      <c r="R35" s="270">
        <f>IF(COUNT(N35:Q35)=4,SUM(N35:Q35),"")</f>
        <v>-1922</v>
      </c>
      <c r="S35" s="269">
        <f>IFERROR(INDEX('Inputs (2)'!$D$61:$AL$61,MATCH(S$7&amp;"",'Inputs (2)'!$D$2:$AL$2,0)),"")</f>
        <v>191</v>
      </c>
      <c r="T35" s="269">
        <f>IFERROR(INDEX('Inputs (2)'!$D$61:$AL$61,MATCH(T$7&amp;"",'Inputs (2)'!$D$2:$AL$2,0)),"")</f>
        <v>395</v>
      </c>
      <c r="U35" s="269">
        <f>IFERROR(INDEX('Inputs (2)'!$D$61:$AL$61,MATCH(U$7&amp;"",'Inputs (2)'!$D$2:$AL$2,0)),"")</f>
        <v>266</v>
      </c>
      <c r="V35" s="269">
        <f>IFERROR(INDEX('Inputs (2)'!$D$61:$AL$61,MATCH(V$7&amp;"",'Inputs (2)'!$D$2:$AL$2,0)),"")</f>
        <v>864</v>
      </c>
      <c r="W35" s="270">
        <f>IF(COUNT(S35:V35)=4,SUM(S35:V35),"")</f>
        <v>1716</v>
      </c>
      <c r="X35" s="269">
        <f>IFERROR(INDEX('Inputs (2)'!$D$61:$AL$61,MATCH(X$7&amp;"",'Inputs (2)'!$D$2:$AL$2,0)),"")</f>
        <v>900</v>
      </c>
      <c r="Y35" s="269">
        <f>IFERROR(INDEX('Inputs (2)'!$D$61:$AL$61,MATCH(Y$7&amp;"",'Inputs (2)'!$D$2:$AL$2,0)),"")</f>
        <v>1172</v>
      </c>
      <c r="Z35" s="269">
        <f>IFERROR(INDEX('Inputs (2)'!$D$61:$AL$61,MATCH(Z$7&amp;"",'Inputs (2)'!$D$2:$AL$2,0)),"")</f>
        <v>1947</v>
      </c>
      <c r="AA35" s="269">
        <f>IFERROR(INDEX('Inputs (2)'!$D$61:$AL$61,MATCH(AA$7&amp;"",'Inputs (2)'!$D$2:$AL$2,0)),"")</f>
        <v>2093</v>
      </c>
      <c r="AB35" s="270">
        <f>IF(COUNT(X35:AA35)=4,SUM(X35:AA35),"")</f>
        <v>6112</v>
      </c>
      <c r="AC35" s="269">
        <f>IFERROR(INDEX('Inputs (2)'!$D$61:$AL$61,MATCH(AC$7&amp;"",'Inputs (2)'!$D$2:$AL$2,0)),"")</f>
        <v>2177</v>
      </c>
      <c r="AD35" s="269">
        <f>IFERROR(INDEX('Inputs (2)'!$D$61:$AL$61,MATCH(AD$7&amp;"",'Inputs (2)'!$D$2:$AL$2,0)),"")</f>
        <v>2826</v>
      </c>
      <c r="AE35" s="269">
        <f>IFERROR(INDEX('Inputs (2)'!$D$61:$AL$61,MATCH(AE$7&amp;"",'Inputs (2)'!$D$2:$AL$2,0)),"")</f>
        <v>3594</v>
      </c>
      <c r="AF35" s="269">
        <f>IFERROR(INDEX('Inputs (2)'!$D$61:$AL$61,MATCH(AF$7&amp;"",'Inputs (2)'!$D$2:$AL$2,0)),"")</f>
        <v>5313</v>
      </c>
      <c r="AG35" s="270">
        <f>IF(COUNT(AC35:AF35)=4,SUM(AC35:AF35),"")</f>
        <v>13910</v>
      </c>
      <c r="AH35" s="270">
        <f>IFERROR(INDEX('Inputs (2)'!$D$61:$AL$61,MATCH(AH$7&amp;"",'Inputs (2)'!$D$2:$AL$2,0)),"")</f>
        <v>6598</v>
      </c>
      <c r="AI35" s="270">
        <f>IFERROR(INDEX('Inputs (2)'!$D$61:$AL$61,MATCH(AI$7&amp;"",'Inputs (2)'!$D$2:$AL$2,0)),"")</f>
        <v>8814</v>
      </c>
    </row>
    <row r="36">
      <c r="C36" s="268" t="inlineStr">
        <is>
          <t xml:space="preserve">   Lucro operacional Other Bets</t>
        </is>
      </c>
      <c r="D36" s="269" t="str">
        <f>IFERROR(INDEX('Inputs (2)'!$D$62:$AL$62,MATCH(D$7&amp;"",'Inputs (2)'!$D$2:$AL$2,0)),"")</f>
        <v/>
      </c>
      <c r="E36" s="269" t="str">
        <f>IFERROR(INDEX('Inputs (2)'!$D$62:$AL$62,MATCH(E$7&amp;"",'Inputs (2)'!$D$2:$AL$2,0)),"")</f>
        <v/>
      </c>
      <c r="F36" s="269" t="str">
        <f>IFERROR(INDEX('Inputs (2)'!$D$62:$AL$62,MATCH(F$7&amp;"",'Inputs (2)'!$D$2:$AL$2,0)),"")</f>
        <v/>
      </c>
      <c r="G36" s="269" t="str">
        <f>IFERROR(INDEX('Inputs (2)'!$D$62:$AL$62,MATCH(G$7&amp;"",'Inputs (2)'!$D$2:$AL$2,0)),"")</f>
        <v/>
      </c>
      <c r="H36" s="270" t="str">
        <f>IF(COUNT(D36:G36)=4,SUM(D36:G36),"")</f>
        <v/>
      </c>
      <c r="I36" s="269">
        <f>IFERROR(INDEX('Inputs (2)'!$D$62:$AL$62,MATCH(I$7&amp;"",'Inputs (2)'!$D$2:$AL$2,0)),"")</f>
        <v>-1145</v>
      </c>
      <c r="J36" s="269">
        <f>IFERROR(INDEX('Inputs (2)'!$D$62:$AL$62,MATCH(J$7&amp;"",'Inputs (2)'!$D$2:$AL$2,0)),"")</f>
        <v>-1398</v>
      </c>
      <c r="K36" s="269">
        <f>IFERROR(INDEX('Inputs (2)'!$D$62:$AL$62,MATCH(K$7&amp;"",'Inputs (2)'!$D$2:$AL$2,0)),"")</f>
        <v>-1288</v>
      </c>
      <c r="L36" s="269">
        <f>IFERROR(INDEX('Inputs (2)'!$D$62:$AL$62,MATCH(L$7&amp;"",'Inputs (2)'!$D$2:$AL$2,0)),"")</f>
        <v>-220</v>
      </c>
      <c r="M36" s="270">
        <f>IF(COUNT(I36:L36)=4,SUM(I36:L36),"")</f>
        <v>-4051</v>
      </c>
      <c r="N36" s="269">
        <f>IFERROR(INDEX('Inputs (2)'!$D$62:$AL$62,MATCH(N$7&amp;"",'Inputs (2)'!$D$2:$AL$2,0)),"")</f>
        <v>-835</v>
      </c>
      <c r="O36" s="269">
        <f>IFERROR(INDEX('Inputs (2)'!$D$62:$AL$62,MATCH(O$7&amp;"",'Inputs (2)'!$D$2:$AL$2,0)),"")</f>
        <v>-1339</v>
      </c>
      <c r="P36" s="269">
        <f>IFERROR(INDEX('Inputs (2)'!$D$62:$AL$62,MATCH(P$7&amp;"",'Inputs (2)'!$D$2:$AL$2,0)),"")</f>
        <v>-1225</v>
      </c>
      <c r="Q36" s="269">
        <f>IFERROR(INDEX('Inputs (2)'!$D$62:$AL$62,MATCH(Q$7&amp;"",'Inputs (2)'!$D$2:$AL$2,0)),"")</f>
        <v>-1237</v>
      </c>
      <c r="R36" s="270">
        <f>IF(COUNT(N36:Q36)=4,SUM(N36:Q36),"")</f>
        <v>-4636</v>
      </c>
      <c r="S36" s="269">
        <f>IFERROR(INDEX('Inputs (2)'!$D$62:$AL$62,MATCH(S$7&amp;"",'Inputs (2)'!$D$2:$AL$2,0)),"")</f>
        <v>-1225</v>
      </c>
      <c r="T36" s="269">
        <f>IFERROR(INDEX('Inputs (2)'!$D$62:$AL$62,MATCH(T$7&amp;"",'Inputs (2)'!$D$2:$AL$2,0)),"")</f>
        <v>-813</v>
      </c>
      <c r="U36" s="269">
        <f>IFERROR(INDEX('Inputs (2)'!$D$62:$AL$62,MATCH(U$7&amp;"",'Inputs (2)'!$D$2:$AL$2,0)),"")</f>
        <v>-1194</v>
      </c>
      <c r="V36" s="269">
        <f>IFERROR(INDEX('Inputs (2)'!$D$62:$AL$62,MATCH(V$7&amp;"",'Inputs (2)'!$D$2:$AL$2,0)),"")</f>
        <v>-863</v>
      </c>
      <c r="W36" s="270">
        <f>IF(COUNT(S36:V36)=4,SUM(S36:V36),"")</f>
        <v>-4095</v>
      </c>
      <c r="X36" s="269">
        <f>IFERROR(INDEX('Inputs (2)'!$D$62:$AL$62,MATCH(X$7&amp;"",'Inputs (2)'!$D$2:$AL$2,0)),"")</f>
        <v>-1020</v>
      </c>
      <c r="Y36" s="269">
        <f>IFERROR(INDEX('Inputs (2)'!$D$62:$AL$62,MATCH(Y$7&amp;"",'Inputs (2)'!$D$2:$AL$2,0)),"")</f>
        <v>-1134</v>
      </c>
      <c r="Z36" s="269">
        <f>IFERROR(INDEX('Inputs (2)'!$D$62:$AL$62,MATCH(Z$7&amp;"",'Inputs (2)'!$D$2:$AL$2,0)),"")</f>
        <v>-1116</v>
      </c>
      <c r="AA36" s="269">
        <f>IFERROR(INDEX('Inputs (2)'!$D$62:$AL$62,MATCH(AA$7&amp;"",'Inputs (2)'!$D$2:$AL$2,0)),"")</f>
        <v>-1174</v>
      </c>
      <c r="AB36" s="270">
        <f>IF(COUNT(X36:AA36)=4,SUM(X36:AA36),"")</f>
        <v>-4444</v>
      </c>
      <c r="AC36" s="269">
        <f>IFERROR(INDEX('Inputs (2)'!$D$62:$AL$62,MATCH(AC$7&amp;"",'Inputs (2)'!$D$2:$AL$2,0)),"")</f>
        <v>-1226</v>
      </c>
      <c r="AD36" s="269">
        <f>IFERROR(INDEX('Inputs (2)'!$D$62:$AL$62,MATCH(AD$7&amp;"",'Inputs (2)'!$D$2:$AL$2,0)),"")</f>
        <v>-1246</v>
      </c>
      <c r="AE36" s="269">
        <f>IFERROR(INDEX('Inputs (2)'!$D$62:$AL$62,MATCH(AE$7&amp;"",'Inputs (2)'!$D$2:$AL$2,0)),"")</f>
        <v>-1426</v>
      </c>
      <c r="AF36" s="269">
        <f>IFERROR(INDEX('Inputs (2)'!$D$62:$AL$62,MATCH(AF$7&amp;"",'Inputs (2)'!$D$2:$AL$2,0)),"")</f>
        <v>-3617</v>
      </c>
      <c r="AG36" s="270">
        <f>IF(COUNT(AC36:AF36)=4,SUM(AC36:AF36),"")</f>
        <v>-7515</v>
      </c>
      <c r="AH36" s="270">
        <f>IFERROR(INDEX('Inputs (2)'!$D$62:$AL$62,MATCH(AH$7&amp;"",'Inputs (2)'!$D$2:$AL$2,0)),"")</f>
        <v>-2100</v>
      </c>
      <c r="AI36" s="270">
        <f>IFERROR(INDEX('Inputs (2)'!$D$62:$AL$62,MATCH(AI$7&amp;"",'Inputs (2)'!$D$2:$AL$2,0)),"")</f>
        <v>-1799</v>
      </c>
    </row>
    <row r="37">
      <c r="C37" s="268" t="inlineStr">
        <is>
          <t xml:space="preserve">   Alphabet-level activities</t>
        </is>
      </c>
      <c r="D37" s="269" t="str">
        <f>IFERROR(INDEX('Inputs (2)'!$D$63:$AL$63,MATCH(D$7&amp;"",'Inputs (2)'!$D$2:$AL$2,0)),"")</f>
        <v/>
      </c>
      <c r="E37" s="269" t="str">
        <f>IFERROR(INDEX('Inputs (2)'!$D$63:$AL$63,MATCH(E$7&amp;"",'Inputs (2)'!$D$2:$AL$2,0)),"")</f>
        <v/>
      </c>
      <c r="F37" s="269" t="str">
        <f>IFERROR(INDEX('Inputs (2)'!$D$63:$AL$63,MATCH(F$7&amp;"",'Inputs (2)'!$D$2:$AL$2,0)),"")</f>
        <v/>
      </c>
      <c r="G37" s="269" t="str">
        <f>IFERROR(INDEX('Inputs (2)'!$D$63:$AL$63,MATCH(G$7&amp;"",'Inputs (2)'!$D$2:$AL$2,0)),"")</f>
        <v/>
      </c>
      <c r="H37" s="270" t="str">
        <f>IF(COUNT(D37:G37)=4,SUM(D37:G37),"")</f>
        <v/>
      </c>
      <c r="I37" s="269">
        <f>IFERROR(INDEX('Inputs (2)'!$D$63:$AL$63,MATCH(I$7&amp;"",'Inputs (2)'!$D$2:$AL$2,0)),"")</f>
        <v>-990</v>
      </c>
      <c r="J37" s="269">
        <f>IFERROR(INDEX('Inputs (2)'!$D$63:$AL$63,MATCH(J$7&amp;"",'Inputs (2)'!$D$2:$AL$2,0)),"")</f>
        <v>-993</v>
      </c>
      <c r="K37" s="269">
        <f>IFERROR(INDEX('Inputs (2)'!$D$63:$AL$63,MATCH(K$7&amp;"",'Inputs (2)'!$D$2:$AL$2,0)),"")</f>
        <v>-1010</v>
      </c>
      <c r="L37" s="269">
        <f>IFERROR(INDEX('Inputs (2)'!$D$63:$AL$63,MATCH(L$7&amp;"",'Inputs (2)'!$D$2:$AL$2,0)),"")</f>
        <v>-92</v>
      </c>
      <c r="M37" s="270">
        <f>IF(COUNT(I37:L37)=4,SUM(I37:L37),"")</f>
        <v>-3085</v>
      </c>
      <c r="N37" s="269">
        <f>IFERROR(INDEX('Inputs (2)'!$D$63:$AL$63,MATCH(N$7&amp;"",'Inputs (2)'!$D$2:$AL$2,0)),"")</f>
        <v>-338</v>
      </c>
      <c r="O37" s="269">
        <f>IFERROR(INDEX('Inputs (2)'!$D$63:$AL$63,MATCH(O$7&amp;"",'Inputs (2)'!$D$2:$AL$2,0)),"")</f>
        <v>-239</v>
      </c>
      <c r="P37" s="269">
        <f>IFERROR(INDEX('Inputs (2)'!$D$63:$AL$63,MATCH(P$7&amp;"",'Inputs (2)'!$D$2:$AL$2,0)),"")</f>
        <v>-83</v>
      </c>
      <c r="Q37" s="269">
        <f>IFERROR(INDEX('Inputs (2)'!$D$63:$AL$63,MATCH(Q$7&amp;"",'Inputs (2)'!$D$2:$AL$2,0)),"")</f>
        <v>-639</v>
      </c>
      <c r="R37" s="270">
        <f>IF(COUNT(N37:Q37)=4,SUM(N37:Q37),"")</f>
        <v>-1299</v>
      </c>
      <c r="S37" s="269">
        <f>IFERROR(INDEX('Inputs (2)'!$D$63:$AL$63,MATCH(S$7&amp;"",'Inputs (2)'!$D$2:$AL$2,0)),"")</f>
        <v>-3288</v>
      </c>
      <c r="T37" s="269">
        <f>IFERROR(INDEX('Inputs (2)'!$D$63:$AL$63,MATCH(T$7&amp;"",'Inputs (2)'!$D$2:$AL$2,0)),"")</f>
        <v>-1198</v>
      </c>
      <c r="U37" s="269">
        <f>IFERROR(INDEX('Inputs (2)'!$D$63:$AL$63,MATCH(U$7&amp;"",'Inputs (2)'!$D$2:$AL$2,0)),"")</f>
        <v>-1666</v>
      </c>
      <c r="V37" s="269">
        <f>IFERROR(INDEX('Inputs (2)'!$D$63:$AL$63,MATCH(V$7&amp;"",'Inputs (2)'!$D$2:$AL$2,0)),"")</f>
        <v>-3034</v>
      </c>
      <c r="W37" s="270">
        <f>IF(COUNT(S37:V37)=4,SUM(S37:V37),"")</f>
        <v>-9186</v>
      </c>
      <c r="X37" s="269">
        <f>IFERROR(INDEX('Inputs (2)'!$D$63:$AL$63,MATCH(X$7&amp;"",'Inputs (2)'!$D$2:$AL$2,0)),"")</f>
        <v>-2305</v>
      </c>
      <c r="Y37" s="269">
        <f>IFERROR(INDEX('Inputs (2)'!$D$63:$AL$63,MATCH(Y$7&amp;"",'Inputs (2)'!$D$2:$AL$2,0)),"")</f>
        <v>-2287</v>
      </c>
      <c r="Z37" s="269">
        <f>IFERROR(INDEX('Inputs (2)'!$D$63:$AL$63,MATCH(Z$7&amp;"",'Inputs (2)'!$D$2:$AL$2,0)),"")</f>
        <v>-3166</v>
      </c>
      <c r="AA37" s="269">
        <f>IFERROR(INDEX('Inputs (2)'!$D$63:$AL$63,MATCH(AA$7&amp;"",'Inputs (2)'!$D$2:$AL$2,0)),"")</f>
        <v>-2783</v>
      </c>
      <c r="AB37" s="270">
        <f>IF(COUNT(X37:AA37)=4,SUM(X37:AA37),"")</f>
        <v>-10541</v>
      </c>
      <c r="AC37" s="269">
        <f>IFERROR(INDEX('Inputs (2)'!$D$63:$AL$63,MATCH(AC$7&amp;"",'Inputs (2)'!$D$2:$AL$2,0)),"")</f>
        <v>-3027</v>
      </c>
      <c r="AD37" s="269">
        <f>IFERROR(INDEX('Inputs (2)'!$D$63:$AL$63,MATCH(AD$7&amp;"",'Inputs (2)'!$D$2:$AL$2,0)),"")</f>
        <v>-3372</v>
      </c>
      <c r="AE37" s="269">
        <f>IFERROR(INDEX('Inputs (2)'!$D$63:$AL$63,MATCH(AE$7&amp;"",'Inputs (2)'!$D$2:$AL$2,0)),"")</f>
        <v>-4467</v>
      </c>
      <c r="AF37" s="269">
        <f>IFERROR(INDEX('Inputs (2)'!$D$63:$AL$63,MATCH(AF$7&amp;"",'Inputs (2)'!$D$2:$AL$2,0)),"")</f>
        <v>-5894</v>
      </c>
      <c r="AG37" s="270">
        <f>IF(COUNT(AC37:AF37)=4,SUM(AC37:AF37),"")</f>
        <v>-16760</v>
      </c>
      <c r="AH37" s="270">
        <f>IFERROR(INDEX('Inputs (2)'!$D$63:$AL$63,MATCH(AH$7&amp;"",'Inputs (2)'!$D$2:$AL$2,0)),"")</f>
        <v>-5391</v>
      </c>
      <c r="AI37" s="270">
        <f>IFERROR(INDEX('Inputs (2)'!$D$63:$AL$63,MATCH(AI$7&amp;"",'Inputs (2)'!$D$2:$AL$2,0)),"")</f>
        <v>-5789</v>
      </c>
    </row>
    <row r="38">
      <c r="C38" s="268" t="inlineStr">
        <is>
          <t xml:space="preserve">   Margem operacional Google Services</t>
        </is>
      </c>
      <c r="D38" s="272" t="str">
        <f>IFERROR(D34/D33,"")</f>
        <v/>
      </c>
      <c r="E38" s="272" t="str">
        <f>IFERROR(E34/E33,"")</f>
        <v/>
      </c>
      <c r="F38" s="272" t="str">
        <f>IFERROR(F34/F33,"")</f>
        <v/>
      </c>
      <c r="G38" s="272" t="str">
        <f>IFERROR(G34/G33,"")</f>
        <v/>
      </c>
      <c r="H38" s="273" t="str">
        <f>IFERROR(H34/H33,"")</f>
        <v/>
      </c>
      <c r="I38" s="272">
        <f>IFERROR(I34/I33,"")</f>
        <v>0.381921919574817</v>
      </c>
      <c r="J38" s="272">
        <f>IFERROR(J34/J33,"")</f>
        <v>0.391522245781275</v>
      </c>
      <c r="K38" s="272">
        <f>IFERROR(K34/K33,"")</f>
        <v>0.400323959655334</v>
      </c>
      <c r="L38" s="272">
        <f>IFERROR(L34/L33,"")</f>
        <v>0.320893371757925</v>
      </c>
      <c r="M38" s="273">
        <f>IFERROR(M34/M33,"")</f>
        <v>0.371036799717087</v>
      </c>
      <c r="N38" s="272">
        <f>IFERROR(N34/N33,"")</f>
        <v>0.372852680895367</v>
      </c>
      <c r="O38" s="272">
        <f>IFERROR(O34/O33,"")</f>
        <v>0.36234305628491</v>
      </c>
      <c r="P38" s="272">
        <f>IFERROR(P34/P33,"")</f>
        <v>0.32228685012301</v>
      </c>
      <c r="Q38" s="272">
        <f>IFERROR(Q34/Q33,"")</f>
        <v>0.253957958666234</v>
      </c>
      <c r="R38" s="273">
        <f>IFERROR(R34/R33,"")</f>
        <v>0.326192767662743</v>
      </c>
      <c r="S38" s="272">
        <f>IFERROR(S34/S33,"")</f>
        <v>0.350817449686093</v>
      </c>
      <c r="T38" s="272">
        <f>IFERROR(T34/T33,"")</f>
        <v>0.353835709436524</v>
      </c>
      <c r="U38" s="272">
        <f>IFERROR(U34/U33,"")</f>
        <v>0.352087194422381</v>
      </c>
      <c r="V38" s="272">
        <f>IFERROR(V34/V33,"")</f>
        <v>0.35027715532492</v>
      </c>
      <c r="W38" s="273">
        <f>IFERROR(W34/W33,"")</f>
        <v>0.351716976770638</v>
      </c>
      <c r="X38" s="272">
        <f>IFERROR(X34/X33,"")</f>
        <v>0.39627546237109</v>
      </c>
      <c r="Y38" s="272">
        <f>IFERROR(Y34/Y33,"")</f>
        <v>0.401390542149118</v>
      </c>
      <c r="Z38" s="272">
        <f>IFERROR(Z34/Z33,"")</f>
        <v>0.403293687099726</v>
      </c>
      <c r="AA38" s="272">
        <f>IFERROR(AA34/AA33,"")</f>
        <v>0.390467809831855</v>
      </c>
      <c r="AB38" s="273">
        <f>IFERROR(AB34/AB33,"")</f>
        <v>0.397674876201095</v>
      </c>
      <c r="AC38" s="272">
        <f>IFERROR(AC34/AC33,"")</f>
        <v>0.422991302547111</v>
      </c>
      <c r="AD38" s="272">
        <f>IFERROR(AD34/AD33,"")</f>
        <v>0.400554862314188</v>
      </c>
      <c r="AE38" s="272">
        <f>IFERROR(AE34/AE33,"")</f>
        <v>0.385137618894454</v>
      </c>
      <c r="AF38" s="272">
        <f>IFERROR(AF34/AF33,"")</f>
        <v>0.418643466649976</v>
      </c>
      <c r="AG38" s="273">
        <f>IFERROR(AG34/AG33,"")</f>
        <v>0.406756516233321</v>
      </c>
      <c r="AH38" s="273">
        <f>IFERROR(AH34/AH33,"")</f>
        <v>0.452815243705166</v>
      </c>
      <c r="AI38" s="273">
        <f>IFERROR(AI34/AI33,"")</f>
        <v>0.418277977575629</v>
      </c>
    </row>
    <row r="39">
      <c r="C39" s="268" t="inlineStr">
        <is>
          <t xml:space="preserve">   Margem operacional Google Cloud</t>
        </is>
      </c>
      <c r="D39" s="272" t="str">
        <f>IFERROR(D35/D24,"")</f>
        <v/>
      </c>
      <c r="E39" s="272" t="str">
        <f>IFERROR(E35/E24,"")</f>
        <v/>
      </c>
      <c r="F39" s="272" t="str">
        <f>IFERROR(F35/F24,"")</f>
        <v/>
      </c>
      <c r="G39" s="272" t="str">
        <f>IFERROR(G35/G24,"")</f>
        <v/>
      </c>
      <c r="H39" s="273" t="str">
        <f>IFERROR(H35/H24,"")</f>
        <v/>
      </c>
      <c r="I39" s="272">
        <f>IFERROR(I35/I24,"")</f>
        <v>-0.240672102792192</v>
      </c>
      <c r="J39" s="272">
        <f>IFERROR(J35/J24,"")</f>
        <v>-0.127700950734659</v>
      </c>
      <c r="K39" s="272">
        <f>IFERROR(K35/K24,"")</f>
        <v>-0.129058116232465</v>
      </c>
      <c r="L39" s="272">
        <f>IFERROR(L35/L24,"")</f>
        <v>-0.0131745172351561</v>
      </c>
      <c r="M39" s="273">
        <f>IFERROR(M35/M24,"")</f>
        <v>-0.11881703634281</v>
      </c>
      <c r="N39" s="272">
        <f>IFERROR(N35/N24,"")</f>
        <v>-0.159938154956193</v>
      </c>
      <c r="O39" s="272">
        <f>IFERROR(O35/O24,"")</f>
        <v>-0.136711281070746</v>
      </c>
      <c r="P39" s="272">
        <f>IFERROR(P35/P24,"")</f>
        <v>-0.101776354105999</v>
      </c>
      <c r="Q39" s="272">
        <f>IFERROR(Q35/Q24,"")</f>
        <v>0.0773752563226248</v>
      </c>
      <c r="R39" s="273">
        <f>IFERROR(R35/R24,"")</f>
        <v>-0.0731354642313546</v>
      </c>
      <c r="S39" s="272">
        <f>IFERROR(S35/S24,"")</f>
        <v>0.0256238261336195</v>
      </c>
      <c r="T39" s="272">
        <f>IFERROR(T35/T24,"")</f>
        <v>0.0491844104096626</v>
      </c>
      <c r="U39" s="272">
        <f>IFERROR(U35/U24,"")</f>
        <v>0.0316252526453454</v>
      </c>
      <c r="V39" s="272">
        <f>IFERROR(V35/V24,"")</f>
        <v>0.0939947780678851</v>
      </c>
      <c r="W39" s="273">
        <f>IFERROR(W35/W24,"")</f>
        <v>0.0518617021276596</v>
      </c>
      <c r="X39" s="272">
        <f>IFERROR(X35/X24,"")</f>
        <v>0.0940045957802382</v>
      </c>
      <c r="Y39" s="272">
        <f>IFERROR(Y35/Y24,"")</f>
        <v>0.11326954672852</v>
      </c>
      <c r="Z39" s="272">
        <f>IFERROR(Z35/Z24,"")</f>
        <v>0.171496520743416</v>
      </c>
      <c r="AA39" s="272">
        <f>IFERROR(AA35/AA24,"")</f>
        <v>0.175073191133417</v>
      </c>
      <c r="AB39" s="273">
        <f>IFERROR(AB35/AB24,"")</f>
        <v>0.141386569201231</v>
      </c>
      <c r="AC39" s="272">
        <f>IFERROR(AC35/AC24,"")</f>
        <v>0.177569331158238</v>
      </c>
      <c r="AD39" s="272">
        <f>IFERROR(AD35/AD24,"")</f>
        <v>0.207428068115091</v>
      </c>
      <c r="AE39" s="272">
        <f>IFERROR(AE35/AE24,"")</f>
        <v>0.237118163224913</v>
      </c>
      <c r="AF39" s="272">
        <f>IFERROR(AF35/AF24,"")</f>
        <v>0.30078125</v>
      </c>
      <c r="AG39" s="273">
        <f>IFERROR(AG35/AG24,"")</f>
        <v>0.236947449109957</v>
      </c>
      <c r="AH39" s="273">
        <f>IFERROR(AH35/AH24,"")</f>
        <v>0.32943878570002</v>
      </c>
      <c r="AI39" s="273">
        <f>IFERROR(AI35/AI24,"")</f>
        <v>0.355862403100775</v>
      </c>
    </row>
    <row r="40"/>
    <row r="41">
      <c r="C41" s="267" t="inlineStr">
        <is>
          <t>Receita por região (USD milhões)</t>
        </is>
      </c>
      <c r="D41" s="267">
        <f>D7</f>
        <v>0</v>
      </c>
      <c r="E41" s="267">
        <f>E7</f>
        <v>0</v>
      </c>
      <c r="F41" s="267">
        <f>F7</f>
        <v>0</v>
      </c>
      <c r="G41" s="267">
        <f>G7</f>
        <v>0</v>
      </c>
      <c r="H41" s="267">
        <f>H7</f>
        <v>2020</v>
      </c>
      <c r="I41" s="267" t="str">
        <f>I7</f>
        <v>1Q21</v>
      </c>
      <c r="J41" s="267" t="str">
        <f>J7</f>
        <v>2Q21</v>
      </c>
      <c r="K41" s="267" t="str">
        <f>K7</f>
        <v>3Q21</v>
      </c>
      <c r="L41" s="267" t="str">
        <f>L7</f>
        <v>4Q21</v>
      </c>
      <c r="M41" s="267">
        <f>M7</f>
        <v>2021</v>
      </c>
      <c r="N41" s="267" t="str">
        <f>N7</f>
        <v>1Q22</v>
      </c>
      <c r="O41" s="267" t="str">
        <f>O7</f>
        <v>2Q22</v>
      </c>
      <c r="P41" s="267" t="str">
        <f>P7</f>
        <v>3Q22</v>
      </c>
      <c r="Q41" s="267" t="str">
        <f>Q7</f>
        <v>4Q22</v>
      </c>
      <c r="R41" s="267">
        <f>R7</f>
        <v>2022</v>
      </c>
      <c r="S41" s="267" t="str">
        <f>S7</f>
        <v>1Q23</v>
      </c>
      <c r="T41" s="267" t="str">
        <f>T7</f>
        <v>2Q23</v>
      </c>
      <c r="U41" s="267" t="str">
        <f>U7</f>
        <v>3Q23</v>
      </c>
      <c r="V41" s="267" t="str">
        <f>V7</f>
        <v>4Q23</v>
      </c>
      <c r="W41" s="267">
        <f>W7</f>
        <v>2023</v>
      </c>
      <c r="X41" s="267" t="str">
        <f>X7</f>
        <v>1Q24</v>
      </c>
      <c r="Y41" s="267" t="str">
        <f>Y7</f>
        <v>2Q24</v>
      </c>
      <c r="Z41" s="267" t="str">
        <f>Z7</f>
        <v>3Q24</v>
      </c>
      <c r="AA41" s="267" t="str">
        <f>AA7</f>
        <v>4Q24</v>
      </c>
      <c r="AB41" s="267">
        <f>AB7</f>
        <v>2024</v>
      </c>
      <c r="AC41" s="267" t="str">
        <f>AC7</f>
        <v>1Q25</v>
      </c>
      <c r="AD41" s="267" t="str">
        <f>AD7</f>
        <v>2Q25</v>
      </c>
      <c r="AE41" s="267" t="str">
        <f>AE7</f>
        <v>3Q25</v>
      </c>
      <c r="AF41" s="267" t="str">
        <f>AF7</f>
        <v>4Q25</v>
      </c>
      <c r="AG41" s="267">
        <f>AG7</f>
        <v>2025</v>
      </c>
      <c r="AH41" s="267" t="str">
        <f>AH7</f>
        <v>1Q26</v>
      </c>
      <c r="AI41" s="267" t="str">
        <f>AI7</f>
        <v>2Q26</v>
      </c>
    </row>
    <row r="42">
      <c r="C42" s="268" t="inlineStr">
        <is>
          <t xml:space="preserve">   Estados Unidos</t>
        </is>
      </c>
      <c r="D42" s="269" t="str">
        <f>IFERROR(INDEX('Inputs (2)'!$D$64:$AL$64,MATCH(D$7&amp;"",'Inputs (2)'!$D$2:$AL$2,0)),"")</f>
        <v/>
      </c>
      <c r="E42" s="269" t="str">
        <f>IFERROR(INDEX('Inputs (2)'!$D$64:$AL$64,MATCH(E$7&amp;"",'Inputs (2)'!$D$2:$AL$2,0)),"")</f>
        <v/>
      </c>
      <c r="F42" s="269" t="str">
        <f>IFERROR(INDEX('Inputs (2)'!$D$64:$AL$64,MATCH(F$7&amp;"",'Inputs (2)'!$D$2:$AL$2,0)),"")</f>
        <v/>
      </c>
      <c r="G42" s="269" t="str">
        <f>IFERROR(INDEX('Inputs (2)'!$D$64:$AL$64,MATCH(G$7&amp;"",'Inputs (2)'!$D$2:$AL$2,0)),"")</f>
        <v/>
      </c>
      <c r="H42" s="270" t="str">
        <f>IF(COUNT(D42:G42)=4,SUM(D42:G42),"")</f>
        <v/>
      </c>
      <c r="I42" s="269">
        <f>IFERROR(INDEX('Inputs (2)'!$D$64:$AL$64,MATCH(I$7&amp;"",'Inputs (2)'!$D$2:$AL$2,0)),"")</f>
        <v>25032</v>
      </c>
      <c r="J42" s="269">
        <f>IFERROR(INDEX('Inputs (2)'!$D$64:$AL$64,MATCH(J$7&amp;"",'Inputs (2)'!$D$2:$AL$2,0)),"")</f>
        <v>28208</v>
      </c>
      <c r="K42" s="269">
        <f>IFERROR(INDEX('Inputs (2)'!$D$64:$AL$64,MATCH(K$7&amp;"",'Inputs (2)'!$D$2:$AL$2,0)),"")</f>
        <v>29824</v>
      </c>
      <c r="L42" s="269">
        <f>IFERROR(INDEX('Inputs (2)'!$D$64:$AL$64,MATCH(L$7&amp;"",'Inputs (2)'!$D$2:$AL$2,0)),"")</f>
        <v>34790</v>
      </c>
      <c r="M42" s="270">
        <f>IF(COUNT(I42:L42)=4,SUM(I42:L42),"")</f>
        <v>117854</v>
      </c>
      <c r="N42" s="269">
        <f>IFERROR(INDEX('Inputs (2)'!$D$64:$AL$64,MATCH(N$7&amp;"",'Inputs (2)'!$D$2:$AL$2,0)),"")</f>
        <v>31733</v>
      </c>
      <c r="O42" s="269">
        <f>IFERROR(INDEX('Inputs (2)'!$D$64:$AL$64,MATCH(O$7&amp;"",'Inputs (2)'!$D$2:$AL$2,0)),"")</f>
        <v>32727</v>
      </c>
      <c r="P42" s="269">
        <f>IFERROR(INDEX('Inputs (2)'!$D$64:$AL$64,MATCH(P$7&amp;"",'Inputs (2)'!$D$2:$AL$2,0)),"")</f>
        <v>33372</v>
      </c>
      <c r="Q42" s="269">
        <f>IFERROR(INDEX('Inputs (2)'!$D$64:$AL$64,MATCH(Q$7&amp;"",'Inputs (2)'!$D$2:$AL$2,0)),"")</f>
        <v>36982</v>
      </c>
      <c r="R42" s="270">
        <f>IF(COUNT(N42:Q42)=4,SUM(N42:Q42),"")</f>
        <v>134814</v>
      </c>
      <c r="S42" s="269">
        <f>IFERROR(INDEX('Inputs (2)'!$D$64:$AL$64,MATCH(S$7&amp;"",'Inputs (2)'!$D$2:$AL$2,0)),"")</f>
        <v>32864</v>
      </c>
      <c r="T42" s="269">
        <f>IFERROR(INDEX('Inputs (2)'!$D$64:$AL$64,MATCH(T$7&amp;"",'Inputs (2)'!$D$2:$AL$2,0)),"")</f>
        <v>35073</v>
      </c>
      <c r="U42" s="269">
        <f>IFERROR(INDEX('Inputs (2)'!$D$64:$AL$64,MATCH(U$7&amp;"",'Inputs (2)'!$D$2:$AL$2,0)),"")</f>
        <v>36354</v>
      </c>
      <c r="V42" s="269">
        <f>IFERROR(INDEX('Inputs (2)'!$D$64:$AL$64,MATCH(V$7&amp;"",'Inputs (2)'!$D$2:$AL$2,0)),"")</f>
        <v>41995</v>
      </c>
      <c r="W42" s="270">
        <f>IF(COUNT(S42:V42)=4,SUM(S42:V42),"")</f>
        <v>146286</v>
      </c>
      <c r="X42" s="269">
        <f>IFERROR(INDEX('Inputs (2)'!$D$64:$AL$64,MATCH(X$7&amp;"",'Inputs (2)'!$D$2:$AL$2,0)),"")</f>
        <v>38737</v>
      </c>
      <c r="Y42" s="269">
        <f>IFERROR(INDEX('Inputs (2)'!$D$64:$AL$64,MATCH(Y$7&amp;"",'Inputs (2)'!$D$2:$AL$2,0)),"")</f>
        <v>41196</v>
      </c>
      <c r="Z42" s="269">
        <f>IFERROR(INDEX('Inputs (2)'!$D$64:$AL$64,MATCH(Z$7&amp;"",'Inputs (2)'!$D$2:$AL$2,0)),"")</f>
        <v>43139</v>
      </c>
      <c r="AA42" s="269">
        <f>IFERROR(INDEX('Inputs (2)'!$D$64:$AL$64,MATCH(AA$7&amp;"",'Inputs (2)'!$D$2:$AL$2,0)),"")</f>
        <v>47375</v>
      </c>
      <c r="AB42" s="270">
        <f>IF(COUNT(X42:AA42)=4,SUM(X42:AA42),"")</f>
        <v>170447</v>
      </c>
      <c r="AC42" s="269">
        <f>IFERROR(INDEX('Inputs (2)'!$D$64:$AL$64,MATCH(AC$7&amp;"",'Inputs (2)'!$D$2:$AL$2,0)),"")</f>
        <v>43964</v>
      </c>
      <c r="AD42" s="269">
        <f>IFERROR(INDEX('Inputs (2)'!$D$64:$AL$64,MATCH(AD$7&amp;"",'Inputs (2)'!$D$2:$AL$2,0)),"")</f>
        <v>46063</v>
      </c>
      <c r="AE42" s="269">
        <f>IFERROR(INDEX('Inputs (2)'!$D$64:$AL$64,MATCH(AE$7&amp;"",'Inputs (2)'!$D$2:$AL$2,0)),"")</f>
        <v>48758</v>
      </c>
      <c r="AF42" s="269">
        <f>IFERROR(INDEX('Inputs (2)'!$D$64:$AL$64,MATCH(AF$7&amp;"",'Inputs (2)'!$D$2:$AL$2,0)),"")</f>
        <v>55444</v>
      </c>
      <c r="AG42" s="270">
        <f>IF(COUNT(AC42:AF42)=4,SUM(AC42:AF42),"")</f>
        <v>194229</v>
      </c>
      <c r="AH42" s="270">
        <f>IFERROR(INDEX('Inputs (2)'!$D$64:$AL$64,MATCH(AH$7&amp;"",'Inputs (2)'!$D$2:$AL$2,0)),"")</f>
        <v>53975</v>
      </c>
      <c r="AI42" s="270">
        <f>IFERROR(INDEX('Inputs (2)'!$D$64:$AL$64,MATCH(AI$7&amp;"",'Inputs (2)'!$D$2:$AL$2,0)),"")</f>
        <v>60846</v>
      </c>
    </row>
    <row r="43">
      <c r="C43" s="268" t="inlineStr">
        <is>
          <t xml:space="preserve">   EMEA</t>
        </is>
      </c>
      <c r="D43" s="269" t="str">
        <f>IFERROR(INDEX('Inputs (2)'!$D$65:$AL$65,MATCH(D$7&amp;"",'Inputs (2)'!$D$2:$AL$2,0)),"")</f>
        <v/>
      </c>
      <c r="E43" s="269" t="str">
        <f>IFERROR(INDEX('Inputs (2)'!$D$65:$AL$65,MATCH(E$7&amp;"",'Inputs (2)'!$D$2:$AL$2,0)),"")</f>
        <v/>
      </c>
      <c r="F43" s="269" t="str">
        <f>IFERROR(INDEX('Inputs (2)'!$D$65:$AL$65,MATCH(F$7&amp;"",'Inputs (2)'!$D$2:$AL$2,0)),"")</f>
        <v/>
      </c>
      <c r="G43" s="269" t="str">
        <f>IFERROR(INDEX('Inputs (2)'!$D$65:$AL$65,MATCH(G$7&amp;"",'Inputs (2)'!$D$2:$AL$2,0)),"")</f>
        <v/>
      </c>
      <c r="H43" s="270" t="str">
        <f>IF(COUNT(D43:G43)=4,SUM(D43:G43),"")</f>
        <v/>
      </c>
      <c r="I43" s="269">
        <f>IFERROR(INDEX('Inputs (2)'!$D$65:$AL$65,MATCH(I$7&amp;"",'Inputs (2)'!$D$2:$AL$2,0)),"")</f>
        <v>17031</v>
      </c>
      <c r="J43" s="269">
        <f>IFERROR(INDEX('Inputs (2)'!$D$65:$AL$65,MATCH(J$7&amp;"",'Inputs (2)'!$D$2:$AL$2,0)),"")</f>
        <v>19084</v>
      </c>
      <c r="K43" s="269">
        <f>IFERROR(INDEX('Inputs (2)'!$D$65:$AL$65,MATCH(K$7&amp;"",'Inputs (2)'!$D$2:$AL$2,0)),"")</f>
        <v>19839</v>
      </c>
      <c r="L43" s="269">
        <f>IFERROR(INDEX('Inputs (2)'!$D$65:$AL$65,MATCH(L$7&amp;"",'Inputs (2)'!$D$2:$AL$2,0)),"")</f>
        <v>23153</v>
      </c>
      <c r="M43" s="270">
        <f>IF(COUNT(I43:L43)=4,SUM(I43:L43),"")</f>
        <v>79107</v>
      </c>
      <c r="N43" s="269">
        <f>IFERROR(INDEX('Inputs (2)'!$D$65:$AL$65,MATCH(N$7&amp;"",'Inputs (2)'!$D$2:$AL$2,0)),"")</f>
        <v>20317</v>
      </c>
      <c r="O43" s="269">
        <f>IFERROR(INDEX('Inputs (2)'!$D$65:$AL$65,MATCH(O$7&amp;"",'Inputs (2)'!$D$2:$AL$2,0)),"")</f>
        <v>20533</v>
      </c>
      <c r="P43" s="269">
        <f>IFERROR(INDEX('Inputs (2)'!$D$65:$AL$65,MATCH(P$7&amp;"",'Inputs (2)'!$D$2:$AL$2,0)),"")</f>
        <v>19450</v>
      </c>
      <c r="Q43" s="269">
        <f>IFERROR(INDEX('Inputs (2)'!$D$65:$AL$65,MATCH(Q$7&amp;"",'Inputs (2)'!$D$2:$AL$2,0)),"")</f>
        <v>21762</v>
      </c>
      <c r="R43" s="270">
        <f>IF(COUNT(N43:Q43)=4,SUM(N43:Q43),"")</f>
        <v>82062</v>
      </c>
      <c r="S43" s="269">
        <f>IFERROR(INDEX('Inputs (2)'!$D$65:$AL$65,MATCH(S$7&amp;"",'Inputs (2)'!$D$2:$AL$2,0)),"")</f>
        <v>21078</v>
      </c>
      <c r="T43" s="269">
        <f>IFERROR(INDEX('Inputs (2)'!$D$65:$AL$65,MATCH(T$7&amp;"",'Inputs (2)'!$D$2:$AL$2,0)),"")</f>
        <v>22289</v>
      </c>
      <c r="U43" s="269">
        <f>IFERROR(INDEX('Inputs (2)'!$D$65:$AL$65,MATCH(U$7&amp;"",'Inputs (2)'!$D$2:$AL$2,0)),"")</f>
        <v>22661</v>
      </c>
      <c r="V43" s="269">
        <f>IFERROR(INDEX('Inputs (2)'!$D$65:$AL$65,MATCH(V$7&amp;"",'Inputs (2)'!$D$2:$AL$2,0)),"")</f>
        <v>25010</v>
      </c>
      <c r="W43" s="270">
        <f>IF(COUNT(S43:V43)=4,SUM(S43:V43),"")</f>
        <v>91038</v>
      </c>
      <c r="X43" s="269">
        <f>IFERROR(INDEX('Inputs (2)'!$D$65:$AL$65,MATCH(X$7&amp;"",'Inputs (2)'!$D$2:$AL$2,0)),"")</f>
        <v>23788</v>
      </c>
      <c r="Y43" s="269">
        <f>IFERROR(INDEX('Inputs (2)'!$D$65:$AL$65,MATCH(Y$7&amp;"",'Inputs (2)'!$D$2:$AL$2,0)),"")</f>
        <v>24683</v>
      </c>
      <c r="Z43" s="269">
        <f>IFERROR(INDEX('Inputs (2)'!$D$65:$AL$65,MATCH(Z$7&amp;"",'Inputs (2)'!$D$2:$AL$2,0)),"")</f>
        <v>25472</v>
      </c>
      <c r="AA43" s="269">
        <f>IFERROR(INDEX('Inputs (2)'!$D$65:$AL$65,MATCH(AA$7&amp;"",'Inputs (2)'!$D$2:$AL$2,0)),"")</f>
        <v>28184</v>
      </c>
      <c r="AB43" s="270">
        <f>IF(COUNT(X43:AA43)=4,SUM(X43:AA43),"")</f>
        <v>102127</v>
      </c>
      <c r="AC43" s="269">
        <f>IFERROR(INDEX('Inputs (2)'!$D$65:$AL$65,MATCH(AC$7&amp;"",'Inputs (2)'!$D$2:$AL$2,0)),"")</f>
        <v>25923</v>
      </c>
      <c r="AD43" s="269">
        <f>IFERROR(INDEX('Inputs (2)'!$D$65:$AL$65,MATCH(AD$7&amp;"",'Inputs (2)'!$D$2:$AL$2,0)),"")</f>
        <v>28262</v>
      </c>
      <c r="AE43" s="269">
        <f>IFERROR(INDEX('Inputs (2)'!$D$65:$AL$65,MATCH(AE$7&amp;"",'Inputs (2)'!$D$2:$AL$2,0)),"")</f>
        <v>29911</v>
      </c>
      <c r="AF43" s="269">
        <f>IFERROR(INDEX('Inputs (2)'!$D$65:$AL$65,MATCH(AF$7&amp;"",'Inputs (2)'!$D$2:$AL$2,0)),"")</f>
        <v>33056</v>
      </c>
      <c r="AG43" s="270">
        <f>IF(COUNT(AC43:AF43)=4,SUM(AC43:AF43),"")</f>
        <v>117152</v>
      </c>
      <c r="AH43" s="270">
        <f>IFERROR(INDEX('Inputs (2)'!$D$65:$AL$65,MATCH(AH$7&amp;"",'Inputs (2)'!$D$2:$AL$2,0)),"")</f>
        <v>31468</v>
      </c>
      <c r="AI43" s="270">
        <f>IFERROR(INDEX('Inputs (2)'!$D$65:$AL$65,MATCH(AI$7&amp;"",'Inputs (2)'!$D$2:$AL$2,0)),"")</f>
        <v>32501</v>
      </c>
    </row>
    <row r="44">
      <c r="C44" s="268" t="inlineStr">
        <is>
          <t xml:space="preserve">   APAC</t>
        </is>
      </c>
      <c r="D44" s="269" t="str">
        <f>IFERROR(INDEX('Inputs (2)'!$D$66:$AL$66,MATCH(D$7&amp;"",'Inputs (2)'!$D$2:$AL$2,0)),"")</f>
        <v/>
      </c>
      <c r="E44" s="269" t="str">
        <f>IFERROR(INDEX('Inputs (2)'!$D$66:$AL$66,MATCH(E$7&amp;"",'Inputs (2)'!$D$2:$AL$2,0)),"")</f>
        <v/>
      </c>
      <c r="F44" s="269" t="str">
        <f>IFERROR(INDEX('Inputs (2)'!$D$66:$AL$66,MATCH(F$7&amp;"",'Inputs (2)'!$D$2:$AL$2,0)),"")</f>
        <v/>
      </c>
      <c r="G44" s="269" t="str">
        <f>IFERROR(INDEX('Inputs (2)'!$D$66:$AL$66,MATCH(G$7&amp;"",'Inputs (2)'!$D$2:$AL$2,0)),"")</f>
        <v/>
      </c>
      <c r="H44" s="270" t="str">
        <f>IF(COUNT(D44:G44)=4,SUM(D44:G44),"")</f>
        <v/>
      </c>
      <c r="I44" s="269">
        <f>IFERROR(INDEX('Inputs (2)'!$D$66:$AL$66,MATCH(I$7&amp;"",'Inputs (2)'!$D$2:$AL$2,0)),"")</f>
        <v>10455</v>
      </c>
      <c r="J44" s="269">
        <f>IFERROR(INDEX('Inputs (2)'!$D$66:$AL$66,MATCH(J$7&amp;"",'Inputs (2)'!$D$2:$AL$2,0)),"")</f>
        <v>11231</v>
      </c>
      <c r="K44" s="269">
        <f>IFERROR(INDEX('Inputs (2)'!$D$66:$AL$66,MATCH(K$7&amp;"",'Inputs (2)'!$D$2:$AL$2,0)),"")</f>
        <v>11705</v>
      </c>
      <c r="L44" s="269">
        <f>IFERROR(INDEX('Inputs (2)'!$D$66:$AL$66,MATCH(L$7&amp;"",'Inputs (2)'!$D$2:$AL$2,0)),"")</f>
        <v>12732</v>
      </c>
      <c r="M44" s="270">
        <f>IF(COUNT(I44:L44)=4,SUM(I44:L44),"")</f>
        <v>46123</v>
      </c>
      <c r="N44" s="269">
        <f>IFERROR(INDEX('Inputs (2)'!$D$66:$AL$66,MATCH(N$7&amp;"",'Inputs (2)'!$D$2:$AL$2,0)),"")</f>
        <v>11841</v>
      </c>
      <c r="O44" s="269">
        <f>IFERROR(INDEX('Inputs (2)'!$D$66:$AL$66,MATCH(O$7&amp;"",'Inputs (2)'!$D$2:$AL$2,0)),"")</f>
        <v>11710</v>
      </c>
      <c r="P44" s="269">
        <f>IFERROR(INDEX('Inputs (2)'!$D$66:$AL$66,MATCH(P$7&amp;"",'Inputs (2)'!$D$2:$AL$2,0)),"")</f>
        <v>11494</v>
      </c>
      <c r="Q44" s="269">
        <f>IFERROR(INDEX('Inputs (2)'!$D$66:$AL$66,MATCH(Q$7&amp;"",'Inputs (2)'!$D$2:$AL$2,0)),"")</f>
        <v>11979</v>
      </c>
      <c r="R44" s="270">
        <f>IF(COUNT(N44:Q44)=4,SUM(N44:Q44),"")</f>
        <v>47024</v>
      </c>
      <c r="S44" s="269">
        <f>IFERROR(INDEX('Inputs (2)'!$D$66:$AL$66,MATCH(S$7&amp;"",'Inputs (2)'!$D$2:$AL$2,0)),"")</f>
        <v>11681</v>
      </c>
      <c r="T44" s="269">
        <f>IFERROR(INDEX('Inputs (2)'!$D$66:$AL$66,MATCH(T$7&amp;"",'Inputs (2)'!$D$2:$AL$2,0)),"")</f>
        <v>12728</v>
      </c>
      <c r="U44" s="269">
        <f>IFERROR(INDEX('Inputs (2)'!$D$66:$AL$66,MATCH(U$7&amp;"",'Inputs (2)'!$D$2:$AL$2,0)),"")</f>
        <v>13126</v>
      </c>
      <c r="V44" s="269">
        <f>IFERROR(INDEX('Inputs (2)'!$D$66:$AL$66,MATCH(V$7&amp;"",'Inputs (2)'!$D$2:$AL$2,0)),"")</f>
        <v>13979</v>
      </c>
      <c r="W44" s="270">
        <f>IF(COUNT(S44:V44)=4,SUM(S44:V44),"")</f>
        <v>51514</v>
      </c>
      <c r="X44" s="269">
        <f>IFERROR(INDEX('Inputs (2)'!$D$66:$AL$66,MATCH(X$7&amp;"",'Inputs (2)'!$D$2:$AL$2,0)),"")</f>
        <v>13289</v>
      </c>
      <c r="Y44" s="269">
        <f>IFERROR(INDEX('Inputs (2)'!$D$66:$AL$66,MATCH(Y$7&amp;"",'Inputs (2)'!$D$2:$AL$2,0)),"")</f>
        <v>13823</v>
      </c>
      <c r="Z44" s="269">
        <f>IFERROR(INDEX('Inputs (2)'!$D$66:$AL$66,MATCH(Z$7&amp;"",'Inputs (2)'!$D$2:$AL$2,0)),"")</f>
        <v>14547</v>
      </c>
      <c r="AA44" s="269">
        <f>IFERROR(INDEX('Inputs (2)'!$D$66:$AL$66,MATCH(AA$7&amp;"",'Inputs (2)'!$D$2:$AL$2,0)),"")</f>
        <v>15156</v>
      </c>
      <c r="AB44" s="270">
        <f>IF(COUNT(X44:AA44)=4,SUM(X44:AA44),"")</f>
        <v>56815</v>
      </c>
      <c r="AC44" s="269">
        <f>IFERROR(INDEX('Inputs (2)'!$D$66:$AL$66,MATCH(AC$7&amp;"",'Inputs (2)'!$D$2:$AL$2,0)),"")</f>
        <v>14854</v>
      </c>
      <c r="AD44" s="269">
        <f>IFERROR(INDEX('Inputs (2)'!$D$66:$AL$66,MATCH(AD$7&amp;"",'Inputs (2)'!$D$2:$AL$2,0)),"")</f>
        <v>16480</v>
      </c>
      <c r="AE44" s="269">
        <f>IFERROR(INDEX('Inputs (2)'!$D$66:$AL$66,MATCH(AE$7&amp;"",'Inputs (2)'!$D$2:$AL$2,0)),"")</f>
        <v>17819</v>
      </c>
      <c r="AF44" s="269">
        <f>IFERROR(INDEX('Inputs (2)'!$D$66:$AL$66,MATCH(AF$7&amp;"",'Inputs (2)'!$D$2:$AL$2,0)),"")</f>
        <v>18527</v>
      </c>
      <c r="AG44" s="270">
        <f>IF(COUNT(AC44:AF44)=4,SUM(AC44:AF44),"")</f>
        <v>67680</v>
      </c>
      <c r="AH44" s="270">
        <f>IFERROR(INDEX('Inputs (2)'!$D$66:$AL$66,MATCH(AH$7&amp;"",'Inputs (2)'!$D$2:$AL$2,0)),"")</f>
        <v>18288</v>
      </c>
      <c r="AI44" s="270">
        <f>IFERROR(INDEX('Inputs (2)'!$D$66:$AL$66,MATCH(AI$7&amp;"",'Inputs (2)'!$D$2:$AL$2,0)),"")</f>
        <v>19317</v>
      </c>
    </row>
    <row r="45">
      <c r="C45" s="268" t="inlineStr">
        <is>
          <t xml:space="preserve">   Outras Américas</t>
        </is>
      </c>
      <c r="D45" s="269" t="str">
        <f>IFERROR(INDEX('Inputs (2)'!$D$67:$AL$67,MATCH(D$7&amp;"",'Inputs (2)'!$D$2:$AL$2,0)),"")</f>
        <v/>
      </c>
      <c r="E45" s="269" t="str">
        <f>IFERROR(INDEX('Inputs (2)'!$D$67:$AL$67,MATCH(E$7&amp;"",'Inputs (2)'!$D$2:$AL$2,0)),"")</f>
        <v/>
      </c>
      <c r="F45" s="269" t="str">
        <f>IFERROR(INDEX('Inputs (2)'!$D$67:$AL$67,MATCH(F$7&amp;"",'Inputs (2)'!$D$2:$AL$2,0)),"")</f>
        <v/>
      </c>
      <c r="G45" s="269" t="str">
        <f>IFERROR(INDEX('Inputs (2)'!$D$67:$AL$67,MATCH(G$7&amp;"",'Inputs (2)'!$D$2:$AL$2,0)),"")</f>
        <v/>
      </c>
      <c r="H45" s="270" t="str">
        <f>IF(COUNT(D45:G45)=4,SUM(D45:G45),"")</f>
        <v/>
      </c>
      <c r="I45" s="269">
        <f>IFERROR(INDEX('Inputs (2)'!$D$67:$AL$67,MATCH(I$7&amp;"",'Inputs (2)'!$D$2:$AL$2,0)),"")</f>
        <v>2905</v>
      </c>
      <c r="J45" s="269">
        <f>IFERROR(INDEX('Inputs (2)'!$D$67:$AL$67,MATCH(J$7&amp;"",'Inputs (2)'!$D$2:$AL$2,0)),"")</f>
        <v>3364</v>
      </c>
      <c r="K45" s="269">
        <f>IFERROR(INDEX('Inputs (2)'!$D$67:$AL$67,MATCH(K$7&amp;"",'Inputs (2)'!$D$2:$AL$2,0)),"")</f>
        <v>3688</v>
      </c>
      <c r="L45" s="269">
        <f>IFERROR(INDEX('Inputs (2)'!$D$67:$AL$67,MATCH(L$7&amp;"",'Inputs (2)'!$D$2:$AL$2,0)),"")</f>
        <v>4447</v>
      </c>
      <c r="M45" s="270">
        <f>IF(COUNT(I45:L45)=4,SUM(I45:L45),"")</f>
        <v>14404</v>
      </c>
      <c r="N45" s="269">
        <f>IFERROR(INDEX('Inputs (2)'!$D$67:$AL$67,MATCH(N$7&amp;"",'Inputs (2)'!$D$2:$AL$2,0)),"")</f>
        <v>3842</v>
      </c>
      <c r="O45" s="269">
        <f>IFERROR(INDEX('Inputs (2)'!$D$67:$AL$67,MATCH(O$7&amp;"",'Inputs (2)'!$D$2:$AL$2,0)),"")</f>
        <v>4340</v>
      </c>
      <c r="P45" s="269">
        <f>IFERROR(INDEX('Inputs (2)'!$D$67:$AL$67,MATCH(P$7&amp;"",'Inputs (2)'!$D$2:$AL$2,0)),"")</f>
        <v>4138</v>
      </c>
      <c r="Q45" s="269">
        <f>IFERROR(INDEX('Inputs (2)'!$D$67:$AL$67,MATCH(Q$7&amp;"",'Inputs (2)'!$D$2:$AL$2,0)),"")</f>
        <v>4656</v>
      </c>
      <c r="R45" s="270">
        <f>IF(COUNT(N45:Q45)=4,SUM(N45:Q45),"")</f>
        <v>16976</v>
      </c>
      <c r="S45" s="269">
        <f>IFERROR(INDEX('Inputs (2)'!$D$67:$AL$67,MATCH(S$7&amp;"",'Inputs (2)'!$D$2:$AL$2,0)),"")</f>
        <v>4080</v>
      </c>
      <c r="T45" s="269">
        <f>IFERROR(INDEX('Inputs (2)'!$D$67:$AL$67,MATCH(T$7&amp;"",'Inputs (2)'!$D$2:$AL$2,0)),"")</f>
        <v>4511</v>
      </c>
      <c r="U45" s="269">
        <f>IFERROR(INDEX('Inputs (2)'!$D$67:$AL$67,MATCH(U$7&amp;"",'Inputs (2)'!$D$2:$AL$2,0)),"")</f>
        <v>4553</v>
      </c>
      <c r="V45" s="269">
        <f>IFERROR(INDEX('Inputs (2)'!$D$67:$AL$67,MATCH(V$7&amp;"",'Inputs (2)'!$D$2:$AL$2,0)),"")</f>
        <v>5176</v>
      </c>
      <c r="W45" s="270">
        <f>IF(COUNT(S45:V45)=4,SUM(S45:V45),"")</f>
        <v>18320</v>
      </c>
      <c r="X45" s="269">
        <f>IFERROR(INDEX('Inputs (2)'!$D$67:$AL$67,MATCH(X$7&amp;"",'Inputs (2)'!$D$2:$AL$2,0)),"")</f>
        <v>4653</v>
      </c>
      <c r="Y45" s="269">
        <f>IFERROR(INDEX('Inputs (2)'!$D$67:$AL$67,MATCH(Y$7&amp;"",'Inputs (2)'!$D$2:$AL$2,0)),"")</f>
        <v>4938</v>
      </c>
      <c r="Z45" s="269">
        <f>IFERROR(INDEX('Inputs (2)'!$D$67:$AL$67,MATCH(Z$7&amp;"",'Inputs (2)'!$D$2:$AL$2,0)),"")</f>
        <v>5093</v>
      </c>
      <c r="AA45" s="269">
        <f>IFERROR(INDEX('Inputs (2)'!$D$67:$AL$67,MATCH(AA$7&amp;"",'Inputs (2)'!$D$2:$AL$2,0)),"")</f>
        <v>5734</v>
      </c>
      <c r="AB45" s="270">
        <f>IF(COUNT(X45:AA45)=4,SUM(X45:AA45),"")</f>
        <v>20418</v>
      </c>
      <c r="AC45" s="269">
        <f>IFERROR(INDEX('Inputs (2)'!$D$67:$AL$67,MATCH(AC$7&amp;"",'Inputs (2)'!$D$2:$AL$2,0)),"")</f>
        <v>5233</v>
      </c>
      <c r="AD45" s="269">
        <f>IFERROR(INDEX('Inputs (2)'!$D$67:$AL$67,MATCH(AD$7&amp;"",'Inputs (2)'!$D$2:$AL$2,0)),"")</f>
        <v>5735</v>
      </c>
      <c r="AE45" s="269">
        <f>IFERROR(INDEX('Inputs (2)'!$D$67:$AL$67,MATCH(AE$7&amp;"",'Inputs (2)'!$D$2:$AL$2,0)),"")</f>
        <v>6065</v>
      </c>
      <c r="AF45" s="269">
        <f>IFERROR(INDEX('Inputs (2)'!$D$67:$AL$67,MATCH(AF$7&amp;"",'Inputs (2)'!$D$2:$AL$2,0)),"")</f>
        <v>6869</v>
      </c>
      <c r="AG45" s="270">
        <f>IF(COUNT(AC45:AF45)=4,SUM(AC45:AF45),"")</f>
        <v>23902</v>
      </c>
      <c r="AH45" s="270">
        <f>IFERROR(INDEX('Inputs (2)'!$D$67:$AL$67,MATCH(AH$7&amp;"",'Inputs (2)'!$D$2:$AL$2,0)),"")</f>
        <v>6345</v>
      </c>
      <c r="AI45" s="270">
        <f>IFERROR(INDEX('Inputs (2)'!$D$67:$AL$67,MATCH(AI$7&amp;"",'Inputs (2)'!$D$2:$AL$2,0)),"")</f>
        <v>7026</v>
      </c>
    </row>
    <row r="46">
      <c r="C46" s="268" t="inlineStr">
        <is>
          <t xml:space="preserve">   % EUA na receita</t>
        </is>
      </c>
      <c r="D46" s="272" t="str">
        <f>IFERROR(D42/D26,"")</f>
        <v/>
      </c>
      <c r="E46" s="272" t="str">
        <f>IFERROR(E42/E26,"")</f>
        <v/>
      </c>
      <c r="F46" s="272" t="str">
        <f>IFERROR(F42/F26,"")</f>
        <v/>
      </c>
      <c r="G46" s="272" t="str">
        <f>IFERROR(G42/G26,"")</f>
        <v/>
      </c>
      <c r="H46" s="273" t="str">
        <f>IFERROR(H42/H26,"")</f>
        <v/>
      </c>
      <c r="I46" s="272">
        <f>IFERROR(I42/I26,"")</f>
        <v>0.451653645598398</v>
      </c>
      <c r="J46" s="272">
        <f>IFERROR(J42/J26,"")</f>
        <v>0.455798471407565</v>
      </c>
      <c r="K46" s="272">
        <f>IFERROR(K42/K26,"")</f>
        <v>0.458435809149041</v>
      </c>
      <c r="L46" s="272">
        <f>IFERROR(L42/L26,"")</f>
        <v>0.463113335640691</v>
      </c>
      <c r="M46" s="273">
        <f>IFERROR(M42/M26,"")</f>
        <v>0.457706766917293</v>
      </c>
      <c r="N46" s="272">
        <f>IFERROR(N42/N26,"")</f>
        <v>0.468501321364771</v>
      </c>
      <c r="O46" s="272">
        <f>IFERROR(O42/O26,"")</f>
        <v>0.472182946183812</v>
      </c>
      <c r="P46" s="272">
        <f>IFERROR(P42/P26,"")</f>
        <v>0.48750986063634</v>
      </c>
      <c r="Q46" s="272">
        <f>IFERROR(Q42/Q26,"")</f>
        <v>0.490614096764351</v>
      </c>
      <c r="R46" s="273">
        <f>IFERROR(R42/R26,"")</f>
        <v>0.479976929321124</v>
      </c>
      <c r="S46" s="272">
        <f>IFERROR(S42/S26,"")</f>
        <v>0.471486162718965</v>
      </c>
      <c r="T46" s="272">
        <f>IFERROR(T42/T26,"")</f>
        <v>0.47014115092291</v>
      </c>
      <c r="U46" s="272">
        <f>IFERROR(U42/U26,"")</f>
        <v>0.474013612538139</v>
      </c>
      <c r="V46" s="272">
        <f>IFERROR(V42/V26,"")</f>
        <v>0.487407149489322</v>
      </c>
      <c r="W46" s="273">
        <f>IFERROR(W42/W26,"")</f>
        <v>0.476256519446018</v>
      </c>
      <c r="X46" s="272">
        <f>IFERROR(X42/X26,"")</f>
        <v>0.481402313992071</v>
      </c>
      <c r="Y46" s="272">
        <f>IFERROR(Y42/Y26,"")</f>
        <v>0.4867202268431</v>
      </c>
      <c r="Z46" s="272">
        <f>IFERROR(Z42/Z26,"")</f>
        <v>0.488821656411825</v>
      </c>
      <c r="AA46" s="272">
        <f>IFERROR(AA42/AA26,"")</f>
        <v>0.491192236311418</v>
      </c>
      <c r="AB46" s="273">
        <f>IFERROR(AB42/AB26,"")</f>
        <v>0.487260117722058</v>
      </c>
      <c r="AC46" s="272">
        <f>IFERROR(AC42/AC26,"")</f>
        <v>0.48863004868073</v>
      </c>
      <c r="AD46" s="272">
        <f>IFERROR(AD42/AD26,"")</f>
        <v>0.477139009736897</v>
      </c>
      <c r="AE46" s="272">
        <f>IFERROR(AE42/AE26,"")</f>
        <v>0.475441966592884</v>
      </c>
      <c r="AF46" s="272">
        <f>IFERROR(AF42/AF26,"")</f>
        <v>0.486794970850601</v>
      </c>
      <c r="AG46" s="273">
        <f>IFERROR(AG42/AG26,"")</f>
        <v>0.482002069668927</v>
      </c>
      <c r="AH46" s="273">
        <f>IFERROR(AH42/AH26,"")</f>
        <v>0.490343035720775</v>
      </c>
      <c r="AI46" s="273">
        <f>IFERROR(AI42/AI26,"")</f>
        <v>0.508363271785446</v>
      </c>
    </row>
    <row r="47"/>
    <row r="48" hidden="1" outlineLevel="1" customFormat="1" s="43">
      <c r="A48" s="36" t="n"/>
      <c r="B48" s="37" t="n"/>
      <c r="C48" s="45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  <c r="R48" s="39" t="n"/>
      <c r="S48" s="39" t="n"/>
      <c r="T48" s="39" t="n"/>
      <c r="U48" s="39" t="n"/>
      <c r="V48" s="39" t="n"/>
      <c r="W48" s="39" t="n"/>
      <c r="X48" s="39" t="n"/>
      <c r="Y48" s="39" t="n"/>
      <c r="Z48" s="39" t="n"/>
      <c r="AA48" s="39" t="n"/>
      <c r="AB48" s="39" t="n"/>
      <c r="AC48" s="39" t="n"/>
      <c r="AD48" s="39" t="n"/>
      <c r="AE48" s="39" t="n"/>
      <c r="AF48" s="39" t="n"/>
      <c r="AG48" s="39" t="n"/>
      <c r="AH48" s="39" t="n"/>
      <c r="AI48" s="39" t="n"/>
      <c r="AJ48" s="39" t="n"/>
      <c r="AK48" s="39" t="n"/>
      <c r="AL48" s="39" t="n"/>
      <c r="AM48" s="39" t="n"/>
      <c r="AN48" s="39" t="n"/>
      <c r="AO48" s="39" t="n"/>
      <c r="AP48" s="39" t="n"/>
      <c r="AQ48" s="39" t="n"/>
      <c r="AR48" s="39" t="n"/>
      <c r="AS48" s="39" t="n"/>
      <c r="AT48" s="39" t="n"/>
      <c r="AU48" s="39" t="n"/>
      <c r="AV48" s="39" t="n"/>
      <c r="AW48" s="39" t="n"/>
      <c r="AX48" s="39" t="n"/>
      <c r="AY48" s="39" t="n"/>
      <c r="AZ48" s="39" t="n"/>
      <c r="BA48" s="39" t="n"/>
      <c r="BB48" s="39" t="n"/>
      <c r="BC48" s="39" t="n"/>
      <c r="BD48" s="39" t="n"/>
      <c r="BE48" s="39" t="n"/>
      <c r="BF48" s="39" t="n"/>
      <c r="BG48" s="39" t="n"/>
      <c r="BH48" s="39" t="n"/>
      <c r="BI48" s="39" t="n"/>
      <c r="BJ48" s="39" t="n"/>
      <c r="BK48" s="39" t="n"/>
      <c r="BL48" s="39" t="n"/>
      <c r="BM48" s="39" t="n"/>
      <c r="BN48" s="39" t="n"/>
      <c r="BO48" s="39" t="n"/>
      <c r="BP48" s="39" t="n"/>
      <c r="BQ48" s="39" t="n"/>
      <c r="BR48" s="39" t="n"/>
      <c r="BS48" s="39" t="n"/>
      <c r="BT48" s="39" t="n"/>
      <c r="BU48" s="39" t="n"/>
      <c r="BV48" s="39" t="n"/>
      <c r="BW48" s="39" t="n"/>
      <c r="BX48" s="39" t="n"/>
      <c r="BY48" s="39" t="n"/>
      <c r="BZ48" s="39" t="n"/>
      <c r="CA48" s="39" t="n"/>
      <c r="CB48" s="39" t="n"/>
      <c r="CC48" s="39" t="n"/>
      <c r="CD48" s="39" t="n"/>
      <c r="CE48" s="39" t="n"/>
      <c r="CF48" s="39" t="n"/>
      <c r="CG48" s="39" t="n"/>
      <c r="CH48" s="39" t="n"/>
      <c r="CI48" s="39" t="n"/>
      <c r="CJ48" s="39" t="n"/>
      <c r="CK48" s="39" t="n"/>
      <c r="CL48" s="39" t="n"/>
      <c r="CM48" s="39" t="n"/>
      <c r="CN48" s="39" t="n"/>
      <c r="CO48" s="39" t="n"/>
      <c r="CP48" s="39" t="n"/>
      <c r="CQ48" s="39" t="n"/>
      <c r="CR48" s="39" t="n"/>
      <c r="CS48" s="39" t="n"/>
      <c r="CT48" s="39" t="n"/>
      <c r="CU48" s="39" t="n"/>
      <c r="CV48" s="39" t="n"/>
      <c r="CW48" s="39" t="n"/>
      <c r="CX48" s="39" t="n"/>
      <c r="CY48" s="39" t="n"/>
    </row>
    <row r="49" hidden="1" outlineLevel="1" customFormat="1" s="43">
      <c r="A49" s="36" t="n"/>
      <c r="B49" s="37" t="n"/>
      <c r="C49" s="45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  <c r="R49" s="39" t="n"/>
      <c r="S49" s="39" t="n"/>
      <c r="T49" s="39" t="n"/>
      <c r="U49" s="39" t="n"/>
      <c r="V49" s="39" t="n"/>
      <c r="W49" s="39" t="n"/>
      <c r="X49" s="39" t="n"/>
      <c r="Y49" s="39" t="n"/>
      <c r="Z49" s="39" t="n"/>
      <c r="AA49" s="39" t="n"/>
      <c r="AB49" s="39" t="n"/>
      <c r="AC49" s="39" t="n"/>
      <c r="AD49" s="39" t="n"/>
      <c r="AE49" s="39" t="n"/>
      <c r="AF49" s="39" t="n"/>
      <c r="AG49" s="39" t="n"/>
      <c r="AH49" s="39" t="n"/>
      <c r="AI49" s="39" t="n"/>
      <c r="AJ49" s="39" t="n"/>
      <c r="AK49" s="39" t="n"/>
      <c r="AL49" s="39" t="n"/>
      <c r="AM49" s="39" t="n"/>
      <c r="AN49" s="39" t="n"/>
      <c r="AO49" s="39" t="n"/>
      <c r="AP49" s="39" t="n"/>
      <c r="AQ49" s="39" t="n"/>
      <c r="AR49" s="39" t="n"/>
      <c r="AS49" s="39" t="n"/>
      <c r="AT49" s="39" t="n"/>
      <c r="AU49" s="39" t="n"/>
      <c r="AV49" s="39" t="n"/>
      <c r="AW49" s="39" t="n"/>
      <c r="AX49" s="39" t="n"/>
      <c r="AY49" s="39" t="n"/>
      <c r="AZ49" s="39" t="n"/>
      <c r="BA49" s="39" t="n"/>
      <c r="BB49" s="39" t="n"/>
      <c r="BC49" s="39" t="n"/>
      <c r="BD49" s="39" t="n"/>
      <c r="BE49" s="39" t="n"/>
      <c r="BF49" s="39" t="n"/>
      <c r="BG49" s="39" t="n"/>
      <c r="BH49" s="39" t="n"/>
      <c r="BI49" s="39" t="n"/>
      <c r="BJ49" s="39" t="n"/>
      <c r="BK49" s="39" t="n"/>
      <c r="BL49" s="39" t="n"/>
      <c r="BM49" s="39" t="n"/>
      <c r="BN49" s="39" t="n"/>
      <c r="BO49" s="39" t="n"/>
      <c r="BP49" s="39" t="n"/>
      <c r="BQ49" s="39" t="n"/>
      <c r="BR49" s="39" t="n"/>
      <c r="BS49" s="39" t="n"/>
      <c r="BT49" s="39" t="n"/>
      <c r="BU49" s="39" t="n"/>
      <c r="BV49" s="39" t="n"/>
      <c r="BW49" s="39" t="n"/>
      <c r="BX49" s="39" t="n"/>
      <c r="BY49" s="39" t="n"/>
      <c r="BZ49" s="39" t="n"/>
      <c r="CA49" s="39" t="n"/>
      <c r="CB49" s="39" t="n"/>
      <c r="CC49" s="39" t="n"/>
      <c r="CD49" s="39" t="n"/>
      <c r="CE49" s="39" t="n"/>
      <c r="CF49" s="39" t="n"/>
      <c r="CG49" s="39" t="n"/>
      <c r="CH49" s="39" t="n"/>
      <c r="CI49" s="39" t="n"/>
      <c r="CJ49" s="39" t="n"/>
      <c r="CK49" s="39" t="n"/>
      <c r="CL49" s="39" t="n"/>
      <c r="CM49" s="39" t="n"/>
      <c r="CN49" s="39" t="n"/>
      <c r="CO49" s="39" t="n"/>
      <c r="CP49" s="39" t="n"/>
      <c r="CQ49" s="39" t="n"/>
      <c r="CR49" s="39" t="n"/>
      <c r="CS49" s="39" t="n"/>
      <c r="CT49" s="39" t="n"/>
      <c r="CU49" s="39" t="n"/>
      <c r="CV49" s="39" t="n"/>
      <c r="CW49" s="39" t="n"/>
      <c r="CX49" s="39" t="n"/>
      <c r="CY49" s="39" t="n"/>
    </row>
    <row r="50" collapsed="1">
      <c r="C50" s="13" t="inlineStr">
        <is>
          <t>COGS (cash)</t>
        </is>
      </c>
      <c r="D50" s="46" t="n"/>
      <c r="E50" s="46" t="n"/>
      <c r="F50" s="46" t="n"/>
      <c r="G50" s="46" t="n"/>
      <c r="H50" s="12" t="n"/>
      <c r="I50" s="46">
        <f>'Inputs (2)'!D5</f>
        <v>-24103</v>
      </c>
      <c r="J50" s="46">
        <f>'Inputs (2)'!E5</f>
        <v>-26227</v>
      </c>
      <c r="K50" s="46">
        <f>'Inputs (2)'!F5</f>
        <v>-27621</v>
      </c>
      <c r="L50" s="46">
        <f>'Inputs (2)'!G5</f>
        <v>-32988</v>
      </c>
      <c r="M50" s="12">
        <f>'Inputs (2)'!H5</f>
        <v>-110939</v>
      </c>
      <c r="N50" s="46">
        <f>'Inputs (2)'!I5</f>
        <v>-29599</v>
      </c>
      <c r="O50" s="46">
        <f>'Inputs (2)'!J5</f>
        <v>-30104</v>
      </c>
      <c r="P50" s="46">
        <f>'Inputs (2)'!K5</f>
        <v>-31158</v>
      </c>
      <c r="Q50" s="46">
        <f>'Inputs (2)'!L5</f>
        <v>-35342</v>
      </c>
      <c r="R50" s="12">
        <f>'Inputs (2)'!M5</f>
        <v>-126203</v>
      </c>
      <c r="S50" s="46">
        <f>'Inputs (2)'!N5</f>
        <v>-30612</v>
      </c>
      <c r="T50" s="46">
        <f>'Inputs (2)'!O5</f>
        <v>-31916</v>
      </c>
      <c r="U50" s="46">
        <f>'Inputs (2)'!P5</f>
        <v>-33229</v>
      </c>
      <c r="V50" s="46">
        <f>'Inputs (2)'!Q5</f>
        <v>-37575</v>
      </c>
      <c r="W50" s="12">
        <f>'Inputs (2)'!R5</f>
        <v>-133332</v>
      </c>
      <c r="X50" s="46">
        <f>'Inputs (2)'!S5</f>
        <v>-33712</v>
      </c>
      <c r="Y50" s="46">
        <f>'Inputs (2)'!T5</f>
        <v>-35507</v>
      </c>
      <c r="Z50" s="46">
        <f>'Inputs (2)'!U5</f>
        <v>-36474</v>
      </c>
      <c r="AA50" s="46">
        <f>'Inputs (2)'!V5</f>
        <v>-40613</v>
      </c>
      <c r="AB50" s="12">
        <f>'Inputs (2)'!W5</f>
        <v>-146306</v>
      </c>
      <c r="AC50" s="46">
        <f>'Inputs (2)'!X5</f>
        <v>-36361</v>
      </c>
      <c r="AD50" s="46">
        <f>'Inputs (2)'!Y5</f>
        <v>-39039</v>
      </c>
      <c r="AE50" s="46">
        <f>'Inputs (2)'!Z5</f>
        <v>-41369</v>
      </c>
      <c r="AF50" s="46">
        <f>'Inputs (2)'!AA5</f>
        <v>-45767</v>
      </c>
      <c r="AG50" s="12">
        <f>'Inputs (2)'!AB5</f>
        <v>-162536</v>
      </c>
      <c r="AH50" s="12">
        <f>'Inputs (2)'!AC5</f>
        <v>-41271</v>
      </c>
      <c r="AI50" s="12">
        <f>'Inputs (2)'!AD5</f>
        <v>-45943</v>
      </c>
      <c r="AJ50" s="12">
        <f>-(1-AJ51)*AJ15</f>
        <v>-47618.0978218201</v>
      </c>
      <c r="AK50" s="12">
        <f>-(1-AK51)*AK15</f>
        <v>-52960.7454806242</v>
      </c>
      <c r="AL50" s="12">
        <f>SUM(AH50:AK50)</f>
        <v>-187792.843302444</v>
      </c>
      <c r="AM50" s="12">
        <f>-(1-AM51)*AM15</f>
        <v>-51130.8549257103</v>
      </c>
      <c r="AN50" s="12">
        <f>-(1-AN51)*AN15</f>
        <v>-55736.9867573013</v>
      </c>
      <c r="AO50" s="12">
        <f>-(1-AO51)*AO15</f>
        <v>-56014.4342698278</v>
      </c>
      <c r="AP50" s="12">
        <f>-(1-AP51)*AP15</f>
        <v>-62299.1327311299</v>
      </c>
      <c r="AQ50" s="12">
        <f>SUM(AM50:AP50)</f>
        <v>-225181.408683969</v>
      </c>
      <c r="AR50" s="12">
        <f>-(1-AR51)*AR15</f>
        <v>-59890.9295539235</v>
      </c>
      <c r="AS50" s="12">
        <f>-(1-AS51)*AS15</f>
        <v>-65286.2142101789</v>
      </c>
      <c r="AT50" s="12">
        <f>-(1-AT51)*AT15</f>
        <v>-65611.1958568143</v>
      </c>
      <c r="AU50" s="12">
        <f>-(1-AU51)*AU15</f>
        <v>-72972.630226734</v>
      </c>
      <c r="AV50" s="12">
        <f>SUM(AR50:AU50)</f>
        <v>-263760.969847651</v>
      </c>
      <c r="AW50" s="12">
        <f>-(1-AW51)*AW15</f>
        <v>-69852.3831817482</v>
      </c>
      <c r="AX50" s="12">
        <f>-(1-AX51)*AX15</f>
        <v>-76145.0470958062</v>
      </c>
      <c r="AY50" s="12">
        <f>-(1-AY51)*AY15</f>
        <v>-76524.0818290602</v>
      </c>
      <c r="AZ50" s="12">
        <f>-(1-AZ51)*AZ15</f>
        <v>-85109.9184190891</v>
      </c>
      <c r="BA50" s="12">
        <f>SUM(AW50:AZ50)</f>
        <v>-307631.430525704</v>
      </c>
      <c r="BB50" s="12">
        <f>-(1-BB51)*BB15</f>
        <v>-81121.4294310438</v>
      </c>
      <c r="BC50" s="12">
        <f>-(1-BC51)*BC15</f>
        <v>-88429.2673083763</v>
      </c>
      <c r="BD50" s="12">
        <f>-(1-BD51)*BD15</f>
        <v>-88869.4504197468</v>
      </c>
      <c r="BE50" s="12">
        <f>-(1-BE51)*BE15</f>
        <v>-98840.410683655</v>
      </c>
      <c r="BF50" s="12">
        <f>SUM(BB50:BE50)</f>
        <v>-357260.557842822</v>
      </c>
      <c r="BG50" s="12" t="n"/>
      <c r="BH50" s="12" t="n"/>
      <c r="BI50" s="12" t="n"/>
      <c r="BJ50" s="12" t="n"/>
      <c r="BK50" s="12" t="n"/>
      <c r="BL50" s="12" t="n"/>
      <c r="BM50" s="12" t="n"/>
      <c r="BN50" s="12" t="n"/>
      <c r="BO50" s="12" t="n"/>
      <c r="BP50" s="12" t="n"/>
      <c r="BQ50" s="12" t="n"/>
      <c r="BR50" s="12" t="n"/>
      <c r="BS50" s="12" t="n"/>
      <c r="BT50" s="12" t="n"/>
      <c r="BU50" s="12" t="n"/>
      <c r="BV50" s="12" t="n"/>
      <c r="BW50" s="12" t="n"/>
      <c r="BX50" s="12" t="n"/>
      <c r="BY50" s="12" t="n"/>
      <c r="BZ50" s="12" t="n"/>
      <c r="CA50" s="12" t="n"/>
      <c r="CB50" s="12" t="n"/>
      <c r="CC50" s="12" t="n"/>
      <c r="CD50" s="12" t="n"/>
      <c r="CE50" s="12" t="n"/>
      <c r="CF50" s="12" t="n"/>
      <c r="CG50" s="12" t="n"/>
      <c r="CH50" s="12" t="n"/>
      <c r="CI50" s="12" t="n"/>
      <c r="CJ50" s="12" t="n"/>
      <c r="CK50" s="12" t="n"/>
      <c r="CL50" s="12" t="n"/>
      <c r="CM50" s="12" t="n"/>
      <c r="CN50" s="12" t="n"/>
      <c r="CO50" s="12" t="n"/>
      <c r="CP50" s="12" t="n"/>
      <c r="CQ50" s="12" t="n"/>
      <c r="CR50" s="12" t="n"/>
      <c r="CS50" s="12" t="n"/>
      <c r="CT50" s="12" t="n"/>
      <c r="CU50" s="12" t="n"/>
      <c r="CV50" s="12" t="n"/>
      <c r="CW50" s="12" t="n"/>
      <c r="CX50" s="12" t="n"/>
      <c r="CY50" s="12" t="n"/>
    </row>
    <row r="51" hidden="1" outlineLevel="1" customFormat="1" s="3">
      <c r="C51" s="47" t="inlineStr">
        <is>
          <t>% Gross Margin</t>
        </is>
      </c>
      <c r="D51" s="48" t="n"/>
      <c r="E51" s="48" t="n"/>
      <c r="F51" s="48" t="n"/>
      <c r="G51" s="48" t="n"/>
      <c r="H51" s="48" t="n"/>
      <c r="I51" s="48">
        <f>IFERROR((I15+I50)/I$15,"")</f>
        <v>0.564251364934736</v>
      </c>
      <c r="J51" s="48">
        <f>IFERROR((J15+J50)/J$15,"")</f>
        <v>0.576163542340013</v>
      </c>
      <c r="K51" s="48">
        <f>IFERROR((K15+K50)/K$15,"")</f>
        <v>0.575831567308578</v>
      </c>
      <c r="L51" s="48">
        <f>IFERROR((L15+L50)/L$15,"")</f>
        <v>0.562057749751079</v>
      </c>
      <c r="M51" s="48">
        <f>IFERROR((M15+M50)/M$15,"")</f>
        <v>0.569398029009808</v>
      </c>
      <c r="N51" s="48">
        <f>IFERROR((N15+N50)/N$15,"")</f>
        <v>0.564790989692844</v>
      </c>
      <c r="O51" s="48">
        <f>IFERROR((O15+O50)/O$15,"")</f>
        <v>0.567998851976753</v>
      </c>
      <c r="P51" s="48">
        <f>IFERROR((P15+P50)/P$15,"")</f>
        <v>0.54903606785156</v>
      </c>
      <c r="Q51" s="48">
        <f>IFERROR((Q15+Q50)/Q$15,"")</f>
        <v>0.535267199663371</v>
      </c>
      <c r="R51" s="48">
        <f>IFERROR((R15+R50)/R$15,"")</f>
        <v>0.553794425037831</v>
      </c>
      <c r="S51" s="48">
        <f>IFERROR((S15+S50)/S$15,"")</f>
        <v>0.561350967945319</v>
      </c>
      <c r="T51" s="48">
        <f>IFERROR((T15+T50)/T$15,"")</f>
        <v>0.572194520401051</v>
      </c>
      <c r="U51" s="48">
        <f>IFERROR((U15+U50)/U$15,"")</f>
        <v>0.566727080698369</v>
      </c>
      <c r="V51" s="48">
        <f>IFERROR((V15+V50)/V$15,"")</f>
        <v>0.564650677789364</v>
      </c>
      <c r="W51" s="48">
        <f>IFERROR((W15+W50)/W$15,"")</f>
        <v>0.566250479840205</v>
      </c>
      <c r="X51" s="48">
        <f>IFERROR((X15+X50)/X$15,"")</f>
        <v>0.581420181526962</v>
      </c>
      <c r="Y51" s="48">
        <f>IFERROR((Y15+Y50)/Y$15,"")</f>
        <v>0.580998796346558</v>
      </c>
      <c r="Z51" s="48">
        <f>IFERROR((Z15+Z50)/Z$15,"")</f>
        <v>0.586781166447637</v>
      </c>
      <c r="AA51" s="48">
        <f>IFERROR((AA15+AA50)/AA$15,"")</f>
        <v>0.579004654344919</v>
      </c>
      <c r="AB51" s="48">
        <f>IFERROR((AB15+AB50)/AB$15,"")</f>
        <v>0.582004354061791</v>
      </c>
      <c r="AC51" s="48">
        <f>IFERROR((AC15+AC50)/AC$15,"")</f>
        <v>0.597036593745152</v>
      </c>
      <c r="AD51" s="48">
        <f>IFERROR((AD15+AD50)/AD$15,"")</f>
        <v>0.595148711992367</v>
      </c>
      <c r="AE51" s="48">
        <f>IFERROR((AE15+AE50)/AE$15,"")</f>
        <v>0.595792703183319</v>
      </c>
      <c r="AF51" s="41">
        <f>IFERROR((AF15+AF50)/AF$15,"")</f>
        <v>0.597931985697845</v>
      </c>
      <c r="AG51" s="48">
        <f>IFERROR((AG15+AG50)/AG$15,"")</f>
        <v>0.596521670055134</v>
      </c>
      <c r="AH51" s="49">
        <f>IFERROR((AH15+AH50)/AH$15,"")</f>
        <v>0.624454029264032</v>
      </c>
      <c r="AI51" s="49">
        <f>IFERROR((AI15+AI50)/AI$15,"")</f>
        <v>0.616489699155231</v>
      </c>
      <c r="AJ51" s="49">
        <f>Control!$B$19</f>
        <v>0.604475620506324</v>
      </c>
      <c r="AK51" s="49">
        <f>Control!$B$19</f>
        <v>0.604475620506324</v>
      </c>
      <c r="AL51" s="48">
        <f>IFERROR((AL15+AL50)/AL$15,"")</f>
        <v>0.611985750548923</v>
      </c>
      <c r="AM51" s="49">
        <f>Control!$C$19</f>
        <v>0.604475620506324</v>
      </c>
      <c r="AN51" s="49">
        <f>Control!$C$19</f>
        <v>0.604475620506324</v>
      </c>
      <c r="AO51" s="49">
        <f>Control!$C$19</f>
        <v>0.604475620506324</v>
      </c>
      <c r="AP51" s="49">
        <f>Control!$C$19</f>
        <v>0.604475620506324</v>
      </c>
      <c r="AQ51" s="48">
        <f>IFERROR((AQ15+AQ50)/AQ$15,"")</f>
        <v>0.604475620506324</v>
      </c>
      <c r="AR51" s="49">
        <f>Control!$D$19</f>
        <v>0.604475620506324</v>
      </c>
      <c r="AS51" s="49">
        <f>Control!$D$19</f>
        <v>0.604475620506324</v>
      </c>
      <c r="AT51" s="49">
        <f>Control!$D$19</f>
        <v>0.604475620506324</v>
      </c>
      <c r="AU51" s="49">
        <f>Control!$D$19</f>
        <v>0.604475620506324</v>
      </c>
      <c r="AV51" s="48">
        <f>IFERROR((AV15+AV50)/AV$15,"")</f>
        <v>0.604475620506324</v>
      </c>
      <c r="AW51" s="49">
        <f>Control!$E$19</f>
        <v>0.604475620506324</v>
      </c>
      <c r="AX51" s="49">
        <f>Control!$E$19</f>
        <v>0.604475620506324</v>
      </c>
      <c r="AY51" s="49">
        <f>Control!$E$19</f>
        <v>0.604475620506324</v>
      </c>
      <c r="AZ51" s="49">
        <f>Control!$E$19</f>
        <v>0.604475620506324</v>
      </c>
      <c r="BA51" s="48">
        <f>IFERROR((BA15+BA50)/BA$15,"")</f>
        <v>0.604475620506324</v>
      </c>
      <c r="BB51" s="49">
        <f>Control!$F$19</f>
        <v>0.604475620506324</v>
      </c>
      <c r="BC51" s="49">
        <f>Control!$F$19</f>
        <v>0.604475620506324</v>
      </c>
      <c r="BD51" s="49">
        <f>Control!$F$19</f>
        <v>0.604475620506324</v>
      </c>
      <c r="BE51" s="49">
        <f>Control!$F$19</f>
        <v>0.604475620506324</v>
      </c>
      <c r="BF51" s="48">
        <f>IFERROR((BF15+BF50)/BF$15,"")</f>
        <v>0.604475620506324</v>
      </c>
      <c r="BG51" s="49" t="n"/>
      <c r="BH51" s="49" t="n"/>
      <c r="BI51" s="49" t="n"/>
      <c r="BJ51" s="49" t="n"/>
      <c r="BK51" s="48" t="n"/>
      <c r="BL51" s="49" t="n"/>
      <c r="BM51" s="49" t="n"/>
      <c r="BN51" s="49" t="n"/>
      <c r="BO51" s="49" t="n"/>
      <c r="BP51" s="48" t="n"/>
      <c r="BQ51" s="49" t="n"/>
      <c r="BR51" s="49" t="n"/>
      <c r="BS51" s="49" t="n"/>
      <c r="BT51" s="49" t="n"/>
      <c r="BU51" s="48" t="n"/>
      <c r="BV51" s="49" t="n"/>
      <c r="BW51" s="49" t="n"/>
      <c r="BX51" s="49" t="n"/>
      <c r="BY51" s="49" t="n"/>
      <c r="BZ51" s="48" t="n"/>
      <c r="CA51" s="49" t="n"/>
      <c r="CB51" s="49" t="n"/>
      <c r="CC51" s="49" t="n"/>
      <c r="CD51" s="49" t="n"/>
      <c r="CE51" s="48" t="n"/>
      <c r="CF51" s="49" t="n"/>
      <c r="CG51" s="49" t="n"/>
      <c r="CH51" s="49" t="n"/>
      <c r="CI51" s="49" t="n"/>
      <c r="CJ51" s="48" t="n"/>
      <c r="CK51" s="49" t="n"/>
      <c r="CL51" s="49" t="n"/>
      <c r="CM51" s="49" t="n"/>
      <c r="CN51" s="49" t="n"/>
      <c r="CO51" s="48" t="n"/>
      <c r="CP51" s="49" t="n"/>
      <c r="CQ51" s="49" t="n"/>
      <c r="CR51" s="49" t="n"/>
      <c r="CS51" s="49" t="n"/>
      <c r="CT51" s="48" t="n"/>
      <c r="CU51" s="49" t="n"/>
      <c r="CV51" s="49" t="n"/>
      <c r="CW51" s="49" t="n"/>
      <c r="CX51" s="49" t="n"/>
      <c r="CY51" s="48" t="n"/>
    </row>
    <row r="52" hidden="1" outlineLevel="1">
      <c r="C52" s="50" t="n"/>
      <c r="D52" s="50" t="n"/>
      <c r="E52" s="50" t="n"/>
      <c r="F52" s="50" t="n"/>
      <c r="G52" s="50" t="n"/>
      <c r="H52" s="50" t="n"/>
      <c r="I52" s="50" t="n"/>
      <c r="J52" s="50" t="n"/>
      <c r="K52" s="50" t="n"/>
      <c r="L52" s="50" t="n"/>
      <c r="M52" s="50" t="n"/>
      <c r="N52" s="50" t="n"/>
      <c r="O52" s="50" t="n"/>
      <c r="P52" s="50" t="n"/>
      <c r="Q52" s="50" t="n"/>
      <c r="R52" s="50" t="n"/>
      <c r="S52" s="50" t="n"/>
      <c r="T52" s="50" t="n"/>
      <c r="U52" s="50" t="n"/>
      <c r="V52" s="50" t="n"/>
      <c r="W52" s="50" t="n"/>
      <c r="X52" s="50" t="n"/>
      <c r="Y52" s="50" t="n"/>
      <c r="Z52" s="50" t="n"/>
      <c r="AA52" s="50" t="n"/>
      <c r="AB52" s="50" t="n"/>
      <c r="AC52" s="50" t="n"/>
      <c r="AD52" s="50" t="n"/>
      <c r="AE52" s="50" t="n"/>
      <c r="AF52" s="50" t="n"/>
      <c r="AG52" s="50" t="n"/>
      <c r="AH52" s="50" t="n"/>
      <c r="AI52" s="50" t="n"/>
      <c r="AJ52" s="50" t="n"/>
      <c r="AK52" s="50" t="n"/>
      <c r="AL52" s="50" t="n"/>
      <c r="AM52" s="50" t="n"/>
      <c r="AN52" s="50" t="n"/>
      <c r="AO52" s="50" t="n"/>
      <c r="AP52" s="50" t="n"/>
      <c r="AQ52" s="50" t="n"/>
      <c r="AR52" s="50" t="n"/>
      <c r="AS52" s="50" t="n"/>
      <c r="AT52" s="50" t="n"/>
      <c r="AU52" s="50" t="n"/>
      <c r="AV52" s="50" t="n"/>
      <c r="AW52" s="50" t="n"/>
      <c r="AX52" s="50" t="n"/>
      <c r="AY52" s="50" t="n"/>
      <c r="AZ52" s="50" t="n"/>
      <c r="BA52" s="50" t="n"/>
      <c r="BB52" s="50" t="n"/>
      <c r="BC52" s="50" t="n"/>
      <c r="BD52" s="50" t="n"/>
      <c r="BE52" s="50" t="n"/>
      <c r="BF52" s="50" t="n"/>
      <c r="BG52" s="50" t="n"/>
      <c r="BH52" s="50" t="n"/>
      <c r="BI52" s="50" t="n"/>
      <c r="BJ52" s="50" t="n"/>
      <c r="BK52" s="50" t="n"/>
      <c r="BL52" s="50" t="n"/>
      <c r="BM52" s="50" t="n"/>
      <c r="BN52" s="50" t="n"/>
      <c r="BO52" s="50" t="n"/>
      <c r="BP52" s="50" t="n"/>
      <c r="BQ52" s="50" t="n"/>
      <c r="BR52" s="50" t="n"/>
      <c r="BS52" s="50" t="n"/>
      <c r="BT52" s="50" t="n"/>
      <c r="BU52" s="50" t="n"/>
      <c r="BV52" s="50" t="n"/>
      <c r="BW52" s="50" t="n"/>
      <c r="BX52" s="50" t="n"/>
      <c r="BY52" s="50" t="n"/>
      <c r="BZ52" s="50" t="n"/>
      <c r="CA52" s="50" t="n"/>
      <c r="CB52" s="50" t="n"/>
      <c r="CC52" s="50" t="n"/>
      <c r="CD52" s="50" t="n"/>
      <c r="CE52" s="50" t="n"/>
      <c r="CF52" s="50" t="n"/>
      <c r="CG52" s="50" t="n"/>
      <c r="CH52" s="50" t="n"/>
      <c r="CI52" s="50" t="n"/>
      <c r="CJ52" s="50" t="n"/>
      <c r="CK52" s="50" t="n"/>
      <c r="CL52" s="50" t="n"/>
      <c r="CM52" s="50" t="n"/>
      <c r="CN52" s="50" t="n"/>
      <c r="CO52" s="50" t="n"/>
      <c r="CP52" s="50" t="n"/>
      <c r="CQ52" s="50" t="n"/>
      <c r="CR52" s="50" t="n"/>
      <c r="CS52" s="50" t="n"/>
      <c r="CT52" s="50" t="n"/>
      <c r="CU52" s="50" t="n"/>
      <c r="CV52" s="50" t="n"/>
      <c r="CW52" s="50" t="n"/>
      <c r="CX52" s="50" t="n"/>
      <c r="CY52" s="50" t="n"/>
    </row>
    <row r="53" hidden="1" outlineLevel="1">
      <c r="C53" s="50" t="n"/>
      <c r="D53" s="50" t="n"/>
      <c r="E53" s="50" t="n"/>
      <c r="F53" s="50" t="n"/>
      <c r="G53" s="50" t="n"/>
      <c r="H53" s="50" t="n"/>
      <c r="I53" s="50" t="n"/>
      <c r="J53" s="50" t="n"/>
      <c r="K53" s="50" t="n"/>
      <c r="L53" s="50" t="n"/>
      <c r="M53" s="50" t="n"/>
      <c r="N53" s="50" t="n"/>
      <c r="O53" s="50" t="n"/>
      <c r="P53" s="50" t="n"/>
      <c r="Q53" s="50" t="n"/>
      <c r="R53" s="50" t="n"/>
      <c r="S53" s="50" t="n"/>
      <c r="T53" s="50" t="n"/>
      <c r="U53" s="50" t="n"/>
      <c r="V53" s="50" t="n"/>
      <c r="W53" s="50" t="n"/>
      <c r="X53" s="50" t="n"/>
      <c r="Y53" s="50" t="n"/>
      <c r="Z53" s="50" t="n"/>
      <c r="AA53" s="50" t="n"/>
      <c r="AB53" s="50" t="n"/>
      <c r="AC53" s="50" t="n"/>
      <c r="AD53" s="50" t="n"/>
      <c r="AE53" s="50" t="n"/>
      <c r="AF53" s="50" t="n"/>
      <c r="AG53" s="50" t="n"/>
      <c r="AH53" s="50" t="n"/>
      <c r="AI53" s="50" t="n"/>
      <c r="AJ53" s="50" t="n"/>
      <c r="AK53" s="50" t="n"/>
      <c r="AL53" s="50" t="n"/>
      <c r="AM53" s="50" t="n"/>
      <c r="AN53" s="50" t="n"/>
      <c r="AO53" s="50" t="n"/>
      <c r="AP53" s="50" t="n"/>
      <c r="AQ53" s="50" t="n"/>
      <c r="AR53" s="50" t="n"/>
      <c r="AS53" s="50" t="n"/>
      <c r="AT53" s="50" t="n"/>
      <c r="AU53" s="50" t="n"/>
      <c r="AV53" s="50" t="n"/>
      <c r="AW53" s="50" t="n"/>
      <c r="AX53" s="50" t="n"/>
      <c r="AY53" s="50" t="n"/>
      <c r="AZ53" s="50" t="n"/>
      <c r="BA53" s="50" t="n"/>
      <c r="BB53" s="50" t="n"/>
      <c r="BC53" s="50" t="n"/>
      <c r="BD53" s="50" t="n"/>
      <c r="BE53" s="50" t="n"/>
      <c r="BF53" s="50" t="n"/>
      <c r="BG53" s="50" t="n"/>
      <c r="BH53" s="50" t="n"/>
      <c r="BI53" s="50" t="n"/>
      <c r="BJ53" s="50" t="n"/>
      <c r="BK53" s="50" t="n"/>
      <c r="BL53" s="50" t="n"/>
      <c r="BM53" s="50" t="n"/>
      <c r="BN53" s="50" t="n"/>
      <c r="BO53" s="50" t="n"/>
      <c r="BP53" s="50" t="n"/>
      <c r="BQ53" s="50" t="n"/>
      <c r="BR53" s="50" t="n"/>
      <c r="BS53" s="50" t="n"/>
      <c r="BT53" s="50" t="n"/>
      <c r="BU53" s="50" t="n"/>
      <c r="BV53" s="50" t="n"/>
      <c r="BW53" s="50" t="n"/>
      <c r="BX53" s="50" t="n"/>
      <c r="BY53" s="50" t="n"/>
      <c r="BZ53" s="50" t="n"/>
      <c r="CA53" s="50" t="n"/>
      <c r="CB53" s="50" t="n"/>
      <c r="CC53" s="50" t="n"/>
      <c r="CD53" s="50" t="n"/>
      <c r="CE53" s="50" t="n"/>
      <c r="CF53" s="50" t="n"/>
      <c r="CG53" s="50" t="n"/>
      <c r="CH53" s="50" t="n"/>
      <c r="CI53" s="50" t="n"/>
      <c r="CJ53" s="50" t="n"/>
      <c r="CK53" s="50" t="n"/>
      <c r="CL53" s="50" t="n"/>
      <c r="CM53" s="50" t="n"/>
      <c r="CN53" s="50" t="n"/>
      <c r="CO53" s="50" t="n"/>
      <c r="CP53" s="50" t="n"/>
      <c r="CQ53" s="50" t="n"/>
      <c r="CR53" s="50" t="n"/>
      <c r="CS53" s="50" t="n"/>
      <c r="CT53" s="50" t="n"/>
      <c r="CU53" s="50" t="n"/>
      <c r="CV53" s="50" t="n"/>
      <c r="CW53" s="50" t="n"/>
      <c r="CX53" s="50" t="n"/>
      <c r="CY53" s="50" t="n"/>
    </row>
    <row r="54" collapsed="1">
      <c r="C54" s="13" t="inlineStr">
        <is>
          <t>SG&amp;A and Other (cash)</t>
        </is>
      </c>
      <c r="D54" s="46" t="n"/>
      <c r="E54" s="46" t="n"/>
      <c r="F54" s="46" t="n"/>
      <c r="G54" s="46" t="n"/>
      <c r="H54" s="12" t="n"/>
      <c r="I54" s="46">
        <f>'Inputs (2)'!D6</f>
        <v>-12249</v>
      </c>
      <c r="J54" s="46">
        <f>'Inputs (2)'!E6</f>
        <v>-13562</v>
      </c>
      <c r="K54" s="46">
        <f>'Inputs (2)'!F6</f>
        <v>-13381</v>
      </c>
      <c r="L54" s="46">
        <f>'Inputs (2)'!G6</f>
        <v>-17237</v>
      </c>
      <c r="M54" s="12">
        <f>'Inputs (2)'!H6</f>
        <v>-56429</v>
      </c>
      <c r="N54" s="46">
        <f>'Inputs (2)'!I6</f>
        <v>-14727</v>
      </c>
      <c r="O54" s="46">
        <f>'Inputs (2)'!J6</f>
        <v>-16430</v>
      </c>
      <c r="P54" s="46">
        <f>'Inputs (2)'!K6</f>
        <v>-16866</v>
      </c>
      <c r="Q54" s="46">
        <f>'Inputs (2)'!L6</f>
        <v>-18481</v>
      </c>
      <c r="R54" s="12">
        <f>'Inputs (2)'!M6</f>
        <v>-66504</v>
      </c>
      <c r="S54" s="46">
        <f>'Inputs (2)'!N6</f>
        <v>-18700</v>
      </c>
      <c r="T54" s="46">
        <f>'Inputs (2)'!O6</f>
        <v>-17571</v>
      </c>
      <c r="U54" s="46">
        <f>'Inputs (2)'!P6</f>
        <v>-18450</v>
      </c>
      <c r="V54" s="46">
        <f>'Inputs (2)'!Q6</f>
        <v>-21722</v>
      </c>
      <c r="W54" s="12">
        <f>'Inputs (2)'!R6</f>
        <v>-76443</v>
      </c>
      <c r="X54" s="46">
        <f>'Inputs (2)'!S6</f>
        <v>-17942</v>
      </c>
      <c r="Y54" s="46">
        <f>'Inputs (2)'!T6</f>
        <v>-18102</v>
      </c>
      <c r="Z54" s="46">
        <f>'Inputs (2)'!U6</f>
        <v>-19288</v>
      </c>
      <c r="AA54" s="46">
        <f>'Inputs (2)'!V6</f>
        <v>-20679</v>
      </c>
      <c r="AB54" s="12">
        <f>'Inputs (2)'!W6</f>
        <v>-76011</v>
      </c>
      <c r="AC54" s="46">
        <f>'Inputs (2)'!X6</f>
        <v>-18780</v>
      </c>
      <c r="AD54" s="46">
        <f>'Inputs (2)'!Y6</f>
        <v>-21120</v>
      </c>
      <c r="AE54" s="46">
        <f>'Inputs (2)'!Z6</f>
        <v>-24138</v>
      </c>
      <c r="AF54" s="46">
        <f>'Inputs (2)'!AA6</f>
        <v>-26088</v>
      </c>
      <c r="AG54" s="12">
        <f>'Inputs (2)'!AB6</f>
        <v>-90126</v>
      </c>
      <c r="AH54" s="12">
        <f>'Inputs (2)'!AC6</f>
        <v>-22447</v>
      </c>
      <c r="AI54" s="12">
        <f>'Inputs (2)'!AD6</f>
        <v>-25979</v>
      </c>
      <c r="AJ54" s="12">
        <f>-AJ15*AJ55</f>
        <v>-26351.8534201738</v>
      </c>
      <c r="AK54" s="12">
        <f>-AK15*AK55</f>
        <v>-29308.474419762</v>
      </c>
      <c r="AL54" s="12">
        <f>SUM(AH54:AK54)</f>
        <v>-104086.327839936</v>
      </c>
      <c r="AM54" s="12">
        <f>-AM15*AM55</f>
        <v>-28295.813060241</v>
      </c>
      <c r="AN54" s="12">
        <f>-AN15*AN55</f>
        <v>-30844.8462306601</v>
      </c>
      <c r="AO54" s="12">
        <f>-AO15*AO55</f>
        <v>-30998.3856729378</v>
      </c>
      <c r="AP54" s="12">
        <f>-AP15*AP55</f>
        <v>-34476.3375487546</v>
      </c>
      <c r="AQ54" s="12">
        <f>SUM(AM54:AP54)</f>
        <v>-124615.382512594</v>
      </c>
      <c r="AR54" s="12">
        <f>-AR15*AR55</f>
        <v>-33143.6380073072</v>
      </c>
      <c r="AS54" s="12">
        <f>-AS15*AS55</f>
        <v>-36129.3883191688</v>
      </c>
      <c r="AT54" s="12">
        <f>-AT15*AT55</f>
        <v>-36309.2331493513</v>
      </c>
      <c r="AU54" s="12">
        <f>-AU15*AU55</f>
        <v>-40383.0506337083</v>
      </c>
      <c r="AV54" s="12">
        <f>SUM(AR54:AU54)</f>
        <v>-145965.310109536</v>
      </c>
      <c r="AW54" s="12">
        <f>-AW15*AW55</f>
        <v>-38656.3060444586</v>
      </c>
      <c r="AX54" s="12">
        <f>-AX15*AX55</f>
        <v>-42138.6660015101</v>
      </c>
      <c r="AY54" s="12">
        <f>-AY15*AY55</f>
        <v>-42348.4238076543</v>
      </c>
      <c r="AZ54" s="12">
        <f>-AZ15*AZ55</f>
        <v>-47099.8254313943</v>
      </c>
      <c r="BA54" s="12">
        <f>SUM(AW54:AZ54)</f>
        <v>-170243.221285017</v>
      </c>
      <c r="BB54" s="12">
        <f>-BB15*BB55</f>
        <v>-44892.5957857619</v>
      </c>
      <c r="BC54" s="12">
        <f>-BC15*BC55</f>
        <v>-48936.752973276</v>
      </c>
      <c r="BD54" s="12">
        <f>-BD15*BD55</f>
        <v>-49180.3502894114</v>
      </c>
      <c r="BE54" s="12">
        <f>-BE15*BE55</f>
        <v>-54698.2792985892</v>
      </c>
      <c r="BF54" s="12">
        <f>SUM(BB54:BE54)</f>
        <v>-197707.978347038</v>
      </c>
      <c r="BG54" s="12" t="n"/>
      <c r="BH54" s="12" t="n"/>
      <c r="BI54" s="12" t="n"/>
      <c r="BJ54" s="12" t="n"/>
      <c r="BK54" s="12" t="n"/>
      <c r="BL54" s="12" t="n"/>
      <c r="BM54" s="12" t="n"/>
      <c r="BN54" s="12" t="n"/>
      <c r="BO54" s="12" t="n"/>
      <c r="BP54" s="12" t="n"/>
      <c r="BQ54" s="12" t="n"/>
      <c r="BR54" s="12" t="n"/>
      <c r="BS54" s="12" t="n"/>
      <c r="BT54" s="12" t="n"/>
      <c r="BU54" s="12" t="n"/>
      <c r="BV54" s="12" t="n"/>
      <c r="BW54" s="12" t="n"/>
      <c r="BX54" s="12" t="n"/>
      <c r="BY54" s="12" t="n"/>
      <c r="BZ54" s="12" t="n"/>
      <c r="CA54" s="12" t="n"/>
      <c r="CB54" s="12" t="n"/>
      <c r="CC54" s="12" t="n"/>
      <c r="CD54" s="12" t="n"/>
      <c r="CE54" s="12" t="n"/>
      <c r="CF54" s="12" t="n"/>
      <c r="CG54" s="12" t="n"/>
      <c r="CH54" s="12" t="n"/>
      <c r="CI54" s="12" t="n"/>
      <c r="CJ54" s="12" t="n"/>
      <c r="CK54" s="12" t="n"/>
      <c r="CL54" s="12" t="n"/>
      <c r="CM54" s="12" t="n"/>
      <c r="CN54" s="12" t="n"/>
      <c r="CO54" s="12" t="n"/>
      <c r="CP54" s="12" t="n"/>
      <c r="CQ54" s="12" t="n"/>
      <c r="CR54" s="12" t="n"/>
      <c r="CS54" s="12" t="n"/>
      <c r="CT54" s="12" t="n"/>
      <c r="CU54" s="12" t="n"/>
      <c r="CV54" s="12" t="n"/>
      <c r="CW54" s="12" t="n"/>
      <c r="CX54" s="12" t="n"/>
      <c r="CY54" s="12" t="n"/>
    </row>
    <row r="55" hidden="1" outlineLevel="1">
      <c r="C55" s="38" t="inlineStr">
        <is>
          <t>% SG&amp;A and Other Margin</t>
        </is>
      </c>
      <c r="D55" s="51" t="n"/>
      <c r="E55" s="51" t="n"/>
      <c r="F55" s="51" t="n"/>
      <c r="G55" s="51" t="n"/>
      <c r="H55" s="51" t="n"/>
      <c r="I55" s="51">
        <f>IFERROR(-(I54/I$15),"")</f>
        <v>0.221444842173772</v>
      </c>
      <c r="J55" s="51">
        <f>IFERROR(-(J54/J$15),"")</f>
        <v>0.219166127989657</v>
      </c>
      <c r="K55" s="51">
        <f>IFERROR(-(K54/K$15),"")</f>
        <v>0.205488497803987</v>
      </c>
      <c r="L55" s="51">
        <f>IFERROR(-(L54/L$15),"")</f>
        <v>0.228835048124793</v>
      </c>
      <c r="M55" s="51">
        <f>IFERROR(-(M54/M$15),"")</f>
        <v>0.219025217651191</v>
      </c>
      <c r="N55" s="51">
        <f>IFERROR(-(N54/N$15),"")</f>
        <v>0.216538501124818</v>
      </c>
      <c r="O55" s="51">
        <f>IFERROR(-(O54/O$15),"")</f>
        <v>0.235775274449308</v>
      </c>
      <c r="P55" s="51">
        <f>IFERROR(-(P54/P$15),"")</f>
        <v>0.244109303537313</v>
      </c>
      <c r="Q55" s="51">
        <f>IFERROR(-(Q54/Q$15),"")</f>
        <v>0.243017567851883</v>
      </c>
      <c r="R55" s="51">
        <f>IFERROR(-(R54/R$15),"")</f>
        <v>0.235132727092732</v>
      </c>
      <c r="S55" s="51">
        <f>IFERROR(-(S54/S$15),"")</f>
        <v>0.267958215713528</v>
      </c>
      <c r="T55" s="51">
        <f>IFERROR(-(T54/T$15),"")</f>
        <v>0.235523564420138</v>
      </c>
      <c r="U55" s="51">
        <f>IFERROR(-(U54/U$15),"")</f>
        <v>0.240569543504622</v>
      </c>
      <c r="V55" s="51">
        <f>IFERROR(-(V54/V$15),"")</f>
        <v>0.251674197659599</v>
      </c>
      <c r="W55" s="51">
        <f>IFERROR(-(W54/W$15),"")</f>
        <v>0.248680846080275</v>
      </c>
      <c r="X55" s="51">
        <f>IFERROR(-(X54/X$15),"")</f>
        <v>0.222774059772284</v>
      </c>
      <c r="Y55" s="51">
        <f>IFERROR(-(Y54/Y$15),"")</f>
        <v>0.213613084420948</v>
      </c>
      <c r="Z55" s="51">
        <f>IFERROR(-(Z54/Z$15),"")</f>
        <v>0.218516336611229</v>
      </c>
      <c r="AA55" s="51">
        <f>IFERROR(-(AA54/AA$15),"")</f>
        <v>0.214359016886254</v>
      </c>
      <c r="AB55" s="51">
        <f>IFERROR(-(AB54/AB$15),"")</f>
        <v>0.217163117325395</v>
      </c>
      <c r="AC55" s="51">
        <f>IFERROR(-(AC54/AC$15),"")</f>
        <v>0.208125540261986</v>
      </c>
      <c r="AD55" s="51">
        <f>IFERROR(-(AD54/AD$15),"")</f>
        <v>0.219023520139379</v>
      </c>
      <c r="AE55" s="51">
        <f>IFERROR(-(AE54/AE$15),"")</f>
        <v>0.235847028706544</v>
      </c>
      <c r="AF55" s="41">
        <f>IFERROR(-(AF54/AF$15),"")</f>
        <v>0.229185884089292</v>
      </c>
      <c r="AG55" s="51">
        <f>IFERROR(-(AG54/AG$15),"")</f>
        <v>0.22372820768698</v>
      </c>
      <c r="AH55" s="52">
        <f>IFERROR(-(AH54/AH$15),"")</f>
        <v>0.204256751838102</v>
      </c>
      <c r="AI55" s="52">
        <f>IFERROR(-(AI54/AI$15),"")</f>
        <v>0.216860329226351</v>
      </c>
      <c r="AJ55" s="52">
        <f>Control!$B$20</f>
        <v>0.218883175710276</v>
      </c>
      <c r="AK55" s="52">
        <f>Control!$B$20</f>
        <v>0.218883175710276</v>
      </c>
      <c r="AL55" s="51">
        <f>IFERROR(-(AL54/AL$15),"")</f>
        <v>0.21506132856132</v>
      </c>
      <c r="AM55" s="52">
        <f>Control!$C$20</f>
        <v>0.218883175710276</v>
      </c>
      <c r="AN55" s="52">
        <f>Control!$C$20</f>
        <v>0.218883175710276</v>
      </c>
      <c r="AO55" s="52">
        <f>Control!$C$20</f>
        <v>0.218883175710276</v>
      </c>
      <c r="AP55" s="52">
        <f>Control!$C$20</f>
        <v>0.218883175710276</v>
      </c>
      <c r="AQ55" s="51">
        <f>IFERROR(-(AQ54/AQ$15),"")</f>
        <v>0.218883175710276</v>
      </c>
      <c r="AR55" s="52">
        <f>Control!$D$20</f>
        <v>0.218883175710276</v>
      </c>
      <c r="AS55" s="52">
        <f>Control!$D$20</f>
        <v>0.218883175710276</v>
      </c>
      <c r="AT55" s="52">
        <f>Control!$D$20</f>
        <v>0.218883175710276</v>
      </c>
      <c r="AU55" s="52">
        <f>Control!$D$20</f>
        <v>0.218883175710276</v>
      </c>
      <c r="AV55" s="51">
        <f>IFERROR(-(AV54/AV$15),"")</f>
        <v>0.218883175710276</v>
      </c>
      <c r="AW55" s="52">
        <f>Control!$E$20</f>
        <v>0.218883175710276</v>
      </c>
      <c r="AX55" s="52">
        <f>Control!$E$20</f>
        <v>0.218883175710276</v>
      </c>
      <c r="AY55" s="52">
        <f>Control!$E$20</f>
        <v>0.218883175710276</v>
      </c>
      <c r="AZ55" s="52">
        <f>Control!$E$20</f>
        <v>0.218883175710276</v>
      </c>
      <c r="BA55" s="51">
        <f>IFERROR(-(BA54/BA$15),"")</f>
        <v>0.218883175710276</v>
      </c>
      <c r="BB55" s="52">
        <f>Control!$F$20</f>
        <v>0.218883175710276</v>
      </c>
      <c r="BC55" s="52">
        <f>Control!$F$20</f>
        <v>0.218883175710276</v>
      </c>
      <c r="BD55" s="52">
        <f>Control!$F$20</f>
        <v>0.218883175710276</v>
      </c>
      <c r="BE55" s="52">
        <f>Control!$F$20</f>
        <v>0.218883175710276</v>
      </c>
      <c r="BF55" s="51">
        <f>IFERROR(-(BF54/BF$15),"")</f>
        <v>0.218883175710276</v>
      </c>
      <c r="BG55" s="52" t="n"/>
      <c r="BH55" s="52" t="n"/>
      <c r="BI55" s="52" t="n"/>
      <c r="BJ55" s="52" t="n"/>
      <c r="BK55" s="51" t="n"/>
      <c r="BL55" s="52" t="n"/>
      <c r="BM55" s="52" t="n"/>
      <c r="BN55" s="52" t="n"/>
      <c r="BO55" s="52" t="n"/>
      <c r="BP55" s="51" t="n"/>
      <c r="BQ55" s="52" t="n"/>
      <c r="BR55" s="52" t="n"/>
      <c r="BS55" s="52" t="n"/>
      <c r="BT55" s="52" t="n"/>
      <c r="BU55" s="51" t="n"/>
      <c r="BV55" s="52" t="n"/>
      <c r="BW55" s="52" t="n"/>
      <c r="BX55" s="52" t="n"/>
      <c r="BY55" s="52" t="n"/>
      <c r="BZ55" s="51" t="n"/>
      <c r="CA55" s="52" t="n"/>
      <c r="CB55" s="52" t="n"/>
      <c r="CC55" s="52" t="n"/>
      <c r="CD55" s="52" t="n"/>
      <c r="CE55" s="51" t="n"/>
      <c r="CF55" s="52" t="n"/>
      <c r="CG55" s="52" t="n"/>
      <c r="CH55" s="52" t="n"/>
      <c r="CI55" s="52" t="n"/>
      <c r="CJ55" s="51" t="n"/>
      <c r="CK55" s="52" t="n"/>
      <c r="CL55" s="52" t="n"/>
      <c r="CM55" s="52" t="n"/>
      <c r="CN55" s="52" t="n"/>
      <c r="CO55" s="51" t="n"/>
      <c r="CP55" s="52" t="n"/>
      <c r="CQ55" s="52" t="n"/>
      <c r="CR55" s="52" t="n"/>
      <c r="CS55" s="52" t="n"/>
      <c r="CT55" s="51" t="n"/>
      <c r="CU55" s="52" t="n"/>
      <c r="CV55" s="52" t="n"/>
      <c r="CW55" s="52" t="n"/>
      <c r="CX55" s="52" t="n"/>
      <c r="CY55" s="51" t="n"/>
    </row>
    <row r="56" hidden="1" outlineLevel="1">
      <c r="C56" s="50" t="n"/>
      <c r="D56" s="50" t="n"/>
      <c r="E56" s="50" t="n"/>
      <c r="F56" s="50" t="n"/>
      <c r="G56" s="50" t="n"/>
      <c r="H56" s="50" t="n"/>
      <c r="I56" s="50" t="n"/>
      <c r="J56" s="50" t="n"/>
      <c r="K56" s="50" t="n"/>
      <c r="L56" s="50" t="n"/>
      <c r="M56" s="50" t="n"/>
      <c r="N56" s="50" t="n"/>
      <c r="O56" s="50" t="n"/>
      <c r="P56" s="50" t="n"/>
      <c r="Q56" s="50" t="n"/>
      <c r="R56" s="50" t="n"/>
      <c r="S56" s="50" t="n"/>
      <c r="T56" s="50" t="n"/>
      <c r="U56" s="50" t="n"/>
      <c r="V56" s="50" t="n"/>
      <c r="W56" s="50" t="n"/>
      <c r="X56" s="50" t="n"/>
      <c r="Y56" s="50" t="n"/>
      <c r="Z56" s="50" t="n"/>
      <c r="AA56" s="50" t="n"/>
      <c r="AB56" s="50" t="n"/>
      <c r="AC56" s="50" t="n"/>
      <c r="AD56" s="50" t="n"/>
      <c r="AE56" s="50" t="n"/>
      <c r="AF56" s="50" t="n"/>
      <c r="AG56" s="50" t="n"/>
      <c r="AH56" s="50" t="n"/>
      <c r="AI56" s="50" t="n"/>
      <c r="AJ56" s="50" t="n"/>
      <c r="AK56" s="50" t="n"/>
      <c r="AL56" s="50" t="n"/>
      <c r="AM56" s="50" t="n"/>
      <c r="AN56" s="50" t="n"/>
      <c r="AO56" s="50" t="n"/>
      <c r="AP56" s="50" t="n"/>
      <c r="AQ56" s="50" t="n"/>
      <c r="AR56" s="50" t="n"/>
      <c r="AS56" s="50" t="n"/>
      <c r="AT56" s="50" t="n"/>
      <c r="AU56" s="50" t="n"/>
      <c r="AV56" s="50" t="n"/>
      <c r="AW56" s="50" t="n"/>
      <c r="AX56" s="50" t="n"/>
      <c r="AY56" s="50" t="n"/>
      <c r="AZ56" s="50" t="n"/>
      <c r="BA56" s="50" t="n"/>
      <c r="BB56" s="50" t="n"/>
      <c r="BC56" s="50" t="n"/>
      <c r="BD56" s="50" t="n"/>
      <c r="BE56" s="50" t="n"/>
      <c r="BF56" s="50" t="n"/>
      <c r="BG56" s="50" t="n"/>
      <c r="BH56" s="50" t="n"/>
      <c r="BI56" s="50" t="n"/>
      <c r="BJ56" s="50" t="n"/>
      <c r="BK56" s="50" t="n"/>
      <c r="BL56" s="50" t="n"/>
      <c r="BM56" s="50" t="n"/>
      <c r="BN56" s="50" t="n"/>
      <c r="BO56" s="50" t="n"/>
      <c r="BP56" s="50" t="n"/>
      <c r="BQ56" s="50" t="n"/>
      <c r="BR56" s="50" t="n"/>
      <c r="BS56" s="50" t="n"/>
      <c r="BT56" s="50" t="n"/>
      <c r="BU56" s="50" t="n"/>
      <c r="BV56" s="50" t="n"/>
      <c r="BW56" s="50" t="n"/>
      <c r="BX56" s="50" t="n"/>
      <c r="BY56" s="50" t="n"/>
      <c r="BZ56" s="50" t="n"/>
      <c r="CA56" s="50" t="n"/>
      <c r="CB56" s="50" t="n"/>
      <c r="CC56" s="50" t="n"/>
      <c r="CD56" s="50" t="n"/>
      <c r="CE56" s="50" t="n"/>
      <c r="CF56" s="50" t="n"/>
      <c r="CG56" s="50" t="n"/>
      <c r="CH56" s="50" t="n"/>
      <c r="CI56" s="50" t="n"/>
      <c r="CJ56" s="50" t="n"/>
      <c r="CK56" s="50" t="n"/>
      <c r="CL56" s="50" t="n"/>
      <c r="CM56" s="50" t="n"/>
      <c r="CN56" s="50" t="n"/>
      <c r="CO56" s="50" t="n"/>
      <c r="CP56" s="50" t="n"/>
      <c r="CQ56" s="50" t="n"/>
      <c r="CR56" s="50" t="n"/>
      <c r="CS56" s="50" t="n"/>
      <c r="CT56" s="50" t="n"/>
      <c r="CU56" s="50" t="n"/>
      <c r="CV56" s="50" t="n"/>
      <c r="CW56" s="50" t="n"/>
      <c r="CX56" s="50" t="n"/>
      <c r="CY56" s="50" t="n"/>
    </row>
    <row r="57" hidden="1" outlineLevel="1">
      <c r="C57" s="50" t="inlineStr">
        <is>
          <t>Com Vendas</t>
        </is>
      </c>
      <c r="D57" s="11" t="n"/>
      <c r="E57" s="11" t="n"/>
      <c r="F57" s="11" t="n"/>
      <c r="G57" s="11" t="n"/>
      <c r="H57" s="50" t="n"/>
      <c r="I57" s="11" t="n"/>
      <c r="J57" s="11" t="n"/>
      <c r="K57" s="11" t="n"/>
      <c r="L57" s="11" t="n"/>
      <c r="M57" s="50" t="n"/>
      <c r="N57" s="11" t="n"/>
      <c r="O57" s="11" t="n"/>
      <c r="P57" s="11" t="n"/>
      <c r="Q57" s="11" t="n"/>
      <c r="R57" s="50" t="n"/>
      <c r="S57" s="11" t="n"/>
      <c r="T57" s="11" t="n"/>
      <c r="U57" s="11" t="n"/>
      <c r="V57" s="11" t="n"/>
      <c r="W57" s="50" t="n"/>
      <c r="X57" s="11" t="n"/>
      <c r="Y57" s="11" t="n"/>
      <c r="Z57" s="11" t="n"/>
      <c r="AA57" s="11" t="n"/>
      <c r="AB57" s="50" t="n"/>
      <c r="AC57" s="11" t="n"/>
      <c r="AD57" s="11" t="n"/>
      <c r="AE57" s="11" t="n"/>
      <c r="AF57" s="11" t="n"/>
      <c r="AG57" s="50" t="n"/>
      <c r="AH57" s="50" t="n"/>
      <c r="AI57" s="50" t="n"/>
      <c r="AJ57" s="50" t="n"/>
      <c r="AK57" s="50" t="n"/>
      <c r="AL57" s="50" t="n"/>
      <c r="AM57" s="50" t="n"/>
      <c r="AN57" s="50" t="n"/>
      <c r="AO57" s="50" t="n"/>
      <c r="AP57" s="50" t="n"/>
      <c r="AQ57" s="50" t="n"/>
      <c r="AR57" s="50" t="n"/>
      <c r="AS57" s="50" t="n"/>
      <c r="AT57" s="50" t="n"/>
      <c r="AU57" s="50" t="n"/>
      <c r="AV57" s="50" t="n"/>
      <c r="AW57" s="50" t="n"/>
      <c r="AX57" s="50" t="n"/>
      <c r="AY57" s="50" t="n"/>
      <c r="AZ57" s="50" t="n"/>
      <c r="BA57" s="50" t="n"/>
      <c r="BB57" s="50" t="n"/>
      <c r="BC57" s="50" t="n"/>
      <c r="BD57" s="50" t="n"/>
      <c r="BE57" s="50" t="n"/>
      <c r="BF57" s="50" t="n"/>
      <c r="BG57" s="50" t="n"/>
      <c r="BH57" s="50" t="n"/>
      <c r="BI57" s="50" t="n"/>
      <c r="BJ57" s="50" t="n"/>
      <c r="BK57" s="50" t="n"/>
      <c r="BL57" s="50" t="n"/>
      <c r="BM57" s="50" t="n"/>
      <c r="BN57" s="50" t="n"/>
      <c r="BO57" s="50" t="n"/>
      <c r="BP57" s="50" t="n"/>
      <c r="BQ57" s="50" t="n"/>
      <c r="BR57" s="50" t="n"/>
      <c r="BS57" s="50" t="n"/>
      <c r="BT57" s="50" t="n"/>
      <c r="BU57" s="50" t="n"/>
      <c r="BV57" s="50" t="n"/>
      <c r="BW57" s="50" t="n"/>
      <c r="BX57" s="50" t="n"/>
      <c r="BY57" s="50" t="n"/>
      <c r="BZ57" s="50" t="n"/>
      <c r="CA57" s="50" t="n"/>
      <c r="CB57" s="50" t="n"/>
      <c r="CC57" s="50" t="n"/>
      <c r="CD57" s="50" t="n"/>
      <c r="CE57" s="50" t="n"/>
      <c r="CF57" s="50" t="n"/>
      <c r="CG57" s="50" t="n"/>
      <c r="CH57" s="50" t="n"/>
      <c r="CI57" s="50" t="n"/>
      <c r="CJ57" s="50" t="n"/>
      <c r="CK57" s="50" t="n"/>
      <c r="CL57" s="50" t="n"/>
      <c r="CM57" s="50" t="n"/>
      <c r="CN57" s="50" t="n"/>
      <c r="CO57" s="50" t="n"/>
      <c r="CP57" s="50" t="n"/>
      <c r="CQ57" s="50" t="n"/>
      <c r="CR57" s="50" t="n"/>
      <c r="CS57" s="50" t="n"/>
      <c r="CT57" s="50" t="n"/>
      <c r="CU57" s="50" t="n"/>
      <c r="CV57" s="50" t="n"/>
      <c r="CW57" s="50" t="n"/>
      <c r="CX57" s="50" t="n"/>
      <c r="CY57" s="50" t="n"/>
    </row>
    <row r="58" hidden="1" outlineLevel="1">
      <c r="C58" s="50" t="inlineStr">
        <is>
          <t>Gerais &amp; Administrativas</t>
        </is>
      </c>
      <c r="D58" s="11" t="n"/>
      <c r="E58" s="11" t="n"/>
      <c r="F58" s="11" t="n"/>
      <c r="G58" s="11" t="n"/>
      <c r="H58" s="50" t="n"/>
      <c r="I58" s="11" t="n"/>
      <c r="J58" s="11" t="n"/>
      <c r="K58" s="11" t="n"/>
      <c r="L58" s="11" t="n"/>
      <c r="M58" s="50" t="n"/>
      <c r="N58" s="11" t="n"/>
      <c r="O58" s="11" t="n"/>
      <c r="P58" s="11" t="n"/>
      <c r="Q58" s="11" t="n"/>
      <c r="R58" s="50" t="n"/>
      <c r="S58" s="11" t="n"/>
      <c r="T58" s="11" t="n"/>
      <c r="U58" s="11" t="n"/>
      <c r="V58" s="11" t="n"/>
      <c r="W58" s="50" t="n"/>
      <c r="X58" s="11" t="n"/>
      <c r="Y58" s="11" t="n"/>
      <c r="Z58" s="11" t="n"/>
      <c r="AA58" s="11" t="n"/>
      <c r="AB58" s="50" t="n"/>
      <c r="AC58" s="11" t="n"/>
      <c r="AD58" s="11" t="n"/>
      <c r="AE58" s="11" t="n"/>
      <c r="AF58" s="11" t="n"/>
      <c r="AG58" s="50" t="n"/>
      <c r="AH58" s="50" t="n"/>
      <c r="AI58" s="50" t="n"/>
      <c r="AJ58" s="50" t="n"/>
      <c r="AK58" s="50" t="n"/>
      <c r="AL58" s="50" t="n"/>
      <c r="AM58" s="50" t="n"/>
      <c r="AN58" s="50" t="n"/>
      <c r="AO58" s="50" t="n"/>
      <c r="AP58" s="50" t="n"/>
      <c r="AQ58" s="50" t="n"/>
      <c r="AR58" s="50" t="n"/>
      <c r="AS58" s="50" t="n"/>
      <c r="AT58" s="50" t="n"/>
      <c r="AU58" s="50" t="n"/>
      <c r="AV58" s="50" t="n"/>
      <c r="AW58" s="50" t="n"/>
      <c r="AX58" s="50" t="n"/>
      <c r="AY58" s="50" t="n"/>
      <c r="AZ58" s="50" t="n"/>
      <c r="BA58" s="50" t="n"/>
      <c r="BB58" s="50" t="n"/>
      <c r="BC58" s="50" t="n"/>
      <c r="BD58" s="50" t="n"/>
      <c r="BE58" s="50" t="n"/>
      <c r="BF58" s="50" t="n"/>
      <c r="BG58" s="50" t="n"/>
      <c r="BH58" s="50" t="n"/>
      <c r="BI58" s="50" t="n"/>
      <c r="BJ58" s="50" t="n"/>
      <c r="BK58" s="50" t="n"/>
      <c r="BL58" s="50" t="n"/>
      <c r="BM58" s="50" t="n"/>
      <c r="BN58" s="50" t="n"/>
      <c r="BO58" s="50" t="n"/>
      <c r="BP58" s="50" t="n"/>
      <c r="BQ58" s="50" t="n"/>
      <c r="BR58" s="50" t="n"/>
      <c r="BS58" s="50" t="n"/>
      <c r="BT58" s="50" t="n"/>
      <c r="BU58" s="50" t="n"/>
      <c r="BV58" s="50" t="n"/>
      <c r="BW58" s="50" t="n"/>
      <c r="BX58" s="50" t="n"/>
      <c r="BY58" s="50" t="n"/>
      <c r="BZ58" s="50" t="n"/>
      <c r="CA58" s="50" t="n"/>
      <c r="CB58" s="50" t="n"/>
      <c r="CC58" s="50" t="n"/>
      <c r="CD58" s="50" t="n"/>
      <c r="CE58" s="50" t="n"/>
      <c r="CF58" s="50" t="n"/>
      <c r="CG58" s="50" t="n"/>
      <c r="CH58" s="50" t="n"/>
      <c r="CI58" s="50" t="n"/>
      <c r="CJ58" s="50" t="n"/>
      <c r="CK58" s="50" t="n"/>
      <c r="CL58" s="50" t="n"/>
      <c r="CM58" s="50" t="n"/>
      <c r="CN58" s="50" t="n"/>
      <c r="CO58" s="50" t="n"/>
      <c r="CP58" s="50" t="n"/>
      <c r="CQ58" s="50" t="n"/>
      <c r="CR58" s="50" t="n"/>
      <c r="CS58" s="50" t="n"/>
      <c r="CT58" s="50" t="n"/>
      <c r="CU58" s="50" t="n"/>
      <c r="CV58" s="50" t="n"/>
      <c r="CW58" s="50" t="n"/>
      <c r="CX58" s="50" t="n"/>
      <c r="CY58" s="50" t="n"/>
    </row>
    <row r="59" hidden="1" outlineLevel="1">
      <c r="C59" s="50" t="inlineStr">
        <is>
          <t>Outras Receitas (Despesas) Operacionais, Líquidas</t>
        </is>
      </c>
      <c r="D59" s="11" t="n"/>
      <c r="E59" s="11" t="n"/>
      <c r="F59" s="11" t="n"/>
      <c r="G59" s="11" t="n"/>
      <c r="H59" s="50" t="n"/>
      <c r="I59" s="11" t="n"/>
      <c r="J59" s="11" t="n"/>
      <c r="K59" s="11" t="n"/>
      <c r="L59" s="11" t="n"/>
      <c r="M59" s="50" t="n"/>
      <c r="N59" s="11" t="n"/>
      <c r="O59" s="11" t="n"/>
      <c r="P59" s="11" t="n"/>
      <c r="Q59" s="11" t="n"/>
      <c r="R59" s="50" t="n"/>
      <c r="S59" s="11" t="n"/>
      <c r="T59" s="11" t="n"/>
      <c r="U59" s="11" t="n"/>
      <c r="V59" s="11" t="n"/>
      <c r="W59" s="50" t="n"/>
      <c r="X59" s="11" t="n"/>
      <c r="Y59" s="11" t="n"/>
      <c r="Z59" s="11" t="n"/>
      <c r="AA59" s="11" t="n"/>
      <c r="AB59" s="50" t="n"/>
      <c r="AC59" s="11" t="n"/>
      <c r="AD59" s="11" t="n"/>
      <c r="AE59" s="11" t="n"/>
      <c r="AF59" s="11" t="n"/>
      <c r="AG59" s="50" t="n"/>
      <c r="AH59" s="50" t="n"/>
      <c r="AI59" s="50" t="n"/>
      <c r="AJ59" s="50" t="n"/>
      <c r="AK59" s="50" t="n"/>
      <c r="AL59" s="50" t="n"/>
      <c r="AM59" s="50" t="n"/>
      <c r="AN59" s="50" t="n"/>
      <c r="AO59" s="50" t="n"/>
      <c r="AP59" s="50" t="n"/>
      <c r="AQ59" s="50" t="n"/>
      <c r="AR59" s="50" t="n"/>
      <c r="AS59" s="50" t="n"/>
      <c r="AT59" s="50" t="n"/>
      <c r="AU59" s="50" t="n"/>
      <c r="AV59" s="50" t="n"/>
      <c r="AW59" s="50" t="n"/>
      <c r="AX59" s="50" t="n"/>
      <c r="AY59" s="50" t="n"/>
      <c r="AZ59" s="50" t="n"/>
      <c r="BA59" s="50" t="n"/>
      <c r="BB59" s="50" t="n"/>
      <c r="BC59" s="50" t="n"/>
      <c r="BD59" s="50" t="n"/>
      <c r="BE59" s="50" t="n"/>
      <c r="BF59" s="50" t="n"/>
      <c r="BG59" s="50" t="n"/>
      <c r="BH59" s="50" t="n"/>
      <c r="BI59" s="50" t="n"/>
      <c r="BJ59" s="50" t="n"/>
      <c r="BK59" s="50" t="n"/>
      <c r="BL59" s="50" t="n"/>
      <c r="BM59" s="50" t="n"/>
      <c r="BN59" s="50" t="n"/>
      <c r="BO59" s="50" t="n"/>
      <c r="BP59" s="50" t="n"/>
      <c r="BQ59" s="50" t="n"/>
      <c r="BR59" s="50" t="n"/>
      <c r="BS59" s="50" t="n"/>
      <c r="BT59" s="50" t="n"/>
      <c r="BU59" s="50" t="n"/>
      <c r="BV59" s="50" t="n"/>
      <c r="BW59" s="50" t="n"/>
      <c r="BX59" s="50" t="n"/>
      <c r="BY59" s="50" t="n"/>
      <c r="BZ59" s="50" t="n"/>
      <c r="CA59" s="50" t="n"/>
      <c r="CB59" s="50" t="n"/>
      <c r="CC59" s="50" t="n"/>
      <c r="CD59" s="50" t="n"/>
      <c r="CE59" s="50" t="n"/>
      <c r="CF59" s="50" t="n"/>
      <c r="CG59" s="50" t="n"/>
      <c r="CH59" s="50" t="n"/>
      <c r="CI59" s="50" t="n"/>
      <c r="CJ59" s="50" t="n"/>
      <c r="CK59" s="50" t="n"/>
      <c r="CL59" s="50" t="n"/>
      <c r="CM59" s="50" t="n"/>
      <c r="CN59" s="50" t="n"/>
      <c r="CO59" s="50" t="n"/>
      <c r="CP59" s="50" t="n"/>
      <c r="CQ59" s="50" t="n"/>
      <c r="CR59" s="50" t="n"/>
      <c r="CS59" s="50" t="n"/>
      <c r="CT59" s="50" t="n"/>
      <c r="CU59" s="50" t="n"/>
      <c r="CV59" s="50" t="n"/>
      <c r="CW59" s="50" t="n"/>
      <c r="CX59" s="50" t="n"/>
      <c r="CY59" s="50" t="n"/>
    </row>
    <row r="60" hidden="1" outlineLevel="1">
      <c r="C60" s="50" t="n"/>
      <c r="D60" s="50" t="n"/>
      <c r="E60" s="50" t="n"/>
      <c r="F60" s="50" t="n"/>
      <c r="G60" s="50" t="n"/>
      <c r="H60" s="50" t="n"/>
      <c r="I60" s="50" t="n"/>
      <c r="J60" s="50" t="n"/>
      <c r="K60" s="50" t="n"/>
      <c r="L60" s="50" t="n"/>
      <c r="M60" s="50" t="n"/>
      <c r="N60" s="50" t="n"/>
      <c r="O60" s="50" t="n"/>
      <c r="P60" s="50" t="n"/>
      <c r="Q60" s="50" t="n"/>
      <c r="R60" s="50" t="n"/>
      <c r="S60" s="50" t="n"/>
      <c r="T60" s="50" t="n"/>
      <c r="U60" s="50" t="n"/>
      <c r="V60" s="50" t="n"/>
      <c r="W60" s="50" t="n"/>
      <c r="X60" s="50" t="n"/>
      <c r="Y60" s="50" t="n"/>
      <c r="Z60" s="50" t="n"/>
      <c r="AA60" s="50" t="n"/>
      <c r="AB60" s="50" t="n"/>
      <c r="AC60" s="50" t="n"/>
      <c r="AD60" s="50" t="n"/>
      <c r="AE60" s="50" t="n"/>
      <c r="AF60" s="50" t="n"/>
      <c r="AG60" s="50" t="n"/>
      <c r="AH60" s="50" t="n"/>
      <c r="AI60" s="50" t="n"/>
      <c r="AJ60" s="50" t="n"/>
      <c r="AK60" s="50" t="n"/>
      <c r="AL60" s="50" t="n"/>
      <c r="AM60" s="50" t="n"/>
      <c r="AN60" s="50" t="n"/>
      <c r="AO60" s="50" t="n"/>
      <c r="AP60" s="50" t="n"/>
      <c r="AQ60" s="50" t="n"/>
      <c r="AR60" s="50" t="n"/>
      <c r="AS60" s="50" t="n"/>
      <c r="AT60" s="50" t="n"/>
      <c r="AU60" s="50" t="n"/>
      <c r="AV60" s="50" t="n"/>
      <c r="AW60" s="50" t="n"/>
      <c r="AX60" s="50" t="n"/>
      <c r="AY60" s="50" t="n"/>
      <c r="AZ60" s="50" t="n"/>
      <c r="BA60" s="50" t="n"/>
      <c r="BB60" s="50" t="n"/>
      <c r="BC60" s="50" t="n"/>
      <c r="BD60" s="50" t="n"/>
      <c r="BE60" s="50" t="n"/>
      <c r="BF60" s="50" t="n"/>
      <c r="BG60" s="50" t="n"/>
      <c r="BH60" s="50" t="n"/>
      <c r="BI60" s="50" t="n"/>
      <c r="BJ60" s="50" t="n"/>
      <c r="BK60" s="50" t="n"/>
      <c r="BL60" s="50" t="n"/>
      <c r="BM60" s="50" t="n"/>
      <c r="BN60" s="50" t="n"/>
      <c r="BO60" s="50" t="n"/>
      <c r="BP60" s="50" t="n"/>
      <c r="BQ60" s="50" t="n"/>
      <c r="BR60" s="50" t="n"/>
      <c r="BS60" s="50" t="n"/>
      <c r="BT60" s="50" t="n"/>
      <c r="BU60" s="50" t="n"/>
      <c r="BV60" s="50" t="n"/>
      <c r="BW60" s="50" t="n"/>
      <c r="BX60" s="50" t="n"/>
      <c r="BY60" s="50" t="n"/>
      <c r="BZ60" s="50" t="n"/>
      <c r="CA60" s="50" t="n"/>
      <c r="CB60" s="50" t="n"/>
      <c r="CC60" s="50" t="n"/>
      <c r="CD60" s="50" t="n"/>
      <c r="CE60" s="50" t="n"/>
      <c r="CF60" s="50" t="n"/>
      <c r="CG60" s="50" t="n"/>
      <c r="CH60" s="50" t="n"/>
      <c r="CI60" s="50" t="n"/>
      <c r="CJ60" s="50" t="n"/>
      <c r="CK60" s="50" t="n"/>
      <c r="CL60" s="50" t="n"/>
      <c r="CM60" s="50" t="n"/>
      <c r="CN60" s="50" t="n"/>
      <c r="CO60" s="50" t="n"/>
      <c r="CP60" s="50" t="n"/>
      <c r="CQ60" s="50" t="n"/>
      <c r="CR60" s="50" t="n"/>
      <c r="CS60" s="50" t="n"/>
      <c r="CT60" s="50" t="n"/>
      <c r="CU60" s="50" t="n"/>
      <c r="CV60" s="50" t="n"/>
      <c r="CW60" s="50" t="n"/>
      <c r="CX60" s="50" t="n"/>
      <c r="CY60" s="50" t="n"/>
    </row>
    <row r="61" hidden="1" outlineLevel="1">
      <c r="C61" s="50" t="inlineStr">
        <is>
          <t>Com Vendas (%)</t>
        </is>
      </c>
      <c r="D61" s="50" t="n"/>
      <c r="E61" s="50" t="n"/>
      <c r="F61" s="50" t="n"/>
      <c r="G61" s="50" t="n"/>
      <c r="H61" s="50" t="n"/>
      <c r="I61" s="50" t="n"/>
      <c r="J61" s="50" t="n"/>
      <c r="K61" s="50" t="n"/>
      <c r="L61" s="50" t="n"/>
      <c r="M61" s="50" t="n"/>
      <c r="N61" s="50" t="n"/>
      <c r="O61" s="50" t="n"/>
      <c r="P61" s="50" t="n"/>
      <c r="Q61" s="50" t="n"/>
      <c r="R61" s="50" t="n"/>
      <c r="S61" s="50" t="n"/>
      <c r="T61" s="50" t="n"/>
      <c r="U61" s="50" t="n"/>
      <c r="V61" s="50" t="n"/>
      <c r="W61" s="50" t="n"/>
      <c r="X61" s="50" t="n"/>
      <c r="Y61" s="50" t="n"/>
      <c r="Z61" s="50" t="n"/>
      <c r="AA61" s="50" t="n"/>
      <c r="AB61" s="50" t="n"/>
      <c r="AC61" s="50" t="n"/>
      <c r="AD61" s="50" t="n"/>
      <c r="AE61" s="50" t="n"/>
      <c r="AF61" s="50" t="n"/>
      <c r="AG61" s="50" t="n"/>
      <c r="AH61" s="50" t="n"/>
      <c r="AI61" s="50" t="n"/>
      <c r="AJ61" s="50" t="n"/>
      <c r="AK61" s="50" t="n"/>
      <c r="AL61" s="50" t="n"/>
      <c r="AM61" s="50" t="n"/>
      <c r="AN61" s="50" t="n"/>
      <c r="AO61" s="50" t="n"/>
      <c r="AP61" s="50" t="n"/>
      <c r="AQ61" s="50" t="n"/>
      <c r="AR61" s="50" t="n"/>
      <c r="AS61" s="50" t="n"/>
      <c r="AT61" s="50" t="n"/>
      <c r="AU61" s="50" t="n"/>
      <c r="AV61" s="50" t="n"/>
      <c r="AW61" s="50" t="n"/>
      <c r="AX61" s="50" t="n"/>
      <c r="AY61" s="50" t="n"/>
      <c r="AZ61" s="50" t="n"/>
      <c r="BA61" s="50" t="n"/>
      <c r="BB61" s="50" t="n"/>
      <c r="BC61" s="50" t="n"/>
      <c r="BD61" s="50" t="n"/>
      <c r="BE61" s="50" t="n"/>
      <c r="BF61" s="50" t="n"/>
      <c r="BG61" s="50" t="n"/>
      <c r="BH61" s="50" t="n"/>
      <c r="BI61" s="50" t="n"/>
      <c r="BJ61" s="50" t="n"/>
      <c r="BK61" s="50" t="n"/>
      <c r="BL61" s="50" t="n"/>
      <c r="BM61" s="50" t="n"/>
      <c r="BN61" s="50" t="n"/>
      <c r="BO61" s="50" t="n"/>
      <c r="BP61" s="50" t="n"/>
      <c r="BQ61" s="50" t="n"/>
      <c r="BR61" s="50" t="n"/>
      <c r="BS61" s="50" t="n"/>
      <c r="BT61" s="50" t="n"/>
      <c r="BU61" s="50" t="n"/>
      <c r="BV61" s="50" t="n"/>
      <c r="BW61" s="50" t="n"/>
      <c r="BX61" s="50" t="n"/>
      <c r="BY61" s="50" t="n"/>
      <c r="BZ61" s="50" t="n"/>
      <c r="CA61" s="50" t="n"/>
      <c r="CB61" s="50" t="n"/>
      <c r="CC61" s="50" t="n"/>
      <c r="CD61" s="50" t="n"/>
      <c r="CE61" s="50" t="n"/>
      <c r="CF61" s="50" t="n"/>
      <c r="CG61" s="50" t="n"/>
      <c r="CH61" s="50" t="n"/>
      <c r="CI61" s="50" t="n"/>
      <c r="CJ61" s="50" t="n"/>
      <c r="CK61" s="50" t="n"/>
      <c r="CL61" s="50" t="n"/>
      <c r="CM61" s="50" t="n"/>
      <c r="CN61" s="50" t="n"/>
      <c r="CO61" s="50" t="n"/>
      <c r="CP61" s="50" t="n"/>
      <c r="CQ61" s="50" t="n"/>
      <c r="CR61" s="50" t="n"/>
      <c r="CS61" s="50" t="n"/>
      <c r="CT61" s="50" t="n"/>
      <c r="CU61" s="50" t="n"/>
      <c r="CV61" s="50" t="n"/>
      <c r="CW61" s="50" t="n"/>
      <c r="CX61" s="50" t="n"/>
      <c r="CY61" s="50" t="n"/>
    </row>
    <row r="62" hidden="1" outlineLevel="1">
      <c r="C62" s="50" t="inlineStr">
        <is>
          <t>Gerais &amp; Administrativas (%)</t>
        </is>
      </c>
      <c r="D62" s="50" t="n"/>
      <c r="E62" s="50" t="n"/>
      <c r="F62" s="50" t="n"/>
      <c r="G62" s="50" t="n"/>
      <c r="H62" s="50" t="n"/>
      <c r="I62" s="50" t="n"/>
      <c r="J62" s="50" t="n"/>
      <c r="K62" s="50" t="n"/>
      <c r="L62" s="50" t="n"/>
      <c r="M62" s="50" t="n"/>
      <c r="N62" s="50" t="n"/>
      <c r="O62" s="50" t="n"/>
      <c r="P62" s="50" t="n"/>
      <c r="Q62" s="50" t="n"/>
      <c r="R62" s="50" t="n"/>
      <c r="S62" s="50" t="n"/>
      <c r="T62" s="50" t="n"/>
      <c r="U62" s="50" t="n"/>
      <c r="V62" s="50" t="n"/>
      <c r="W62" s="50" t="n"/>
      <c r="X62" s="50" t="n"/>
      <c r="Y62" s="50" t="n"/>
      <c r="Z62" s="50" t="n"/>
      <c r="AA62" s="50" t="n"/>
      <c r="AB62" s="50" t="n"/>
      <c r="AC62" s="50" t="n"/>
      <c r="AD62" s="50" t="n"/>
      <c r="AE62" s="50" t="n"/>
      <c r="AF62" s="50" t="n"/>
      <c r="AG62" s="50" t="n"/>
      <c r="AH62" s="50" t="n"/>
      <c r="AI62" s="50" t="n"/>
      <c r="AJ62" s="50" t="n"/>
      <c r="AK62" s="50" t="n"/>
      <c r="AL62" s="50" t="n"/>
      <c r="AM62" s="50" t="n"/>
      <c r="AN62" s="50" t="n"/>
      <c r="AO62" s="50" t="n"/>
      <c r="AP62" s="50" t="n"/>
      <c r="AQ62" s="50" t="n"/>
      <c r="AR62" s="50" t="n"/>
      <c r="AS62" s="50" t="n"/>
      <c r="AT62" s="50" t="n"/>
      <c r="AU62" s="50" t="n"/>
      <c r="AV62" s="50" t="n"/>
      <c r="AW62" s="50" t="n"/>
      <c r="AX62" s="50" t="n"/>
      <c r="AY62" s="50" t="n"/>
      <c r="AZ62" s="50" t="n"/>
      <c r="BA62" s="50" t="n"/>
      <c r="BB62" s="50" t="n"/>
      <c r="BC62" s="50" t="n"/>
      <c r="BD62" s="50" t="n"/>
      <c r="BE62" s="50" t="n"/>
      <c r="BF62" s="50" t="n"/>
      <c r="BG62" s="50" t="n"/>
      <c r="BH62" s="50" t="n"/>
      <c r="BI62" s="50" t="n"/>
      <c r="BJ62" s="50" t="n"/>
      <c r="BK62" s="50" t="n"/>
      <c r="BL62" s="50" t="n"/>
      <c r="BM62" s="50" t="n"/>
      <c r="BN62" s="50" t="n"/>
      <c r="BO62" s="50" t="n"/>
      <c r="BP62" s="50" t="n"/>
      <c r="BQ62" s="50" t="n"/>
      <c r="BR62" s="50" t="n"/>
      <c r="BS62" s="50" t="n"/>
      <c r="BT62" s="50" t="n"/>
      <c r="BU62" s="50" t="n"/>
      <c r="BV62" s="50" t="n"/>
      <c r="BW62" s="50" t="n"/>
      <c r="BX62" s="50" t="n"/>
      <c r="BY62" s="50" t="n"/>
      <c r="BZ62" s="50" t="n"/>
      <c r="CA62" s="50" t="n"/>
      <c r="CB62" s="50" t="n"/>
      <c r="CC62" s="50" t="n"/>
      <c r="CD62" s="50" t="n"/>
      <c r="CE62" s="50" t="n"/>
      <c r="CF62" s="50" t="n"/>
      <c r="CG62" s="50" t="n"/>
      <c r="CH62" s="50" t="n"/>
      <c r="CI62" s="50" t="n"/>
      <c r="CJ62" s="50" t="n"/>
      <c r="CK62" s="50" t="n"/>
      <c r="CL62" s="50" t="n"/>
      <c r="CM62" s="50" t="n"/>
      <c r="CN62" s="50" t="n"/>
      <c r="CO62" s="50" t="n"/>
      <c r="CP62" s="50" t="n"/>
      <c r="CQ62" s="50" t="n"/>
      <c r="CR62" s="50" t="n"/>
      <c r="CS62" s="50" t="n"/>
      <c r="CT62" s="50" t="n"/>
      <c r="CU62" s="50" t="n"/>
      <c r="CV62" s="50" t="n"/>
      <c r="CW62" s="50" t="n"/>
      <c r="CX62" s="50" t="n"/>
      <c r="CY62" s="50" t="n"/>
    </row>
    <row r="63" hidden="1" outlineLevel="1">
      <c r="C63" s="50" t="inlineStr">
        <is>
          <t>Outras Receitas (Despesas) Operacionais, Líquidas (%)</t>
        </is>
      </c>
      <c r="D63" s="50" t="n"/>
      <c r="E63" s="50" t="n"/>
      <c r="F63" s="50" t="n"/>
      <c r="G63" s="50" t="n"/>
      <c r="H63" s="50" t="n"/>
      <c r="I63" s="50" t="n"/>
      <c r="J63" s="50" t="n"/>
      <c r="K63" s="50" t="n"/>
      <c r="L63" s="50" t="n"/>
      <c r="M63" s="50" t="n"/>
      <c r="N63" s="50" t="n"/>
      <c r="O63" s="50" t="n"/>
      <c r="P63" s="50" t="n"/>
      <c r="Q63" s="50" t="n"/>
      <c r="R63" s="50" t="n"/>
      <c r="S63" s="50" t="n"/>
      <c r="T63" s="50" t="n"/>
      <c r="U63" s="50" t="n"/>
      <c r="V63" s="50" t="n"/>
      <c r="W63" s="50" t="n"/>
      <c r="X63" s="50" t="n"/>
      <c r="Y63" s="50" t="n"/>
      <c r="Z63" s="50" t="n"/>
      <c r="AA63" s="50" t="n"/>
      <c r="AB63" s="50" t="n"/>
      <c r="AC63" s="50" t="n"/>
      <c r="AD63" s="50" t="n"/>
      <c r="AE63" s="50" t="n"/>
      <c r="AF63" s="50" t="n"/>
      <c r="AG63" s="50" t="n"/>
      <c r="AH63" s="50" t="n"/>
      <c r="AI63" s="50" t="n"/>
      <c r="AJ63" s="50" t="n"/>
      <c r="AK63" s="50" t="n"/>
      <c r="AL63" s="50" t="n"/>
      <c r="AM63" s="50" t="n"/>
      <c r="AN63" s="50" t="n"/>
      <c r="AO63" s="50" t="n"/>
      <c r="AP63" s="50" t="n"/>
      <c r="AQ63" s="50" t="n"/>
      <c r="AR63" s="50" t="n"/>
      <c r="AS63" s="50" t="n"/>
      <c r="AT63" s="50" t="n"/>
      <c r="AU63" s="50" t="n"/>
      <c r="AV63" s="50" t="n"/>
      <c r="AW63" s="50" t="n"/>
      <c r="AX63" s="50" t="n"/>
      <c r="AY63" s="50" t="n"/>
      <c r="AZ63" s="50" t="n"/>
      <c r="BA63" s="50" t="n"/>
      <c r="BB63" s="50" t="n"/>
      <c r="BC63" s="50" t="n"/>
      <c r="BD63" s="50" t="n"/>
      <c r="BE63" s="50" t="n"/>
      <c r="BF63" s="50" t="n"/>
      <c r="BG63" s="50" t="n"/>
      <c r="BH63" s="50" t="n"/>
      <c r="BI63" s="50" t="n"/>
      <c r="BJ63" s="50" t="n"/>
      <c r="BK63" s="50" t="n"/>
      <c r="BL63" s="50" t="n"/>
      <c r="BM63" s="50" t="n"/>
      <c r="BN63" s="50" t="n"/>
      <c r="BO63" s="50" t="n"/>
      <c r="BP63" s="50" t="n"/>
      <c r="BQ63" s="50" t="n"/>
      <c r="BR63" s="50" t="n"/>
      <c r="BS63" s="50" t="n"/>
      <c r="BT63" s="50" t="n"/>
      <c r="BU63" s="50" t="n"/>
      <c r="BV63" s="50" t="n"/>
      <c r="BW63" s="50" t="n"/>
      <c r="BX63" s="50" t="n"/>
      <c r="BY63" s="50" t="n"/>
      <c r="BZ63" s="50" t="n"/>
      <c r="CA63" s="50" t="n"/>
      <c r="CB63" s="50" t="n"/>
      <c r="CC63" s="50" t="n"/>
      <c r="CD63" s="50" t="n"/>
      <c r="CE63" s="50" t="n"/>
      <c r="CF63" s="50" t="n"/>
      <c r="CG63" s="50" t="n"/>
      <c r="CH63" s="50" t="n"/>
      <c r="CI63" s="50" t="n"/>
      <c r="CJ63" s="50" t="n"/>
      <c r="CK63" s="50" t="n"/>
      <c r="CL63" s="50" t="n"/>
      <c r="CM63" s="50" t="n"/>
      <c r="CN63" s="50" t="n"/>
      <c r="CO63" s="50" t="n"/>
      <c r="CP63" s="50" t="n"/>
      <c r="CQ63" s="50" t="n"/>
      <c r="CR63" s="50" t="n"/>
      <c r="CS63" s="50" t="n"/>
      <c r="CT63" s="50" t="n"/>
      <c r="CU63" s="50" t="n"/>
      <c r="CV63" s="50" t="n"/>
      <c r="CW63" s="50" t="n"/>
      <c r="CX63" s="50" t="n"/>
      <c r="CY63" s="50" t="n"/>
    </row>
    <row r="64" hidden="1" outlineLevel="1">
      <c r="C64" s="50" t="n"/>
      <c r="D64" s="50" t="n"/>
      <c r="E64" s="50" t="n"/>
      <c r="F64" s="50" t="n"/>
      <c r="G64" s="50" t="n"/>
      <c r="H64" s="50" t="n"/>
      <c r="I64" s="50" t="n"/>
      <c r="J64" s="50" t="n"/>
      <c r="K64" s="50" t="n"/>
      <c r="L64" s="50" t="n"/>
      <c r="M64" s="50" t="n"/>
      <c r="N64" s="50" t="n"/>
      <c r="O64" s="50" t="n"/>
      <c r="P64" s="50" t="n"/>
      <c r="Q64" s="50" t="n"/>
      <c r="R64" s="50" t="n"/>
      <c r="S64" s="50" t="n"/>
      <c r="T64" s="50" t="n"/>
      <c r="U64" s="50" t="n"/>
      <c r="V64" s="50" t="n"/>
      <c r="W64" s="50" t="n"/>
      <c r="X64" s="50" t="n"/>
      <c r="Y64" s="50" t="n"/>
      <c r="Z64" s="50" t="n"/>
      <c r="AA64" s="50" t="n"/>
      <c r="AB64" s="50" t="n"/>
      <c r="AC64" s="50" t="n"/>
      <c r="AD64" s="50" t="n"/>
      <c r="AE64" s="50" t="n"/>
      <c r="AF64" s="50" t="n"/>
      <c r="AG64" s="50" t="n"/>
      <c r="AH64" s="50" t="n"/>
      <c r="AI64" s="50" t="n"/>
      <c r="AJ64" s="50" t="n"/>
      <c r="AK64" s="50" t="n"/>
      <c r="AL64" s="50" t="n"/>
      <c r="AM64" s="50" t="n"/>
      <c r="AN64" s="50" t="n"/>
      <c r="AO64" s="50" t="n"/>
      <c r="AP64" s="50" t="n"/>
      <c r="AQ64" s="50" t="n"/>
      <c r="AR64" s="50" t="n"/>
      <c r="AS64" s="50" t="n"/>
      <c r="AT64" s="50" t="n"/>
      <c r="AU64" s="50" t="n"/>
      <c r="AV64" s="50" t="n"/>
      <c r="AW64" s="50" t="n"/>
      <c r="AX64" s="50" t="n"/>
      <c r="AY64" s="50" t="n"/>
      <c r="AZ64" s="50" t="n"/>
      <c r="BA64" s="50" t="n"/>
      <c r="BB64" s="50" t="n"/>
      <c r="BC64" s="50" t="n"/>
      <c r="BD64" s="50" t="n"/>
      <c r="BE64" s="50" t="n"/>
      <c r="BF64" s="50" t="n"/>
      <c r="BG64" s="50" t="n"/>
      <c r="BH64" s="50" t="n"/>
      <c r="BI64" s="50" t="n"/>
      <c r="BJ64" s="50" t="n"/>
      <c r="BK64" s="50" t="n"/>
      <c r="BL64" s="50" t="n"/>
      <c r="BM64" s="50" t="n"/>
      <c r="BN64" s="50" t="n"/>
      <c r="BO64" s="50" t="n"/>
      <c r="BP64" s="50" t="n"/>
      <c r="BQ64" s="50" t="n"/>
      <c r="BR64" s="50" t="n"/>
      <c r="BS64" s="50" t="n"/>
      <c r="BT64" s="50" t="n"/>
      <c r="BU64" s="50" t="n"/>
      <c r="BV64" s="50" t="n"/>
      <c r="BW64" s="50" t="n"/>
      <c r="BX64" s="50" t="n"/>
      <c r="BY64" s="50" t="n"/>
      <c r="BZ64" s="50" t="n"/>
      <c r="CA64" s="50" t="n"/>
      <c r="CB64" s="50" t="n"/>
      <c r="CC64" s="50" t="n"/>
      <c r="CD64" s="50" t="n"/>
      <c r="CE64" s="50" t="n"/>
      <c r="CF64" s="50" t="n"/>
      <c r="CG64" s="50" t="n"/>
      <c r="CH64" s="50" t="n"/>
      <c r="CI64" s="50" t="n"/>
      <c r="CJ64" s="50" t="n"/>
      <c r="CK64" s="50" t="n"/>
      <c r="CL64" s="50" t="n"/>
      <c r="CM64" s="50" t="n"/>
      <c r="CN64" s="50" t="n"/>
      <c r="CO64" s="50" t="n"/>
      <c r="CP64" s="50" t="n"/>
      <c r="CQ64" s="50" t="n"/>
      <c r="CR64" s="50" t="n"/>
      <c r="CS64" s="50" t="n"/>
      <c r="CT64" s="50" t="n"/>
      <c r="CU64" s="50" t="n"/>
      <c r="CV64" s="50" t="n"/>
      <c r="CW64" s="50" t="n"/>
      <c r="CX64" s="50" t="n"/>
      <c r="CY64" s="50" t="n"/>
    </row>
    <row r="65" collapsed="1" customFormat="1" s="32">
      <c r="A65" s="30" t="n"/>
      <c r="B65" s="3" t="n"/>
      <c r="C65" s="33" t="inlineStr">
        <is>
          <t>EBITDA</t>
        </is>
      </c>
      <c r="D65" s="35" t="n"/>
      <c r="E65" s="35" t="n"/>
      <c r="F65" s="35" t="n"/>
      <c r="G65" s="35" t="n"/>
      <c r="H65" s="35" t="n"/>
      <c r="I65" s="35">
        <f>SUM(I15,I50,I54)</f>
        <v>18962</v>
      </c>
      <c r="J65" s="35">
        <f>SUM(J15,J50,J54)</f>
        <v>22091</v>
      </c>
      <c r="K65" s="35">
        <f>SUM(K15,K50,K54)</f>
        <v>24116</v>
      </c>
      <c r="L65" s="35">
        <f>SUM(L15,L50,L54)</f>
        <v>25100</v>
      </c>
      <c r="M65" s="35">
        <f>SUM(I65:L65)</f>
        <v>90269</v>
      </c>
      <c r="N65" s="35">
        <f>SUM(N15,N50,N54)</f>
        <v>23685</v>
      </c>
      <c r="O65" s="35">
        <f>SUM(O15,O50,O54)</f>
        <v>23151</v>
      </c>
      <c r="P65" s="35">
        <f>SUM(P15,P50,P54)</f>
        <v>21068</v>
      </c>
      <c r="Q65" s="35">
        <f>SUM(Q15,Q50,Q54)</f>
        <v>22225</v>
      </c>
      <c r="R65" s="35">
        <f>SUM(N65:Q65)</f>
        <v>90129</v>
      </c>
      <c r="S65" s="35">
        <f>SUM(S15,S50,S54)</f>
        <v>20475</v>
      </c>
      <c r="T65" s="35">
        <f>SUM(T15,T50,T54)</f>
        <v>25117</v>
      </c>
      <c r="U65" s="35">
        <f>SUM(U15,U50,U54)</f>
        <v>25014</v>
      </c>
      <c r="V65" s="35">
        <f>SUM(V15,V50,V54)</f>
        <v>27013</v>
      </c>
      <c r="W65" s="35">
        <f>SUM(S65:V65)</f>
        <v>97619</v>
      </c>
      <c r="X65" s="35">
        <f>SUM(X15,X50,X54)</f>
        <v>28885</v>
      </c>
      <c r="Y65" s="35">
        <f>SUM(Y15,Y50,Y54)</f>
        <v>31133</v>
      </c>
      <c r="Z65" s="35">
        <f>SUM(Z15,Z50,Z54)</f>
        <v>32506</v>
      </c>
      <c r="AA65" s="35">
        <f>SUM(AA15,AA50,AA54)</f>
        <v>35177</v>
      </c>
      <c r="AB65" s="35">
        <f>SUM(X65:AA65)</f>
        <v>127701</v>
      </c>
      <c r="AC65" s="35">
        <f>SUM(AC15,AC50,AC54)</f>
        <v>35093</v>
      </c>
      <c r="AD65" s="35">
        <f>SUM(AD15,AD50,AD54)</f>
        <v>36269</v>
      </c>
      <c r="AE65" s="35">
        <f>SUM(AE15,AE50,AE54)</f>
        <v>36839</v>
      </c>
      <c r="AF65" s="35">
        <f>SUM(AF15,AF50,AF54)</f>
        <v>41974</v>
      </c>
      <c r="AG65" s="35">
        <f>SUM(AC65:AF65)</f>
        <v>150175</v>
      </c>
      <c r="AH65" s="35">
        <f>SUM(AH15,AH50,AH54)</f>
        <v>46178</v>
      </c>
      <c r="AI65" s="35">
        <f>SUM(AI15,AI50,AI54)</f>
        <v>47874</v>
      </c>
      <c r="AJ65" s="35">
        <f>SUM(AJ15,AJ50,AJ54)</f>
        <v>46422.3691575164</v>
      </c>
      <c r="AK65" s="35">
        <f>SUM(AK15,AK50,AK54)</f>
        <v>51630.8586445091</v>
      </c>
      <c r="AL65" s="35">
        <f>SUM(AH65:AK65)</f>
        <v>192105.227802026</v>
      </c>
      <c r="AM65" s="35">
        <f>SUM(AM15,AM50,AM54)</f>
        <v>49846.9181104725</v>
      </c>
      <c r="AN65" s="35">
        <f>SUM(AN15,AN50,AN54)</f>
        <v>54337.3862739514</v>
      </c>
      <c r="AO65" s="35">
        <f>SUM(AO15,AO50,AO54)</f>
        <v>54607.8668567023</v>
      </c>
      <c r="AP65" s="35">
        <f>SUM(AP15,AP50,AP54)</f>
        <v>60734.7514942603</v>
      </c>
      <c r="AQ65" s="35">
        <f>SUM(AM65:AP65)</f>
        <v>219526.922735387</v>
      </c>
      <c r="AR65" s="35">
        <f>SUM(AR15,AR50,AR54)</f>
        <v>58387.0202321487</v>
      </c>
      <c r="AS65" s="35">
        <f>SUM(AS15,AS50,AS54)</f>
        <v>63646.8249593296</v>
      </c>
      <c r="AT65" s="35">
        <f>SUM(AT15,AT50,AT54)</f>
        <v>63963.6460559214</v>
      </c>
      <c r="AU65" s="35">
        <f>SUM(AU15,AU50,AU54)</f>
        <v>71140.2288990236</v>
      </c>
      <c r="AV65" s="35">
        <f>SUM(AR65:AU65)</f>
        <v>257137.720146423</v>
      </c>
      <c r="AW65" s="35">
        <f>SUM(AW15,AW50,AW54)</f>
        <v>68098.3337622842</v>
      </c>
      <c r="AX65" s="35">
        <f>SUM(AX15,AX50,AX54)</f>
        <v>74232.9838336846</v>
      </c>
      <c r="AY65" s="35">
        <f>SUM(AY15,AY50,AY54)</f>
        <v>74602.500700496</v>
      </c>
      <c r="AZ65" s="35">
        <f>SUM(AZ15,AZ50,AZ54)</f>
        <v>82972.7400410056</v>
      </c>
      <c r="BA65" s="35">
        <f>SUM(AW65:AZ65)</f>
        <v>299906.55833747</v>
      </c>
      <c r="BB65" s="35">
        <f>SUM(BB15,BB50,BB54)</f>
        <v>79084.4052134249</v>
      </c>
      <c r="BC65" s="35">
        <f>SUM(BC15,BC50,BC54)</f>
        <v>86208.7374148964</v>
      </c>
      <c r="BD65" s="35">
        <f>SUM(BD15,BD50,BD54)</f>
        <v>86637.8671749596</v>
      </c>
      <c r="BE65" s="35">
        <f>SUM(BE15,BE50,BE54)</f>
        <v>96358.4486219146</v>
      </c>
      <c r="BF65" s="35">
        <f>SUM(BB65:BE65)</f>
        <v>348289.458425196</v>
      </c>
      <c r="BG65" s="35" t="n"/>
      <c r="BH65" s="35" t="n"/>
      <c r="BI65" s="35" t="n"/>
      <c r="BJ65" s="35" t="n"/>
      <c r="BK65" s="35" t="n"/>
      <c r="BL65" s="35" t="n"/>
      <c r="BM65" s="35" t="n"/>
      <c r="BN65" s="35" t="n"/>
      <c r="BO65" s="35" t="n"/>
      <c r="BP65" s="35" t="n"/>
      <c r="BQ65" s="35" t="n"/>
      <c r="BR65" s="35" t="n"/>
      <c r="BS65" s="35" t="n"/>
      <c r="BT65" s="35" t="n"/>
      <c r="BU65" s="35" t="n"/>
      <c r="BV65" s="35" t="n"/>
      <c r="BW65" s="35" t="n"/>
      <c r="BX65" s="35" t="n"/>
      <c r="BY65" s="35" t="n"/>
      <c r="BZ65" s="35" t="n"/>
      <c r="CA65" s="35" t="n"/>
      <c r="CB65" s="35" t="n"/>
      <c r="CC65" s="35" t="n"/>
      <c r="CD65" s="35" t="n"/>
      <c r="CE65" s="35" t="n"/>
      <c r="CF65" s="35" t="n"/>
      <c r="CG65" s="35" t="n"/>
      <c r="CH65" s="35" t="n"/>
      <c r="CI65" s="35" t="n"/>
      <c r="CJ65" s="35" t="n"/>
      <c r="CK65" s="35" t="n"/>
      <c r="CL65" s="35" t="n"/>
      <c r="CM65" s="35" t="n"/>
      <c r="CN65" s="35" t="n"/>
      <c r="CO65" s="35" t="n"/>
      <c r="CP65" s="35" t="n"/>
      <c r="CQ65" s="35" t="n"/>
      <c r="CR65" s="35" t="n"/>
      <c r="CS65" s="35" t="n"/>
      <c r="CT65" s="35" t="n"/>
      <c r="CU65" s="35" t="n"/>
      <c r="CV65" s="35" t="n"/>
      <c r="CW65" s="35" t="n"/>
      <c r="CX65" s="35" t="n"/>
      <c r="CY65" s="35" t="n"/>
    </row>
    <row r="66" ht="13.5" customHeight="1">
      <c r="C66" s="13" t="inlineStr">
        <is>
          <t>D&amp;A</t>
        </is>
      </c>
      <c r="D66" s="46" t="n"/>
      <c r="E66" s="46" t="n"/>
      <c r="F66" s="46" t="n"/>
      <c r="G66" s="46" t="n"/>
      <c r="H66" s="12" t="n"/>
      <c r="I66" s="46">
        <f>'Inputs (2)'!D7</f>
        <v>-2525</v>
      </c>
      <c r="J66" s="46">
        <f>'Inputs (2)'!E7</f>
        <v>-2730</v>
      </c>
      <c r="K66" s="46">
        <f>'Inputs (2)'!F7</f>
        <v>-3085</v>
      </c>
      <c r="L66" s="46">
        <f>'Inputs (2)'!G7</f>
        <v>-3215</v>
      </c>
      <c r="M66" s="12">
        <f>'Inputs (2)'!H7</f>
        <v>-11555</v>
      </c>
      <c r="N66" s="46">
        <f>'Inputs (2)'!I7</f>
        <v>-3591</v>
      </c>
      <c r="O66" s="46">
        <f>'Inputs (2)'!J7</f>
        <v>-3698</v>
      </c>
      <c r="P66" s="46">
        <f>'Inputs (2)'!K7</f>
        <v>-3933</v>
      </c>
      <c r="Q66" s="46">
        <f>'Inputs (2)'!L7</f>
        <v>-4065</v>
      </c>
      <c r="R66" s="12">
        <f>'Inputs (2)'!M7</f>
        <v>-15287</v>
      </c>
      <c r="S66" s="46">
        <f>'Inputs (2)'!N7</f>
        <v>-3060</v>
      </c>
      <c r="T66" s="46">
        <f>'Inputs (2)'!O7</f>
        <v>-3279</v>
      </c>
      <c r="U66" s="46">
        <f>'Inputs (2)'!P7</f>
        <v>-3671</v>
      </c>
      <c r="V66" s="46">
        <f>'Inputs (2)'!Q7</f>
        <v>-3316</v>
      </c>
      <c r="W66" s="12">
        <f>'Inputs (2)'!R7</f>
        <v>-13326</v>
      </c>
      <c r="X66" s="46">
        <f>'Inputs (2)'!S7</f>
        <v>-3413</v>
      </c>
      <c r="Y66" s="46">
        <f>'Inputs (2)'!T7</f>
        <v>-3708</v>
      </c>
      <c r="Z66" s="46">
        <f>'Inputs (2)'!U7</f>
        <v>-3985</v>
      </c>
      <c r="AA66" s="46">
        <f>'Inputs (2)'!V7</f>
        <v>-4205</v>
      </c>
      <c r="AB66" s="12">
        <f>'Inputs (2)'!W7</f>
        <v>-15311</v>
      </c>
      <c r="AC66" s="46">
        <f>'Inputs (2)'!X7</f>
        <v>-4487</v>
      </c>
      <c r="AD66" s="46">
        <f>'Inputs (2)'!Y7</f>
        <v>-4998</v>
      </c>
      <c r="AE66" s="46">
        <f>'Inputs (2)'!Z7</f>
        <v>-5611</v>
      </c>
      <c r="AF66" s="46">
        <f>'Inputs (2)'!AA7</f>
        <v>-6040</v>
      </c>
      <c r="AG66" s="12">
        <f>'Inputs (2)'!AB7</f>
        <v>-21136</v>
      </c>
      <c r="AH66" s="12">
        <f>'Inputs (2)'!AC7</f>
        <v>-6482</v>
      </c>
      <c r="AI66" s="12">
        <f>'Inputs (2)'!AD7</f>
        <v>-7104</v>
      </c>
      <c r="AJ66" s="12">
        <f>-AJ67*AJ15</f>
        <v>-6575.97737531178</v>
      </c>
      <c r="AK66" s="12">
        <f>-AK67*AK15</f>
        <v>-7313.78782418819</v>
      </c>
      <c r="AL66" s="12">
        <f>SUM(AH66:AK66)</f>
        <v>-27475.7651995</v>
      </c>
      <c r="AM66" s="12">
        <f>-AM67*AM15</f>
        <v>-7061.08308714814</v>
      </c>
      <c r="AN66" s="12">
        <f>-AN67*AN15</f>
        <v>-7697.18196756932</v>
      </c>
      <c r="AO66" s="12">
        <f>-AO67*AO15</f>
        <v>-7735.49699166031</v>
      </c>
      <c r="AP66" s="12">
        <f>-AP67*AP15</f>
        <v>-8603.40303542592</v>
      </c>
      <c r="AQ66" s="12">
        <f>SUM(AM66:AP66)</f>
        <v>-31097.1650818037</v>
      </c>
      <c r="AR66" s="12">
        <f>-AR67*AR15</f>
        <v>-8270.83432031848</v>
      </c>
      <c r="AS66" s="12">
        <f>-AS67*AS15</f>
        <v>-9015.91384797329</v>
      </c>
      <c r="AT66" s="12">
        <f>-AT67*AT15</f>
        <v>-9060.79325419532</v>
      </c>
      <c r="AU66" s="12">
        <f>-AU67*AU15</f>
        <v>-10077.3946742599</v>
      </c>
      <c r="AV66" s="12">
        <f>SUM(AR66:AU66)</f>
        <v>-36424.9360967469</v>
      </c>
      <c r="AW66" s="12">
        <f>-AW67*AW15</f>
        <v>-9646.4939261874</v>
      </c>
      <c r="AX66" s="12">
        <f>-AX67*AX15</f>
        <v>-10515.4999852729</v>
      </c>
      <c r="AY66" s="12">
        <f>-AY67*AY15</f>
        <v>-10567.8440297507</v>
      </c>
      <c r="AZ66" s="12">
        <f>-AZ67*AZ15</f>
        <v>-11753.5332896497</v>
      </c>
      <c r="BA66" s="12">
        <f>SUM(AW66:AZ66)</f>
        <v>-42483.3712308607</v>
      </c>
      <c r="BB66" s="12">
        <f>-BB67*BB15</f>
        <v>-11202.7298231777</v>
      </c>
      <c r="BC66" s="12">
        <f>-BC67*BC15</f>
        <v>-12211.9296598365</v>
      </c>
      <c r="BD66" s="12">
        <f>-BD67*BD15</f>
        <v>-12272.7181901175</v>
      </c>
      <c r="BE66" s="12">
        <f>-BE67*BE15</f>
        <v>-13649.690646072</v>
      </c>
      <c r="BF66" s="12">
        <f>SUM(BB66:BE66)</f>
        <v>-49337.0683192036</v>
      </c>
      <c r="BG66" s="12" t="n"/>
      <c r="BH66" s="12" t="n"/>
      <c r="BI66" s="12" t="n"/>
      <c r="BJ66" s="12" t="n"/>
      <c r="BK66" s="12" t="n"/>
      <c r="BL66" s="12" t="n"/>
      <c r="BM66" s="12" t="n"/>
      <c r="BN66" s="12" t="n"/>
      <c r="BO66" s="12" t="n"/>
      <c r="BP66" s="12" t="n"/>
      <c r="BQ66" s="12" t="n"/>
      <c r="BR66" s="12" t="n"/>
      <c r="BS66" s="12" t="n"/>
      <c r="BT66" s="12" t="n"/>
      <c r="BU66" s="12" t="n"/>
      <c r="BV66" s="12" t="n"/>
      <c r="BW66" s="12" t="n"/>
      <c r="BX66" s="12" t="n"/>
      <c r="BY66" s="12" t="n"/>
      <c r="BZ66" s="12" t="n"/>
      <c r="CA66" s="12" t="n"/>
      <c r="CB66" s="12" t="n"/>
      <c r="CC66" s="12" t="n"/>
      <c r="CD66" s="12" t="n"/>
      <c r="CE66" s="12" t="n"/>
      <c r="CF66" s="12" t="n"/>
      <c r="CG66" s="12" t="n"/>
      <c r="CH66" s="12" t="n"/>
      <c r="CI66" s="12" t="n"/>
      <c r="CJ66" s="12" t="n"/>
      <c r="CK66" s="12" t="n"/>
      <c r="CL66" s="12" t="n"/>
      <c r="CM66" s="12" t="n"/>
      <c r="CN66" s="12" t="n"/>
      <c r="CO66" s="12" t="n"/>
      <c r="CP66" s="12" t="n"/>
      <c r="CQ66" s="12" t="n"/>
      <c r="CR66" s="12" t="n"/>
      <c r="CS66" s="12" t="n"/>
      <c r="CT66" s="12" t="n"/>
      <c r="CU66" s="12" t="n"/>
      <c r="CV66" s="12" t="n"/>
      <c r="CW66" s="12" t="n"/>
      <c r="CX66" s="12" t="n"/>
      <c r="CY66" s="12" t="n"/>
    </row>
    <row r="67" hidden="1" outlineLevel="1" customFormat="1" s="56">
      <c r="A67" s="53" t="n"/>
      <c r="B67" s="53" t="n"/>
      <c r="C67" s="54" t="inlineStr">
        <is>
          <t>% of Revenue</t>
        </is>
      </c>
      <c r="D67" s="53" t="n"/>
      <c r="E67" s="53" t="n"/>
      <c r="F67" s="53" t="n"/>
      <c r="G67" s="53" t="n"/>
      <c r="H67" s="53" t="n"/>
      <c r="I67" s="53">
        <f>IFERROR(-I66/I15,"")</f>
        <v>0.0456484795892541</v>
      </c>
      <c r="J67" s="53">
        <f>IFERROR(-J66/J15,"")</f>
        <v>0.0441176470588235</v>
      </c>
      <c r="K67" s="53">
        <f>IFERROR(-K66/K15,"")</f>
        <v>0.0473755336466108</v>
      </c>
      <c r="L67" s="53">
        <f>IFERROR(-L66/L15,"")</f>
        <v>0.0426817125788251</v>
      </c>
      <c r="M67" s="53" t="n"/>
      <c r="N67" s="53">
        <f>IFERROR(-N66/N15,"")</f>
        <v>0.0528002823072738</v>
      </c>
      <c r="O67" s="53">
        <f>IFERROR(-O66/O15,"")</f>
        <v>0.0530673746143359</v>
      </c>
      <c r="P67" s="53">
        <f>IFERROR(-P66/P15,"")</f>
        <v>0.0569241011984021</v>
      </c>
      <c r="Q67" s="53">
        <f>IFERROR(-Q66/Q15,"")</f>
        <v>0.0534530822638334</v>
      </c>
      <c r="R67" s="53" t="n"/>
      <c r="S67" s="53">
        <f>IFERROR(-S66/S15,"")</f>
        <v>0.0438477080258501</v>
      </c>
      <c r="T67" s="53">
        <f>IFERROR(-T66/T15,"")</f>
        <v>0.0439520669133022</v>
      </c>
      <c r="U67" s="53">
        <f>IFERROR(-U66/U15,"")</f>
        <v>0.0478661677076135</v>
      </c>
      <c r="V67" s="53">
        <f>IFERROR(-V66/V15,"")</f>
        <v>0.0384196500984822</v>
      </c>
      <c r="W67" s="53" t="n"/>
      <c r="X67" s="53">
        <f>IFERROR(-X66/X15,"")</f>
        <v>0.0423769850631371</v>
      </c>
      <c r="Y67" s="53">
        <f>IFERROR(-Y66/Y15,"")</f>
        <v>0.0437563427816195</v>
      </c>
      <c r="Z67" s="53">
        <f>IFERROR(-Z66/Z15,"")</f>
        <v>0.0451465989939729</v>
      </c>
      <c r="AA67" s="53">
        <f>IFERROR(-AA66/AA15,"")</f>
        <v>0.0435891322601043</v>
      </c>
      <c r="AB67" s="53" t="n"/>
      <c r="AC67" s="53">
        <f>IFERROR(-AC66/AC15,"")</f>
        <v>0.0497262672606778</v>
      </c>
      <c r="AD67" s="53">
        <f>IFERROR(-AD66/AD15,"")</f>
        <v>0.0518314182602564</v>
      </c>
      <c r="AE67" s="53">
        <f>IFERROR(-AE66/AE15,"")</f>
        <v>0.0548238328806206</v>
      </c>
      <c r="AF67" s="55">
        <f>IFERROR(-AF66/AF15,"")</f>
        <v>0.0530620492141721</v>
      </c>
      <c r="AG67" s="53" t="n"/>
      <c r="AH67" s="55">
        <f>IFERROR(-AH66/AH15,"")</f>
        <v>0.0589830385091359</v>
      </c>
      <c r="AI67" s="55">
        <f>IFERROR(-AI66/AI15,"")</f>
        <v>0.0593008113793449</v>
      </c>
      <c r="AJ67" s="55">
        <f>Control!$B$21</f>
        <v>0.0546212362507013</v>
      </c>
      <c r="AK67" s="55">
        <f>Control!$B$21</f>
        <v>0.0546212362507013</v>
      </c>
      <c r="AL67" s="53" t="n"/>
      <c r="AM67" s="55">
        <f>Control!$C$21</f>
        <v>0.0546212362507013</v>
      </c>
      <c r="AN67" s="55">
        <f>Control!$C$21</f>
        <v>0.0546212362507013</v>
      </c>
      <c r="AO67" s="55">
        <f>Control!$C$21</f>
        <v>0.0546212362507013</v>
      </c>
      <c r="AP67" s="55">
        <f>Control!$C$21</f>
        <v>0.0546212362507013</v>
      </c>
      <c r="AQ67" s="53" t="n"/>
      <c r="AR67" s="55">
        <f>Control!$D$21</f>
        <v>0.0546212362507013</v>
      </c>
      <c r="AS67" s="55">
        <f>Control!$D$21</f>
        <v>0.0546212362507013</v>
      </c>
      <c r="AT67" s="55">
        <f>Control!$D$21</f>
        <v>0.0546212362507013</v>
      </c>
      <c r="AU67" s="55">
        <f>Control!$D$21</f>
        <v>0.0546212362507013</v>
      </c>
      <c r="AV67" s="53" t="n"/>
      <c r="AW67" s="55">
        <f>Control!$E$21</f>
        <v>0.0546212362507013</v>
      </c>
      <c r="AX67" s="55">
        <f>Control!$E$21</f>
        <v>0.0546212362507013</v>
      </c>
      <c r="AY67" s="55">
        <f>Control!$E$21</f>
        <v>0.0546212362507013</v>
      </c>
      <c r="AZ67" s="55">
        <f>Control!$E$21</f>
        <v>0.0546212362507013</v>
      </c>
      <c r="BA67" s="53" t="n"/>
      <c r="BB67" s="55">
        <f>Control!$F$21</f>
        <v>0.0546212362507013</v>
      </c>
      <c r="BC67" s="55">
        <f>Control!$F$21</f>
        <v>0.0546212362507013</v>
      </c>
      <c r="BD67" s="55">
        <f>Control!$F$21</f>
        <v>0.0546212362507013</v>
      </c>
      <c r="BE67" s="55">
        <f>Control!$F$21</f>
        <v>0.0546212362507013</v>
      </c>
      <c r="BF67" s="53" t="n"/>
      <c r="BG67" s="55" t="n"/>
      <c r="BH67" s="55" t="n"/>
      <c r="BI67" s="55" t="n"/>
      <c r="BJ67" s="55" t="n"/>
      <c r="BK67" s="53" t="n"/>
      <c r="BL67" s="55" t="n"/>
      <c r="BM67" s="55" t="n"/>
      <c r="BN67" s="55" t="n"/>
      <c r="BO67" s="55" t="n"/>
      <c r="BP67" s="53" t="n"/>
      <c r="BQ67" s="55" t="n"/>
      <c r="BR67" s="55" t="n"/>
      <c r="BS67" s="55" t="n"/>
      <c r="BT67" s="55" t="n"/>
      <c r="BU67" s="53" t="n"/>
      <c r="BV67" s="55" t="n"/>
      <c r="BW67" s="55" t="n"/>
      <c r="BX67" s="55" t="n"/>
      <c r="BY67" s="55" t="n"/>
      <c r="BZ67" s="53" t="n"/>
      <c r="CA67" s="55" t="n"/>
      <c r="CB67" s="55" t="n"/>
      <c r="CC67" s="55" t="n"/>
      <c r="CD67" s="55" t="n"/>
      <c r="CE67" s="53" t="n"/>
      <c r="CF67" s="55" t="n"/>
      <c r="CG67" s="55" t="n"/>
      <c r="CH67" s="55" t="n"/>
      <c r="CI67" s="55" t="n"/>
      <c r="CJ67" s="53" t="n"/>
      <c r="CK67" s="55" t="n"/>
      <c r="CL67" s="55" t="n"/>
      <c r="CM67" s="55" t="n"/>
      <c r="CN67" s="55" t="n"/>
      <c r="CO67" s="53" t="n"/>
      <c r="CP67" s="55" t="n"/>
      <c r="CQ67" s="55" t="n"/>
      <c r="CR67" s="55" t="n"/>
      <c r="CS67" s="55" t="n"/>
      <c r="CT67" s="53" t="n"/>
      <c r="CU67" s="55" t="n"/>
      <c r="CV67" s="55" t="n"/>
      <c r="CW67" s="55" t="n"/>
      <c r="CX67" s="55" t="n"/>
      <c r="CY67" s="53" t="n"/>
    </row>
    <row r="68" hidden="1" outlineLevel="1">
      <c r="C68" s="50" t="n"/>
      <c r="D68" s="12" t="n"/>
      <c r="E68" s="12" t="n"/>
      <c r="F68" s="12" t="n"/>
      <c r="G68" s="12" t="n"/>
      <c r="H68" s="12" t="n"/>
      <c r="I68" s="12" t="n"/>
      <c r="J68" s="12" t="n"/>
      <c r="K68" s="12" t="n"/>
      <c r="L68" s="12" t="n"/>
      <c r="M68" s="12" t="n"/>
      <c r="N68" s="12" t="n"/>
      <c r="O68" s="12" t="n"/>
      <c r="P68" s="12" t="n"/>
      <c r="Q68" s="12" t="n"/>
      <c r="R68" s="12" t="n"/>
      <c r="S68" s="12" t="n"/>
      <c r="T68" s="12" t="n"/>
      <c r="U68" s="12" t="n"/>
      <c r="V68" s="12" t="n"/>
      <c r="W68" s="12" t="n"/>
      <c r="X68" s="12" t="n"/>
      <c r="Y68" s="12" t="n"/>
      <c r="Z68" s="12" t="n"/>
      <c r="AA68" s="12" t="n"/>
      <c r="AB68" s="12" t="n"/>
      <c r="AC68" s="12" t="n"/>
      <c r="AD68" s="12" t="n"/>
      <c r="AE68" s="12" t="n"/>
      <c r="AF68" s="12" t="n"/>
      <c r="AG68" s="12" t="n"/>
      <c r="AH68" s="12" t="n"/>
      <c r="AI68" s="12" t="n"/>
      <c r="AJ68" s="12" t="n"/>
      <c r="AK68" s="12" t="n"/>
      <c r="AL68" s="12" t="n"/>
      <c r="AM68" s="12" t="n"/>
      <c r="AN68" s="12" t="n"/>
      <c r="AO68" s="12" t="n"/>
      <c r="AP68" s="12" t="n"/>
      <c r="AQ68" s="12" t="n"/>
      <c r="AR68" s="12" t="n"/>
      <c r="AS68" s="12" t="n"/>
      <c r="AT68" s="12" t="n"/>
      <c r="AU68" s="12" t="n"/>
      <c r="AV68" s="12" t="n"/>
      <c r="AW68" s="12" t="n"/>
      <c r="AX68" s="12" t="n"/>
      <c r="AY68" s="12" t="n"/>
      <c r="AZ68" s="12" t="n"/>
      <c r="BA68" s="12" t="n"/>
      <c r="BB68" s="12" t="n"/>
      <c r="BC68" s="12" t="n"/>
      <c r="BD68" s="12" t="n"/>
      <c r="BE68" s="12" t="n"/>
      <c r="BF68" s="12" t="n"/>
      <c r="BG68" s="12" t="n"/>
      <c r="BH68" s="12" t="n"/>
      <c r="BI68" s="12" t="n"/>
      <c r="BJ68" s="12" t="n"/>
      <c r="BK68" s="12" t="n"/>
      <c r="BL68" s="12" t="n"/>
      <c r="BM68" s="12" t="n"/>
      <c r="BN68" s="12" t="n"/>
      <c r="BO68" s="12" t="n"/>
      <c r="BP68" s="12" t="n"/>
      <c r="BQ68" s="12" t="n"/>
      <c r="BR68" s="12" t="n"/>
      <c r="BS68" s="12" t="n"/>
      <c r="BT68" s="12" t="n"/>
      <c r="BU68" s="12" t="n"/>
      <c r="BV68" s="12" t="n"/>
      <c r="BW68" s="12" t="n"/>
      <c r="BX68" s="12" t="n"/>
      <c r="BY68" s="12" t="n"/>
      <c r="BZ68" s="12" t="n"/>
      <c r="CA68" s="12" t="n"/>
      <c r="CB68" s="12" t="n"/>
      <c r="CC68" s="12" t="n"/>
      <c r="CD68" s="12" t="n"/>
      <c r="CE68" s="12" t="n"/>
      <c r="CF68" s="12" t="n"/>
      <c r="CG68" s="12" t="n"/>
      <c r="CH68" s="12" t="n"/>
      <c r="CI68" s="12" t="n"/>
      <c r="CJ68" s="12" t="n"/>
      <c r="CK68" s="12" t="n"/>
      <c r="CL68" s="12" t="n"/>
      <c r="CM68" s="12" t="n"/>
      <c r="CN68" s="12" t="n"/>
      <c r="CO68" s="12" t="n"/>
      <c r="CP68" s="12" t="n"/>
      <c r="CQ68" s="12" t="n"/>
      <c r="CR68" s="12" t="n"/>
      <c r="CS68" s="12" t="n"/>
      <c r="CT68" s="12" t="n"/>
      <c r="CU68" s="12" t="n"/>
      <c r="CV68" s="12" t="n"/>
      <c r="CW68" s="12" t="n"/>
      <c r="CX68" s="12" t="n"/>
      <c r="CY68" s="12" t="n"/>
    </row>
    <row r="69" collapsed="1" customFormat="1" s="32">
      <c r="A69" s="30" t="n"/>
      <c r="B69" s="3" t="n"/>
      <c r="C69" s="33" t="inlineStr">
        <is>
          <t>Operating Profit - EBIT</t>
        </is>
      </c>
      <c r="D69" s="35" t="n"/>
      <c r="E69" s="35" t="n"/>
      <c r="F69" s="35" t="n"/>
      <c r="G69" s="35" t="n"/>
      <c r="H69" s="35" t="n"/>
      <c r="I69" s="35">
        <f>SUM(I65,I66)</f>
        <v>16437</v>
      </c>
      <c r="J69" s="35">
        <f>SUM(J65,J66)</f>
        <v>19361</v>
      </c>
      <c r="K69" s="35">
        <f>SUM(K65,K66)</f>
        <v>21031</v>
      </c>
      <c r="L69" s="35">
        <f>SUM(L65,L66)</f>
        <v>21885</v>
      </c>
      <c r="M69" s="35">
        <f>SUM(I69:L69)</f>
        <v>78714</v>
      </c>
      <c r="N69" s="35">
        <f>SUM(N65,N66)</f>
        <v>20094</v>
      </c>
      <c r="O69" s="35">
        <f>SUM(O65,O66)</f>
        <v>19453</v>
      </c>
      <c r="P69" s="35">
        <f>SUM(P65,P66)</f>
        <v>17135</v>
      </c>
      <c r="Q69" s="35">
        <f>SUM(Q65,Q66)</f>
        <v>18160</v>
      </c>
      <c r="R69" s="35">
        <f>SUM(N69:Q69)</f>
        <v>74842</v>
      </c>
      <c r="S69" s="35">
        <f>SUM(S65,S66)</f>
        <v>17415</v>
      </c>
      <c r="T69" s="35">
        <f>SUM(T65,T66)</f>
        <v>21838</v>
      </c>
      <c r="U69" s="35">
        <f>SUM(U65,U66)</f>
        <v>21343</v>
      </c>
      <c r="V69" s="35">
        <f>SUM(V65,V66)</f>
        <v>23697</v>
      </c>
      <c r="W69" s="35">
        <f>SUM(S69:V69)</f>
        <v>84293</v>
      </c>
      <c r="X69" s="35">
        <f>SUM(X65,X66)</f>
        <v>25472</v>
      </c>
      <c r="Y69" s="35">
        <f>SUM(Y65,Y66)</f>
        <v>27425</v>
      </c>
      <c r="Z69" s="35">
        <f>SUM(Z65,Z66)</f>
        <v>28521</v>
      </c>
      <c r="AA69" s="35">
        <f>SUM(AA65,AA66)</f>
        <v>30972</v>
      </c>
      <c r="AB69" s="35">
        <f>SUM(X69:AA69)</f>
        <v>112390</v>
      </c>
      <c r="AC69" s="35">
        <f>SUM(AC65,AC66)</f>
        <v>30606</v>
      </c>
      <c r="AD69" s="35">
        <f>SUM(AD65,AD66)</f>
        <v>31271</v>
      </c>
      <c r="AE69" s="35">
        <f>SUM(AE65,AE66)</f>
        <v>31228</v>
      </c>
      <c r="AF69" s="35">
        <f>SUM(AF65,AF66)</f>
        <v>35934</v>
      </c>
      <c r="AG69" s="35">
        <f>SUM(AC69:AF69)</f>
        <v>129039</v>
      </c>
      <c r="AH69" s="35">
        <f>SUM(AH65,AH66)</f>
        <v>39696</v>
      </c>
      <c r="AI69" s="35">
        <f>SUM(AI65,AI66)</f>
        <v>40770</v>
      </c>
      <c r="AJ69" s="35">
        <f>SUM(AJ65,AJ66)</f>
        <v>39846.3917822046</v>
      </c>
      <c r="AK69" s="35">
        <f>SUM(AK65,AK66)</f>
        <v>44317.070820321</v>
      </c>
      <c r="AL69" s="35">
        <f>SUM(AL65,AL66)</f>
        <v>164629.462602526</v>
      </c>
      <c r="AM69" s="35">
        <f>SUM(AM65,AM66)</f>
        <v>42785.8350233244</v>
      </c>
      <c r="AN69" s="35">
        <f>SUM(AN65,AN66)</f>
        <v>46640.2043063821</v>
      </c>
      <c r="AO69" s="35">
        <f>SUM(AO65,AO66)</f>
        <v>46872.369865042</v>
      </c>
      <c r="AP69" s="35">
        <f>SUM(AP65,AP66)</f>
        <v>52131.3484588344</v>
      </c>
      <c r="AQ69" s="35">
        <f>SUM(AQ65,AQ66)</f>
        <v>188429.757653583</v>
      </c>
      <c r="AR69" s="35">
        <f>SUM(AR65,AR66)</f>
        <v>50116.1859118302</v>
      </c>
      <c r="AS69" s="35">
        <f>SUM(AS65,AS66)</f>
        <v>54630.9111113563</v>
      </c>
      <c r="AT69" s="35">
        <f>SUM(AT65,AT66)</f>
        <v>54902.8528017261</v>
      </c>
      <c r="AU69" s="35">
        <f>SUM(AU65,AU66)</f>
        <v>61062.8342247638</v>
      </c>
      <c r="AV69" s="35">
        <f>SUM(AV65,AV66)</f>
        <v>220712.784049676</v>
      </c>
      <c r="AW69" s="35">
        <f>SUM(AW65,AW66)</f>
        <v>58451.8398360968</v>
      </c>
      <c r="AX69" s="35">
        <f>SUM(AX65,AX66)</f>
        <v>63717.4838484117</v>
      </c>
      <c r="AY69" s="35">
        <f>SUM(AY65,AY66)</f>
        <v>64034.6566707453</v>
      </c>
      <c r="AZ69" s="35">
        <f>SUM(AZ65,AZ66)</f>
        <v>71219.2067513559</v>
      </c>
      <c r="BA69" s="35">
        <f>SUM(BA65,BA66)</f>
        <v>257423.18710661</v>
      </c>
      <c r="BB69" s="35">
        <f>SUM(BB65,BB66)</f>
        <v>67881.6753902473</v>
      </c>
      <c r="BC69" s="35">
        <f>SUM(BC65,BC66)</f>
        <v>73996.8077550599</v>
      </c>
      <c r="BD69" s="35">
        <f>SUM(BD65,BD66)</f>
        <v>74365.1489848421</v>
      </c>
      <c r="BE69" s="35">
        <f>SUM(BE65,BE66)</f>
        <v>82708.7579758426</v>
      </c>
      <c r="BF69" s="35">
        <f>SUM(BF65,BF66)</f>
        <v>298952.390105992</v>
      </c>
      <c r="BG69" s="35" t="n"/>
      <c r="BH69" s="35" t="n"/>
      <c r="BI69" s="35" t="n"/>
      <c r="BJ69" s="35" t="n"/>
      <c r="BK69" s="35" t="n"/>
      <c r="BL69" s="35" t="n"/>
      <c r="BM69" s="35" t="n"/>
      <c r="BN69" s="35" t="n"/>
      <c r="BO69" s="35" t="n"/>
      <c r="BP69" s="35" t="n"/>
      <c r="BQ69" s="35" t="n"/>
      <c r="BR69" s="35" t="n"/>
      <c r="BS69" s="35" t="n"/>
      <c r="BT69" s="35" t="n"/>
      <c r="BU69" s="35" t="n"/>
      <c r="BV69" s="35" t="n"/>
      <c r="BW69" s="35" t="n"/>
      <c r="BX69" s="35" t="n"/>
      <c r="BY69" s="35" t="n"/>
      <c r="BZ69" s="35" t="n"/>
      <c r="CA69" s="35" t="n"/>
      <c r="CB69" s="35" t="n"/>
      <c r="CC69" s="35" t="n"/>
      <c r="CD69" s="35" t="n"/>
      <c r="CE69" s="35" t="n"/>
      <c r="CF69" s="35" t="n"/>
      <c r="CG69" s="35" t="n"/>
      <c r="CH69" s="35" t="n"/>
      <c r="CI69" s="35" t="n"/>
      <c r="CJ69" s="35" t="n"/>
      <c r="CK69" s="35" t="n"/>
      <c r="CL69" s="35" t="n"/>
      <c r="CM69" s="35" t="n"/>
      <c r="CN69" s="35" t="n"/>
      <c r="CO69" s="35" t="n"/>
      <c r="CP69" s="35" t="n"/>
      <c r="CQ69" s="35" t="n"/>
      <c r="CR69" s="35" t="n"/>
      <c r="CS69" s="35" t="n"/>
      <c r="CT69" s="35" t="n"/>
      <c r="CU69" s="35" t="n"/>
      <c r="CV69" s="35" t="n"/>
      <c r="CW69" s="35" t="n"/>
      <c r="CX69" s="35" t="n"/>
      <c r="CY69" s="35" t="n"/>
    </row>
    <row r="70">
      <c r="C70" s="14" t="inlineStr">
        <is>
          <t>Interest Expense</t>
        </is>
      </c>
      <c r="D70" s="46" t="n"/>
      <c r="E70" s="46" t="n"/>
      <c r="F70" s="46" t="n"/>
      <c r="G70" s="46" t="n"/>
      <c r="H70" s="12" t="n"/>
      <c r="I70" s="46">
        <f>'Inputs (2)'!D8</f>
        <v>-76</v>
      </c>
      <c r="J70" s="46">
        <f>'Inputs (2)'!E8</f>
        <v>-76</v>
      </c>
      <c r="K70" s="46">
        <f>'Inputs (2)'!F8</f>
        <v>-77</v>
      </c>
      <c r="L70" s="46">
        <f>'Inputs (2)'!G8</f>
        <v>-117</v>
      </c>
      <c r="M70" s="12">
        <f>'Inputs (2)'!H8</f>
        <v>-346</v>
      </c>
      <c r="N70" s="46">
        <f>'Inputs (2)'!I8</f>
        <v>-83</v>
      </c>
      <c r="O70" s="46">
        <f>'Inputs (2)'!J8</f>
        <v>-83</v>
      </c>
      <c r="P70" s="46">
        <f>'Inputs (2)'!K8</f>
        <v>-101</v>
      </c>
      <c r="Q70" s="46">
        <f>'Inputs (2)'!L8</f>
        <v>-90</v>
      </c>
      <c r="R70" s="12">
        <f>'Inputs (2)'!M8</f>
        <v>-357</v>
      </c>
      <c r="S70" s="46">
        <f>'Inputs (2)'!N8</f>
        <v>-80</v>
      </c>
      <c r="T70" s="46">
        <f>'Inputs (2)'!O8</f>
        <v>-43</v>
      </c>
      <c r="U70" s="46">
        <f>'Inputs (2)'!P8</f>
        <v>-116</v>
      </c>
      <c r="V70" s="46">
        <f>'Inputs (2)'!Q8</f>
        <v>-69</v>
      </c>
      <c r="W70" s="12">
        <f>'Inputs (2)'!R8</f>
        <v>-308</v>
      </c>
      <c r="X70" s="46">
        <f>'Inputs (2)'!S8</f>
        <v>-94</v>
      </c>
      <c r="Y70" s="46">
        <f>'Inputs (2)'!T8</f>
        <v>-67</v>
      </c>
      <c r="Z70" s="46">
        <f>'Inputs (2)'!U8</f>
        <v>-54</v>
      </c>
      <c r="AA70" s="46">
        <f>'Inputs (2)'!V8</f>
        <v>-53</v>
      </c>
      <c r="AB70" s="12">
        <f>'Inputs (2)'!W8</f>
        <v>-268</v>
      </c>
      <c r="AC70" s="46">
        <f>'Inputs (2)'!X8</f>
        <v>-34</v>
      </c>
      <c r="AD70" s="46">
        <f>'Inputs (2)'!Y8</f>
        <v>-261</v>
      </c>
      <c r="AE70" s="46">
        <f>'Inputs (2)'!Z8</f>
        <v>-143</v>
      </c>
      <c r="AF70" s="46">
        <f>'Inputs (2)'!AA8</f>
        <v>-298</v>
      </c>
      <c r="AG70" s="12">
        <f>'Inputs (2)'!AB8</f>
        <v>-736</v>
      </c>
      <c r="AH70" s="12">
        <f>'Inputs (2)'!AC8</f>
        <v>-533</v>
      </c>
      <c r="AI70" s="12">
        <f>'Inputs (2)'!AD8</f>
        <v>-1278</v>
      </c>
      <c r="AJ70" s="12" t="str">
        <f>IF(Control!$E$9="","",-AI88*Control!$E$9/4)</f>
        <v/>
      </c>
      <c r="AK70" s="12" t="str">
        <f>IF(Control!$E$9="","",-AJ88*Control!$E$9/4)</f>
        <v/>
      </c>
      <c r="AL70" s="12">
        <f>SUM(AH70:AK70)</f>
        <v>-1811</v>
      </c>
      <c r="AM70" s="12" t="str">
        <f>IF(Control!$E$9="","",-AL88*Control!$E$9/4)</f>
        <v/>
      </c>
      <c r="AN70" s="12" t="str">
        <f>IF(Control!$E$9="","",-AM88*Control!$E$9/4)</f>
        <v/>
      </c>
      <c r="AO70" s="12" t="str">
        <f>IF(Control!$E$9="","",-AN88*Control!$E$9/4)</f>
        <v/>
      </c>
      <c r="AP70" s="12" t="str">
        <f>IF(Control!$E$9="","",-AO88*Control!$E$9/4)</f>
        <v/>
      </c>
      <c r="AQ70" s="12">
        <f>SUM(AM70:AP70)</f>
        <v>0</v>
      </c>
      <c r="AR70" s="12" t="str">
        <f>IF(Control!$E$9="","",-AQ88*Control!$E$9/4)</f>
        <v/>
      </c>
      <c r="AS70" s="12" t="str">
        <f>IF(Control!$E$9="","",-AR88*Control!$E$9/4)</f>
        <v/>
      </c>
      <c r="AT70" s="12" t="str">
        <f>IF(Control!$E$9="","",-AS88*Control!$E$9/4)</f>
        <v/>
      </c>
      <c r="AU70" s="12" t="str">
        <f>IF(Control!$E$9="","",-AT88*Control!$E$9/4)</f>
        <v/>
      </c>
      <c r="AV70" s="12">
        <f>SUM(AR70:AU70)</f>
        <v>0</v>
      </c>
      <c r="AW70" s="12" t="str">
        <f>IF(Control!$E$9="","",-AV88*Control!$E$9/4)</f>
        <v/>
      </c>
      <c r="AX70" s="12" t="str">
        <f>IF(Control!$E$9="","",-AW88*Control!$E$9/4)</f>
        <v/>
      </c>
      <c r="AY70" s="12" t="str">
        <f>IF(Control!$E$9="","",-AX88*Control!$E$9/4)</f>
        <v/>
      </c>
      <c r="AZ70" s="12" t="str">
        <f>IF(Control!$E$9="","",-AY88*Control!$E$9/4)</f>
        <v/>
      </c>
      <c r="BA70" s="12">
        <f>SUM(AW70:AZ70)</f>
        <v>0</v>
      </c>
      <c r="BB70" s="12" t="str">
        <f>IF(Control!$E$9="","",-BA88*Control!$E$9/4)</f>
        <v/>
      </c>
      <c r="BC70" s="12" t="str">
        <f>IF(Control!$E$9="","",-BB88*Control!$E$9/4)</f>
        <v/>
      </c>
      <c r="BD70" s="12" t="str">
        <f>IF(Control!$E$9="","",-BC88*Control!$E$9/4)</f>
        <v/>
      </c>
      <c r="BE70" s="12" t="str">
        <f>IF(Control!$E$9="","",-BD88*Control!$E$9/4)</f>
        <v/>
      </c>
      <c r="BF70" s="12">
        <f>SUM(BB70:BE70)</f>
        <v>0</v>
      </c>
      <c r="BG70" s="12" t="n"/>
      <c r="BH70" s="12" t="n"/>
      <c r="BI70" s="12" t="n"/>
      <c r="BJ70" s="12" t="n"/>
      <c r="BK70" s="12" t="n"/>
      <c r="BL70" s="12" t="n"/>
      <c r="BM70" s="12" t="n"/>
      <c r="BN70" s="12" t="n"/>
      <c r="BO70" s="12" t="n"/>
      <c r="BP70" s="12" t="n"/>
      <c r="BQ70" s="12" t="n"/>
      <c r="BR70" s="12" t="n"/>
      <c r="BS70" s="12" t="n"/>
      <c r="BT70" s="12" t="n"/>
      <c r="BU70" s="12" t="n"/>
      <c r="BV70" s="12" t="n"/>
      <c r="BW70" s="12" t="n"/>
      <c r="BX70" s="12" t="n"/>
      <c r="BY70" s="12" t="n"/>
      <c r="BZ70" s="12" t="n"/>
      <c r="CA70" s="12" t="n"/>
      <c r="CB70" s="12" t="n"/>
      <c r="CC70" s="12" t="n"/>
      <c r="CD70" s="12" t="n"/>
      <c r="CE70" s="12" t="n"/>
      <c r="CF70" s="12" t="n"/>
      <c r="CG70" s="12" t="n"/>
      <c r="CH70" s="12" t="n"/>
      <c r="CI70" s="12" t="n"/>
      <c r="CJ70" s="12" t="n"/>
      <c r="CK70" s="12" t="n"/>
      <c r="CL70" s="12" t="n"/>
      <c r="CM70" s="12" t="n"/>
      <c r="CN70" s="12" t="n"/>
      <c r="CO70" s="12" t="n"/>
      <c r="CP70" s="12" t="n"/>
      <c r="CQ70" s="12" t="n"/>
      <c r="CR70" s="12" t="n"/>
      <c r="CS70" s="12" t="n"/>
      <c r="CT70" s="12" t="n"/>
      <c r="CU70" s="12" t="n"/>
      <c r="CV70" s="12" t="n"/>
      <c r="CW70" s="12" t="n"/>
      <c r="CX70" s="12" t="n"/>
      <c r="CY70" s="12" t="n"/>
    </row>
    <row r="71" hidden="1" outlineLevel="1">
      <c r="C71" s="50" t="inlineStr">
        <is>
          <t>% of Debt</t>
        </is>
      </c>
      <c r="D71" s="53" t="n"/>
      <c r="E71" s="53" t="n"/>
      <c r="F71" s="53" t="n"/>
      <c r="G71" s="53" t="n"/>
      <c r="H71" s="12" t="n"/>
      <c r="I71" s="53">
        <f>IFERROR(-I70/SUM(I208+I213),"")</f>
        <v>0.00547274429322388</v>
      </c>
      <c r="J71" s="53">
        <f>IFERROR(-J70/SUM(J208+J213),"")</f>
        <v>0.00530429927414852</v>
      </c>
      <c r="K71" s="53">
        <f>IFERROR(-K70/SUM(K208+K213),"")</f>
        <v>0.00538913773796193</v>
      </c>
      <c r="L71" s="53">
        <f>IFERROR(-L70/SUM(L208+L213),"")</f>
        <v>0.00789633529054465</v>
      </c>
      <c r="M71" s="12" t="n"/>
      <c r="N71" s="53">
        <f>IFERROR(-N70/SUM(N208+N213),"")</f>
        <v>0.00561152051923467</v>
      </c>
      <c r="O71" s="53">
        <f>IFERROR(-O70/SUM(O208+O213),"")</f>
        <v>0.00563322926564409</v>
      </c>
      <c r="P71" s="53">
        <f>IFERROR(-P70/SUM(P208+P213),"")</f>
        <v>0.00689278646011056</v>
      </c>
      <c r="Q71" s="53">
        <f>IFERROR(-Q70/SUM(Q208+Q213),"")</f>
        <v>0.00612203251479491</v>
      </c>
      <c r="R71" s="12" t="n"/>
      <c r="S71" s="53">
        <f>IFERROR(-S70/SUM(S208+S213),"")</f>
        <v>0.00584069504271008</v>
      </c>
      <c r="T71" s="53">
        <f>IFERROR(-T70/SUM(T208+T213),"")</f>
        <v>0.00313754104341481</v>
      </c>
      <c r="U71" s="53">
        <f>IFERROR(-U70/SUM(U208+U213),"")</f>
        <v>0.00841738625644003</v>
      </c>
      <c r="V71" s="53">
        <f>IFERROR(-V70/SUM(V208+V213),"")</f>
        <v>0.00520636836942579</v>
      </c>
      <c r="W71" s="12" t="n"/>
      <c r="X71" s="53">
        <f>IFERROR(-X70/SUM(X208+X213),"")</f>
        <v>0.00710613849410342</v>
      </c>
      <c r="Y71" s="53">
        <f>IFERROR(-Y70/SUM(Y208+Y213),"")</f>
        <v>0.00506118749055749</v>
      </c>
      <c r="Z71" s="53">
        <f>IFERROR(-Z70/SUM(Z208+Z213),"")</f>
        <v>0.00439131495486704</v>
      </c>
      <c r="AA71" s="53">
        <f>IFERROR(-AA70/SUM(AA208+AA213),"")</f>
        <v>0.00486998070385004</v>
      </c>
      <c r="AB71" s="12" t="n"/>
      <c r="AC71" s="53">
        <f>IFERROR(-AC70/SUM(AC208+AC213),"")</f>
        <v>0.00312327760426236</v>
      </c>
      <c r="AD71" s="53">
        <f>IFERROR(-AD70/SUM(AD208+AD213),"")</f>
        <v>0.0110560426991994</v>
      </c>
      <c r="AE71" s="53">
        <f>IFERROR(-AE70/SUM(AE208+AE213),"")</f>
        <v>0.00661822557504512</v>
      </c>
      <c r="AF71" s="55">
        <f>IFERROR(-AF70/SUM(AF208+AF213),"")</f>
        <v>0.00640213117923819</v>
      </c>
      <c r="AG71" s="12" t="n"/>
      <c r="AH71" s="11">
        <f>IFERROR(-AH70/SUM(AH208+AH213),"")</f>
        <v>0.00687733061508884</v>
      </c>
      <c r="AI71" s="11">
        <f>IFERROR(-AI70/SUM(AI208+AI213),"")</f>
        <v>0.0130188967554627</v>
      </c>
      <c r="AJ71" s="11" t="str">
        <f>IFERROR(Control!$E$9,0)</f>
        <v/>
      </c>
      <c r="AK71" s="11" t="str">
        <f>IFERROR(Control!$E$9,0)</f>
        <v/>
      </c>
      <c r="AL71" s="12" t="n"/>
      <c r="AM71" s="11" t="str">
        <f>IFERROR(Control!$E$9,0)</f>
        <v/>
      </c>
      <c r="AN71" s="11" t="str">
        <f>IFERROR(Control!$E$9,0)</f>
        <v/>
      </c>
      <c r="AO71" s="11" t="str">
        <f>IFERROR(Control!$E$9,0)</f>
        <v/>
      </c>
      <c r="AP71" s="11" t="str">
        <f>IFERROR(Control!$E$9,0)</f>
        <v/>
      </c>
      <c r="AQ71" s="12" t="n"/>
      <c r="AR71" s="11" t="str">
        <f>IFERROR(Control!$E$9,0)</f>
        <v/>
      </c>
      <c r="AS71" s="11" t="str">
        <f>IFERROR(Control!$E$9,0)</f>
        <v/>
      </c>
      <c r="AT71" s="11" t="str">
        <f>IFERROR(Control!$E$9,0)</f>
        <v/>
      </c>
      <c r="AU71" s="11" t="str">
        <f>IFERROR(Control!$E$9,0)</f>
        <v/>
      </c>
      <c r="AV71" s="12" t="n"/>
      <c r="AW71" s="11" t="str">
        <f>IFERROR(Control!$E$9,0)</f>
        <v/>
      </c>
      <c r="AX71" s="11" t="str">
        <f>IFERROR(Control!$E$9,0)</f>
        <v/>
      </c>
      <c r="AY71" s="11" t="str">
        <f>IFERROR(Control!$E$9,0)</f>
        <v/>
      </c>
      <c r="AZ71" s="11" t="str">
        <f>IFERROR(Control!$E$9,0)</f>
        <v/>
      </c>
      <c r="BA71" s="12" t="n"/>
      <c r="BB71" s="11" t="str">
        <f>IFERROR(Control!$E$9,0)</f>
        <v/>
      </c>
      <c r="BC71" s="11" t="str">
        <f>IFERROR(Control!$E$9,0)</f>
        <v/>
      </c>
      <c r="BD71" s="11" t="str">
        <f>IFERROR(Control!$E$9,0)</f>
        <v/>
      </c>
      <c r="BE71" s="11" t="str">
        <f>IFERROR(Control!$E$9,0)</f>
        <v/>
      </c>
      <c r="BF71" s="12" t="n"/>
      <c r="BG71" s="11" t="n"/>
      <c r="BH71" s="11" t="n"/>
      <c r="BI71" s="11" t="n"/>
      <c r="BJ71" s="11" t="n"/>
      <c r="BK71" s="12" t="n"/>
      <c r="BL71" s="11" t="n"/>
      <c r="BM71" s="11" t="n"/>
      <c r="BN71" s="11" t="n"/>
      <c r="BO71" s="11" t="n"/>
      <c r="BP71" s="12" t="n"/>
      <c r="BQ71" s="11" t="n"/>
      <c r="BR71" s="11" t="n"/>
      <c r="BS71" s="11" t="n"/>
      <c r="BT71" s="11" t="n"/>
      <c r="BU71" s="12" t="n"/>
      <c r="BV71" s="11" t="n"/>
      <c r="BW71" s="11" t="n"/>
      <c r="BX71" s="11" t="n"/>
      <c r="BY71" s="11" t="n"/>
      <c r="BZ71" s="12" t="n"/>
      <c r="CA71" s="11" t="n"/>
      <c r="CB71" s="11" t="n"/>
      <c r="CC71" s="11" t="n"/>
      <c r="CD71" s="11" t="n"/>
      <c r="CE71" s="12" t="n"/>
      <c r="CF71" s="11" t="n"/>
      <c r="CG71" s="11" t="n"/>
      <c r="CH71" s="11" t="n"/>
      <c r="CI71" s="11" t="n"/>
      <c r="CJ71" s="12" t="n"/>
      <c r="CK71" s="11" t="n"/>
      <c r="CL71" s="11" t="n"/>
      <c r="CM71" s="11" t="n"/>
      <c r="CN71" s="11" t="n"/>
      <c r="CO71" s="12" t="n"/>
      <c r="CP71" s="11" t="n"/>
      <c r="CQ71" s="11" t="n"/>
      <c r="CR71" s="11" t="n"/>
      <c r="CS71" s="11" t="n"/>
      <c r="CT71" s="12" t="n"/>
      <c r="CU71" s="11" t="n"/>
      <c r="CV71" s="11" t="n"/>
      <c r="CW71" s="11" t="n"/>
      <c r="CX71" s="11" t="n"/>
      <c r="CY71" s="12" t="n"/>
    </row>
    <row r="72" hidden="1" outlineLevel="1">
      <c r="C72" s="50" t="inlineStr">
        <is>
          <t>%CDI</t>
        </is>
      </c>
      <c r="D72" s="11" t="n"/>
      <c r="E72" s="11" t="n"/>
      <c r="F72" s="11" t="n"/>
      <c r="G72" s="11" t="n"/>
      <c r="H72" s="12" t="n"/>
      <c r="I72" s="11" t="n"/>
      <c r="J72" s="11" t="n"/>
      <c r="K72" s="11" t="n"/>
      <c r="L72" s="11" t="n"/>
      <c r="M72" s="12" t="n"/>
      <c r="N72" s="11" t="n"/>
      <c r="O72" s="11" t="n"/>
      <c r="P72" s="11" t="n"/>
      <c r="Q72" s="11" t="n"/>
      <c r="R72" s="12" t="n"/>
      <c r="S72" s="11" t="n"/>
      <c r="T72" s="11" t="n"/>
      <c r="U72" s="11" t="n"/>
      <c r="V72" s="11" t="n"/>
      <c r="W72" s="12" t="n"/>
      <c r="X72" s="11" t="n"/>
      <c r="Y72" s="11" t="n"/>
      <c r="Z72" s="11" t="n"/>
      <c r="AA72" s="11" t="n"/>
      <c r="AB72" s="12" t="n"/>
      <c r="AC72" s="11" t="n"/>
      <c r="AD72" s="11" t="n"/>
      <c r="AE72" s="11" t="n"/>
      <c r="AF72" s="11" t="n"/>
      <c r="AG72" s="12" t="n"/>
      <c r="AH72" s="11" t="n"/>
      <c r="AI72" s="11" t="n"/>
      <c r="AJ72" s="11" t="n"/>
      <c r="AK72" s="11" t="n"/>
      <c r="AL72" s="12" t="n"/>
      <c r="AM72" s="11" t="n"/>
      <c r="AN72" s="11" t="n"/>
      <c r="AO72" s="11" t="n"/>
      <c r="AP72" s="11" t="n"/>
      <c r="AQ72" s="12" t="n"/>
      <c r="AR72" s="11" t="n"/>
      <c r="AS72" s="11" t="n"/>
      <c r="AT72" s="11" t="n"/>
      <c r="AU72" s="11" t="n"/>
      <c r="AV72" s="12" t="n"/>
      <c r="AW72" s="11" t="n"/>
      <c r="AX72" s="11" t="n"/>
      <c r="AY72" s="11" t="n"/>
      <c r="AZ72" s="11" t="n"/>
      <c r="BA72" s="12" t="n"/>
      <c r="BB72" s="11" t="n"/>
      <c r="BC72" s="11" t="n"/>
      <c r="BD72" s="11" t="n"/>
      <c r="BE72" s="11" t="n"/>
      <c r="BF72" s="12" t="n"/>
      <c r="BG72" s="11" t="n"/>
      <c r="BH72" s="11" t="n"/>
      <c r="BI72" s="11" t="n"/>
      <c r="BJ72" s="11" t="n"/>
      <c r="BK72" s="12" t="n"/>
      <c r="BL72" s="11" t="n"/>
      <c r="BM72" s="11" t="n"/>
      <c r="BN72" s="11" t="n"/>
      <c r="BO72" s="11" t="n"/>
      <c r="BP72" s="12" t="n"/>
      <c r="BQ72" s="11" t="n"/>
      <c r="BR72" s="11" t="n"/>
      <c r="BS72" s="11" t="n"/>
      <c r="BT72" s="11" t="n"/>
      <c r="BU72" s="12" t="n"/>
      <c r="BV72" s="11" t="n"/>
      <c r="BW72" s="11" t="n"/>
      <c r="BX72" s="11" t="n"/>
      <c r="BY72" s="11" t="n"/>
      <c r="BZ72" s="12" t="n"/>
      <c r="CA72" s="11" t="n"/>
      <c r="CB72" s="11" t="n"/>
      <c r="CC72" s="11" t="n"/>
      <c r="CD72" s="11" t="n"/>
      <c r="CE72" s="12" t="n"/>
      <c r="CF72" s="11" t="n"/>
      <c r="CG72" s="11" t="n"/>
      <c r="CH72" s="11" t="n"/>
      <c r="CI72" s="11" t="n"/>
      <c r="CJ72" s="12" t="n"/>
      <c r="CK72" s="11" t="n"/>
      <c r="CL72" s="11" t="n"/>
      <c r="CM72" s="11" t="n"/>
      <c r="CN72" s="11" t="n"/>
      <c r="CO72" s="12" t="n"/>
      <c r="CP72" s="11" t="n"/>
      <c r="CQ72" s="11" t="n"/>
      <c r="CR72" s="11" t="n"/>
      <c r="CS72" s="11" t="n"/>
      <c r="CT72" s="12" t="n"/>
      <c r="CU72" s="11" t="n"/>
      <c r="CV72" s="11" t="n"/>
      <c r="CW72" s="11" t="n"/>
      <c r="CX72" s="11" t="n"/>
      <c r="CY72" s="12" t="n"/>
    </row>
    <row r="73" hidden="1" outlineLevel="1">
      <c r="C73" s="57" t="n"/>
      <c r="D73" s="12" t="n"/>
      <c r="E73" s="12" t="n"/>
      <c r="F73" s="12" t="n"/>
      <c r="G73" s="12" t="n"/>
      <c r="H73" s="12" t="n"/>
      <c r="I73" s="12" t="n"/>
      <c r="J73" s="12" t="n"/>
      <c r="K73" s="12" t="n"/>
      <c r="L73" s="12" t="n"/>
      <c r="M73" s="12" t="n"/>
      <c r="N73" s="12" t="n"/>
      <c r="O73" s="12" t="n"/>
      <c r="P73" s="12" t="n"/>
      <c r="Q73" s="12" t="n"/>
      <c r="R73" s="12" t="n"/>
      <c r="S73" s="12" t="n"/>
      <c r="T73" s="12" t="n"/>
      <c r="U73" s="12" t="n"/>
      <c r="V73" s="12" t="n"/>
      <c r="W73" s="12" t="n"/>
      <c r="X73" s="12" t="n"/>
      <c r="Y73" s="12" t="n"/>
      <c r="Z73" s="12" t="n"/>
      <c r="AA73" s="12" t="n"/>
      <c r="AB73" s="12" t="n"/>
      <c r="AC73" s="12" t="n"/>
      <c r="AD73" s="12" t="n"/>
      <c r="AE73" s="12" t="n"/>
      <c r="AF73" s="12" t="n"/>
      <c r="AG73" s="12" t="n"/>
      <c r="AH73" s="12" t="n"/>
      <c r="AI73" s="12" t="n"/>
      <c r="AJ73" s="12" t="n"/>
      <c r="AK73" s="12" t="n"/>
      <c r="AL73" s="12" t="n"/>
      <c r="AM73" s="12" t="n"/>
      <c r="AN73" s="12" t="n"/>
      <c r="AO73" s="12" t="n"/>
      <c r="AP73" s="12" t="n"/>
      <c r="AQ73" s="12" t="n"/>
      <c r="AR73" s="12" t="n"/>
      <c r="AS73" s="12" t="n"/>
      <c r="AT73" s="12" t="n"/>
      <c r="AU73" s="12" t="n"/>
      <c r="AV73" s="12" t="n"/>
      <c r="AW73" s="12" t="n"/>
      <c r="AX73" s="12" t="n"/>
      <c r="AY73" s="12" t="n"/>
      <c r="AZ73" s="12" t="n"/>
      <c r="BA73" s="12" t="n"/>
      <c r="BB73" s="12" t="n"/>
      <c r="BC73" s="12" t="n"/>
      <c r="BD73" s="12" t="n"/>
      <c r="BE73" s="12" t="n"/>
      <c r="BF73" s="12" t="n"/>
      <c r="BG73" s="12" t="n"/>
      <c r="BH73" s="12" t="n"/>
      <c r="BI73" s="12" t="n"/>
      <c r="BJ73" s="12" t="n"/>
      <c r="BK73" s="12" t="n"/>
      <c r="BL73" s="12" t="n"/>
      <c r="BM73" s="12" t="n"/>
      <c r="BN73" s="12" t="n"/>
      <c r="BO73" s="12" t="n"/>
      <c r="BP73" s="12" t="n"/>
      <c r="BQ73" s="12" t="n"/>
      <c r="BR73" s="12" t="n"/>
      <c r="BS73" s="12" t="n"/>
      <c r="BT73" s="12" t="n"/>
      <c r="BU73" s="12" t="n"/>
      <c r="BV73" s="12" t="n"/>
      <c r="BW73" s="12" t="n"/>
      <c r="BX73" s="12" t="n"/>
      <c r="BY73" s="12" t="n"/>
      <c r="BZ73" s="12" t="n"/>
      <c r="CA73" s="12" t="n"/>
      <c r="CB73" s="12" t="n"/>
      <c r="CC73" s="12" t="n"/>
      <c r="CD73" s="12" t="n"/>
      <c r="CE73" s="12" t="n"/>
      <c r="CF73" s="12" t="n"/>
      <c r="CG73" s="12" t="n"/>
      <c r="CH73" s="12" t="n"/>
      <c r="CI73" s="12" t="n"/>
      <c r="CJ73" s="12" t="n"/>
      <c r="CK73" s="12" t="n"/>
      <c r="CL73" s="12" t="n"/>
      <c r="CM73" s="12" t="n"/>
      <c r="CN73" s="12" t="n"/>
      <c r="CO73" s="12" t="n"/>
      <c r="CP73" s="12" t="n"/>
      <c r="CQ73" s="12" t="n"/>
      <c r="CR73" s="12" t="n"/>
      <c r="CS73" s="12" t="n"/>
      <c r="CT73" s="12" t="n"/>
      <c r="CU73" s="12" t="n"/>
      <c r="CV73" s="12" t="n"/>
      <c r="CW73" s="12" t="n"/>
      <c r="CX73" s="12" t="n"/>
      <c r="CY73" s="12" t="n"/>
    </row>
    <row r="74" hidden="1" outlineLevel="1">
      <c r="C74" s="57" t="n"/>
      <c r="D74" s="12" t="n"/>
      <c r="E74" s="12" t="n"/>
      <c r="F74" s="12" t="n"/>
      <c r="G74" s="12" t="n"/>
      <c r="H74" s="12" t="n"/>
      <c r="I74" s="12" t="n"/>
      <c r="J74" s="12" t="n"/>
      <c r="K74" s="12" t="n"/>
      <c r="L74" s="12" t="n"/>
      <c r="M74" s="12" t="n"/>
      <c r="N74" s="12" t="n"/>
      <c r="O74" s="12" t="n"/>
      <c r="P74" s="12" t="n"/>
      <c r="Q74" s="12" t="n"/>
      <c r="R74" s="12" t="n"/>
      <c r="S74" s="12" t="n"/>
      <c r="T74" s="12" t="n"/>
      <c r="U74" s="12" t="n"/>
      <c r="V74" s="12" t="n"/>
      <c r="W74" s="12" t="n"/>
      <c r="X74" s="12" t="n"/>
      <c r="Y74" s="12" t="n"/>
      <c r="Z74" s="12" t="n"/>
      <c r="AA74" s="12" t="n"/>
      <c r="AB74" s="12" t="n"/>
      <c r="AC74" s="12" t="n"/>
      <c r="AD74" s="12" t="n"/>
      <c r="AE74" s="12" t="n"/>
      <c r="AF74" s="12" t="n"/>
      <c r="AG74" s="12" t="n"/>
      <c r="AH74" s="12" t="n"/>
      <c r="AI74" s="12" t="n"/>
      <c r="AJ74" s="12" t="n"/>
      <c r="AK74" s="12" t="n"/>
      <c r="AL74" s="12" t="n"/>
      <c r="AM74" s="12" t="n"/>
      <c r="AN74" s="12" t="n"/>
      <c r="AO74" s="12" t="n"/>
      <c r="AP74" s="12" t="n"/>
      <c r="AQ74" s="12" t="n"/>
      <c r="AR74" s="12" t="n"/>
      <c r="AS74" s="12" t="n"/>
      <c r="AT74" s="12" t="n"/>
      <c r="AU74" s="12" t="n"/>
      <c r="AV74" s="12" t="n"/>
      <c r="AW74" s="12" t="n"/>
      <c r="AX74" s="12" t="n"/>
      <c r="AY74" s="12" t="n"/>
      <c r="AZ74" s="12" t="n"/>
      <c r="BA74" s="12" t="n"/>
      <c r="BB74" s="12" t="n"/>
      <c r="BC74" s="12" t="n"/>
      <c r="BD74" s="12" t="n"/>
      <c r="BE74" s="12" t="n"/>
      <c r="BF74" s="12" t="n"/>
      <c r="BG74" s="12" t="n"/>
      <c r="BH74" s="12" t="n"/>
      <c r="BI74" s="12" t="n"/>
      <c r="BJ74" s="12" t="n"/>
      <c r="BK74" s="12" t="n"/>
      <c r="BL74" s="12" t="n"/>
      <c r="BM74" s="12" t="n"/>
      <c r="BN74" s="12" t="n"/>
      <c r="BO74" s="12" t="n"/>
      <c r="BP74" s="12" t="n"/>
      <c r="BQ74" s="12" t="n"/>
      <c r="BR74" s="12" t="n"/>
      <c r="BS74" s="12" t="n"/>
      <c r="BT74" s="12" t="n"/>
      <c r="BU74" s="12" t="n"/>
      <c r="BV74" s="12" t="n"/>
      <c r="BW74" s="12" t="n"/>
      <c r="BX74" s="12" t="n"/>
      <c r="BY74" s="12" t="n"/>
      <c r="BZ74" s="12" t="n"/>
      <c r="CA74" s="12" t="n"/>
      <c r="CB74" s="12" t="n"/>
      <c r="CC74" s="12" t="n"/>
      <c r="CD74" s="12" t="n"/>
      <c r="CE74" s="12" t="n"/>
      <c r="CF74" s="12" t="n"/>
      <c r="CG74" s="12" t="n"/>
      <c r="CH74" s="12" t="n"/>
      <c r="CI74" s="12" t="n"/>
      <c r="CJ74" s="12" t="n"/>
      <c r="CK74" s="12" t="n"/>
      <c r="CL74" s="12" t="n"/>
      <c r="CM74" s="12" t="n"/>
      <c r="CN74" s="12" t="n"/>
      <c r="CO74" s="12" t="n"/>
      <c r="CP74" s="12" t="n"/>
      <c r="CQ74" s="12" t="n"/>
      <c r="CR74" s="12" t="n"/>
      <c r="CS74" s="12" t="n"/>
      <c r="CT74" s="12" t="n"/>
      <c r="CU74" s="12" t="n"/>
      <c r="CV74" s="12" t="n"/>
      <c r="CW74" s="12" t="n"/>
      <c r="CX74" s="12" t="n"/>
      <c r="CY74" s="12" t="n"/>
    </row>
    <row r="75" hidden="1" outlineLevel="1">
      <c r="C75" s="57" t="inlineStr">
        <is>
          <t>RECEITA FINANCEIRA</t>
        </is>
      </c>
      <c r="D75" s="12" t="n"/>
      <c r="E75" s="12" t="n"/>
      <c r="F75" s="12" t="n"/>
      <c r="G75" s="12" t="n"/>
      <c r="H75" s="12" t="n"/>
      <c r="I75" s="12" t="n"/>
      <c r="J75" s="12" t="n"/>
      <c r="K75" s="12" t="n"/>
      <c r="L75" s="12" t="n"/>
      <c r="M75" s="12" t="n"/>
      <c r="N75" s="12" t="n"/>
      <c r="O75" s="12" t="n"/>
      <c r="P75" s="12" t="n"/>
      <c r="Q75" s="12" t="n"/>
      <c r="R75" s="12" t="n"/>
      <c r="S75" s="12" t="n"/>
      <c r="T75" s="12" t="n"/>
      <c r="U75" s="12" t="n"/>
      <c r="V75" s="12" t="n"/>
      <c r="W75" s="12" t="n"/>
      <c r="X75" s="12" t="n"/>
      <c r="Y75" s="12" t="n"/>
      <c r="Z75" s="12" t="n"/>
      <c r="AA75" s="12" t="n"/>
      <c r="AB75" s="12" t="n"/>
      <c r="AC75" s="12" t="n"/>
      <c r="AD75" s="12" t="n"/>
      <c r="AE75" s="12" t="n"/>
      <c r="AF75" s="12" t="n"/>
      <c r="AG75" s="12" t="n"/>
      <c r="AH75" s="12" t="n"/>
      <c r="AI75" s="12" t="n"/>
      <c r="AJ75" s="12" t="n"/>
      <c r="AK75" s="12" t="n"/>
      <c r="AL75" s="12" t="n"/>
      <c r="AM75" s="12" t="n"/>
      <c r="AN75" s="12" t="n"/>
      <c r="AO75" s="12" t="n"/>
      <c r="AP75" s="12" t="n"/>
      <c r="AQ75" s="12" t="n"/>
      <c r="AR75" s="12" t="n"/>
      <c r="AS75" s="12" t="n"/>
      <c r="AT75" s="12" t="n"/>
      <c r="AU75" s="12" t="n"/>
      <c r="AV75" s="12" t="n"/>
      <c r="AW75" s="12" t="n"/>
      <c r="AX75" s="12" t="n"/>
      <c r="AY75" s="12" t="n"/>
      <c r="AZ75" s="12" t="n"/>
      <c r="BA75" s="12" t="n"/>
      <c r="BB75" s="12" t="n"/>
      <c r="BC75" s="12" t="n"/>
      <c r="BD75" s="12" t="n"/>
      <c r="BE75" s="12" t="n"/>
      <c r="BF75" s="12" t="n"/>
      <c r="BG75" s="12" t="n"/>
      <c r="BH75" s="12" t="n"/>
      <c r="BI75" s="12" t="n"/>
      <c r="BJ75" s="12" t="n"/>
      <c r="BK75" s="12" t="n"/>
      <c r="BL75" s="12" t="n"/>
      <c r="BM75" s="12" t="n"/>
      <c r="BN75" s="12" t="n"/>
      <c r="BO75" s="12" t="n"/>
      <c r="BP75" s="12" t="n"/>
      <c r="BQ75" s="12" t="n"/>
      <c r="BR75" s="12" t="n"/>
      <c r="BS75" s="12" t="n"/>
      <c r="BT75" s="12" t="n"/>
      <c r="BU75" s="12" t="n"/>
      <c r="BV75" s="12" t="n"/>
      <c r="BW75" s="12" t="n"/>
      <c r="BX75" s="12" t="n"/>
      <c r="BY75" s="12" t="n"/>
      <c r="BZ75" s="12" t="n"/>
      <c r="CA75" s="12" t="n"/>
      <c r="CB75" s="12" t="n"/>
      <c r="CC75" s="12" t="n"/>
      <c r="CD75" s="12" t="n"/>
      <c r="CE75" s="12" t="n"/>
      <c r="CF75" s="12" t="n"/>
      <c r="CG75" s="12" t="n"/>
      <c r="CH75" s="12" t="n"/>
      <c r="CI75" s="12" t="n"/>
      <c r="CJ75" s="12" t="n"/>
      <c r="CK75" s="12" t="n"/>
      <c r="CL75" s="12" t="n"/>
      <c r="CM75" s="12" t="n"/>
      <c r="CN75" s="12" t="n"/>
      <c r="CO75" s="12" t="n"/>
      <c r="CP75" s="12" t="n"/>
      <c r="CQ75" s="12" t="n"/>
      <c r="CR75" s="12" t="n"/>
      <c r="CS75" s="12" t="n"/>
      <c r="CT75" s="12" t="n"/>
      <c r="CU75" s="12" t="n"/>
      <c r="CV75" s="12" t="n"/>
      <c r="CW75" s="12" t="n"/>
      <c r="CX75" s="12" t="n"/>
      <c r="CY75" s="12" t="n"/>
    </row>
    <row r="76" hidden="1" outlineLevel="1">
      <c r="C76" s="57" t="inlineStr">
        <is>
          <t>DESPESA FINANCEIRA</t>
        </is>
      </c>
      <c r="D76" s="12" t="n"/>
      <c r="E76" s="12" t="n"/>
      <c r="F76" s="12" t="n"/>
      <c r="G76" s="12" t="n"/>
      <c r="H76" s="12" t="n"/>
      <c r="I76" s="12" t="n"/>
      <c r="J76" s="12" t="n"/>
      <c r="K76" s="12" t="n"/>
      <c r="L76" s="12" t="n"/>
      <c r="M76" s="12" t="n"/>
      <c r="N76" s="12" t="n"/>
      <c r="O76" s="12" t="n"/>
      <c r="P76" s="12" t="n"/>
      <c r="Q76" s="12" t="n"/>
      <c r="R76" s="12" t="n"/>
      <c r="S76" s="12" t="n"/>
      <c r="T76" s="12" t="n"/>
      <c r="U76" s="12" t="n"/>
      <c r="V76" s="12" t="n"/>
      <c r="W76" s="12" t="n"/>
      <c r="X76" s="12" t="n"/>
      <c r="Y76" s="12" t="n"/>
      <c r="Z76" s="12" t="n"/>
      <c r="AA76" s="12" t="n"/>
      <c r="AB76" s="12" t="n"/>
      <c r="AC76" s="12" t="n"/>
      <c r="AD76" s="12" t="n"/>
      <c r="AE76" s="12" t="n"/>
      <c r="AF76" s="12" t="n"/>
      <c r="AG76" s="12" t="n"/>
      <c r="AH76" s="12" t="n"/>
      <c r="AI76" s="12" t="n"/>
      <c r="AJ76" s="12" t="n"/>
      <c r="AK76" s="12" t="n"/>
      <c r="AL76" s="12" t="n"/>
      <c r="AM76" s="12" t="n"/>
      <c r="AN76" s="12" t="n"/>
      <c r="AO76" s="12" t="n"/>
      <c r="AP76" s="12" t="n"/>
      <c r="AQ76" s="12" t="n"/>
      <c r="AR76" s="12" t="n"/>
      <c r="AS76" s="12" t="n"/>
      <c r="AT76" s="12" t="n"/>
      <c r="AU76" s="12" t="n"/>
      <c r="AV76" s="12" t="n"/>
      <c r="AW76" s="12" t="n"/>
      <c r="AX76" s="12" t="n"/>
      <c r="AY76" s="12" t="n"/>
      <c r="AZ76" s="12" t="n"/>
      <c r="BA76" s="12" t="n"/>
      <c r="BB76" s="12" t="n"/>
      <c r="BC76" s="12" t="n"/>
      <c r="BD76" s="12" t="n"/>
      <c r="BE76" s="12" t="n"/>
      <c r="BF76" s="12" t="n"/>
      <c r="BG76" s="12" t="n"/>
      <c r="BH76" s="12" t="n"/>
      <c r="BI76" s="12" t="n"/>
      <c r="BJ76" s="12" t="n"/>
      <c r="BK76" s="12" t="n"/>
      <c r="BL76" s="12" t="n"/>
      <c r="BM76" s="12" t="n"/>
      <c r="BN76" s="12" t="n"/>
      <c r="BO76" s="12" t="n"/>
      <c r="BP76" s="12" t="n"/>
      <c r="BQ76" s="12" t="n"/>
      <c r="BR76" s="12" t="n"/>
      <c r="BS76" s="12" t="n"/>
      <c r="BT76" s="12" t="n"/>
      <c r="BU76" s="12" t="n"/>
      <c r="BV76" s="12" t="n"/>
      <c r="BW76" s="12" t="n"/>
      <c r="BX76" s="12" t="n"/>
      <c r="BY76" s="12" t="n"/>
      <c r="BZ76" s="12" t="n"/>
      <c r="CA76" s="12" t="n"/>
      <c r="CB76" s="12" t="n"/>
      <c r="CC76" s="12" t="n"/>
      <c r="CD76" s="12" t="n"/>
      <c r="CE76" s="12" t="n"/>
      <c r="CF76" s="12" t="n"/>
      <c r="CG76" s="12" t="n"/>
      <c r="CH76" s="12" t="n"/>
      <c r="CI76" s="12" t="n"/>
      <c r="CJ76" s="12" t="n"/>
      <c r="CK76" s="12" t="n"/>
      <c r="CL76" s="12" t="n"/>
      <c r="CM76" s="12" t="n"/>
      <c r="CN76" s="12" t="n"/>
      <c r="CO76" s="12" t="n"/>
      <c r="CP76" s="12" t="n"/>
      <c r="CQ76" s="12" t="n"/>
      <c r="CR76" s="12" t="n"/>
      <c r="CS76" s="12" t="n"/>
      <c r="CT76" s="12" t="n"/>
      <c r="CU76" s="12" t="n"/>
      <c r="CV76" s="12" t="n"/>
      <c r="CW76" s="12" t="n"/>
      <c r="CX76" s="12" t="n"/>
      <c r="CY76" s="12" t="n"/>
    </row>
    <row r="77" hidden="1" outlineLevel="1">
      <c r="C77" s="57" t="inlineStr">
        <is>
          <t>OUTROS</t>
        </is>
      </c>
      <c r="D77" s="12" t="n"/>
      <c r="E77" s="12" t="n"/>
      <c r="F77" s="12" t="n"/>
      <c r="G77" s="12" t="n"/>
      <c r="H77" s="12" t="n"/>
      <c r="I77" s="12" t="n"/>
      <c r="J77" s="12" t="n"/>
      <c r="K77" s="12" t="n"/>
      <c r="L77" s="12" t="n"/>
      <c r="M77" s="12" t="n"/>
      <c r="N77" s="12" t="n"/>
      <c r="O77" s="12" t="n"/>
      <c r="P77" s="12" t="n"/>
      <c r="Q77" s="12" t="n"/>
      <c r="R77" s="12" t="n"/>
      <c r="S77" s="12" t="n"/>
      <c r="T77" s="12" t="n"/>
      <c r="U77" s="12" t="n"/>
      <c r="V77" s="12" t="n"/>
      <c r="W77" s="12" t="n"/>
      <c r="X77" s="12" t="n"/>
      <c r="Y77" s="12" t="n"/>
      <c r="Z77" s="12" t="n"/>
      <c r="AA77" s="12" t="n"/>
      <c r="AB77" s="12" t="n"/>
      <c r="AC77" s="12" t="n"/>
      <c r="AD77" s="12" t="n"/>
      <c r="AE77" s="12" t="n"/>
      <c r="AF77" s="12" t="n"/>
      <c r="AG77" s="12" t="n"/>
      <c r="AH77" s="12" t="n"/>
      <c r="AI77" s="12" t="n"/>
      <c r="AJ77" s="12" t="n"/>
      <c r="AK77" s="12" t="n"/>
      <c r="AL77" s="12" t="n"/>
      <c r="AM77" s="12" t="n"/>
      <c r="AN77" s="12" t="n"/>
      <c r="AO77" s="12" t="n"/>
      <c r="AP77" s="12" t="n"/>
      <c r="AQ77" s="12" t="n"/>
      <c r="AR77" s="12" t="n"/>
      <c r="AS77" s="12" t="n"/>
      <c r="AT77" s="12" t="n"/>
      <c r="AU77" s="12" t="n"/>
      <c r="AV77" s="12" t="n"/>
      <c r="AW77" s="12" t="n"/>
      <c r="AX77" s="12" t="n"/>
      <c r="AY77" s="12" t="n"/>
      <c r="AZ77" s="12" t="n"/>
      <c r="BA77" s="12" t="n"/>
      <c r="BB77" s="12" t="n"/>
      <c r="BC77" s="12" t="n"/>
      <c r="BD77" s="12" t="n"/>
      <c r="BE77" s="12" t="n"/>
      <c r="BF77" s="12" t="n"/>
      <c r="BG77" s="12" t="n"/>
      <c r="BH77" s="12" t="n"/>
      <c r="BI77" s="12" t="n"/>
      <c r="BJ77" s="12" t="n"/>
      <c r="BK77" s="12" t="n"/>
      <c r="BL77" s="12" t="n"/>
      <c r="BM77" s="12" t="n"/>
      <c r="BN77" s="12" t="n"/>
      <c r="BO77" s="12" t="n"/>
      <c r="BP77" s="12" t="n"/>
      <c r="BQ77" s="12" t="n"/>
      <c r="BR77" s="12" t="n"/>
      <c r="BS77" s="12" t="n"/>
      <c r="BT77" s="12" t="n"/>
      <c r="BU77" s="12" t="n"/>
      <c r="BV77" s="12" t="n"/>
      <c r="BW77" s="12" t="n"/>
      <c r="BX77" s="12" t="n"/>
      <c r="BY77" s="12" t="n"/>
      <c r="BZ77" s="12" t="n"/>
      <c r="CA77" s="12" t="n"/>
      <c r="CB77" s="12" t="n"/>
      <c r="CC77" s="12" t="n"/>
      <c r="CD77" s="12" t="n"/>
      <c r="CE77" s="12" t="n"/>
      <c r="CF77" s="12" t="n"/>
      <c r="CG77" s="12" t="n"/>
      <c r="CH77" s="12" t="n"/>
      <c r="CI77" s="12" t="n"/>
      <c r="CJ77" s="12" t="n"/>
      <c r="CK77" s="12" t="n"/>
      <c r="CL77" s="12" t="n"/>
      <c r="CM77" s="12" t="n"/>
      <c r="CN77" s="12" t="n"/>
      <c r="CO77" s="12" t="n"/>
      <c r="CP77" s="12" t="n"/>
      <c r="CQ77" s="12" t="n"/>
      <c r="CR77" s="12" t="n"/>
      <c r="CS77" s="12" t="n"/>
      <c r="CT77" s="12" t="n"/>
      <c r="CU77" s="12" t="n"/>
      <c r="CV77" s="12" t="n"/>
      <c r="CW77" s="12" t="n"/>
      <c r="CX77" s="12" t="n"/>
      <c r="CY77" s="12" t="n"/>
    </row>
    <row r="78" hidden="1" outlineLevel="1">
      <c r="C78" s="57" t="n"/>
      <c r="D78" s="12" t="n"/>
      <c r="E78" s="12" t="n"/>
      <c r="F78" s="12" t="n"/>
      <c r="G78" s="12" t="n"/>
      <c r="H78" s="12" t="n"/>
      <c r="I78" s="12" t="n"/>
      <c r="J78" s="12" t="n"/>
      <c r="K78" s="12" t="n"/>
      <c r="L78" s="12" t="n"/>
      <c r="M78" s="12" t="n"/>
      <c r="N78" s="12" t="n"/>
      <c r="O78" s="12" t="n"/>
      <c r="P78" s="12" t="n"/>
      <c r="Q78" s="12" t="n"/>
      <c r="R78" s="12" t="n"/>
      <c r="S78" s="12" t="n"/>
      <c r="T78" s="12" t="n"/>
      <c r="U78" s="12" t="n"/>
      <c r="V78" s="12" t="n"/>
      <c r="W78" s="12" t="n"/>
      <c r="X78" s="12" t="n"/>
      <c r="Y78" s="12" t="n"/>
      <c r="Z78" s="12" t="n"/>
      <c r="AA78" s="12" t="n"/>
      <c r="AB78" s="12" t="n"/>
      <c r="AC78" s="12" t="n"/>
      <c r="AD78" s="12" t="n"/>
      <c r="AE78" s="12" t="n"/>
      <c r="AF78" s="12" t="n"/>
      <c r="AG78" s="12" t="n"/>
      <c r="AH78" s="12" t="n"/>
      <c r="AI78" s="12" t="n"/>
      <c r="AJ78" s="12" t="n"/>
      <c r="AK78" s="12" t="n"/>
      <c r="AL78" s="12" t="n"/>
      <c r="AM78" s="12" t="n"/>
      <c r="AN78" s="12" t="n"/>
      <c r="AO78" s="12" t="n"/>
      <c r="AP78" s="12" t="n"/>
      <c r="AQ78" s="12" t="n"/>
      <c r="AR78" s="12" t="n"/>
      <c r="AS78" s="12" t="n"/>
      <c r="AT78" s="12" t="n"/>
      <c r="AU78" s="12" t="n"/>
      <c r="AV78" s="12" t="n"/>
      <c r="AW78" s="12" t="n"/>
      <c r="AX78" s="12" t="n"/>
      <c r="AY78" s="12" t="n"/>
      <c r="AZ78" s="12" t="n"/>
      <c r="BA78" s="12" t="n"/>
      <c r="BB78" s="12" t="n"/>
      <c r="BC78" s="12" t="n"/>
      <c r="BD78" s="12" t="n"/>
      <c r="BE78" s="12" t="n"/>
      <c r="BF78" s="12" t="n"/>
      <c r="BG78" s="12" t="n"/>
      <c r="BH78" s="12" t="n"/>
      <c r="BI78" s="12" t="n"/>
      <c r="BJ78" s="12" t="n"/>
      <c r="BK78" s="12" t="n"/>
      <c r="BL78" s="12" t="n"/>
      <c r="BM78" s="12" t="n"/>
      <c r="BN78" s="12" t="n"/>
      <c r="BO78" s="12" t="n"/>
      <c r="BP78" s="12" t="n"/>
      <c r="BQ78" s="12" t="n"/>
      <c r="BR78" s="12" t="n"/>
      <c r="BS78" s="12" t="n"/>
      <c r="BT78" s="12" t="n"/>
      <c r="BU78" s="12" t="n"/>
      <c r="BV78" s="12" t="n"/>
      <c r="BW78" s="12" t="n"/>
      <c r="BX78" s="12" t="n"/>
      <c r="BY78" s="12" t="n"/>
      <c r="BZ78" s="12" t="n"/>
      <c r="CA78" s="12" t="n"/>
      <c r="CB78" s="12" t="n"/>
      <c r="CC78" s="12" t="n"/>
      <c r="CD78" s="12" t="n"/>
      <c r="CE78" s="12" t="n"/>
      <c r="CF78" s="12" t="n"/>
      <c r="CG78" s="12" t="n"/>
      <c r="CH78" s="12" t="n"/>
      <c r="CI78" s="12" t="n"/>
      <c r="CJ78" s="12" t="n"/>
      <c r="CK78" s="12" t="n"/>
      <c r="CL78" s="12" t="n"/>
      <c r="CM78" s="12" t="n"/>
      <c r="CN78" s="12" t="n"/>
      <c r="CO78" s="12" t="n"/>
      <c r="CP78" s="12" t="n"/>
      <c r="CQ78" s="12" t="n"/>
      <c r="CR78" s="12" t="n"/>
      <c r="CS78" s="12" t="n"/>
      <c r="CT78" s="12" t="n"/>
      <c r="CU78" s="12" t="n"/>
      <c r="CV78" s="12" t="n"/>
      <c r="CW78" s="12" t="n"/>
      <c r="CX78" s="12" t="n"/>
      <c r="CY78" s="12" t="n"/>
    </row>
    <row r="79" hidden="1" outlineLevel="1">
      <c r="C79" s="57" t="inlineStr">
        <is>
          <t>Cash and equivalents (inc. investment securities)</t>
        </is>
      </c>
      <c r="D79" s="12" t="n"/>
      <c r="E79" s="12" t="n"/>
      <c r="F79" s="12" t="n"/>
      <c r="G79" s="12" t="n"/>
      <c r="H79" s="12" t="n"/>
      <c r="I79" s="12" t="n"/>
      <c r="J79" s="12" t="n"/>
      <c r="K79" s="12" t="n"/>
      <c r="L79" s="12" t="n"/>
      <c r="M79" s="12" t="n"/>
      <c r="N79" s="12" t="n"/>
      <c r="O79" s="12" t="n"/>
      <c r="P79" s="12" t="n"/>
      <c r="Q79" s="12" t="n"/>
      <c r="R79" s="12" t="n"/>
      <c r="S79" s="12" t="n"/>
      <c r="T79" s="12" t="n"/>
      <c r="U79" s="12" t="n"/>
      <c r="V79" s="12" t="n"/>
      <c r="W79" s="12" t="n"/>
      <c r="X79" s="12" t="n"/>
      <c r="Y79" s="12" t="n"/>
      <c r="Z79" s="12" t="n"/>
      <c r="AA79" s="12" t="n"/>
      <c r="AB79" s="12" t="n"/>
      <c r="AC79" s="12" t="n"/>
      <c r="AD79" s="12" t="n"/>
      <c r="AE79" s="12" t="n"/>
      <c r="AF79" s="12" t="n"/>
      <c r="AG79" s="12" t="n"/>
      <c r="AH79" s="12" t="n"/>
      <c r="AI79" s="12" t="n"/>
      <c r="AJ79" s="12" t="n"/>
      <c r="AK79" s="12" t="n"/>
      <c r="AL79" s="12" t="n"/>
      <c r="AM79" s="12" t="n"/>
      <c r="AN79" s="12" t="n"/>
      <c r="AO79" s="12" t="n"/>
      <c r="AP79" s="12" t="n"/>
      <c r="AQ79" s="12" t="n"/>
      <c r="AR79" s="12" t="n"/>
      <c r="AS79" s="12" t="n"/>
      <c r="AT79" s="12" t="n"/>
      <c r="AU79" s="12" t="n"/>
      <c r="AV79" s="12" t="n"/>
      <c r="AW79" s="12" t="n"/>
      <c r="AX79" s="12" t="n"/>
      <c r="AY79" s="12" t="n"/>
      <c r="AZ79" s="12" t="n"/>
      <c r="BA79" s="12" t="n"/>
      <c r="BB79" s="12" t="n"/>
      <c r="BC79" s="12" t="n"/>
      <c r="BD79" s="12" t="n"/>
      <c r="BE79" s="12" t="n"/>
      <c r="BF79" s="12" t="n"/>
      <c r="BG79" s="12" t="n"/>
      <c r="BH79" s="12" t="n"/>
      <c r="BI79" s="12" t="n"/>
      <c r="BJ79" s="12" t="n"/>
      <c r="BK79" s="12" t="n"/>
      <c r="BL79" s="12" t="n"/>
      <c r="BM79" s="12" t="n"/>
      <c r="BN79" s="12" t="n"/>
      <c r="BO79" s="12" t="n"/>
      <c r="BP79" s="12" t="n"/>
      <c r="BQ79" s="12" t="n"/>
      <c r="BR79" s="12" t="n"/>
      <c r="BS79" s="12" t="n"/>
      <c r="BT79" s="12" t="n"/>
      <c r="BU79" s="12" t="n"/>
      <c r="BV79" s="12" t="n"/>
      <c r="BW79" s="12" t="n"/>
      <c r="BX79" s="12" t="n"/>
      <c r="BY79" s="12" t="n"/>
      <c r="BZ79" s="12" t="n"/>
      <c r="CA79" s="12" t="n"/>
      <c r="CB79" s="12" t="n"/>
      <c r="CC79" s="12" t="n"/>
      <c r="CD79" s="12" t="n"/>
      <c r="CE79" s="12" t="n"/>
      <c r="CF79" s="12" t="n"/>
      <c r="CG79" s="12" t="n"/>
      <c r="CH79" s="12" t="n"/>
      <c r="CI79" s="12" t="n"/>
      <c r="CJ79" s="12" t="n"/>
      <c r="CK79" s="12" t="n"/>
      <c r="CL79" s="12" t="n"/>
      <c r="CM79" s="12" t="n"/>
      <c r="CN79" s="12" t="n"/>
      <c r="CO79" s="12" t="n"/>
      <c r="CP79" s="12" t="n"/>
      <c r="CQ79" s="12" t="n"/>
      <c r="CR79" s="12" t="n"/>
      <c r="CS79" s="12" t="n"/>
      <c r="CT79" s="12" t="n"/>
      <c r="CU79" s="12" t="n"/>
      <c r="CV79" s="12" t="n"/>
      <c r="CW79" s="12" t="n"/>
      <c r="CX79" s="12" t="n"/>
      <c r="CY79" s="12" t="n"/>
    </row>
    <row r="80" hidden="1" outlineLevel="1">
      <c r="C80" s="57" t="inlineStr">
        <is>
          <t>Interest on cash</t>
        </is>
      </c>
      <c r="D80" s="12" t="n"/>
      <c r="E80" s="12" t="n"/>
      <c r="F80" s="12" t="n"/>
      <c r="G80" s="12" t="n"/>
      <c r="H80" s="12" t="n"/>
      <c r="I80" s="12" t="n"/>
      <c r="J80" s="12" t="n"/>
      <c r="K80" s="12" t="n"/>
      <c r="L80" s="12" t="n"/>
      <c r="M80" s="12" t="n"/>
      <c r="N80" s="12" t="n"/>
      <c r="O80" s="12" t="n"/>
      <c r="P80" s="12" t="n"/>
      <c r="Q80" s="12" t="n"/>
      <c r="R80" s="12" t="n"/>
      <c r="S80" s="12" t="n"/>
      <c r="T80" s="12" t="n"/>
      <c r="U80" s="12" t="n"/>
      <c r="V80" s="12" t="n"/>
      <c r="W80" s="12" t="n"/>
      <c r="X80" s="12" t="n"/>
      <c r="Y80" s="12" t="n"/>
      <c r="Z80" s="12" t="n"/>
      <c r="AA80" s="12" t="n"/>
      <c r="AB80" s="12" t="n"/>
      <c r="AC80" s="12" t="n"/>
      <c r="AD80" s="12" t="n"/>
      <c r="AE80" s="12" t="n"/>
      <c r="AF80" s="12" t="n"/>
      <c r="AG80" s="12" t="n"/>
      <c r="AH80" s="12" t="n"/>
      <c r="AI80" s="12" t="n"/>
      <c r="AJ80" s="12" t="n"/>
      <c r="AK80" s="12" t="n"/>
      <c r="AL80" s="12" t="n"/>
      <c r="AM80" s="12" t="n"/>
      <c r="AN80" s="12" t="n"/>
      <c r="AO80" s="12" t="n"/>
      <c r="AP80" s="12" t="n"/>
      <c r="AQ80" s="12" t="n"/>
      <c r="AR80" s="12" t="n"/>
      <c r="AS80" s="12" t="n"/>
      <c r="AT80" s="12" t="n"/>
      <c r="AU80" s="12" t="n"/>
      <c r="AV80" s="12" t="n"/>
      <c r="AW80" s="12" t="n"/>
      <c r="AX80" s="12" t="n"/>
      <c r="AY80" s="12" t="n"/>
      <c r="AZ80" s="12" t="n"/>
      <c r="BA80" s="12" t="n"/>
      <c r="BB80" s="12" t="n"/>
      <c r="BC80" s="12" t="n"/>
      <c r="BD80" s="12" t="n"/>
      <c r="BE80" s="12" t="n"/>
      <c r="BF80" s="12" t="n"/>
      <c r="BG80" s="12" t="n"/>
      <c r="BH80" s="12" t="n"/>
      <c r="BI80" s="12" t="n"/>
      <c r="BJ80" s="12" t="n"/>
      <c r="BK80" s="12" t="n"/>
      <c r="BL80" s="12" t="n"/>
      <c r="BM80" s="12" t="n"/>
      <c r="BN80" s="12" t="n"/>
      <c r="BO80" s="12" t="n"/>
      <c r="BP80" s="12" t="n"/>
      <c r="BQ80" s="12" t="n"/>
      <c r="BR80" s="12" t="n"/>
      <c r="BS80" s="12" t="n"/>
      <c r="BT80" s="12" t="n"/>
      <c r="BU80" s="12" t="n"/>
      <c r="BV80" s="12" t="n"/>
      <c r="BW80" s="12" t="n"/>
      <c r="BX80" s="12" t="n"/>
      <c r="BY80" s="12" t="n"/>
      <c r="BZ80" s="12" t="n"/>
      <c r="CA80" s="12" t="n"/>
      <c r="CB80" s="12" t="n"/>
      <c r="CC80" s="12" t="n"/>
      <c r="CD80" s="12" t="n"/>
      <c r="CE80" s="12" t="n"/>
      <c r="CF80" s="12" t="n"/>
      <c r="CG80" s="12" t="n"/>
      <c r="CH80" s="12" t="n"/>
      <c r="CI80" s="12" t="n"/>
      <c r="CJ80" s="12" t="n"/>
      <c r="CK80" s="12" t="n"/>
      <c r="CL80" s="12" t="n"/>
      <c r="CM80" s="12" t="n"/>
      <c r="CN80" s="12" t="n"/>
      <c r="CO80" s="12" t="n"/>
      <c r="CP80" s="12" t="n"/>
      <c r="CQ80" s="12" t="n"/>
      <c r="CR80" s="12" t="n"/>
      <c r="CS80" s="12" t="n"/>
      <c r="CT80" s="12" t="n"/>
      <c r="CU80" s="12" t="n"/>
      <c r="CV80" s="12" t="n"/>
      <c r="CW80" s="12" t="n"/>
      <c r="CX80" s="12" t="n"/>
      <c r="CY80" s="12" t="n"/>
    </row>
    <row r="81" hidden="1" outlineLevel="1">
      <c r="C81" s="57" t="inlineStr">
        <is>
          <t>Average interest rate</t>
        </is>
      </c>
      <c r="D81" s="12" t="n"/>
      <c r="E81" s="12" t="n"/>
      <c r="F81" s="12" t="n"/>
      <c r="G81" s="12" t="n"/>
      <c r="H81" s="12" t="n"/>
      <c r="I81" s="12" t="n"/>
      <c r="J81" s="12" t="n"/>
      <c r="K81" s="12" t="n"/>
      <c r="L81" s="12" t="n"/>
      <c r="M81" s="12" t="n"/>
      <c r="N81" s="12" t="n"/>
      <c r="O81" s="12" t="n"/>
      <c r="P81" s="12" t="n"/>
      <c r="Q81" s="12" t="n"/>
      <c r="R81" s="12" t="n"/>
      <c r="S81" s="12" t="n"/>
      <c r="T81" s="12" t="n"/>
      <c r="U81" s="12" t="n"/>
      <c r="V81" s="12" t="n"/>
      <c r="W81" s="12" t="n"/>
      <c r="X81" s="12" t="n"/>
      <c r="Y81" s="12" t="n"/>
      <c r="Z81" s="12" t="n"/>
      <c r="AA81" s="12" t="n"/>
      <c r="AB81" s="12" t="n"/>
      <c r="AC81" s="12" t="n"/>
      <c r="AD81" s="12" t="n"/>
      <c r="AE81" s="12" t="n"/>
      <c r="AF81" s="12" t="n"/>
      <c r="AG81" s="12" t="n"/>
      <c r="AH81" s="12" t="n"/>
      <c r="AI81" s="12" t="n"/>
      <c r="AJ81" s="12" t="n"/>
      <c r="AK81" s="12" t="n"/>
      <c r="AL81" s="12" t="n"/>
      <c r="AM81" s="12" t="n"/>
      <c r="AN81" s="12" t="n"/>
      <c r="AO81" s="12" t="n"/>
      <c r="AP81" s="12" t="n"/>
      <c r="AQ81" s="12" t="n"/>
      <c r="AR81" s="12" t="n"/>
      <c r="AS81" s="12" t="n"/>
      <c r="AT81" s="12" t="n"/>
      <c r="AU81" s="12" t="n"/>
      <c r="AV81" s="12" t="n"/>
      <c r="AW81" s="12" t="n"/>
      <c r="AX81" s="12" t="n"/>
      <c r="AY81" s="12" t="n"/>
      <c r="AZ81" s="12" t="n"/>
      <c r="BA81" s="12" t="n"/>
      <c r="BB81" s="12" t="n"/>
      <c r="BC81" s="12" t="n"/>
      <c r="BD81" s="12" t="n"/>
      <c r="BE81" s="12" t="n"/>
      <c r="BF81" s="12" t="n"/>
      <c r="BG81" s="12" t="n"/>
      <c r="BH81" s="12" t="n"/>
      <c r="BI81" s="12" t="n"/>
      <c r="BJ81" s="12" t="n"/>
      <c r="BK81" s="12" t="n"/>
      <c r="BL81" s="12" t="n"/>
      <c r="BM81" s="12" t="n"/>
      <c r="BN81" s="12" t="n"/>
      <c r="BO81" s="12" t="n"/>
      <c r="BP81" s="12" t="n"/>
      <c r="BQ81" s="12" t="n"/>
      <c r="BR81" s="12" t="n"/>
      <c r="BS81" s="12" t="n"/>
      <c r="BT81" s="12" t="n"/>
      <c r="BU81" s="12" t="n"/>
      <c r="BV81" s="12" t="n"/>
      <c r="BW81" s="12" t="n"/>
      <c r="BX81" s="12" t="n"/>
      <c r="BY81" s="12" t="n"/>
      <c r="BZ81" s="12" t="n"/>
      <c r="CA81" s="12" t="n"/>
      <c r="CB81" s="12" t="n"/>
      <c r="CC81" s="12" t="n"/>
      <c r="CD81" s="12" t="n"/>
      <c r="CE81" s="12" t="n"/>
      <c r="CF81" s="12" t="n"/>
      <c r="CG81" s="12" t="n"/>
      <c r="CH81" s="12" t="n"/>
      <c r="CI81" s="12" t="n"/>
      <c r="CJ81" s="12" t="n"/>
      <c r="CK81" s="12" t="n"/>
      <c r="CL81" s="12" t="n"/>
      <c r="CM81" s="12" t="n"/>
      <c r="CN81" s="12" t="n"/>
      <c r="CO81" s="12" t="n"/>
      <c r="CP81" s="12" t="n"/>
      <c r="CQ81" s="12" t="n"/>
      <c r="CR81" s="12" t="n"/>
      <c r="CS81" s="12" t="n"/>
      <c r="CT81" s="12" t="n"/>
      <c r="CU81" s="12" t="n"/>
      <c r="CV81" s="12" t="n"/>
      <c r="CW81" s="12" t="n"/>
      <c r="CX81" s="12" t="n"/>
      <c r="CY81" s="12" t="n"/>
    </row>
    <row r="82" hidden="1" outlineLevel="1">
      <c r="C82" s="57" t="inlineStr">
        <is>
          <t>% CDI</t>
        </is>
      </c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2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 t="n"/>
      <c r="Y82" s="12" t="n"/>
      <c r="Z82" s="12" t="n"/>
      <c r="AA82" s="12" t="n"/>
      <c r="AB82" s="12" t="n"/>
      <c r="AC82" s="12" t="n"/>
      <c r="AD82" s="12" t="n"/>
      <c r="AE82" s="12" t="n"/>
      <c r="AF82" s="12" t="n"/>
      <c r="AG82" s="12" t="n"/>
      <c r="AH82" s="12" t="n"/>
      <c r="AI82" s="12" t="n"/>
      <c r="AJ82" s="12" t="n"/>
      <c r="AK82" s="12" t="n"/>
      <c r="AL82" s="12" t="n"/>
      <c r="AM82" s="12" t="n"/>
      <c r="AN82" s="12" t="n"/>
      <c r="AO82" s="12" t="n"/>
      <c r="AP82" s="12" t="n"/>
      <c r="AQ82" s="12" t="n"/>
      <c r="AR82" s="12" t="n"/>
      <c r="AS82" s="12" t="n"/>
      <c r="AT82" s="12" t="n"/>
      <c r="AU82" s="12" t="n"/>
      <c r="AV82" s="12" t="n"/>
      <c r="AW82" s="12" t="n"/>
      <c r="AX82" s="12" t="n"/>
      <c r="AY82" s="12" t="n"/>
      <c r="AZ82" s="12" t="n"/>
      <c r="BA82" s="12" t="n"/>
      <c r="BB82" s="12" t="n"/>
      <c r="BC82" s="12" t="n"/>
      <c r="BD82" s="12" t="n"/>
      <c r="BE82" s="12" t="n"/>
      <c r="BF82" s="12" t="n"/>
      <c r="BG82" s="12" t="n"/>
      <c r="BH82" s="12" t="n"/>
      <c r="BI82" s="12" t="n"/>
      <c r="BJ82" s="12" t="n"/>
      <c r="BK82" s="12" t="n"/>
      <c r="BL82" s="12" t="n"/>
      <c r="BM82" s="12" t="n"/>
      <c r="BN82" s="12" t="n"/>
      <c r="BO82" s="12" t="n"/>
      <c r="BP82" s="12" t="n"/>
      <c r="BQ82" s="12" t="n"/>
      <c r="BR82" s="12" t="n"/>
      <c r="BS82" s="12" t="n"/>
      <c r="BT82" s="12" t="n"/>
      <c r="BU82" s="12" t="n"/>
      <c r="BV82" s="12" t="n"/>
      <c r="BW82" s="12" t="n"/>
      <c r="BX82" s="12" t="n"/>
      <c r="BY82" s="12" t="n"/>
      <c r="BZ82" s="12" t="n"/>
      <c r="CA82" s="12" t="n"/>
      <c r="CB82" s="12" t="n"/>
      <c r="CC82" s="12" t="n"/>
      <c r="CD82" s="12" t="n"/>
      <c r="CE82" s="12" t="n"/>
      <c r="CF82" s="12" t="n"/>
      <c r="CG82" s="12" t="n"/>
      <c r="CH82" s="12" t="n"/>
      <c r="CI82" s="12" t="n"/>
      <c r="CJ82" s="12" t="n"/>
      <c r="CK82" s="12" t="n"/>
      <c r="CL82" s="12" t="n"/>
      <c r="CM82" s="12" t="n"/>
      <c r="CN82" s="12" t="n"/>
      <c r="CO82" s="12" t="n"/>
      <c r="CP82" s="12" t="n"/>
      <c r="CQ82" s="12" t="n"/>
      <c r="CR82" s="12" t="n"/>
      <c r="CS82" s="12" t="n"/>
      <c r="CT82" s="12" t="n"/>
      <c r="CU82" s="12" t="n"/>
      <c r="CV82" s="12" t="n"/>
      <c r="CW82" s="12" t="n"/>
      <c r="CX82" s="12" t="n"/>
      <c r="CY82" s="12" t="n"/>
    </row>
    <row r="83" hidden="1" outlineLevel="1">
      <c r="C83" s="57" t="n"/>
      <c r="D83" s="12" t="n"/>
      <c r="E83" s="12" t="n"/>
      <c r="F83" s="12" t="n"/>
      <c r="G83" s="12" t="n"/>
      <c r="H83" s="12" t="n"/>
      <c r="I83" s="12" t="n"/>
      <c r="J83" s="12" t="n"/>
      <c r="K83" s="12" t="n"/>
      <c r="L83" s="12" t="n"/>
      <c r="M83" s="12" t="n"/>
      <c r="N83" s="12" t="n"/>
      <c r="O83" s="12" t="n"/>
      <c r="P83" s="12" t="n"/>
      <c r="Q83" s="12" t="n"/>
      <c r="R83" s="12" t="n"/>
      <c r="S83" s="12" t="n"/>
      <c r="T83" s="12" t="n"/>
      <c r="U83" s="12" t="n"/>
      <c r="V83" s="12" t="n"/>
      <c r="W83" s="12" t="n"/>
      <c r="X83" s="12" t="n"/>
      <c r="Y83" s="12" t="n"/>
      <c r="Z83" s="12" t="n"/>
      <c r="AA83" s="12" t="n"/>
      <c r="AB83" s="12" t="n"/>
      <c r="AC83" s="12" t="n"/>
      <c r="AD83" s="12" t="n"/>
      <c r="AE83" s="12" t="n"/>
      <c r="AF83" s="12" t="n"/>
      <c r="AG83" s="12" t="n"/>
      <c r="AH83" s="12" t="n"/>
      <c r="AI83" s="12" t="n"/>
      <c r="AJ83" s="12" t="n"/>
      <c r="AK83" s="12" t="n"/>
      <c r="AL83" s="12" t="n"/>
      <c r="AM83" s="12" t="n"/>
      <c r="AN83" s="12" t="n"/>
      <c r="AO83" s="12" t="n"/>
      <c r="AP83" s="12" t="n"/>
      <c r="AQ83" s="12" t="n"/>
      <c r="AR83" s="12" t="n"/>
      <c r="AS83" s="12" t="n"/>
      <c r="AT83" s="12" t="n"/>
      <c r="AU83" s="12" t="n"/>
      <c r="AV83" s="12" t="n"/>
      <c r="AW83" s="12" t="n"/>
      <c r="AX83" s="12" t="n"/>
      <c r="AY83" s="12" t="n"/>
      <c r="AZ83" s="12" t="n"/>
      <c r="BA83" s="12" t="n"/>
      <c r="BB83" s="12" t="n"/>
      <c r="BC83" s="12" t="n"/>
      <c r="BD83" s="12" t="n"/>
      <c r="BE83" s="12" t="n"/>
      <c r="BF83" s="12" t="n"/>
      <c r="BG83" s="12" t="n"/>
      <c r="BH83" s="12" t="n"/>
      <c r="BI83" s="12" t="n"/>
      <c r="BJ83" s="12" t="n"/>
      <c r="BK83" s="12" t="n"/>
      <c r="BL83" s="12" t="n"/>
      <c r="BM83" s="12" t="n"/>
      <c r="BN83" s="12" t="n"/>
      <c r="BO83" s="12" t="n"/>
      <c r="BP83" s="12" t="n"/>
      <c r="BQ83" s="12" t="n"/>
      <c r="BR83" s="12" t="n"/>
      <c r="BS83" s="12" t="n"/>
      <c r="BT83" s="12" t="n"/>
      <c r="BU83" s="12" t="n"/>
      <c r="BV83" s="12" t="n"/>
      <c r="BW83" s="12" t="n"/>
      <c r="BX83" s="12" t="n"/>
      <c r="BY83" s="12" t="n"/>
      <c r="BZ83" s="12" t="n"/>
      <c r="CA83" s="12" t="n"/>
      <c r="CB83" s="12" t="n"/>
      <c r="CC83" s="12" t="n"/>
      <c r="CD83" s="12" t="n"/>
      <c r="CE83" s="12" t="n"/>
      <c r="CF83" s="12" t="n"/>
      <c r="CG83" s="12" t="n"/>
      <c r="CH83" s="12" t="n"/>
      <c r="CI83" s="12" t="n"/>
      <c r="CJ83" s="12" t="n"/>
      <c r="CK83" s="12" t="n"/>
      <c r="CL83" s="12" t="n"/>
      <c r="CM83" s="12" t="n"/>
      <c r="CN83" s="12" t="n"/>
      <c r="CO83" s="12" t="n"/>
      <c r="CP83" s="12" t="n"/>
      <c r="CQ83" s="12" t="n"/>
      <c r="CR83" s="12" t="n"/>
      <c r="CS83" s="12" t="n"/>
      <c r="CT83" s="12" t="n"/>
      <c r="CU83" s="12" t="n"/>
      <c r="CV83" s="12" t="n"/>
      <c r="CW83" s="12" t="n"/>
      <c r="CX83" s="12" t="n"/>
      <c r="CY83" s="12" t="n"/>
    </row>
    <row r="84" hidden="1" outlineLevel="1">
      <c r="C84" s="57" t="inlineStr">
        <is>
          <t>Current portion of long-term debt</t>
        </is>
      </c>
      <c r="D84" s="12" t="n"/>
      <c r="E84" s="12" t="n"/>
      <c r="F84" s="12" t="n"/>
      <c r="G84" s="12" t="n"/>
      <c r="H84" s="12" t="n"/>
      <c r="I84" s="12" t="n"/>
      <c r="J84" s="12" t="n"/>
      <c r="K84" s="12" t="n"/>
      <c r="L84" s="12" t="n"/>
      <c r="M84" s="12" t="n"/>
      <c r="N84" s="12" t="n"/>
      <c r="O84" s="12" t="n"/>
      <c r="P84" s="12" t="n"/>
      <c r="Q84" s="12" t="n"/>
      <c r="R84" s="12" t="n"/>
      <c r="S84" s="12" t="n"/>
      <c r="T84" s="12" t="n"/>
      <c r="U84" s="12" t="n"/>
      <c r="V84" s="12" t="n"/>
      <c r="W84" s="12" t="n"/>
      <c r="X84" s="12" t="n"/>
      <c r="Y84" s="12" t="n"/>
      <c r="Z84" s="12" t="n"/>
      <c r="AA84" s="12" t="n"/>
      <c r="AB84" s="12" t="n"/>
      <c r="AC84" s="12" t="n"/>
      <c r="AD84" s="12" t="n"/>
      <c r="AE84" s="12" t="n"/>
      <c r="AF84" s="12" t="n"/>
      <c r="AG84" s="12" t="n"/>
      <c r="AH84" s="12" t="n"/>
      <c r="AI84" s="12" t="n"/>
      <c r="AJ84" s="12" t="n"/>
      <c r="AK84" s="12" t="n"/>
      <c r="AL84" s="12" t="n"/>
      <c r="AM84" s="12" t="n"/>
      <c r="AN84" s="12" t="n"/>
      <c r="AO84" s="12" t="n"/>
      <c r="AP84" s="12" t="n"/>
      <c r="AQ84" s="12" t="n"/>
      <c r="AR84" s="12" t="n"/>
      <c r="AS84" s="12" t="n"/>
      <c r="AT84" s="12" t="n"/>
      <c r="AU84" s="12" t="n"/>
      <c r="AV84" s="12" t="n"/>
      <c r="AW84" s="12" t="n"/>
      <c r="AX84" s="12" t="n"/>
      <c r="AY84" s="12" t="n"/>
      <c r="AZ84" s="12" t="n"/>
      <c r="BA84" s="12" t="n"/>
      <c r="BB84" s="12" t="n"/>
      <c r="BC84" s="12" t="n"/>
      <c r="BD84" s="12" t="n"/>
      <c r="BE84" s="12" t="n"/>
      <c r="BF84" s="12" t="n"/>
      <c r="BG84" s="12" t="n"/>
      <c r="BH84" s="12" t="n"/>
      <c r="BI84" s="12" t="n"/>
      <c r="BJ84" s="12" t="n"/>
      <c r="BK84" s="12" t="n"/>
      <c r="BL84" s="12" t="n"/>
      <c r="BM84" s="12" t="n"/>
      <c r="BN84" s="12" t="n"/>
      <c r="BO84" s="12" t="n"/>
      <c r="BP84" s="12" t="n"/>
      <c r="BQ84" s="12" t="n"/>
      <c r="BR84" s="12" t="n"/>
      <c r="BS84" s="12" t="n"/>
      <c r="BT84" s="12" t="n"/>
      <c r="BU84" s="12" t="n"/>
      <c r="BV84" s="12" t="n"/>
      <c r="BW84" s="12" t="n"/>
      <c r="BX84" s="12" t="n"/>
      <c r="BY84" s="12" t="n"/>
      <c r="BZ84" s="12" t="n"/>
      <c r="CA84" s="12" t="n"/>
      <c r="CB84" s="12" t="n"/>
      <c r="CC84" s="12" t="n"/>
      <c r="CD84" s="12" t="n"/>
      <c r="CE84" s="12" t="n"/>
      <c r="CF84" s="12" t="n"/>
      <c r="CG84" s="12" t="n"/>
      <c r="CH84" s="12" t="n"/>
      <c r="CI84" s="12" t="n"/>
      <c r="CJ84" s="12" t="n"/>
      <c r="CK84" s="12" t="n"/>
      <c r="CL84" s="12" t="n"/>
      <c r="CM84" s="12" t="n"/>
      <c r="CN84" s="12" t="n"/>
      <c r="CO84" s="12" t="n"/>
      <c r="CP84" s="12" t="n"/>
      <c r="CQ84" s="12" t="n"/>
      <c r="CR84" s="12" t="n"/>
      <c r="CS84" s="12" t="n"/>
      <c r="CT84" s="12" t="n"/>
      <c r="CU84" s="12" t="n"/>
      <c r="CV84" s="12" t="n"/>
      <c r="CW84" s="12" t="n"/>
      <c r="CX84" s="12" t="n"/>
      <c r="CY84" s="12" t="n"/>
    </row>
    <row r="85" hidden="1" outlineLevel="1">
      <c r="C85" s="57" t="inlineStr">
        <is>
          <t>Short term debt (Revolving credit facility)</t>
        </is>
      </c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2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2" t="n"/>
      <c r="Z85" s="12" t="n"/>
      <c r="AA85" s="12" t="n"/>
      <c r="AB85" s="12" t="n"/>
      <c r="AC85" s="12" t="n"/>
      <c r="AD85" s="12" t="n"/>
      <c r="AE85" s="12" t="n"/>
      <c r="AF85" s="12" t="n"/>
      <c r="AG85" s="12" t="n"/>
      <c r="AH85" s="12" t="n"/>
      <c r="AI85" s="12" t="n"/>
      <c r="AJ85" s="12" t="n"/>
      <c r="AK85" s="12" t="n"/>
      <c r="AL85" s="12" t="n"/>
      <c r="AM85" s="12" t="n"/>
      <c r="AN85" s="12" t="n"/>
      <c r="AO85" s="12" t="n"/>
      <c r="AP85" s="12" t="n"/>
      <c r="AQ85" s="12" t="n"/>
      <c r="AR85" s="12" t="n"/>
      <c r="AS85" s="12" t="n"/>
      <c r="AT85" s="12" t="n"/>
      <c r="AU85" s="12" t="n"/>
      <c r="AV85" s="12" t="n"/>
      <c r="AW85" s="12" t="n"/>
      <c r="AX85" s="12" t="n"/>
      <c r="AY85" s="12" t="n"/>
      <c r="AZ85" s="12" t="n"/>
      <c r="BA85" s="12" t="n"/>
      <c r="BB85" s="12" t="n"/>
      <c r="BC85" s="12" t="n"/>
      <c r="BD85" s="12" t="n"/>
      <c r="BE85" s="12" t="n"/>
      <c r="BF85" s="12" t="n"/>
      <c r="BG85" s="12" t="n"/>
      <c r="BH85" s="12" t="n"/>
      <c r="BI85" s="12" t="n"/>
      <c r="BJ85" s="12" t="n"/>
      <c r="BK85" s="12" t="n"/>
      <c r="BL85" s="12" t="n"/>
      <c r="BM85" s="12" t="n"/>
      <c r="BN85" s="12" t="n"/>
      <c r="BO85" s="12" t="n"/>
      <c r="BP85" s="12" t="n"/>
      <c r="BQ85" s="12" t="n"/>
      <c r="BR85" s="12" t="n"/>
      <c r="BS85" s="12" t="n"/>
      <c r="BT85" s="12" t="n"/>
      <c r="BU85" s="12" t="n"/>
      <c r="BV85" s="12" t="n"/>
      <c r="BW85" s="12" t="n"/>
      <c r="BX85" s="12" t="n"/>
      <c r="BY85" s="12" t="n"/>
      <c r="BZ85" s="12" t="n"/>
      <c r="CA85" s="12" t="n"/>
      <c r="CB85" s="12" t="n"/>
      <c r="CC85" s="12" t="n"/>
      <c r="CD85" s="12" t="n"/>
      <c r="CE85" s="12" t="n"/>
      <c r="CF85" s="12" t="n"/>
      <c r="CG85" s="12" t="n"/>
      <c r="CH85" s="12" t="n"/>
      <c r="CI85" s="12" t="n"/>
      <c r="CJ85" s="12" t="n"/>
      <c r="CK85" s="12" t="n"/>
      <c r="CL85" s="12" t="n"/>
      <c r="CM85" s="12" t="n"/>
      <c r="CN85" s="12" t="n"/>
      <c r="CO85" s="12" t="n"/>
      <c r="CP85" s="12" t="n"/>
      <c r="CQ85" s="12" t="n"/>
      <c r="CR85" s="12" t="n"/>
      <c r="CS85" s="12" t="n"/>
      <c r="CT85" s="12" t="n"/>
      <c r="CU85" s="12" t="n"/>
      <c r="CV85" s="12" t="n"/>
      <c r="CW85" s="12" t="n"/>
      <c r="CX85" s="12" t="n"/>
      <c r="CY85" s="12" t="n"/>
    </row>
    <row r="86" hidden="1" outlineLevel="1">
      <c r="C86" s="57" t="inlineStr">
        <is>
          <t>Long term debt</t>
        </is>
      </c>
      <c r="D86" s="12" t="n"/>
      <c r="E86" s="12" t="n"/>
      <c r="F86" s="12" t="n"/>
      <c r="G86" s="12" t="n"/>
      <c r="H86" s="12" t="n"/>
      <c r="I86" s="12" t="n"/>
      <c r="J86" s="12" t="n"/>
      <c r="K86" s="12" t="n"/>
      <c r="L86" s="12" t="n"/>
      <c r="M86" s="12" t="n"/>
      <c r="N86" s="12" t="n"/>
      <c r="O86" s="12" t="n"/>
      <c r="P86" s="12" t="n"/>
      <c r="Q86" s="12" t="n"/>
      <c r="R86" s="12" t="n"/>
      <c r="S86" s="12" t="n"/>
      <c r="T86" s="12" t="n"/>
      <c r="U86" s="12" t="n"/>
      <c r="V86" s="12" t="n"/>
      <c r="W86" s="12" t="n"/>
      <c r="X86" s="12" t="n"/>
      <c r="Y86" s="12" t="n"/>
      <c r="Z86" s="12" t="n"/>
      <c r="AA86" s="12" t="n"/>
      <c r="AB86" s="12" t="n"/>
      <c r="AC86" s="12" t="n"/>
      <c r="AD86" s="12" t="n"/>
      <c r="AE86" s="12" t="n"/>
      <c r="AF86" s="12" t="n"/>
      <c r="AG86" s="12" t="n"/>
      <c r="AH86" s="12" t="n"/>
      <c r="AI86" s="12" t="n"/>
      <c r="AJ86" s="12" t="n"/>
      <c r="AK86" s="12" t="n"/>
      <c r="AL86" s="12" t="n"/>
      <c r="AM86" s="12" t="n"/>
      <c r="AN86" s="12" t="n"/>
      <c r="AO86" s="12" t="n"/>
      <c r="AP86" s="12" t="n"/>
      <c r="AQ86" s="12" t="n"/>
      <c r="AR86" s="12" t="n"/>
      <c r="AS86" s="12" t="n"/>
      <c r="AT86" s="12" t="n"/>
      <c r="AU86" s="12" t="n"/>
      <c r="AV86" s="12" t="n"/>
      <c r="AW86" s="12" t="n"/>
      <c r="AX86" s="12" t="n"/>
      <c r="AY86" s="12" t="n"/>
      <c r="AZ86" s="12" t="n"/>
      <c r="BA86" s="12" t="n"/>
      <c r="BB86" s="12" t="n"/>
      <c r="BC86" s="12" t="n"/>
      <c r="BD86" s="12" t="n"/>
      <c r="BE86" s="12" t="n"/>
      <c r="BF86" s="12" t="n"/>
      <c r="BG86" s="12" t="n"/>
      <c r="BH86" s="12" t="n"/>
      <c r="BI86" s="12" t="n"/>
      <c r="BJ86" s="12" t="n"/>
      <c r="BK86" s="12" t="n"/>
      <c r="BL86" s="12" t="n"/>
      <c r="BM86" s="12" t="n"/>
      <c r="BN86" s="12" t="n"/>
      <c r="BO86" s="12" t="n"/>
      <c r="BP86" s="12" t="n"/>
      <c r="BQ86" s="12" t="n"/>
      <c r="BR86" s="12" t="n"/>
      <c r="BS86" s="12" t="n"/>
      <c r="BT86" s="12" t="n"/>
      <c r="BU86" s="12" t="n"/>
      <c r="BV86" s="12" t="n"/>
      <c r="BW86" s="12" t="n"/>
      <c r="BX86" s="12" t="n"/>
      <c r="BY86" s="12" t="n"/>
      <c r="BZ86" s="12" t="n"/>
      <c r="CA86" s="12" t="n"/>
      <c r="CB86" s="12" t="n"/>
      <c r="CC86" s="12" t="n"/>
      <c r="CD86" s="12" t="n"/>
      <c r="CE86" s="12" t="n"/>
      <c r="CF86" s="12" t="n"/>
      <c r="CG86" s="12" t="n"/>
      <c r="CH86" s="12" t="n"/>
      <c r="CI86" s="12" t="n"/>
      <c r="CJ86" s="12" t="n"/>
      <c r="CK86" s="12" t="n"/>
      <c r="CL86" s="12" t="n"/>
      <c r="CM86" s="12" t="n"/>
      <c r="CN86" s="12" t="n"/>
      <c r="CO86" s="12" t="n"/>
      <c r="CP86" s="12" t="n"/>
      <c r="CQ86" s="12" t="n"/>
      <c r="CR86" s="12" t="n"/>
      <c r="CS86" s="12" t="n"/>
      <c r="CT86" s="12" t="n"/>
      <c r="CU86" s="12" t="n"/>
      <c r="CV86" s="12" t="n"/>
      <c r="CW86" s="12" t="n"/>
      <c r="CX86" s="12" t="n"/>
      <c r="CY86" s="12" t="n"/>
    </row>
    <row r="87" hidden="1" outlineLevel="1">
      <c r="C87" s="57" t="inlineStr">
        <is>
          <t>Convertible debt</t>
        </is>
      </c>
      <c r="D87" s="12" t="n"/>
      <c r="E87" s="12" t="n"/>
      <c r="F87" s="12" t="n"/>
      <c r="G87" s="12" t="n"/>
      <c r="H87" s="12" t="n"/>
      <c r="I87" s="12" t="n"/>
      <c r="J87" s="12" t="n"/>
      <c r="K87" s="12" t="n"/>
      <c r="L87" s="12" t="n"/>
      <c r="M87" s="12" t="n"/>
      <c r="N87" s="12" t="n"/>
      <c r="O87" s="12" t="n"/>
      <c r="P87" s="12" t="n"/>
      <c r="Q87" s="12" t="n"/>
      <c r="R87" s="12" t="n"/>
      <c r="S87" s="12" t="n"/>
      <c r="T87" s="12" t="n"/>
      <c r="U87" s="12" t="n"/>
      <c r="V87" s="12" t="n"/>
      <c r="W87" s="12" t="n"/>
      <c r="X87" s="12" t="n"/>
      <c r="Y87" s="12" t="n"/>
      <c r="Z87" s="12" t="n"/>
      <c r="AA87" s="12" t="n"/>
      <c r="AB87" s="12" t="n"/>
      <c r="AC87" s="12" t="n"/>
      <c r="AD87" s="12" t="n"/>
      <c r="AE87" s="12" t="n"/>
      <c r="AF87" s="12" t="n"/>
      <c r="AG87" s="12" t="n"/>
      <c r="AH87" s="12" t="n"/>
      <c r="AI87" s="12" t="n"/>
      <c r="AJ87" s="12" t="n"/>
      <c r="AK87" s="12" t="n"/>
      <c r="AL87" s="12" t="n"/>
      <c r="AM87" s="12" t="n"/>
      <c r="AN87" s="12" t="n"/>
      <c r="AO87" s="12" t="n"/>
      <c r="AP87" s="12" t="n"/>
      <c r="AQ87" s="12" t="n"/>
      <c r="AR87" s="12" t="n"/>
      <c r="AS87" s="12" t="n"/>
      <c r="AT87" s="12" t="n"/>
      <c r="AU87" s="12" t="n"/>
      <c r="AV87" s="12" t="n"/>
      <c r="AW87" s="12" t="n"/>
      <c r="AX87" s="12" t="n"/>
      <c r="AY87" s="12" t="n"/>
      <c r="AZ87" s="12" t="n"/>
      <c r="BA87" s="12" t="n"/>
      <c r="BB87" s="12" t="n"/>
      <c r="BC87" s="12" t="n"/>
      <c r="BD87" s="12" t="n"/>
      <c r="BE87" s="12" t="n"/>
      <c r="BF87" s="12" t="n"/>
      <c r="BG87" s="12" t="n"/>
      <c r="BH87" s="12" t="n"/>
      <c r="BI87" s="12" t="n"/>
      <c r="BJ87" s="12" t="n"/>
      <c r="BK87" s="12" t="n"/>
      <c r="BL87" s="12" t="n"/>
      <c r="BM87" s="12" t="n"/>
      <c r="BN87" s="12" t="n"/>
      <c r="BO87" s="12" t="n"/>
      <c r="BP87" s="12" t="n"/>
      <c r="BQ87" s="12" t="n"/>
      <c r="BR87" s="12" t="n"/>
      <c r="BS87" s="12" t="n"/>
      <c r="BT87" s="12" t="n"/>
      <c r="BU87" s="12" t="n"/>
      <c r="BV87" s="12" t="n"/>
      <c r="BW87" s="12" t="n"/>
      <c r="BX87" s="12" t="n"/>
      <c r="BY87" s="12" t="n"/>
      <c r="BZ87" s="12" t="n"/>
      <c r="CA87" s="12" t="n"/>
      <c r="CB87" s="12" t="n"/>
      <c r="CC87" s="12" t="n"/>
      <c r="CD87" s="12" t="n"/>
      <c r="CE87" s="12" t="n"/>
      <c r="CF87" s="12" t="n"/>
      <c r="CG87" s="12" t="n"/>
      <c r="CH87" s="12" t="n"/>
      <c r="CI87" s="12" t="n"/>
      <c r="CJ87" s="12" t="n"/>
      <c r="CK87" s="12" t="n"/>
      <c r="CL87" s="12" t="n"/>
      <c r="CM87" s="12" t="n"/>
      <c r="CN87" s="12" t="n"/>
      <c r="CO87" s="12" t="n"/>
      <c r="CP87" s="12" t="n"/>
      <c r="CQ87" s="12" t="n"/>
      <c r="CR87" s="12" t="n"/>
      <c r="CS87" s="12" t="n"/>
      <c r="CT87" s="12" t="n"/>
      <c r="CU87" s="12" t="n"/>
      <c r="CV87" s="12" t="n"/>
      <c r="CW87" s="12" t="n"/>
      <c r="CX87" s="12" t="n"/>
      <c r="CY87" s="12" t="n"/>
    </row>
    <row r="88" hidden="1" outlineLevel="1">
      <c r="C88" s="57" t="inlineStr">
        <is>
          <t>Total debt</t>
        </is>
      </c>
      <c r="D88" s="12" t="n"/>
      <c r="E88" s="12" t="n"/>
      <c r="F88" s="12" t="n"/>
      <c r="G88" s="12" t="n"/>
      <c r="H88" s="12" t="n"/>
      <c r="I88" s="12" t="n"/>
      <c r="J88" s="12" t="n"/>
      <c r="K88" s="12" t="n"/>
      <c r="L88" s="12" t="n"/>
      <c r="M88" s="12" t="n"/>
      <c r="N88" s="12" t="n"/>
      <c r="O88" s="12" t="n"/>
      <c r="P88" s="12" t="n"/>
      <c r="Q88" s="12" t="n"/>
      <c r="R88" s="12" t="n"/>
      <c r="S88" s="12" t="n"/>
      <c r="T88" s="12" t="n"/>
      <c r="U88" s="12" t="n"/>
      <c r="V88" s="12" t="n"/>
      <c r="W88" s="12" t="n"/>
      <c r="X88" s="12" t="n"/>
      <c r="Y88" s="12" t="n"/>
      <c r="Z88" s="12" t="n"/>
      <c r="AA88" s="12" t="n"/>
      <c r="AB88" s="12" t="n"/>
      <c r="AC88" s="12" t="n"/>
      <c r="AD88" s="12" t="n"/>
      <c r="AE88" s="12" t="n"/>
      <c r="AF88" s="12" t="n"/>
      <c r="AG88" s="12" t="n"/>
      <c r="AH88" s="12" t="n"/>
      <c r="AI88" s="12" t="n"/>
      <c r="AJ88" s="12" t="n"/>
      <c r="AK88" s="12" t="n"/>
      <c r="AL88" s="12" t="n"/>
      <c r="AM88" s="12" t="n"/>
      <c r="AN88" s="12" t="n"/>
      <c r="AO88" s="12" t="n"/>
      <c r="AP88" s="12" t="n"/>
      <c r="AQ88" s="12" t="n"/>
      <c r="AR88" s="12" t="n"/>
      <c r="AS88" s="12" t="n"/>
      <c r="AT88" s="12" t="n"/>
      <c r="AU88" s="12" t="n"/>
      <c r="AV88" s="12" t="n"/>
      <c r="AW88" s="12" t="n"/>
      <c r="AX88" s="12" t="n"/>
      <c r="AY88" s="12" t="n"/>
      <c r="AZ88" s="12" t="n"/>
      <c r="BA88" s="12" t="n"/>
      <c r="BB88" s="12" t="n"/>
      <c r="BC88" s="12" t="n"/>
      <c r="BD88" s="12" t="n"/>
      <c r="BE88" s="12" t="n"/>
      <c r="BF88" s="12" t="n"/>
      <c r="BG88" s="12" t="n"/>
      <c r="BH88" s="12" t="n"/>
      <c r="BI88" s="12" t="n"/>
      <c r="BJ88" s="12" t="n"/>
      <c r="BK88" s="12" t="n"/>
      <c r="BL88" s="12" t="n"/>
      <c r="BM88" s="12" t="n"/>
      <c r="BN88" s="12" t="n"/>
      <c r="BO88" s="12" t="n"/>
      <c r="BP88" s="12" t="n"/>
      <c r="BQ88" s="12" t="n"/>
      <c r="BR88" s="12" t="n"/>
      <c r="BS88" s="12" t="n"/>
      <c r="BT88" s="12" t="n"/>
      <c r="BU88" s="12" t="n"/>
      <c r="BV88" s="12" t="n"/>
      <c r="BW88" s="12" t="n"/>
      <c r="BX88" s="12" t="n"/>
      <c r="BY88" s="12" t="n"/>
      <c r="BZ88" s="12" t="n"/>
      <c r="CA88" s="12" t="n"/>
      <c r="CB88" s="12" t="n"/>
      <c r="CC88" s="12" t="n"/>
      <c r="CD88" s="12" t="n"/>
      <c r="CE88" s="12" t="n"/>
      <c r="CF88" s="12" t="n"/>
      <c r="CG88" s="12" t="n"/>
      <c r="CH88" s="12" t="n"/>
      <c r="CI88" s="12" t="n"/>
      <c r="CJ88" s="12" t="n"/>
      <c r="CK88" s="12" t="n"/>
      <c r="CL88" s="12" t="n"/>
      <c r="CM88" s="12" t="n"/>
      <c r="CN88" s="12" t="n"/>
      <c r="CO88" s="12" t="n"/>
      <c r="CP88" s="12" t="n"/>
      <c r="CQ88" s="12" t="n"/>
      <c r="CR88" s="12" t="n"/>
      <c r="CS88" s="12" t="n"/>
      <c r="CT88" s="12" t="n"/>
      <c r="CU88" s="12" t="n"/>
      <c r="CV88" s="12" t="n"/>
      <c r="CW88" s="12" t="n"/>
      <c r="CX88" s="12" t="n"/>
      <c r="CY88" s="12" t="n"/>
    </row>
    <row r="89" hidden="1" outlineLevel="1">
      <c r="C89" s="57" t="inlineStr">
        <is>
          <t>Interest expense</t>
        </is>
      </c>
      <c r="D89" s="12" t="n"/>
      <c r="E89" s="12" t="n"/>
      <c r="F89" s="12" t="n"/>
      <c r="G89" s="12" t="n"/>
      <c r="H89" s="12" t="n"/>
      <c r="I89" s="12" t="n"/>
      <c r="J89" s="12" t="n"/>
      <c r="K89" s="12" t="n"/>
      <c r="L89" s="12" t="n"/>
      <c r="M89" s="12" t="n"/>
      <c r="N89" s="12" t="n"/>
      <c r="O89" s="12" t="n"/>
      <c r="P89" s="12" t="n"/>
      <c r="Q89" s="12" t="n"/>
      <c r="R89" s="12" t="n"/>
      <c r="S89" s="12" t="n"/>
      <c r="T89" s="12" t="n"/>
      <c r="U89" s="12" t="n"/>
      <c r="V89" s="12" t="n"/>
      <c r="W89" s="12" t="n"/>
      <c r="X89" s="12" t="n"/>
      <c r="Y89" s="12" t="n"/>
      <c r="Z89" s="12" t="n"/>
      <c r="AA89" s="12" t="n"/>
      <c r="AB89" s="12" t="n"/>
      <c r="AC89" s="12" t="n"/>
      <c r="AD89" s="12" t="n"/>
      <c r="AE89" s="12" t="n"/>
      <c r="AF89" s="12" t="n"/>
      <c r="AG89" s="12" t="n"/>
      <c r="AH89" s="12" t="n"/>
      <c r="AI89" s="12" t="n"/>
      <c r="AJ89" s="12" t="n"/>
      <c r="AK89" s="12" t="n"/>
      <c r="AL89" s="12" t="n"/>
      <c r="AM89" s="12" t="n"/>
      <c r="AN89" s="12" t="n"/>
      <c r="AO89" s="12" t="n"/>
      <c r="AP89" s="12" t="n"/>
      <c r="AQ89" s="12" t="n"/>
      <c r="AR89" s="12" t="n"/>
      <c r="AS89" s="12" t="n"/>
      <c r="AT89" s="12" t="n"/>
      <c r="AU89" s="12" t="n"/>
      <c r="AV89" s="12" t="n"/>
      <c r="AW89" s="12" t="n"/>
      <c r="AX89" s="12" t="n"/>
      <c r="AY89" s="12" t="n"/>
      <c r="AZ89" s="12" t="n"/>
      <c r="BA89" s="12" t="n"/>
      <c r="BB89" s="12" t="n"/>
      <c r="BC89" s="12" t="n"/>
      <c r="BD89" s="12" t="n"/>
      <c r="BE89" s="12" t="n"/>
      <c r="BF89" s="12" t="n"/>
      <c r="BG89" s="12" t="n"/>
      <c r="BH89" s="12" t="n"/>
      <c r="BI89" s="12" t="n"/>
      <c r="BJ89" s="12" t="n"/>
      <c r="BK89" s="12" t="n"/>
      <c r="BL89" s="12" t="n"/>
      <c r="BM89" s="12" t="n"/>
      <c r="BN89" s="12" t="n"/>
      <c r="BO89" s="12" t="n"/>
      <c r="BP89" s="12" t="n"/>
      <c r="BQ89" s="12" t="n"/>
      <c r="BR89" s="12" t="n"/>
      <c r="BS89" s="12" t="n"/>
      <c r="BT89" s="12" t="n"/>
      <c r="BU89" s="12" t="n"/>
      <c r="BV89" s="12" t="n"/>
      <c r="BW89" s="12" t="n"/>
      <c r="BX89" s="12" t="n"/>
      <c r="BY89" s="12" t="n"/>
      <c r="BZ89" s="12" t="n"/>
      <c r="CA89" s="12" t="n"/>
      <c r="CB89" s="12" t="n"/>
      <c r="CC89" s="12" t="n"/>
      <c r="CD89" s="12" t="n"/>
      <c r="CE89" s="12" t="n"/>
      <c r="CF89" s="12" t="n"/>
      <c r="CG89" s="12" t="n"/>
      <c r="CH89" s="12" t="n"/>
      <c r="CI89" s="12" t="n"/>
      <c r="CJ89" s="12" t="n"/>
      <c r="CK89" s="12" t="n"/>
      <c r="CL89" s="12" t="n"/>
      <c r="CM89" s="12" t="n"/>
      <c r="CN89" s="12" t="n"/>
      <c r="CO89" s="12" t="n"/>
      <c r="CP89" s="12" t="n"/>
      <c r="CQ89" s="12" t="n"/>
      <c r="CR89" s="12" t="n"/>
      <c r="CS89" s="12" t="n"/>
      <c r="CT89" s="12" t="n"/>
      <c r="CU89" s="12" t="n"/>
      <c r="CV89" s="12" t="n"/>
      <c r="CW89" s="12" t="n"/>
      <c r="CX89" s="12" t="n"/>
      <c r="CY89" s="12" t="n"/>
    </row>
    <row r="90" hidden="1" outlineLevel="1">
      <c r="C90" s="57" t="inlineStr">
        <is>
          <t>Average interest rate</t>
        </is>
      </c>
      <c r="D90" s="12" t="n"/>
      <c r="E90" s="12" t="n"/>
      <c r="F90" s="12" t="n"/>
      <c r="G90" s="12" t="n"/>
      <c r="H90" s="12" t="n"/>
      <c r="I90" s="12" t="n"/>
      <c r="J90" s="12" t="n"/>
      <c r="K90" s="12" t="n"/>
      <c r="L90" s="12" t="n"/>
      <c r="M90" s="12" t="n"/>
      <c r="N90" s="12" t="n"/>
      <c r="O90" s="12" t="n"/>
      <c r="P90" s="12" t="n"/>
      <c r="Q90" s="12" t="n"/>
      <c r="R90" s="12" t="n"/>
      <c r="S90" s="12" t="n"/>
      <c r="T90" s="12" t="n"/>
      <c r="U90" s="12" t="n"/>
      <c r="V90" s="12" t="n"/>
      <c r="W90" s="12" t="n"/>
      <c r="X90" s="12" t="n"/>
      <c r="Y90" s="12" t="n"/>
      <c r="Z90" s="12" t="n"/>
      <c r="AA90" s="12" t="n"/>
      <c r="AB90" s="12" t="n"/>
      <c r="AC90" s="12" t="n"/>
      <c r="AD90" s="12" t="n"/>
      <c r="AE90" s="12" t="n"/>
      <c r="AF90" s="12" t="n"/>
      <c r="AG90" s="12" t="n"/>
      <c r="AH90" s="12" t="n"/>
      <c r="AI90" s="12" t="n"/>
      <c r="AJ90" s="12" t="n"/>
      <c r="AK90" s="12" t="n"/>
      <c r="AL90" s="12" t="n"/>
      <c r="AM90" s="12" t="n"/>
      <c r="AN90" s="12" t="n"/>
      <c r="AO90" s="12" t="n"/>
      <c r="AP90" s="12" t="n"/>
      <c r="AQ90" s="12" t="n"/>
      <c r="AR90" s="12" t="n"/>
      <c r="AS90" s="12" t="n"/>
      <c r="AT90" s="12" t="n"/>
      <c r="AU90" s="12" t="n"/>
      <c r="AV90" s="12" t="n"/>
      <c r="AW90" s="12" t="n"/>
      <c r="AX90" s="12" t="n"/>
      <c r="AY90" s="12" t="n"/>
      <c r="AZ90" s="12" t="n"/>
      <c r="BA90" s="12" t="n"/>
      <c r="BB90" s="12" t="n"/>
      <c r="BC90" s="12" t="n"/>
      <c r="BD90" s="12" t="n"/>
      <c r="BE90" s="12" t="n"/>
      <c r="BF90" s="12" t="n"/>
      <c r="BG90" s="12" t="n"/>
      <c r="BH90" s="12" t="n"/>
      <c r="BI90" s="12" t="n"/>
      <c r="BJ90" s="12" t="n"/>
      <c r="BK90" s="12" t="n"/>
      <c r="BL90" s="12" t="n"/>
      <c r="BM90" s="12" t="n"/>
      <c r="BN90" s="12" t="n"/>
      <c r="BO90" s="12" t="n"/>
      <c r="BP90" s="12" t="n"/>
      <c r="BQ90" s="12" t="n"/>
      <c r="BR90" s="12" t="n"/>
      <c r="BS90" s="12" t="n"/>
      <c r="BT90" s="12" t="n"/>
      <c r="BU90" s="12" t="n"/>
      <c r="BV90" s="12" t="n"/>
      <c r="BW90" s="12" t="n"/>
      <c r="BX90" s="12" t="n"/>
      <c r="BY90" s="12" t="n"/>
      <c r="BZ90" s="12" t="n"/>
      <c r="CA90" s="12" t="n"/>
      <c r="CB90" s="12" t="n"/>
      <c r="CC90" s="12" t="n"/>
      <c r="CD90" s="12" t="n"/>
      <c r="CE90" s="12" t="n"/>
      <c r="CF90" s="12" t="n"/>
      <c r="CG90" s="12" t="n"/>
      <c r="CH90" s="12" t="n"/>
      <c r="CI90" s="12" t="n"/>
      <c r="CJ90" s="12" t="n"/>
      <c r="CK90" s="12" t="n"/>
      <c r="CL90" s="12" t="n"/>
      <c r="CM90" s="12" t="n"/>
      <c r="CN90" s="12" t="n"/>
      <c r="CO90" s="12" t="n"/>
      <c r="CP90" s="12" t="n"/>
      <c r="CQ90" s="12" t="n"/>
      <c r="CR90" s="12" t="n"/>
      <c r="CS90" s="12" t="n"/>
      <c r="CT90" s="12" t="n"/>
      <c r="CU90" s="12" t="n"/>
      <c r="CV90" s="12" t="n"/>
      <c r="CW90" s="12" t="n"/>
      <c r="CX90" s="12" t="n"/>
      <c r="CY90" s="12" t="n"/>
    </row>
    <row r="91" hidden="1" outlineLevel="1">
      <c r="C91" s="57" t="n"/>
      <c r="D91" s="12" t="n"/>
      <c r="E91" s="12" t="n"/>
      <c r="F91" s="12" t="n"/>
      <c r="G91" s="12" t="n"/>
      <c r="H91" s="12" t="n"/>
      <c r="I91" s="12" t="n"/>
      <c r="J91" s="12" t="n"/>
      <c r="K91" s="12" t="n"/>
      <c r="L91" s="12" t="n"/>
      <c r="M91" s="12" t="n"/>
      <c r="N91" s="12" t="n"/>
      <c r="O91" s="12" t="n"/>
      <c r="P91" s="12" t="n"/>
      <c r="Q91" s="12" t="n"/>
      <c r="R91" s="12" t="n"/>
      <c r="S91" s="12" t="n"/>
      <c r="T91" s="12" t="n"/>
      <c r="U91" s="12" t="n"/>
      <c r="V91" s="12" t="n"/>
      <c r="W91" s="12" t="n"/>
      <c r="X91" s="12" t="n"/>
      <c r="Y91" s="12" t="n"/>
      <c r="Z91" s="12" t="n"/>
      <c r="AA91" s="12" t="n"/>
      <c r="AB91" s="12" t="n"/>
      <c r="AC91" s="12" t="n"/>
      <c r="AD91" s="12" t="n"/>
      <c r="AE91" s="12" t="n"/>
      <c r="AF91" s="12" t="n"/>
      <c r="AG91" s="12" t="n"/>
      <c r="AH91" s="12" t="n"/>
      <c r="AI91" s="12" t="n"/>
      <c r="AJ91" s="12" t="n"/>
      <c r="AK91" s="12" t="n"/>
      <c r="AL91" s="12" t="n"/>
      <c r="AM91" s="12" t="n"/>
      <c r="AN91" s="12" t="n"/>
      <c r="AO91" s="12" t="n"/>
      <c r="AP91" s="12" t="n"/>
      <c r="AQ91" s="12" t="n"/>
      <c r="AR91" s="12" t="n"/>
      <c r="AS91" s="12" t="n"/>
      <c r="AT91" s="12" t="n"/>
      <c r="AU91" s="12" t="n"/>
      <c r="AV91" s="12" t="n"/>
      <c r="AW91" s="12" t="n"/>
      <c r="AX91" s="12" t="n"/>
      <c r="AY91" s="12" t="n"/>
      <c r="AZ91" s="12" t="n"/>
      <c r="BA91" s="12" t="n"/>
      <c r="BB91" s="12" t="n"/>
      <c r="BC91" s="12" t="n"/>
      <c r="BD91" s="12" t="n"/>
      <c r="BE91" s="12" t="n"/>
      <c r="BF91" s="12" t="n"/>
      <c r="BG91" s="12" t="n"/>
      <c r="BH91" s="12" t="n"/>
      <c r="BI91" s="12" t="n"/>
      <c r="BJ91" s="12" t="n"/>
      <c r="BK91" s="12" t="n"/>
      <c r="BL91" s="12" t="n"/>
      <c r="BM91" s="12" t="n"/>
      <c r="BN91" s="12" t="n"/>
      <c r="BO91" s="12" t="n"/>
      <c r="BP91" s="12" t="n"/>
      <c r="BQ91" s="12" t="n"/>
      <c r="BR91" s="12" t="n"/>
      <c r="BS91" s="12" t="n"/>
      <c r="BT91" s="12" t="n"/>
      <c r="BU91" s="12" t="n"/>
      <c r="BV91" s="12" t="n"/>
      <c r="BW91" s="12" t="n"/>
      <c r="BX91" s="12" t="n"/>
      <c r="BY91" s="12" t="n"/>
      <c r="BZ91" s="12" t="n"/>
      <c r="CA91" s="12" t="n"/>
      <c r="CB91" s="12" t="n"/>
      <c r="CC91" s="12" t="n"/>
      <c r="CD91" s="12" t="n"/>
      <c r="CE91" s="12" t="n"/>
      <c r="CF91" s="12" t="n"/>
      <c r="CG91" s="12" t="n"/>
      <c r="CH91" s="12" t="n"/>
      <c r="CI91" s="12" t="n"/>
      <c r="CJ91" s="12" t="n"/>
      <c r="CK91" s="12" t="n"/>
      <c r="CL91" s="12" t="n"/>
      <c r="CM91" s="12" t="n"/>
      <c r="CN91" s="12" t="n"/>
      <c r="CO91" s="12" t="n"/>
      <c r="CP91" s="12" t="n"/>
      <c r="CQ91" s="12" t="n"/>
      <c r="CR91" s="12" t="n"/>
      <c r="CS91" s="12" t="n"/>
      <c r="CT91" s="12" t="n"/>
      <c r="CU91" s="12" t="n"/>
      <c r="CV91" s="12" t="n"/>
      <c r="CW91" s="12" t="n"/>
      <c r="CX91" s="12" t="n"/>
      <c r="CY91" s="12" t="n"/>
    </row>
    <row r="92" hidden="1" outlineLevel="1">
      <c r="C92" s="57" t="inlineStr">
        <is>
          <t>Stake</t>
        </is>
      </c>
      <c r="D92" s="12" t="n"/>
      <c r="E92" s="12" t="n"/>
      <c r="F92" s="12" t="n"/>
      <c r="G92" s="12" t="n"/>
      <c r="H92" s="12" t="n"/>
      <c r="I92" s="12" t="n"/>
      <c r="J92" s="12" t="n"/>
      <c r="K92" s="12" t="n"/>
      <c r="L92" s="12" t="n"/>
      <c r="M92" s="12" t="n"/>
      <c r="N92" s="12" t="n"/>
      <c r="O92" s="12" t="n"/>
      <c r="P92" s="12" t="n"/>
      <c r="Q92" s="12" t="n"/>
      <c r="R92" s="12" t="n"/>
      <c r="S92" s="12" t="n"/>
      <c r="T92" s="12" t="n"/>
      <c r="U92" s="12" t="n"/>
      <c r="V92" s="12" t="n"/>
      <c r="W92" s="12" t="n"/>
      <c r="X92" s="12" t="n"/>
      <c r="Y92" s="12" t="n"/>
      <c r="Z92" s="12" t="n"/>
      <c r="AA92" s="12" t="n"/>
      <c r="AB92" s="12" t="n"/>
      <c r="AC92" s="12" t="n"/>
      <c r="AD92" s="12" t="n"/>
      <c r="AE92" s="12" t="n"/>
      <c r="AF92" s="12" t="n"/>
      <c r="AG92" s="12" t="n"/>
      <c r="AH92" s="12" t="n"/>
      <c r="AI92" s="12" t="n"/>
      <c r="AJ92" s="12" t="n"/>
      <c r="AK92" s="12" t="n"/>
      <c r="AL92" s="12" t="n"/>
      <c r="AM92" s="12" t="n"/>
      <c r="AN92" s="12" t="n"/>
      <c r="AO92" s="12" t="n"/>
      <c r="AP92" s="12" t="n"/>
      <c r="AQ92" s="12" t="n"/>
      <c r="AR92" s="12" t="n"/>
      <c r="AS92" s="12" t="n"/>
      <c r="AT92" s="12" t="n"/>
      <c r="AU92" s="12" t="n"/>
      <c r="AV92" s="12" t="n"/>
      <c r="AW92" s="12" t="n"/>
      <c r="AX92" s="12" t="n"/>
      <c r="AY92" s="12" t="n"/>
      <c r="AZ92" s="12" t="n"/>
      <c r="BA92" s="12" t="n"/>
      <c r="BB92" s="12" t="n"/>
      <c r="BC92" s="12" t="n"/>
      <c r="BD92" s="12" t="n"/>
      <c r="BE92" s="12" t="n"/>
      <c r="BF92" s="12" t="n"/>
      <c r="BG92" s="12" t="n"/>
      <c r="BH92" s="12" t="n"/>
      <c r="BI92" s="12" t="n"/>
      <c r="BJ92" s="12" t="n"/>
      <c r="BK92" s="12" t="n"/>
      <c r="BL92" s="12" t="n"/>
      <c r="BM92" s="12" t="n"/>
      <c r="BN92" s="12" t="n"/>
      <c r="BO92" s="12" t="n"/>
      <c r="BP92" s="12" t="n"/>
      <c r="BQ92" s="12" t="n"/>
      <c r="BR92" s="12" t="n"/>
      <c r="BS92" s="12" t="n"/>
      <c r="BT92" s="12" t="n"/>
      <c r="BU92" s="12" t="n"/>
      <c r="BV92" s="12" t="n"/>
      <c r="BW92" s="12" t="n"/>
      <c r="BX92" s="12" t="n"/>
      <c r="BY92" s="12" t="n"/>
      <c r="BZ92" s="12" t="n"/>
      <c r="CA92" s="12" t="n"/>
      <c r="CB92" s="12" t="n"/>
      <c r="CC92" s="12" t="n"/>
      <c r="CD92" s="12" t="n"/>
      <c r="CE92" s="12" t="n"/>
      <c r="CF92" s="12" t="n"/>
      <c r="CG92" s="12" t="n"/>
      <c r="CH92" s="12" t="n"/>
      <c r="CI92" s="12" t="n"/>
      <c r="CJ92" s="12" t="n"/>
      <c r="CK92" s="12" t="n"/>
      <c r="CL92" s="12" t="n"/>
      <c r="CM92" s="12" t="n"/>
      <c r="CN92" s="12" t="n"/>
      <c r="CO92" s="12" t="n"/>
      <c r="CP92" s="12" t="n"/>
      <c r="CQ92" s="12" t="n"/>
      <c r="CR92" s="12" t="n"/>
      <c r="CS92" s="12" t="n"/>
      <c r="CT92" s="12" t="n"/>
      <c r="CU92" s="12" t="n"/>
      <c r="CV92" s="12" t="n"/>
      <c r="CW92" s="12" t="n"/>
      <c r="CX92" s="12" t="n"/>
      <c r="CY92" s="12" t="n"/>
    </row>
    <row r="93" hidden="1" outlineLevel="1">
      <c r="C93" s="57" t="inlineStr">
        <is>
          <t>PRE</t>
        </is>
      </c>
      <c r="D93" s="12" t="n"/>
      <c r="E93" s="12" t="n"/>
      <c r="F93" s="12" t="n"/>
      <c r="G93" s="12" t="n"/>
      <c r="H93" s="12" t="n"/>
      <c r="I93" s="12" t="n"/>
      <c r="J93" s="12" t="n"/>
      <c r="K93" s="12" t="n"/>
      <c r="L93" s="12" t="n"/>
      <c r="M93" s="12" t="n"/>
      <c r="N93" s="12" t="n"/>
      <c r="O93" s="12" t="n"/>
      <c r="P93" s="12" t="n"/>
      <c r="Q93" s="12" t="n"/>
      <c r="R93" s="12" t="n"/>
      <c r="S93" s="12" t="n"/>
      <c r="T93" s="12" t="n"/>
      <c r="U93" s="12" t="n"/>
      <c r="V93" s="12" t="n"/>
      <c r="W93" s="12" t="n"/>
      <c r="X93" s="12" t="n"/>
      <c r="Y93" s="12" t="n"/>
      <c r="Z93" s="12" t="n"/>
      <c r="AA93" s="12" t="n"/>
      <c r="AB93" s="12" t="n"/>
      <c r="AC93" s="12" t="n"/>
      <c r="AD93" s="12" t="n"/>
      <c r="AE93" s="12" t="n"/>
      <c r="AF93" s="12" t="n"/>
      <c r="AG93" s="12" t="n"/>
      <c r="AH93" s="12" t="n"/>
      <c r="AI93" s="12" t="n"/>
      <c r="AJ93" s="12" t="n"/>
      <c r="AK93" s="12" t="n"/>
      <c r="AL93" s="12" t="n"/>
      <c r="AM93" s="12" t="n"/>
      <c r="AN93" s="12" t="n"/>
      <c r="AO93" s="12" t="n"/>
      <c r="AP93" s="12" t="n"/>
      <c r="AQ93" s="12" t="n"/>
      <c r="AR93" s="12" t="n"/>
      <c r="AS93" s="12" t="n"/>
      <c r="AT93" s="12" t="n"/>
      <c r="AU93" s="12" t="n"/>
      <c r="AV93" s="12" t="n"/>
      <c r="AW93" s="12" t="n"/>
      <c r="AX93" s="12" t="n"/>
      <c r="AY93" s="12" t="n"/>
      <c r="AZ93" s="12" t="n"/>
      <c r="BA93" s="12" t="n"/>
      <c r="BB93" s="12" t="n"/>
      <c r="BC93" s="12" t="n"/>
      <c r="BD93" s="12" t="n"/>
      <c r="BE93" s="12" t="n"/>
      <c r="BF93" s="12" t="n"/>
      <c r="BG93" s="12" t="n"/>
      <c r="BH93" s="12" t="n"/>
      <c r="BI93" s="12" t="n"/>
      <c r="BJ93" s="12" t="n"/>
      <c r="BK93" s="12" t="n"/>
      <c r="BL93" s="12" t="n"/>
      <c r="BM93" s="12" t="n"/>
      <c r="BN93" s="12" t="n"/>
      <c r="BO93" s="12" t="n"/>
      <c r="BP93" s="12" t="n"/>
      <c r="BQ93" s="12" t="n"/>
      <c r="BR93" s="12" t="n"/>
      <c r="BS93" s="12" t="n"/>
      <c r="BT93" s="12" t="n"/>
      <c r="BU93" s="12" t="n"/>
      <c r="BV93" s="12" t="n"/>
      <c r="BW93" s="12" t="n"/>
      <c r="BX93" s="12" t="n"/>
      <c r="BY93" s="12" t="n"/>
      <c r="BZ93" s="12" t="n"/>
      <c r="CA93" s="12" t="n"/>
      <c r="CB93" s="12" t="n"/>
      <c r="CC93" s="12" t="n"/>
      <c r="CD93" s="12" t="n"/>
      <c r="CE93" s="12" t="n"/>
      <c r="CF93" s="12" t="n"/>
      <c r="CG93" s="12" t="n"/>
      <c r="CH93" s="12" t="n"/>
      <c r="CI93" s="12" t="n"/>
      <c r="CJ93" s="12" t="n"/>
      <c r="CK93" s="12" t="n"/>
      <c r="CL93" s="12" t="n"/>
      <c r="CM93" s="12" t="n"/>
      <c r="CN93" s="12" t="n"/>
      <c r="CO93" s="12" t="n"/>
      <c r="CP93" s="12" t="n"/>
      <c r="CQ93" s="12" t="n"/>
      <c r="CR93" s="12" t="n"/>
      <c r="CS93" s="12" t="n"/>
      <c r="CT93" s="12" t="n"/>
      <c r="CU93" s="12" t="n"/>
      <c r="CV93" s="12" t="n"/>
      <c r="CW93" s="12" t="n"/>
      <c r="CX93" s="12" t="n"/>
      <c r="CY93" s="12" t="n"/>
    </row>
    <row r="94" hidden="1" outlineLevel="1">
      <c r="C94" s="57" t="inlineStr">
        <is>
          <t>CDI+</t>
        </is>
      </c>
      <c r="D94" s="12" t="n"/>
      <c r="E94" s="12" t="n"/>
      <c r="F94" s="12" t="n"/>
      <c r="G94" s="12" t="n"/>
      <c r="H94" s="12" t="n"/>
      <c r="I94" s="12" t="n"/>
      <c r="J94" s="12" t="n"/>
      <c r="K94" s="12" t="n"/>
      <c r="L94" s="12" t="n"/>
      <c r="M94" s="12" t="n"/>
      <c r="N94" s="12" t="n"/>
      <c r="O94" s="12" t="n"/>
      <c r="P94" s="12" t="n"/>
      <c r="Q94" s="12" t="n"/>
      <c r="R94" s="12" t="n"/>
      <c r="S94" s="12" t="n"/>
      <c r="T94" s="12" t="n"/>
      <c r="U94" s="12" t="n"/>
      <c r="V94" s="12" t="n"/>
      <c r="W94" s="12" t="n"/>
      <c r="X94" s="12" t="n"/>
      <c r="Y94" s="12" t="n"/>
      <c r="Z94" s="12" t="n"/>
      <c r="AA94" s="12" t="n"/>
      <c r="AB94" s="12" t="n"/>
      <c r="AC94" s="12" t="n"/>
      <c r="AD94" s="12" t="n"/>
      <c r="AE94" s="12" t="n"/>
      <c r="AF94" s="12" t="n"/>
      <c r="AG94" s="12" t="n"/>
      <c r="AH94" s="12" t="n"/>
      <c r="AI94" s="12" t="n"/>
      <c r="AJ94" s="12" t="n"/>
      <c r="AK94" s="12" t="n"/>
      <c r="AL94" s="12" t="n"/>
      <c r="AM94" s="12" t="n"/>
      <c r="AN94" s="12" t="n"/>
      <c r="AO94" s="12" t="n"/>
      <c r="AP94" s="12" t="n"/>
      <c r="AQ94" s="12" t="n"/>
      <c r="AR94" s="12" t="n"/>
      <c r="AS94" s="12" t="n"/>
      <c r="AT94" s="12" t="n"/>
      <c r="AU94" s="12" t="n"/>
      <c r="AV94" s="12" t="n"/>
      <c r="AW94" s="12" t="n"/>
      <c r="AX94" s="12" t="n"/>
      <c r="AY94" s="12" t="n"/>
      <c r="AZ94" s="12" t="n"/>
      <c r="BA94" s="12" t="n"/>
      <c r="BB94" s="12" t="n"/>
      <c r="BC94" s="12" t="n"/>
      <c r="BD94" s="12" t="n"/>
      <c r="BE94" s="12" t="n"/>
      <c r="BF94" s="12" t="n"/>
      <c r="BG94" s="12" t="n"/>
      <c r="BH94" s="12" t="n"/>
      <c r="BI94" s="12" t="n"/>
      <c r="BJ94" s="12" t="n"/>
      <c r="BK94" s="12" t="n"/>
      <c r="BL94" s="12" t="n"/>
      <c r="BM94" s="12" t="n"/>
      <c r="BN94" s="12" t="n"/>
      <c r="BO94" s="12" t="n"/>
      <c r="BP94" s="12" t="n"/>
      <c r="BQ94" s="12" t="n"/>
      <c r="BR94" s="12" t="n"/>
      <c r="BS94" s="12" t="n"/>
      <c r="BT94" s="12" t="n"/>
      <c r="BU94" s="12" t="n"/>
      <c r="BV94" s="12" t="n"/>
      <c r="BW94" s="12" t="n"/>
      <c r="BX94" s="12" t="n"/>
      <c r="BY94" s="12" t="n"/>
      <c r="BZ94" s="12" t="n"/>
      <c r="CA94" s="12" t="n"/>
      <c r="CB94" s="12" t="n"/>
      <c r="CC94" s="12" t="n"/>
      <c r="CD94" s="12" t="n"/>
      <c r="CE94" s="12" t="n"/>
      <c r="CF94" s="12" t="n"/>
      <c r="CG94" s="12" t="n"/>
      <c r="CH94" s="12" t="n"/>
      <c r="CI94" s="12" t="n"/>
      <c r="CJ94" s="12" t="n"/>
      <c r="CK94" s="12" t="n"/>
      <c r="CL94" s="12" t="n"/>
      <c r="CM94" s="12" t="n"/>
      <c r="CN94" s="12" t="n"/>
      <c r="CO94" s="12" t="n"/>
      <c r="CP94" s="12" t="n"/>
      <c r="CQ94" s="12" t="n"/>
      <c r="CR94" s="12" t="n"/>
      <c r="CS94" s="12" t="n"/>
      <c r="CT94" s="12" t="n"/>
      <c r="CU94" s="12" t="n"/>
      <c r="CV94" s="12" t="n"/>
      <c r="CW94" s="12" t="n"/>
      <c r="CX94" s="12" t="n"/>
      <c r="CY94" s="12" t="n"/>
    </row>
    <row r="95" hidden="1" outlineLevel="1">
      <c r="C95" s="57" t="n"/>
      <c r="D95" s="12" t="n"/>
      <c r="E95" s="12" t="n"/>
      <c r="F95" s="12" t="n"/>
      <c r="G95" s="12" t="n"/>
      <c r="H95" s="12" t="n"/>
      <c r="I95" s="12" t="n"/>
      <c r="J95" s="12" t="n"/>
      <c r="K95" s="12" t="n"/>
      <c r="L95" s="12" t="n"/>
      <c r="M95" s="12" t="n"/>
      <c r="N95" s="12" t="n"/>
      <c r="O95" s="12" t="n"/>
      <c r="P95" s="12" t="n"/>
      <c r="Q95" s="12" t="n"/>
      <c r="R95" s="12" t="n"/>
      <c r="S95" s="12" t="n"/>
      <c r="T95" s="12" t="n"/>
      <c r="U95" s="12" t="n"/>
      <c r="V95" s="12" t="n"/>
      <c r="W95" s="12" t="n"/>
      <c r="X95" s="12" t="n"/>
      <c r="Y95" s="12" t="n"/>
      <c r="Z95" s="12" t="n"/>
      <c r="AA95" s="12" t="n"/>
      <c r="AB95" s="12" t="n"/>
      <c r="AC95" s="12" t="n"/>
      <c r="AD95" s="12" t="n"/>
      <c r="AE95" s="12" t="n"/>
      <c r="AF95" s="12" t="n"/>
      <c r="AG95" s="12" t="n"/>
      <c r="AH95" s="12" t="n"/>
      <c r="AI95" s="12" t="n"/>
      <c r="AJ95" s="12" t="n"/>
      <c r="AK95" s="12" t="n"/>
      <c r="AL95" s="12" t="n"/>
      <c r="AM95" s="12" t="n"/>
      <c r="AN95" s="12" t="n"/>
      <c r="AO95" s="12" t="n"/>
      <c r="AP95" s="12" t="n"/>
      <c r="AQ95" s="12" t="n"/>
      <c r="AR95" s="12" t="n"/>
      <c r="AS95" s="12" t="n"/>
      <c r="AT95" s="12" t="n"/>
      <c r="AU95" s="12" t="n"/>
      <c r="AV95" s="12" t="n"/>
      <c r="AW95" s="12" t="n"/>
      <c r="AX95" s="12" t="n"/>
      <c r="AY95" s="12" t="n"/>
      <c r="AZ95" s="12" t="n"/>
      <c r="BA95" s="12" t="n"/>
      <c r="BB95" s="12" t="n"/>
      <c r="BC95" s="12" t="n"/>
      <c r="BD95" s="12" t="n"/>
      <c r="BE95" s="12" t="n"/>
      <c r="BF95" s="12" t="n"/>
      <c r="BG95" s="12" t="n"/>
      <c r="BH95" s="12" t="n"/>
      <c r="BI95" s="12" t="n"/>
      <c r="BJ95" s="12" t="n"/>
      <c r="BK95" s="12" t="n"/>
      <c r="BL95" s="12" t="n"/>
      <c r="BM95" s="12" t="n"/>
      <c r="BN95" s="12" t="n"/>
      <c r="BO95" s="12" t="n"/>
      <c r="BP95" s="12" t="n"/>
      <c r="BQ95" s="12" t="n"/>
      <c r="BR95" s="12" t="n"/>
      <c r="BS95" s="12" t="n"/>
      <c r="BT95" s="12" t="n"/>
      <c r="BU95" s="12" t="n"/>
      <c r="BV95" s="12" t="n"/>
      <c r="BW95" s="12" t="n"/>
      <c r="BX95" s="12" t="n"/>
      <c r="BY95" s="12" t="n"/>
      <c r="BZ95" s="12" t="n"/>
      <c r="CA95" s="12" t="n"/>
      <c r="CB95" s="12" t="n"/>
      <c r="CC95" s="12" t="n"/>
      <c r="CD95" s="12" t="n"/>
      <c r="CE95" s="12" t="n"/>
      <c r="CF95" s="12" t="n"/>
      <c r="CG95" s="12" t="n"/>
      <c r="CH95" s="12" t="n"/>
      <c r="CI95" s="12" t="n"/>
      <c r="CJ95" s="12" t="n"/>
      <c r="CK95" s="12" t="n"/>
      <c r="CL95" s="12" t="n"/>
      <c r="CM95" s="12" t="n"/>
      <c r="CN95" s="12" t="n"/>
      <c r="CO95" s="12" t="n"/>
      <c r="CP95" s="12" t="n"/>
      <c r="CQ95" s="12" t="n"/>
      <c r="CR95" s="12" t="n"/>
      <c r="CS95" s="12" t="n"/>
      <c r="CT95" s="12" t="n"/>
      <c r="CU95" s="12" t="n"/>
      <c r="CV95" s="12" t="n"/>
      <c r="CW95" s="12" t="n"/>
      <c r="CX95" s="12" t="n"/>
      <c r="CY95" s="12" t="n"/>
    </row>
    <row r="96" hidden="1" outlineLevel="1">
      <c r="C96" s="57" t="inlineStr">
        <is>
          <t>Spread</t>
        </is>
      </c>
      <c r="D96" s="12" t="n"/>
      <c r="E96" s="12" t="n"/>
      <c r="F96" s="12" t="n"/>
      <c r="G96" s="12" t="n"/>
      <c r="H96" s="12" t="n"/>
      <c r="I96" s="12" t="n"/>
      <c r="J96" s="12" t="n"/>
      <c r="K96" s="12" t="n"/>
      <c r="L96" s="12" t="n"/>
      <c r="M96" s="12" t="n"/>
      <c r="N96" s="12" t="n"/>
      <c r="O96" s="12" t="n"/>
      <c r="P96" s="12" t="n"/>
      <c r="Q96" s="12" t="n"/>
      <c r="R96" s="12" t="n"/>
      <c r="S96" s="12" t="n"/>
      <c r="T96" s="12" t="n"/>
      <c r="U96" s="12" t="n"/>
      <c r="V96" s="12" t="n"/>
      <c r="W96" s="12" t="n"/>
      <c r="X96" s="12" t="n"/>
      <c r="Y96" s="12" t="n"/>
      <c r="Z96" s="12" t="n"/>
      <c r="AA96" s="12" t="n"/>
      <c r="AB96" s="12" t="n"/>
      <c r="AC96" s="12" t="n"/>
      <c r="AD96" s="12" t="n"/>
      <c r="AE96" s="12" t="n"/>
      <c r="AF96" s="12" t="n"/>
      <c r="AG96" s="12" t="n"/>
      <c r="AH96" s="12" t="n"/>
      <c r="AI96" s="12" t="n"/>
      <c r="AJ96" s="12" t="n"/>
      <c r="AK96" s="12" t="n"/>
      <c r="AL96" s="12" t="n"/>
      <c r="AM96" s="12" t="n"/>
      <c r="AN96" s="12" t="n"/>
      <c r="AO96" s="12" t="n"/>
      <c r="AP96" s="12" t="n"/>
      <c r="AQ96" s="12" t="n"/>
      <c r="AR96" s="12" t="n"/>
      <c r="AS96" s="12" t="n"/>
      <c r="AT96" s="12" t="n"/>
      <c r="AU96" s="12" t="n"/>
      <c r="AV96" s="12" t="n"/>
      <c r="AW96" s="12" t="n"/>
      <c r="AX96" s="12" t="n"/>
      <c r="AY96" s="12" t="n"/>
      <c r="AZ96" s="12" t="n"/>
      <c r="BA96" s="12" t="n"/>
      <c r="BB96" s="12" t="n"/>
      <c r="BC96" s="12" t="n"/>
      <c r="BD96" s="12" t="n"/>
      <c r="BE96" s="12" t="n"/>
      <c r="BF96" s="12" t="n"/>
      <c r="BG96" s="12" t="n"/>
      <c r="BH96" s="12" t="n"/>
      <c r="BI96" s="12" t="n"/>
      <c r="BJ96" s="12" t="n"/>
      <c r="BK96" s="12" t="n"/>
      <c r="BL96" s="12" t="n"/>
      <c r="BM96" s="12" t="n"/>
      <c r="BN96" s="12" t="n"/>
      <c r="BO96" s="12" t="n"/>
      <c r="BP96" s="12" t="n"/>
      <c r="BQ96" s="12" t="n"/>
      <c r="BR96" s="12" t="n"/>
      <c r="BS96" s="12" t="n"/>
      <c r="BT96" s="12" t="n"/>
      <c r="BU96" s="12" t="n"/>
      <c r="BV96" s="12" t="n"/>
      <c r="BW96" s="12" t="n"/>
      <c r="BX96" s="12" t="n"/>
      <c r="BY96" s="12" t="n"/>
      <c r="BZ96" s="12" t="n"/>
      <c r="CA96" s="12" t="n"/>
      <c r="CB96" s="12" t="n"/>
      <c r="CC96" s="12" t="n"/>
      <c r="CD96" s="12" t="n"/>
      <c r="CE96" s="12" t="n"/>
      <c r="CF96" s="12" t="n"/>
      <c r="CG96" s="12" t="n"/>
      <c r="CH96" s="12" t="n"/>
      <c r="CI96" s="12" t="n"/>
      <c r="CJ96" s="12" t="n"/>
      <c r="CK96" s="12" t="n"/>
      <c r="CL96" s="12" t="n"/>
      <c r="CM96" s="12" t="n"/>
      <c r="CN96" s="12" t="n"/>
      <c r="CO96" s="12" t="n"/>
      <c r="CP96" s="12" t="n"/>
      <c r="CQ96" s="12" t="n"/>
      <c r="CR96" s="12" t="n"/>
      <c r="CS96" s="12" t="n"/>
      <c r="CT96" s="12" t="n"/>
      <c r="CU96" s="12" t="n"/>
      <c r="CV96" s="12" t="n"/>
      <c r="CW96" s="12" t="n"/>
      <c r="CX96" s="12" t="n"/>
      <c r="CY96" s="12" t="n"/>
    </row>
    <row r="97" hidden="1" outlineLevel="1">
      <c r="C97" s="57" t="inlineStr">
        <is>
          <t>PRE</t>
        </is>
      </c>
      <c r="D97" s="12" t="n"/>
      <c r="E97" s="12" t="n"/>
      <c r="F97" s="12" t="n"/>
      <c r="G97" s="12" t="n"/>
      <c r="H97" s="12" t="n"/>
      <c r="I97" s="12" t="n"/>
      <c r="J97" s="12" t="n"/>
      <c r="K97" s="12" t="n"/>
      <c r="L97" s="12" t="n"/>
      <c r="M97" s="12" t="n"/>
      <c r="N97" s="12" t="n"/>
      <c r="O97" s="12" t="n"/>
      <c r="P97" s="12" t="n"/>
      <c r="Q97" s="12" t="n"/>
      <c r="R97" s="12" t="n"/>
      <c r="S97" s="12" t="n"/>
      <c r="T97" s="12" t="n"/>
      <c r="U97" s="12" t="n"/>
      <c r="V97" s="12" t="n"/>
      <c r="W97" s="12" t="n"/>
      <c r="X97" s="12" t="n"/>
      <c r="Y97" s="12" t="n"/>
      <c r="Z97" s="12" t="n"/>
      <c r="AA97" s="12" t="n"/>
      <c r="AB97" s="12" t="n"/>
      <c r="AC97" s="12" t="n"/>
      <c r="AD97" s="12" t="n"/>
      <c r="AE97" s="12" t="n"/>
      <c r="AF97" s="12" t="n"/>
      <c r="AG97" s="12" t="n"/>
      <c r="AH97" s="12" t="n"/>
      <c r="AI97" s="12" t="n"/>
      <c r="AJ97" s="12" t="n"/>
      <c r="AK97" s="12" t="n"/>
      <c r="AL97" s="12" t="n"/>
      <c r="AM97" s="12" t="n"/>
      <c r="AN97" s="12" t="n"/>
      <c r="AO97" s="12" t="n"/>
      <c r="AP97" s="12" t="n"/>
      <c r="AQ97" s="12" t="n"/>
      <c r="AR97" s="12" t="n"/>
      <c r="AS97" s="12" t="n"/>
      <c r="AT97" s="12" t="n"/>
      <c r="AU97" s="12" t="n"/>
      <c r="AV97" s="12" t="n"/>
      <c r="AW97" s="12" t="n"/>
      <c r="AX97" s="12" t="n"/>
      <c r="AY97" s="12" t="n"/>
      <c r="AZ97" s="12" t="n"/>
      <c r="BA97" s="12" t="n"/>
      <c r="BB97" s="12" t="n"/>
      <c r="BC97" s="12" t="n"/>
      <c r="BD97" s="12" t="n"/>
      <c r="BE97" s="12" t="n"/>
      <c r="BF97" s="12" t="n"/>
      <c r="BG97" s="12" t="n"/>
      <c r="BH97" s="12" t="n"/>
      <c r="BI97" s="12" t="n"/>
      <c r="BJ97" s="12" t="n"/>
      <c r="BK97" s="12" t="n"/>
      <c r="BL97" s="12" t="n"/>
      <c r="BM97" s="12" t="n"/>
      <c r="BN97" s="12" t="n"/>
      <c r="BO97" s="12" t="n"/>
      <c r="BP97" s="12" t="n"/>
      <c r="BQ97" s="12" t="n"/>
      <c r="BR97" s="12" t="n"/>
      <c r="BS97" s="12" t="n"/>
      <c r="BT97" s="12" t="n"/>
      <c r="BU97" s="12" t="n"/>
      <c r="BV97" s="12" t="n"/>
      <c r="BW97" s="12" t="n"/>
      <c r="BX97" s="12" t="n"/>
      <c r="BY97" s="12" t="n"/>
      <c r="BZ97" s="12" t="n"/>
      <c r="CA97" s="12" t="n"/>
      <c r="CB97" s="12" t="n"/>
      <c r="CC97" s="12" t="n"/>
      <c r="CD97" s="12" t="n"/>
      <c r="CE97" s="12" t="n"/>
      <c r="CF97" s="12" t="n"/>
      <c r="CG97" s="12" t="n"/>
      <c r="CH97" s="12" t="n"/>
      <c r="CI97" s="12" t="n"/>
      <c r="CJ97" s="12" t="n"/>
      <c r="CK97" s="12" t="n"/>
      <c r="CL97" s="12" t="n"/>
      <c r="CM97" s="12" t="n"/>
      <c r="CN97" s="12" t="n"/>
      <c r="CO97" s="12" t="n"/>
      <c r="CP97" s="12" t="n"/>
      <c r="CQ97" s="12" t="n"/>
      <c r="CR97" s="12" t="n"/>
      <c r="CS97" s="12" t="n"/>
      <c r="CT97" s="12" t="n"/>
      <c r="CU97" s="12" t="n"/>
      <c r="CV97" s="12" t="n"/>
      <c r="CW97" s="12" t="n"/>
      <c r="CX97" s="12" t="n"/>
      <c r="CY97" s="12" t="n"/>
    </row>
    <row r="98" hidden="1" outlineLevel="1">
      <c r="C98" s="57" t="inlineStr">
        <is>
          <t>CDI+</t>
        </is>
      </c>
      <c r="D98" s="12" t="n"/>
      <c r="E98" s="12" t="n"/>
      <c r="F98" s="12" t="n"/>
      <c r="G98" s="12" t="n"/>
      <c r="H98" s="12" t="n"/>
      <c r="I98" s="12" t="n"/>
      <c r="J98" s="12" t="n"/>
      <c r="K98" s="12" t="n"/>
      <c r="L98" s="12" t="n"/>
      <c r="M98" s="12" t="n"/>
      <c r="N98" s="12" t="n"/>
      <c r="O98" s="12" t="n"/>
      <c r="P98" s="12" t="n"/>
      <c r="Q98" s="12" t="n"/>
      <c r="R98" s="12" t="n"/>
      <c r="S98" s="12" t="n"/>
      <c r="T98" s="12" t="n"/>
      <c r="U98" s="12" t="n"/>
      <c r="V98" s="12" t="n"/>
      <c r="W98" s="12" t="n"/>
      <c r="X98" s="12" t="n"/>
      <c r="Y98" s="12" t="n"/>
      <c r="Z98" s="12" t="n"/>
      <c r="AA98" s="12" t="n"/>
      <c r="AB98" s="12" t="n"/>
      <c r="AC98" s="12" t="n"/>
      <c r="AD98" s="12" t="n"/>
      <c r="AE98" s="12" t="n"/>
      <c r="AF98" s="12" t="n"/>
      <c r="AG98" s="12" t="n"/>
      <c r="AH98" s="12" t="n"/>
      <c r="AI98" s="12" t="n"/>
      <c r="AJ98" s="12" t="n"/>
      <c r="AK98" s="12" t="n"/>
      <c r="AL98" s="12" t="n"/>
      <c r="AM98" s="12" t="n"/>
      <c r="AN98" s="12" t="n"/>
      <c r="AO98" s="12" t="n"/>
      <c r="AP98" s="12" t="n"/>
      <c r="AQ98" s="12" t="n"/>
      <c r="AR98" s="12" t="n"/>
      <c r="AS98" s="12" t="n"/>
      <c r="AT98" s="12" t="n"/>
      <c r="AU98" s="12" t="n"/>
      <c r="AV98" s="12" t="n"/>
      <c r="AW98" s="12" t="n"/>
      <c r="AX98" s="12" t="n"/>
      <c r="AY98" s="12" t="n"/>
      <c r="AZ98" s="12" t="n"/>
      <c r="BA98" s="12" t="n"/>
      <c r="BB98" s="12" t="n"/>
      <c r="BC98" s="12" t="n"/>
      <c r="BD98" s="12" t="n"/>
      <c r="BE98" s="12" t="n"/>
      <c r="BF98" s="12" t="n"/>
      <c r="BG98" s="12" t="n"/>
      <c r="BH98" s="12" t="n"/>
      <c r="BI98" s="12" t="n"/>
      <c r="BJ98" s="12" t="n"/>
      <c r="BK98" s="12" t="n"/>
      <c r="BL98" s="12" t="n"/>
      <c r="BM98" s="12" t="n"/>
      <c r="BN98" s="12" t="n"/>
      <c r="BO98" s="12" t="n"/>
      <c r="BP98" s="12" t="n"/>
      <c r="BQ98" s="12" t="n"/>
      <c r="BR98" s="12" t="n"/>
      <c r="BS98" s="12" t="n"/>
      <c r="BT98" s="12" t="n"/>
      <c r="BU98" s="12" t="n"/>
      <c r="BV98" s="12" t="n"/>
      <c r="BW98" s="12" t="n"/>
      <c r="BX98" s="12" t="n"/>
      <c r="BY98" s="12" t="n"/>
      <c r="BZ98" s="12" t="n"/>
      <c r="CA98" s="12" t="n"/>
      <c r="CB98" s="12" t="n"/>
      <c r="CC98" s="12" t="n"/>
      <c r="CD98" s="12" t="n"/>
      <c r="CE98" s="12" t="n"/>
      <c r="CF98" s="12" t="n"/>
      <c r="CG98" s="12" t="n"/>
      <c r="CH98" s="12" t="n"/>
      <c r="CI98" s="12" t="n"/>
      <c r="CJ98" s="12" t="n"/>
      <c r="CK98" s="12" t="n"/>
      <c r="CL98" s="12" t="n"/>
      <c r="CM98" s="12" t="n"/>
      <c r="CN98" s="12" t="n"/>
      <c r="CO98" s="12" t="n"/>
      <c r="CP98" s="12" t="n"/>
      <c r="CQ98" s="12" t="n"/>
      <c r="CR98" s="12" t="n"/>
      <c r="CS98" s="12" t="n"/>
      <c r="CT98" s="12" t="n"/>
      <c r="CU98" s="12" t="n"/>
      <c r="CV98" s="12" t="n"/>
      <c r="CW98" s="12" t="n"/>
      <c r="CX98" s="12" t="n"/>
      <c r="CY98" s="12" t="n"/>
    </row>
    <row r="99" hidden="1" outlineLevel="1">
      <c r="C99" s="57" t="n"/>
      <c r="D99" s="12" t="n"/>
      <c r="E99" s="12" t="n"/>
      <c r="F99" s="12" t="n"/>
      <c r="G99" s="12" t="n"/>
      <c r="H99" s="12" t="n"/>
      <c r="I99" s="12" t="n"/>
      <c r="J99" s="12" t="n"/>
      <c r="K99" s="12" t="n"/>
      <c r="L99" s="12" t="n"/>
      <c r="M99" s="12" t="n"/>
      <c r="N99" s="12" t="n"/>
      <c r="O99" s="12" t="n"/>
      <c r="P99" s="12" t="n"/>
      <c r="Q99" s="12" t="n"/>
      <c r="R99" s="12" t="n"/>
      <c r="S99" s="12" t="n"/>
      <c r="T99" s="12" t="n"/>
      <c r="U99" s="12" t="n"/>
      <c r="V99" s="12" t="n"/>
      <c r="W99" s="12" t="n"/>
      <c r="X99" s="12" t="n"/>
      <c r="Y99" s="12" t="n"/>
      <c r="Z99" s="12" t="n"/>
      <c r="AA99" s="12" t="n"/>
      <c r="AB99" s="12" t="n"/>
      <c r="AC99" s="12" t="n"/>
      <c r="AD99" s="12" t="n"/>
      <c r="AE99" s="12" t="n"/>
      <c r="AF99" s="12" t="n"/>
      <c r="AG99" s="12" t="n"/>
      <c r="AH99" s="12" t="n"/>
      <c r="AI99" s="12" t="n"/>
      <c r="AJ99" s="12" t="n"/>
      <c r="AK99" s="12" t="n"/>
      <c r="AL99" s="12" t="n"/>
      <c r="AM99" s="12" t="n"/>
      <c r="AN99" s="12" t="n"/>
      <c r="AO99" s="12" t="n"/>
      <c r="AP99" s="12" t="n"/>
      <c r="AQ99" s="12" t="n"/>
      <c r="AR99" s="12" t="n"/>
      <c r="AS99" s="12" t="n"/>
      <c r="AT99" s="12" t="n"/>
      <c r="AU99" s="12" t="n"/>
      <c r="AV99" s="12" t="n"/>
      <c r="AW99" s="12" t="n"/>
      <c r="AX99" s="12" t="n"/>
      <c r="AY99" s="12" t="n"/>
      <c r="AZ99" s="12" t="n"/>
      <c r="BA99" s="12" t="n"/>
      <c r="BB99" s="12" t="n"/>
      <c r="BC99" s="12" t="n"/>
      <c r="BD99" s="12" t="n"/>
      <c r="BE99" s="12" t="n"/>
      <c r="BF99" s="12" t="n"/>
      <c r="BG99" s="12" t="n"/>
      <c r="BH99" s="12" t="n"/>
      <c r="BI99" s="12" t="n"/>
      <c r="BJ99" s="12" t="n"/>
      <c r="BK99" s="12" t="n"/>
      <c r="BL99" s="12" t="n"/>
      <c r="BM99" s="12" t="n"/>
      <c r="BN99" s="12" t="n"/>
      <c r="BO99" s="12" t="n"/>
      <c r="BP99" s="12" t="n"/>
      <c r="BQ99" s="12" t="n"/>
      <c r="BR99" s="12" t="n"/>
      <c r="BS99" s="12" t="n"/>
      <c r="BT99" s="12" t="n"/>
      <c r="BU99" s="12" t="n"/>
      <c r="BV99" s="12" t="n"/>
      <c r="BW99" s="12" t="n"/>
      <c r="BX99" s="12" t="n"/>
      <c r="BY99" s="12" t="n"/>
      <c r="BZ99" s="12" t="n"/>
      <c r="CA99" s="12" t="n"/>
      <c r="CB99" s="12" t="n"/>
      <c r="CC99" s="12" t="n"/>
      <c r="CD99" s="12" t="n"/>
      <c r="CE99" s="12" t="n"/>
      <c r="CF99" s="12" t="n"/>
      <c r="CG99" s="12" t="n"/>
      <c r="CH99" s="12" t="n"/>
      <c r="CI99" s="12" t="n"/>
      <c r="CJ99" s="12" t="n"/>
      <c r="CK99" s="12" t="n"/>
      <c r="CL99" s="12" t="n"/>
      <c r="CM99" s="12" t="n"/>
      <c r="CN99" s="12" t="n"/>
      <c r="CO99" s="12" t="n"/>
      <c r="CP99" s="12" t="n"/>
      <c r="CQ99" s="12" t="n"/>
      <c r="CR99" s="12" t="n"/>
      <c r="CS99" s="12" t="n"/>
      <c r="CT99" s="12" t="n"/>
      <c r="CU99" s="12" t="n"/>
      <c r="CV99" s="12" t="n"/>
      <c r="CW99" s="12" t="n"/>
      <c r="CX99" s="12" t="n"/>
      <c r="CY99" s="12" t="n"/>
    </row>
    <row r="100" hidden="1" outlineLevel="1">
      <c r="C100" s="57" t="inlineStr">
        <is>
          <t>RECEITAS FINANCEIRAS - Rendimentos de aplicações financeiras</t>
        </is>
      </c>
      <c r="D100" s="12" t="n"/>
      <c r="E100" s="12" t="n"/>
      <c r="F100" s="12" t="n"/>
      <c r="G100" s="12" t="n"/>
      <c r="H100" s="12" t="n"/>
      <c r="I100" s="12" t="n"/>
      <c r="J100" s="12" t="n"/>
      <c r="K100" s="12" t="n"/>
      <c r="L100" s="12" t="n"/>
      <c r="M100" s="12" t="n"/>
      <c r="N100" s="12" t="n"/>
      <c r="O100" s="12" t="n"/>
      <c r="P100" s="12" t="n"/>
      <c r="Q100" s="12" t="n"/>
      <c r="R100" s="12" t="n"/>
      <c r="S100" s="12" t="n"/>
      <c r="T100" s="12" t="n"/>
      <c r="U100" s="12" t="n"/>
      <c r="V100" s="12" t="n"/>
      <c r="W100" s="12" t="n"/>
      <c r="X100" s="12" t="n"/>
      <c r="Y100" s="12" t="n"/>
      <c r="Z100" s="12" t="n"/>
      <c r="AA100" s="12" t="n"/>
      <c r="AB100" s="12" t="n"/>
      <c r="AC100" s="12" t="n"/>
      <c r="AD100" s="12" t="n"/>
      <c r="AE100" s="12" t="n"/>
      <c r="AF100" s="12" t="n"/>
      <c r="AG100" s="12" t="n"/>
      <c r="AH100" s="12" t="n"/>
      <c r="AI100" s="12" t="n"/>
      <c r="AJ100" s="12" t="n"/>
      <c r="AK100" s="12" t="n"/>
      <c r="AL100" s="12" t="n"/>
      <c r="AM100" s="12" t="n"/>
      <c r="AN100" s="12" t="n"/>
      <c r="AO100" s="12" t="n"/>
      <c r="AP100" s="12" t="n"/>
      <c r="AQ100" s="12" t="n"/>
      <c r="AR100" s="12" t="n"/>
      <c r="AS100" s="12" t="n"/>
      <c r="AT100" s="12" t="n"/>
      <c r="AU100" s="12" t="n"/>
      <c r="AV100" s="12" t="n"/>
      <c r="AW100" s="12" t="n"/>
      <c r="AX100" s="12" t="n"/>
      <c r="AY100" s="12" t="n"/>
      <c r="AZ100" s="12" t="n"/>
      <c r="BA100" s="12" t="n"/>
      <c r="BB100" s="12" t="n"/>
      <c r="BC100" s="12" t="n"/>
      <c r="BD100" s="12" t="n"/>
      <c r="BE100" s="12" t="n"/>
      <c r="BF100" s="12" t="n"/>
      <c r="BG100" s="12" t="n"/>
      <c r="BH100" s="12" t="n"/>
      <c r="BI100" s="12" t="n"/>
      <c r="BJ100" s="12" t="n"/>
      <c r="BK100" s="12" t="n"/>
      <c r="BL100" s="12" t="n"/>
      <c r="BM100" s="12" t="n"/>
      <c r="BN100" s="12" t="n"/>
      <c r="BO100" s="12" t="n"/>
      <c r="BP100" s="12" t="n"/>
      <c r="BQ100" s="12" t="n"/>
      <c r="BR100" s="12" t="n"/>
      <c r="BS100" s="12" t="n"/>
      <c r="BT100" s="12" t="n"/>
      <c r="BU100" s="12" t="n"/>
      <c r="BV100" s="12" t="n"/>
      <c r="BW100" s="12" t="n"/>
      <c r="BX100" s="12" t="n"/>
      <c r="BY100" s="12" t="n"/>
      <c r="BZ100" s="12" t="n"/>
      <c r="CA100" s="12" t="n"/>
      <c r="CB100" s="12" t="n"/>
      <c r="CC100" s="12" t="n"/>
      <c r="CD100" s="12" t="n"/>
      <c r="CE100" s="12" t="n"/>
      <c r="CF100" s="12" t="n"/>
      <c r="CG100" s="12" t="n"/>
      <c r="CH100" s="12" t="n"/>
      <c r="CI100" s="12" t="n"/>
      <c r="CJ100" s="12" t="n"/>
      <c r="CK100" s="12" t="n"/>
      <c r="CL100" s="12" t="n"/>
      <c r="CM100" s="12" t="n"/>
      <c r="CN100" s="12" t="n"/>
      <c r="CO100" s="12" t="n"/>
      <c r="CP100" s="12" t="n"/>
      <c r="CQ100" s="12" t="n"/>
      <c r="CR100" s="12" t="n"/>
      <c r="CS100" s="12" t="n"/>
      <c r="CT100" s="12" t="n"/>
      <c r="CU100" s="12" t="n"/>
      <c r="CV100" s="12" t="n"/>
      <c r="CW100" s="12" t="n"/>
      <c r="CX100" s="12" t="n"/>
      <c r="CY100" s="12" t="n"/>
    </row>
    <row r="101" hidden="1" outlineLevel="1">
      <c r="C101" s="57" t="inlineStr">
        <is>
          <t>RECEITAS FINANCEIRAS - Variação cambial ativa</t>
        </is>
      </c>
      <c r="D101" s="12" t="n"/>
      <c r="E101" s="12" t="n"/>
      <c r="F101" s="12" t="n"/>
      <c r="G101" s="12" t="n"/>
      <c r="H101" s="12" t="n"/>
      <c r="I101" s="12" t="n"/>
      <c r="J101" s="12" t="n"/>
      <c r="K101" s="12" t="n"/>
      <c r="L101" s="12" t="n"/>
      <c r="M101" s="12" t="n"/>
      <c r="N101" s="12" t="n"/>
      <c r="O101" s="12" t="n"/>
      <c r="P101" s="12" t="n"/>
      <c r="Q101" s="12" t="n"/>
      <c r="R101" s="12" t="n"/>
      <c r="S101" s="12" t="n"/>
      <c r="T101" s="12" t="n"/>
      <c r="U101" s="12" t="n"/>
      <c r="V101" s="12" t="n"/>
      <c r="W101" s="12" t="n"/>
      <c r="X101" s="12" t="n"/>
      <c r="Y101" s="12" t="n"/>
      <c r="Z101" s="12" t="n"/>
      <c r="AA101" s="12" t="n"/>
      <c r="AB101" s="12" t="n"/>
      <c r="AC101" s="12" t="n"/>
      <c r="AD101" s="12" t="n"/>
      <c r="AE101" s="12" t="n"/>
      <c r="AF101" s="12" t="n"/>
      <c r="AG101" s="12" t="n"/>
      <c r="AH101" s="12" t="n"/>
      <c r="AI101" s="12" t="n"/>
      <c r="AJ101" s="12" t="n"/>
      <c r="AK101" s="12" t="n"/>
      <c r="AL101" s="12" t="n"/>
      <c r="AM101" s="12" t="n"/>
      <c r="AN101" s="12" t="n"/>
      <c r="AO101" s="12" t="n"/>
      <c r="AP101" s="12" t="n"/>
      <c r="AQ101" s="12" t="n"/>
      <c r="AR101" s="12" t="n"/>
      <c r="AS101" s="12" t="n"/>
      <c r="AT101" s="12" t="n"/>
      <c r="AU101" s="12" t="n"/>
      <c r="AV101" s="12" t="n"/>
      <c r="AW101" s="12" t="n"/>
      <c r="AX101" s="12" t="n"/>
      <c r="AY101" s="12" t="n"/>
      <c r="AZ101" s="12" t="n"/>
      <c r="BA101" s="12" t="n"/>
      <c r="BB101" s="12" t="n"/>
      <c r="BC101" s="12" t="n"/>
      <c r="BD101" s="12" t="n"/>
      <c r="BE101" s="12" t="n"/>
      <c r="BF101" s="12" t="n"/>
      <c r="BG101" s="12" t="n"/>
      <c r="BH101" s="12" t="n"/>
      <c r="BI101" s="12" t="n"/>
      <c r="BJ101" s="12" t="n"/>
      <c r="BK101" s="12" t="n"/>
      <c r="BL101" s="12" t="n"/>
      <c r="BM101" s="12" t="n"/>
      <c r="BN101" s="12" t="n"/>
      <c r="BO101" s="12" t="n"/>
      <c r="BP101" s="12" t="n"/>
      <c r="BQ101" s="12" t="n"/>
      <c r="BR101" s="12" t="n"/>
      <c r="BS101" s="12" t="n"/>
      <c r="BT101" s="12" t="n"/>
      <c r="BU101" s="12" t="n"/>
      <c r="BV101" s="12" t="n"/>
      <c r="BW101" s="12" t="n"/>
      <c r="BX101" s="12" t="n"/>
      <c r="BY101" s="12" t="n"/>
      <c r="BZ101" s="12" t="n"/>
      <c r="CA101" s="12" t="n"/>
      <c r="CB101" s="12" t="n"/>
      <c r="CC101" s="12" t="n"/>
      <c r="CD101" s="12" t="n"/>
      <c r="CE101" s="12" t="n"/>
      <c r="CF101" s="12" t="n"/>
      <c r="CG101" s="12" t="n"/>
      <c r="CH101" s="12" t="n"/>
      <c r="CI101" s="12" t="n"/>
      <c r="CJ101" s="12" t="n"/>
      <c r="CK101" s="12" t="n"/>
      <c r="CL101" s="12" t="n"/>
      <c r="CM101" s="12" t="n"/>
      <c r="CN101" s="12" t="n"/>
      <c r="CO101" s="12" t="n"/>
      <c r="CP101" s="12" t="n"/>
      <c r="CQ101" s="12" t="n"/>
      <c r="CR101" s="12" t="n"/>
      <c r="CS101" s="12" t="n"/>
      <c r="CT101" s="12" t="n"/>
      <c r="CU101" s="12" t="n"/>
      <c r="CV101" s="12" t="n"/>
      <c r="CW101" s="12" t="n"/>
      <c r="CX101" s="12" t="n"/>
      <c r="CY101" s="12" t="n"/>
    </row>
    <row r="102" hidden="1" outlineLevel="1">
      <c r="C102" s="57" t="inlineStr">
        <is>
          <t>RECEITAS FINANCEIRAS - Atualização de contas a pagar por aquisição de empresas</t>
        </is>
      </c>
      <c r="D102" s="12" t="n"/>
      <c r="E102" s="12" t="n"/>
      <c r="F102" s="12" t="n"/>
      <c r="G102" s="12" t="n"/>
      <c r="H102" s="12" t="n"/>
      <c r="I102" s="12" t="n"/>
      <c r="J102" s="12" t="n"/>
      <c r="K102" s="12" t="n"/>
      <c r="L102" s="12" t="n"/>
      <c r="M102" s="12" t="n"/>
      <c r="N102" s="12" t="n"/>
      <c r="O102" s="12" t="n"/>
      <c r="P102" s="12" t="n"/>
      <c r="Q102" s="12" t="n"/>
      <c r="R102" s="12" t="n"/>
      <c r="S102" s="12" t="n"/>
      <c r="T102" s="12" t="n"/>
      <c r="U102" s="12" t="n"/>
      <c r="V102" s="12" t="n"/>
      <c r="W102" s="12" t="n"/>
      <c r="X102" s="12" t="n"/>
      <c r="Y102" s="12" t="n"/>
      <c r="Z102" s="12" t="n"/>
      <c r="AA102" s="12" t="n"/>
      <c r="AB102" s="12" t="n"/>
      <c r="AC102" s="12" t="n"/>
      <c r="AD102" s="12" t="n"/>
      <c r="AE102" s="12" t="n"/>
      <c r="AF102" s="12" t="n"/>
      <c r="AG102" s="12" t="n"/>
      <c r="AH102" s="12" t="n"/>
      <c r="AI102" s="12" t="n"/>
      <c r="AJ102" s="12" t="n"/>
      <c r="AK102" s="12" t="n"/>
      <c r="AL102" s="12" t="n"/>
      <c r="AM102" s="12" t="n"/>
      <c r="AN102" s="12" t="n"/>
      <c r="AO102" s="12" t="n"/>
      <c r="AP102" s="12" t="n"/>
      <c r="AQ102" s="12" t="n"/>
      <c r="AR102" s="12" t="n"/>
      <c r="AS102" s="12" t="n"/>
      <c r="AT102" s="12" t="n"/>
      <c r="AU102" s="12" t="n"/>
      <c r="AV102" s="12" t="n"/>
      <c r="AW102" s="12" t="n"/>
      <c r="AX102" s="12" t="n"/>
      <c r="AY102" s="12" t="n"/>
      <c r="AZ102" s="12" t="n"/>
      <c r="BA102" s="12" t="n"/>
      <c r="BB102" s="12" t="n"/>
      <c r="BC102" s="12" t="n"/>
      <c r="BD102" s="12" t="n"/>
      <c r="BE102" s="12" t="n"/>
      <c r="BF102" s="12" t="n"/>
      <c r="BG102" s="12" t="n"/>
      <c r="BH102" s="12" t="n"/>
      <c r="BI102" s="12" t="n"/>
      <c r="BJ102" s="12" t="n"/>
      <c r="BK102" s="12" t="n"/>
      <c r="BL102" s="12" t="n"/>
      <c r="BM102" s="12" t="n"/>
      <c r="BN102" s="12" t="n"/>
      <c r="BO102" s="12" t="n"/>
      <c r="BP102" s="12" t="n"/>
      <c r="BQ102" s="12" t="n"/>
      <c r="BR102" s="12" t="n"/>
      <c r="BS102" s="12" t="n"/>
      <c r="BT102" s="12" t="n"/>
      <c r="BU102" s="12" t="n"/>
      <c r="BV102" s="12" t="n"/>
      <c r="BW102" s="12" t="n"/>
      <c r="BX102" s="12" t="n"/>
      <c r="BY102" s="12" t="n"/>
      <c r="BZ102" s="12" t="n"/>
      <c r="CA102" s="12" t="n"/>
      <c r="CB102" s="12" t="n"/>
      <c r="CC102" s="12" t="n"/>
      <c r="CD102" s="12" t="n"/>
      <c r="CE102" s="12" t="n"/>
      <c r="CF102" s="12" t="n"/>
      <c r="CG102" s="12" t="n"/>
      <c r="CH102" s="12" t="n"/>
      <c r="CI102" s="12" t="n"/>
      <c r="CJ102" s="12" t="n"/>
      <c r="CK102" s="12" t="n"/>
      <c r="CL102" s="12" t="n"/>
      <c r="CM102" s="12" t="n"/>
      <c r="CN102" s="12" t="n"/>
      <c r="CO102" s="12" t="n"/>
      <c r="CP102" s="12" t="n"/>
      <c r="CQ102" s="12" t="n"/>
      <c r="CR102" s="12" t="n"/>
      <c r="CS102" s="12" t="n"/>
      <c r="CT102" s="12" t="n"/>
      <c r="CU102" s="12" t="n"/>
      <c r="CV102" s="12" t="n"/>
      <c r="CW102" s="12" t="n"/>
      <c r="CX102" s="12" t="n"/>
      <c r="CY102" s="12" t="n"/>
    </row>
    <row r="103" hidden="1" outlineLevel="1">
      <c r="C103" s="57" t="inlineStr">
        <is>
          <t>RECEITAS FINANCEIRAS - Resultado positivo com instrumentos derivativos</t>
        </is>
      </c>
      <c r="D103" s="12" t="n"/>
      <c r="E103" s="12" t="n"/>
      <c r="F103" s="12" t="n"/>
      <c r="G103" s="12" t="n"/>
      <c r="H103" s="12" t="n"/>
      <c r="I103" s="12" t="n"/>
      <c r="J103" s="12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12" t="n"/>
      <c r="W103" s="12" t="n"/>
      <c r="X103" s="12" t="n"/>
      <c r="Y103" s="12" t="n"/>
      <c r="Z103" s="12" t="n"/>
      <c r="AA103" s="12" t="n"/>
      <c r="AB103" s="12" t="n"/>
      <c r="AC103" s="12" t="n"/>
      <c r="AD103" s="12" t="n"/>
      <c r="AE103" s="12" t="n"/>
      <c r="AF103" s="12" t="n"/>
      <c r="AG103" s="12" t="n"/>
      <c r="AH103" s="12" t="n"/>
      <c r="AI103" s="12" t="n"/>
      <c r="AJ103" s="12" t="n"/>
      <c r="AK103" s="12" t="n"/>
      <c r="AL103" s="12" t="n"/>
      <c r="AM103" s="12" t="n"/>
      <c r="AN103" s="12" t="n"/>
      <c r="AO103" s="12" t="n"/>
      <c r="AP103" s="12" t="n"/>
      <c r="AQ103" s="12" t="n"/>
      <c r="AR103" s="12" t="n"/>
      <c r="AS103" s="12" t="n"/>
      <c r="AT103" s="12" t="n"/>
      <c r="AU103" s="12" t="n"/>
      <c r="AV103" s="12" t="n"/>
      <c r="AW103" s="12" t="n"/>
      <c r="AX103" s="12" t="n"/>
      <c r="AY103" s="12" t="n"/>
      <c r="AZ103" s="12" t="n"/>
      <c r="BA103" s="12" t="n"/>
      <c r="BB103" s="12" t="n"/>
      <c r="BC103" s="12" t="n"/>
      <c r="BD103" s="12" t="n"/>
      <c r="BE103" s="12" t="n"/>
      <c r="BF103" s="12" t="n"/>
      <c r="BG103" s="12" t="n"/>
      <c r="BH103" s="12" t="n"/>
      <c r="BI103" s="12" t="n"/>
      <c r="BJ103" s="12" t="n"/>
      <c r="BK103" s="12" t="n"/>
      <c r="BL103" s="12" t="n"/>
      <c r="BM103" s="12" t="n"/>
      <c r="BN103" s="12" t="n"/>
      <c r="BO103" s="12" t="n"/>
      <c r="BP103" s="12" t="n"/>
      <c r="BQ103" s="12" t="n"/>
      <c r="BR103" s="12" t="n"/>
      <c r="BS103" s="12" t="n"/>
      <c r="BT103" s="12" t="n"/>
      <c r="BU103" s="12" t="n"/>
      <c r="BV103" s="12" t="n"/>
      <c r="BW103" s="12" t="n"/>
      <c r="BX103" s="12" t="n"/>
      <c r="BY103" s="12" t="n"/>
      <c r="BZ103" s="12" t="n"/>
      <c r="CA103" s="12" t="n"/>
      <c r="CB103" s="12" t="n"/>
      <c r="CC103" s="12" t="n"/>
      <c r="CD103" s="12" t="n"/>
      <c r="CE103" s="12" t="n"/>
      <c r="CF103" s="12" t="n"/>
      <c r="CG103" s="12" t="n"/>
      <c r="CH103" s="12" t="n"/>
      <c r="CI103" s="12" t="n"/>
      <c r="CJ103" s="12" t="n"/>
      <c r="CK103" s="12" t="n"/>
      <c r="CL103" s="12" t="n"/>
      <c r="CM103" s="12" t="n"/>
      <c r="CN103" s="12" t="n"/>
      <c r="CO103" s="12" t="n"/>
      <c r="CP103" s="12" t="n"/>
      <c r="CQ103" s="12" t="n"/>
      <c r="CR103" s="12" t="n"/>
      <c r="CS103" s="12" t="n"/>
      <c r="CT103" s="12" t="n"/>
      <c r="CU103" s="12" t="n"/>
      <c r="CV103" s="12" t="n"/>
      <c r="CW103" s="12" t="n"/>
      <c r="CX103" s="12" t="n"/>
      <c r="CY103" s="12" t="n"/>
    </row>
    <row r="104" hidden="1" outlineLevel="1">
      <c r="C104" s="57" t="inlineStr">
        <is>
          <t>RECEITAS FINANCEIRAS - Descontos obtidos de fornecedores por antecipação</t>
        </is>
      </c>
      <c r="D104" s="12" t="n"/>
      <c r="E104" s="12" t="n"/>
      <c r="F104" s="12" t="n"/>
      <c r="G104" s="12" t="n"/>
      <c r="H104" s="12" t="n"/>
      <c r="I104" s="12" t="n"/>
      <c r="J104" s="12" t="n"/>
      <c r="K104" s="12" t="n"/>
      <c r="L104" s="12" t="n"/>
      <c r="M104" s="12" t="n"/>
      <c r="N104" s="12" t="n"/>
      <c r="O104" s="12" t="n"/>
      <c r="P104" s="12" t="n"/>
      <c r="Q104" s="12" t="n"/>
      <c r="R104" s="12" t="n"/>
      <c r="S104" s="12" t="n"/>
      <c r="T104" s="12" t="n"/>
      <c r="U104" s="12" t="n"/>
      <c r="V104" s="12" t="n"/>
      <c r="W104" s="12" t="n"/>
      <c r="X104" s="12" t="n"/>
      <c r="Y104" s="12" t="n"/>
      <c r="Z104" s="12" t="n"/>
      <c r="AA104" s="12" t="n"/>
      <c r="AB104" s="12" t="n"/>
      <c r="AC104" s="12" t="n"/>
      <c r="AD104" s="12" t="n"/>
      <c r="AE104" s="12" t="n"/>
      <c r="AF104" s="12" t="n"/>
      <c r="AG104" s="12" t="n"/>
      <c r="AH104" s="12" t="n"/>
      <c r="AI104" s="12" t="n"/>
      <c r="AJ104" s="12" t="n"/>
      <c r="AK104" s="12" t="n"/>
      <c r="AL104" s="12" t="n"/>
      <c r="AM104" s="12" t="n"/>
      <c r="AN104" s="12" t="n"/>
      <c r="AO104" s="12" t="n"/>
      <c r="AP104" s="12" t="n"/>
      <c r="AQ104" s="12" t="n"/>
      <c r="AR104" s="12" t="n"/>
      <c r="AS104" s="12" t="n"/>
      <c r="AT104" s="12" t="n"/>
      <c r="AU104" s="12" t="n"/>
      <c r="AV104" s="12" t="n"/>
      <c r="AW104" s="12" t="n"/>
      <c r="AX104" s="12" t="n"/>
      <c r="AY104" s="12" t="n"/>
      <c r="AZ104" s="12" t="n"/>
      <c r="BA104" s="12" t="n"/>
      <c r="BB104" s="12" t="n"/>
      <c r="BC104" s="12" t="n"/>
      <c r="BD104" s="12" t="n"/>
      <c r="BE104" s="12" t="n"/>
      <c r="BF104" s="12" t="n"/>
      <c r="BG104" s="12" t="n"/>
      <c r="BH104" s="12" t="n"/>
      <c r="BI104" s="12" t="n"/>
      <c r="BJ104" s="12" t="n"/>
      <c r="BK104" s="12" t="n"/>
      <c r="BL104" s="12" t="n"/>
      <c r="BM104" s="12" t="n"/>
      <c r="BN104" s="12" t="n"/>
      <c r="BO104" s="12" t="n"/>
      <c r="BP104" s="12" t="n"/>
      <c r="BQ104" s="12" t="n"/>
      <c r="BR104" s="12" t="n"/>
      <c r="BS104" s="12" t="n"/>
      <c r="BT104" s="12" t="n"/>
      <c r="BU104" s="12" t="n"/>
      <c r="BV104" s="12" t="n"/>
      <c r="BW104" s="12" t="n"/>
      <c r="BX104" s="12" t="n"/>
      <c r="BY104" s="12" t="n"/>
      <c r="BZ104" s="12" t="n"/>
      <c r="CA104" s="12" t="n"/>
      <c r="CB104" s="12" t="n"/>
      <c r="CC104" s="12" t="n"/>
      <c r="CD104" s="12" t="n"/>
      <c r="CE104" s="12" t="n"/>
      <c r="CF104" s="12" t="n"/>
      <c r="CG104" s="12" t="n"/>
      <c r="CH104" s="12" t="n"/>
      <c r="CI104" s="12" t="n"/>
      <c r="CJ104" s="12" t="n"/>
      <c r="CK104" s="12" t="n"/>
      <c r="CL104" s="12" t="n"/>
      <c r="CM104" s="12" t="n"/>
      <c r="CN104" s="12" t="n"/>
      <c r="CO104" s="12" t="n"/>
      <c r="CP104" s="12" t="n"/>
      <c r="CQ104" s="12" t="n"/>
      <c r="CR104" s="12" t="n"/>
      <c r="CS104" s="12" t="n"/>
      <c r="CT104" s="12" t="n"/>
      <c r="CU104" s="12" t="n"/>
      <c r="CV104" s="12" t="n"/>
      <c r="CW104" s="12" t="n"/>
      <c r="CX104" s="12" t="n"/>
      <c r="CY104" s="12" t="n"/>
    </row>
    <row r="105" hidden="1" outlineLevel="1">
      <c r="C105" s="57" t="inlineStr">
        <is>
          <t>RECEITAS FINANCEIRAS - Atualização monetária sobre Exclusão ICMS da base de PIS/COFINS (nota explicativa nº 7)</t>
        </is>
      </c>
      <c r="D105" s="12" t="n"/>
      <c r="E105" s="12" t="n"/>
      <c r="F105" s="12" t="n"/>
      <c r="G105" s="12" t="n"/>
      <c r="H105" s="12" t="n"/>
      <c r="I105" s="12" t="n"/>
      <c r="J105" s="12" t="n"/>
      <c r="K105" s="12" t="n"/>
      <c r="L105" s="12" t="n"/>
      <c r="M105" s="12" t="n"/>
      <c r="N105" s="12" t="n"/>
      <c r="O105" s="12" t="n"/>
      <c r="P105" s="12" t="n"/>
      <c r="Q105" s="12" t="n"/>
      <c r="R105" s="12" t="n"/>
      <c r="S105" s="12" t="n"/>
      <c r="T105" s="12" t="n"/>
      <c r="U105" s="12" t="n"/>
      <c r="V105" s="12" t="n"/>
      <c r="W105" s="12" t="n"/>
      <c r="X105" s="12" t="n"/>
      <c r="Y105" s="12" t="n"/>
      <c r="Z105" s="12" t="n"/>
      <c r="AA105" s="12" t="n"/>
      <c r="AB105" s="12" t="n"/>
      <c r="AC105" s="12" t="n"/>
      <c r="AD105" s="12" t="n"/>
      <c r="AE105" s="12" t="n"/>
      <c r="AF105" s="12" t="n"/>
      <c r="AG105" s="12" t="n"/>
      <c r="AH105" s="12" t="n"/>
      <c r="AI105" s="12" t="n"/>
      <c r="AJ105" s="12" t="n"/>
      <c r="AK105" s="12" t="n"/>
      <c r="AL105" s="12" t="n"/>
      <c r="AM105" s="12" t="n"/>
      <c r="AN105" s="12" t="n"/>
      <c r="AO105" s="12" t="n"/>
      <c r="AP105" s="12" t="n"/>
      <c r="AQ105" s="12" t="n"/>
      <c r="AR105" s="12" t="n"/>
      <c r="AS105" s="12" t="n"/>
      <c r="AT105" s="12" t="n"/>
      <c r="AU105" s="12" t="n"/>
      <c r="AV105" s="12" t="n"/>
      <c r="AW105" s="12" t="n"/>
      <c r="AX105" s="12" t="n"/>
      <c r="AY105" s="12" t="n"/>
      <c r="AZ105" s="12" t="n"/>
      <c r="BA105" s="12" t="n"/>
      <c r="BB105" s="12" t="n"/>
      <c r="BC105" s="12" t="n"/>
      <c r="BD105" s="12" t="n"/>
      <c r="BE105" s="12" t="n"/>
      <c r="BF105" s="12" t="n"/>
      <c r="BG105" s="12" t="n"/>
      <c r="BH105" s="12" t="n"/>
      <c r="BI105" s="12" t="n"/>
      <c r="BJ105" s="12" t="n"/>
      <c r="BK105" s="12" t="n"/>
      <c r="BL105" s="12" t="n"/>
      <c r="BM105" s="12" t="n"/>
      <c r="BN105" s="12" t="n"/>
      <c r="BO105" s="12" t="n"/>
      <c r="BP105" s="12" t="n"/>
      <c r="BQ105" s="12" t="n"/>
      <c r="BR105" s="12" t="n"/>
      <c r="BS105" s="12" t="n"/>
      <c r="BT105" s="12" t="n"/>
      <c r="BU105" s="12" t="n"/>
      <c r="BV105" s="12" t="n"/>
      <c r="BW105" s="12" t="n"/>
      <c r="BX105" s="12" t="n"/>
      <c r="BY105" s="12" t="n"/>
      <c r="BZ105" s="12" t="n"/>
      <c r="CA105" s="12" t="n"/>
      <c r="CB105" s="12" t="n"/>
      <c r="CC105" s="12" t="n"/>
      <c r="CD105" s="12" t="n"/>
      <c r="CE105" s="12" t="n"/>
      <c r="CF105" s="12" t="n"/>
      <c r="CG105" s="12" t="n"/>
      <c r="CH105" s="12" t="n"/>
      <c r="CI105" s="12" t="n"/>
      <c r="CJ105" s="12" t="n"/>
      <c r="CK105" s="12" t="n"/>
      <c r="CL105" s="12" t="n"/>
      <c r="CM105" s="12" t="n"/>
      <c r="CN105" s="12" t="n"/>
      <c r="CO105" s="12" t="n"/>
      <c r="CP105" s="12" t="n"/>
      <c r="CQ105" s="12" t="n"/>
      <c r="CR105" s="12" t="n"/>
      <c r="CS105" s="12" t="n"/>
      <c r="CT105" s="12" t="n"/>
      <c r="CU105" s="12" t="n"/>
      <c r="CV105" s="12" t="n"/>
      <c r="CW105" s="12" t="n"/>
      <c r="CX105" s="12" t="n"/>
      <c r="CY105" s="12" t="n"/>
    </row>
    <row r="106" hidden="1" outlineLevel="1">
      <c r="C106" s="57" t="inlineStr">
        <is>
          <t>RECEITAS FINANCEIRAS - Outras</t>
        </is>
      </c>
      <c r="D106" s="12" t="n"/>
      <c r="E106" s="12" t="n"/>
      <c r="F106" s="12" t="n"/>
      <c r="G106" s="12" t="n"/>
      <c r="H106" s="12" t="n"/>
      <c r="I106" s="12" t="n"/>
      <c r="J106" s="12" t="n"/>
      <c r="K106" s="12" t="n"/>
      <c r="L106" s="12" t="n"/>
      <c r="M106" s="12" t="n"/>
      <c r="N106" s="12" t="n"/>
      <c r="O106" s="12" t="n"/>
      <c r="P106" s="12" t="n"/>
      <c r="Q106" s="12" t="n"/>
      <c r="R106" s="12" t="n"/>
      <c r="S106" s="12" t="n"/>
      <c r="T106" s="12" t="n"/>
      <c r="U106" s="12" t="n"/>
      <c r="V106" s="12" t="n"/>
      <c r="W106" s="12" t="n"/>
      <c r="X106" s="12" t="n"/>
      <c r="Y106" s="12" t="n"/>
      <c r="Z106" s="12" t="n"/>
      <c r="AA106" s="12" t="n"/>
      <c r="AB106" s="12" t="n"/>
      <c r="AC106" s="12" t="n"/>
      <c r="AD106" s="12" t="n"/>
      <c r="AE106" s="12" t="n"/>
      <c r="AF106" s="12" t="n"/>
      <c r="AG106" s="12" t="n"/>
      <c r="AH106" s="12" t="n"/>
      <c r="AI106" s="12" t="n"/>
      <c r="AJ106" s="12" t="n"/>
      <c r="AK106" s="12" t="n"/>
      <c r="AL106" s="12" t="n"/>
      <c r="AM106" s="12" t="n"/>
      <c r="AN106" s="12" t="n"/>
      <c r="AO106" s="12" t="n"/>
      <c r="AP106" s="12" t="n"/>
      <c r="AQ106" s="12" t="n"/>
      <c r="AR106" s="12" t="n"/>
      <c r="AS106" s="12" t="n"/>
      <c r="AT106" s="12" t="n"/>
      <c r="AU106" s="12" t="n"/>
      <c r="AV106" s="12" t="n"/>
      <c r="AW106" s="12" t="n"/>
      <c r="AX106" s="12" t="n"/>
      <c r="AY106" s="12" t="n"/>
      <c r="AZ106" s="12" t="n"/>
      <c r="BA106" s="12" t="n"/>
      <c r="BB106" s="12" t="n"/>
      <c r="BC106" s="12" t="n"/>
      <c r="BD106" s="12" t="n"/>
      <c r="BE106" s="12" t="n"/>
      <c r="BF106" s="12" t="n"/>
      <c r="BG106" s="12" t="n"/>
      <c r="BH106" s="12" t="n"/>
      <c r="BI106" s="12" t="n"/>
      <c r="BJ106" s="12" t="n"/>
      <c r="BK106" s="12" t="n"/>
      <c r="BL106" s="12" t="n"/>
      <c r="BM106" s="12" t="n"/>
      <c r="BN106" s="12" t="n"/>
      <c r="BO106" s="12" t="n"/>
      <c r="BP106" s="12" t="n"/>
      <c r="BQ106" s="12" t="n"/>
      <c r="BR106" s="12" t="n"/>
      <c r="BS106" s="12" t="n"/>
      <c r="BT106" s="12" t="n"/>
      <c r="BU106" s="12" t="n"/>
      <c r="BV106" s="12" t="n"/>
      <c r="BW106" s="12" t="n"/>
      <c r="BX106" s="12" t="n"/>
      <c r="BY106" s="12" t="n"/>
      <c r="BZ106" s="12" t="n"/>
      <c r="CA106" s="12" t="n"/>
      <c r="CB106" s="12" t="n"/>
      <c r="CC106" s="12" t="n"/>
      <c r="CD106" s="12" t="n"/>
      <c r="CE106" s="12" t="n"/>
      <c r="CF106" s="12" t="n"/>
      <c r="CG106" s="12" t="n"/>
      <c r="CH106" s="12" t="n"/>
      <c r="CI106" s="12" t="n"/>
      <c r="CJ106" s="12" t="n"/>
      <c r="CK106" s="12" t="n"/>
      <c r="CL106" s="12" t="n"/>
      <c r="CM106" s="12" t="n"/>
      <c r="CN106" s="12" t="n"/>
      <c r="CO106" s="12" t="n"/>
      <c r="CP106" s="12" t="n"/>
      <c r="CQ106" s="12" t="n"/>
      <c r="CR106" s="12" t="n"/>
      <c r="CS106" s="12" t="n"/>
      <c r="CT106" s="12" t="n"/>
      <c r="CU106" s="12" t="n"/>
      <c r="CV106" s="12" t="n"/>
      <c r="CW106" s="12" t="n"/>
      <c r="CX106" s="12" t="n"/>
      <c r="CY106" s="12" t="n"/>
    </row>
    <row r="107" hidden="1" outlineLevel="1">
      <c r="C107" s="57" t="n"/>
      <c r="D107" s="12" t="n"/>
      <c r="E107" s="12" t="n"/>
      <c r="F107" s="12" t="n"/>
      <c r="G107" s="12" t="n"/>
      <c r="H107" s="12" t="n"/>
      <c r="I107" s="12" t="n"/>
      <c r="J107" s="12" t="n"/>
      <c r="K107" s="12" t="n"/>
      <c r="L107" s="12" t="n"/>
      <c r="M107" s="12" t="n"/>
      <c r="N107" s="12" t="n"/>
      <c r="O107" s="12" t="n"/>
      <c r="P107" s="12" t="n"/>
      <c r="Q107" s="12" t="n"/>
      <c r="R107" s="12" t="n"/>
      <c r="S107" s="12" t="n"/>
      <c r="T107" s="12" t="n"/>
      <c r="U107" s="12" t="n"/>
      <c r="V107" s="12" t="n"/>
      <c r="W107" s="12" t="n"/>
      <c r="X107" s="12" t="n"/>
      <c r="Y107" s="12" t="n"/>
      <c r="Z107" s="12" t="n"/>
      <c r="AA107" s="12" t="n"/>
      <c r="AB107" s="12" t="n"/>
      <c r="AC107" s="12" t="n"/>
      <c r="AD107" s="12" t="n"/>
      <c r="AE107" s="12" t="n"/>
      <c r="AF107" s="12" t="n"/>
      <c r="AG107" s="12" t="n"/>
      <c r="AH107" s="12" t="n"/>
      <c r="AI107" s="12" t="n"/>
      <c r="AJ107" s="12" t="n"/>
      <c r="AK107" s="12" t="n"/>
      <c r="AL107" s="12" t="n"/>
      <c r="AM107" s="12" t="n"/>
      <c r="AN107" s="12" t="n"/>
      <c r="AO107" s="12" t="n"/>
      <c r="AP107" s="12" t="n"/>
      <c r="AQ107" s="12" t="n"/>
      <c r="AR107" s="12" t="n"/>
      <c r="AS107" s="12" t="n"/>
      <c r="AT107" s="12" t="n"/>
      <c r="AU107" s="12" t="n"/>
      <c r="AV107" s="12" t="n"/>
      <c r="AW107" s="12" t="n"/>
      <c r="AX107" s="12" t="n"/>
      <c r="AY107" s="12" t="n"/>
      <c r="AZ107" s="12" t="n"/>
      <c r="BA107" s="12" t="n"/>
      <c r="BB107" s="12" t="n"/>
      <c r="BC107" s="12" t="n"/>
      <c r="BD107" s="12" t="n"/>
      <c r="BE107" s="12" t="n"/>
      <c r="BF107" s="12" t="n"/>
      <c r="BG107" s="12" t="n"/>
      <c r="BH107" s="12" t="n"/>
      <c r="BI107" s="12" t="n"/>
      <c r="BJ107" s="12" t="n"/>
      <c r="BK107" s="12" t="n"/>
      <c r="BL107" s="12" t="n"/>
      <c r="BM107" s="12" t="n"/>
      <c r="BN107" s="12" t="n"/>
      <c r="BO107" s="12" t="n"/>
      <c r="BP107" s="12" t="n"/>
      <c r="BQ107" s="12" t="n"/>
      <c r="BR107" s="12" t="n"/>
      <c r="BS107" s="12" t="n"/>
      <c r="BT107" s="12" t="n"/>
      <c r="BU107" s="12" t="n"/>
      <c r="BV107" s="12" t="n"/>
      <c r="BW107" s="12" t="n"/>
      <c r="BX107" s="12" t="n"/>
      <c r="BY107" s="12" t="n"/>
      <c r="BZ107" s="12" t="n"/>
      <c r="CA107" s="12" t="n"/>
      <c r="CB107" s="12" t="n"/>
      <c r="CC107" s="12" t="n"/>
      <c r="CD107" s="12" t="n"/>
      <c r="CE107" s="12" t="n"/>
      <c r="CF107" s="12" t="n"/>
      <c r="CG107" s="12" t="n"/>
      <c r="CH107" s="12" t="n"/>
      <c r="CI107" s="12" t="n"/>
      <c r="CJ107" s="12" t="n"/>
      <c r="CK107" s="12" t="n"/>
      <c r="CL107" s="12" t="n"/>
      <c r="CM107" s="12" t="n"/>
      <c r="CN107" s="12" t="n"/>
      <c r="CO107" s="12" t="n"/>
      <c r="CP107" s="12" t="n"/>
      <c r="CQ107" s="12" t="n"/>
      <c r="CR107" s="12" t="n"/>
      <c r="CS107" s="12" t="n"/>
      <c r="CT107" s="12" t="n"/>
      <c r="CU107" s="12" t="n"/>
      <c r="CV107" s="12" t="n"/>
      <c r="CW107" s="12" t="n"/>
      <c r="CX107" s="12" t="n"/>
      <c r="CY107" s="12" t="n"/>
    </row>
    <row r="108" hidden="1" outlineLevel="1">
      <c r="C108" s="57" t="inlineStr">
        <is>
          <t>DESPESAS FINANCEIRAS - Encargos sobre empréstimos, financiamentos e debêntures</t>
        </is>
      </c>
      <c r="D108" s="12" t="n"/>
      <c r="E108" s="12" t="n"/>
      <c r="F108" s="12" t="n"/>
      <c r="G108" s="12" t="n"/>
      <c r="H108" s="12" t="n"/>
      <c r="I108" s="12" t="n"/>
      <c r="J108" s="12" t="n"/>
      <c r="K108" s="12" t="n"/>
      <c r="L108" s="12" t="n"/>
      <c r="M108" s="12" t="n"/>
      <c r="N108" s="12" t="n"/>
      <c r="O108" s="12" t="n"/>
      <c r="P108" s="12" t="n"/>
      <c r="Q108" s="12" t="n"/>
      <c r="R108" s="12" t="n"/>
      <c r="S108" s="12" t="n"/>
      <c r="T108" s="12" t="n"/>
      <c r="U108" s="12" t="n"/>
      <c r="V108" s="12" t="n"/>
      <c r="W108" s="12" t="n"/>
      <c r="X108" s="12" t="n"/>
      <c r="Y108" s="12" t="n"/>
      <c r="Z108" s="12" t="n"/>
      <c r="AA108" s="12" t="n"/>
      <c r="AB108" s="12" t="n"/>
      <c r="AC108" s="12" t="n"/>
      <c r="AD108" s="12" t="n"/>
      <c r="AE108" s="12" t="n"/>
      <c r="AF108" s="12" t="n"/>
      <c r="AG108" s="12" t="n"/>
      <c r="AH108" s="12" t="n"/>
      <c r="AI108" s="12" t="n"/>
      <c r="AJ108" s="12" t="n"/>
      <c r="AK108" s="12" t="n"/>
      <c r="AL108" s="12" t="n"/>
      <c r="AM108" s="12" t="n"/>
      <c r="AN108" s="12" t="n"/>
      <c r="AO108" s="12" t="n"/>
      <c r="AP108" s="12" t="n"/>
      <c r="AQ108" s="12" t="n"/>
      <c r="AR108" s="12" t="n"/>
      <c r="AS108" s="12" t="n"/>
      <c r="AT108" s="12" t="n"/>
      <c r="AU108" s="12" t="n"/>
      <c r="AV108" s="12" t="n"/>
      <c r="AW108" s="12" t="n"/>
      <c r="AX108" s="12" t="n"/>
      <c r="AY108" s="12" t="n"/>
      <c r="AZ108" s="12" t="n"/>
      <c r="BA108" s="12" t="n"/>
      <c r="BB108" s="12" t="n"/>
      <c r="BC108" s="12" t="n"/>
      <c r="BD108" s="12" t="n"/>
      <c r="BE108" s="12" t="n"/>
      <c r="BF108" s="12" t="n"/>
      <c r="BG108" s="12" t="n"/>
      <c r="BH108" s="12" t="n"/>
      <c r="BI108" s="12" t="n"/>
      <c r="BJ108" s="12" t="n"/>
      <c r="BK108" s="12" t="n"/>
      <c r="BL108" s="12" t="n"/>
      <c r="BM108" s="12" t="n"/>
      <c r="BN108" s="12" t="n"/>
      <c r="BO108" s="12" t="n"/>
      <c r="BP108" s="12" t="n"/>
      <c r="BQ108" s="12" t="n"/>
      <c r="BR108" s="12" t="n"/>
      <c r="BS108" s="12" t="n"/>
      <c r="BT108" s="12" t="n"/>
      <c r="BU108" s="12" t="n"/>
      <c r="BV108" s="12" t="n"/>
      <c r="BW108" s="12" t="n"/>
      <c r="BX108" s="12" t="n"/>
      <c r="BY108" s="12" t="n"/>
      <c r="BZ108" s="12" t="n"/>
      <c r="CA108" s="12" t="n"/>
      <c r="CB108" s="12" t="n"/>
      <c r="CC108" s="12" t="n"/>
      <c r="CD108" s="12" t="n"/>
      <c r="CE108" s="12" t="n"/>
      <c r="CF108" s="12" t="n"/>
      <c r="CG108" s="12" t="n"/>
      <c r="CH108" s="12" t="n"/>
      <c r="CI108" s="12" t="n"/>
      <c r="CJ108" s="12" t="n"/>
      <c r="CK108" s="12" t="n"/>
      <c r="CL108" s="12" t="n"/>
      <c r="CM108" s="12" t="n"/>
      <c r="CN108" s="12" t="n"/>
      <c r="CO108" s="12" t="n"/>
      <c r="CP108" s="12" t="n"/>
      <c r="CQ108" s="12" t="n"/>
      <c r="CR108" s="12" t="n"/>
      <c r="CS108" s="12" t="n"/>
      <c r="CT108" s="12" t="n"/>
      <c r="CU108" s="12" t="n"/>
      <c r="CV108" s="12" t="n"/>
      <c r="CW108" s="12" t="n"/>
      <c r="CX108" s="12" t="n"/>
      <c r="CY108" s="12" t="n"/>
    </row>
    <row r="109" hidden="1" outlineLevel="1">
      <c r="C109" s="57" t="inlineStr">
        <is>
          <t>DESPESAS FINANCEIRAS - Variação cambial passiva</t>
        </is>
      </c>
      <c r="D109" s="12" t="n"/>
      <c r="E109" s="12" t="n"/>
      <c r="F109" s="12" t="n"/>
      <c r="G109" s="12" t="n"/>
      <c r="H109" s="12" t="n"/>
      <c r="I109" s="12" t="n"/>
      <c r="J109" s="12" t="n"/>
      <c r="K109" s="12" t="n"/>
      <c r="L109" s="12" t="n"/>
      <c r="M109" s="12" t="n"/>
      <c r="N109" s="12" t="n"/>
      <c r="O109" s="12" t="n"/>
      <c r="P109" s="12" t="n"/>
      <c r="Q109" s="12" t="n"/>
      <c r="R109" s="12" t="n"/>
      <c r="S109" s="12" t="n"/>
      <c r="T109" s="12" t="n"/>
      <c r="U109" s="12" t="n"/>
      <c r="V109" s="12" t="n"/>
      <c r="W109" s="12" t="n"/>
      <c r="X109" s="12" t="n"/>
      <c r="Y109" s="12" t="n"/>
      <c r="Z109" s="12" t="n"/>
      <c r="AA109" s="12" t="n"/>
      <c r="AB109" s="12" t="n"/>
      <c r="AC109" s="12" t="n"/>
      <c r="AD109" s="12" t="n"/>
      <c r="AE109" s="12" t="n"/>
      <c r="AF109" s="12" t="n"/>
      <c r="AG109" s="12" t="n"/>
      <c r="AH109" s="12" t="n"/>
      <c r="AI109" s="12" t="n"/>
      <c r="AJ109" s="12" t="n"/>
      <c r="AK109" s="12" t="n"/>
      <c r="AL109" s="12" t="n"/>
      <c r="AM109" s="12" t="n"/>
      <c r="AN109" s="12" t="n"/>
      <c r="AO109" s="12" t="n"/>
      <c r="AP109" s="12" t="n"/>
      <c r="AQ109" s="12" t="n"/>
      <c r="AR109" s="12" t="n"/>
      <c r="AS109" s="12" t="n"/>
      <c r="AT109" s="12" t="n"/>
      <c r="AU109" s="12" t="n"/>
      <c r="AV109" s="12" t="n"/>
      <c r="AW109" s="12" t="n"/>
      <c r="AX109" s="12" t="n"/>
      <c r="AY109" s="12" t="n"/>
      <c r="AZ109" s="12" t="n"/>
      <c r="BA109" s="12" t="n"/>
      <c r="BB109" s="12" t="n"/>
      <c r="BC109" s="12" t="n"/>
      <c r="BD109" s="12" t="n"/>
      <c r="BE109" s="12" t="n"/>
      <c r="BF109" s="12" t="n"/>
      <c r="BG109" s="12" t="n"/>
      <c r="BH109" s="12" t="n"/>
      <c r="BI109" s="12" t="n"/>
      <c r="BJ109" s="12" t="n"/>
      <c r="BK109" s="12" t="n"/>
      <c r="BL109" s="12" t="n"/>
      <c r="BM109" s="12" t="n"/>
      <c r="BN109" s="12" t="n"/>
      <c r="BO109" s="12" t="n"/>
      <c r="BP109" s="12" t="n"/>
      <c r="BQ109" s="12" t="n"/>
      <c r="BR109" s="12" t="n"/>
      <c r="BS109" s="12" t="n"/>
      <c r="BT109" s="12" t="n"/>
      <c r="BU109" s="12" t="n"/>
      <c r="BV109" s="12" t="n"/>
      <c r="BW109" s="12" t="n"/>
      <c r="BX109" s="12" t="n"/>
      <c r="BY109" s="12" t="n"/>
      <c r="BZ109" s="12" t="n"/>
      <c r="CA109" s="12" t="n"/>
      <c r="CB109" s="12" t="n"/>
      <c r="CC109" s="12" t="n"/>
      <c r="CD109" s="12" t="n"/>
      <c r="CE109" s="12" t="n"/>
      <c r="CF109" s="12" t="n"/>
      <c r="CG109" s="12" t="n"/>
      <c r="CH109" s="12" t="n"/>
      <c r="CI109" s="12" t="n"/>
      <c r="CJ109" s="12" t="n"/>
      <c r="CK109" s="12" t="n"/>
      <c r="CL109" s="12" t="n"/>
      <c r="CM109" s="12" t="n"/>
      <c r="CN109" s="12" t="n"/>
      <c r="CO109" s="12" t="n"/>
      <c r="CP109" s="12" t="n"/>
      <c r="CQ109" s="12" t="n"/>
      <c r="CR109" s="12" t="n"/>
      <c r="CS109" s="12" t="n"/>
      <c r="CT109" s="12" t="n"/>
      <c r="CU109" s="12" t="n"/>
      <c r="CV109" s="12" t="n"/>
      <c r="CW109" s="12" t="n"/>
      <c r="CX109" s="12" t="n"/>
      <c r="CY109" s="12" t="n"/>
    </row>
    <row r="110" hidden="1" outlineLevel="1">
      <c r="C110" s="57" t="inlineStr">
        <is>
          <t>DESPESAS FINANCEIRAS - Resultado negativo com instrumentos derivativos</t>
        </is>
      </c>
      <c r="D110" s="12" t="n"/>
      <c r="E110" s="12" t="n"/>
      <c r="F110" s="12" t="n"/>
      <c r="G110" s="12" t="n"/>
      <c r="H110" s="12" t="n"/>
      <c r="I110" s="12" t="n"/>
      <c r="J110" s="12" t="n"/>
      <c r="K110" s="12" t="n"/>
      <c r="L110" s="12" t="n"/>
      <c r="M110" s="12" t="n"/>
      <c r="N110" s="12" t="n"/>
      <c r="O110" s="12" t="n"/>
      <c r="P110" s="12" t="n"/>
      <c r="Q110" s="12" t="n"/>
      <c r="R110" s="12" t="n"/>
      <c r="S110" s="12" t="n"/>
      <c r="T110" s="12" t="n"/>
      <c r="U110" s="12" t="n"/>
      <c r="V110" s="12" t="n"/>
      <c r="W110" s="12" t="n"/>
      <c r="X110" s="12" t="n"/>
      <c r="Y110" s="12" t="n"/>
      <c r="Z110" s="12" t="n"/>
      <c r="AA110" s="12" t="n"/>
      <c r="AB110" s="12" t="n"/>
      <c r="AC110" s="12" t="n"/>
      <c r="AD110" s="12" t="n"/>
      <c r="AE110" s="12" t="n"/>
      <c r="AF110" s="12" t="n"/>
      <c r="AG110" s="12" t="n"/>
      <c r="AH110" s="12" t="n"/>
      <c r="AI110" s="12" t="n"/>
      <c r="AJ110" s="12" t="n"/>
      <c r="AK110" s="12" t="n"/>
      <c r="AL110" s="12" t="n"/>
      <c r="AM110" s="12" t="n"/>
      <c r="AN110" s="12" t="n"/>
      <c r="AO110" s="12" t="n"/>
      <c r="AP110" s="12" t="n"/>
      <c r="AQ110" s="12" t="n"/>
      <c r="AR110" s="12" t="n"/>
      <c r="AS110" s="12" t="n"/>
      <c r="AT110" s="12" t="n"/>
      <c r="AU110" s="12" t="n"/>
      <c r="AV110" s="12" t="n"/>
      <c r="AW110" s="12" t="n"/>
      <c r="AX110" s="12" t="n"/>
      <c r="AY110" s="12" t="n"/>
      <c r="AZ110" s="12" t="n"/>
      <c r="BA110" s="12" t="n"/>
      <c r="BB110" s="12" t="n"/>
      <c r="BC110" s="12" t="n"/>
      <c r="BD110" s="12" t="n"/>
      <c r="BE110" s="12" t="n"/>
      <c r="BF110" s="12" t="n"/>
      <c r="BG110" s="12" t="n"/>
      <c r="BH110" s="12" t="n"/>
      <c r="BI110" s="12" t="n"/>
      <c r="BJ110" s="12" t="n"/>
      <c r="BK110" s="12" t="n"/>
      <c r="BL110" s="12" t="n"/>
      <c r="BM110" s="12" t="n"/>
      <c r="BN110" s="12" t="n"/>
      <c r="BO110" s="12" t="n"/>
      <c r="BP110" s="12" t="n"/>
      <c r="BQ110" s="12" t="n"/>
      <c r="BR110" s="12" t="n"/>
      <c r="BS110" s="12" t="n"/>
      <c r="BT110" s="12" t="n"/>
      <c r="BU110" s="12" t="n"/>
      <c r="BV110" s="12" t="n"/>
      <c r="BW110" s="12" t="n"/>
      <c r="BX110" s="12" t="n"/>
      <c r="BY110" s="12" t="n"/>
      <c r="BZ110" s="12" t="n"/>
      <c r="CA110" s="12" t="n"/>
      <c r="CB110" s="12" t="n"/>
      <c r="CC110" s="12" t="n"/>
      <c r="CD110" s="12" t="n"/>
      <c r="CE110" s="12" t="n"/>
      <c r="CF110" s="12" t="n"/>
      <c r="CG110" s="12" t="n"/>
      <c r="CH110" s="12" t="n"/>
      <c r="CI110" s="12" t="n"/>
      <c r="CJ110" s="12" t="n"/>
      <c r="CK110" s="12" t="n"/>
      <c r="CL110" s="12" t="n"/>
      <c r="CM110" s="12" t="n"/>
      <c r="CN110" s="12" t="n"/>
      <c r="CO110" s="12" t="n"/>
      <c r="CP110" s="12" t="n"/>
      <c r="CQ110" s="12" t="n"/>
      <c r="CR110" s="12" t="n"/>
      <c r="CS110" s="12" t="n"/>
      <c r="CT110" s="12" t="n"/>
      <c r="CU110" s="12" t="n"/>
      <c r="CV110" s="12" t="n"/>
      <c r="CW110" s="12" t="n"/>
      <c r="CX110" s="12" t="n"/>
      <c r="CY110" s="12" t="n"/>
    </row>
    <row r="111" hidden="1" outlineLevel="1">
      <c r="C111" s="57" t="inlineStr">
        <is>
          <t>DESPESAS FINANCEIRAS - Juros sobre arrendamento - IFRS16</t>
        </is>
      </c>
      <c r="D111" s="12" t="n"/>
      <c r="E111" s="12" t="n"/>
      <c r="F111" s="12" t="n"/>
      <c r="G111" s="12" t="n"/>
      <c r="H111" s="12" t="n"/>
      <c r="I111" s="12" t="n"/>
      <c r="J111" s="12" t="n"/>
      <c r="K111" s="12" t="n"/>
      <c r="L111" s="12" t="n"/>
      <c r="M111" s="12" t="n"/>
      <c r="N111" s="12" t="n"/>
      <c r="O111" s="12" t="n"/>
      <c r="P111" s="12" t="n"/>
      <c r="Q111" s="12" t="n"/>
      <c r="R111" s="12" t="n"/>
      <c r="S111" s="12" t="n"/>
      <c r="T111" s="12" t="n"/>
      <c r="U111" s="12" t="n"/>
      <c r="V111" s="12" t="n"/>
      <c r="W111" s="12" t="n"/>
      <c r="X111" s="12" t="n"/>
      <c r="Y111" s="12" t="n"/>
      <c r="Z111" s="12" t="n"/>
      <c r="AA111" s="12" t="n"/>
      <c r="AB111" s="12" t="n"/>
      <c r="AC111" s="12" t="n"/>
      <c r="AD111" s="12" t="n"/>
      <c r="AE111" s="12" t="n"/>
      <c r="AF111" s="12" t="n"/>
      <c r="AG111" s="12" t="n"/>
      <c r="AH111" s="12" t="n"/>
      <c r="AI111" s="12" t="n"/>
      <c r="AJ111" s="12" t="n"/>
      <c r="AK111" s="12" t="n"/>
      <c r="AL111" s="12" t="n"/>
      <c r="AM111" s="12" t="n"/>
      <c r="AN111" s="12" t="n"/>
      <c r="AO111" s="12" t="n"/>
      <c r="AP111" s="12" t="n"/>
      <c r="AQ111" s="12" t="n"/>
      <c r="AR111" s="12" t="n"/>
      <c r="AS111" s="12" t="n"/>
      <c r="AT111" s="12" t="n"/>
      <c r="AU111" s="12" t="n"/>
      <c r="AV111" s="12" t="n"/>
      <c r="AW111" s="12" t="n"/>
      <c r="AX111" s="12" t="n"/>
      <c r="AY111" s="12" t="n"/>
      <c r="AZ111" s="12" t="n"/>
      <c r="BA111" s="12" t="n"/>
      <c r="BB111" s="12" t="n"/>
      <c r="BC111" s="12" t="n"/>
      <c r="BD111" s="12" t="n"/>
      <c r="BE111" s="12" t="n"/>
      <c r="BF111" s="12" t="n"/>
      <c r="BG111" s="12" t="n"/>
      <c r="BH111" s="12" t="n"/>
      <c r="BI111" s="12" t="n"/>
      <c r="BJ111" s="12" t="n"/>
      <c r="BK111" s="12" t="n"/>
      <c r="BL111" s="12" t="n"/>
      <c r="BM111" s="12" t="n"/>
      <c r="BN111" s="12" t="n"/>
      <c r="BO111" s="12" t="n"/>
      <c r="BP111" s="12" t="n"/>
      <c r="BQ111" s="12" t="n"/>
      <c r="BR111" s="12" t="n"/>
      <c r="BS111" s="12" t="n"/>
      <c r="BT111" s="12" t="n"/>
      <c r="BU111" s="12" t="n"/>
      <c r="BV111" s="12" t="n"/>
      <c r="BW111" s="12" t="n"/>
      <c r="BX111" s="12" t="n"/>
      <c r="BY111" s="12" t="n"/>
      <c r="BZ111" s="12" t="n"/>
      <c r="CA111" s="12" t="n"/>
      <c r="CB111" s="12" t="n"/>
      <c r="CC111" s="12" t="n"/>
      <c r="CD111" s="12" t="n"/>
      <c r="CE111" s="12" t="n"/>
      <c r="CF111" s="12" t="n"/>
      <c r="CG111" s="12" t="n"/>
      <c r="CH111" s="12" t="n"/>
      <c r="CI111" s="12" t="n"/>
      <c r="CJ111" s="12" t="n"/>
      <c r="CK111" s="12" t="n"/>
      <c r="CL111" s="12" t="n"/>
      <c r="CM111" s="12" t="n"/>
      <c r="CN111" s="12" t="n"/>
      <c r="CO111" s="12" t="n"/>
      <c r="CP111" s="12" t="n"/>
      <c r="CQ111" s="12" t="n"/>
      <c r="CR111" s="12" t="n"/>
      <c r="CS111" s="12" t="n"/>
      <c r="CT111" s="12" t="n"/>
      <c r="CU111" s="12" t="n"/>
      <c r="CV111" s="12" t="n"/>
      <c r="CW111" s="12" t="n"/>
      <c r="CX111" s="12" t="n"/>
      <c r="CY111" s="12" t="n"/>
    </row>
    <row r="112" hidden="1" outlineLevel="1">
      <c r="C112" s="57" t="inlineStr">
        <is>
          <t>DESPESAS FINANCEIRAS - Despesas bancárias</t>
        </is>
      </c>
      <c r="D112" s="12" t="n"/>
      <c r="E112" s="12" t="n"/>
      <c r="F112" s="12" t="n"/>
      <c r="G112" s="12" t="n"/>
      <c r="H112" s="12" t="n"/>
      <c r="I112" s="12" t="n"/>
      <c r="J112" s="12" t="n"/>
      <c r="K112" s="12" t="n"/>
      <c r="L112" s="12" t="n"/>
      <c r="M112" s="12" t="n"/>
      <c r="N112" s="12" t="n"/>
      <c r="O112" s="12" t="n"/>
      <c r="P112" s="12" t="n"/>
      <c r="Q112" s="12" t="n"/>
      <c r="R112" s="12" t="n"/>
      <c r="S112" s="12" t="n"/>
      <c r="T112" s="12" t="n"/>
      <c r="U112" s="12" t="n"/>
      <c r="V112" s="12" t="n"/>
      <c r="W112" s="12" t="n"/>
      <c r="X112" s="12" t="n"/>
      <c r="Y112" s="12" t="n"/>
      <c r="Z112" s="12" t="n"/>
      <c r="AA112" s="12" t="n"/>
      <c r="AB112" s="12" t="n"/>
      <c r="AC112" s="12" t="n"/>
      <c r="AD112" s="12" t="n"/>
      <c r="AE112" s="12" t="n"/>
      <c r="AF112" s="12" t="n"/>
      <c r="AG112" s="12" t="n"/>
      <c r="AH112" s="12" t="n"/>
      <c r="AI112" s="12" t="n"/>
      <c r="AJ112" s="12" t="n"/>
      <c r="AK112" s="12" t="n"/>
      <c r="AL112" s="12" t="n"/>
      <c r="AM112" s="12" t="n"/>
      <c r="AN112" s="12" t="n"/>
      <c r="AO112" s="12" t="n"/>
      <c r="AP112" s="12" t="n"/>
      <c r="AQ112" s="12" t="n"/>
      <c r="AR112" s="12" t="n"/>
      <c r="AS112" s="12" t="n"/>
      <c r="AT112" s="12" t="n"/>
      <c r="AU112" s="12" t="n"/>
      <c r="AV112" s="12" t="n"/>
      <c r="AW112" s="12" t="n"/>
      <c r="AX112" s="12" t="n"/>
      <c r="AY112" s="12" t="n"/>
      <c r="AZ112" s="12" t="n"/>
      <c r="BA112" s="12" t="n"/>
      <c r="BB112" s="12" t="n"/>
      <c r="BC112" s="12" t="n"/>
      <c r="BD112" s="12" t="n"/>
      <c r="BE112" s="12" t="n"/>
      <c r="BF112" s="12" t="n"/>
      <c r="BG112" s="12" t="n"/>
      <c r="BH112" s="12" t="n"/>
      <c r="BI112" s="12" t="n"/>
      <c r="BJ112" s="12" t="n"/>
      <c r="BK112" s="12" t="n"/>
      <c r="BL112" s="12" t="n"/>
      <c r="BM112" s="12" t="n"/>
      <c r="BN112" s="12" t="n"/>
      <c r="BO112" s="12" t="n"/>
      <c r="BP112" s="12" t="n"/>
      <c r="BQ112" s="12" t="n"/>
      <c r="BR112" s="12" t="n"/>
      <c r="BS112" s="12" t="n"/>
      <c r="BT112" s="12" t="n"/>
      <c r="BU112" s="12" t="n"/>
      <c r="BV112" s="12" t="n"/>
      <c r="BW112" s="12" t="n"/>
      <c r="BX112" s="12" t="n"/>
      <c r="BY112" s="12" t="n"/>
      <c r="BZ112" s="12" t="n"/>
      <c r="CA112" s="12" t="n"/>
      <c r="CB112" s="12" t="n"/>
      <c r="CC112" s="12" t="n"/>
      <c r="CD112" s="12" t="n"/>
      <c r="CE112" s="12" t="n"/>
      <c r="CF112" s="12" t="n"/>
      <c r="CG112" s="12" t="n"/>
      <c r="CH112" s="12" t="n"/>
      <c r="CI112" s="12" t="n"/>
      <c r="CJ112" s="12" t="n"/>
      <c r="CK112" s="12" t="n"/>
      <c r="CL112" s="12" t="n"/>
      <c r="CM112" s="12" t="n"/>
      <c r="CN112" s="12" t="n"/>
      <c r="CO112" s="12" t="n"/>
      <c r="CP112" s="12" t="n"/>
      <c r="CQ112" s="12" t="n"/>
      <c r="CR112" s="12" t="n"/>
      <c r="CS112" s="12" t="n"/>
      <c r="CT112" s="12" t="n"/>
      <c r="CU112" s="12" t="n"/>
      <c r="CV112" s="12" t="n"/>
      <c r="CW112" s="12" t="n"/>
      <c r="CX112" s="12" t="n"/>
      <c r="CY112" s="12" t="n"/>
    </row>
    <row r="113" hidden="1" outlineLevel="1">
      <c r="C113" s="57" t="inlineStr">
        <is>
          <t>DESPESAS FINANCEIRAS - Despesas com obtenção de empréstimos e financiamentos</t>
        </is>
      </c>
      <c r="D113" s="12" t="n"/>
      <c r="E113" s="12" t="n"/>
      <c r="F113" s="12" t="n"/>
      <c r="G113" s="12" t="n"/>
      <c r="H113" s="12" t="n"/>
      <c r="I113" s="12" t="n"/>
      <c r="J113" s="12" t="n"/>
      <c r="K113" s="12" t="n"/>
      <c r="L113" s="12" t="n"/>
      <c r="M113" s="12" t="n"/>
      <c r="N113" s="12" t="n"/>
      <c r="O113" s="12" t="n"/>
      <c r="P113" s="12" t="n"/>
      <c r="Q113" s="12" t="n"/>
      <c r="R113" s="12" t="n"/>
      <c r="S113" s="12" t="n"/>
      <c r="T113" s="12" t="n"/>
      <c r="U113" s="12" t="n"/>
      <c r="V113" s="12" t="n"/>
      <c r="W113" s="12" t="n"/>
      <c r="X113" s="12" t="n"/>
      <c r="Y113" s="12" t="n"/>
      <c r="Z113" s="12" t="n"/>
      <c r="AA113" s="12" t="n"/>
      <c r="AB113" s="12" t="n"/>
      <c r="AC113" s="12" t="n"/>
      <c r="AD113" s="12" t="n"/>
      <c r="AE113" s="12" t="n"/>
      <c r="AF113" s="12" t="n"/>
      <c r="AG113" s="12" t="n"/>
      <c r="AH113" s="12" t="n"/>
      <c r="AI113" s="12" t="n"/>
      <c r="AJ113" s="12" t="n"/>
      <c r="AK113" s="12" t="n"/>
      <c r="AL113" s="12" t="n"/>
      <c r="AM113" s="12" t="n"/>
      <c r="AN113" s="12" t="n"/>
      <c r="AO113" s="12" t="n"/>
      <c r="AP113" s="12" t="n"/>
      <c r="AQ113" s="12" t="n"/>
      <c r="AR113" s="12" t="n"/>
      <c r="AS113" s="12" t="n"/>
      <c r="AT113" s="12" t="n"/>
      <c r="AU113" s="12" t="n"/>
      <c r="AV113" s="12" t="n"/>
      <c r="AW113" s="12" t="n"/>
      <c r="AX113" s="12" t="n"/>
      <c r="AY113" s="12" t="n"/>
      <c r="AZ113" s="12" t="n"/>
      <c r="BA113" s="12" t="n"/>
      <c r="BB113" s="12" t="n"/>
      <c r="BC113" s="12" t="n"/>
      <c r="BD113" s="12" t="n"/>
      <c r="BE113" s="12" t="n"/>
      <c r="BF113" s="12" t="n"/>
      <c r="BG113" s="12" t="n"/>
      <c r="BH113" s="12" t="n"/>
      <c r="BI113" s="12" t="n"/>
      <c r="BJ113" s="12" t="n"/>
      <c r="BK113" s="12" t="n"/>
      <c r="BL113" s="12" t="n"/>
      <c r="BM113" s="12" t="n"/>
      <c r="BN113" s="12" t="n"/>
      <c r="BO113" s="12" t="n"/>
      <c r="BP113" s="12" t="n"/>
      <c r="BQ113" s="12" t="n"/>
      <c r="BR113" s="12" t="n"/>
      <c r="BS113" s="12" t="n"/>
      <c r="BT113" s="12" t="n"/>
      <c r="BU113" s="12" t="n"/>
      <c r="BV113" s="12" t="n"/>
      <c r="BW113" s="12" t="n"/>
      <c r="BX113" s="12" t="n"/>
      <c r="BY113" s="12" t="n"/>
      <c r="BZ113" s="12" t="n"/>
      <c r="CA113" s="12" t="n"/>
      <c r="CB113" s="12" t="n"/>
      <c r="CC113" s="12" t="n"/>
      <c r="CD113" s="12" t="n"/>
      <c r="CE113" s="12" t="n"/>
      <c r="CF113" s="12" t="n"/>
      <c r="CG113" s="12" t="n"/>
      <c r="CH113" s="12" t="n"/>
      <c r="CI113" s="12" t="n"/>
      <c r="CJ113" s="12" t="n"/>
      <c r="CK113" s="12" t="n"/>
      <c r="CL113" s="12" t="n"/>
      <c r="CM113" s="12" t="n"/>
      <c r="CN113" s="12" t="n"/>
      <c r="CO113" s="12" t="n"/>
      <c r="CP113" s="12" t="n"/>
      <c r="CQ113" s="12" t="n"/>
      <c r="CR113" s="12" t="n"/>
      <c r="CS113" s="12" t="n"/>
      <c r="CT113" s="12" t="n"/>
      <c r="CU113" s="12" t="n"/>
      <c r="CV113" s="12" t="n"/>
      <c r="CW113" s="12" t="n"/>
      <c r="CX113" s="12" t="n"/>
      <c r="CY113" s="12" t="n"/>
    </row>
    <row r="114" hidden="1" outlineLevel="1">
      <c r="C114" s="57" t="inlineStr">
        <is>
          <t>DESPESAS FINANCEIRAS - Atualização de contas a pagar por aquisição de empresas</t>
        </is>
      </c>
      <c r="D114" s="12" t="n"/>
      <c r="E114" s="12" t="n"/>
      <c r="F114" s="12" t="n"/>
      <c r="G114" s="12" t="n"/>
      <c r="H114" s="12" t="n"/>
      <c r="I114" s="12" t="n"/>
      <c r="J114" s="12" t="n"/>
      <c r="K114" s="12" t="n"/>
      <c r="L114" s="12" t="n"/>
      <c r="M114" s="12" t="n"/>
      <c r="N114" s="12" t="n"/>
      <c r="O114" s="12" t="n"/>
      <c r="P114" s="12" t="n"/>
      <c r="Q114" s="12" t="n"/>
      <c r="R114" s="12" t="n"/>
      <c r="S114" s="12" t="n"/>
      <c r="T114" s="12" t="n"/>
      <c r="U114" s="12" t="n"/>
      <c r="V114" s="12" t="n"/>
      <c r="W114" s="12" t="n"/>
      <c r="X114" s="12" t="n"/>
      <c r="Y114" s="12" t="n"/>
      <c r="Z114" s="12" t="n"/>
      <c r="AA114" s="12" t="n"/>
      <c r="AB114" s="12" t="n"/>
      <c r="AC114" s="12" t="n"/>
      <c r="AD114" s="12" t="n"/>
      <c r="AE114" s="12" t="n"/>
      <c r="AF114" s="12" t="n"/>
      <c r="AG114" s="12" t="n"/>
      <c r="AH114" s="12" t="n"/>
      <c r="AI114" s="12" t="n"/>
      <c r="AJ114" s="12" t="n"/>
      <c r="AK114" s="12" t="n"/>
      <c r="AL114" s="12" t="n"/>
      <c r="AM114" s="12" t="n"/>
      <c r="AN114" s="12" t="n"/>
      <c r="AO114" s="12" t="n"/>
      <c r="AP114" s="12" t="n"/>
      <c r="AQ114" s="12" t="n"/>
      <c r="AR114" s="12" t="n"/>
      <c r="AS114" s="12" t="n"/>
      <c r="AT114" s="12" t="n"/>
      <c r="AU114" s="12" t="n"/>
      <c r="AV114" s="12" t="n"/>
      <c r="AW114" s="12" t="n"/>
      <c r="AX114" s="12" t="n"/>
      <c r="AY114" s="12" t="n"/>
      <c r="AZ114" s="12" t="n"/>
      <c r="BA114" s="12" t="n"/>
      <c r="BB114" s="12" t="n"/>
      <c r="BC114" s="12" t="n"/>
      <c r="BD114" s="12" t="n"/>
      <c r="BE114" s="12" t="n"/>
      <c r="BF114" s="12" t="n"/>
      <c r="BG114" s="12" t="n"/>
      <c r="BH114" s="12" t="n"/>
      <c r="BI114" s="12" t="n"/>
      <c r="BJ114" s="12" t="n"/>
      <c r="BK114" s="12" t="n"/>
      <c r="BL114" s="12" t="n"/>
      <c r="BM114" s="12" t="n"/>
      <c r="BN114" s="12" t="n"/>
      <c r="BO114" s="12" t="n"/>
      <c r="BP114" s="12" t="n"/>
      <c r="BQ114" s="12" t="n"/>
      <c r="BR114" s="12" t="n"/>
      <c r="BS114" s="12" t="n"/>
      <c r="BT114" s="12" t="n"/>
      <c r="BU114" s="12" t="n"/>
      <c r="BV114" s="12" t="n"/>
      <c r="BW114" s="12" t="n"/>
      <c r="BX114" s="12" t="n"/>
      <c r="BY114" s="12" t="n"/>
      <c r="BZ114" s="12" t="n"/>
      <c r="CA114" s="12" t="n"/>
      <c r="CB114" s="12" t="n"/>
      <c r="CC114" s="12" t="n"/>
      <c r="CD114" s="12" t="n"/>
      <c r="CE114" s="12" t="n"/>
      <c r="CF114" s="12" t="n"/>
      <c r="CG114" s="12" t="n"/>
      <c r="CH114" s="12" t="n"/>
      <c r="CI114" s="12" t="n"/>
      <c r="CJ114" s="12" t="n"/>
      <c r="CK114" s="12" t="n"/>
      <c r="CL114" s="12" t="n"/>
      <c r="CM114" s="12" t="n"/>
      <c r="CN114" s="12" t="n"/>
      <c r="CO114" s="12" t="n"/>
      <c r="CP114" s="12" t="n"/>
      <c r="CQ114" s="12" t="n"/>
      <c r="CR114" s="12" t="n"/>
      <c r="CS114" s="12" t="n"/>
      <c r="CT114" s="12" t="n"/>
      <c r="CU114" s="12" t="n"/>
      <c r="CV114" s="12" t="n"/>
      <c r="CW114" s="12" t="n"/>
      <c r="CX114" s="12" t="n"/>
      <c r="CY114" s="12" t="n"/>
    </row>
    <row r="115" hidden="1" outlineLevel="1">
      <c r="C115" s="57" t="inlineStr">
        <is>
          <t>DESPESAS FINANCEIRAS - Outras</t>
        </is>
      </c>
      <c r="D115" s="12" t="n"/>
      <c r="E115" s="12" t="n"/>
      <c r="F115" s="12" t="n"/>
      <c r="G115" s="12" t="n"/>
      <c r="H115" s="12" t="n"/>
      <c r="I115" s="12" t="n"/>
      <c r="J115" s="12" t="n"/>
      <c r="K115" s="12" t="n"/>
      <c r="L115" s="12" t="n"/>
      <c r="M115" s="12" t="n"/>
      <c r="N115" s="12" t="n"/>
      <c r="O115" s="12" t="n"/>
      <c r="P115" s="12" t="n"/>
      <c r="Q115" s="12" t="n"/>
      <c r="R115" s="12" t="n"/>
      <c r="S115" s="12" t="n"/>
      <c r="T115" s="12" t="n"/>
      <c r="U115" s="12" t="n"/>
      <c r="V115" s="12" t="n"/>
      <c r="W115" s="12" t="n"/>
      <c r="X115" s="12" t="n"/>
      <c r="Y115" s="12" t="n"/>
      <c r="Z115" s="12" t="n"/>
      <c r="AA115" s="12" t="n"/>
      <c r="AB115" s="12" t="n"/>
      <c r="AC115" s="12" t="n"/>
      <c r="AD115" s="12" t="n"/>
      <c r="AE115" s="12" t="n"/>
      <c r="AF115" s="12" t="n"/>
      <c r="AG115" s="12" t="n"/>
      <c r="AH115" s="12" t="n"/>
      <c r="AI115" s="12" t="n"/>
      <c r="AJ115" s="12" t="n"/>
      <c r="AK115" s="12" t="n"/>
      <c r="AL115" s="12" t="n"/>
      <c r="AM115" s="12" t="n"/>
      <c r="AN115" s="12" t="n"/>
      <c r="AO115" s="12" t="n"/>
      <c r="AP115" s="12" t="n"/>
      <c r="AQ115" s="12" t="n"/>
      <c r="AR115" s="12" t="n"/>
      <c r="AS115" s="12" t="n"/>
      <c r="AT115" s="12" t="n"/>
      <c r="AU115" s="12" t="n"/>
      <c r="AV115" s="12" t="n"/>
      <c r="AW115" s="12" t="n"/>
      <c r="AX115" s="12" t="n"/>
      <c r="AY115" s="12" t="n"/>
      <c r="AZ115" s="12" t="n"/>
      <c r="BA115" s="12" t="n"/>
      <c r="BB115" s="12" t="n"/>
      <c r="BC115" s="12" t="n"/>
      <c r="BD115" s="12" t="n"/>
      <c r="BE115" s="12" t="n"/>
      <c r="BF115" s="12" t="n"/>
      <c r="BG115" s="12" t="n"/>
      <c r="BH115" s="12" t="n"/>
      <c r="BI115" s="12" t="n"/>
      <c r="BJ115" s="12" t="n"/>
      <c r="BK115" s="12" t="n"/>
      <c r="BL115" s="12" t="n"/>
      <c r="BM115" s="12" t="n"/>
      <c r="BN115" s="12" t="n"/>
      <c r="BO115" s="12" t="n"/>
      <c r="BP115" s="12" t="n"/>
      <c r="BQ115" s="12" t="n"/>
      <c r="BR115" s="12" t="n"/>
      <c r="BS115" s="12" t="n"/>
      <c r="BT115" s="12" t="n"/>
      <c r="BU115" s="12" t="n"/>
      <c r="BV115" s="12" t="n"/>
      <c r="BW115" s="12" t="n"/>
      <c r="BX115" s="12" t="n"/>
      <c r="BY115" s="12" t="n"/>
      <c r="BZ115" s="12" t="n"/>
      <c r="CA115" s="12" t="n"/>
      <c r="CB115" s="12" t="n"/>
      <c r="CC115" s="12" t="n"/>
      <c r="CD115" s="12" t="n"/>
      <c r="CE115" s="12" t="n"/>
      <c r="CF115" s="12" t="n"/>
      <c r="CG115" s="12" t="n"/>
      <c r="CH115" s="12" t="n"/>
      <c r="CI115" s="12" t="n"/>
      <c r="CJ115" s="12" t="n"/>
      <c r="CK115" s="12" t="n"/>
      <c r="CL115" s="12" t="n"/>
      <c r="CM115" s="12" t="n"/>
      <c r="CN115" s="12" t="n"/>
      <c r="CO115" s="12" t="n"/>
      <c r="CP115" s="12" t="n"/>
      <c r="CQ115" s="12" t="n"/>
      <c r="CR115" s="12" t="n"/>
      <c r="CS115" s="12" t="n"/>
      <c r="CT115" s="12" t="n"/>
      <c r="CU115" s="12" t="n"/>
      <c r="CV115" s="12" t="n"/>
      <c r="CW115" s="12" t="n"/>
      <c r="CX115" s="12" t="n"/>
      <c r="CY115" s="12" t="n"/>
    </row>
    <row r="116" hidden="1" outlineLevel="1">
      <c r="C116" s="57" t="n"/>
      <c r="D116" s="12" t="n"/>
      <c r="E116" s="12" t="n"/>
      <c r="F116" s="12" t="n"/>
      <c r="G116" s="12" t="n"/>
      <c r="H116" s="12" t="n"/>
      <c r="I116" s="12" t="n"/>
      <c r="J116" s="12" t="n"/>
      <c r="K116" s="12" t="n"/>
      <c r="L116" s="12" t="n"/>
      <c r="M116" s="12" t="n"/>
      <c r="N116" s="12" t="n"/>
      <c r="O116" s="12" t="n"/>
      <c r="P116" s="12" t="n"/>
      <c r="Q116" s="12" t="n"/>
      <c r="R116" s="12" t="n"/>
      <c r="S116" s="12" t="n"/>
      <c r="T116" s="12" t="n"/>
      <c r="U116" s="12" t="n"/>
      <c r="V116" s="12" t="n"/>
      <c r="W116" s="12" t="n"/>
      <c r="X116" s="12" t="n"/>
      <c r="Y116" s="12" t="n"/>
      <c r="Z116" s="12" t="n"/>
      <c r="AA116" s="12" t="n"/>
      <c r="AB116" s="12" t="n"/>
      <c r="AC116" s="12" t="n"/>
      <c r="AD116" s="12" t="n"/>
      <c r="AE116" s="12" t="n"/>
      <c r="AF116" s="12" t="n"/>
      <c r="AG116" s="12" t="n"/>
      <c r="AH116" s="12" t="n"/>
      <c r="AI116" s="12" t="n"/>
      <c r="AJ116" s="12" t="n"/>
      <c r="AK116" s="12" t="n"/>
      <c r="AL116" s="12" t="n"/>
      <c r="AM116" s="12" t="n"/>
      <c r="AN116" s="12" t="n"/>
      <c r="AO116" s="12" t="n"/>
      <c r="AP116" s="12" t="n"/>
      <c r="AQ116" s="12" t="n"/>
      <c r="AR116" s="12" t="n"/>
      <c r="AS116" s="12" t="n"/>
      <c r="AT116" s="12" t="n"/>
      <c r="AU116" s="12" t="n"/>
      <c r="AV116" s="12" t="n"/>
      <c r="AW116" s="12" t="n"/>
      <c r="AX116" s="12" t="n"/>
      <c r="AY116" s="12" t="n"/>
      <c r="AZ116" s="12" t="n"/>
      <c r="BA116" s="12" t="n"/>
      <c r="BB116" s="12" t="n"/>
      <c r="BC116" s="12" t="n"/>
      <c r="BD116" s="12" t="n"/>
      <c r="BE116" s="12" t="n"/>
      <c r="BF116" s="12" t="n"/>
      <c r="BG116" s="12" t="n"/>
      <c r="BH116" s="12" t="n"/>
      <c r="BI116" s="12" t="n"/>
      <c r="BJ116" s="12" t="n"/>
      <c r="BK116" s="12" t="n"/>
      <c r="BL116" s="12" t="n"/>
      <c r="BM116" s="12" t="n"/>
      <c r="BN116" s="12" t="n"/>
      <c r="BO116" s="12" t="n"/>
      <c r="BP116" s="12" t="n"/>
      <c r="BQ116" s="12" t="n"/>
      <c r="BR116" s="12" t="n"/>
      <c r="BS116" s="12" t="n"/>
      <c r="BT116" s="12" t="n"/>
      <c r="BU116" s="12" t="n"/>
      <c r="BV116" s="12" t="n"/>
      <c r="BW116" s="12" t="n"/>
      <c r="BX116" s="12" t="n"/>
      <c r="BY116" s="12" t="n"/>
      <c r="BZ116" s="12" t="n"/>
      <c r="CA116" s="12" t="n"/>
      <c r="CB116" s="12" t="n"/>
      <c r="CC116" s="12" t="n"/>
      <c r="CD116" s="12" t="n"/>
      <c r="CE116" s="12" t="n"/>
      <c r="CF116" s="12" t="n"/>
      <c r="CG116" s="12" t="n"/>
      <c r="CH116" s="12" t="n"/>
      <c r="CI116" s="12" t="n"/>
      <c r="CJ116" s="12" t="n"/>
      <c r="CK116" s="12" t="n"/>
      <c r="CL116" s="12" t="n"/>
      <c r="CM116" s="12" t="n"/>
      <c r="CN116" s="12" t="n"/>
      <c r="CO116" s="12" t="n"/>
      <c r="CP116" s="12" t="n"/>
      <c r="CQ116" s="12" t="n"/>
      <c r="CR116" s="12" t="n"/>
      <c r="CS116" s="12" t="n"/>
      <c r="CT116" s="12" t="n"/>
      <c r="CU116" s="12" t="n"/>
      <c r="CV116" s="12" t="n"/>
      <c r="CW116" s="12" t="n"/>
      <c r="CX116" s="12" t="n"/>
      <c r="CY116" s="12" t="n"/>
    </row>
    <row r="117" hidden="1" outlineLevel="1">
      <c r="C117" s="57" t="inlineStr">
        <is>
          <t>CHECK [EX IFRS-16]</t>
        </is>
      </c>
      <c r="D117" s="12" t="n"/>
      <c r="E117" s="12" t="n"/>
      <c r="F117" s="12" t="n"/>
      <c r="G117" s="12" t="n"/>
      <c r="H117" s="12" t="n"/>
      <c r="I117" s="12" t="n"/>
      <c r="J117" s="12" t="n"/>
      <c r="K117" s="12" t="n"/>
      <c r="L117" s="12" t="n"/>
      <c r="M117" s="12" t="n"/>
      <c r="N117" s="12" t="n"/>
      <c r="O117" s="12" t="n"/>
      <c r="P117" s="12" t="n"/>
      <c r="Q117" s="12" t="n"/>
      <c r="R117" s="12" t="n"/>
      <c r="S117" s="12" t="n"/>
      <c r="T117" s="12" t="n"/>
      <c r="U117" s="12" t="n"/>
      <c r="V117" s="12" t="n"/>
      <c r="W117" s="12" t="n"/>
      <c r="X117" s="12" t="n"/>
      <c r="Y117" s="12" t="n"/>
      <c r="Z117" s="12" t="n"/>
      <c r="AA117" s="12" t="n"/>
      <c r="AB117" s="12" t="n"/>
      <c r="AC117" s="12" t="n"/>
      <c r="AD117" s="12" t="n"/>
      <c r="AE117" s="12" t="n"/>
      <c r="AF117" s="12" t="n"/>
      <c r="AG117" s="12" t="n"/>
      <c r="AH117" s="12" t="n"/>
      <c r="AI117" s="12" t="n"/>
      <c r="AJ117" s="12" t="n"/>
      <c r="AK117" s="12" t="n"/>
      <c r="AL117" s="12" t="n"/>
      <c r="AM117" s="12" t="n"/>
      <c r="AN117" s="12" t="n"/>
      <c r="AO117" s="12" t="n"/>
      <c r="AP117" s="12" t="n"/>
      <c r="AQ117" s="12" t="n"/>
      <c r="AR117" s="12" t="n"/>
      <c r="AS117" s="12" t="n"/>
      <c r="AT117" s="12" t="n"/>
      <c r="AU117" s="12" t="n"/>
      <c r="AV117" s="12" t="n"/>
      <c r="AW117" s="12" t="n"/>
      <c r="AX117" s="12" t="n"/>
      <c r="AY117" s="12" t="n"/>
      <c r="AZ117" s="12" t="n"/>
      <c r="BA117" s="12" t="n"/>
      <c r="BB117" s="12" t="n"/>
      <c r="BC117" s="12" t="n"/>
      <c r="BD117" s="12" t="n"/>
      <c r="BE117" s="12" t="n"/>
      <c r="BF117" s="12" t="n"/>
      <c r="BG117" s="12" t="n"/>
      <c r="BH117" s="12" t="n"/>
      <c r="BI117" s="12" t="n"/>
      <c r="BJ117" s="12" t="n"/>
      <c r="BK117" s="12" t="n"/>
      <c r="BL117" s="12" t="n"/>
      <c r="BM117" s="12" t="n"/>
      <c r="BN117" s="12" t="n"/>
      <c r="BO117" s="12" t="n"/>
      <c r="BP117" s="12" t="n"/>
      <c r="BQ117" s="12" t="n"/>
      <c r="BR117" s="12" t="n"/>
      <c r="BS117" s="12" t="n"/>
      <c r="BT117" s="12" t="n"/>
      <c r="BU117" s="12" t="n"/>
      <c r="BV117" s="12" t="n"/>
      <c r="BW117" s="12" t="n"/>
      <c r="BX117" s="12" t="n"/>
      <c r="BY117" s="12" t="n"/>
      <c r="BZ117" s="12" t="n"/>
      <c r="CA117" s="12" t="n"/>
      <c r="CB117" s="12" t="n"/>
      <c r="CC117" s="12" t="n"/>
      <c r="CD117" s="12" t="n"/>
      <c r="CE117" s="12" t="n"/>
      <c r="CF117" s="12" t="n"/>
      <c r="CG117" s="12" t="n"/>
      <c r="CH117" s="12" t="n"/>
      <c r="CI117" s="12" t="n"/>
      <c r="CJ117" s="12" t="n"/>
      <c r="CK117" s="12" t="n"/>
      <c r="CL117" s="12" t="n"/>
      <c r="CM117" s="12" t="n"/>
      <c r="CN117" s="12" t="n"/>
      <c r="CO117" s="12" t="n"/>
      <c r="CP117" s="12" t="n"/>
      <c r="CQ117" s="12" t="n"/>
      <c r="CR117" s="12" t="n"/>
      <c r="CS117" s="12" t="n"/>
      <c r="CT117" s="12" t="n"/>
      <c r="CU117" s="12" t="n"/>
      <c r="CV117" s="12" t="n"/>
      <c r="CW117" s="12" t="n"/>
      <c r="CX117" s="12" t="n"/>
      <c r="CY117" s="12" t="n"/>
    </row>
    <row r="118" hidden="1" outlineLevel="1">
      <c r="C118" s="57" t="n"/>
      <c r="D118" s="12" t="n"/>
      <c r="E118" s="12" t="n"/>
      <c r="F118" s="12" t="n"/>
      <c r="G118" s="12" t="n"/>
      <c r="H118" s="12" t="n"/>
      <c r="I118" s="12" t="n"/>
      <c r="J118" s="12" t="n"/>
      <c r="K118" s="12" t="n"/>
      <c r="L118" s="12" t="n"/>
      <c r="M118" s="12" t="n"/>
      <c r="N118" s="12" t="n"/>
      <c r="O118" s="12" t="n"/>
      <c r="P118" s="12" t="n"/>
      <c r="Q118" s="12" t="n"/>
      <c r="R118" s="12" t="n"/>
      <c r="S118" s="12" t="n"/>
      <c r="T118" s="12" t="n"/>
      <c r="U118" s="12" t="n"/>
      <c r="V118" s="12" t="n"/>
      <c r="W118" s="12" t="n"/>
      <c r="X118" s="12" t="n"/>
      <c r="Y118" s="12" t="n"/>
      <c r="Z118" s="12" t="n"/>
      <c r="AA118" s="12" t="n"/>
      <c r="AB118" s="12" t="n"/>
      <c r="AC118" s="12" t="n"/>
      <c r="AD118" s="12" t="n"/>
      <c r="AE118" s="12" t="n"/>
      <c r="AF118" s="12" t="n"/>
      <c r="AG118" s="12" t="n"/>
      <c r="AH118" s="12" t="n"/>
      <c r="AI118" s="12" t="n"/>
      <c r="AJ118" s="12" t="n"/>
      <c r="AK118" s="12" t="n"/>
      <c r="AL118" s="12" t="n"/>
      <c r="AM118" s="12" t="n"/>
      <c r="AN118" s="12" t="n"/>
      <c r="AO118" s="12" t="n"/>
      <c r="AP118" s="12" t="n"/>
      <c r="AQ118" s="12" t="n"/>
      <c r="AR118" s="12" t="n"/>
      <c r="AS118" s="12" t="n"/>
      <c r="AT118" s="12" t="n"/>
      <c r="AU118" s="12" t="n"/>
      <c r="AV118" s="12" t="n"/>
      <c r="AW118" s="12" t="n"/>
      <c r="AX118" s="12" t="n"/>
      <c r="AY118" s="12" t="n"/>
      <c r="AZ118" s="12" t="n"/>
      <c r="BA118" s="12" t="n"/>
      <c r="BB118" s="12" t="n"/>
      <c r="BC118" s="12" t="n"/>
      <c r="BD118" s="12" t="n"/>
      <c r="BE118" s="12" t="n"/>
      <c r="BF118" s="12" t="n"/>
      <c r="BG118" s="12" t="n"/>
      <c r="BH118" s="12" t="n"/>
      <c r="BI118" s="12" t="n"/>
      <c r="BJ118" s="12" t="n"/>
      <c r="BK118" s="12" t="n"/>
      <c r="BL118" s="12" t="n"/>
      <c r="BM118" s="12" t="n"/>
      <c r="BN118" s="12" t="n"/>
      <c r="BO118" s="12" t="n"/>
      <c r="BP118" s="12" t="n"/>
      <c r="BQ118" s="12" t="n"/>
      <c r="BR118" s="12" t="n"/>
      <c r="BS118" s="12" t="n"/>
      <c r="BT118" s="12" t="n"/>
      <c r="BU118" s="12" t="n"/>
      <c r="BV118" s="12" t="n"/>
      <c r="BW118" s="12" t="n"/>
      <c r="BX118" s="12" t="n"/>
      <c r="BY118" s="12" t="n"/>
      <c r="BZ118" s="12" t="n"/>
      <c r="CA118" s="12" t="n"/>
      <c r="CB118" s="12" t="n"/>
      <c r="CC118" s="12" t="n"/>
      <c r="CD118" s="12" t="n"/>
      <c r="CE118" s="12" t="n"/>
      <c r="CF118" s="12" t="n"/>
      <c r="CG118" s="12" t="n"/>
      <c r="CH118" s="12" t="n"/>
      <c r="CI118" s="12" t="n"/>
      <c r="CJ118" s="12" t="n"/>
      <c r="CK118" s="12" t="n"/>
      <c r="CL118" s="12" t="n"/>
      <c r="CM118" s="12" t="n"/>
      <c r="CN118" s="12" t="n"/>
      <c r="CO118" s="12" t="n"/>
      <c r="CP118" s="12" t="n"/>
      <c r="CQ118" s="12" t="n"/>
      <c r="CR118" s="12" t="n"/>
      <c r="CS118" s="12" t="n"/>
      <c r="CT118" s="12" t="n"/>
      <c r="CU118" s="12" t="n"/>
      <c r="CV118" s="12" t="n"/>
      <c r="CW118" s="12" t="n"/>
      <c r="CX118" s="12" t="n"/>
      <c r="CY118" s="12" t="n"/>
    </row>
    <row r="119" collapsed="1">
      <c r="C119" s="14" t="inlineStr">
        <is>
          <t>Nonoperating Income / (Loss)</t>
        </is>
      </c>
      <c r="D119" s="46" t="n"/>
      <c r="E119" s="46" t="n"/>
      <c r="F119" s="46" t="n"/>
      <c r="G119" s="46" t="n"/>
      <c r="H119" s="12" t="n"/>
      <c r="I119" s="46">
        <f>'Inputs (2)'!D9</f>
        <v>4922</v>
      </c>
      <c r="J119" s="46">
        <f>'Inputs (2)'!E9</f>
        <v>2700</v>
      </c>
      <c r="K119" s="46">
        <f>'Inputs (2)'!F9</f>
        <v>2110</v>
      </c>
      <c r="L119" s="46">
        <f>'Inputs (2)'!G9</f>
        <v>2634</v>
      </c>
      <c r="M119" s="12">
        <f>'Inputs (2)'!H9</f>
        <v>12366</v>
      </c>
      <c r="N119" s="46">
        <f>'Inputs (2)'!I9</f>
        <v>-1077</v>
      </c>
      <c r="O119" s="46">
        <f>'Inputs (2)'!J9</f>
        <v>-356</v>
      </c>
      <c r="P119" s="46">
        <f>'Inputs (2)'!K9</f>
        <v>-801</v>
      </c>
      <c r="Q119" s="46">
        <f>'Inputs (2)'!L9</f>
        <v>-923</v>
      </c>
      <c r="R119" s="12">
        <f>'Inputs (2)'!M9</f>
        <v>-3157</v>
      </c>
      <c r="S119" s="46">
        <f>'Inputs (2)'!N9</f>
        <v>870</v>
      </c>
      <c r="T119" s="46">
        <f>'Inputs (2)'!O9</f>
        <v>108</v>
      </c>
      <c r="U119" s="46">
        <f>'Inputs (2)'!P9</f>
        <v>-30</v>
      </c>
      <c r="V119" s="46">
        <f>'Inputs (2)'!Q9</f>
        <v>784</v>
      </c>
      <c r="W119" s="12">
        <f>'Inputs (2)'!R9</f>
        <v>1732</v>
      </c>
      <c r="X119" s="46">
        <f>'Inputs (2)'!S9</f>
        <v>2937</v>
      </c>
      <c r="Y119" s="46">
        <f>'Inputs (2)'!T9</f>
        <v>193</v>
      </c>
      <c r="Z119" s="46">
        <f>'Inputs (2)'!U9</f>
        <v>3239</v>
      </c>
      <c r="AA119" s="46">
        <f>'Inputs (2)'!V9</f>
        <v>1324</v>
      </c>
      <c r="AB119" s="12">
        <f>'Inputs (2)'!W9</f>
        <v>7693</v>
      </c>
      <c r="AC119" s="46">
        <f>'Inputs (2)'!X9</f>
        <v>11217</v>
      </c>
      <c r="AD119" s="46">
        <f>'Inputs (2)'!Y9</f>
        <v>2923</v>
      </c>
      <c r="AE119" s="46">
        <f>'Inputs (2)'!Z9</f>
        <v>12902</v>
      </c>
      <c r="AF119" s="46">
        <f>'Inputs (2)'!AA9</f>
        <v>3481</v>
      </c>
      <c r="AG119" s="12">
        <f>'Inputs (2)'!AB9</f>
        <v>30523</v>
      </c>
      <c r="AH119" s="12">
        <f>'Inputs (2)'!AC9</f>
        <v>38249</v>
      </c>
      <c r="AI119" s="12">
        <f>'Inputs (2)'!AD9</f>
        <v>99261</v>
      </c>
      <c r="AJ119" s="12">
        <f>AJ15*Control!$B$23</f>
        <v>31982.5379922358</v>
      </c>
      <c r="AK119" s="12">
        <f>AK15*Control!$B$23</f>
        <v>35570.9096312334</v>
      </c>
      <c r="AL119" s="12">
        <f>SUM(AH119:AK119)</f>
        <v>205063.447623469</v>
      </c>
      <c r="AM119" s="12">
        <f>AM15*Control!$C$23</f>
        <v>34341.8696890425</v>
      </c>
      <c r="AN119" s="12">
        <f>AN15*Control!$C$23</f>
        <v>37435.5629073719</v>
      </c>
      <c r="AO119" s="12">
        <f>AO15*Control!$C$23</f>
        <v>37621.9096120099</v>
      </c>
      <c r="AP119" s="12">
        <f>AP15*Control!$C$23</f>
        <v>41843.0065583948</v>
      </c>
      <c r="AQ119" s="12">
        <f>SUM(AM119:AP119)</f>
        <v>151242.348766819</v>
      </c>
      <c r="AR119" s="12">
        <f>AR15*Control!$D$23</f>
        <v>40225.5448551528</v>
      </c>
      <c r="AS119" s="12">
        <f>AS15*Control!$D$23</f>
        <v>43849.2699594879</v>
      </c>
      <c r="AT119" s="12">
        <f>AT15*Control!$D$23</f>
        <v>44067.5428081679</v>
      </c>
      <c r="AU119" s="12">
        <f>AU15*Control!$D$23</f>
        <v>49011.8258682406</v>
      </c>
      <c r="AV119" s="12">
        <f>SUM(AR119:AU119)</f>
        <v>177154.183491049</v>
      </c>
      <c r="AW119" s="12">
        <f>AW15*Control!$E$23</f>
        <v>46916.1222549877</v>
      </c>
      <c r="AX119" s="12">
        <f>AX15*Control!$E$23</f>
        <v>51142.5691713848</v>
      </c>
      <c r="AY119" s="12">
        <f>AY15*Control!$E$23</f>
        <v>51397.1465970106</v>
      </c>
      <c r="AZ119" s="12">
        <f>AZ15*Control!$E$23</f>
        <v>57163.795360748</v>
      </c>
      <c r="BA119" s="12">
        <f>SUM(AW119:AZ119)</f>
        <v>206619.633384131</v>
      </c>
      <c r="BB119" s="12">
        <f>BB15*Control!$F$23</f>
        <v>54484.9399165618</v>
      </c>
      <c r="BC119" s="12">
        <f>BC15*Control!$F$23</f>
        <v>59393.2250695607</v>
      </c>
      <c r="BD119" s="12">
        <f>BD15*Control!$F$23</f>
        <v>59688.8726012119</v>
      </c>
      <c r="BE119" s="12">
        <f>BE15*Control!$F$23</f>
        <v>66385.8351017465</v>
      </c>
      <c r="BF119" s="12">
        <f>SUM(BB119:BE119)</f>
        <v>239952.872689081</v>
      </c>
      <c r="BG119" s="12" t="n"/>
      <c r="BH119" s="12" t="n"/>
      <c r="BI119" s="12" t="n"/>
      <c r="BJ119" s="12" t="n"/>
      <c r="BK119" s="12" t="n"/>
      <c r="BL119" s="12" t="n"/>
      <c r="BM119" s="12" t="n"/>
      <c r="BN119" s="12" t="n"/>
      <c r="BO119" s="12" t="n"/>
      <c r="BP119" s="12" t="n"/>
      <c r="BQ119" s="12" t="n"/>
      <c r="BR119" s="12" t="n"/>
      <c r="BS119" s="12" t="n"/>
      <c r="BT119" s="12" t="n"/>
      <c r="BU119" s="12" t="n"/>
      <c r="BV119" s="12" t="n"/>
      <c r="BW119" s="12" t="n"/>
      <c r="BX119" s="12" t="n"/>
      <c r="BY119" s="12" t="n"/>
      <c r="BZ119" s="12" t="n"/>
      <c r="CA119" s="12" t="n"/>
      <c r="CB119" s="12" t="n"/>
      <c r="CC119" s="12" t="n"/>
      <c r="CD119" s="12" t="n"/>
      <c r="CE119" s="12" t="n"/>
      <c r="CF119" s="12" t="n"/>
      <c r="CG119" s="12" t="n"/>
      <c r="CH119" s="12" t="n"/>
      <c r="CI119" s="12" t="n"/>
      <c r="CJ119" s="12" t="n"/>
      <c r="CK119" s="12" t="n"/>
      <c r="CL119" s="12" t="n"/>
      <c r="CM119" s="12" t="n"/>
      <c r="CN119" s="12" t="n"/>
      <c r="CO119" s="12" t="n"/>
      <c r="CP119" s="12" t="n"/>
      <c r="CQ119" s="12" t="n"/>
      <c r="CR119" s="12" t="n"/>
      <c r="CS119" s="12" t="n"/>
      <c r="CT119" s="12" t="n"/>
      <c r="CU119" s="12" t="n"/>
      <c r="CV119" s="12" t="n"/>
      <c r="CW119" s="12" t="n"/>
      <c r="CX119" s="12" t="n"/>
      <c r="CY119" s="12" t="n"/>
    </row>
    <row r="120" hidden="1" outlineLevel="1">
      <c r="C120" s="57" t="n"/>
      <c r="D120" s="12" t="n"/>
      <c r="E120" s="12" t="n"/>
      <c r="F120" s="12" t="n"/>
      <c r="G120" s="12" t="n"/>
      <c r="H120" s="12" t="n"/>
      <c r="I120" s="12" t="n"/>
      <c r="J120" s="12" t="n"/>
      <c r="K120" s="12" t="n"/>
      <c r="L120" s="12" t="n"/>
      <c r="M120" s="12" t="n"/>
      <c r="N120" s="12" t="n"/>
      <c r="O120" s="12" t="n"/>
      <c r="P120" s="12" t="n"/>
      <c r="Q120" s="12" t="n"/>
      <c r="R120" s="12" t="n"/>
      <c r="S120" s="12" t="n"/>
      <c r="T120" s="12" t="n"/>
      <c r="U120" s="12" t="n"/>
      <c r="V120" s="12" t="n"/>
      <c r="W120" s="12" t="n"/>
      <c r="X120" s="12" t="n"/>
      <c r="Y120" s="12" t="n"/>
      <c r="Z120" s="12" t="n"/>
      <c r="AA120" s="12" t="n"/>
      <c r="AB120" s="12" t="n"/>
      <c r="AC120" s="12" t="n"/>
      <c r="AD120" s="12" t="n"/>
      <c r="AE120" s="12" t="n"/>
      <c r="AF120" s="12" t="n"/>
      <c r="AG120" s="12" t="n"/>
      <c r="AH120" s="12" t="n"/>
      <c r="AI120" s="12" t="n"/>
      <c r="AJ120" s="12" t="n"/>
      <c r="AK120" s="12" t="n"/>
      <c r="AL120" s="12" t="n"/>
      <c r="AM120" s="12" t="n"/>
      <c r="AN120" s="12" t="n"/>
      <c r="AO120" s="12" t="n"/>
      <c r="AP120" s="12" t="n"/>
      <c r="AQ120" s="12" t="n"/>
      <c r="AR120" s="12" t="n"/>
      <c r="AS120" s="12" t="n"/>
      <c r="AT120" s="12" t="n"/>
      <c r="AU120" s="12" t="n"/>
      <c r="AV120" s="12" t="n"/>
      <c r="AW120" s="12" t="n"/>
      <c r="AX120" s="12" t="n"/>
      <c r="AY120" s="12" t="n"/>
      <c r="AZ120" s="12" t="n"/>
      <c r="BA120" s="12" t="n"/>
      <c r="BB120" s="12" t="n"/>
      <c r="BC120" s="12" t="n"/>
      <c r="BD120" s="12" t="n"/>
      <c r="BE120" s="12" t="n"/>
      <c r="BF120" s="12" t="n"/>
      <c r="BG120" s="12" t="n"/>
      <c r="BH120" s="12" t="n"/>
      <c r="BI120" s="12" t="n"/>
      <c r="BJ120" s="12" t="n"/>
      <c r="BK120" s="12" t="n"/>
      <c r="BL120" s="12" t="n"/>
      <c r="BM120" s="12" t="n"/>
      <c r="BN120" s="12" t="n"/>
      <c r="BO120" s="12" t="n"/>
      <c r="BP120" s="12" t="n"/>
      <c r="BQ120" s="12" t="n"/>
      <c r="BR120" s="12" t="n"/>
      <c r="BS120" s="12" t="n"/>
      <c r="BT120" s="12" t="n"/>
      <c r="BU120" s="12" t="n"/>
      <c r="BV120" s="12" t="n"/>
      <c r="BW120" s="12" t="n"/>
      <c r="BX120" s="12" t="n"/>
      <c r="BY120" s="12" t="n"/>
      <c r="BZ120" s="12" t="n"/>
      <c r="CA120" s="12" t="n"/>
      <c r="CB120" s="12" t="n"/>
      <c r="CC120" s="12" t="n"/>
      <c r="CD120" s="12" t="n"/>
      <c r="CE120" s="12" t="n"/>
      <c r="CF120" s="12" t="n"/>
      <c r="CG120" s="12" t="n"/>
      <c r="CH120" s="12" t="n"/>
      <c r="CI120" s="12" t="n"/>
      <c r="CJ120" s="12" t="n"/>
      <c r="CK120" s="12" t="n"/>
      <c r="CL120" s="12" t="n"/>
      <c r="CM120" s="12" t="n"/>
      <c r="CN120" s="12" t="n"/>
      <c r="CO120" s="12" t="n"/>
      <c r="CP120" s="12" t="n"/>
      <c r="CQ120" s="12" t="n"/>
      <c r="CR120" s="12" t="n"/>
      <c r="CS120" s="12" t="n"/>
      <c r="CT120" s="12" t="n"/>
      <c r="CU120" s="12" t="n"/>
      <c r="CV120" s="12" t="n"/>
      <c r="CW120" s="12" t="n"/>
      <c r="CX120" s="12" t="n"/>
      <c r="CY120" s="12" t="n"/>
    </row>
    <row r="121" hidden="1" outlineLevel="1">
      <c r="C121" s="50" t="inlineStr">
        <is>
          <t>Resultado Não Recorrente</t>
        </is>
      </c>
      <c r="D121" s="11" t="n"/>
      <c r="E121" s="11" t="n"/>
      <c r="F121" s="11" t="n"/>
      <c r="G121" s="11" t="n"/>
      <c r="H121" s="12" t="n"/>
      <c r="I121" s="11" t="n"/>
      <c r="J121" s="11" t="n"/>
      <c r="K121" s="11" t="n"/>
      <c r="L121" s="11" t="n"/>
      <c r="M121" s="12" t="n"/>
      <c r="N121" s="11" t="n"/>
      <c r="O121" s="11" t="n"/>
      <c r="P121" s="11" t="n"/>
      <c r="Q121" s="11" t="n"/>
      <c r="R121" s="12" t="n"/>
      <c r="S121" s="11" t="n"/>
      <c r="T121" s="11" t="n"/>
      <c r="U121" s="11" t="n"/>
      <c r="V121" s="11" t="n"/>
      <c r="W121" s="12" t="n"/>
      <c r="X121" s="11" t="n"/>
      <c r="Y121" s="11" t="n"/>
      <c r="Z121" s="11" t="n"/>
      <c r="AA121" s="11" t="n"/>
      <c r="AB121" s="12" t="n"/>
      <c r="AC121" s="11" t="n"/>
      <c r="AD121" s="11" t="n"/>
      <c r="AE121" s="11" t="n"/>
      <c r="AF121" s="11" t="n"/>
      <c r="AG121" s="12" t="n"/>
      <c r="AH121" s="12" t="n"/>
      <c r="AI121" s="12" t="n"/>
      <c r="AJ121" s="12" t="n"/>
      <c r="AK121" s="12" t="n"/>
      <c r="AL121" s="12" t="n"/>
      <c r="AM121" s="12" t="n"/>
      <c r="AN121" s="12" t="n"/>
      <c r="AO121" s="12" t="n"/>
      <c r="AP121" s="12" t="n"/>
      <c r="AQ121" s="12" t="n"/>
      <c r="AR121" s="12" t="n"/>
      <c r="AS121" s="12" t="n"/>
      <c r="AT121" s="12" t="n"/>
      <c r="AU121" s="12" t="n"/>
      <c r="AV121" s="12" t="n"/>
      <c r="AW121" s="12" t="n"/>
      <c r="AX121" s="12" t="n"/>
      <c r="AY121" s="12" t="n"/>
      <c r="AZ121" s="12" t="n"/>
      <c r="BA121" s="12" t="n"/>
      <c r="BB121" s="12" t="n"/>
      <c r="BC121" s="12" t="n"/>
      <c r="BD121" s="12" t="n"/>
      <c r="BE121" s="12" t="n"/>
      <c r="BF121" s="12" t="n"/>
      <c r="BG121" s="12" t="n"/>
      <c r="BH121" s="12" t="n"/>
      <c r="BI121" s="12" t="n"/>
      <c r="BJ121" s="12" t="n"/>
      <c r="BK121" s="12" t="n"/>
      <c r="BL121" s="12" t="n"/>
      <c r="BM121" s="12" t="n"/>
      <c r="BN121" s="12" t="n"/>
      <c r="BO121" s="12" t="n"/>
      <c r="BP121" s="12" t="n"/>
      <c r="BQ121" s="12" t="n"/>
      <c r="BR121" s="12" t="n"/>
      <c r="BS121" s="12" t="n"/>
      <c r="BT121" s="12" t="n"/>
      <c r="BU121" s="12" t="n"/>
      <c r="BV121" s="12" t="n"/>
      <c r="BW121" s="12" t="n"/>
      <c r="BX121" s="12" t="n"/>
      <c r="BY121" s="12" t="n"/>
      <c r="BZ121" s="12" t="n"/>
      <c r="CA121" s="12" t="n"/>
      <c r="CB121" s="12" t="n"/>
      <c r="CC121" s="12" t="n"/>
      <c r="CD121" s="12" t="n"/>
      <c r="CE121" s="12" t="n"/>
      <c r="CF121" s="12" t="n"/>
      <c r="CG121" s="12" t="n"/>
      <c r="CH121" s="12" t="n"/>
      <c r="CI121" s="12" t="n"/>
      <c r="CJ121" s="12" t="n"/>
      <c r="CK121" s="12" t="n"/>
      <c r="CL121" s="12" t="n"/>
      <c r="CM121" s="12" t="n"/>
      <c r="CN121" s="12" t="n"/>
      <c r="CO121" s="12" t="n"/>
      <c r="CP121" s="12" t="n"/>
      <c r="CQ121" s="12" t="n"/>
      <c r="CR121" s="12" t="n"/>
      <c r="CS121" s="12" t="n"/>
      <c r="CT121" s="12" t="n"/>
      <c r="CU121" s="12" t="n"/>
      <c r="CV121" s="12" t="n"/>
      <c r="CW121" s="12" t="n"/>
      <c r="CX121" s="12" t="n"/>
      <c r="CY121" s="12" t="n"/>
    </row>
    <row r="122" hidden="1" outlineLevel="1">
      <c r="C122" s="50" t="inlineStr">
        <is>
          <t>Plano de Opção de Compra de Ações</t>
        </is>
      </c>
      <c r="D122" s="11" t="n"/>
      <c r="E122" s="11" t="n"/>
      <c r="F122" s="11" t="n"/>
      <c r="G122" s="11" t="n"/>
      <c r="H122" s="12" t="n"/>
      <c r="I122" s="11" t="n"/>
      <c r="J122" s="11" t="n"/>
      <c r="K122" s="11" t="n"/>
      <c r="L122" s="11" t="n"/>
      <c r="M122" s="12" t="n"/>
      <c r="N122" s="11" t="n"/>
      <c r="O122" s="11" t="n"/>
      <c r="P122" s="11" t="n"/>
      <c r="Q122" s="11" t="n"/>
      <c r="R122" s="12" t="n"/>
      <c r="S122" s="11" t="n"/>
      <c r="T122" s="11" t="n"/>
      <c r="U122" s="11" t="n"/>
      <c r="V122" s="11" t="n"/>
      <c r="W122" s="12" t="n"/>
      <c r="X122" s="11" t="n"/>
      <c r="Y122" s="11" t="n"/>
      <c r="Z122" s="11" t="n"/>
      <c r="AA122" s="11" t="n"/>
      <c r="AB122" s="12" t="n"/>
      <c r="AC122" s="11" t="n"/>
      <c r="AD122" s="11" t="n"/>
      <c r="AE122" s="11" t="n"/>
      <c r="AF122" s="11" t="n"/>
      <c r="AG122" s="12" t="n"/>
      <c r="AH122" s="12" t="n"/>
      <c r="AI122" s="12" t="n"/>
      <c r="AJ122" s="12" t="n"/>
      <c r="AK122" s="12" t="n"/>
      <c r="AL122" s="12" t="n"/>
      <c r="AM122" s="12" t="n"/>
      <c r="AN122" s="12" t="n"/>
      <c r="AO122" s="12" t="n"/>
      <c r="AP122" s="12" t="n"/>
      <c r="AQ122" s="12" t="n"/>
      <c r="AR122" s="12" t="n"/>
      <c r="AS122" s="12" t="n"/>
      <c r="AT122" s="12" t="n"/>
      <c r="AU122" s="12" t="n"/>
      <c r="AV122" s="12" t="n"/>
      <c r="AW122" s="12" t="n"/>
      <c r="AX122" s="12" t="n"/>
      <c r="AY122" s="12" t="n"/>
      <c r="AZ122" s="12" t="n"/>
      <c r="BA122" s="12" t="n"/>
      <c r="BB122" s="12" t="n"/>
      <c r="BC122" s="12" t="n"/>
      <c r="BD122" s="12" t="n"/>
      <c r="BE122" s="12" t="n"/>
      <c r="BF122" s="12" t="n"/>
      <c r="BG122" s="12" t="n"/>
      <c r="BH122" s="12" t="n"/>
      <c r="BI122" s="12" t="n"/>
      <c r="BJ122" s="12" t="n"/>
      <c r="BK122" s="12" t="n"/>
      <c r="BL122" s="12" t="n"/>
      <c r="BM122" s="12" t="n"/>
      <c r="BN122" s="12" t="n"/>
      <c r="BO122" s="12" t="n"/>
      <c r="BP122" s="12" t="n"/>
      <c r="BQ122" s="12" t="n"/>
      <c r="BR122" s="12" t="n"/>
      <c r="BS122" s="12" t="n"/>
      <c r="BT122" s="12" t="n"/>
      <c r="BU122" s="12" t="n"/>
      <c r="BV122" s="12" t="n"/>
      <c r="BW122" s="12" t="n"/>
      <c r="BX122" s="12" t="n"/>
      <c r="BY122" s="12" t="n"/>
      <c r="BZ122" s="12" t="n"/>
      <c r="CA122" s="12" t="n"/>
      <c r="CB122" s="12" t="n"/>
      <c r="CC122" s="12" t="n"/>
      <c r="CD122" s="12" t="n"/>
      <c r="CE122" s="12" t="n"/>
      <c r="CF122" s="12" t="n"/>
      <c r="CG122" s="12" t="n"/>
      <c r="CH122" s="12" t="n"/>
      <c r="CI122" s="12" t="n"/>
      <c r="CJ122" s="12" t="n"/>
      <c r="CK122" s="12" t="n"/>
      <c r="CL122" s="12" t="n"/>
      <c r="CM122" s="12" t="n"/>
      <c r="CN122" s="12" t="n"/>
      <c r="CO122" s="12" t="n"/>
      <c r="CP122" s="12" t="n"/>
      <c r="CQ122" s="12" t="n"/>
      <c r="CR122" s="12" t="n"/>
      <c r="CS122" s="12" t="n"/>
      <c r="CT122" s="12" t="n"/>
      <c r="CU122" s="12" t="n"/>
      <c r="CV122" s="12" t="n"/>
      <c r="CW122" s="12" t="n"/>
      <c r="CX122" s="12" t="n"/>
      <c r="CY122" s="12" t="n"/>
    </row>
    <row r="123" hidden="1" outlineLevel="1">
      <c r="C123" s="50" t="inlineStr">
        <is>
          <t>Baixa Imobilizado</t>
        </is>
      </c>
      <c r="D123" s="11" t="n"/>
      <c r="E123" s="11" t="n"/>
      <c r="F123" s="11" t="n"/>
      <c r="G123" s="11" t="n"/>
      <c r="H123" s="12" t="n"/>
      <c r="I123" s="11" t="n"/>
      <c r="J123" s="11" t="n"/>
      <c r="K123" s="11" t="n"/>
      <c r="L123" s="11" t="n"/>
      <c r="M123" s="12" t="n"/>
      <c r="N123" s="11" t="n"/>
      <c r="O123" s="11" t="n"/>
      <c r="P123" s="11" t="n"/>
      <c r="Q123" s="11" t="n"/>
      <c r="R123" s="12" t="n"/>
      <c r="S123" s="11" t="n"/>
      <c r="T123" s="11" t="n"/>
      <c r="U123" s="11" t="n"/>
      <c r="V123" s="11" t="n"/>
      <c r="W123" s="12" t="n"/>
      <c r="X123" s="11" t="n"/>
      <c r="Y123" s="11" t="n"/>
      <c r="Z123" s="11" t="n"/>
      <c r="AA123" s="11" t="n"/>
      <c r="AB123" s="12" t="n"/>
      <c r="AC123" s="11" t="n"/>
      <c r="AD123" s="11" t="n"/>
      <c r="AE123" s="11" t="n"/>
      <c r="AF123" s="11" t="n"/>
      <c r="AG123" s="12" t="n"/>
      <c r="AH123" s="12" t="n"/>
      <c r="AI123" s="12" t="n"/>
      <c r="AJ123" s="12" t="n"/>
      <c r="AK123" s="12" t="n"/>
      <c r="AL123" s="12" t="n"/>
      <c r="AM123" s="12" t="n"/>
      <c r="AN123" s="12" t="n"/>
      <c r="AO123" s="12" t="n"/>
      <c r="AP123" s="12" t="n"/>
      <c r="AQ123" s="12" t="n"/>
      <c r="AR123" s="12" t="n"/>
      <c r="AS123" s="12" t="n"/>
      <c r="AT123" s="12" t="n"/>
      <c r="AU123" s="12" t="n"/>
      <c r="AV123" s="12" t="n"/>
      <c r="AW123" s="12" t="n"/>
      <c r="AX123" s="12" t="n"/>
      <c r="AY123" s="12" t="n"/>
      <c r="AZ123" s="12" t="n"/>
      <c r="BA123" s="12" t="n"/>
      <c r="BB123" s="12" t="n"/>
      <c r="BC123" s="12" t="n"/>
      <c r="BD123" s="12" t="n"/>
      <c r="BE123" s="12" t="n"/>
      <c r="BF123" s="12" t="n"/>
      <c r="BG123" s="12" t="n"/>
      <c r="BH123" s="12" t="n"/>
      <c r="BI123" s="12" t="n"/>
      <c r="BJ123" s="12" t="n"/>
      <c r="BK123" s="12" t="n"/>
      <c r="BL123" s="12" t="n"/>
      <c r="BM123" s="12" t="n"/>
      <c r="BN123" s="12" t="n"/>
      <c r="BO123" s="12" t="n"/>
      <c r="BP123" s="12" t="n"/>
      <c r="BQ123" s="12" t="n"/>
      <c r="BR123" s="12" t="n"/>
      <c r="BS123" s="12" t="n"/>
      <c r="BT123" s="12" t="n"/>
      <c r="BU123" s="12" t="n"/>
      <c r="BV123" s="12" t="n"/>
      <c r="BW123" s="12" t="n"/>
      <c r="BX123" s="12" t="n"/>
      <c r="BY123" s="12" t="n"/>
      <c r="BZ123" s="12" t="n"/>
      <c r="CA123" s="12" t="n"/>
      <c r="CB123" s="12" t="n"/>
      <c r="CC123" s="12" t="n"/>
      <c r="CD123" s="12" t="n"/>
      <c r="CE123" s="12" t="n"/>
      <c r="CF123" s="12" t="n"/>
      <c r="CG123" s="12" t="n"/>
      <c r="CH123" s="12" t="n"/>
      <c r="CI123" s="12" t="n"/>
      <c r="CJ123" s="12" t="n"/>
      <c r="CK123" s="12" t="n"/>
      <c r="CL123" s="12" t="n"/>
      <c r="CM123" s="12" t="n"/>
      <c r="CN123" s="12" t="n"/>
      <c r="CO123" s="12" t="n"/>
      <c r="CP123" s="12" t="n"/>
      <c r="CQ123" s="12" t="n"/>
      <c r="CR123" s="12" t="n"/>
      <c r="CS123" s="12" t="n"/>
      <c r="CT123" s="12" t="n"/>
      <c r="CU123" s="12" t="n"/>
      <c r="CV123" s="12" t="n"/>
      <c r="CW123" s="12" t="n"/>
      <c r="CX123" s="12" t="n"/>
      <c r="CY123" s="12" t="n"/>
    </row>
    <row r="124" hidden="1" outlineLevel="1">
      <c r="C124" s="57" t="n"/>
      <c r="D124" s="12" t="n"/>
      <c r="E124" s="12" t="n"/>
      <c r="F124" s="12" t="n"/>
      <c r="G124" s="12" t="n"/>
      <c r="H124" s="12" t="n"/>
      <c r="I124" s="12" t="n"/>
      <c r="J124" s="12" t="n"/>
      <c r="K124" s="12" t="n"/>
      <c r="L124" s="12" t="n"/>
      <c r="M124" s="12" t="n"/>
      <c r="N124" s="12" t="n"/>
      <c r="O124" s="12" t="n"/>
      <c r="P124" s="12" t="n"/>
      <c r="Q124" s="12" t="n"/>
      <c r="R124" s="12" t="n"/>
      <c r="S124" s="12" t="n"/>
      <c r="T124" s="12" t="n"/>
      <c r="U124" s="12" t="n"/>
      <c r="V124" s="12" t="n"/>
      <c r="W124" s="12" t="n"/>
      <c r="X124" s="12" t="n"/>
      <c r="Y124" s="12" t="n"/>
      <c r="Z124" s="12" t="n"/>
      <c r="AA124" s="12" t="n"/>
      <c r="AB124" s="12" t="n"/>
      <c r="AC124" s="12" t="n"/>
      <c r="AD124" s="12" t="n"/>
      <c r="AE124" s="12" t="n"/>
      <c r="AF124" s="12" t="n"/>
      <c r="AG124" s="12" t="n"/>
      <c r="AH124" s="12" t="n"/>
      <c r="AI124" s="12" t="n"/>
      <c r="AJ124" s="12" t="n"/>
      <c r="AK124" s="12" t="n"/>
      <c r="AL124" s="12" t="n"/>
      <c r="AM124" s="12" t="n"/>
      <c r="AN124" s="12" t="n"/>
      <c r="AO124" s="12" t="n"/>
      <c r="AP124" s="12" t="n"/>
      <c r="AQ124" s="12" t="n"/>
      <c r="AR124" s="12" t="n"/>
      <c r="AS124" s="12" t="n"/>
      <c r="AT124" s="12" t="n"/>
      <c r="AU124" s="12" t="n"/>
      <c r="AV124" s="12" t="n"/>
      <c r="AW124" s="12" t="n"/>
      <c r="AX124" s="12" t="n"/>
      <c r="AY124" s="12" t="n"/>
      <c r="AZ124" s="12" t="n"/>
      <c r="BA124" s="12" t="n"/>
      <c r="BB124" s="12" t="n"/>
      <c r="BC124" s="12" t="n"/>
      <c r="BD124" s="12" t="n"/>
      <c r="BE124" s="12" t="n"/>
      <c r="BF124" s="12" t="n"/>
      <c r="BG124" s="12" t="n"/>
      <c r="BH124" s="12" t="n"/>
      <c r="BI124" s="12" t="n"/>
      <c r="BJ124" s="12" t="n"/>
      <c r="BK124" s="12" t="n"/>
      <c r="BL124" s="12" t="n"/>
      <c r="BM124" s="12" t="n"/>
      <c r="BN124" s="12" t="n"/>
      <c r="BO124" s="12" t="n"/>
      <c r="BP124" s="12" t="n"/>
      <c r="BQ124" s="12" t="n"/>
      <c r="BR124" s="12" t="n"/>
      <c r="BS124" s="12" t="n"/>
      <c r="BT124" s="12" t="n"/>
      <c r="BU124" s="12" t="n"/>
      <c r="BV124" s="12" t="n"/>
      <c r="BW124" s="12" t="n"/>
      <c r="BX124" s="12" t="n"/>
      <c r="BY124" s="12" t="n"/>
      <c r="BZ124" s="12" t="n"/>
      <c r="CA124" s="12" t="n"/>
      <c r="CB124" s="12" t="n"/>
      <c r="CC124" s="12" t="n"/>
      <c r="CD124" s="12" t="n"/>
      <c r="CE124" s="12" t="n"/>
      <c r="CF124" s="12" t="n"/>
      <c r="CG124" s="12" t="n"/>
      <c r="CH124" s="12" t="n"/>
      <c r="CI124" s="12" t="n"/>
      <c r="CJ124" s="12" t="n"/>
      <c r="CK124" s="12" t="n"/>
      <c r="CL124" s="12" t="n"/>
      <c r="CM124" s="12" t="n"/>
      <c r="CN124" s="12" t="n"/>
      <c r="CO124" s="12" t="n"/>
      <c r="CP124" s="12" t="n"/>
      <c r="CQ124" s="12" t="n"/>
      <c r="CR124" s="12" t="n"/>
      <c r="CS124" s="12" t="n"/>
      <c r="CT124" s="12" t="n"/>
      <c r="CU124" s="12" t="n"/>
      <c r="CV124" s="12" t="n"/>
      <c r="CW124" s="12" t="n"/>
      <c r="CX124" s="12" t="n"/>
      <c r="CY124" s="12" t="n"/>
    </row>
    <row r="125" hidden="1" outlineLevel="1">
      <c r="C125" s="57" t="n"/>
      <c r="D125" s="12" t="n"/>
      <c r="E125" s="12" t="n"/>
      <c r="F125" s="12" t="n"/>
      <c r="G125" s="12" t="n"/>
      <c r="H125" s="12" t="n"/>
      <c r="I125" s="12" t="n"/>
      <c r="J125" s="12" t="n"/>
      <c r="K125" s="12" t="n"/>
      <c r="L125" s="12" t="n"/>
      <c r="M125" s="12" t="n"/>
      <c r="N125" s="12" t="n"/>
      <c r="O125" s="12" t="n"/>
      <c r="P125" s="12" t="n"/>
      <c r="Q125" s="12" t="n"/>
      <c r="R125" s="12" t="n"/>
      <c r="S125" s="12" t="n"/>
      <c r="T125" s="12" t="n"/>
      <c r="U125" s="12" t="n"/>
      <c r="V125" s="12" t="n"/>
      <c r="W125" s="12" t="n"/>
      <c r="X125" s="12" t="n"/>
      <c r="Y125" s="12" t="n"/>
      <c r="Z125" s="12" t="n"/>
      <c r="AA125" s="12" t="n"/>
      <c r="AB125" s="12" t="n"/>
      <c r="AC125" s="12" t="n"/>
      <c r="AD125" s="12" t="n"/>
      <c r="AE125" s="12" t="n"/>
      <c r="AF125" s="12" t="n"/>
      <c r="AG125" s="12" t="n"/>
      <c r="AH125" s="12" t="n"/>
      <c r="AI125" s="12" t="n"/>
      <c r="AJ125" s="12" t="n"/>
      <c r="AK125" s="12" t="n"/>
      <c r="AL125" s="12" t="n"/>
      <c r="AM125" s="12" t="n"/>
      <c r="AN125" s="12" t="n"/>
      <c r="AO125" s="12" t="n"/>
      <c r="AP125" s="12" t="n"/>
      <c r="AQ125" s="12" t="n"/>
      <c r="AR125" s="12" t="n"/>
      <c r="AS125" s="12" t="n"/>
      <c r="AT125" s="12" t="n"/>
      <c r="AU125" s="12" t="n"/>
      <c r="AV125" s="12" t="n"/>
      <c r="AW125" s="12" t="n"/>
      <c r="AX125" s="12" t="n"/>
      <c r="AY125" s="12" t="n"/>
      <c r="AZ125" s="12" t="n"/>
      <c r="BA125" s="12" t="n"/>
      <c r="BB125" s="12" t="n"/>
      <c r="BC125" s="12" t="n"/>
      <c r="BD125" s="12" t="n"/>
      <c r="BE125" s="12" t="n"/>
      <c r="BF125" s="12" t="n"/>
      <c r="BG125" s="12" t="n"/>
      <c r="BH125" s="12" t="n"/>
      <c r="BI125" s="12" t="n"/>
      <c r="BJ125" s="12" t="n"/>
      <c r="BK125" s="12" t="n"/>
      <c r="BL125" s="12" t="n"/>
      <c r="BM125" s="12" t="n"/>
      <c r="BN125" s="12" t="n"/>
      <c r="BO125" s="12" t="n"/>
      <c r="BP125" s="12" t="n"/>
      <c r="BQ125" s="12" t="n"/>
      <c r="BR125" s="12" t="n"/>
      <c r="BS125" s="12" t="n"/>
      <c r="BT125" s="12" t="n"/>
      <c r="BU125" s="12" t="n"/>
      <c r="BV125" s="12" t="n"/>
      <c r="BW125" s="12" t="n"/>
      <c r="BX125" s="12" t="n"/>
      <c r="BY125" s="12" t="n"/>
      <c r="BZ125" s="12" t="n"/>
      <c r="CA125" s="12" t="n"/>
      <c r="CB125" s="12" t="n"/>
      <c r="CC125" s="12" t="n"/>
      <c r="CD125" s="12" t="n"/>
      <c r="CE125" s="12" t="n"/>
      <c r="CF125" s="12" t="n"/>
      <c r="CG125" s="12" t="n"/>
      <c r="CH125" s="12" t="n"/>
      <c r="CI125" s="12" t="n"/>
      <c r="CJ125" s="12" t="n"/>
      <c r="CK125" s="12" t="n"/>
      <c r="CL125" s="12" t="n"/>
      <c r="CM125" s="12" t="n"/>
      <c r="CN125" s="12" t="n"/>
      <c r="CO125" s="12" t="n"/>
      <c r="CP125" s="12" t="n"/>
      <c r="CQ125" s="12" t="n"/>
      <c r="CR125" s="12" t="n"/>
      <c r="CS125" s="12" t="n"/>
      <c r="CT125" s="12" t="n"/>
      <c r="CU125" s="12" t="n"/>
      <c r="CV125" s="12" t="n"/>
      <c r="CW125" s="12" t="n"/>
      <c r="CX125" s="12" t="n"/>
      <c r="CY125" s="12" t="n"/>
    </row>
    <row r="126" collapsed="1" customFormat="1" s="32">
      <c r="A126" s="30" t="n"/>
      <c r="B126" s="3" t="n"/>
      <c r="C126" s="33" t="inlineStr">
        <is>
          <t>Pretax Income - EBT</t>
        </is>
      </c>
      <c r="D126" s="35" t="n"/>
      <c r="E126" s="35" t="n"/>
      <c r="F126" s="35" t="n"/>
      <c r="G126" s="35" t="n"/>
      <c r="H126" s="35" t="n"/>
      <c r="I126" s="35">
        <f>SUM(I69,I70,I119)</f>
        <v>21283</v>
      </c>
      <c r="J126" s="35">
        <f>SUM(J69,J70,J119)</f>
        <v>21985</v>
      </c>
      <c r="K126" s="35">
        <f>SUM(K69,K70,K119)</f>
        <v>23064</v>
      </c>
      <c r="L126" s="35">
        <f>SUM(L69,L70,L119)</f>
        <v>24402</v>
      </c>
      <c r="M126" s="35">
        <f>SUM(I126:L126)</f>
        <v>90734</v>
      </c>
      <c r="N126" s="35">
        <f>SUM(N69,N70,N119)</f>
        <v>18934</v>
      </c>
      <c r="O126" s="35">
        <f>SUM(O69,O70,O119)</f>
        <v>19014</v>
      </c>
      <c r="P126" s="35">
        <f>SUM(P69,P70,P119)</f>
        <v>16233</v>
      </c>
      <c r="Q126" s="35">
        <f>SUM(Q69,Q70,Q119)</f>
        <v>17147</v>
      </c>
      <c r="R126" s="35">
        <f>SUM(N126:Q126)</f>
        <v>71328</v>
      </c>
      <c r="S126" s="35">
        <f>SUM(S69,S70,S119)</f>
        <v>18205</v>
      </c>
      <c r="T126" s="35">
        <f>SUM(T69,T70,T119)</f>
        <v>21903</v>
      </c>
      <c r="U126" s="35">
        <f>SUM(U69,U70,U119)</f>
        <v>21197</v>
      </c>
      <c r="V126" s="35">
        <f>SUM(V69,V70,V119)</f>
        <v>24412</v>
      </c>
      <c r="W126" s="35">
        <f>SUM(S126:V126)</f>
        <v>85717</v>
      </c>
      <c r="X126" s="35">
        <f>SUM(X69,X70,X119)</f>
        <v>28315</v>
      </c>
      <c r="Y126" s="35">
        <f>SUM(Y69,Y70,Y119)</f>
        <v>27551</v>
      </c>
      <c r="Z126" s="35">
        <f>SUM(Z69,Z70,Z119)</f>
        <v>31706</v>
      </c>
      <c r="AA126" s="35">
        <f>SUM(AA69,AA70,AA119)</f>
        <v>32243</v>
      </c>
      <c r="AB126" s="35">
        <f>SUM(X126:AA126)</f>
        <v>119815</v>
      </c>
      <c r="AC126" s="35">
        <f>SUM(AC69,AC70,AC119)</f>
        <v>41789</v>
      </c>
      <c r="AD126" s="35">
        <f>SUM(AD69,AD70,AD119)</f>
        <v>33933</v>
      </c>
      <c r="AE126" s="35">
        <f>SUM(AE69,AE70,AE119)</f>
        <v>43987</v>
      </c>
      <c r="AF126" s="35">
        <f>SUM(AF69,AF70,AF119)</f>
        <v>39117</v>
      </c>
      <c r="AG126" s="35">
        <f>SUM(AC126:AF126)</f>
        <v>158826</v>
      </c>
      <c r="AH126" s="35">
        <f>SUM(AH69,AH70,AH119)</f>
        <v>77412</v>
      </c>
      <c r="AI126" s="35">
        <f>SUM(AI69,AI70,AI119)</f>
        <v>138753</v>
      </c>
      <c r="AJ126" s="35">
        <f>SUM(AJ69,AJ70,AJ119:AJ124)</f>
        <v>71828.9297744404</v>
      </c>
      <c r="AK126" s="35">
        <f>SUM(AK69,AK70,AK119:AK124)</f>
        <v>79887.9804515543</v>
      </c>
      <c r="AL126" s="35">
        <f>SUM(AH126:AK126)</f>
        <v>367881.910225995</v>
      </c>
      <c r="AM126" s="35">
        <f>SUM(AM69,AM70,AM119:AM124)</f>
        <v>77127.7047123669</v>
      </c>
      <c r="AN126" s="35">
        <f>SUM(AN69,AN70,AN119:AN124)</f>
        <v>84075.767213754</v>
      </c>
      <c r="AO126" s="35">
        <f>SUM(AO69,AO70,AO119:AO124)</f>
        <v>84494.2794770519</v>
      </c>
      <c r="AP126" s="35">
        <f>SUM(AP69,AP70,AP119:AP124)</f>
        <v>93974.3550172292</v>
      </c>
      <c r="AQ126" s="35">
        <f>SUM(AM126:AP126)</f>
        <v>339672.106420402</v>
      </c>
      <c r="AR126" s="35">
        <f>SUM(AR69,AR70,AR119:AR124)</f>
        <v>90341.730766983</v>
      </c>
      <c r="AS126" s="35">
        <f>SUM(AS69,AS70,AS119:AS124)</f>
        <v>98480.1810708442</v>
      </c>
      <c r="AT126" s="35">
        <f>SUM(AT69,AT70,AT119:AT124)</f>
        <v>98970.395609894</v>
      </c>
      <c r="AU126" s="35">
        <f>SUM(AU69,AU70,AU119:AU124)</f>
        <v>110074.660093004</v>
      </c>
      <c r="AV126" s="35">
        <f>SUM(AR126:AU126)</f>
        <v>397866.967540725</v>
      </c>
      <c r="AW126" s="35">
        <f>SUM(AW69,AW70,AW119:AW124)</f>
        <v>105367.962091084</v>
      </c>
      <c r="AX126" s="35">
        <f>SUM(AX69,AX70,AX119:AX124)</f>
        <v>114860.053019797</v>
      </c>
      <c r="AY126" s="35">
        <f>SUM(AY69,AY70,AY119:AY124)</f>
        <v>115431.803267756</v>
      </c>
      <c r="AZ126" s="35">
        <f>SUM(AZ69,AZ70,AZ119:AZ124)</f>
        <v>128383.002112104</v>
      </c>
      <c r="BA126" s="35">
        <f>SUM(AW126:AZ126)</f>
        <v>464042.820490741</v>
      </c>
      <c r="BB126" s="35">
        <f>SUM(BB69,BB70,BB119:BB124)</f>
        <v>122366.615306809</v>
      </c>
      <c r="BC126" s="35">
        <f>SUM(BC69,BC70,BC119:BC124)</f>
        <v>133390.032824621</v>
      </c>
      <c r="BD126" s="35">
        <f>SUM(BD69,BD70,BD119:BD124)</f>
        <v>134054.021586054</v>
      </c>
      <c r="BE126" s="35">
        <f>SUM(BE69,BE70,BE119:BE124)</f>
        <v>149094.593077589</v>
      </c>
      <c r="BF126" s="35">
        <f>SUM(BB126:BE126)</f>
        <v>538905.262795073</v>
      </c>
      <c r="BG126" s="35" t="n"/>
      <c r="BH126" s="35" t="n"/>
      <c r="BI126" s="35" t="n"/>
      <c r="BJ126" s="35" t="n"/>
      <c r="BK126" s="35" t="n"/>
      <c r="BL126" s="35" t="n"/>
      <c r="BM126" s="35" t="n"/>
      <c r="BN126" s="35" t="n"/>
      <c r="BO126" s="35" t="n"/>
      <c r="BP126" s="35" t="n"/>
      <c r="BQ126" s="35" t="n"/>
      <c r="BR126" s="35" t="n"/>
      <c r="BS126" s="35" t="n"/>
      <c r="BT126" s="35" t="n"/>
      <c r="BU126" s="35" t="n"/>
      <c r="BV126" s="35" t="n"/>
      <c r="BW126" s="35" t="n"/>
      <c r="BX126" s="35" t="n"/>
      <c r="BY126" s="35" t="n"/>
      <c r="BZ126" s="35" t="n"/>
      <c r="CA126" s="35" t="n"/>
      <c r="CB126" s="35" t="n"/>
      <c r="CC126" s="35" t="n"/>
      <c r="CD126" s="35" t="n"/>
      <c r="CE126" s="35" t="n"/>
      <c r="CF126" s="35" t="n"/>
      <c r="CG126" s="35" t="n"/>
      <c r="CH126" s="35" t="n"/>
      <c r="CI126" s="35" t="n"/>
      <c r="CJ126" s="35" t="n"/>
      <c r="CK126" s="35" t="n"/>
      <c r="CL126" s="35" t="n"/>
      <c r="CM126" s="35" t="n"/>
      <c r="CN126" s="35" t="n"/>
      <c r="CO126" s="35" t="n"/>
      <c r="CP126" s="35" t="n"/>
      <c r="CQ126" s="35" t="n"/>
      <c r="CR126" s="35" t="n"/>
      <c r="CS126" s="35" t="n"/>
      <c r="CT126" s="35" t="n"/>
      <c r="CU126" s="35" t="n"/>
      <c r="CV126" s="35" t="n"/>
      <c r="CW126" s="35" t="n"/>
      <c r="CX126" s="35" t="n"/>
      <c r="CY126" s="35" t="n"/>
    </row>
    <row r="127">
      <c r="C127" s="14" t="inlineStr">
        <is>
          <t>Taxes</t>
        </is>
      </c>
      <c r="D127" s="46" t="n"/>
      <c r="E127" s="46" t="n"/>
      <c r="F127" s="46" t="n"/>
      <c r="G127" s="46" t="n"/>
      <c r="H127" s="12" t="n"/>
      <c r="I127" s="46">
        <f>'Inputs (2)'!D10</f>
        <v>-3353</v>
      </c>
      <c r="J127" s="46">
        <f>'Inputs (2)'!E10</f>
        <v>-3460</v>
      </c>
      <c r="K127" s="46">
        <f>'Inputs (2)'!F10</f>
        <v>-4128</v>
      </c>
      <c r="L127" s="46">
        <f>'Inputs (2)'!G10</f>
        <v>-3760</v>
      </c>
      <c r="M127" s="12">
        <f>'Inputs (2)'!H10</f>
        <v>-14701</v>
      </c>
      <c r="N127" s="46">
        <f>'Inputs (2)'!I10</f>
        <v>-2498</v>
      </c>
      <c r="O127" s="46">
        <f>'Inputs (2)'!J10</f>
        <v>-3012</v>
      </c>
      <c r="P127" s="46">
        <f>'Inputs (2)'!K10</f>
        <v>-2323</v>
      </c>
      <c r="Q127" s="46">
        <f>'Inputs (2)'!L10</f>
        <v>-3523</v>
      </c>
      <c r="R127" s="12">
        <f>'Inputs (2)'!M10</f>
        <v>-11356</v>
      </c>
      <c r="S127" s="46">
        <f>'Inputs (2)'!N10</f>
        <v>-3154</v>
      </c>
      <c r="T127" s="46">
        <f>'Inputs (2)'!O10</f>
        <v>-3535</v>
      </c>
      <c r="U127" s="46">
        <f>'Inputs (2)'!P10</f>
        <v>-1508</v>
      </c>
      <c r="V127" s="46">
        <f>'Inputs (2)'!Q10</f>
        <v>-3725</v>
      </c>
      <c r="W127" s="12">
        <f>'Inputs (2)'!R10</f>
        <v>-11922</v>
      </c>
      <c r="X127" s="46">
        <f>'Inputs (2)'!S10</f>
        <v>-4653</v>
      </c>
      <c r="Y127" s="46">
        <f>'Inputs (2)'!T10</f>
        <v>-3932</v>
      </c>
      <c r="Z127" s="46">
        <f>'Inputs (2)'!U10</f>
        <v>-5405</v>
      </c>
      <c r="AA127" s="46">
        <f>'Inputs (2)'!V10</f>
        <v>-5707</v>
      </c>
      <c r="AB127" s="12">
        <f>'Inputs (2)'!W10</f>
        <v>-19697</v>
      </c>
      <c r="AC127" s="46">
        <f>'Inputs (2)'!X10</f>
        <v>-7249</v>
      </c>
      <c r="AD127" s="46">
        <f>'Inputs (2)'!Y10</f>
        <v>-5737</v>
      </c>
      <c r="AE127" s="46">
        <f>'Inputs (2)'!Z10</f>
        <v>-9008</v>
      </c>
      <c r="AF127" s="46">
        <f>'Inputs (2)'!AA10</f>
        <v>-4662</v>
      </c>
      <c r="AG127" s="12">
        <f>'Inputs (2)'!AB10</f>
        <v>-26656</v>
      </c>
      <c r="AH127" s="12">
        <f>'Inputs (2)'!AC10</f>
        <v>-14834</v>
      </c>
      <c r="AI127" s="12">
        <f>'Inputs (2)'!AD10</f>
        <v>-26560</v>
      </c>
      <c r="AJ127" s="12">
        <f>-AJ126*AJ128</f>
        <v>-12564.6417743818</v>
      </c>
      <c r="AK127" s="12">
        <f>-AK126*AK128</f>
        <v>-13974.3674255575</v>
      </c>
      <c r="AL127" s="12">
        <f>SUM(AH127:AK127)</f>
        <v>-67933.0091999393</v>
      </c>
      <c r="AM127" s="12">
        <f>-AM126*AM128</f>
        <v>-13491.5274894716</v>
      </c>
      <c r="AN127" s="12">
        <f>-AN126*AN128</f>
        <v>-14706.9140562782</v>
      </c>
      <c r="AO127" s="12">
        <f>-AO126*AO128</f>
        <v>-14780.1221171951</v>
      </c>
      <c r="AP127" s="12">
        <f>-AP126*AP128</f>
        <v>-16438.4198745256</v>
      </c>
      <c r="AQ127" s="12">
        <f>SUM(AM127:AP127)</f>
        <v>-59416.9835374705</v>
      </c>
      <c r="AR127" s="12">
        <f>-AR126*AR128</f>
        <v>-15802.9847852293</v>
      </c>
      <c r="AS127" s="12">
        <f>-AS126*AS128</f>
        <v>-17226.5993787884</v>
      </c>
      <c r="AT127" s="12">
        <f>-AT126*AT128</f>
        <v>-17312.3499265844</v>
      </c>
      <c r="AU127" s="12">
        <f>-AU126*AU128</f>
        <v>-19254.7581712346</v>
      </c>
      <c r="AV127" s="12">
        <f>SUM(AR127:AU127)</f>
        <v>-69596.6922618368</v>
      </c>
      <c r="AW127" s="12">
        <f>-AW126*AW128</f>
        <v>-18431.4412358434</v>
      </c>
      <c r="AX127" s="12">
        <f>-AX126*AX128</f>
        <v>-20091.840779365</v>
      </c>
      <c r="AY127" s="12">
        <f>-AY126*AY128</f>
        <v>-20191.8539227124</v>
      </c>
      <c r="AZ127" s="12">
        <f>-AZ126*AZ128</f>
        <v>-22457.3362922677</v>
      </c>
      <c r="BA127" s="12">
        <f>SUM(AW127:AZ127)</f>
        <v>-81172.4722301885</v>
      </c>
      <c r="BB127" s="12">
        <f>-BB126*BB128</f>
        <v>-21404.9226586242</v>
      </c>
      <c r="BC127" s="12">
        <f>-BC126*BC128</f>
        <v>-23333.1887858752</v>
      </c>
      <c r="BD127" s="12">
        <f>-BD126*BD128</f>
        <v>-23449.3367078312</v>
      </c>
      <c r="BE127" s="12">
        <f>-BE126*BE128</f>
        <v>-26080.3016054923</v>
      </c>
      <c r="BF127" s="12">
        <f>SUM(BB127:BE127)</f>
        <v>-94267.7497578229</v>
      </c>
      <c r="BG127" s="12" t="n"/>
      <c r="BH127" s="12" t="n"/>
      <c r="BI127" s="12" t="n"/>
      <c r="BJ127" s="12" t="n"/>
      <c r="BK127" s="12" t="n"/>
      <c r="BL127" s="12" t="n"/>
      <c r="BM127" s="12" t="n"/>
      <c r="BN127" s="12" t="n"/>
      <c r="BO127" s="12" t="n"/>
      <c r="BP127" s="12" t="n"/>
      <c r="BQ127" s="12" t="n"/>
      <c r="BR127" s="12" t="n"/>
      <c r="BS127" s="12" t="n"/>
      <c r="BT127" s="12" t="n"/>
      <c r="BU127" s="12" t="n"/>
      <c r="BV127" s="12" t="n"/>
      <c r="BW127" s="12" t="n"/>
      <c r="BX127" s="12" t="n"/>
      <c r="BY127" s="12" t="n"/>
      <c r="BZ127" s="12" t="n"/>
      <c r="CA127" s="12" t="n"/>
      <c r="CB127" s="12" t="n"/>
      <c r="CC127" s="12" t="n"/>
      <c r="CD127" s="12" t="n"/>
      <c r="CE127" s="12" t="n"/>
      <c r="CF127" s="12" t="n"/>
      <c r="CG127" s="12" t="n"/>
      <c r="CH127" s="12" t="n"/>
      <c r="CI127" s="12" t="n"/>
      <c r="CJ127" s="12" t="n"/>
      <c r="CK127" s="12" t="n"/>
      <c r="CL127" s="12" t="n"/>
      <c r="CM127" s="12" t="n"/>
      <c r="CN127" s="12" t="n"/>
      <c r="CO127" s="12" t="n"/>
      <c r="CP127" s="12" t="n"/>
      <c r="CQ127" s="12" t="n"/>
      <c r="CR127" s="12" t="n"/>
      <c r="CS127" s="12" t="n"/>
      <c r="CT127" s="12" t="n"/>
      <c r="CU127" s="12" t="n"/>
      <c r="CV127" s="12" t="n"/>
      <c r="CW127" s="12" t="n"/>
      <c r="CX127" s="12" t="n"/>
      <c r="CY127" s="12" t="n"/>
    </row>
    <row r="128" hidden="1" outlineLevel="1">
      <c r="C128" s="57" t="inlineStr">
        <is>
          <t>% ETR</t>
        </is>
      </c>
      <c r="D128" s="53" t="n"/>
      <c r="E128" s="53" t="n"/>
      <c r="F128" s="53" t="n"/>
      <c r="G128" s="53" t="n"/>
      <c r="H128" s="53" t="n"/>
      <c r="I128" s="53">
        <f>IFERROR(-I127/I126,"")</f>
        <v>0.157543579382606</v>
      </c>
      <c r="J128" s="53">
        <f>IFERROR(-J127/J126,"")</f>
        <v>0.157380031839891</v>
      </c>
      <c r="K128" s="53">
        <f>IFERROR(-K127/K126,"")</f>
        <v>0.1789802289282</v>
      </c>
      <c r="L128" s="53">
        <f>IFERROR(-L127/L126,"")</f>
        <v>0.154085730677813</v>
      </c>
      <c r="M128" s="53">
        <f>IFERROR(-M127/M126,"")</f>
        <v>0.162023056406639</v>
      </c>
      <c r="N128" s="53">
        <f>IFERROR(-N127/N126,"")</f>
        <v>0.13193197422626</v>
      </c>
      <c r="O128" s="53">
        <f>IFERROR(-O127/O126,"")</f>
        <v>0.158409592931524</v>
      </c>
      <c r="P128" s="53">
        <f>IFERROR(-P127/P126,"")</f>
        <v>0.143103554487772</v>
      </c>
      <c r="Q128" s="53">
        <f>IFERROR(-Q127/Q126,"")</f>
        <v>0.205458680818802</v>
      </c>
      <c r="R128" s="53">
        <f>IFERROR(-R127/R126,"")</f>
        <v>0.159208165096456</v>
      </c>
      <c r="S128" s="53">
        <f>IFERROR(-S127/S126,"")</f>
        <v>0.17324910738808</v>
      </c>
      <c r="T128" s="53">
        <f>IFERROR(-T127/T126,"")</f>
        <v>0.161393416426973</v>
      </c>
      <c r="U128" s="53">
        <f>IFERROR(-U127/U126,"")</f>
        <v>0.0711421427560504</v>
      </c>
      <c r="V128" s="53">
        <f>IFERROR(-V127/V126,"")</f>
        <v>0.152588890709487</v>
      </c>
      <c r="W128" s="53">
        <f>IFERROR(-W127/W126,"")</f>
        <v>0.139085595622805</v>
      </c>
      <c r="X128" s="53">
        <f>IFERROR(-X127/X126,"")</f>
        <v>0.164329860497969</v>
      </c>
      <c r="Y128" s="53">
        <f>IFERROR(-Y127/Y126,"")</f>
        <v>0.142717142753439</v>
      </c>
      <c r="Z128" s="53">
        <f>IFERROR(-Z127/Z126,"")</f>
        <v>0.170472465779348</v>
      </c>
      <c r="AA128" s="53">
        <f>IFERROR(-AA127/AA126,"")</f>
        <v>0.176999658840679</v>
      </c>
      <c r="AB128" s="53">
        <f>IFERROR(-AB127/AB126,"")</f>
        <v>0.16439510912657</v>
      </c>
      <c r="AC128" s="53">
        <f>IFERROR(-AC127/AC126,"")</f>
        <v>0.173466701763622</v>
      </c>
      <c r="AD128" s="53">
        <f>IFERROR(-AD127/AD126,"")</f>
        <v>0.169068458432794</v>
      </c>
      <c r="AE128" s="53">
        <f>IFERROR(-AE127/AE126,"")</f>
        <v>0.204787778207198</v>
      </c>
      <c r="AF128" s="41">
        <f>IFERROR(-AF127/AF126,"")</f>
        <v>0.119180918782115</v>
      </c>
      <c r="AG128" s="53">
        <f>IFERROR(-AG127/AG126,"")</f>
        <v>0.167831463362422</v>
      </c>
      <c r="AH128" s="41">
        <f>IFERROR(-AH127/AH126,"")</f>
        <v>0.191624037616907</v>
      </c>
      <c r="AI128" s="41">
        <f>IFERROR(-AI127/AI126,"")</f>
        <v>0.19141928462808</v>
      </c>
      <c r="AJ128" s="41">
        <f>Control!$B$22</f>
        <v>0.174924529905119</v>
      </c>
      <c r="AK128" s="41">
        <f>Control!$B$22</f>
        <v>0.174924529905119</v>
      </c>
      <c r="AL128" s="53">
        <f>IFERROR(-AL127/AL126,"")</f>
        <v>0.184659825100417</v>
      </c>
      <c r="AM128" s="41">
        <f>Control!$C$22</f>
        <v>0.174924529905119</v>
      </c>
      <c r="AN128" s="41">
        <f>Control!$C$22</f>
        <v>0.174924529905119</v>
      </c>
      <c r="AO128" s="41">
        <f>Control!$C$22</f>
        <v>0.174924529905119</v>
      </c>
      <c r="AP128" s="41">
        <f>Control!$C$22</f>
        <v>0.174924529905119</v>
      </c>
      <c r="AQ128" s="53">
        <f>IFERROR(-AQ127/AQ126,"")</f>
        <v>0.174924529905119</v>
      </c>
      <c r="AR128" s="41">
        <f>Control!$D$22</f>
        <v>0.174924529905119</v>
      </c>
      <c r="AS128" s="41">
        <f>Control!$D$22</f>
        <v>0.174924529905119</v>
      </c>
      <c r="AT128" s="41">
        <f>Control!$D$22</f>
        <v>0.174924529905119</v>
      </c>
      <c r="AU128" s="41">
        <f>Control!$D$22</f>
        <v>0.174924529905119</v>
      </c>
      <c r="AV128" s="53">
        <f>IFERROR(-AV127/AV126,"")</f>
        <v>0.174924529905119</v>
      </c>
      <c r="AW128" s="41">
        <f>Control!$E$22</f>
        <v>0.174924529905119</v>
      </c>
      <c r="AX128" s="41">
        <f>Control!$E$22</f>
        <v>0.174924529905119</v>
      </c>
      <c r="AY128" s="41">
        <f>Control!$E$22</f>
        <v>0.174924529905119</v>
      </c>
      <c r="AZ128" s="41">
        <f>Control!$E$22</f>
        <v>0.174924529905119</v>
      </c>
      <c r="BA128" s="53">
        <f>IFERROR(-BA127/BA126,"")</f>
        <v>0.174924529905119</v>
      </c>
      <c r="BB128" s="41">
        <f>Control!$F$22</f>
        <v>0.174924529905119</v>
      </c>
      <c r="BC128" s="41">
        <f>Control!$F$22</f>
        <v>0.174924529905119</v>
      </c>
      <c r="BD128" s="41">
        <f>Control!$F$22</f>
        <v>0.174924529905119</v>
      </c>
      <c r="BE128" s="41">
        <f>Control!$F$22</f>
        <v>0.174924529905119</v>
      </c>
      <c r="BF128" s="53">
        <f>IFERROR(-BF127/BF126,"")</f>
        <v>0.174924529905119</v>
      </c>
      <c r="BG128" s="41" t="n"/>
      <c r="BH128" s="41" t="n"/>
      <c r="BI128" s="41" t="n"/>
      <c r="BJ128" s="41" t="n"/>
      <c r="BK128" s="53" t="n"/>
      <c r="BL128" s="41" t="n"/>
      <c r="BM128" s="41" t="n"/>
      <c r="BN128" s="41" t="n"/>
      <c r="BO128" s="41" t="n"/>
      <c r="BP128" s="53" t="n"/>
      <c r="BQ128" s="41" t="n"/>
      <c r="BR128" s="41" t="n"/>
      <c r="BS128" s="41" t="n"/>
      <c r="BT128" s="41" t="n"/>
      <c r="BU128" s="53" t="n"/>
      <c r="BV128" s="41" t="n"/>
      <c r="BW128" s="41" t="n"/>
      <c r="BX128" s="41" t="n"/>
      <c r="BY128" s="41" t="n"/>
      <c r="BZ128" s="53" t="n"/>
      <c r="CA128" s="41" t="n"/>
      <c r="CB128" s="41" t="n"/>
      <c r="CC128" s="41" t="n"/>
      <c r="CD128" s="41" t="n"/>
      <c r="CE128" s="53" t="n"/>
      <c r="CF128" s="41" t="n"/>
      <c r="CG128" s="41" t="n"/>
      <c r="CH128" s="41" t="n"/>
      <c r="CI128" s="41" t="n"/>
      <c r="CJ128" s="53" t="n"/>
      <c r="CK128" s="41" t="n"/>
      <c r="CL128" s="41" t="n"/>
      <c r="CM128" s="41" t="n"/>
      <c r="CN128" s="41" t="n"/>
      <c r="CO128" s="53" t="n"/>
      <c r="CP128" s="41" t="n"/>
      <c r="CQ128" s="41" t="n"/>
      <c r="CR128" s="41" t="n"/>
      <c r="CS128" s="41" t="n"/>
      <c r="CT128" s="53" t="n"/>
      <c r="CU128" s="41" t="n"/>
      <c r="CV128" s="41" t="n"/>
      <c r="CW128" s="41" t="n"/>
      <c r="CX128" s="41" t="n"/>
      <c r="CY128" s="53" t="n"/>
    </row>
    <row r="129" hidden="1" outlineLevel="1">
      <c r="C129" s="57" t="n"/>
      <c r="D129" s="12" t="n"/>
      <c r="E129" s="12" t="n"/>
      <c r="F129" s="12" t="n"/>
      <c r="G129" s="12" t="n"/>
      <c r="H129" s="12" t="n"/>
      <c r="I129" s="12" t="n"/>
      <c r="J129" s="12" t="n"/>
      <c r="K129" s="12" t="n"/>
      <c r="L129" s="12" t="n"/>
      <c r="M129" s="12" t="n"/>
      <c r="N129" s="12" t="n"/>
      <c r="O129" s="12" t="n"/>
      <c r="P129" s="12" t="n"/>
      <c r="Q129" s="12" t="n"/>
      <c r="R129" s="12" t="n"/>
      <c r="S129" s="12" t="n"/>
      <c r="T129" s="12" t="n"/>
      <c r="U129" s="12" t="n"/>
      <c r="V129" s="12" t="n"/>
      <c r="W129" s="12" t="n"/>
      <c r="X129" s="12" t="n"/>
      <c r="Y129" s="12" t="n"/>
      <c r="Z129" s="12" t="n"/>
      <c r="AA129" s="12" t="n"/>
      <c r="AB129" s="12" t="n"/>
      <c r="AC129" s="12" t="n"/>
      <c r="AD129" s="12" t="n"/>
      <c r="AE129" s="12" t="n"/>
      <c r="AF129" s="12" t="n"/>
      <c r="AG129" s="12" t="n"/>
      <c r="AH129" s="12" t="n"/>
      <c r="AI129" s="12" t="n"/>
      <c r="AJ129" s="12" t="n"/>
      <c r="AK129" s="12" t="n"/>
      <c r="AL129" s="12" t="n"/>
      <c r="AM129" s="12" t="n"/>
      <c r="AN129" s="12" t="n"/>
      <c r="AO129" s="12" t="n"/>
      <c r="AP129" s="12" t="n"/>
      <c r="AQ129" s="12" t="n"/>
      <c r="AR129" s="12" t="n"/>
      <c r="AS129" s="12" t="n"/>
      <c r="AT129" s="12" t="n"/>
      <c r="AU129" s="12" t="n"/>
      <c r="AV129" s="12" t="n"/>
      <c r="AW129" s="12" t="n"/>
      <c r="AX129" s="12" t="n"/>
      <c r="AY129" s="12" t="n"/>
      <c r="AZ129" s="12" t="n"/>
      <c r="BA129" s="12" t="n"/>
      <c r="BB129" s="12" t="n"/>
      <c r="BC129" s="12" t="n"/>
      <c r="BD129" s="12" t="n"/>
      <c r="BE129" s="12" t="n"/>
      <c r="BF129" s="12" t="n"/>
      <c r="BG129" s="12" t="n"/>
      <c r="BH129" s="12" t="n"/>
      <c r="BI129" s="12" t="n"/>
      <c r="BJ129" s="12" t="n"/>
      <c r="BK129" s="12" t="n"/>
      <c r="BL129" s="12" t="n"/>
      <c r="BM129" s="12" t="n"/>
      <c r="BN129" s="12" t="n"/>
      <c r="BO129" s="12" t="n"/>
      <c r="BP129" s="12" t="n"/>
      <c r="BQ129" s="12" t="n"/>
      <c r="BR129" s="12" t="n"/>
      <c r="BS129" s="12" t="n"/>
      <c r="BT129" s="12" t="n"/>
      <c r="BU129" s="12" t="n"/>
      <c r="BV129" s="12" t="n"/>
      <c r="BW129" s="12" t="n"/>
      <c r="BX129" s="12" t="n"/>
      <c r="BY129" s="12" t="n"/>
      <c r="BZ129" s="12" t="n"/>
      <c r="CA129" s="12" t="n"/>
      <c r="CB129" s="12" t="n"/>
      <c r="CC129" s="12" t="n"/>
      <c r="CD129" s="12" t="n"/>
      <c r="CE129" s="12" t="n"/>
      <c r="CF129" s="12" t="n"/>
      <c r="CG129" s="12" t="n"/>
      <c r="CH129" s="12" t="n"/>
      <c r="CI129" s="12" t="n"/>
      <c r="CJ129" s="12" t="n"/>
      <c r="CK129" s="12" t="n"/>
      <c r="CL129" s="12" t="n"/>
      <c r="CM129" s="12" t="n"/>
      <c r="CN129" s="12" t="n"/>
      <c r="CO129" s="12" t="n"/>
      <c r="CP129" s="12" t="n"/>
      <c r="CQ129" s="12" t="n"/>
      <c r="CR129" s="12" t="n"/>
      <c r="CS129" s="12" t="n"/>
      <c r="CT129" s="12" t="n"/>
      <c r="CU129" s="12" t="n"/>
      <c r="CV129" s="12" t="n"/>
      <c r="CW129" s="12" t="n"/>
      <c r="CX129" s="12" t="n"/>
      <c r="CY129" s="12" t="n"/>
    </row>
    <row r="130" hidden="1" outlineLevel="1">
      <c r="C130" s="57" t="n"/>
      <c r="D130" s="12" t="n"/>
      <c r="E130" s="12" t="n"/>
      <c r="F130" s="12" t="n"/>
      <c r="G130" s="12" t="n"/>
      <c r="H130" s="12" t="n"/>
      <c r="I130" s="12" t="n"/>
      <c r="J130" s="12" t="n"/>
      <c r="K130" s="12" t="n"/>
      <c r="L130" s="12" t="n"/>
      <c r="M130" s="12" t="n"/>
      <c r="N130" s="12" t="n"/>
      <c r="O130" s="12" t="n"/>
      <c r="P130" s="12" t="n"/>
      <c r="Q130" s="12" t="n"/>
      <c r="R130" s="12" t="n"/>
      <c r="S130" s="12" t="n"/>
      <c r="T130" s="12" t="n"/>
      <c r="U130" s="12" t="n"/>
      <c r="V130" s="12" t="n"/>
      <c r="W130" s="12" t="n"/>
      <c r="X130" s="12" t="n"/>
      <c r="Y130" s="12" t="n"/>
      <c r="Z130" s="12" t="n"/>
      <c r="AA130" s="12" t="n"/>
      <c r="AB130" s="12" t="n"/>
      <c r="AC130" s="12" t="n"/>
      <c r="AD130" s="12" t="n"/>
      <c r="AE130" s="12" t="n"/>
      <c r="AF130" s="12" t="n"/>
      <c r="AG130" s="12" t="n"/>
      <c r="AH130" s="12" t="n"/>
      <c r="AI130" s="12" t="n"/>
      <c r="AJ130" s="12" t="n"/>
      <c r="AK130" s="12" t="n"/>
      <c r="AL130" s="12" t="n"/>
      <c r="AM130" s="12" t="n"/>
      <c r="AN130" s="12" t="n"/>
      <c r="AO130" s="12" t="n"/>
      <c r="AP130" s="12" t="n"/>
      <c r="AQ130" s="12" t="n"/>
      <c r="AR130" s="12" t="n"/>
      <c r="AS130" s="12" t="n"/>
      <c r="AT130" s="12" t="n"/>
      <c r="AU130" s="12" t="n"/>
      <c r="AV130" s="12" t="n"/>
      <c r="AW130" s="12" t="n"/>
      <c r="AX130" s="12" t="n"/>
      <c r="AY130" s="12" t="n"/>
      <c r="AZ130" s="12" t="n"/>
      <c r="BA130" s="12" t="n"/>
      <c r="BB130" s="12" t="n"/>
      <c r="BC130" s="12" t="n"/>
      <c r="BD130" s="12" t="n"/>
      <c r="BE130" s="12" t="n"/>
      <c r="BF130" s="12" t="n"/>
      <c r="BG130" s="12" t="n"/>
      <c r="BH130" s="12" t="n"/>
      <c r="BI130" s="12" t="n"/>
      <c r="BJ130" s="12" t="n"/>
      <c r="BK130" s="12" t="n"/>
      <c r="BL130" s="12" t="n"/>
      <c r="BM130" s="12" t="n"/>
      <c r="BN130" s="12" t="n"/>
      <c r="BO130" s="12" t="n"/>
      <c r="BP130" s="12" t="n"/>
      <c r="BQ130" s="12" t="n"/>
      <c r="BR130" s="12" t="n"/>
      <c r="BS130" s="12" t="n"/>
      <c r="BT130" s="12" t="n"/>
      <c r="BU130" s="12" t="n"/>
      <c r="BV130" s="12" t="n"/>
      <c r="BW130" s="12" t="n"/>
      <c r="BX130" s="12" t="n"/>
      <c r="BY130" s="12" t="n"/>
      <c r="BZ130" s="12" t="n"/>
      <c r="CA130" s="12" t="n"/>
      <c r="CB130" s="12" t="n"/>
      <c r="CC130" s="12" t="n"/>
      <c r="CD130" s="12" t="n"/>
      <c r="CE130" s="12" t="n"/>
      <c r="CF130" s="12" t="n"/>
      <c r="CG130" s="12" t="n"/>
      <c r="CH130" s="12" t="n"/>
      <c r="CI130" s="12" t="n"/>
      <c r="CJ130" s="12" t="n"/>
      <c r="CK130" s="12" t="n"/>
      <c r="CL130" s="12" t="n"/>
      <c r="CM130" s="12" t="n"/>
      <c r="CN130" s="12" t="n"/>
      <c r="CO130" s="12" t="n"/>
      <c r="CP130" s="12" t="n"/>
      <c r="CQ130" s="12" t="n"/>
      <c r="CR130" s="12" t="n"/>
      <c r="CS130" s="12" t="n"/>
      <c r="CT130" s="12" t="n"/>
      <c r="CU130" s="12" t="n"/>
      <c r="CV130" s="12" t="n"/>
      <c r="CW130" s="12" t="n"/>
      <c r="CX130" s="12" t="n"/>
      <c r="CY130" s="12" t="n"/>
    </row>
    <row r="131" collapsed="1">
      <c r="C131" s="14" t="inlineStr">
        <is>
          <t>Equity in Income of Affiliates, after tax (enter as +)</t>
        </is>
      </c>
      <c r="D131" s="46" t="n"/>
      <c r="E131" s="46" t="n"/>
      <c r="F131" s="46" t="n"/>
      <c r="G131" s="46" t="n"/>
      <c r="H131" s="12" t="n"/>
      <c r="I131" s="46">
        <f>'Inputs (2)'!D11</f>
        <v>0</v>
      </c>
      <c r="J131" s="46">
        <f>'Inputs (2)'!E11</f>
        <v>0</v>
      </c>
      <c r="K131" s="46">
        <f>'Inputs (2)'!F11</f>
        <v>0</v>
      </c>
      <c r="L131" s="46">
        <f>'Inputs (2)'!G11</f>
        <v>0</v>
      </c>
      <c r="M131" s="12">
        <f>'Inputs (2)'!H11</f>
        <v>0</v>
      </c>
      <c r="N131" s="46">
        <f>'Inputs (2)'!I11</f>
        <v>0</v>
      </c>
      <c r="O131" s="46">
        <f>'Inputs (2)'!J11</f>
        <v>0</v>
      </c>
      <c r="P131" s="46">
        <f>'Inputs (2)'!K11</f>
        <v>0</v>
      </c>
      <c r="Q131" s="46">
        <f>'Inputs (2)'!L11</f>
        <v>0</v>
      </c>
      <c r="R131" s="12">
        <f>'Inputs (2)'!M11</f>
        <v>0</v>
      </c>
      <c r="S131" s="46">
        <f>'Inputs (2)'!N11</f>
        <v>0</v>
      </c>
      <c r="T131" s="46">
        <f>'Inputs (2)'!O11</f>
        <v>0</v>
      </c>
      <c r="U131" s="46">
        <f>'Inputs (2)'!P11</f>
        <v>0</v>
      </c>
      <c r="V131" s="46">
        <f>'Inputs (2)'!Q11</f>
        <v>0</v>
      </c>
      <c r="W131" s="12">
        <f>'Inputs (2)'!R11</f>
        <v>0</v>
      </c>
      <c r="X131" s="46">
        <f>'Inputs (2)'!S11</f>
        <v>0</v>
      </c>
      <c r="Y131" s="46">
        <f>'Inputs (2)'!T11</f>
        <v>0</v>
      </c>
      <c r="Z131" s="46">
        <f>'Inputs (2)'!U11</f>
        <v>0</v>
      </c>
      <c r="AA131" s="46">
        <f>'Inputs (2)'!V11</f>
        <v>0</v>
      </c>
      <c r="AB131" s="12">
        <f>'Inputs (2)'!W11</f>
        <v>0</v>
      </c>
      <c r="AC131" s="46">
        <f>'Inputs (2)'!X11</f>
        <v>0</v>
      </c>
      <c r="AD131" s="46">
        <f>'Inputs (2)'!Y11</f>
        <v>0</v>
      </c>
      <c r="AE131" s="46">
        <f>'Inputs (2)'!Z11</f>
        <v>0</v>
      </c>
      <c r="AF131" s="46">
        <f>'Inputs (2)'!AA11</f>
        <v>0</v>
      </c>
      <c r="AG131" s="12">
        <f>'Inputs (2)'!AB11</f>
        <v>0</v>
      </c>
      <c r="AH131" s="12">
        <f>'Inputs (2)'!AC11</f>
        <v>0</v>
      </c>
      <c r="AI131" s="12">
        <f>'Inputs (2)'!AD11</f>
        <v>0</v>
      </c>
      <c r="AJ131" s="12">
        <f>0</f>
        <v>0</v>
      </c>
      <c r="AK131" s="12">
        <f>0</f>
        <v>0</v>
      </c>
      <c r="AL131" s="12">
        <f>SUM(AH131:AK131)</f>
        <v>0</v>
      </c>
      <c r="AM131" s="12">
        <f>0</f>
        <v>0</v>
      </c>
      <c r="AN131" s="12">
        <f>0</f>
        <v>0</v>
      </c>
      <c r="AO131" s="12">
        <f>0</f>
        <v>0</v>
      </c>
      <c r="AP131" s="12">
        <f>0</f>
        <v>0</v>
      </c>
      <c r="AQ131" s="12">
        <f>SUM(AM131:AP131)</f>
        <v>0</v>
      </c>
      <c r="AR131" s="12">
        <f>0</f>
        <v>0</v>
      </c>
      <c r="AS131" s="12">
        <f>0</f>
        <v>0</v>
      </c>
      <c r="AT131" s="12">
        <f>0</f>
        <v>0</v>
      </c>
      <c r="AU131" s="12">
        <f>0</f>
        <v>0</v>
      </c>
      <c r="AV131" s="12">
        <f>SUM(AR131:AU131)</f>
        <v>0</v>
      </c>
      <c r="AW131" s="12">
        <f>0</f>
        <v>0</v>
      </c>
      <c r="AX131" s="12">
        <f>0</f>
        <v>0</v>
      </c>
      <c r="AY131" s="12">
        <f>0</f>
        <v>0</v>
      </c>
      <c r="AZ131" s="12">
        <f>0</f>
        <v>0</v>
      </c>
      <c r="BA131" s="12">
        <f>SUM(AW131:AZ131)</f>
        <v>0</v>
      </c>
      <c r="BB131" s="12">
        <f>0</f>
        <v>0</v>
      </c>
      <c r="BC131" s="12">
        <f>0</f>
        <v>0</v>
      </c>
      <c r="BD131" s="12">
        <f>0</f>
        <v>0</v>
      </c>
      <c r="BE131" s="12">
        <f>0</f>
        <v>0</v>
      </c>
      <c r="BF131" s="12">
        <f>SUM(BB131:BE131)</f>
        <v>0</v>
      </c>
      <c r="BG131" s="12" t="n"/>
      <c r="BH131" s="12" t="n"/>
      <c r="BI131" s="12" t="n"/>
      <c r="BJ131" s="12" t="n"/>
      <c r="BK131" s="12" t="n"/>
      <c r="BL131" s="12" t="n"/>
      <c r="BM131" s="12" t="n"/>
      <c r="BN131" s="12" t="n"/>
      <c r="BO131" s="12" t="n"/>
      <c r="BP131" s="12" t="n"/>
      <c r="BQ131" s="12" t="n"/>
      <c r="BR131" s="12" t="n"/>
      <c r="BS131" s="12" t="n"/>
      <c r="BT131" s="12" t="n"/>
      <c r="BU131" s="12" t="n"/>
      <c r="BV131" s="12" t="n"/>
      <c r="BW131" s="12" t="n"/>
      <c r="BX131" s="12" t="n"/>
      <c r="BY131" s="12" t="n"/>
      <c r="BZ131" s="12" t="n"/>
      <c r="CA131" s="12" t="n"/>
      <c r="CB131" s="12" t="n"/>
      <c r="CC131" s="12" t="n"/>
      <c r="CD131" s="12" t="n"/>
      <c r="CE131" s="12" t="n"/>
      <c r="CF131" s="12" t="n"/>
      <c r="CG131" s="12" t="n"/>
      <c r="CH131" s="12" t="n"/>
      <c r="CI131" s="12" t="n"/>
      <c r="CJ131" s="12" t="n"/>
      <c r="CK131" s="12" t="n"/>
      <c r="CL131" s="12" t="n"/>
      <c r="CM131" s="12" t="n"/>
      <c r="CN131" s="12" t="n"/>
      <c r="CO131" s="12" t="n"/>
      <c r="CP131" s="12" t="n"/>
      <c r="CQ131" s="12" t="n"/>
      <c r="CR131" s="12" t="n"/>
      <c r="CS131" s="12" t="n"/>
      <c r="CT131" s="12" t="n"/>
      <c r="CU131" s="12" t="n"/>
      <c r="CV131" s="12" t="n"/>
      <c r="CW131" s="12" t="n"/>
      <c r="CX131" s="12" t="n"/>
      <c r="CY131" s="12" t="n"/>
    </row>
    <row r="132">
      <c r="C132" s="14" t="inlineStr">
        <is>
          <t>Minority Interest Expense, after tax (enter as - )</t>
        </is>
      </c>
      <c r="D132" s="46" t="n"/>
      <c r="E132" s="46" t="n"/>
      <c r="F132" s="46" t="n"/>
      <c r="G132" s="46" t="n"/>
      <c r="H132" s="12" t="n"/>
      <c r="I132" s="46">
        <f>'Inputs (2)'!D12</f>
        <v>0</v>
      </c>
      <c r="J132" s="46">
        <f>'Inputs (2)'!E12</f>
        <v>0</v>
      </c>
      <c r="K132" s="46">
        <f>'Inputs (2)'!F12</f>
        <v>0</v>
      </c>
      <c r="L132" s="46">
        <f>'Inputs (2)'!G12</f>
        <v>0</v>
      </c>
      <c r="M132" s="12">
        <f>'Inputs (2)'!H12</f>
        <v>0</v>
      </c>
      <c r="N132" s="46">
        <f>'Inputs (2)'!I12</f>
        <v>0</v>
      </c>
      <c r="O132" s="46">
        <f>'Inputs (2)'!J12</f>
        <v>0</v>
      </c>
      <c r="P132" s="46">
        <f>'Inputs (2)'!K12</f>
        <v>0</v>
      </c>
      <c r="Q132" s="46">
        <f>'Inputs (2)'!L12</f>
        <v>0</v>
      </c>
      <c r="R132" s="12">
        <f>'Inputs (2)'!M12</f>
        <v>0</v>
      </c>
      <c r="S132" s="46">
        <f>'Inputs (2)'!N12</f>
        <v>0</v>
      </c>
      <c r="T132" s="46">
        <f>'Inputs (2)'!O12</f>
        <v>0</v>
      </c>
      <c r="U132" s="46">
        <f>'Inputs (2)'!P12</f>
        <v>0</v>
      </c>
      <c r="V132" s="46">
        <f>'Inputs (2)'!Q12</f>
        <v>0</v>
      </c>
      <c r="W132" s="12">
        <f>'Inputs (2)'!R12</f>
        <v>0</v>
      </c>
      <c r="X132" s="46">
        <f>'Inputs (2)'!S12</f>
        <v>0</v>
      </c>
      <c r="Y132" s="46">
        <f>'Inputs (2)'!T12</f>
        <v>0</v>
      </c>
      <c r="Z132" s="46">
        <f>'Inputs (2)'!U12</f>
        <v>0</v>
      </c>
      <c r="AA132" s="46">
        <f>'Inputs (2)'!V12</f>
        <v>0</v>
      </c>
      <c r="AB132" s="12">
        <f>'Inputs (2)'!W12</f>
        <v>0</v>
      </c>
      <c r="AC132" s="46">
        <f>'Inputs (2)'!X12</f>
        <v>0</v>
      </c>
      <c r="AD132" s="46">
        <f>'Inputs (2)'!Y12</f>
        <v>0</v>
      </c>
      <c r="AE132" s="46">
        <f>'Inputs (2)'!Z12</f>
        <v>0</v>
      </c>
      <c r="AF132" s="46">
        <f>'Inputs (2)'!AA12</f>
        <v>0</v>
      </c>
      <c r="AG132" s="12">
        <f>'Inputs (2)'!AB12</f>
        <v>0</v>
      </c>
      <c r="AH132" s="12">
        <f>'Inputs (2)'!AC12</f>
        <v>0</v>
      </c>
      <c r="AI132" s="12">
        <f>'Inputs (2)'!AD12</f>
        <v>0</v>
      </c>
      <c r="AJ132" s="12">
        <f>0</f>
        <v>0</v>
      </c>
      <c r="AK132" s="12">
        <f>0</f>
        <v>0</v>
      </c>
      <c r="AL132" s="12">
        <f>SUM(AH132:AK132)</f>
        <v>0</v>
      </c>
      <c r="AM132" s="12">
        <f>0</f>
        <v>0</v>
      </c>
      <c r="AN132" s="12">
        <f>0</f>
        <v>0</v>
      </c>
      <c r="AO132" s="12">
        <f>0</f>
        <v>0</v>
      </c>
      <c r="AP132" s="12">
        <f>0</f>
        <v>0</v>
      </c>
      <c r="AQ132" s="12">
        <f>SUM(AM132:AP132)</f>
        <v>0</v>
      </c>
      <c r="AR132" s="12">
        <f>0</f>
        <v>0</v>
      </c>
      <c r="AS132" s="12">
        <f>0</f>
        <v>0</v>
      </c>
      <c r="AT132" s="12">
        <f>0</f>
        <v>0</v>
      </c>
      <c r="AU132" s="12">
        <f>0</f>
        <v>0</v>
      </c>
      <c r="AV132" s="12">
        <f>SUM(AR132:AU132)</f>
        <v>0</v>
      </c>
      <c r="AW132" s="12">
        <f>0</f>
        <v>0</v>
      </c>
      <c r="AX132" s="12">
        <f>0</f>
        <v>0</v>
      </c>
      <c r="AY132" s="12">
        <f>0</f>
        <v>0</v>
      </c>
      <c r="AZ132" s="12">
        <f>0</f>
        <v>0</v>
      </c>
      <c r="BA132" s="12">
        <f>SUM(AW132:AZ132)</f>
        <v>0</v>
      </c>
      <c r="BB132" s="12">
        <f>0</f>
        <v>0</v>
      </c>
      <c r="BC132" s="12">
        <f>0</f>
        <v>0</v>
      </c>
      <c r="BD132" s="12">
        <f>0</f>
        <v>0</v>
      </c>
      <c r="BE132" s="12">
        <f>0</f>
        <v>0</v>
      </c>
      <c r="BF132" s="12">
        <f>SUM(BB132:BE132)</f>
        <v>0</v>
      </c>
      <c r="BG132" s="12" t="n"/>
      <c r="BH132" s="12" t="n"/>
      <c r="BI132" s="12" t="n"/>
      <c r="BJ132" s="12" t="n"/>
      <c r="BK132" s="12" t="n"/>
      <c r="BL132" s="12" t="n"/>
      <c r="BM132" s="12" t="n"/>
      <c r="BN132" s="12" t="n"/>
      <c r="BO132" s="12" t="n"/>
      <c r="BP132" s="12" t="n"/>
      <c r="BQ132" s="12" t="n"/>
      <c r="BR132" s="12" t="n"/>
      <c r="BS132" s="12" t="n"/>
      <c r="BT132" s="12" t="n"/>
      <c r="BU132" s="12" t="n"/>
      <c r="BV132" s="12" t="n"/>
      <c r="BW132" s="12" t="n"/>
      <c r="BX132" s="12" t="n"/>
      <c r="BY132" s="12" t="n"/>
      <c r="BZ132" s="12" t="n"/>
      <c r="CA132" s="12" t="n"/>
      <c r="CB132" s="12" t="n"/>
      <c r="CC132" s="12" t="n"/>
      <c r="CD132" s="12" t="n"/>
      <c r="CE132" s="12" t="n"/>
      <c r="CF132" s="12" t="n"/>
      <c r="CG132" s="12" t="n"/>
      <c r="CH132" s="12" t="n"/>
      <c r="CI132" s="12" t="n"/>
      <c r="CJ132" s="12" t="n"/>
      <c r="CK132" s="12" t="n"/>
      <c r="CL132" s="12" t="n"/>
      <c r="CM132" s="12" t="n"/>
      <c r="CN132" s="12" t="n"/>
      <c r="CO132" s="12" t="n"/>
      <c r="CP132" s="12" t="n"/>
      <c r="CQ132" s="12" t="n"/>
      <c r="CR132" s="12" t="n"/>
      <c r="CS132" s="12" t="n"/>
      <c r="CT132" s="12" t="n"/>
      <c r="CU132" s="12" t="n"/>
      <c r="CV132" s="12" t="n"/>
      <c r="CW132" s="12" t="n"/>
      <c r="CX132" s="12" t="n"/>
      <c r="CY132" s="12" t="n"/>
    </row>
    <row r="133" customFormat="1" s="32">
      <c r="A133" s="30" t="n"/>
      <c r="B133" s="3" t="n"/>
      <c r="C133" s="33" t="inlineStr">
        <is>
          <t>Net Income</t>
        </is>
      </c>
      <c r="D133" s="35" t="n"/>
      <c r="E133" s="35" t="n"/>
      <c r="F133" s="35" t="n"/>
      <c r="G133" s="35" t="n"/>
      <c r="H133" s="35" t="n"/>
      <c r="I133" s="35">
        <f>SUM(I126,I127,I131,I132)</f>
        <v>17930</v>
      </c>
      <c r="J133" s="35">
        <f>SUM(J126,J127,J131,J132)</f>
        <v>18525</v>
      </c>
      <c r="K133" s="35">
        <f>SUM(K126,K127,K131,K132)</f>
        <v>18936</v>
      </c>
      <c r="L133" s="35">
        <f>SUM(L126,L127,L131,L132)</f>
        <v>20642</v>
      </c>
      <c r="M133" s="35">
        <f>SUM(I133:L133)</f>
        <v>76033</v>
      </c>
      <c r="N133" s="35">
        <f>SUM(N126,N127,N131,N132)</f>
        <v>16436</v>
      </c>
      <c r="O133" s="35">
        <f>SUM(O126,O127,O131,O132)</f>
        <v>16002</v>
      </c>
      <c r="P133" s="35">
        <f>SUM(P126,P127,P131,P132)</f>
        <v>13910</v>
      </c>
      <c r="Q133" s="35">
        <f>SUM(Q126,Q127,Q131,Q132)</f>
        <v>13624</v>
      </c>
      <c r="R133" s="35">
        <f>SUM(N133:Q133)</f>
        <v>59972</v>
      </c>
      <c r="S133" s="35">
        <f>SUM(S126,S127,S131,S132)</f>
        <v>15051</v>
      </c>
      <c r="T133" s="35">
        <f>SUM(T126,T127,T131,T132)</f>
        <v>18368</v>
      </c>
      <c r="U133" s="35">
        <f>SUM(U126,U127,U131,U132)</f>
        <v>19689</v>
      </c>
      <c r="V133" s="35">
        <f>SUM(V126,V127,V131,V132)</f>
        <v>20687</v>
      </c>
      <c r="W133" s="35">
        <f>SUM(S133:V133)</f>
        <v>73795</v>
      </c>
      <c r="X133" s="35">
        <f>SUM(X126,X127,X131,X132)</f>
        <v>23662</v>
      </c>
      <c r="Y133" s="35">
        <f>SUM(Y126,Y127,Y131,Y132)</f>
        <v>23619</v>
      </c>
      <c r="Z133" s="35">
        <f>SUM(Z126,Z127,Z131,Z132)</f>
        <v>26301</v>
      </c>
      <c r="AA133" s="35">
        <f>SUM(AA126,AA127,AA131,AA132)</f>
        <v>26536</v>
      </c>
      <c r="AB133" s="35">
        <f>SUM(X133:AA133)</f>
        <v>100118</v>
      </c>
      <c r="AC133" s="35">
        <f>SUM(AC126,AC127,AC131,AC132)</f>
        <v>34540</v>
      </c>
      <c r="AD133" s="35">
        <f>SUM(AD126,AD127,AD131,AD132)</f>
        <v>28196</v>
      </c>
      <c r="AE133" s="35">
        <f>SUM(AE126,AE127,AE131,AE132)</f>
        <v>34979</v>
      </c>
      <c r="AF133" s="35">
        <f>SUM(AF126,AF127,AF131,AF132)</f>
        <v>34455</v>
      </c>
      <c r="AG133" s="35">
        <f>SUM(AC133:AF133)</f>
        <v>132170</v>
      </c>
      <c r="AH133" s="35">
        <f>SUM(AH126,AH127,AH131,AH132)</f>
        <v>62578</v>
      </c>
      <c r="AI133" s="35">
        <f>SUM(AI126,AI127,AI131,AI132)</f>
        <v>112193</v>
      </c>
      <c r="AJ133" s="35">
        <f>SUM(AJ126,AJ127,AJ131,AJ132)</f>
        <v>59264.2880000586</v>
      </c>
      <c r="AK133" s="35">
        <f>SUM(AK126,AK127,AK131,AK132)</f>
        <v>65913.6130259968</v>
      </c>
      <c r="AL133" s="35">
        <f>SUM(AH133:AK133)</f>
        <v>299948.901026055</v>
      </c>
      <c r="AM133" s="35">
        <f>SUM(AM126,AM127,AM131,AM132)</f>
        <v>63636.1772228953</v>
      </c>
      <c r="AN133" s="35">
        <f>SUM(AN126,AN127,AN131,AN132)</f>
        <v>69368.8531574758</v>
      </c>
      <c r="AO133" s="35">
        <f>SUM(AO126,AO127,AO131,AO132)</f>
        <v>69714.1573598568</v>
      </c>
      <c r="AP133" s="35">
        <f>SUM(AP126,AP127,AP131,AP132)</f>
        <v>77535.9351427036</v>
      </c>
      <c r="AQ133" s="35">
        <f>SUM(AM133:AP133)</f>
        <v>280255.122882932</v>
      </c>
      <c r="AR133" s="35">
        <f>SUM(AR126,AR127,AR131,AR132)</f>
        <v>74538.7459817536</v>
      </c>
      <c r="AS133" s="35">
        <f>SUM(AS126,AS127,AS131,AS132)</f>
        <v>81253.5816920557</v>
      </c>
      <c r="AT133" s="35">
        <f>SUM(AT126,AT127,AT131,AT132)</f>
        <v>81658.0456833096</v>
      </c>
      <c r="AU133" s="35">
        <f>SUM(AU126,AU127,AU131,AU132)</f>
        <v>90819.9019217698</v>
      </c>
      <c r="AV133" s="35">
        <f>SUM(AR133:AU133)</f>
        <v>328270.275278889</v>
      </c>
      <c r="AW133" s="35">
        <f>SUM(AW126,AW127,AW131,AW132)</f>
        <v>86936.5208552411</v>
      </c>
      <c r="AX133" s="35">
        <f>SUM(AX126,AX127,AX131,AX132)</f>
        <v>94768.2122404315</v>
      </c>
      <c r="AY133" s="35">
        <f>SUM(AY126,AY127,AY131,AY132)</f>
        <v>95239.9493450435</v>
      </c>
      <c r="AZ133" s="35">
        <f>SUM(AZ126,AZ127,AZ131,AZ132)</f>
        <v>105925.665819836</v>
      </c>
      <c r="BA133" s="35">
        <f>SUM(AW133:AZ133)</f>
        <v>382870.348260552</v>
      </c>
      <c r="BB133" s="35">
        <f>SUM(BB126,BB127,BB131,BB132)</f>
        <v>100961.692648185</v>
      </c>
      <c r="BC133" s="35">
        <f>SUM(BC126,BC127,BC131,BC132)</f>
        <v>110056.844038745</v>
      </c>
      <c r="BD133" s="35">
        <f>SUM(BD126,BD127,BD131,BD132)</f>
        <v>110604.684878223</v>
      </c>
      <c r="BE133" s="35">
        <f>SUM(BE126,BE127,BE131,BE132)</f>
        <v>123014.291472097</v>
      </c>
      <c r="BF133" s="35">
        <f>SUM(BB133:BE133)</f>
        <v>444637.51303725</v>
      </c>
      <c r="BG133" s="35" t="n"/>
      <c r="BH133" s="35" t="n"/>
      <c r="BI133" s="35" t="n"/>
      <c r="BJ133" s="35" t="n"/>
      <c r="BK133" s="35" t="n"/>
      <c r="BL133" s="35" t="n"/>
      <c r="BM133" s="35" t="n"/>
      <c r="BN133" s="35" t="n"/>
      <c r="BO133" s="35" t="n"/>
      <c r="BP133" s="35" t="n"/>
      <c r="BQ133" s="35" t="n"/>
      <c r="BR133" s="35" t="n"/>
      <c r="BS133" s="35" t="n"/>
      <c r="BT133" s="35" t="n"/>
      <c r="BU133" s="35" t="n"/>
      <c r="BV133" s="35" t="n"/>
      <c r="BW133" s="35" t="n"/>
      <c r="BX133" s="35" t="n"/>
      <c r="BY133" s="35" t="n"/>
      <c r="BZ133" s="35" t="n"/>
      <c r="CA133" s="35" t="n"/>
      <c r="CB133" s="35" t="n"/>
      <c r="CC133" s="35" t="n"/>
      <c r="CD133" s="35" t="n"/>
      <c r="CE133" s="35" t="n"/>
      <c r="CF133" s="35" t="n"/>
      <c r="CG133" s="35" t="n"/>
      <c r="CH133" s="35" t="n"/>
      <c r="CI133" s="35" t="n"/>
      <c r="CJ133" s="35" t="n"/>
      <c r="CK133" s="35" t="n"/>
      <c r="CL133" s="35" t="n"/>
      <c r="CM133" s="35" t="n"/>
      <c r="CN133" s="35" t="n"/>
      <c r="CO133" s="35" t="n"/>
      <c r="CP133" s="35" t="n"/>
      <c r="CQ133" s="35" t="n"/>
      <c r="CR133" s="35" t="n"/>
      <c r="CS133" s="35" t="n"/>
      <c r="CT133" s="35" t="n"/>
      <c r="CU133" s="35" t="n"/>
      <c r="CV133" s="35" t="n"/>
      <c r="CW133" s="35" t="n"/>
      <c r="CX133" s="35" t="n"/>
      <c r="CY133" s="35" t="n"/>
    </row>
    <row r="134">
      <c r="C134" s="13" t="inlineStr">
        <is>
          <t>Common Dividends</t>
        </is>
      </c>
      <c r="D134" s="46" t="n"/>
      <c r="E134" s="46" t="n"/>
      <c r="F134" s="46" t="n"/>
      <c r="G134" s="46" t="n"/>
      <c r="H134" s="12" t="n"/>
      <c r="I134" s="46">
        <f>'Inputs (2)'!D13</f>
        <v>0</v>
      </c>
      <c r="J134" s="46">
        <f>'Inputs (2)'!E13</f>
        <v>0</v>
      </c>
      <c r="K134" s="46">
        <f>'Inputs (2)'!F13</f>
        <v>0</v>
      </c>
      <c r="L134" s="46">
        <f>'Inputs (2)'!G13</f>
        <v>0</v>
      </c>
      <c r="M134" s="12">
        <f>'Inputs (2)'!H13</f>
        <v>0</v>
      </c>
      <c r="N134" s="46">
        <f>'Inputs (2)'!I13</f>
        <v>0</v>
      </c>
      <c r="O134" s="46">
        <f>'Inputs (2)'!J13</f>
        <v>0</v>
      </c>
      <c r="P134" s="46">
        <f>'Inputs (2)'!K13</f>
        <v>0</v>
      </c>
      <c r="Q134" s="46">
        <f>'Inputs (2)'!L13</f>
        <v>0</v>
      </c>
      <c r="R134" s="12">
        <f>'Inputs (2)'!M13</f>
        <v>0</v>
      </c>
      <c r="S134" s="46">
        <f>'Inputs (2)'!N13</f>
        <v>0</v>
      </c>
      <c r="T134" s="46">
        <f>'Inputs (2)'!O13</f>
        <v>0</v>
      </c>
      <c r="U134" s="46">
        <f>'Inputs (2)'!P13</f>
        <v>0</v>
      </c>
      <c r="V134" s="46">
        <f>'Inputs (2)'!Q13</f>
        <v>0</v>
      </c>
      <c r="W134" s="12">
        <f>'Inputs (2)'!R13</f>
        <v>0</v>
      </c>
      <c r="X134" s="46">
        <f>'Inputs (2)'!S13</f>
        <v>0</v>
      </c>
      <c r="Y134" s="46">
        <f>'Inputs (2)'!T13</f>
        <v>-2466</v>
      </c>
      <c r="Z134" s="46">
        <f>'Inputs (2)'!U13</f>
        <v>-2455</v>
      </c>
      <c r="AA134" s="46">
        <f>'Inputs (2)'!V13</f>
        <v>-2442</v>
      </c>
      <c r="AB134" s="12">
        <f>'Inputs (2)'!W13</f>
        <v>-7363</v>
      </c>
      <c r="AC134" s="46">
        <f>'Inputs (2)'!X13</f>
        <v>-2434</v>
      </c>
      <c r="AD134" s="46">
        <f>'Inputs (2)'!Y13</f>
        <v>-2543</v>
      </c>
      <c r="AE134" s="46">
        <f>'Inputs (2)'!Z13</f>
        <v>-2536</v>
      </c>
      <c r="AF134" s="46">
        <f>'Inputs (2)'!AA13</f>
        <v>-2536</v>
      </c>
      <c r="AG134" s="12">
        <f>'Inputs (2)'!AB13</f>
        <v>-10049</v>
      </c>
      <c r="AH134" s="12">
        <f>'Inputs (2)'!AC13</f>
        <v>-2542</v>
      </c>
      <c r="AI134" s="12">
        <f>'Inputs (2)'!AD13</f>
        <v>0</v>
      </c>
      <c r="AJ134" s="12">
        <f>-MAX(0,AJ133)*Control!$E$15</f>
        <v>0</v>
      </c>
      <c r="AK134" s="12">
        <f>-MAX(0,AK133)*Control!$E$15</f>
        <v>0</v>
      </c>
      <c r="AL134" s="12">
        <f>SUM(AH134:AK134)</f>
        <v>-2542</v>
      </c>
      <c r="AM134" s="12">
        <f>-MAX(0,AM133)*Control!$E$15</f>
        <v>0</v>
      </c>
      <c r="AN134" s="12">
        <f>-MAX(0,AN133)*Control!$E$15</f>
        <v>0</v>
      </c>
      <c r="AO134" s="12">
        <f>-MAX(0,AO133)*Control!$E$15</f>
        <v>0</v>
      </c>
      <c r="AP134" s="12">
        <f>-MAX(0,AP133)*Control!$E$15</f>
        <v>0</v>
      </c>
      <c r="AQ134" s="12">
        <f>SUM(AM134:AP134)</f>
        <v>0</v>
      </c>
      <c r="AR134" s="12">
        <f>-MAX(0,AR133)*Control!$E$15</f>
        <v>0</v>
      </c>
      <c r="AS134" s="12">
        <f>-MAX(0,AS133)*Control!$E$15</f>
        <v>0</v>
      </c>
      <c r="AT134" s="12">
        <f>-MAX(0,AT133)*Control!$E$15</f>
        <v>0</v>
      </c>
      <c r="AU134" s="12">
        <f>-MAX(0,AU133)*Control!$E$15</f>
        <v>0</v>
      </c>
      <c r="AV134" s="12">
        <f>SUM(AR134:AU134)</f>
        <v>0</v>
      </c>
      <c r="AW134" s="12">
        <f>-MAX(0,AW133)*Control!$E$15</f>
        <v>0</v>
      </c>
      <c r="AX134" s="12">
        <f>-MAX(0,AX133)*Control!$E$15</f>
        <v>0</v>
      </c>
      <c r="AY134" s="12">
        <f>-MAX(0,AY133)*Control!$E$15</f>
        <v>0</v>
      </c>
      <c r="AZ134" s="12">
        <f>-MAX(0,AZ133)*Control!$E$15</f>
        <v>0</v>
      </c>
      <c r="BA134" s="12">
        <f>SUM(AW134:AZ134)</f>
        <v>0</v>
      </c>
      <c r="BB134" s="12">
        <f>-MAX(0,BB133)*Control!$E$15</f>
        <v>0</v>
      </c>
      <c r="BC134" s="12">
        <f>-MAX(0,BC133)*Control!$E$15</f>
        <v>0</v>
      </c>
      <c r="BD134" s="12">
        <f>-MAX(0,BD133)*Control!$E$15</f>
        <v>0</v>
      </c>
      <c r="BE134" s="12">
        <f>-MAX(0,BE133)*Control!$E$15</f>
        <v>0</v>
      </c>
      <c r="BF134" s="12">
        <f>SUM(BB134:BE134)</f>
        <v>0</v>
      </c>
      <c r="BG134" s="12" t="n"/>
      <c r="BH134" s="12" t="n"/>
      <c r="BI134" s="12" t="n"/>
      <c r="BJ134" s="12" t="n"/>
      <c r="BK134" s="12" t="n"/>
      <c r="BL134" s="12" t="n"/>
      <c r="BM134" s="12" t="n"/>
      <c r="BN134" s="12" t="n"/>
      <c r="BO134" s="12" t="n"/>
      <c r="BP134" s="12" t="n"/>
      <c r="BQ134" s="12" t="n"/>
      <c r="BR134" s="12" t="n"/>
      <c r="BS134" s="12" t="n"/>
      <c r="BT134" s="12" t="n"/>
      <c r="BU134" s="12" t="n"/>
      <c r="BV134" s="12" t="n"/>
      <c r="BW134" s="12" t="n"/>
      <c r="BX134" s="12" t="n"/>
      <c r="BY134" s="12" t="n"/>
      <c r="BZ134" s="12" t="n"/>
      <c r="CA134" s="12" t="n"/>
      <c r="CB134" s="12" t="n"/>
      <c r="CC134" s="12" t="n"/>
      <c r="CD134" s="12" t="n"/>
      <c r="CE134" s="12" t="n"/>
      <c r="CF134" s="12" t="n"/>
      <c r="CG134" s="12" t="n"/>
      <c r="CH134" s="12" t="n"/>
      <c r="CI134" s="12" t="n"/>
      <c r="CJ134" s="12" t="n"/>
      <c r="CK134" s="12" t="n"/>
      <c r="CL134" s="12" t="n"/>
      <c r="CM134" s="12" t="n"/>
      <c r="CN134" s="12" t="n"/>
      <c r="CO134" s="12" t="n"/>
      <c r="CP134" s="12" t="n"/>
      <c r="CQ134" s="12" t="n"/>
      <c r="CR134" s="12" t="n"/>
      <c r="CS134" s="12" t="n"/>
      <c r="CT134" s="12" t="n"/>
      <c r="CU134" s="12" t="n"/>
      <c r="CV134" s="12" t="n"/>
      <c r="CW134" s="12" t="n"/>
      <c r="CX134" s="12" t="n"/>
      <c r="CY134" s="12" t="n"/>
    </row>
    <row r="135" hidden="1" outlineLevel="1">
      <c r="C135" s="50" t="inlineStr">
        <is>
          <t>% DVD Payout</t>
        </is>
      </c>
      <c r="D135" s="58" t="n"/>
      <c r="E135" s="58" t="n"/>
      <c r="F135" s="58" t="n"/>
      <c r="G135" s="58" t="n"/>
      <c r="H135" s="58" t="n"/>
      <c r="I135" s="58">
        <f>IF(I133=0,"",-I134/I133)</f>
        <v>0</v>
      </c>
      <c r="J135" s="58">
        <f>IF(J133=0,"",-J134/J133)</f>
        <v>0</v>
      </c>
      <c r="K135" s="58">
        <f>IF(K133=0,"",-K134/K133)</f>
        <v>0</v>
      </c>
      <c r="L135" s="58">
        <f>IF(L133=0,"",-L134/L133)</f>
        <v>0</v>
      </c>
      <c r="M135" s="58">
        <f>IF(M133=0,"",-M134/M133)</f>
        <v>0</v>
      </c>
      <c r="N135" s="58">
        <f>IF(N133=0,"",-N134/N133)</f>
        <v>0</v>
      </c>
      <c r="O135" s="58">
        <f>IF(O133=0,"",-O134/O133)</f>
        <v>0</v>
      </c>
      <c r="P135" s="58">
        <f>IF(P133=0,"",-P134/P133)</f>
        <v>0</v>
      </c>
      <c r="Q135" s="58">
        <f>IF(Q133=0,"",-Q134/Q133)</f>
        <v>0</v>
      </c>
      <c r="R135" s="58">
        <f>IF(R133=0,"",-R134/R133)</f>
        <v>0</v>
      </c>
      <c r="S135" s="58">
        <f>IF(S133=0,"",-S134/S133)</f>
        <v>0</v>
      </c>
      <c r="T135" s="58">
        <f>IF(T133=0,"",-T134/T133)</f>
        <v>0</v>
      </c>
      <c r="U135" s="58">
        <f>IF(U133=0,"",-U134/U133)</f>
        <v>0</v>
      </c>
      <c r="V135" s="58">
        <f>IF(V133=0,"",-V134/V133)</f>
        <v>0</v>
      </c>
      <c r="W135" s="58">
        <f>IF(W133=0,"",-W134/W133)</f>
        <v>0</v>
      </c>
      <c r="X135" s="58">
        <f>IF(X133=0,"",-X134/X133)</f>
        <v>0</v>
      </c>
      <c r="Y135" s="58">
        <f>IF(Y133=0,"",-Y134/Y133)</f>
        <v>0.104407468563445</v>
      </c>
      <c r="Z135" s="58">
        <f>IF(Z133=0,"",-Z134/Z133)</f>
        <v>0.0933424584616555</v>
      </c>
      <c r="AA135" s="58">
        <f>IF(AA133=0,"",-AA134/AA133)</f>
        <v>0.0920259270425083</v>
      </c>
      <c r="AB135" s="58">
        <f>IF(AB133=0,"",-AB134/AB133)</f>
        <v>0.0735432190015781</v>
      </c>
      <c r="AC135" s="58">
        <f>IF(AC133=0,"",-AC134/AC133)</f>
        <v>0.0704690214244354</v>
      </c>
      <c r="AD135" s="58">
        <f>IF(AD133=0,"",-AD134/AD133)</f>
        <v>0.090190097886225</v>
      </c>
      <c r="AE135" s="58">
        <f>IF(AE133=0,"",-AE134/AE133)</f>
        <v>0.0725006432430887</v>
      </c>
      <c r="AF135" s="41">
        <f>IF(AF133=0,"",-AF134/AF133)</f>
        <v>0.0736032506167465</v>
      </c>
      <c r="AG135" s="12">
        <f>IF(AG133=0,"",-AG134/AG133)</f>
        <v>0.0760308693349474</v>
      </c>
      <c r="AH135" s="41">
        <f>IF(AH133=0,"",-AH134/AH133)</f>
        <v>0.0406213046118444</v>
      </c>
      <c r="AI135" s="41">
        <f>IF(AI133=0,"",-AI134/AI133)</f>
        <v>0</v>
      </c>
      <c r="AJ135" s="41">
        <f>IF(AJ133=0,"",-AJ134/AJ133)</f>
        <v>0</v>
      </c>
      <c r="AK135" s="41">
        <f>IF(AK133=0,"",-AK134/AK133)</f>
        <v>0</v>
      </c>
      <c r="AL135" s="12">
        <f>IF(AL133=0,"",-AL134/AL133)</f>
        <v>0.00847477684133667</v>
      </c>
      <c r="AM135" s="41">
        <f>IF(AM133=0,"",-AM134/AM133)</f>
        <v>0</v>
      </c>
      <c r="AN135" s="41">
        <f>IF(AN133=0,"",-AN134/AN133)</f>
        <v>0</v>
      </c>
      <c r="AO135" s="41">
        <f>IF(AO133=0,"",-AO134/AO133)</f>
        <v>0</v>
      </c>
      <c r="AP135" s="41">
        <f>IF(AP133=0,"",-AP134/AP133)</f>
        <v>0</v>
      </c>
      <c r="AQ135" s="12">
        <f>IF(AQ133=0,"",-AQ134/AQ133)</f>
        <v>0</v>
      </c>
      <c r="AR135" s="41">
        <f>IF(AR133=0,"",-AR134/AR133)</f>
        <v>0</v>
      </c>
      <c r="AS135" s="41">
        <f>IF(AS133=0,"",-AS134/AS133)</f>
        <v>0</v>
      </c>
      <c r="AT135" s="41">
        <f>IF(AT133=0,"",-AT134/AT133)</f>
        <v>0</v>
      </c>
      <c r="AU135" s="41">
        <f>IF(AU133=0,"",-AU134/AU133)</f>
        <v>0</v>
      </c>
      <c r="AV135" s="12">
        <f>IF(AV133=0,"",-AV134/AV133)</f>
        <v>0</v>
      </c>
      <c r="AW135" s="41">
        <f>IF(AW133=0,"",-AW134/AW133)</f>
        <v>0</v>
      </c>
      <c r="AX135" s="41">
        <f>IF(AX133=0,"",-AX134/AX133)</f>
        <v>0</v>
      </c>
      <c r="AY135" s="41">
        <f>IF(AY133=0,"",-AY134/AY133)</f>
        <v>0</v>
      </c>
      <c r="AZ135" s="41">
        <f>IF(AZ133=0,"",-AZ134/AZ133)</f>
        <v>0</v>
      </c>
      <c r="BA135" s="12">
        <f>IF(BA133=0,"",-BA134/BA133)</f>
        <v>0</v>
      </c>
      <c r="BB135" s="41">
        <f>IF(BB133=0,"",-BB134/BB133)</f>
        <v>0</v>
      </c>
      <c r="BC135" s="41">
        <f>IF(BC133=0,"",-BC134/BC133)</f>
        <v>0</v>
      </c>
      <c r="BD135" s="41">
        <f>IF(BD133=0,"",-BD134/BD133)</f>
        <v>0</v>
      </c>
      <c r="BE135" s="41">
        <f>IF(BE133=0,"",-BE134/BE133)</f>
        <v>0</v>
      </c>
      <c r="BF135" s="12">
        <f>IF(BF133=0,"",-BF134/BF133)</f>
        <v>0</v>
      </c>
      <c r="BG135" s="41" t="n"/>
      <c r="BH135" s="41" t="n"/>
      <c r="BI135" s="41" t="n"/>
      <c r="BJ135" s="41" t="n"/>
      <c r="BK135" s="12" t="n"/>
      <c r="BL135" s="41" t="n"/>
      <c r="BM135" s="41" t="n"/>
      <c r="BN135" s="41" t="n"/>
      <c r="BO135" s="41" t="n"/>
      <c r="BP135" s="12" t="n"/>
      <c r="BQ135" s="41" t="n"/>
      <c r="BR135" s="41" t="n"/>
      <c r="BS135" s="41" t="n"/>
      <c r="BT135" s="41" t="n"/>
      <c r="BU135" s="12" t="n"/>
      <c r="BV135" s="41" t="n"/>
      <c r="BW135" s="41" t="n"/>
      <c r="BX135" s="41" t="n"/>
      <c r="BY135" s="41" t="n"/>
      <c r="BZ135" s="12" t="n"/>
      <c r="CA135" s="41" t="n"/>
      <c r="CB135" s="41" t="n"/>
      <c r="CC135" s="41" t="n"/>
      <c r="CD135" s="41" t="n"/>
      <c r="CE135" s="12" t="n"/>
      <c r="CF135" s="41" t="n"/>
      <c r="CG135" s="41" t="n"/>
      <c r="CH135" s="41" t="n"/>
      <c r="CI135" s="41" t="n"/>
      <c r="CJ135" s="12" t="n"/>
      <c r="CK135" s="41" t="n"/>
      <c r="CL135" s="41" t="n"/>
      <c r="CM135" s="41" t="n"/>
      <c r="CN135" s="41" t="n"/>
      <c r="CO135" s="12" t="n"/>
      <c r="CP135" s="41" t="n"/>
      <c r="CQ135" s="41" t="n"/>
      <c r="CR135" s="41" t="n"/>
      <c r="CS135" s="41" t="n"/>
      <c r="CT135" s="12" t="n"/>
      <c r="CU135" s="41" t="n"/>
      <c r="CV135" s="41" t="n"/>
      <c r="CW135" s="41" t="n"/>
      <c r="CX135" s="41" t="n"/>
      <c r="CY135" s="12" t="n"/>
    </row>
    <row r="136" hidden="1" outlineLevel="1">
      <c r="C136" s="18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3" t="n"/>
      <c r="AD136" s="3" t="n"/>
      <c r="AE136" s="3" t="n"/>
      <c r="AF136" s="3" t="n"/>
      <c r="AG136" s="3" t="n"/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3" t="n"/>
      <c r="AV136" s="3" t="n"/>
      <c r="AW136" s="3" t="n"/>
      <c r="AX136" s="3" t="n"/>
      <c r="AY136" s="3" t="n"/>
      <c r="AZ136" s="3" t="n"/>
      <c r="BA136" s="3" t="n"/>
      <c r="BB136" s="3" t="n"/>
      <c r="BC136" s="3" t="n"/>
      <c r="BD136" s="3" t="n"/>
      <c r="BE136" s="3" t="n"/>
      <c r="BF136" s="3" t="n"/>
      <c r="BG136" s="3" t="n"/>
      <c r="BH136" s="3" t="n"/>
      <c r="BI136" s="3" t="n"/>
      <c r="BJ136" s="3" t="n"/>
      <c r="BK136" s="3" t="n"/>
      <c r="BL136" s="3" t="n"/>
      <c r="BM136" s="3" t="n"/>
      <c r="BN136" s="3" t="n"/>
      <c r="BO136" s="3" t="n"/>
      <c r="BP136" s="3" t="n"/>
      <c r="BQ136" s="3" t="n"/>
      <c r="BR136" s="3" t="n"/>
      <c r="BS136" s="3" t="n"/>
      <c r="BT136" s="3" t="n"/>
      <c r="BU136" s="3" t="n"/>
      <c r="BV136" s="3" t="n"/>
      <c r="BW136" s="3" t="n"/>
      <c r="BX136" s="3" t="n"/>
      <c r="BY136" s="3" t="n"/>
      <c r="BZ136" s="3" t="n"/>
      <c r="CA136" s="3" t="n"/>
      <c r="CB136" s="3" t="n"/>
      <c r="CC136" s="3" t="n"/>
      <c r="CD136" s="3" t="n"/>
      <c r="CE136" s="3" t="n"/>
      <c r="CF136" s="3" t="n"/>
      <c r="CG136" s="3" t="n"/>
      <c r="CH136" s="3" t="n"/>
      <c r="CI136" s="3" t="n"/>
      <c r="CJ136" s="3" t="n"/>
      <c r="CK136" s="3" t="n"/>
      <c r="CL136" s="3" t="n"/>
      <c r="CM136" s="3" t="n"/>
      <c r="CN136" s="3" t="n"/>
      <c r="CO136" s="3" t="n"/>
      <c r="CP136" s="3" t="n"/>
      <c r="CQ136" s="3" t="n"/>
      <c r="CR136" s="3" t="n"/>
      <c r="CS136" s="3" t="n"/>
      <c r="CT136" s="3" t="n"/>
      <c r="CU136" s="3" t="n"/>
      <c r="CV136" s="3" t="n"/>
      <c r="CW136" s="3" t="n"/>
      <c r="CX136" s="3" t="n"/>
      <c r="CY136" s="3" t="n"/>
    </row>
    <row r="137" hidden="1" outlineLevel="1">
      <c r="C137" s="18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3" t="n"/>
      <c r="AD137" s="3" t="n"/>
      <c r="AE137" s="3" t="n"/>
      <c r="AF137" s="3" t="n"/>
      <c r="AG137" s="3" t="n"/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3" t="n"/>
      <c r="AV137" s="3" t="n"/>
      <c r="AW137" s="3" t="n"/>
      <c r="AX137" s="3" t="n"/>
      <c r="AY137" s="3" t="n"/>
      <c r="AZ137" s="3" t="n"/>
      <c r="BA137" s="3" t="n"/>
      <c r="BB137" s="3" t="n"/>
      <c r="BC137" s="3" t="n"/>
      <c r="BD137" s="3" t="n"/>
      <c r="BE137" s="3" t="n"/>
      <c r="BF137" s="3" t="n"/>
      <c r="BG137" s="3" t="n"/>
      <c r="BH137" s="3" t="n"/>
      <c r="BI137" s="3" t="n"/>
      <c r="BJ137" s="3" t="n"/>
      <c r="BK137" s="3" t="n"/>
      <c r="BL137" s="3" t="n"/>
      <c r="BM137" s="3" t="n"/>
      <c r="BN137" s="3" t="n"/>
      <c r="BO137" s="3" t="n"/>
      <c r="BP137" s="3" t="n"/>
      <c r="BQ137" s="3" t="n"/>
      <c r="BR137" s="3" t="n"/>
      <c r="BS137" s="3" t="n"/>
      <c r="BT137" s="3" t="n"/>
      <c r="BU137" s="3" t="n"/>
      <c r="BV137" s="3" t="n"/>
      <c r="BW137" s="3" t="n"/>
      <c r="BX137" s="3" t="n"/>
      <c r="BY137" s="3" t="n"/>
      <c r="BZ137" s="3" t="n"/>
      <c r="CA137" s="3" t="n"/>
      <c r="CB137" s="3" t="n"/>
      <c r="CC137" s="3" t="n"/>
      <c r="CD137" s="3" t="n"/>
      <c r="CE137" s="3" t="n"/>
      <c r="CF137" s="3" t="n"/>
      <c r="CG137" s="3" t="n"/>
      <c r="CH137" s="3" t="n"/>
      <c r="CI137" s="3" t="n"/>
      <c r="CJ137" s="3" t="n"/>
      <c r="CK137" s="3" t="n"/>
      <c r="CL137" s="3" t="n"/>
      <c r="CM137" s="3" t="n"/>
      <c r="CN137" s="3" t="n"/>
      <c r="CO137" s="3" t="n"/>
      <c r="CP137" s="3" t="n"/>
      <c r="CQ137" s="3" t="n"/>
      <c r="CR137" s="3" t="n"/>
      <c r="CS137" s="3" t="n"/>
      <c r="CT137" s="3" t="n"/>
      <c r="CU137" s="3" t="n"/>
      <c r="CV137" s="3" t="n"/>
      <c r="CW137" s="3" t="n"/>
      <c r="CX137" s="3" t="n"/>
      <c r="CY137" s="3" t="n"/>
    </row>
    <row r="138" collapsed="1" ht="11.25" customHeight="1">
      <c r="C138" s="31" t="inlineStr">
        <is>
          <t>Balance Sheet</t>
        </is>
      </c>
      <c r="D138" s="31" t="n"/>
      <c r="E138" s="31" t="n"/>
      <c r="F138" s="31" t="n"/>
      <c r="G138" s="31" t="n"/>
      <c r="H138" s="31" t="n"/>
      <c r="I138" s="31" t="str">
        <f>I13</f>
        <v>1Q21</v>
      </c>
      <c r="J138" s="31" t="str">
        <f>J13</f>
        <v>2Q21</v>
      </c>
      <c r="K138" s="31" t="str">
        <f>K13</f>
        <v>3Q21</v>
      </c>
      <c r="L138" s="31" t="str">
        <f>L13</f>
        <v>4Q21</v>
      </c>
      <c r="M138" s="31">
        <f>M13</f>
        <v>2021</v>
      </c>
      <c r="N138" s="31" t="str">
        <f>N13</f>
        <v>1Q22</v>
      </c>
      <c r="O138" s="31" t="str">
        <f>O13</f>
        <v>2Q22</v>
      </c>
      <c r="P138" s="31" t="str">
        <f>P13</f>
        <v>3Q22</v>
      </c>
      <c r="Q138" s="31" t="str">
        <f>Q13</f>
        <v>4Q22</v>
      </c>
      <c r="R138" s="31">
        <f>R13</f>
        <v>2022</v>
      </c>
      <c r="S138" s="31" t="str">
        <f>S13</f>
        <v>1Q23</v>
      </c>
      <c r="T138" s="31" t="str">
        <f>T13</f>
        <v>2Q23</v>
      </c>
      <c r="U138" s="31" t="str">
        <f>U13</f>
        <v>3Q23</v>
      </c>
      <c r="V138" s="31" t="str">
        <f>V13</f>
        <v>4Q23</v>
      </c>
      <c r="W138" s="31">
        <f>W13</f>
        <v>2023</v>
      </c>
      <c r="X138" s="31" t="str">
        <f>X13</f>
        <v>1Q24</v>
      </c>
      <c r="Y138" s="31" t="str">
        <f>Y13</f>
        <v>2Q24</v>
      </c>
      <c r="Z138" s="31" t="str">
        <f>Z13</f>
        <v>3Q24</v>
      </c>
      <c r="AA138" s="31" t="str">
        <f>AA13</f>
        <v>4Q24</v>
      </c>
      <c r="AB138" s="31">
        <f>AB13</f>
        <v>2024</v>
      </c>
      <c r="AC138" s="31" t="str">
        <f>AC13</f>
        <v>1Q25</v>
      </c>
      <c r="AD138" s="31" t="str">
        <f>AD13</f>
        <v>2Q25</v>
      </c>
      <c r="AE138" s="31" t="str">
        <f>AE13</f>
        <v>3Q25</v>
      </c>
      <c r="AF138" s="31" t="str">
        <f>AF13</f>
        <v>4Q25</v>
      </c>
      <c r="AG138" s="31">
        <f>AG13</f>
        <v>2025</v>
      </c>
      <c r="AH138" s="31" t="str">
        <f>AH13</f>
        <v>1Q26</v>
      </c>
      <c r="AI138" s="31" t="str">
        <f>AI13</f>
        <v>2Q26</v>
      </c>
      <c r="AJ138" s="31" t="str">
        <f>AJ13</f>
        <v>3Q26</v>
      </c>
      <c r="AK138" s="31" t="str">
        <f>AK13</f>
        <v>4Q26</v>
      </c>
      <c r="AL138" s="31">
        <f>AL13</f>
        <v>2026</v>
      </c>
      <c r="AM138" s="31" t="str">
        <f>AM13</f>
        <v>1Q27</v>
      </c>
      <c r="AN138" s="31" t="str">
        <f>AN13</f>
        <v>2Q27</v>
      </c>
      <c r="AO138" s="31" t="str">
        <f>AO13</f>
        <v>3Q27</v>
      </c>
      <c r="AP138" s="31" t="str">
        <f>AP13</f>
        <v>4Q27</v>
      </c>
      <c r="AQ138" s="31">
        <f>AQ13</f>
        <v>2027</v>
      </c>
      <c r="AR138" s="31" t="str">
        <f>AR13</f>
        <v>1Q28</v>
      </c>
      <c r="AS138" s="31" t="str">
        <f>AS13</f>
        <v>2Q28</v>
      </c>
      <c r="AT138" s="31" t="str">
        <f>AT13</f>
        <v>3Q28</v>
      </c>
      <c r="AU138" s="31" t="str">
        <f>AU13</f>
        <v>4Q28</v>
      </c>
      <c r="AV138" s="31">
        <f>AV13</f>
        <v>2028</v>
      </c>
      <c r="AW138" s="31" t="str">
        <f>AW13</f>
        <v>1Q29</v>
      </c>
      <c r="AX138" s="31" t="str">
        <f>AX13</f>
        <v>2Q29</v>
      </c>
      <c r="AY138" s="31" t="str">
        <f>AY13</f>
        <v>3Q29</v>
      </c>
      <c r="AZ138" s="31" t="str">
        <f>AZ13</f>
        <v>4Q29</v>
      </c>
      <c r="BA138" s="31">
        <f>BA13</f>
        <v>2029</v>
      </c>
      <c r="BB138" s="31" t="str">
        <f>BB13</f>
        <v>1Q30</v>
      </c>
      <c r="BC138" s="31" t="str">
        <f>BC13</f>
        <v>2Q30</v>
      </c>
      <c r="BD138" s="31" t="str">
        <f>BD13</f>
        <v>3Q30</v>
      </c>
      <c r="BE138" s="31" t="str">
        <f>BE13</f>
        <v>4Q30</v>
      </c>
      <c r="BF138" s="31">
        <f>BF13</f>
        <v>2030</v>
      </c>
      <c r="BG138" s="31" t="n"/>
      <c r="BH138" s="31" t="n"/>
      <c r="BI138" s="31" t="n"/>
      <c r="BJ138" s="31" t="n"/>
      <c r="BK138" s="31" t="n"/>
      <c r="BL138" s="31" t="n"/>
      <c r="BM138" s="31" t="n"/>
      <c r="BN138" s="31" t="n"/>
      <c r="BO138" s="31" t="n"/>
      <c r="BP138" s="31" t="n"/>
      <c r="BQ138" s="31" t="n"/>
      <c r="BR138" s="31" t="n"/>
      <c r="BS138" s="31" t="n"/>
      <c r="BT138" s="31" t="n"/>
      <c r="BU138" s="31" t="n"/>
      <c r="BV138" s="31" t="n"/>
      <c r="BW138" s="31" t="n"/>
      <c r="BX138" s="31" t="n"/>
      <c r="BY138" s="31" t="n"/>
      <c r="BZ138" s="31" t="n"/>
      <c r="CA138" s="31" t="n"/>
      <c r="CB138" s="31" t="n"/>
      <c r="CC138" s="31" t="n"/>
      <c r="CD138" s="31" t="n"/>
      <c r="CE138" s="31" t="n"/>
      <c r="CF138" s="31" t="n"/>
      <c r="CG138" s="31" t="n"/>
      <c r="CH138" s="31" t="n"/>
      <c r="CI138" s="31" t="n"/>
      <c r="CJ138" s="31" t="n"/>
      <c r="CK138" s="31" t="n"/>
      <c r="CL138" s="31" t="n"/>
      <c r="CM138" s="31" t="n"/>
      <c r="CN138" s="31" t="n"/>
      <c r="CO138" s="31" t="n"/>
      <c r="CP138" s="31" t="n"/>
      <c r="CQ138" s="31" t="n"/>
      <c r="CR138" s="31" t="n"/>
      <c r="CS138" s="31" t="n"/>
      <c r="CT138" s="31" t="n"/>
      <c r="CU138" s="31" t="n"/>
      <c r="CV138" s="31" t="n"/>
      <c r="CW138" s="31" t="n"/>
      <c r="CX138" s="31" t="n"/>
      <c r="CY138" s="31" t="n"/>
    </row>
    <row r="139">
      <c r="C139" s="18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3" t="n"/>
      <c r="AD139" s="3" t="n"/>
      <c r="AE139" s="3" t="n"/>
      <c r="AF139" s="3" t="n"/>
      <c r="AG139" s="3" t="n"/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3" t="n"/>
      <c r="AV139" s="3" t="n"/>
      <c r="AW139" s="3" t="n"/>
      <c r="AX139" s="3" t="n"/>
      <c r="AY139" s="3" t="n"/>
      <c r="AZ139" s="3" t="n"/>
      <c r="BA139" s="3" t="n"/>
      <c r="BB139" s="3" t="n"/>
      <c r="BC139" s="3" t="n"/>
      <c r="BD139" s="3" t="n"/>
      <c r="BE139" s="3" t="n"/>
      <c r="BF139" s="3" t="n"/>
      <c r="BG139" s="3" t="n"/>
      <c r="BH139" s="3" t="n"/>
      <c r="BI139" s="3" t="n"/>
      <c r="BJ139" s="3" t="n"/>
      <c r="BK139" s="3" t="n"/>
      <c r="BL139" s="3" t="n"/>
      <c r="BM139" s="3" t="n"/>
      <c r="BN139" s="3" t="n"/>
      <c r="BO139" s="3" t="n"/>
      <c r="BP139" s="3" t="n"/>
      <c r="BQ139" s="3" t="n"/>
      <c r="BR139" s="3" t="n"/>
      <c r="BS139" s="3" t="n"/>
      <c r="BT139" s="3" t="n"/>
      <c r="BU139" s="3" t="n"/>
      <c r="BV139" s="3" t="n"/>
      <c r="BW139" s="3" t="n"/>
      <c r="BX139" s="3" t="n"/>
      <c r="BY139" s="3" t="n"/>
      <c r="BZ139" s="3" t="n"/>
      <c r="CA139" s="3" t="n"/>
      <c r="CB139" s="3" t="n"/>
      <c r="CC139" s="3" t="n"/>
      <c r="CD139" s="3" t="n"/>
      <c r="CE139" s="3" t="n"/>
      <c r="CF139" s="3" t="n"/>
      <c r="CG139" s="3" t="n"/>
      <c r="CH139" s="3" t="n"/>
      <c r="CI139" s="3" t="n"/>
      <c r="CJ139" s="3" t="n"/>
      <c r="CK139" s="3" t="n"/>
      <c r="CL139" s="3" t="n"/>
      <c r="CM139" s="3" t="n"/>
      <c r="CN139" s="3" t="n"/>
      <c r="CO139" s="3" t="n"/>
      <c r="CP139" s="3" t="n"/>
      <c r="CQ139" s="3" t="n"/>
      <c r="CR139" s="3" t="n"/>
      <c r="CS139" s="3" t="n"/>
      <c r="CT139" s="3" t="n"/>
      <c r="CU139" s="3" t="n"/>
      <c r="CV139" s="3" t="n"/>
      <c r="CW139" s="3" t="n"/>
      <c r="CX139" s="3" t="n"/>
      <c r="CY139" s="3" t="n"/>
    </row>
    <row r="140">
      <c r="C140" s="13" t="inlineStr">
        <is>
          <t>Cash and equivalents (inc. investment securities)</t>
        </is>
      </c>
      <c r="D140" s="46" t="n"/>
      <c r="E140" s="46" t="n"/>
      <c r="F140" s="46" t="n"/>
      <c r="G140" s="46" t="n"/>
      <c r="H140" s="12" t="n"/>
      <c r="I140" s="46">
        <f>'Inputs (2)'!D15</f>
        <v>135104</v>
      </c>
      <c r="J140" s="46">
        <f>'Inputs (2)'!E15</f>
        <v>135863</v>
      </c>
      <c r="K140" s="46">
        <f>'Inputs (2)'!F15</f>
        <v>142003</v>
      </c>
      <c r="L140" s="46">
        <f>'Inputs (2)'!G15</f>
        <v>139649</v>
      </c>
      <c r="M140" s="12">
        <f>'Inputs (2)'!H15</f>
        <v>139649</v>
      </c>
      <c r="N140" s="46">
        <f>'Inputs (2)'!I15</f>
        <v>133970</v>
      </c>
      <c r="O140" s="46">
        <f>'Inputs (2)'!J15</f>
        <v>124997</v>
      </c>
      <c r="P140" s="46">
        <f>'Inputs (2)'!K15</f>
        <v>116259</v>
      </c>
      <c r="Q140" s="46">
        <f>'Inputs (2)'!L15</f>
        <v>113762</v>
      </c>
      <c r="R140" s="12">
        <f>'Inputs (2)'!M15</f>
        <v>113762</v>
      </c>
      <c r="S140" s="46">
        <f>'Inputs (2)'!N15</f>
        <v>115102</v>
      </c>
      <c r="T140" s="46">
        <f>'Inputs (2)'!O15</f>
        <v>118332</v>
      </c>
      <c r="U140" s="46">
        <f>'Inputs (2)'!P15</f>
        <v>119935</v>
      </c>
      <c r="V140" s="46">
        <f>'Inputs (2)'!Q15</f>
        <v>110916</v>
      </c>
      <c r="W140" s="12">
        <f>'Inputs (2)'!R15</f>
        <v>110916</v>
      </c>
      <c r="X140" s="46">
        <f>'Inputs (2)'!S15</f>
        <v>108090</v>
      </c>
      <c r="Y140" s="46">
        <f>'Inputs (2)'!T15</f>
        <v>100725</v>
      </c>
      <c r="Z140" s="46">
        <f>'Inputs (2)'!U15</f>
        <v>93230</v>
      </c>
      <c r="AA140" s="46">
        <f>'Inputs (2)'!V15</f>
        <v>95657</v>
      </c>
      <c r="AB140" s="12">
        <f>'Inputs (2)'!W15</f>
        <v>95657</v>
      </c>
      <c r="AC140" s="46">
        <f>'Inputs (2)'!X15</f>
        <v>95328</v>
      </c>
      <c r="AD140" s="46">
        <f>'Inputs (2)'!Y15</f>
        <v>95148</v>
      </c>
      <c r="AE140" s="46">
        <f>'Inputs (2)'!Z15</f>
        <v>98496</v>
      </c>
      <c r="AF140" s="46">
        <f>'Inputs (2)'!AA15</f>
        <v>126843</v>
      </c>
      <c r="AG140" s="12">
        <f>'Inputs (2)'!AB15</f>
        <v>126843</v>
      </c>
      <c r="AH140" s="12">
        <f>'Inputs (2)'!AC15</f>
        <v>126840</v>
      </c>
      <c r="AI140" s="12">
        <f>'Inputs (2)'!AD15</f>
        <v>242474</v>
      </c>
      <c r="AJ140" s="12">
        <f>AJ269-SUM(AJ141,AJ145,AJ149,AJ150,AJ151,AJ157,AJ162,AJ172,AJ175,AJ176,AJ185)</f>
        <v>294561.605699506</v>
      </c>
      <c r="AK140" s="12">
        <f>AK269-SUM(AK141,AK145,AK149,AK150,AK151,AK157,AK162,AK172,AK175,AK176,AK185)</f>
        <v>342963.408506186</v>
      </c>
      <c r="AL140" s="12">
        <f>AK140</f>
        <v>342963.408506186</v>
      </c>
      <c r="AM140" s="12">
        <f>AM269-SUM(AM141,AM145,AM149,AM150,AM151,AM157,AM162,AM172,AM175,AM176,AM185)</f>
        <v>400752.966479299</v>
      </c>
      <c r="AN140" s="12">
        <f>AN269-SUM(AN141,AN145,AN149,AN150,AN151,AN157,AN162,AN172,AN175,AN176,AN185)</f>
        <v>460249.807628384</v>
      </c>
      <c r="AO140" s="12">
        <f>AO269-SUM(AO141,AO145,AO149,AO150,AO151,AO157,AO162,AO172,AO175,AO176,AO185)</f>
        <v>530010.482649367</v>
      </c>
      <c r="AP140" s="12">
        <f>AP269-SUM(AP141,AP145,AP149,AP150,AP151,AP157,AP162,AP172,AP175,AP176,AP185)</f>
        <v>602063.711698601</v>
      </c>
      <c r="AQ140" s="12">
        <f>AP140</f>
        <v>602063.711698601</v>
      </c>
      <c r="AR140" s="12">
        <f>AR269-SUM(AR141,AR145,AR149,AR150,AR151,AR157,AR162,AR172,AR175,AR176,AR185)</f>
        <v>687429.837054596</v>
      </c>
      <c r="AS140" s="12">
        <f>AS269-SUM(AS141,AS145,AS149,AS150,AS151,AS157,AS162,AS172,AS175,AS176,AS185)</f>
        <v>775642.297850901</v>
      </c>
      <c r="AT140" s="12">
        <f>AT269-SUM(AT141,AT145,AT149,AT150,AT151,AT157,AT162,AT172,AT175,AT176,AT185)</f>
        <v>879792.569031067</v>
      </c>
      <c r="AU140" s="12">
        <f>AU269-SUM(AU141,AU145,AU149,AU150,AU151,AU157,AU162,AU172,AU175,AU176,AU185)</f>
        <v>990277.190952864</v>
      </c>
      <c r="AV140" s="12">
        <f>AU140</f>
        <v>990277.190952864</v>
      </c>
      <c r="AW140" s="12">
        <f>AW269-SUM(AW141,AW145,AW149,AW150,AW151,AW157,AW162,AW172,AW175,AW176,AW185)</f>
        <v>1118917.53677774</v>
      </c>
      <c r="AX140" s="12">
        <f>AX269-SUM(AX141,AX145,AX149,AX150,AX151,AX157,AX162,AX172,AX175,AX176,AX185)</f>
        <v>1256992.52778996</v>
      </c>
      <c r="AY140" s="12">
        <f>AY269-SUM(AY141,AY145,AY149,AY150,AY151,AY157,AY162,AY172,AY175,AY176,AY185)</f>
        <v>1418148.70291919</v>
      </c>
      <c r="AZ140" s="12">
        <f>AZ269-SUM(AZ141,AZ145,AZ149,AZ150,AZ151,AZ157,AZ162,AZ172,AZ175,AZ176,AZ185)</f>
        <v>1592934.65974529</v>
      </c>
      <c r="BA140" s="12">
        <f>AZ140</f>
        <v>1592934.65974529</v>
      </c>
      <c r="BB140" s="12">
        <f>BB269-SUM(BB141,BB145,BB149,BB150,BB151,BB157,BB162,BB172,BB175,BB176,BB185)</f>
        <v>1794617.50862485</v>
      </c>
      <c r="BC140" s="12">
        <f>BC269-SUM(BC141,BC145,BC149,BC150,BC151,BC157,BC162,BC172,BC175,BC176,BC185)</f>
        <v>2014729.04242182</v>
      </c>
      <c r="BD140" s="12">
        <f>BD269-SUM(BD141,BD145,BD149,BD150,BD151,BD157,BD162,BD172,BD175,BD176,BD185)</f>
        <v>2270731.97148334</v>
      </c>
      <c r="BE140" s="12">
        <f>BE269-SUM(BE141,BE145,BE149,BE150,BE151,BE157,BE162,BE172,BE175,BE176,BE185)</f>
        <v>2553023.81405398</v>
      </c>
      <c r="BF140" s="12">
        <f>BE140</f>
        <v>2553023.81405398</v>
      </c>
      <c r="BG140" s="12" t="n"/>
      <c r="BH140" s="12" t="n"/>
      <c r="BI140" s="12" t="n"/>
      <c r="BJ140" s="12" t="n"/>
      <c r="BK140" s="12" t="n"/>
      <c r="BL140" s="12" t="n"/>
      <c r="BM140" s="12" t="n"/>
      <c r="BN140" s="12" t="n"/>
      <c r="BO140" s="12" t="n"/>
      <c r="BP140" s="12" t="n"/>
      <c r="BQ140" s="12" t="n"/>
      <c r="BR140" s="12" t="n"/>
      <c r="BS140" s="12" t="n"/>
      <c r="BT140" s="12" t="n"/>
      <c r="BU140" s="12" t="n"/>
      <c r="BV140" s="12" t="n"/>
      <c r="BW140" s="12" t="n"/>
      <c r="BX140" s="12" t="n"/>
      <c r="BY140" s="12" t="n"/>
      <c r="BZ140" s="12" t="n"/>
      <c r="CA140" s="12" t="n"/>
      <c r="CB140" s="12" t="n"/>
      <c r="CC140" s="12" t="n"/>
      <c r="CD140" s="12" t="n"/>
      <c r="CE140" s="12" t="n"/>
      <c r="CF140" s="12" t="n"/>
      <c r="CG140" s="12" t="n"/>
      <c r="CH140" s="12" t="n"/>
      <c r="CI140" s="12" t="n"/>
      <c r="CJ140" s="12" t="n"/>
      <c r="CK140" s="12" t="n"/>
      <c r="CL140" s="12" t="n"/>
      <c r="CM140" s="12" t="n"/>
      <c r="CN140" s="12" t="n"/>
      <c r="CO140" s="12" t="n"/>
      <c r="CP140" s="12" t="n"/>
      <c r="CQ140" s="12" t="n"/>
      <c r="CR140" s="12" t="n"/>
      <c r="CS140" s="12" t="n"/>
      <c r="CT140" s="12" t="n"/>
      <c r="CU140" s="12" t="n"/>
      <c r="CV140" s="12" t="n"/>
      <c r="CW140" s="12" t="n"/>
      <c r="CX140" s="12" t="n"/>
      <c r="CY140" s="12" t="n"/>
    </row>
    <row r="141">
      <c r="C141" s="14" t="inlineStr">
        <is>
          <t>Accounts receivable</t>
        </is>
      </c>
      <c r="D141" s="46" t="n"/>
      <c r="E141" s="46" t="n"/>
      <c r="F141" s="46" t="n"/>
      <c r="G141" s="46" t="n"/>
      <c r="H141" s="12" t="n"/>
      <c r="I141" s="46">
        <f>'Inputs (2)'!D16</f>
        <v>28006</v>
      </c>
      <c r="J141" s="46">
        <f>'Inputs (2)'!E16</f>
        <v>31967</v>
      </c>
      <c r="K141" s="46">
        <f>'Inputs (2)'!F16</f>
        <v>34047</v>
      </c>
      <c r="L141" s="46">
        <f>'Inputs (2)'!G16</f>
        <v>39304</v>
      </c>
      <c r="M141" s="12">
        <f>'Inputs (2)'!H16</f>
        <v>39304</v>
      </c>
      <c r="N141" s="46">
        <f>'Inputs (2)'!I16</f>
        <v>34703</v>
      </c>
      <c r="O141" s="46">
        <f>'Inputs (2)'!J16</f>
        <v>35707</v>
      </c>
      <c r="P141" s="46">
        <f>'Inputs (2)'!K16</f>
        <v>34697</v>
      </c>
      <c r="Q141" s="46">
        <f>'Inputs (2)'!L16</f>
        <v>40258</v>
      </c>
      <c r="R141" s="12">
        <f>'Inputs (2)'!M16</f>
        <v>40258</v>
      </c>
      <c r="S141" s="46">
        <f>'Inputs (2)'!N16</f>
        <v>36036</v>
      </c>
      <c r="T141" s="46">
        <f>'Inputs (2)'!O16</f>
        <v>38804</v>
      </c>
      <c r="U141" s="46">
        <f>'Inputs (2)'!P16</f>
        <v>41020</v>
      </c>
      <c r="V141" s="46">
        <f>'Inputs (2)'!Q16</f>
        <v>47964</v>
      </c>
      <c r="W141" s="12">
        <f>'Inputs (2)'!R16</f>
        <v>47964</v>
      </c>
      <c r="X141" s="46">
        <f>'Inputs (2)'!S16</f>
        <v>44552</v>
      </c>
      <c r="Y141" s="46">
        <f>'Inputs (2)'!T16</f>
        <v>47087</v>
      </c>
      <c r="Z141" s="46">
        <f>'Inputs (2)'!U16</f>
        <v>49104</v>
      </c>
      <c r="AA141" s="46">
        <f>'Inputs (2)'!V16</f>
        <v>52340</v>
      </c>
      <c r="AB141" s="12">
        <f>'Inputs (2)'!W16</f>
        <v>52340</v>
      </c>
      <c r="AC141" s="46">
        <f>'Inputs (2)'!X16</f>
        <v>51000</v>
      </c>
      <c r="AD141" s="46">
        <f>'Inputs (2)'!Y16</f>
        <v>55048</v>
      </c>
      <c r="AE141" s="46">
        <f>'Inputs (2)'!Z16</f>
        <v>57148</v>
      </c>
      <c r="AF141" s="46">
        <f>'Inputs (2)'!AA16</f>
        <v>62886</v>
      </c>
      <c r="AG141" s="12">
        <f>'Inputs (2)'!AB16</f>
        <v>62886</v>
      </c>
      <c r="AH141" s="12">
        <f>'Inputs (2)'!AC16</f>
        <v>62999</v>
      </c>
      <c r="AI141" s="12">
        <f>'Inputs (2)'!AD16</f>
        <v>69175</v>
      </c>
      <c r="AJ141" s="12">
        <f>(AJ142/(AJ$5-AI$5))*AJ$15</f>
        <v>67427.2999066763</v>
      </c>
      <c r="AK141" s="12">
        <f>(AK142/(AK$5-AJ$5))*AK$15</f>
        <v>74992.4972258521</v>
      </c>
      <c r="AL141" s="12">
        <f>AK141</f>
        <v>74992.4972258521</v>
      </c>
      <c r="AM141" s="12">
        <f>(AM142/(AM$5-AL$5))*AM$15</f>
        <v>74010.288699342</v>
      </c>
      <c r="AN141" s="12">
        <f>(AN142/(AN$5-AM$5))*AN$15</f>
        <v>79790.9521102042</v>
      </c>
      <c r="AO141" s="12">
        <f>(AO142/(AO$5-AN$5))*AO$15</f>
        <v>79316.5252578356</v>
      </c>
      <c r="AP141" s="12">
        <f>(AP142/(AP$5-AO$5))*AP$15</f>
        <v>88215.6679652763</v>
      </c>
      <c r="AQ141" s="12">
        <f>AP141</f>
        <v>88215.6679652763</v>
      </c>
      <c r="AR141" s="12">
        <f>(AR142/(AR$5-AQ$5))*AR$15</f>
        <v>85737.578758628</v>
      </c>
      <c r="AS141" s="12">
        <f>(AS142/(AS$5-AR$5))*AS$15</f>
        <v>93461.2632395046</v>
      </c>
      <c r="AT141" s="12">
        <f>(AT142/(AT$5-AS$5))*AT$15</f>
        <v>92905.5544559339</v>
      </c>
      <c r="AU141" s="12">
        <f>(AU142/(AU$5-AT$5))*AU$15</f>
        <v>103329.356869487</v>
      </c>
      <c r="AV141" s="12">
        <f>AU141</f>
        <v>103329.356869487</v>
      </c>
      <c r="AW141" s="12">
        <f>(AW142/(AW$5-AV$5))*AW$15</f>
        <v>101109.106294616</v>
      </c>
      <c r="AX141" s="12">
        <f>(AX142/(AX$5-AW$5))*AX$15</f>
        <v>109006.355738361</v>
      </c>
      <c r="AY141" s="12">
        <f>(AY142/(AY$5-AX$5))*AY$15</f>
        <v>108358.217812025</v>
      </c>
      <c r="AZ141" s="12">
        <f>(AZ142/(AZ$5-AY$5))*AZ$15</f>
        <v>120515.775656351</v>
      </c>
      <c r="BA141" s="12">
        <f>AZ141</f>
        <v>120515.775656351</v>
      </c>
      <c r="BB141" s="12">
        <f>(BB142/(BB$5-BA$5))*BB$15</f>
        <v>117420.692859879</v>
      </c>
      <c r="BC141" s="12">
        <f>(BC142/(BC$5-BB$5))*BC$15</f>
        <v>126591.978566527</v>
      </c>
      <c r="BD141" s="12">
        <f>(BD142/(BD$5-BC$5))*BD$15</f>
        <v>125839.278763629</v>
      </c>
      <c r="BE141" s="12">
        <f>(BE142/(BE$5-BD$5))*BE$15</f>
        <v>139958.173864979</v>
      </c>
      <c r="BF141" s="12">
        <f>BE141</f>
        <v>139958.173864979</v>
      </c>
      <c r="BG141" s="12" t="n"/>
      <c r="BH141" s="12" t="n"/>
      <c r="BI141" s="12" t="n"/>
      <c r="BJ141" s="12" t="n"/>
      <c r="BK141" s="12" t="n"/>
      <c r="BL141" s="12" t="n"/>
      <c r="BM141" s="12" t="n"/>
      <c r="BN141" s="12" t="n"/>
      <c r="BO141" s="12" t="n"/>
      <c r="BP141" s="12" t="n"/>
      <c r="BQ141" s="12" t="n"/>
      <c r="BR141" s="12" t="n"/>
      <c r="BS141" s="12" t="n"/>
      <c r="BT141" s="12" t="n"/>
      <c r="BU141" s="12" t="n"/>
      <c r="BV141" s="12" t="n"/>
      <c r="BW141" s="12" t="n"/>
      <c r="BX141" s="12" t="n"/>
      <c r="BY141" s="12" t="n"/>
      <c r="BZ141" s="12" t="n"/>
      <c r="CA141" s="12" t="n"/>
      <c r="CB141" s="12" t="n"/>
      <c r="CC141" s="12" t="n"/>
      <c r="CD141" s="12" t="n"/>
      <c r="CE141" s="12" t="n"/>
      <c r="CF141" s="12" t="n"/>
      <c r="CG141" s="12" t="n"/>
      <c r="CH141" s="12" t="n"/>
      <c r="CI141" s="12" t="n"/>
      <c r="CJ141" s="12" t="n"/>
      <c r="CK141" s="12" t="n"/>
      <c r="CL141" s="12" t="n"/>
      <c r="CM141" s="12" t="n"/>
      <c r="CN141" s="12" t="n"/>
      <c r="CO141" s="12" t="n"/>
      <c r="CP141" s="12" t="n"/>
      <c r="CQ141" s="12" t="n"/>
      <c r="CR141" s="12" t="n"/>
      <c r="CS141" s="12" t="n"/>
      <c r="CT141" s="12" t="n"/>
      <c r="CU141" s="12" t="n"/>
      <c r="CV141" s="12" t="n"/>
      <c r="CW141" s="12" t="n"/>
      <c r="CX141" s="12" t="n"/>
      <c r="CY141" s="12" t="n"/>
    </row>
    <row r="142" hidden="1" outlineLevel="1">
      <c r="C142" s="57" t="inlineStr">
        <is>
          <t>DSO</t>
        </is>
      </c>
      <c r="D142" s="12" t="n"/>
      <c r="E142" s="12" t="n"/>
      <c r="F142" s="12" t="n"/>
      <c r="G142" s="12" t="n"/>
      <c r="H142" s="12" t="n"/>
      <c r="I142" s="12">
        <f>IFERROR((I141/I$15)*(I$5-H$5),"")</f>
        <v>45.5678490074845</v>
      </c>
      <c r="J142" s="12">
        <f>IFERROR((J141/J$15)*(J$5-I$5),"")</f>
        <v>47.0102941176471</v>
      </c>
      <c r="K142" s="12">
        <f>IFERROR((K141/K$15)*(K$5-J$5),"")</f>
        <v>48.1022758684235</v>
      </c>
      <c r="L142" s="12">
        <f>IFERROR((L141/L$15)*(L$5-K$5),"")</f>
        <v>48.0048854961832</v>
      </c>
      <c r="M142" s="12" t="n"/>
      <c r="N142" s="12">
        <f>IFERROR((N141/N$15)*(N$5-M$5),"")</f>
        <v>45.9230124538678</v>
      </c>
      <c r="O142" s="12">
        <f>IFERROR((O141/O$15)*(O$5-N$5),"")</f>
        <v>46.6289301858363</v>
      </c>
      <c r="P142" s="12">
        <f>IFERROR((P141/P$15)*(P$5-O$5),"")</f>
        <v>46.2010652463382</v>
      </c>
      <c r="Q142" s="12">
        <f>IFERROR((Q141/Q$15)*(Q$5-P$5),"")</f>
        <v>48.702608878603</v>
      </c>
      <c r="R142" s="12" t="n"/>
      <c r="S142" s="12">
        <f>IFERROR((S141/S$15)*(S$5-R$5),"")</f>
        <v>46.4734119535157</v>
      </c>
      <c r="T142" s="12">
        <f>IFERROR((T141/T$15)*(T$5-S$5),"")</f>
        <v>47.3321001554876</v>
      </c>
      <c r="U142" s="12">
        <f>IFERROR((U141/U$15)*(U$5-T$5),"")</f>
        <v>49.2070984314083</v>
      </c>
      <c r="V142" s="12">
        <f>IFERROR((V141/V$15)*(V$5-U$5),"")</f>
        <v>51.1260340632604</v>
      </c>
      <c r="W142" s="12" t="n"/>
      <c r="X142" s="12">
        <f>IFERROR((X141/X$15)*(X$5-W$5),"")</f>
        <v>50.3387427209178</v>
      </c>
      <c r="Y142" s="12">
        <f>IFERROR((Y141/Y$15)*(Y$5-X$5),"")</f>
        <v>50.564265653395</v>
      </c>
      <c r="Z142" s="12">
        <f>IFERROR((Z141/Z$15)*(Z$5-Y$5),"")</f>
        <v>51.1801332306159</v>
      </c>
      <c r="AA142" s="12">
        <f>IFERROR((AA141/AA$15)*(AA$5-Z$5),"")</f>
        <v>49.9153095813163</v>
      </c>
      <c r="AB142" s="12" t="n"/>
      <c r="AC142" s="12">
        <f>IFERROR((AC141/AC$15)*(AC$5-AB$5),"")</f>
        <v>50.8677438659485</v>
      </c>
      <c r="AD142" s="12">
        <f>IFERROR((AD141/AD$15)*(AD$5-AC$5),"")</f>
        <v>51.9493093292405</v>
      </c>
      <c r="AE142" s="12">
        <f>IFERROR((AE141/AE$15)*(AE$5-AD$5),"")</f>
        <v>51.3709964238954</v>
      </c>
      <c r="AF142" s="11">
        <f>IFERROR((AF141/AF$15)*(AF$5-AE$5),"")</f>
        <v>50.8263447803284</v>
      </c>
      <c r="AG142" s="12" t="n"/>
      <c r="AH142" s="11">
        <f>IFERROR((AH141/AH$15)*(AH$5-AG$5),"")</f>
        <v>51.5934155929242</v>
      </c>
      <c r="AI142" s="11">
        <f>IFERROR((AI141/AI$15)*(AI$5-AH$5),"")</f>
        <v>52.5470382984407</v>
      </c>
      <c r="AJ142" s="11">
        <f>Control!$B$25</f>
        <v>51.525808048463</v>
      </c>
      <c r="AK142" s="11">
        <f>Control!$B$25</f>
        <v>51.525808048463</v>
      </c>
      <c r="AL142" s="12" t="n"/>
      <c r="AM142" s="11">
        <f>Control!$C$25</f>
        <v>51.525808048463</v>
      </c>
      <c r="AN142" s="11">
        <f>Control!$C$25</f>
        <v>51.525808048463</v>
      </c>
      <c r="AO142" s="11">
        <f>Control!$C$25</f>
        <v>51.525808048463</v>
      </c>
      <c r="AP142" s="11">
        <f>Control!$C$25</f>
        <v>51.525808048463</v>
      </c>
      <c r="AQ142" s="12" t="n"/>
      <c r="AR142" s="11">
        <f>Control!$D$25</f>
        <v>51.525808048463</v>
      </c>
      <c r="AS142" s="11">
        <f>Control!$D$25</f>
        <v>51.525808048463</v>
      </c>
      <c r="AT142" s="11">
        <f>Control!$D$25</f>
        <v>51.525808048463</v>
      </c>
      <c r="AU142" s="11">
        <f>Control!$D$25</f>
        <v>51.525808048463</v>
      </c>
      <c r="AV142" s="12" t="n"/>
      <c r="AW142" s="11">
        <f>Control!$E$25</f>
        <v>51.525808048463</v>
      </c>
      <c r="AX142" s="11">
        <f>Control!$E$25</f>
        <v>51.525808048463</v>
      </c>
      <c r="AY142" s="11">
        <f>Control!$E$25</f>
        <v>51.525808048463</v>
      </c>
      <c r="AZ142" s="11">
        <f>Control!$E$25</f>
        <v>51.525808048463</v>
      </c>
      <c r="BA142" s="12" t="n"/>
      <c r="BB142" s="11">
        <f>Control!$F$25</f>
        <v>51.525808048463</v>
      </c>
      <c r="BC142" s="11">
        <f>Control!$F$25</f>
        <v>51.525808048463</v>
      </c>
      <c r="BD142" s="11">
        <f>Control!$F$25</f>
        <v>51.525808048463</v>
      </c>
      <c r="BE142" s="11">
        <f>Control!$F$25</f>
        <v>51.525808048463</v>
      </c>
      <c r="BF142" s="12" t="n"/>
      <c r="BG142" s="11" t="n"/>
      <c r="BH142" s="11" t="n"/>
      <c r="BI142" s="11" t="n"/>
      <c r="BJ142" s="11" t="n"/>
      <c r="BK142" s="12" t="n"/>
      <c r="BL142" s="11" t="n"/>
      <c r="BM142" s="11" t="n"/>
      <c r="BN142" s="11" t="n"/>
      <c r="BO142" s="11" t="n"/>
      <c r="BP142" s="12" t="n"/>
      <c r="BQ142" s="11" t="n"/>
      <c r="BR142" s="11" t="n"/>
      <c r="BS142" s="11" t="n"/>
      <c r="BT142" s="11" t="n"/>
      <c r="BU142" s="12" t="n"/>
      <c r="BV142" s="11" t="n"/>
      <c r="BW142" s="11" t="n"/>
      <c r="BX142" s="11" t="n"/>
      <c r="BY142" s="11" t="n"/>
      <c r="BZ142" s="12" t="n"/>
      <c r="CA142" s="11" t="n"/>
      <c r="CB142" s="11" t="n"/>
      <c r="CC142" s="11" t="n"/>
      <c r="CD142" s="11" t="n"/>
      <c r="CE142" s="12" t="n"/>
      <c r="CF142" s="11" t="n"/>
      <c r="CG142" s="11" t="n"/>
      <c r="CH142" s="11" t="n"/>
      <c r="CI142" s="11" t="n"/>
      <c r="CJ142" s="12" t="n"/>
      <c r="CK142" s="11" t="n"/>
      <c r="CL142" s="11" t="n"/>
      <c r="CM142" s="11" t="n"/>
      <c r="CN142" s="11" t="n"/>
      <c r="CO142" s="12" t="n"/>
      <c r="CP142" s="11" t="n"/>
      <c r="CQ142" s="11" t="n"/>
      <c r="CR142" s="11" t="n"/>
      <c r="CS142" s="11" t="n"/>
      <c r="CT142" s="12" t="n"/>
      <c r="CU142" s="11" t="n"/>
      <c r="CV142" s="11" t="n"/>
      <c r="CW142" s="11" t="n"/>
      <c r="CX142" s="11" t="n"/>
      <c r="CY142" s="12" t="n"/>
    </row>
    <row r="143" hidden="1" outlineLevel="1">
      <c r="C143" s="57" t="n"/>
      <c r="D143" s="12" t="n"/>
      <c r="E143" s="12" t="n"/>
      <c r="F143" s="12" t="n"/>
      <c r="G143" s="12" t="n"/>
      <c r="H143" s="12" t="n"/>
      <c r="I143" s="12" t="n"/>
      <c r="J143" s="12" t="n"/>
      <c r="K143" s="12" t="n"/>
      <c r="L143" s="12" t="n"/>
      <c r="M143" s="12" t="n"/>
      <c r="N143" s="12" t="n"/>
      <c r="O143" s="12" t="n"/>
      <c r="P143" s="12" t="n"/>
      <c r="Q143" s="12" t="n"/>
      <c r="R143" s="12" t="n"/>
      <c r="S143" s="12" t="n"/>
      <c r="T143" s="12" t="n"/>
      <c r="U143" s="12" t="n"/>
      <c r="V143" s="12" t="n"/>
      <c r="W143" s="12" t="n"/>
      <c r="X143" s="12" t="n"/>
      <c r="Y143" s="12" t="n"/>
      <c r="Z143" s="12" t="n"/>
      <c r="AA143" s="12" t="n"/>
      <c r="AB143" s="12" t="n"/>
      <c r="AC143" s="12" t="n"/>
      <c r="AD143" s="12" t="n"/>
      <c r="AE143" s="12" t="n"/>
      <c r="AF143" s="12" t="n"/>
      <c r="AG143" s="12" t="n"/>
      <c r="AH143" s="12" t="n"/>
      <c r="AI143" s="12" t="n"/>
      <c r="AJ143" s="12" t="n"/>
      <c r="AK143" s="12" t="n"/>
      <c r="AL143" s="12" t="n"/>
      <c r="AM143" s="12" t="n"/>
      <c r="AN143" s="12" t="n"/>
      <c r="AO143" s="12" t="n"/>
      <c r="AP143" s="12" t="n"/>
      <c r="AQ143" s="12" t="n"/>
      <c r="AR143" s="12" t="n"/>
      <c r="AS143" s="12" t="n"/>
      <c r="AT143" s="12" t="n"/>
      <c r="AU143" s="12" t="n"/>
      <c r="AV143" s="12" t="n"/>
      <c r="AW143" s="12" t="n"/>
      <c r="AX143" s="12" t="n"/>
      <c r="AY143" s="12" t="n"/>
      <c r="AZ143" s="12" t="n"/>
      <c r="BA143" s="12" t="n"/>
      <c r="BB143" s="12" t="n"/>
      <c r="BC143" s="12" t="n"/>
      <c r="BD143" s="12" t="n"/>
      <c r="BE143" s="12" t="n"/>
      <c r="BF143" s="12" t="n"/>
      <c r="BG143" s="12" t="n"/>
      <c r="BH143" s="12" t="n"/>
      <c r="BI143" s="12" t="n"/>
      <c r="BJ143" s="12" t="n"/>
      <c r="BK143" s="12" t="n"/>
      <c r="BL143" s="12" t="n"/>
      <c r="BM143" s="12" t="n"/>
      <c r="BN143" s="12" t="n"/>
      <c r="BO143" s="12" t="n"/>
      <c r="BP143" s="12" t="n"/>
      <c r="BQ143" s="12" t="n"/>
      <c r="BR143" s="12" t="n"/>
      <c r="BS143" s="12" t="n"/>
      <c r="BT143" s="12" t="n"/>
      <c r="BU143" s="12" t="n"/>
      <c r="BV143" s="12" t="n"/>
      <c r="BW143" s="12" t="n"/>
      <c r="BX143" s="12" t="n"/>
      <c r="BY143" s="12" t="n"/>
      <c r="BZ143" s="12" t="n"/>
      <c r="CA143" s="12" t="n"/>
      <c r="CB143" s="12" t="n"/>
      <c r="CC143" s="12" t="n"/>
      <c r="CD143" s="12" t="n"/>
      <c r="CE143" s="12" t="n"/>
      <c r="CF143" s="12" t="n"/>
      <c r="CG143" s="12" t="n"/>
      <c r="CH143" s="12" t="n"/>
      <c r="CI143" s="12" t="n"/>
      <c r="CJ143" s="12" t="n"/>
      <c r="CK143" s="12" t="n"/>
      <c r="CL143" s="12" t="n"/>
      <c r="CM143" s="12" t="n"/>
      <c r="CN143" s="12" t="n"/>
      <c r="CO143" s="12" t="n"/>
      <c r="CP143" s="12" t="n"/>
      <c r="CQ143" s="12" t="n"/>
      <c r="CR143" s="12" t="n"/>
      <c r="CS143" s="12" t="n"/>
      <c r="CT143" s="12" t="n"/>
      <c r="CU143" s="12" t="n"/>
      <c r="CV143" s="12" t="n"/>
      <c r="CW143" s="12" t="n"/>
      <c r="CX143" s="12" t="n"/>
      <c r="CY143" s="12" t="n"/>
    </row>
    <row r="144" hidden="1" outlineLevel="1">
      <c r="C144" s="57" t="n"/>
      <c r="D144" s="12" t="n"/>
      <c r="E144" s="12" t="n"/>
      <c r="F144" s="12" t="n"/>
      <c r="G144" s="12" t="n"/>
      <c r="H144" s="12" t="n"/>
      <c r="I144" s="12" t="n"/>
      <c r="J144" s="12" t="n"/>
      <c r="K144" s="12" t="n"/>
      <c r="L144" s="12" t="n"/>
      <c r="M144" s="12" t="n"/>
      <c r="N144" s="12" t="n"/>
      <c r="O144" s="12" t="n"/>
      <c r="P144" s="12" t="n"/>
      <c r="Q144" s="12" t="n"/>
      <c r="R144" s="12" t="n"/>
      <c r="S144" s="12" t="n"/>
      <c r="T144" s="12" t="n"/>
      <c r="U144" s="12" t="n"/>
      <c r="V144" s="12" t="n"/>
      <c r="W144" s="12" t="n"/>
      <c r="X144" s="12" t="n"/>
      <c r="Y144" s="12" t="n"/>
      <c r="Z144" s="12" t="n"/>
      <c r="AA144" s="12" t="n"/>
      <c r="AB144" s="12" t="n"/>
      <c r="AC144" s="12" t="n"/>
      <c r="AD144" s="12" t="n"/>
      <c r="AE144" s="12" t="n"/>
      <c r="AF144" s="12" t="n"/>
      <c r="AG144" s="12" t="n"/>
      <c r="AH144" s="12" t="n"/>
      <c r="AI144" s="12" t="n"/>
      <c r="AJ144" s="12" t="n"/>
      <c r="AK144" s="12" t="n"/>
      <c r="AL144" s="12" t="n"/>
      <c r="AM144" s="12" t="n"/>
      <c r="AN144" s="12" t="n"/>
      <c r="AO144" s="12" t="n"/>
      <c r="AP144" s="12" t="n"/>
      <c r="AQ144" s="12" t="n"/>
      <c r="AR144" s="12" t="n"/>
      <c r="AS144" s="12" t="n"/>
      <c r="AT144" s="12" t="n"/>
      <c r="AU144" s="12" t="n"/>
      <c r="AV144" s="12" t="n"/>
      <c r="AW144" s="12" t="n"/>
      <c r="AX144" s="12" t="n"/>
      <c r="AY144" s="12" t="n"/>
      <c r="AZ144" s="12" t="n"/>
      <c r="BA144" s="12" t="n"/>
      <c r="BB144" s="12" t="n"/>
      <c r="BC144" s="12" t="n"/>
      <c r="BD144" s="12" t="n"/>
      <c r="BE144" s="12" t="n"/>
      <c r="BF144" s="12" t="n"/>
      <c r="BG144" s="12" t="n"/>
      <c r="BH144" s="12" t="n"/>
      <c r="BI144" s="12" t="n"/>
      <c r="BJ144" s="12" t="n"/>
      <c r="BK144" s="12" t="n"/>
      <c r="BL144" s="12" t="n"/>
      <c r="BM144" s="12" t="n"/>
      <c r="BN144" s="12" t="n"/>
      <c r="BO144" s="12" t="n"/>
      <c r="BP144" s="12" t="n"/>
      <c r="BQ144" s="12" t="n"/>
      <c r="BR144" s="12" t="n"/>
      <c r="BS144" s="12" t="n"/>
      <c r="BT144" s="12" t="n"/>
      <c r="BU144" s="12" t="n"/>
      <c r="BV144" s="12" t="n"/>
      <c r="BW144" s="12" t="n"/>
      <c r="BX144" s="12" t="n"/>
      <c r="BY144" s="12" t="n"/>
      <c r="BZ144" s="12" t="n"/>
      <c r="CA144" s="12" t="n"/>
      <c r="CB144" s="12" t="n"/>
      <c r="CC144" s="12" t="n"/>
      <c r="CD144" s="12" t="n"/>
      <c r="CE144" s="12" t="n"/>
      <c r="CF144" s="12" t="n"/>
      <c r="CG144" s="12" t="n"/>
      <c r="CH144" s="12" t="n"/>
      <c r="CI144" s="12" t="n"/>
      <c r="CJ144" s="12" t="n"/>
      <c r="CK144" s="12" t="n"/>
      <c r="CL144" s="12" t="n"/>
      <c r="CM144" s="12" t="n"/>
      <c r="CN144" s="12" t="n"/>
      <c r="CO144" s="12" t="n"/>
      <c r="CP144" s="12" t="n"/>
      <c r="CQ144" s="12" t="n"/>
      <c r="CR144" s="12" t="n"/>
      <c r="CS144" s="12" t="n"/>
      <c r="CT144" s="12" t="n"/>
      <c r="CU144" s="12" t="n"/>
      <c r="CV144" s="12" t="n"/>
      <c r="CW144" s="12" t="n"/>
      <c r="CX144" s="12" t="n"/>
      <c r="CY144" s="12" t="n"/>
    </row>
    <row r="145" collapsed="1">
      <c r="C145" s="14" t="inlineStr">
        <is>
          <t>Inventories</t>
        </is>
      </c>
      <c r="D145" s="46" t="n"/>
      <c r="E145" s="46" t="n"/>
      <c r="F145" s="46" t="n"/>
      <c r="G145" s="46" t="n"/>
      <c r="H145" s="12" t="n"/>
      <c r="I145" s="46">
        <f>'Inputs (2)'!D17</f>
        <v>888</v>
      </c>
      <c r="J145" s="46">
        <f>'Inputs (2)'!E17</f>
        <v>907</v>
      </c>
      <c r="K145" s="46">
        <f>'Inputs (2)'!F17</f>
        <v>1278</v>
      </c>
      <c r="L145" s="46">
        <f>'Inputs (2)'!G17</f>
        <v>1170</v>
      </c>
      <c r="M145" s="12">
        <f>'Inputs (2)'!H17</f>
        <v>1170</v>
      </c>
      <c r="N145" s="46">
        <f>'Inputs (2)'!I17</f>
        <v>1369</v>
      </c>
      <c r="O145" s="46">
        <f>'Inputs (2)'!J17</f>
        <v>1980</v>
      </c>
      <c r="P145" s="46">
        <f>'Inputs (2)'!K17</f>
        <v>3156</v>
      </c>
      <c r="Q145" s="46">
        <f>'Inputs (2)'!L17</f>
        <v>2670</v>
      </c>
      <c r="R145" s="12">
        <f>'Inputs (2)'!M17</f>
        <v>2670</v>
      </c>
      <c r="S145" s="46">
        <f>'Inputs (2)'!N17</f>
        <v>2315</v>
      </c>
      <c r="T145" s="46">
        <f>'Inputs (2)'!O17</f>
        <v>2231</v>
      </c>
      <c r="U145" s="46">
        <f>'Inputs (2)'!P17</f>
        <v>2957</v>
      </c>
      <c r="V145" s="46">
        <f>'Inputs (2)'!Q17</f>
        <v>0</v>
      </c>
      <c r="W145" s="12">
        <f>'Inputs (2)'!R17</f>
        <v>0</v>
      </c>
      <c r="X145" s="46">
        <f>'Inputs (2)'!S17</f>
        <v>0</v>
      </c>
      <c r="Y145" s="46">
        <f>'Inputs (2)'!T17</f>
        <v>0</v>
      </c>
      <c r="Z145" s="46">
        <f>'Inputs (2)'!U17</f>
        <v>0</v>
      </c>
      <c r="AA145" s="46">
        <f>'Inputs (2)'!V17</f>
        <v>0</v>
      </c>
      <c r="AB145" s="12">
        <f>'Inputs (2)'!W17</f>
        <v>0</v>
      </c>
      <c r="AC145" s="46">
        <f>'Inputs (2)'!X17</f>
        <v>0</v>
      </c>
      <c r="AD145" s="46">
        <f>'Inputs (2)'!Y17</f>
        <v>0</v>
      </c>
      <c r="AE145" s="46">
        <f>'Inputs (2)'!Z17</f>
        <v>0</v>
      </c>
      <c r="AF145" s="46">
        <f>'Inputs (2)'!AA17</f>
        <v>0</v>
      </c>
      <c r="AG145" s="12">
        <f>'Inputs (2)'!AB17</f>
        <v>0</v>
      </c>
      <c r="AH145" s="12">
        <f>'Inputs (2)'!AC17</f>
        <v>0</v>
      </c>
      <c r="AI145" s="12">
        <f>'Inputs (2)'!AD17</f>
        <v>9991</v>
      </c>
      <c r="AJ145" s="12">
        <f>(AJ146/(AJ$5-AI$5))*-AJ$50</f>
        <v>1707.11966796523</v>
      </c>
      <c r="AK145" s="12">
        <f>(AK146/(AK$5-AJ$5))*-AK$50</f>
        <v>1898.65480512002</v>
      </c>
      <c r="AL145" s="12">
        <f>AK145</f>
        <v>1898.65480512002</v>
      </c>
      <c r="AM145" s="12">
        <f>(AM146/(AM$5-AL$5))*-AM$50</f>
        <v>1873.78731827168</v>
      </c>
      <c r="AN145" s="12">
        <f>(AN146/(AN$5-AM$5))*-AN$50</f>
        <v>2020.14175061924</v>
      </c>
      <c r="AO145" s="12">
        <f>(AO146/(AO$5-AN$5))*-AO$50</f>
        <v>2008.13024471866</v>
      </c>
      <c r="AP145" s="12">
        <f>(AP146/(AP$5-AO$5))*-AP$50</f>
        <v>2233.43811801223</v>
      </c>
      <c r="AQ145" s="12">
        <f>AP145</f>
        <v>2233.43811801223</v>
      </c>
      <c r="AR145" s="12">
        <f>(AR146/(AR$5-AQ$5))*-AR$50</f>
        <v>2170.6980286197</v>
      </c>
      <c r="AS145" s="12">
        <f>(AS146/(AS$5-AR$5))*-AS$50</f>
        <v>2366.24573266112</v>
      </c>
      <c r="AT145" s="12">
        <f>(AT146/(AT$5-AS$5))*-AT$50</f>
        <v>2352.17633650544</v>
      </c>
      <c r="AU145" s="12">
        <f>(AU146/(AU$5-AT$5))*-AU$50</f>
        <v>2616.08543771205</v>
      </c>
      <c r="AV145" s="12">
        <f>AU145</f>
        <v>2616.08543771205</v>
      </c>
      <c r="AW145" s="12">
        <f>(AW146/(AW$5-AV$5))*-AW$50</f>
        <v>2559.87328878397</v>
      </c>
      <c r="AX145" s="12">
        <f>(AX146/(AX$5-AW$5))*-AX$50</f>
        <v>2759.81529842848</v>
      </c>
      <c r="AY145" s="12">
        <f>(AY146/(AY$5-AX$5))*-AY$50</f>
        <v>2743.40578769419</v>
      </c>
      <c r="AZ145" s="12">
        <f>(AZ146/(AZ$5-AY$5))*-AZ$50</f>
        <v>3051.20998776153</v>
      </c>
      <c r="BA145" s="12">
        <f>AZ145</f>
        <v>3051.20998776153</v>
      </c>
      <c r="BB145" s="12">
        <f>(BB146/(BB$5-BA$5))*-BB$50</f>
        <v>2972.8488977705</v>
      </c>
      <c r="BC145" s="12">
        <f>(BC146/(BC$5-BB$5))*-BC$50</f>
        <v>3205.04686850368</v>
      </c>
      <c r="BD145" s="12">
        <f>(BD146/(BD$5-BC$5))*-BD$50</f>
        <v>3185.99006748421</v>
      </c>
      <c r="BE145" s="12">
        <f>(BE146/(BE$5-BD$5))*-BE$50</f>
        <v>3543.45126718836</v>
      </c>
      <c r="BF145" s="12">
        <f>BE145</f>
        <v>3543.45126718836</v>
      </c>
      <c r="BG145" s="12" t="n"/>
      <c r="BH145" s="12" t="n"/>
      <c r="BI145" s="12" t="n"/>
      <c r="BJ145" s="12" t="n"/>
      <c r="BK145" s="12" t="n"/>
      <c r="BL145" s="12" t="n"/>
      <c r="BM145" s="12" t="n"/>
      <c r="BN145" s="12" t="n"/>
      <c r="BO145" s="12" t="n"/>
      <c r="BP145" s="12" t="n"/>
      <c r="BQ145" s="12" t="n"/>
      <c r="BR145" s="12" t="n"/>
      <c r="BS145" s="12" t="n"/>
      <c r="BT145" s="12" t="n"/>
      <c r="BU145" s="12" t="n"/>
      <c r="BV145" s="12" t="n"/>
      <c r="BW145" s="12" t="n"/>
      <c r="BX145" s="12" t="n"/>
      <c r="BY145" s="12" t="n"/>
      <c r="BZ145" s="12" t="n"/>
      <c r="CA145" s="12" t="n"/>
      <c r="CB145" s="12" t="n"/>
      <c r="CC145" s="12" t="n"/>
      <c r="CD145" s="12" t="n"/>
      <c r="CE145" s="12" t="n"/>
      <c r="CF145" s="12" t="n"/>
      <c r="CG145" s="12" t="n"/>
      <c r="CH145" s="12" t="n"/>
      <c r="CI145" s="12" t="n"/>
      <c r="CJ145" s="12" t="n"/>
      <c r="CK145" s="12" t="n"/>
      <c r="CL145" s="12" t="n"/>
      <c r="CM145" s="12" t="n"/>
      <c r="CN145" s="12" t="n"/>
      <c r="CO145" s="12" t="n"/>
      <c r="CP145" s="12" t="n"/>
      <c r="CQ145" s="12" t="n"/>
      <c r="CR145" s="12" t="n"/>
      <c r="CS145" s="12" t="n"/>
      <c r="CT145" s="12" t="n"/>
      <c r="CU145" s="12" t="n"/>
      <c r="CV145" s="12" t="n"/>
      <c r="CW145" s="12" t="n"/>
      <c r="CX145" s="12" t="n"/>
      <c r="CY145" s="12" t="n"/>
    </row>
    <row r="146" hidden="1" outlineLevel="1">
      <c r="C146" s="57" t="inlineStr">
        <is>
          <t>DIO</t>
        </is>
      </c>
      <c r="D146" s="12" t="n"/>
      <c r="E146" s="12" t="n"/>
      <c r="F146" s="12" t="n"/>
      <c r="G146" s="12" t="n"/>
      <c r="H146" s="12" t="n"/>
      <c r="I146" s="12">
        <f>IFERROR(((I145/I$50)*(I$5-H$5))*-1,"")</f>
        <v>3.31576982118408</v>
      </c>
      <c r="J146" s="12">
        <f>IFERROR(((J145/J$50)*(J$5-I$5))*-1,"")</f>
        <v>3.14702405917566</v>
      </c>
      <c r="K146" s="12">
        <f>IFERROR(((K145/K$50)*(K$5-J$5))*-1,"")</f>
        <v>4.25676115998697</v>
      </c>
      <c r="L146" s="12">
        <f>IFERROR(((L145/L$50)*(L$5-K$5))*-1,"")</f>
        <v>3.26300472899236</v>
      </c>
      <c r="M146" s="12" t="n"/>
      <c r="N146" s="12">
        <f>IFERROR(((N145/N$50)*(N$5-M$5))*-1,"")</f>
        <v>4.16264062975101</v>
      </c>
      <c r="O146" s="12">
        <f>IFERROR(((O145/O$50)*(O$5-N$5))*-1,"")</f>
        <v>5.98525112941802</v>
      </c>
      <c r="P146" s="12">
        <f>IFERROR(((P145/P$50)*(P$5-O$5))*-1,"")</f>
        <v>9.31869824764106</v>
      </c>
      <c r="Q146" s="12">
        <f>IFERROR(((Q145/Q$50)*(Q$5-P$5))*-1,"")</f>
        <v>6.95037066379945</v>
      </c>
      <c r="R146" s="12" t="n"/>
      <c r="S146" s="12">
        <f>IFERROR(((S145/S$50)*(S$5-R$5))*-1,"")</f>
        <v>6.80615444923559</v>
      </c>
      <c r="T146" s="12">
        <f>IFERROR(((T145/T$50)*(T$5-S$5))*-1,"")</f>
        <v>6.36110414838952</v>
      </c>
      <c r="U146" s="12">
        <f>IFERROR(((U145/U$50)*(U$5-T$5))*-1,"")</f>
        <v>8.18694513828283</v>
      </c>
      <c r="V146" s="12">
        <f>IFERROR(((V145/V$50)*(V$5-U$5))*-1,"")</f>
        <v>0</v>
      </c>
      <c r="W146" s="12" t="n"/>
      <c r="X146" s="12">
        <f>IFERROR(((X145/X$50)*(X$5-W$5))*-1,"")</f>
        <v>0</v>
      </c>
      <c r="Y146" s="12">
        <f>IFERROR(((Y145/Y$50)*(Y$5-X$5))*-1,"")</f>
        <v>0</v>
      </c>
      <c r="Z146" s="12">
        <f>IFERROR(((Z145/Z$50)*(Z$5-Y$5))*-1,"")</f>
        <v>0</v>
      </c>
      <c r="AA146" s="12">
        <f>IFERROR(((AA145/AA$50)*(AA$5-Z$5))*-1,"")</f>
        <v>0</v>
      </c>
      <c r="AB146" s="12" t="n"/>
      <c r="AC146" s="12">
        <f>IFERROR(((AC145/AC$50)*(AC$5-AB$5))*-1,"")</f>
        <v>0</v>
      </c>
      <c r="AD146" s="12">
        <f>IFERROR(((AD145/AD$50)*(AD$5-AC$5))*-1,"")</f>
        <v>0</v>
      </c>
      <c r="AE146" s="12">
        <f>IFERROR(((AE145/AE$50)*(AE$5-AD$5))*-1,"")</f>
        <v>0</v>
      </c>
      <c r="AF146" s="11">
        <f>IFERROR(((AF145/AF$50)*(AF$5-AE$5))*-1,"")</f>
        <v>0</v>
      </c>
      <c r="AG146" s="12" t="n"/>
      <c r="AH146" s="11">
        <f>IFERROR(((AH145/AH$50)*(AH$5-AG$5))*-1,"")</f>
        <v>0</v>
      </c>
      <c r="AI146" s="11">
        <f>IFERROR(((AI145/AI$50)*(AI$5-AH$5))*-1,"")</f>
        <v>19.7893259038374</v>
      </c>
      <c r="AJ146" s="11">
        <f>Control!$B$26</f>
        <v>3.29822098397289</v>
      </c>
      <c r="AK146" s="11">
        <f>Control!$B$26</f>
        <v>3.29822098397289</v>
      </c>
      <c r="AL146" s="12" t="n"/>
      <c r="AM146" s="11">
        <f>Control!$C$26</f>
        <v>3.29822098397289</v>
      </c>
      <c r="AN146" s="11">
        <f>Control!$C$26</f>
        <v>3.29822098397289</v>
      </c>
      <c r="AO146" s="11">
        <f>Control!$C$26</f>
        <v>3.29822098397289</v>
      </c>
      <c r="AP146" s="11">
        <f>Control!$C$26</f>
        <v>3.29822098397289</v>
      </c>
      <c r="AQ146" s="12" t="n"/>
      <c r="AR146" s="11">
        <f>Control!$D$26</f>
        <v>3.29822098397289</v>
      </c>
      <c r="AS146" s="11">
        <f>Control!$D$26</f>
        <v>3.29822098397289</v>
      </c>
      <c r="AT146" s="11">
        <f>Control!$D$26</f>
        <v>3.29822098397289</v>
      </c>
      <c r="AU146" s="11">
        <f>Control!$D$26</f>
        <v>3.29822098397289</v>
      </c>
      <c r="AV146" s="12" t="n"/>
      <c r="AW146" s="11">
        <f>Control!$E$26</f>
        <v>3.29822098397289</v>
      </c>
      <c r="AX146" s="11">
        <f>Control!$E$26</f>
        <v>3.29822098397289</v>
      </c>
      <c r="AY146" s="11">
        <f>Control!$E$26</f>
        <v>3.29822098397289</v>
      </c>
      <c r="AZ146" s="11">
        <f>Control!$E$26</f>
        <v>3.29822098397289</v>
      </c>
      <c r="BA146" s="12" t="n"/>
      <c r="BB146" s="11">
        <f>Control!$F$26</f>
        <v>3.29822098397289</v>
      </c>
      <c r="BC146" s="11">
        <f>Control!$F$26</f>
        <v>3.29822098397289</v>
      </c>
      <c r="BD146" s="11">
        <f>Control!$F$26</f>
        <v>3.29822098397289</v>
      </c>
      <c r="BE146" s="11">
        <f>Control!$F$26</f>
        <v>3.29822098397289</v>
      </c>
      <c r="BF146" s="12" t="n"/>
      <c r="BG146" s="11" t="n"/>
      <c r="BH146" s="11" t="n"/>
      <c r="BI146" s="11" t="n"/>
      <c r="BJ146" s="11" t="n"/>
      <c r="BK146" s="12" t="n"/>
      <c r="BL146" s="11" t="n"/>
      <c r="BM146" s="11" t="n"/>
      <c r="BN146" s="11" t="n"/>
      <c r="BO146" s="11" t="n"/>
      <c r="BP146" s="12" t="n"/>
      <c r="BQ146" s="11" t="n"/>
      <c r="BR146" s="11" t="n"/>
      <c r="BS146" s="11" t="n"/>
      <c r="BT146" s="11" t="n"/>
      <c r="BU146" s="12" t="n"/>
      <c r="BV146" s="11" t="n"/>
      <c r="BW146" s="11" t="n"/>
      <c r="BX146" s="11" t="n"/>
      <c r="BY146" s="11" t="n"/>
      <c r="BZ146" s="12" t="n"/>
      <c r="CA146" s="11" t="n"/>
      <c r="CB146" s="11" t="n"/>
      <c r="CC146" s="11" t="n"/>
      <c r="CD146" s="11" t="n"/>
      <c r="CE146" s="12" t="n"/>
      <c r="CF146" s="11" t="n"/>
      <c r="CG146" s="11" t="n"/>
      <c r="CH146" s="11" t="n"/>
      <c r="CI146" s="11" t="n"/>
      <c r="CJ146" s="12" t="n"/>
      <c r="CK146" s="11" t="n"/>
      <c r="CL146" s="11" t="n"/>
      <c r="CM146" s="11" t="n"/>
      <c r="CN146" s="11" t="n"/>
      <c r="CO146" s="12" t="n"/>
      <c r="CP146" s="11" t="n"/>
      <c r="CQ146" s="11" t="n"/>
      <c r="CR146" s="11" t="n"/>
      <c r="CS146" s="11" t="n"/>
      <c r="CT146" s="12" t="n"/>
      <c r="CU146" s="11" t="n"/>
      <c r="CV146" s="11" t="n"/>
      <c r="CW146" s="11" t="n"/>
      <c r="CX146" s="11" t="n"/>
      <c r="CY146" s="12" t="n"/>
    </row>
    <row r="147" hidden="1" outlineLevel="1">
      <c r="C147" s="57" t="n"/>
      <c r="D147" s="12" t="n"/>
      <c r="E147" s="12" t="n"/>
      <c r="F147" s="12" t="n"/>
      <c r="G147" s="12" t="n"/>
      <c r="H147" s="12" t="n"/>
      <c r="I147" s="12" t="n"/>
      <c r="J147" s="12" t="n"/>
      <c r="K147" s="12" t="n"/>
      <c r="L147" s="12" t="n"/>
      <c r="M147" s="12" t="n"/>
      <c r="N147" s="12" t="n"/>
      <c r="O147" s="12" t="n"/>
      <c r="P147" s="12" t="n"/>
      <c r="Q147" s="12" t="n"/>
      <c r="R147" s="12" t="n"/>
      <c r="S147" s="12" t="n"/>
      <c r="T147" s="12" t="n"/>
      <c r="U147" s="12" t="n"/>
      <c r="V147" s="12" t="n"/>
      <c r="W147" s="12" t="n"/>
      <c r="X147" s="12" t="n"/>
      <c r="Y147" s="12" t="n"/>
      <c r="Z147" s="12" t="n"/>
      <c r="AA147" s="12" t="n"/>
      <c r="AB147" s="12" t="n"/>
      <c r="AC147" s="12" t="n"/>
      <c r="AD147" s="12" t="n"/>
      <c r="AE147" s="12" t="n"/>
      <c r="AF147" s="12" t="n"/>
      <c r="AG147" s="12" t="n"/>
      <c r="AH147" s="12" t="n"/>
      <c r="AI147" s="12" t="n"/>
      <c r="AJ147" s="12" t="n"/>
      <c r="AK147" s="12" t="n"/>
      <c r="AL147" s="12" t="n"/>
      <c r="AM147" s="12" t="n"/>
      <c r="AN147" s="12" t="n"/>
      <c r="AO147" s="12" t="n"/>
      <c r="AP147" s="12" t="n"/>
      <c r="AQ147" s="12" t="n"/>
      <c r="AR147" s="12" t="n"/>
      <c r="AS147" s="12" t="n"/>
      <c r="AT147" s="12" t="n"/>
      <c r="AU147" s="12" t="n"/>
      <c r="AV147" s="12" t="n"/>
      <c r="AW147" s="12" t="n"/>
      <c r="AX147" s="12" t="n"/>
      <c r="AY147" s="12" t="n"/>
      <c r="AZ147" s="12" t="n"/>
      <c r="BA147" s="12" t="n"/>
      <c r="BB147" s="12" t="n"/>
      <c r="BC147" s="12" t="n"/>
      <c r="BD147" s="12" t="n"/>
      <c r="BE147" s="12" t="n"/>
      <c r="BF147" s="12" t="n"/>
      <c r="BG147" s="12" t="n"/>
      <c r="BH147" s="12" t="n"/>
      <c r="BI147" s="12" t="n"/>
      <c r="BJ147" s="12" t="n"/>
      <c r="BK147" s="12" t="n"/>
      <c r="BL147" s="12" t="n"/>
      <c r="BM147" s="12" t="n"/>
      <c r="BN147" s="12" t="n"/>
      <c r="BO147" s="12" t="n"/>
      <c r="BP147" s="12" t="n"/>
      <c r="BQ147" s="12" t="n"/>
      <c r="BR147" s="12" t="n"/>
      <c r="BS147" s="12" t="n"/>
      <c r="BT147" s="12" t="n"/>
      <c r="BU147" s="12" t="n"/>
      <c r="BV147" s="12" t="n"/>
      <c r="BW147" s="12" t="n"/>
      <c r="BX147" s="12" t="n"/>
      <c r="BY147" s="12" t="n"/>
      <c r="BZ147" s="12" t="n"/>
      <c r="CA147" s="12" t="n"/>
      <c r="CB147" s="12" t="n"/>
      <c r="CC147" s="12" t="n"/>
      <c r="CD147" s="12" t="n"/>
      <c r="CE147" s="12" t="n"/>
      <c r="CF147" s="12" t="n"/>
      <c r="CG147" s="12" t="n"/>
      <c r="CH147" s="12" t="n"/>
      <c r="CI147" s="12" t="n"/>
      <c r="CJ147" s="12" t="n"/>
      <c r="CK147" s="12" t="n"/>
      <c r="CL147" s="12" t="n"/>
      <c r="CM147" s="12" t="n"/>
      <c r="CN147" s="12" t="n"/>
      <c r="CO147" s="12" t="n"/>
      <c r="CP147" s="12" t="n"/>
      <c r="CQ147" s="12" t="n"/>
      <c r="CR147" s="12" t="n"/>
      <c r="CS147" s="12" t="n"/>
      <c r="CT147" s="12" t="n"/>
      <c r="CU147" s="12" t="n"/>
      <c r="CV147" s="12" t="n"/>
      <c r="CW147" s="12" t="n"/>
      <c r="CX147" s="12" t="n"/>
      <c r="CY147" s="12" t="n"/>
    </row>
    <row r="148" hidden="1" outlineLevel="1">
      <c r="C148" s="57" t="n"/>
      <c r="D148" s="12" t="n"/>
      <c r="E148" s="12" t="n"/>
      <c r="F148" s="12" t="n"/>
      <c r="G148" s="12" t="n"/>
      <c r="H148" s="12" t="n"/>
      <c r="I148" s="12" t="n"/>
      <c r="J148" s="12" t="n"/>
      <c r="K148" s="12" t="n"/>
      <c r="L148" s="12" t="n"/>
      <c r="M148" s="12" t="n"/>
      <c r="N148" s="12" t="n"/>
      <c r="O148" s="12" t="n"/>
      <c r="P148" s="12" t="n"/>
      <c r="Q148" s="12" t="n"/>
      <c r="R148" s="12" t="n"/>
      <c r="S148" s="12" t="n"/>
      <c r="T148" s="12" t="n"/>
      <c r="U148" s="12" t="n"/>
      <c r="V148" s="12" t="n"/>
      <c r="W148" s="12" t="n"/>
      <c r="X148" s="12" t="n"/>
      <c r="Y148" s="12" t="n"/>
      <c r="Z148" s="12" t="n"/>
      <c r="AA148" s="12" t="n"/>
      <c r="AB148" s="12" t="n"/>
      <c r="AC148" s="12" t="n"/>
      <c r="AD148" s="12" t="n"/>
      <c r="AE148" s="12" t="n"/>
      <c r="AF148" s="12" t="n"/>
      <c r="AG148" s="12" t="n"/>
      <c r="AH148" s="12" t="n"/>
      <c r="AI148" s="12" t="n"/>
      <c r="AJ148" s="12" t="n"/>
      <c r="AK148" s="12" t="n"/>
      <c r="AL148" s="12" t="n"/>
      <c r="AM148" s="12" t="n"/>
      <c r="AN148" s="12" t="n"/>
      <c r="AO148" s="12" t="n"/>
      <c r="AP148" s="12" t="n"/>
      <c r="AQ148" s="12" t="n"/>
      <c r="AR148" s="12" t="n"/>
      <c r="AS148" s="12" t="n"/>
      <c r="AT148" s="12" t="n"/>
      <c r="AU148" s="12" t="n"/>
      <c r="AV148" s="12" t="n"/>
      <c r="AW148" s="12" t="n"/>
      <c r="AX148" s="12" t="n"/>
      <c r="AY148" s="12" t="n"/>
      <c r="AZ148" s="12" t="n"/>
      <c r="BA148" s="12" t="n"/>
      <c r="BB148" s="12" t="n"/>
      <c r="BC148" s="12" t="n"/>
      <c r="BD148" s="12" t="n"/>
      <c r="BE148" s="12" t="n"/>
      <c r="BF148" s="12" t="n"/>
      <c r="BG148" s="12" t="n"/>
      <c r="BH148" s="12" t="n"/>
      <c r="BI148" s="12" t="n"/>
      <c r="BJ148" s="12" t="n"/>
      <c r="BK148" s="12" t="n"/>
      <c r="BL148" s="12" t="n"/>
      <c r="BM148" s="12" t="n"/>
      <c r="BN148" s="12" t="n"/>
      <c r="BO148" s="12" t="n"/>
      <c r="BP148" s="12" t="n"/>
      <c r="BQ148" s="12" t="n"/>
      <c r="BR148" s="12" t="n"/>
      <c r="BS148" s="12" t="n"/>
      <c r="BT148" s="12" t="n"/>
      <c r="BU148" s="12" t="n"/>
      <c r="BV148" s="12" t="n"/>
      <c r="BW148" s="12" t="n"/>
      <c r="BX148" s="12" t="n"/>
      <c r="BY148" s="12" t="n"/>
      <c r="BZ148" s="12" t="n"/>
      <c r="CA148" s="12" t="n"/>
      <c r="CB148" s="12" t="n"/>
      <c r="CC148" s="12" t="n"/>
      <c r="CD148" s="12" t="n"/>
      <c r="CE148" s="12" t="n"/>
      <c r="CF148" s="12" t="n"/>
      <c r="CG148" s="12" t="n"/>
      <c r="CH148" s="12" t="n"/>
      <c r="CI148" s="12" t="n"/>
      <c r="CJ148" s="12" t="n"/>
      <c r="CK148" s="12" t="n"/>
      <c r="CL148" s="12" t="n"/>
      <c r="CM148" s="12" t="n"/>
      <c r="CN148" s="12" t="n"/>
      <c r="CO148" s="12" t="n"/>
      <c r="CP148" s="12" t="n"/>
      <c r="CQ148" s="12" t="n"/>
      <c r="CR148" s="12" t="n"/>
      <c r="CS148" s="12" t="n"/>
      <c r="CT148" s="12" t="n"/>
      <c r="CU148" s="12" t="n"/>
      <c r="CV148" s="12" t="n"/>
      <c r="CW148" s="12" t="n"/>
      <c r="CX148" s="12" t="n"/>
      <c r="CY148" s="12" t="n"/>
    </row>
    <row r="149" collapsed="1">
      <c r="C149" s="14" t="inlineStr">
        <is>
          <t>Deferred income taxes</t>
        </is>
      </c>
      <c r="D149" s="46" t="n"/>
      <c r="E149" s="46" t="n"/>
      <c r="F149" s="46" t="n"/>
      <c r="G149" s="46" t="n"/>
      <c r="H149" s="12" t="n"/>
      <c r="I149" s="46">
        <f>'Inputs (2)'!D18</f>
        <v>1129</v>
      </c>
      <c r="J149" s="46">
        <f>'Inputs (2)'!E18</f>
        <v>1153</v>
      </c>
      <c r="K149" s="46">
        <f>'Inputs (2)'!F18</f>
        <v>1195</v>
      </c>
      <c r="L149" s="46">
        <f>'Inputs (2)'!G18</f>
        <v>1284</v>
      </c>
      <c r="M149" s="12">
        <f>'Inputs (2)'!H18</f>
        <v>1284</v>
      </c>
      <c r="N149" s="46">
        <f>'Inputs (2)'!I18</f>
        <v>1388</v>
      </c>
      <c r="O149" s="46">
        <f>'Inputs (2)'!J18</f>
        <v>1490</v>
      </c>
      <c r="P149" s="46">
        <f>'Inputs (2)'!K18</f>
        <v>2991</v>
      </c>
      <c r="Q149" s="46">
        <f>'Inputs (2)'!L18</f>
        <v>5261</v>
      </c>
      <c r="R149" s="12">
        <f>'Inputs (2)'!M18</f>
        <v>5261</v>
      </c>
      <c r="S149" s="46">
        <f>'Inputs (2)'!N18</f>
        <v>6885</v>
      </c>
      <c r="T149" s="46">
        <f>'Inputs (2)'!O18</f>
        <v>9357</v>
      </c>
      <c r="U149" s="46">
        <f>'Inputs (2)'!P18</f>
        <v>10983</v>
      </c>
      <c r="V149" s="46">
        <f>'Inputs (2)'!Q18</f>
        <v>12169</v>
      </c>
      <c r="W149" s="12">
        <f>'Inputs (2)'!R18</f>
        <v>12169</v>
      </c>
      <c r="X149" s="46">
        <f>'Inputs (2)'!S18</f>
        <v>11687</v>
      </c>
      <c r="Y149" s="46">
        <f>'Inputs (2)'!T18</f>
        <v>14958</v>
      </c>
      <c r="Z149" s="46">
        <f>'Inputs (2)'!U18</f>
        <v>15915</v>
      </c>
      <c r="AA149" s="46">
        <f>'Inputs (2)'!V18</f>
        <v>17180</v>
      </c>
      <c r="AB149" s="12">
        <f>'Inputs (2)'!W18</f>
        <v>17180</v>
      </c>
      <c r="AC149" s="46">
        <f>'Inputs (2)'!X18</f>
        <v>18386</v>
      </c>
      <c r="AD149" s="46">
        <f>'Inputs (2)'!Y18</f>
        <v>19289</v>
      </c>
      <c r="AE149" s="46">
        <f>'Inputs (2)'!Z18</f>
        <v>10331</v>
      </c>
      <c r="AF149" s="46">
        <f>'Inputs (2)'!AA18</f>
        <v>9113</v>
      </c>
      <c r="AG149" s="12">
        <f>'Inputs (2)'!AB18</f>
        <v>9113</v>
      </c>
      <c r="AH149" s="12">
        <f>'Inputs (2)'!AC18</f>
        <v>1995</v>
      </c>
      <c r="AI149" s="12">
        <f>'Inputs (2)'!AD18</f>
        <v>1448</v>
      </c>
      <c r="AJ149" s="12">
        <f>AI149</f>
        <v>1448</v>
      </c>
      <c r="AK149" s="12">
        <f>AJ149</f>
        <v>1448</v>
      </c>
      <c r="AL149" s="12">
        <f>AK149</f>
        <v>1448</v>
      </c>
      <c r="AM149" s="12">
        <f>AL149</f>
        <v>1448</v>
      </c>
      <c r="AN149" s="12">
        <f>AM149</f>
        <v>1448</v>
      </c>
      <c r="AO149" s="12">
        <f>AN149</f>
        <v>1448</v>
      </c>
      <c r="AP149" s="12">
        <f>AO149</f>
        <v>1448</v>
      </c>
      <c r="AQ149" s="12">
        <f>AP149</f>
        <v>1448</v>
      </c>
      <c r="AR149" s="12">
        <f>AQ149</f>
        <v>1448</v>
      </c>
      <c r="AS149" s="12">
        <f>AR149</f>
        <v>1448</v>
      </c>
      <c r="AT149" s="12">
        <f>AS149</f>
        <v>1448</v>
      </c>
      <c r="AU149" s="12">
        <f>AT149</f>
        <v>1448</v>
      </c>
      <c r="AV149" s="12">
        <f>AU149</f>
        <v>1448</v>
      </c>
      <c r="AW149" s="12">
        <f>AV149</f>
        <v>1448</v>
      </c>
      <c r="AX149" s="12">
        <f>AW149</f>
        <v>1448</v>
      </c>
      <c r="AY149" s="12">
        <f>AX149</f>
        <v>1448</v>
      </c>
      <c r="AZ149" s="12">
        <f>AY149</f>
        <v>1448</v>
      </c>
      <c r="BA149" s="12">
        <f>AZ149</f>
        <v>1448</v>
      </c>
      <c r="BB149" s="12">
        <f>BA149</f>
        <v>1448</v>
      </c>
      <c r="BC149" s="12">
        <f>BB149</f>
        <v>1448</v>
      </c>
      <c r="BD149" s="12">
        <f>BC149</f>
        <v>1448</v>
      </c>
      <c r="BE149" s="12">
        <f>BD149</f>
        <v>1448</v>
      </c>
      <c r="BF149" s="12">
        <f>BE149</f>
        <v>1448</v>
      </c>
      <c r="BG149" s="12" t="n"/>
      <c r="BH149" s="12" t="n"/>
      <c r="BI149" s="12" t="n"/>
      <c r="BJ149" s="12" t="n"/>
      <c r="BK149" s="12" t="n"/>
      <c r="BL149" s="12" t="n"/>
      <c r="BM149" s="12" t="n"/>
      <c r="BN149" s="12" t="n"/>
      <c r="BO149" s="12" t="n"/>
      <c r="BP149" s="12" t="n"/>
      <c r="BQ149" s="12" t="n"/>
      <c r="BR149" s="12" t="n"/>
      <c r="BS149" s="12" t="n"/>
      <c r="BT149" s="12" t="n"/>
      <c r="BU149" s="12" t="n"/>
      <c r="BV149" s="12" t="n"/>
      <c r="BW149" s="12" t="n"/>
      <c r="BX149" s="12" t="n"/>
      <c r="BY149" s="12" t="n"/>
      <c r="BZ149" s="12" t="n"/>
      <c r="CA149" s="12" t="n"/>
      <c r="CB149" s="12" t="n"/>
      <c r="CC149" s="12" t="n"/>
      <c r="CD149" s="12" t="n"/>
      <c r="CE149" s="12" t="n"/>
      <c r="CF149" s="12" t="n"/>
      <c r="CG149" s="12" t="n"/>
      <c r="CH149" s="12" t="n"/>
      <c r="CI149" s="12" t="n"/>
      <c r="CJ149" s="12" t="n"/>
      <c r="CK149" s="12" t="n"/>
      <c r="CL149" s="12" t="n"/>
      <c r="CM149" s="12" t="n"/>
      <c r="CN149" s="12" t="n"/>
      <c r="CO149" s="12" t="n"/>
      <c r="CP149" s="12" t="n"/>
      <c r="CQ149" s="12" t="n"/>
      <c r="CR149" s="12" t="n"/>
      <c r="CS149" s="12" t="n"/>
      <c r="CT149" s="12" t="n"/>
      <c r="CU149" s="12" t="n"/>
      <c r="CV149" s="12" t="n"/>
      <c r="CW149" s="12" t="n"/>
      <c r="CX149" s="12" t="n"/>
      <c r="CY149" s="12" t="n"/>
    </row>
    <row r="150">
      <c r="C150" s="14" t="inlineStr">
        <is>
          <t>Prepaid expenses</t>
        </is>
      </c>
      <c r="D150" s="46" t="n"/>
      <c r="E150" s="46" t="n"/>
      <c r="F150" s="46" t="n"/>
      <c r="G150" s="46" t="n"/>
      <c r="H150" s="12" t="n"/>
      <c r="I150" s="46">
        <f>'Inputs (2)'!D19</f>
        <v>0</v>
      </c>
      <c r="J150" s="46">
        <f>'Inputs (2)'!E19</f>
        <v>0</v>
      </c>
      <c r="K150" s="46">
        <f>'Inputs (2)'!F19</f>
        <v>0</v>
      </c>
      <c r="L150" s="46">
        <f>'Inputs (2)'!G19</f>
        <v>0</v>
      </c>
      <c r="M150" s="12">
        <f>'Inputs (2)'!H19</f>
        <v>0</v>
      </c>
      <c r="N150" s="46">
        <f>'Inputs (2)'!I19</f>
        <v>0</v>
      </c>
      <c r="O150" s="46">
        <f>'Inputs (2)'!J19</f>
        <v>0</v>
      </c>
      <c r="P150" s="46">
        <f>'Inputs (2)'!K19</f>
        <v>0</v>
      </c>
      <c r="Q150" s="46">
        <f>'Inputs (2)'!L19</f>
        <v>0</v>
      </c>
      <c r="R150" s="12">
        <f>'Inputs (2)'!M19</f>
        <v>0</v>
      </c>
      <c r="S150" s="46">
        <f>'Inputs (2)'!N19</f>
        <v>0</v>
      </c>
      <c r="T150" s="46">
        <f>'Inputs (2)'!O19</f>
        <v>0</v>
      </c>
      <c r="U150" s="46">
        <f>'Inputs (2)'!P19</f>
        <v>0</v>
      </c>
      <c r="V150" s="46">
        <f>'Inputs (2)'!Q19</f>
        <v>0</v>
      </c>
      <c r="W150" s="12">
        <f>'Inputs (2)'!R19</f>
        <v>0</v>
      </c>
      <c r="X150" s="46">
        <f>'Inputs (2)'!S19</f>
        <v>0</v>
      </c>
      <c r="Y150" s="46">
        <f>'Inputs (2)'!T19</f>
        <v>0</v>
      </c>
      <c r="Z150" s="46">
        <f>'Inputs (2)'!U19</f>
        <v>0</v>
      </c>
      <c r="AA150" s="46">
        <f>'Inputs (2)'!V19</f>
        <v>0</v>
      </c>
      <c r="AB150" s="12">
        <f>'Inputs (2)'!W19</f>
        <v>0</v>
      </c>
      <c r="AC150" s="46">
        <f>'Inputs (2)'!X19</f>
        <v>0</v>
      </c>
      <c r="AD150" s="46">
        <f>'Inputs (2)'!Y19</f>
        <v>0</v>
      </c>
      <c r="AE150" s="46">
        <f>'Inputs (2)'!Z19</f>
        <v>0</v>
      </c>
      <c r="AF150" s="46">
        <f>'Inputs (2)'!AA19</f>
        <v>0</v>
      </c>
      <c r="AG150" s="12">
        <f>'Inputs (2)'!AB19</f>
        <v>0</v>
      </c>
      <c r="AH150" s="12">
        <f>'Inputs (2)'!AC19</f>
        <v>0</v>
      </c>
      <c r="AI150" s="12">
        <f>'Inputs (2)'!AD19</f>
        <v>0</v>
      </c>
      <c r="AJ150" s="12">
        <f>AI150</f>
        <v>0</v>
      </c>
      <c r="AK150" s="12">
        <f>AJ150</f>
        <v>0</v>
      </c>
      <c r="AL150" s="12">
        <f>AK150</f>
        <v>0</v>
      </c>
      <c r="AM150" s="12">
        <f>AL150</f>
        <v>0</v>
      </c>
      <c r="AN150" s="12">
        <f>AM150</f>
        <v>0</v>
      </c>
      <c r="AO150" s="12">
        <f>AN150</f>
        <v>0</v>
      </c>
      <c r="AP150" s="12">
        <f>AO150</f>
        <v>0</v>
      </c>
      <c r="AQ150" s="12">
        <f>AP150</f>
        <v>0</v>
      </c>
      <c r="AR150" s="12">
        <f>AQ150</f>
        <v>0</v>
      </c>
      <c r="AS150" s="12">
        <f>AR150</f>
        <v>0</v>
      </c>
      <c r="AT150" s="12">
        <f>AS150</f>
        <v>0</v>
      </c>
      <c r="AU150" s="12">
        <f>AT150</f>
        <v>0</v>
      </c>
      <c r="AV150" s="12">
        <f>AU150</f>
        <v>0</v>
      </c>
      <c r="AW150" s="12">
        <f>AV150</f>
        <v>0</v>
      </c>
      <c r="AX150" s="12">
        <f>AW150</f>
        <v>0</v>
      </c>
      <c r="AY150" s="12">
        <f>AX150</f>
        <v>0</v>
      </c>
      <c r="AZ150" s="12">
        <f>AY150</f>
        <v>0</v>
      </c>
      <c r="BA150" s="12">
        <f>AZ150</f>
        <v>0</v>
      </c>
      <c r="BB150" s="12">
        <f>BA150</f>
        <v>0</v>
      </c>
      <c r="BC150" s="12">
        <f>BB150</f>
        <v>0</v>
      </c>
      <c r="BD150" s="12">
        <f>BC150</f>
        <v>0</v>
      </c>
      <c r="BE150" s="12">
        <f>BD150</f>
        <v>0</v>
      </c>
      <c r="BF150" s="12">
        <f>BE150</f>
        <v>0</v>
      </c>
      <c r="BG150" s="12" t="n"/>
      <c r="BH150" s="12" t="n"/>
      <c r="BI150" s="12" t="n"/>
      <c r="BJ150" s="12" t="n"/>
      <c r="BK150" s="12" t="n"/>
      <c r="BL150" s="12" t="n"/>
      <c r="BM150" s="12" t="n"/>
      <c r="BN150" s="12" t="n"/>
      <c r="BO150" s="12" t="n"/>
      <c r="BP150" s="12" t="n"/>
      <c r="BQ150" s="12" t="n"/>
      <c r="BR150" s="12" t="n"/>
      <c r="BS150" s="12" t="n"/>
      <c r="BT150" s="12" t="n"/>
      <c r="BU150" s="12" t="n"/>
      <c r="BV150" s="12" t="n"/>
      <c r="BW150" s="12" t="n"/>
      <c r="BX150" s="12" t="n"/>
      <c r="BY150" s="12" t="n"/>
      <c r="BZ150" s="12" t="n"/>
      <c r="CA150" s="12" t="n"/>
      <c r="CB150" s="12" t="n"/>
      <c r="CC150" s="12" t="n"/>
      <c r="CD150" s="12" t="n"/>
      <c r="CE150" s="12" t="n"/>
      <c r="CF150" s="12" t="n"/>
      <c r="CG150" s="12" t="n"/>
      <c r="CH150" s="12" t="n"/>
      <c r="CI150" s="12" t="n"/>
      <c r="CJ150" s="12" t="n"/>
      <c r="CK150" s="12" t="n"/>
      <c r="CL150" s="12" t="n"/>
      <c r="CM150" s="12" t="n"/>
      <c r="CN150" s="12" t="n"/>
      <c r="CO150" s="12" t="n"/>
      <c r="CP150" s="12" t="n"/>
      <c r="CQ150" s="12" t="n"/>
      <c r="CR150" s="12" t="n"/>
      <c r="CS150" s="12" t="n"/>
      <c r="CT150" s="12" t="n"/>
      <c r="CU150" s="12" t="n"/>
      <c r="CV150" s="12" t="n"/>
      <c r="CW150" s="12" t="n"/>
      <c r="CX150" s="12" t="n"/>
      <c r="CY150" s="12" t="n"/>
    </row>
    <row r="151">
      <c r="C151" s="14" t="inlineStr">
        <is>
          <t>Other current assets</t>
        </is>
      </c>
      <c r="D151" s="46" t="n"/>
      <c r="E151" s="46" t="n"/>
      <c r="F151" s="46" t="n"/>
      <c r="G151" s="46" t="n"/>
      <c r="H151" s="12" t="n"/>
      <c r="I151" s="46">
        <f>'Inputs (2)'!D20</f>
        <v>8139</v>
      </c>
      <c r="J151" s="46">
        <f>'Inputs (2)'!E20</f>
        <v>6960</v>
      </c>
      <c r="K151" s="46">
        <f>'Inputs (2)'!F20</f>
        <v>6782</v>
      </c>
      <c r="L151" s="46">
        <f>'Inputs (2)'!G20</f>
        <v>8020</v>
      </c>
      <c r="M151" s="12">
        <f>'Inputs (2)'!H20</f>
        <v>8020</v>
      </c>
      <c r="N151" s="46">
        <f>'Inputs (2)'!I20</f>
        <v>7811</v>
      </c>
      <c r="O151" s="46">
        <f>'Inputs (2)'!J20</f>
        <v>9687</v>
      </c>
      <c r="P151" s="46">
        <f>'Inputs (2)'!K20</f>
        <v>11997</v>
      </c>
      <c r="Q151" s="46">
        <f>'Inputs (2)'!L20</f>
        <v>8105</v>
      </c>
      <c r="R151" s="12">
        <f>'Inputs (2)'!M20</f>
        <v>8105</v>
      </c>
      <c r="S151" s="46">
        <f>'Inputs (2)'!N20</f>
        <v>8532</v>
      </c>
      <c r="T151" s="46">
        <f>'Inputs (2)'!O20</f>
        <v>9421</v>
      </c>
      <c r="U151" s="46">
        <f>'Inputs (2)'!P20</f>
        <v>12398</v>
      </c>
      <c r="V151" s="46">
        <f>'Inputs (2)'!Q20</f>
        <v>12650</v>
      </c>
      <c r="W151" s="12">
        <f>'Inputs (2)'!R20</f>
        <v>12650</v>
      </c>
      <c r="X151" s="46">
        <f>'Inputs (2)'!S20</f>
        <v>12829</v>
      </c>
      <c r="Y151" s="46">
        <f>'Inputs (2)'!T20</f>
        <v>14183</v>
      </c>
      <c r="Z151" s="46">
        <f>'Inputs (2)'!U20</f>
        <v>15207</v>
      </c>
      <c r="AA151" s="46">
        <f>'Inputs (2)'!V20</f>
        <v>15714</v>
      </c>
      <c r="AB151" s="12">
        <f>'Inputs (2)'!W20</f>
        <v>15714</v>
      </c>
      <c r="AC151" s="46">
        <f>'Inputs (2)'!X20</f>
        <v>15724</v>
      </c>
      <c r="AD151" s="46">
        <f>'Inputs (2)'!Y20</f>
        <v>16020</v>
      </c>
      <c r="AE151" s="46">
        <f>'Inputs (2)'!Z20</f>
        <v>18303</v>
      </c>
      <c r="AF151" s="46">
        <f>'Inputs (2)'!AA20</f>
        <v>16309</v>
      </c>
      <c r="AG151" s="12">
        <f>'Inputs (2)'!AB20</f>
        <v>16309</v>
      </c>
      <c r="AH151" s="12">
        <f>'Inputs (2)'!AC20</f>
        <v>23914</v>
      </c>
      <c r="AI151" s="12">
        <f>'Inputs (2)'!AD20</f>
        <v>21884</v>
      </c>
      <c r="AJ151" s="12">
        <f>AI151</f>
        <v>21884</v>
      </c>
      <c r="AK151" s="12">
        <f>AJ151</f>
        <v>21884</v>
      </c>
      <c r="AL151" s="12">
        <f>AK151</f>
        <v>21884</v>
      </c>
      <c r="AM151" s="12">
        <f>AL151</f>
        <v>21884</v>
      </c>
      <c r="AN151" s="12">
        <f>AM151</f>
        <v>21884</v>
      </c>
      <c r="AO151" s="12">
        <f>AN151</f>
        <v>21884</v>
      </c>
      <c r="AP151" s="12">
        <f>AO151</f>
        <v>21884</v>
      </c>
      <c r="AQ151" s="12">
        <f>AP151</f>
        <v>21884</v>
      </c>
      <c r="AR151" s="12">
        <f>AQ151</f>
        <v>21884</v>
      </c>
      <c r="AS151" s="12">
        <f>AR151</f>
        <v>21884</v>
      </c>
      <c r="AT151" s="12">
        <f>AS151</f>
        <v>21884</v>
      </c>
      <c r="AU151" s="12">
        <f>AT151</f>
        <v>21884</v>
      </c>
      <c r="AV151" s="12">
        <f>AU151</f>
        <v>21884</v>
      </c>
      <c r="AW151" s="12">
        <f>AV151</f>
        <v>21884</v>
      </c>
      <c r="AX151" s="12">
        <f>AW151</f>
        <v>21884</v>
      </c>
      <c r="AY151" s="12">
        <f>AX151</f>
        <v>21884</v>
      </c>
      <c r="AZ151" s="12">
        <f>AY151</f>
        <v>21884</v>
      </c>
      <c r="BA151" s="12">
        <f>AZ151</f>
        <v>21884</v>
      </c>
      <c r="BB151" s="12">
        <f>BA151</f>
        <v>21884</v>
      </c>
      <c r="BC151" s="12">
        <f>BB151</f>
        <v>21884</v>
      </c>
      <c r="BD151" s="12">
        <f>BC151</f>
        <v>21884</v>
      </c>
      <c r="BE151" s="12">
        <f>BD151</f>
        <v>21884</v>
      </c>
      <c r="BF151" s="12">
        <f>BE151</f>
        <v>21884</v>
      </c>
      <c r="BG151" s="12" t="n"/>
      <c r="BH151" s="12" t="n"/>
      <c r="BI151" s="12" t="n"/>
      <c r="BJ151" s="12" t="n"/>
      <c r="BK151" s="12" t="n"/>
      <c r="BL151" s="12" t="n"/>
      <c r="BM151" s="12" t="n"/>
      <c r="BN151" s="12" t="n"/>
      <c r="BO151" s="12" t="n"/>
      <c r="BP151" s="12" t="n"/>
      <c r="BQ151" s="12" t="n"/>
      <c r="BR151" s="12" t="n"/>
      <c r="BS151" s="12" t="n"/>
      <c r="BT151" s="12" t="n"/>
      <c r="BU151" s="12" t="n"/>
      <c r="BV151" s="12" t="n"/>
      <c r="BW151" s="12" t="n"/>
      <c r="BX151" s="12" t="n"/>
      <c r="BY151" s="12" t="n"/>
      <c r="BZ151" s="12" t="n"/>
      <c r="CA151" s="12" t="n"/>
      <c r="CB151" s="12" t="n"/>
      <c r="CC151" s="12" t="n"/>
      <c r="CD151" s="12" t="n"/>
      <c r="CE151" s="12" t="n"/>
      <c r="CF151" s="12" t="n"/>
      <c r="CG151" s="12" t="n"/>
      <c r="CH151" s="12" t="n"/>
      <c r="CI151" s="12" t="n"/>
      <c r="CJ151" s="12" t="n"/>
      <c r="CK151" s="12" t="n"/>
      <c r="CL151" s="12" t="n"/>
      <c r="CM151" s="12" t="n"/>
      <c r="CN151" s="12" t="n"/>
      <c r="CO151" s="12" t="n"/>
      <c r="CP151" s="12" t="n"/>
      <c r="CQ151" s="12" t="n"/>
      <c r="CR151" s="12" t="n"/>
      <c r="CS151" s="12" t="n"/>
      <c r="CT151" s="12" t="n"/>
      <c r="CU151" s="12" t="n"/>
      <c r="CV151" s="12" t="n"/>
      <c r="CW151" s="12" t="n"/>
      <c r="CX151" s="12" t="n"/>
      <c r="CY151" s="12" t="n"/>
    </row>
    <row r="152" hidden="1" outlineLevel="1">
      <c r="C152" s="59" t="inlineStr">
        <is>
          <t>%(Var.)</t>
        </is>
      </c>
      <c r="D152" s="12" t="n"/>
      <c r="E152" s="40" t="n"/>
      <c r="F152" s="40" t="n"/>
      <c r="G152" s="40" t="n"/>
      <c r="H152" s="12" t="n"/>
      <c r="I152" s="40" t="str">
        <f>""</f>
        <v/>
      </c>
      <c r="J152" s="40">
        <f>IFERROR(IF(I151=0,"",J151/I151-1),"")</f>
        <v>-0.14485809067453</v>
      </c>
      <c r="K152" s="40">
        <f>IFERROR(IF(J151=0,"",K151/J151-1),"")</f>
        <v>-0.0255747126436782</v>
      </c>
      <c r="L152" s="40">
        <f>IFERROR(IF(K151=0,"",L151/K151-1),"")</f>
        <v>0.182542023002064</v>
      </c>
      <c r="M152" s="12">
        <f>IFERROR(IF(L151=0,"",M151/L151-1),"")</f>
        <v>0</v>
      </c>
      <c r="N152" s="40">
        <f>IFERROR(IF(M151=0,"",N151/M151-1),"")</f>
        <v>-0.0260598503740649</v>
      </c>
      <c r="O152" s="40">
        <f>IFERROR(IF(N151=0,"",O151/N151-1),"")</f>
        <v>0.240174113429779</v>
      </c>
      <c r="P152" s="40">
        <f>IFERROR(IF(O151=0,"",P151/O151-1),"")</f>
        <v>0.238463920718489</v>
      </c>
      <c r="Q152" s="40">
        <f>IFERROR(IF(P151=0,"",Q151/P151-1),"")</f>
        <v>-0.324414436942569</v>
      </c>
      <c r="R152" s="12">
        <f>IFERROR(IF(Q151=0,"",R151/Q151-1),"")</f>
        <v>0</v>
      </c>
      <c r="S152" s="40">
        <f>IFERROR(IF(R151=0,"",S151/R151-1),"")</f>
        <v>0.0526835286859964</v>
      </c>
      <c r="T152" s="40">
        <f>IFERROR(IF(S151=0,"",T151/S151-1),"")</f>
        <v>0.104195968120019</v>
      </c>
      <c r="U152" s="40">
        <f>IFERROR(IF(T151=0,"",U151/T151-1),"")</f>
        <v>0.315996178749602</v>
      </c>
      <c r="V152" s="40">
        <f>IFERROR(IF(U151=0,"",V151/U151-1),"")</f>
        <v>0.0203258590095177</v>
      </c>
      <c r="W152" s="12">
        <f>IFERROR(IF(V151=0,"",W151/V151-1),"")</f>
        <v>0</v>
      </c>
      <c r="X152" s="40">
        <f>IFERROR(IF(W151=0,"",X151/W151-1),"")</f>
        <v>0.0141501976284586</v>
      </c>
      <c r="Y152" s="40">
        <f>IFERROR(IF(X151=0,"",Y151/X151-1),"")</f>
        <v>0.105542131109206</v>
      </c>
      <c r="Z152" s="40">
        <f>IFERROR(IF(Y151=0,"",Z151/Y151-1),"")</f>
        <v>0.0721991116124938</v>
      </c>
      <c r="AA152" s="40">
        <f>IFERROR(IF(Z151=0,"",AA151/Z151-1),"")</f>
        <v>0.0333399092523181</v>
      </c>
      <c r="AB152" s="12">
        <f>IFERROR(IF(AA151=0,"",AB151/AA151-1),"")</f>
        <v>0</v>
      </c>
      <c r="AC152" s="40">
        <f>IFERROR(IF(AB151=0,"",AC151/AB151-1),"")</f>
        <v>0.000636375206821915</v>
      </c>
      <c r="AD152" s="40">
        <f>IFERROR(IF(AC151=0,"",AD151/AC151-1),"")</f>
        <v>0.0188247265326889</v>
      </c>
      <c r="AE152" s="40">
        <f>IFERROR(IF(AD151=0,"",AE151/AD151-1),"")</f>
        <v>0.14250936329588</v>
      </c>
      <c r="AF152" s="55">
        <f>IFERROR(IF(AE151=0,"",AF151/AE151-1),"")</f>
        <v>-0.108943888979949</v>
      </c>
      <c r="AG152" s="12">
        <f>IFERROR(IF(AF151=0,"",AG151/AF151-1),"")</f>
        <v>0</v>
      </c>
      <c r="AH152" s="12">
        <f>IFERROR(IF(AG151=0,"",AH151/AG151-1),"")</f>
        <v>0.466306947084432</v>
      </c>
      <c r="AI152" s="12">
        <f>IFERROR(IF(AH151=0,"",AI151/AH151-1),"")</f>
        <v>-0.0848875135903655</v>
      </c>
      <c r="AJ152" s="12">
        <f>IFERROR(IF(AI151=0,"",AJ151/AI151-1),"")</f>
        <v>0</v>
      </c>
      <c r="AK152" s="12">
        <f>IFERROR(IF(AJ151=0,"",AK151/AJ151-1),"")</f>
        <v>0</v>
      </c>
      <c r="AL152" s="12">
        <f>IFERROR(IF(AK151=0,"",AL151/AK151-1),"")</f>
        <v>0</v>
      </c>
      <c r="AM152" s="12">
        <f>IFERROR(IF(AL151=0,"",AM151/AL151-1),"")</f>
        <v>0</v>
      </c>
      <c r="AN152" s="12">
        <f>IFERROR(IF(AM151=0,"",AN151/AM151-1),"")</f>
        <v>0</v>
      </c>
      <c r="AO152" s="12">
        <f>IFERROR(IF(AN151=0,"",AO151/AN151-1),"")</f>
        <v>0</v>
      </c>
      <c r="AP152" s="12">
        <f>IFERROR(IF(AO151=0,"",AP151/AO151-1),"")</f>
        <v>0</v>
      </c>
      <c r="AQ152" s="12">
        <f>IFERROR(IF(AP151=0,"",AQ151/AP151-1),"")</f>
        <v>0</v>
      </c>
      <c r="AR152" s="12">
        <f>IFERROR(IF(AQ151=0,"",AR151/AQ151-1),"")</f>
        <v>0</v>
      </c>
      <c r="AS152" s="12">
        <f>IFERROR(IF(AR151=0,"",AS151/AR151-1),"")</f>
        <v>0</v>
      </c>
      <c r="AT152" s="12">
        <f>IFERROR(IF(AS151=0,"",AT151/AS151-1),"")</f>
        <v>0</v>
      </c>
      <c r="AU152" s="12">
        <f>IFERROR(IF(AT151=0,"",AU151/AT151-1),"")</f>
        <v>0</v>
      </c>
      <c r="AV152" s="12">
        <f>IFERROR(IF(AU151=0,"",AV151/AU151-1),"")</f>
        <v>0</v>
      </c>
      <c r="AW152" s="12">
        <f>IFERROR(IF(AV151=0,"",AW151/AV151-1),"")</f>
        <v>0</v>
      </c>
      <c r="AX152" s="12">
        <f>IFERROR(IF(AW151=0,"",AX151/AW151-1),"")</f>
        <v>0</v>
      </c>
      <c r="AY152" s="12">
        <f>IFERROR(IF(AX151=0,"",AY151/AX151-1),"")</f>
        <v>0</v>
      </c>
      <c r="AZ152" s="12">
        <f>IFERROR(IF(AY151=0,"",AZ151/AY151-1),"")</f>
        <v>0</v>
      </c>
      <c r="BA152" s="12">
        <f>IFERROR(IF(AZ151=0,"",BA151/AZ151-1),"")</f>
        <v>0</v>
      </c>
      <c r="BB152" s="12">
        <f>IFERROR(IF(BA151=0,"",BB151/BA151-1),"")</f>
        <v>0</v>
      </c>
      <c r="BC152" s="12">
        <f>IFERROR(IF(BB151=0,"",BC151/BB151-1),"")</f>
        <v>0</v>
      </c>
      <c r="BD152" s="12">
        <f>IFERROR(IF(BC151=0,"",BD151/BC151-1),"")</f>
        <v>0</v>
      </c>
      <c r="BE152" s="12">
        <f>IFERROR(IF(BD151=0,"",BE151/BD151-1),"")</f>
        <v>0</v>
      </c>
      <c r="BF152" s="12">
        <f>IFERROR(IF(BE151=0,"",BF151/BE151-1),"")</f>
        <v>0</v>
      </c>
      <c r="BG152" s="12" t="n"/>
      <c r="BH152" s="12" t="n"/>
      <c r="BI152" s="12" t="n"/>
      <c r="BJ152" s="12" t="n"/>
      <c r="BK152" s="12" t="n"/>
      <c r="BL152" s="12" t="n"/>
      <c r="BM152" s="12" t="n"/>
      <c r="BN152" s="12" t="n"/>
      <c r="BO152" s="12" t="n"/>
      <c r="BP152" s="12" t="n"/>
      <c r="BQ152" s="12" t="n"/>
      <c r="BR152" s="12" t="n"/>
      <c r="BS152" s="12" t="n"/>
      <c r="BT152" s="12" t="n"/>
      <c r="BU152" s="12" t="n"/>
      <c r="BV152" s="12" t="n"/>
      <c r="BW152" s="12" t="n"/>
      <c r="BX152" s="12" t="n"/>
      <c r="BY152" s="12" t="n"/>
      <c r="BZ152" s="12" t="n"/>
      <c r="CA152" s="12" t="n"/>
      <c r="CB152" s="12" t="n"/>
      <c r="CC152" s="12" t="n"/>
      <c r="CD152" s="12" t="n"/>
      <c r="CE152" s="12" t="n"/>
      <c r="CF152" s="12" t="n"/>
      <c r="CG152" s="12" t="n"/>
      <c r="CH152" s="12" t="n"/>
      <c r="CI152" s="12" t="n"/>
      <c r="CJ152" s="12" t="n"/>
      <c r="CK152" s="12" t="n"/>
      <c r="CL152" s="12" t="n"/>
      <c r="CM152" s="12" t="n"/>
      <c r="CN152" s="12" t="n"/>
      <c r="CO152" s="12" t="n"/>
      <c r="CP152" s="12" t="n"/>
      <c r="CQ152" s="12" t="n"/>
      <c r="CR152" s="12" t="n"/>
      <c r="CS152" s="12" t="n"/>
      <c r="CT152" s="12" t="n"/>
      <c r="CU152" s="12" t="n"/>
      <c r="CV152" s="12" t="n"/>
      <c r="CW152" s="12" t="n"/>
      <c r="CX152" s="12" t="n"/>
      <c r="CY152" s="12" t="n"/>
    </row>
    <row r="153" hidden="1" outlineLevel="1">
      <c r="C153" s="57" t="n"/>
      <c r="D153" s="12" t="n"/>
      <c r="E153" s="40" t="n"/>
      <c r="F153" s="12" t="n"/>
      <c r="G153" s="12" t="n"/>
      <c r="H153" s="12" t="n"/>
      <c r="I153" s="12" t="n"/>
      <c r="J153" s="12" t="n"/>
      <c r="K153" s="12" t="n"/>
      <c r="L153" s="12" t="n"/>
      <c r="M153" s="12" t="n"/>
      <c r="N153" s="12" t="n"/>
      <c r="O153" s="12" t="n"/>
      <c r="P153" s="12" t="n"/>
      <c r="Q153" s="12" t="n"/>
      <c r="R153" s="12" t="n"/>
      <c r="S153" s="12" t="n"/>
      <c r="T153" s="12" t="n"/>
      <c r="U153" s="12" t="n"/>
      <c r="V153" s="12" t="n"/>
      <c r="W153" s="12" t="n"/>
      <c r="X153" s="12" t="n"/>
      <c r="Y153" s="12" t="n"/>
      <c r="Z153" s="12" t="n"/>
      <c r="AA153" s="12" t="n"/>
      <c r="AB153" s="12" t="n"/>
      <c r="AC153" s="12" t="n"/>
      <c r="AD153" s="12" t="n"/>
      <c r="AE153" s="12" t="n"/>
      <c r="AF153" s="12" t="n"/>
      <c r="AG153" s="12" t="n"/>
      <c r="AH153" s="12" t="n"/>
      <c r="AI153" s="12" t="n"/>
      <c r="AJ153" s="12" t="n"/>
      <c r="AK153" s="12" t="n"/>
      <c r="AL153" s="12" t="n"/>
      <c r="AM153" s="12" t="n"/>
      <c r="AN153" s="12" t="n"/>
      <c r="AO153" s="12" t="n"/>
      <c r="AP153" s="12" t="n"/>
      <c r="AQ153" s="12" t="n"/>
      <c r="AR153" s="12" t="n"/>
      <c r="AS153" s="12" t="n"/>
      <c r="AT153" s="12" t="n"/>
      <c r="AU153" s="12" t="n"/>
      <c r="AV153" s="12" t="n"/>
      <c r="AW153" s="12" t="n"/>
      <c r="AX153" s="12" t="n"/>
      <c r="AY153" s="12" t="n"/>
      <c r="AZ153" s="12" t="n"/>
      <c r="BA153" s="12" t="n"/>
      <c r="BB153" s="12" t="n"/>
      <c r="BC153" s="12" t="n"/>
      <c r="BD153" s="12" t="n"/>
      <c r="BE153" s="12" t="n"/>
      <c r="BF153" s="12" t="n"/>
      <c r="BG153" s="12" t="n"/>
      <c r="BH153" s="12" t="n"/>
      <c r="BI153" s="12" t="n"/>
      <c r="BJ153" s="12" t="n"/>
      <c r="BK153" s="12" t="n"/>
      <c r="BL153" s="12" t="n"/>
      <c r="BM153" s="12" t="n"/>
      <c r="BN153" s="12" t="n"/>
      <c r="BO153" s="12" t="n"/>
      <c r="BP153" s="12" t="n"/>
      <c r="BQ153" s="12" t="n"/>
      <c r="BR153" s="12" t="n"/>
      <c r="BS153" s="12" t="n"/>
      <c r="BT153" s="12" t="n"/>
      <c r="BU153" s="12" t="n"/>
      <c r="BV153" s="12" t="n"/>
      <c r="BW153" s="12" t="n"/>
      <c r="BX153" s="12" t="n"/>
      <c r="BY153" s="12" t="n"/>
      <c r="BZ153" s="12" t="n"/>
      <c r="CA153" s="12" t="n"/>
      <c r="CB153" s="12" t="n"/>
      <c r="CC153" s="12" t="n"/>
      <c r="CD153" s="12" t="n"/>
      <c r="CE153" s="12" t="n"/>
      <c r="CF153" s="12" t="n"/>
      <c r="CG153" s="12" t="n"/>
      <c r="CH153" s="12" t="n"/>
      <c r="CI153" s="12" t="n"/>
      <c r="CJ153" s="12" t="n"/>
      <c r="CK153" s="12" t="n"/>
      <c r="CL153" s="12" t="n"/>
      <c r="CM153" s="12" t="n"/>
      <c r="CN153" s="12" t="n"/>
      <c r="CO153" s="12" t="n"/>
      <c r="CP153" s="12" t="n"/>
      <c r="CQ153" s="12" t="n"/>
      <c r="CR153" s="12" t="n"/>
      <c r="CS153" s="12" t="n"/>
      <c r="CT153" s="12" t="n"/>
      <c r="CU153" s="12" t="n"/>
      <c r="CV153" s="12" t="n"/>
      <c r="CW153" s="12" t="n"/>
      <c r="CX153" s="12" t="n"/>
      <c r="CY153" s="12" t="n"/>
    </row>
    <row r="154" hidden="1" outlineLevel="1">
      <c r="C154" s="60" t="inlineStr">
        <is>
          <t xml:space="preserve">Impostos e Contribuições a Recuperar </t>
        </is>
      </c>
      <c r="D154" s="11" t="n"/>
      <c r="E154" s="11" t="n"/>
      <c r="F154" s="11" t="n"/>
      <c r="G154" s="11" t="n"/>
      <c r="H154" s="12" t="n"/>
      <c r="I154" s="11" t="n"/>
      <c r="J154" s="11" t="n"/>
      <c r="K154" s="11" t="n"/>
      <c r="L154" s="11" t="n"/>
      <c r="M154" s="12" t="n"/>
      <c r="N154" s="11" t="n"/>
      <c r="O154" s="11" t="n"/>
      <c r="P154" s="11" t="n"/>
      <c r="Q154" s="11" t="n"/>
      <c r="R154" s="12" t="n"/>
      <c r="S154" s="11" t="n"/>
      <c r="T154" s="11" t="n"/>
      <c r="U154" s="11" t="n"/>
      <c r="V154" s="11" t="n"/>
      <c r="W154" s="12" t="n"/>
      <c r="X154" s="11" t="n"/>
      <c r="Y154" s="11" t="n"/>
      <c r="Z154" s="11" t="n"/>
      <c r="AA154" s="11" t="n"/>
      <c r="AB154" s="12" t="n"/>
      <c r="AC154" s="11" t="n"/>
      <c r="AD154" s="11" t="n"/>
      <c r="AE154" s="11" t="n"/>
      <c r="AF154" s="11" t="n"/>
      <c r="AG154" s="12">
        <f>AF154</f>
        <v>0</v>
      </c>
      <c r="AH154" s="61">
        <f>IFERROR(AG154*AH15/AG15,"")</f>
        <v>0</v>
      </c>
      <c r="AI154" s="61">
        <f>IFERROR(AH154*AI15/AH15,"")</f>
        <v>0</v>
      </c>
      <c r="AJ154" s="61">
        <f>IFERROR(AI154*AJ15/AI15,"")</f>
        <v>0</v>
      </c>
      <c r="AK154" s="61">
        <f>IFERROR(AJ154*AK15/AJ15,"")</f>
        <v>0</v>
      </c>
      <c r="AL154" s="12">
        <f>IFERROR(AK154,"")</f>
        <v>0</v>
      </c>
      <c r="AM154" s="12" t="n"/>
      <c r="AN154" s="12" t="n"/>
      <c r="AO154" s="12" t="n"/>
      <c r="AP154" s="12" t="n"/>
      <c r="AQ154" s="12" t="n"/>
      <c r="AR154" s="12" t="n"/>
      <c r="AS154" s="12" t="n"/>
      <c r="AT154" s="12" t="n"/>
      <c r="AU154" s="12" t="n"/>
      <c r="AV154" s="12" t="n"/>
      <c r="AW154" s="12" t="n"/>
      <c r="AX154" s="12" t="n"/>
      <c r="AY154" s="12" t="n"/>
      <c r="AZ154" s="12" t="n"/>
      <c r="BA154" s="12" t="n"/>
      <c r="BB154" s="12" t="n"/>
      <c r="BC154" s="12" t="n"/>
      <c r="BD154" s="12" t="n"/>
      <c r="BE154" s="12" t="n"/>
      <c r="BF154" s="12" t="n"/>
      <c r="BG154" s="12" t="n"/>
      <c r="BH154" s="12" t="n"/>
      <c r="BI154" s="12" t="n"/>
      <c r="BJ154" s="12" t="n"/>
      <c r="BK154" s="12" t="n"/>
      <c r="BL154" s="12" t="n"/>
      <c r="BM154" s="12" t="n"/>
      <c r="BN154" s="12" t="n"/>
      <c r="BO154" s="12" t="n"/>
      <c r="BP154" s="12" t="n"/>
      <c r="BQ154" s="12" t="n"/>
      <c r="BR154" s="12" t="n"/>
      <c r="BS154" s="12" t="n"/>
      <c r="BT154" s="12" t="n"/>
      <c r="BU154" s="12" t="n"/>
      <c r="BV154" s="12" t="n"/>
      <c r="BW154" s="12" t="n"/>
      <c r="BX154" s="12" t="n"/>
      <c r="BY154" s="12" t="n"/>
      <c r="BZ154" s="12" t="n"/>
      <c r="CA154" s="12" t="n"/>
      <c r="CB154" s="12" t="n"/>
      <c r="CC154" s="12" t="n"/>
      <c r="CD154" s="12" t="n"/>
      <c r="CE154" s="12" t="n"/>
      <c r="CF154" s="12" t="n"/>
      <c r="CG154" s="12" t="n"/>
      <c r="CH154" s="12" t="n"/>
      <c r="CI154" s="12" t="n"/>
      <c r="CJ154" s="12" t="n"/>
      <c r="CK154" s="12" t="n"/>
      <c r="CL154" s="12" t="n"/>
      <c r="CM154" s="12" t="n"/>
      <c r="CN154" s="12" t="n"/>
      <c r="CO154" s="12" t="n"/>
      <c r="CP154" s="12" t="n"/>
      <c r="CQ154" s="12" t="n"/>
      <c r="CR154" s="12" t="n"/>
      <c r="CS154" s="12" t="n"/>
      <c r="CT154" s="12" t="n"/>
      <c r="CU154" s="12" t="n"/>
      <c r="CV154" s="12" t="n"/>
      <c r="CW154" s="12" t="n"/>
      <c r="CX154" s="12" t="n"/>
      <c r="CY154" s="12" t="n"/>
    </row>
    <row r="155" hidden="1" outlineLevel="1">
      <c r="C155" s="60" t="inlineStr">
        <is>
          <t>Outros Créditos</t>
        </is>
      </c>
      <c r="D155" s="11" t="n"/>
      <c r="E155" s="11" t="n"/>
      <c r="F155" s="11" t="n"/>
      <c r="G155" s="11" t="n"/>
      <c r="H155" s="12" t="n"/>
      <c r="I155" s="11" t="n"/>
      <c r="J155" s="11" t="n"/>
      <c r="K155" s="11" t="n"/>
      <c r="L155" s="11" t="n"/>
      <c r="M155" s="12" t="n"/>
      <c r="N155" s="11" t="n"/>
      <c r="O155" s="11" t="n"/>
      <c r="P155" s="11" t="n"/>
      <c r="Q155" s="11" t="n"/>
      <c r="R155" s="12" t="n"/>
      <c r="S155" s="11" t="n"/>
      <c r="T155" s="11" t="n"/>
      <c r="U155" s="11" t="n"/>
      <c r="V155" s="11" t="n"/>
      <c r="W155" s="12" t="n"/>
      <c r="X155" s="11" t="n"/>
      <c r="Y155" s="11" t="n"/>
      <c r="Z155" s="11" t="n"/>
      <c r="AA155" s="11" t="n"/>
      <c r="AB155" s="12" t="n"/>
      <c r="AC155" s="11" t="n"/>
      <c r="AD155" s="11" t="n"/>
      <c r="AE155" s="11" t="n"/>
      <c r="AF155" s="11" t="n"/>
      <c r="AG155" s="12">
        <f>AF155</f>
        <v>0</v>
      </c>
      <c r="AH155" s="12">
        <f>AG155</f>
        <v>0</v>
      </c>
      <c r="AI155" s="12">
        <f>AH155</f>
        <v>0</v>
      </c>
      <c r="AJ155" s="12">
        <f>AI155</f>
        <v>0</v>
      </c>
      <c r="AK155" s="12">
        <f>AJ155</f>
        <v>0</v>
      </c>
      <c r="AL155" s="12">
        <f>AK155</f>
        <v>0</v>
      </c>
      <c r="AM155" s="12" t="n"/>
      <c r="AN155" s="12" t="n"/>
      <c r="AO155" s="12" t="n"/>
      <c r="AP155" s="12" t="n"/>
      <c r="AQ155" s="12" t="n"/>
      <c r="AR155" s="12" t="n"/>
      <c r="AS155" s="12" t="n"/>
      <c r="AT155" s="12" t="n"/>
      <c r="AU155" s="12" t="n"/>
      <c r="AV155" s="12" t="n"/>
      <c r="AW155" s="12" t="n"/>
      <c r="AX155" s="12" t="n"/>
      <c r="AY155" s="12" t="n"/>
      <c r="AZ155" s="12" t="n"/>
      <c r="BA155" s="12" t="n"/>
      <c r="BB155" s="12" t="n"/>
      <c r="BC155" s="12" t="n"/>
      <c r="BD155" s="12" t="n"/>
      <c r="BE155" s="12" t="n"/>
      <c r="BF155" s="12" t="n"/>
      <c r="BG155" s="12" t="n"/>
      <c r="BH155" s="12" t="n"/>
      <c r="BI155" s="12" t="n"/>
      <c r="BJ155" s="12" t="n"/>
      <c r="BK155" s="12" t="n"/>
      <c r="BL155" s="12" t="n"/>
      <c r="BM155" s="12" t="n"/>
      <c r="BN155" s="12" t="n"/>
      <c r="BO155" s="12" t="n"/>
      <c r="BP155" s="12" t="n"/>
      <c r="BQ155" s="12" t="n"/>
      <c r="BR155" s="12" t="n"/>
      <c r="BS155" s="12" t="n"/>
      <c r="BT155" s="12" t="n"/>
      <c r="BU155" s="12" t="n"/>
      <c r="BV155" s="12" t="n"/>
      <c r="BW155" s="12" t="n"/>
      <c r="BX155" s="12" t="n"/>
      <c r="BY155" s="12" t="n"/>
      <c r="BZ155" s="12" t="n"/>
      <c r="CA155" s="12" t="n"/>
      <c r="CB155" s="12" t="n"/>
      <c r="CC155" s="12" t="n"/>
      <c r="CD155" s="12" t="n"/>
      <c r="CE155" s="12" t="n"/>
      <c r="CF155" s="12" t="n"/>
      <c r="CG155" s="12" t="n"/>
      <c r="CH155" s="12" t="n"/>
      <c r="CI155" s="12" t="n"/>
      <c r="CJ155" s="12" t="n"/>
      <c r="CK155" s="12" t="n"/>
      <c r="CL155" s="12" t="n"/>
      <c r="CM155" s="12" t="n"/>
      <c r="CN155" s="12" t="n"/>
      <c r="CO155" s="12" t="n"/>
      <c r="CP155" s="12" t="n"/>
      <c r="CQ155" s="12" t="n"/>
      <c r="CR155" s="12" t="n"/>
      <c r="CS155" s="12" t="n"/>
      <c r="CT155" s="12" t="n"/>
      <c r="CU155" s="12" t="n"/>
      <c r="CV155" s="12" t="n"/>
      <c r="CW155" s="12" t="n"/>
      <c r="CX155" s="12" t="n"/>
      <c r="CY155" s="12" t="n"/>
    </row>
    <row r="156" hidden="1" outlineLevel="1">
      <c r="C156" s="57" t="n"/>
      <c r="D156" s="12" t="n"/>
      <c r="E156" s="12" t="n"/>
      <c r="F156" s="12" t="n"/>
      <c r="G156" s="12" t="n"/>
      <c r="H156" s="12" t="n"/>
      <c r="I156" s="12" t="n"/>
      <c r="J156" s="12" t="n"/>
      <c r="K156" s="12" t="n"/>
      <c r="L156" s="12" t="n"/>
      <c r="M156" s="12" t="n"/>
      <c r="N156" s="12" t="n"/>
      <c r="O156" s="12" t="n"/>
      <c r="P156" s="12" t="n"/>
      <c r="Q156" s="12" t="n"/>
      <c r="R156" s="12" t="n"/>
      <c r="S156" s="12" t="n"/>
      <c r="T156" s="12" t="n"/>
      <c r="U156" s="12" t="n"/>
      <c r="V156" s="12" t="n"/>
      <c r="W156" s="12" t="n"/>
      <c r="X156" s="12" t="n"/>
      <c r="Y156" s="12" t="n"/>
      <c r="Z156" s="12" t="n"/>
      <c r="AA156" s="12" t="n"/>
      <c r="AB156" s="12" t="n"/>
      <c r="AC156" s="12" t="n"/>
      <c r="AD156" s="12" t="n"/>
      <c r="AE156" s="12" t="n"/>
      <c r="AF156" s="12" t="n"/>
      <c r="AG156" s="12" t="n"/>
      <c r="AH156" s="12" t="n"/>
      <c r="AI156" s="12" t="n"/>
      <c r="AJ156" s="12" t="n"/>
      <c r="AK156" s="12" t="n"/>
      <c r="AL156" s="12" t="n"/>
      <c r="AM156" s="12" t="n"/>
      <c r="AN156" s="12" t="n"/>
      <c r="AO156" s="12" t="n"/>
      <c r="AP156" s="12" t="n"/>
      <c r="AQ156" s="12" t="n"/>
      <c r="AR156" s="12" t="n"/>
      <c r="AS156" s="12" t="n"/>
      <c r="AT156" s="12" t="n"/>
      <c r="AU156" s="12" t="n"/>
      <c r="AV156" s="12" t="n"/>
      <c r="AW156" s="12" t="n"/>
      <c r="AX156" s="12" t="n"/>
      <c r="AY156" s="12" t="n"/>
      <c r="AZ156" s="12" t="n"/>
      <c r="BA156" s="12" t="n"/>
      <c r="BB156" s="12" t="n"/>
      <c r="BC156" s="12" t="n"/>
      <c r="BD156" s="12" t="n"/>
      <c r="BE156" s="12" t="n"/>
      <c r="BF156" s="12" t="n"/>
      <c r="BG156" s="12" t="n"/>
      <c r="BH156" s="12" t="n"/>
      <c r="BI156" s="12" t="n"/>
      <c r="BJ156" s="12" t="n"/>
      <c r="BK156" s="12" t="n"/>
      <c r="BL156" s="12" t="n"/>
      <c r="BM156" s="12" t="n"/>
      <c r="BN156" s="12" t="n"/>
      <c r="BO156" s="12" t="n"/>
      <c r="BP156" s="12" t="n"/>
      <c r="BQ156" s="12" t="n"/>
      <c r="BR156" s="12" t="n"/>
      <c r="BS156" s="12" t="n"/>
      <c r="BT156" s="12" t="n"/>
      <c r="BU156" s="12" t="n"/>
      <c r="BV156" s="12" t="n"/>
      <c r="BW156" s="12" t="n"/>
      <c r="BX156" s="12" t="n"/>
      <c r="BY156" s="12" t="n"/>
      <c r="BZ156" s="12" t="n"/>
      <c r="CA156" s="12" t="n"/>
      <c r="CB156" s="12" t="n"/>
      <c r="CC156" s="12" t="n"/>
      <c r="CD156" s="12" t="n"/>
      <c r="CE156" s="12" t="n"/>
      <c r="CF156" s="12" t="n"/>
      <c r="CG156" s="12" t="n"/>
      <c r="CH156" s="12" t="n"/>
      <c r="CI156" s="12" t="n"/>
      <c r="CJ156" s="12" t="n"/>
      <c r="CK156" s="12" t="n"/>
      <c r="CL156" s="12" t="n"/>
      <c r="CM156" s="12" t="n"/>
      <c r="CN156" s="12" t="n"/>
      <c r="CO156" s="12" t="n"/>
      <c r="CP156" s="12" t="n"/>
      <c r="CQ156" s="12" t="n"/>
      <c r="CR156" s="12" t="n"/>
      <c r="CS156" s="12" t="n"/>
      <c r="CT156" s="12" t="n"/>
      <c r="CU156" s="12" t="n"/>
      <c r="CV156" s="12" t="n"/>
      <c r="CW156" s="12" t="n"/>
      <c r="CX156" s="12" t="n"/>
      <c r="CY156" s="12" t="n"/>
    </row>
    <row r="157" collapsed="1">
      <c r="C157" s="14" t="inlineStr">
        <is>
          <t>Equity in affiliates</t>
        </is>
      </c>
      <c r="D157" s="46" t="n"/>
      <c r="E157" s="46" t="n"/>
      <c r="F157" s="46" t="n"/>
      <c r="G157" s="46" t="n"/>
      <c r="H157" s="12" t="n"/>
      <c r="I157" s="46">
        <f>'Inputs (2)'!D21</f>
        <v>0</v>
      </c>
      <c r="J157" s="46">
        <f>'Inputs (2)'!E21</f>
        <v>0</v>
      </c>
      <c r="K157" s="46">
        <f>'Inputs (2)'!F21</f>
        <v>0</v>
      </c>
      <c r="L157" s="46">
        <f>'Inputs (2)'!G21</f>
        <v>0</v>
      </c>
      <c r="M157" s="12">
        <f>'Inputs (2)'!H21</f>
        <v>0</v>
      </c>
      <c r="N157" s="46">
        <f>'Inputs (2)'!I21</f>
        <v>0</v>
      </c>
      <c r="O157" s="46">
        <f>'Inputs (2)'!J21</f>
        <v>0</v>
      </c>
      <c r="P157" s="46">
        <f>'Inputs (2)'!K21</f>
        <v>0</v>
      </c>
      <c r="Q157" s="46">
        <f>'Inputs (2)'!L21</f>
        <v>0</v>
      </c>
      <c r="R157" s="12">
        <f>'Inputs (2)'!M21</f>
        <v>0</v>
      </c>
      <c r="S157" s="46">
        <f>'Inputs (2)'!N21</f>
        <v>0</v>
      </c>
      <c r="T157" s="46">
        <f>'Inputs (2)'!O21</f>
        <v>0</v>
      </c>
      <c r="U157" s="46">
        <f>'Inputs (2)'!P21</f>
        <v>0</v>
      </c>
      <c r="V157" s="46">
        <f>'Inputs (2)'!Q21</f>
        <v>0</v>
      </c>
      <c r="W157" s="12">
        <f>'Inputs (2)'!R21</f>
        <v>0</v>
      </c>
      <c r="X157" s="46">
        <f>'Inputs (2)'!S21</f>
        <v>0</v>
      </c>
      <c r="Y157" s="46">
        <f>'Inputs (2)'!T21</f>
        <v>0</v>
      </c>
      <c r="Z157" s="46">
        <f>'Inputs (2)'!U21</f>
        <v>0</v>
      </c>
      <c r="AA157" s="46">
        <f>'Inputs (2)'!V21</f>
        <v>0</v>
      </c>
      <c r="AB157" s="12">
        <f>'Inputs (2)'!W21</f>
        <v>0</v>
      </c>
      <c r="AC157" s="46">
        <f>'Inputs (2)'!X21</f>
        <v>0</v>
      </c>
      <c r="AD157" s="46">
        <f>'Inputs (2)'!Y21</f>
        <v>0</v>
      </c>
      <c r="AE157" s="46">
        <f>'Inputs (2)'!Z21</f>
        <v>0</v>
      </c>
      <c r="AF157" s="46">
        <f>'Inputs (2)'!AA21</f>
        <v>0</v>
      </c>
      <c r="AG157" s="12">
        <f>'Inputs (2)'!AB21</f>
        <v>0</v>
      </c>
      <c r="AH157" s="12">
        <f>'Inputs (2)'!AC21</f>
        <v>0</v>
      </c>
      <c r="AI157" s="12">
        <f>'Inputs (2)'!AD21</f>
        <v>0</v>
      </c>
      <c r="AJ157" s="12">
        <f>AI157+AJ131</f>
        <v>0</v>
      </c>
      <c r="AK157" s="12">
        <f>AJ157+AK131</f>
        <v>0</v>
      </c>
      <c r="AL157" s="12">
        <f>AK157</f>
        <v>0</v>
      </c>
      <c r="AM157" s="12">
        <f>AL157+AM131</f>
        <v>0</v>
      </c>
      <c r="AN157" s="12">
        <f>AM157+AN131</f>
        <v>0</v>
      </c>
      <c r="AO157" s="12">
        <f>AN157+AO131</f>
        <v>0</v>
      </c>
      <c r="AP157" s="12">
        <f>AO157+AP131</f>
        <v>0</v>
      </c>
      <c r="AQ157" s="12">
        <f>AP157</f>
        <v>0</v>
      </c>
      <c r="AR157" s="12">
        <f>AQ157+AR131</f>
        <v>0</v>
      </c>
      <c r="AS157" s="12">
        <f>AR157+AS131</f>
        <v>0</v>
      </c>
      <c r="AT157" s="12">
        <f>AS157+AT131</f>
        <v>0</v>
      </c>
      <c r="AU157" s="12">
        <f>AT157+AU131</f>
        <v>0</v>
      </c>
      <c r="AV157" s="12">
        <f>AU157</f>
        <v>0</v>
      </c>
      <c r="AW157" s="12">
        <f>AV157+AW131</f>
        <v>0</v>
      </c>
      <c r="AX157" s="12">
        <f>AW157+AX131</f>
        <v>0</v>
      </c>
      <c r="AY157" s="12">
        <f>AX157+AY131</f>
        <v>0</v>
      </c>
      <c r="AZ157" s="12">
        <f>AY157+AZ131</f>
        <v>0</v>
      </c>
      <c r="BA157" s="12">
        <f>AZ157</f>
        <v>0</v>
      </c>
      <c r="BB157" s="12">
        <f>BA157+BB131</f>
        <v>0</v>
      </c>
      <c r="BC157" s="12">
        <f>BB157+BC131</f>
        <v>0</v>
      </c>
      <c r="BD157" s="12">
        <f>BC157+BD131</f>
        <v>0</v>
      </c>
      <c r="BE157" s="12">
        <f>BD157+BE131</f>
        <v>0</v>
      </c>
      <c r="BF157" s="12">
        <f>BE157</f>
        <v>0</v>
      </c>
      <c r="BG157" s="12" t="n"/>
      <c r="BH157" s="12" t="n"/>
      <c r="BI157" s="12" t="n"/>
      <c r="BJ157" s="12" t="n"/>
      <c r="BK157" s="12" t="n"/>
      <c r="BL157" s="12" t="n"/>
      <c r="BM157" s="12" t="n"/>
      <c r="BN157" s="12" t="n"/>
      <c r="BO157" s="12" t="n"/>
      <c r="BP157" s="12" t="n"/>
      <c r="BQ157" s="12" t="n"/>
      <c r="BR157" s="12" t="n"/>
      <c r="BS157" s="12" t="n"/>
      <c r="BT157" s="12" t="n"/>
      <c r="BU157" s="12" t="n"/>
      <c r="BV157" s="12" t="n"/>
      <c r="BW157" s="12" t="n"/>
      <c r="BX157" s="12" t="n"/>
      <c r="BY157" s="12" t="n"/>
      <c r="BZ157" s="12" t="n"/>
      <c r="CA157" s="12" t="n"/>
      <c r="CB157" s="12" t="n"/>
      <c r="CC157" s="12" t="n"/>
      <c r="CD157" s="12" t="n"/>
      <c r="CE157" s="12" t="n"/>
      <c r="CF157" s="12" t="n"/>
      <c r="CG157" s="12" t="n"/>
      <c r="CH157" s="12" t="n"/>
      <c r="CI157" s="12" t="n"/>
      <c r="CJ157" s="12" t="n"/>
      <c r="CK157" s="12" t="n"/>
      <c r="CL157" s="12" t="n"/>
      <c r="CM157" s="12" t="n"/>
      <c r="CN157" s="12" t="n"/>
      <c r="CO157" s="12" t="n"/>
      <c r="CP157" s="12" t="n"/>
      <c r="CQ157" s="12" t="n"/>
      <c r="CR157" s="12" t="n"/>
      <c r="CS157" s="12" t="n"/>
      <c r="CT157" s="12" t="n"/>
      <c r="CU157" s="12" t="n"/>
      <c r="CV157" s="12" t="n"/>
      <c r="CW157" s="12" t="n"/>
      <c r="CX157" s="12" t="n"/>
      <c r="CY157" s="12" t="n"/>
    </row>
    <row r="158" hidden="1" outlineLevel="1">
      <c r="C158" s="57" t="n"/>
      <c r="D158" s="12" t="n"/>
      <c r="E158" s="12" t="n"/>
      <c r="F158" s="12" t="n"/>
      <c r="G158" s="12" t="n"/>
      <c r="H158" s="12" t="n"/>
      <c r="I158" s="12" t="n"/>
      <c r="J158" s="12" t="n"/>
      <c r="K158" s="12" t="n"/>
      <c r="L158" s="12" t="n"/>
      <c r="M158" s="12" t="n"/>
      <c r="N158" s="12" t="n"/>
      <c r="O158" s="12" t="n"/>
      <c r="P158" s="12" t="n"/>
      <c r="Q158" s="12" t="n"/>
      <c r="R158" s="12" t="n"/>
      <c r="S158" s="12" t="n"/>
      <c r="T158" s="12" t="n"/>
      <c r="U158" s="12" t="n"/>
      <c r="V158" s="12" t="n"/>
      <c r="W158" s="12" t="n"/>
      <c r="X158" s="12" t="n"/>
      <c r="Y158" s="12" t="n"/>
      <c r="Z158" s="12" t="n"/>
      <c r="AA158" s="12" t="n"/>
      <c r="AB158" s="12" t="n"/>
      <c r="AC158" s="12" t="n"/>
      <c r="AD158" s="12" t="n"/>
      <c r="AE158" s="12" t="n"/>
      <c r="AF158" s="12" t="n"/>
      <c r="AG158" s="12" t="n"/>
      <c r="AH158" s="12" t="n"/>
      <c r="AI158" s="12" t="n"/>
      <c r="AJ158" s="12" t="n"/>
      <c r="AK158" s="12" t="n"/>
      <c r="AL158" s="12" t="n"/>
      <c r="AM158" s="12" t="n"/>
      <c r="AN158" s="12" t="n"/>
      <c r="AO158" s="12" t="n"/>
      <c r="AP158" s="12" t="n"/>
      <c r="AQ158" s="12" t="n"/>
      <c r="AR158" s="12" t="n"/>
      <c r="AS158" s="12" t="n"/>
      <c r="AT158" s="12" t="n"/>
      <c r="AU158" s="12" t="n"/>
      <c r="AV158" s="12" t="n"/>
      <c r="AW158" s="12" t="n"/>
      <c r="AX158" s="12" t="n"/>
      <c r="AY158" s="12" t="n"/>
      <c r="AZ158" s="12" t="n"/>
      <c r="BA158" s="12" t="n"/>
      <c r="BB158" s="12" t="n"/>
      <c r="BC158" s="12" t="n"/>
      <c r="BD158" s="12" t="n"/>
      <c r="BE158" s="12" t="n"/>
      <c r="BF158" s="12" t="n"/>
      <c r="BG158" s="12" t="n"/>
      <c r="BH158" s="12" t="n"/>
      <c r="BI158" s="12" t="n"/>
      <c r="BJ158" s="12" t="n"/>
      <c r="BK158" s="12" t="n"/>
      <c r="BL158" s="12" t="n"/>
      <c r="BM158" s="12" t="n"/>
      <c r="BN158" s="12" t="n"/>
      <c r="BO158" s="12" t="n"/>
      <c r="BP158" s="12" t="n"/>
      <c r="BQ158" s="12" t="n"/>
      <c r="BR158" s="12" t="n"/>
      <c r="BS158" s="12" t="n"/>
      <c r="BT158" s="12" t="n"/>
      <c r="BU158" s="12" t="n"/>
      <c r="BV158" s="12" t="n"/>
      <c r="BW158" s="12" t="n"/>
      <c r="BX158" s="12" t="n"/>
      <c r="BY158" s="12" t="n"/>
      <c r="BZ158" s="12" t="n"/>
      <c r="CA158" s="12" t="n"/>
      <c r="CB158" s="12" t="n"/>
      <c r="CC158" s="12" t="n"/>
      <c r="CD158" s="12" t="n"/>
      <c r="CE158" s="12" t="n"/>
      <c r="CF158" s="12" t="n"/>
      <c r="CG158" s="12" t="n"/>
      <c r="CH158" s="12" t="n"/>
      <c r="CI158" s="12" t="n"/>
      <c r="CJ158" s="12" t="n"/>
      <c r="CK158" s="12" t="n"/>
      <c r="CL158" s="12" t="n"/>
      <c r="CM158" s="12" t="n"/>
      <c r="CN158" s="12" t="n"/>
      <c r="CO158" s="12" t="n"/>
      <c r="CP158" s="12" t="n"/>
      <c r="CQ158" s="12" t="n"/>
      <c r="CR158" s="12" t="n"/>
      <c r="CS158" s="12" t="n"/>
      <c r="CT158" s="12" t="n"/>
      <c r="CU158" s="12" t="n"/>
      <c r="CV158" s="12" t="n"/>
      <c r="CW158" s="12" t="n"/>
      <c r="CX158" s="12" t="n"/>
      <c r="CY158" s="12" t="n"/>
    </row>
    <row r="159" hidden="1" outlineLevel="1">
      <c r="C159" s="57" t="inlineStr">
        <is>
          <t>Equity in Income - % YoY</t>
        </is>
      </c>
      <c r="D159" s="12" t="n"/>
      <c r="E159" s="12" t="n"/>
      <c r="F159" s="12" t="n"/>
      <c r="G159" s="12" t="n"/>
      <c r="H159" s="12" t="n"/>
      <c r="I159" s="12" t="n"/>
      <c r="J159" s="12" t="n"/>
      <c r="K159" s="12" t="n"/>
      <c r="L159" s="12" t="n"/>
      <c r="M159" s="12" t="n"/>
      <c r="N159" s="12">
        <f>IF(I131=0,0,N131/I131-1)</f>
        <v>0</v>
      </c>
      <c r="O159" s="12">
        <f>IF(J131=0,0,O131/J131-1)</f>
        <v>0</v>
      </c>
      <c r="P159" s="12">
        <f>IF(K131=0,0,P131/K131-1)</f>
        <v>0</v>
      </c>
      <c r="Q159" s="12">
        <f>IF(L131=0,0,Q131/L131-1)</f>
        <v>0</v>
      </c>
      <c r="R159" s="12" t="n"/>
      <c r="S159" s="12">
        <f>IF(N131=0,0,S131/N131-1)</f>
        <v>0</v>
      </c>
      <c r="T159" s="12">
        <f>IF(O131=0,0,T131/O131-1)</f>
        <v>0</v>
      </c>
      <c r="U159" s="12">
        <f>IF(P131=0,0,U131/P131-1)</f>
        <v>0</v>
      </c>
      <c r="V159" s="12">
        <f>IF(Q131=0,0,V131/Q131-1)</f>
        <v>0</v>
      </c>
      <c r="W159" s="12" t="n"/>
      <c r="X159" s="12">
        <f>IF(S131=0,0,X131/S131-1)</f>
        <v>0</v>
      </c>
      <c r="Y159" s="12">
        <f>IF(T131=0,0,Y131/T131-1)</f>
        <v>0</v>
      </c>
      <c r="Z159" s="12">
        <f>IF(U131=0,0,Z131/U131-1)</f>
        <v>0</v>
      </c>
      <c r="AA159" s="12">
        <f>IF(V131=0,0,AA131/V131-1)</f>
        <v>0</v>
      </c>
      <c r="AB159" s="12" t="n"/>
      <c r="AC159" s="12">
        <f>IF(X131=0,0,AC131/X131-1)</f>
        <v>0</v>
      </c>
      <c r="AD159" s="12">
        <f>IF(Y131=0,0,AD131/Y131-1)</f>
        <v>0</v>
      </c>
      <c r="AE159" s="12">
        <f>IF(Z131=0,0,AE131/Z131-1)</f>
        <v>0</v>
      </c>
      <c r="AF159" s="12">
        <f>IF(AA131=0,0,AF131/AA131-1)</f>
        <v>0</v>
      </c>
      <c r="AG159" s="12" t="n"/>
      <c r="AH159" s="11">
        <f>IF(AC131=0,0,AH131/AC131-1)</f>
        <v>0</v>
      </c>
      <c r="AI159" s="11">
        <f>IF(AD131=0,0,AI131/AD131-1)</f>
        <v>0</v>
      </c>
      <c r="AJ159" s="11" t="n"/>
      <c r="AK159" s="11" t="n"/>
      <c r="AL159" s="12" t="n"/>
      <c r="AM159" s="11" t="n"/>
      <c r="AN159" s="11" t="n"/>
      <c r="AO159" s="11" t="n"/>
      <c r="AP159" s="11" t="n"/>
      <c r="AQ159" s="12" t="n"/>
      <c r="AR159" s="11" t="n"/>
      <c r="AS159" s="11" t="n"/>
      <c r="AT159" s="11" t="n"/>
      <c r="AU159" s="11" t="n"/>
      <c r="AV159" s="12" t="n"/>
      <c r="AW159" s="11" t="n"/>
      <c r="AX159" s="11" t="n"/>
      <c r="AY159" s="11" t="n"/>
      <c r="AZ159" s="11" t="n"/>
      <c r="BA159" s="12" t="n"/>
      <c r="BB159" s="11" t="n"/>
      <c r="BC159" s="11" t="n"/>
      <c r="BD159" s="11" t="n"/>
      <c r="BE159" s="11" t="n"/>
      <c r="BF159" s="12" t="n"/>
      <c r="BG159" s="11" t="n"/>
      <c r="BH159" s="11" t="n"/>
      <c r="BI159" s="11" t="n"/>
      <c r="BJ159" s="11" t="n"/>
      <c r="BK159" s="12" t="n"/>
      <c r="BL159" s="11" t="n"/>
      <c r="BM159" s="11" t="n"/>
      <c r="BN159" s="11" t="n"/>
      <c r="BO159" s="11" t="n"/>
      <c r="BP159" s="12" t="n"/>
      <c r="BQ159" s="11" t="n"/>
      <c r="BR159" s="11" t="n"/>
      <c r="BS159" s="11" t="n"/>
      <c r="BT159" s="11" t="n"/>
      <c r="BU159" s="12" t="n"/>
      <c r="BV159" s="11" t="n"/>
      <c r="BW159" s="11" t="n"/>
      <c r="BX159" s="11" t="n"/>
      <c r="BY159" s="11" t="n"/>
      <c r="BZ159" s="12" t="n"/>
      <c r="CA159" s="11" t="n"/>
      <c r="CB159" s="11" t="n"/>
      <c r="CC159" s="11" t="n"/>
      <c r="CD159" s="11" t="n"/>
      <c r="CE159" s="12" t="n"/>
      <c r="CF159" s="11" t="n"/>
      <c r="CG159" s="11" t="n"/>
      <c r="CH159" s="11" t="n"/>
      <c r="CI159" s="11" t="n"/>
      <c r="CJ159" s="12" t="n"/>
      <c r="CK159" s="11" t="n"/>
      <c r="CL159" s="11" t="n"/>
      <c r="CM159" s="11" t="n"/>
      <c r="CN159" s="11" t="n"/>
      <c r="CO159" s="12" t="n"/>
      <c r="CP159" s="11" t="n"/>
      <c r="CQ159" s="11" t="n"/>
      <c r="CR159" s="11" t="n"/>
      <c r="CS159" s="11" t="n"/>
      <c r="CT159" s="12" t="n"/>
      <c r="CU159" s="11" t="n"/>
      <c r="CV159" s="11" t="n"/>
      <c r="CW159" s="11" t="n"/>
      <c r="CX159" s="11" t="n"/>
      <c r="CY159" s="12" t="n"/>
    </row>
    <row r="160" hidden="1" outlineLevel="1">
      <c r="C160" s="57" t="inlineStr">
        <is>
          <t>Dividends (enter as -)</t>
        </is>
      </c>
      <c r="D160" s="12" t="n"/>
      <c r="E160" s="12" t="n"/>
      <c r="F160" s="12" t="n"/>
      <c r="G160" s="12" t="n"/>
      <c r="H160" s="12" t="n"/>
      <c r="I160" s="12" t="n"/>
      <c r="J160" s="12" t="n"/>
      <c r="K160" s="12" t="n"/>
      <c r="L160" s="12" t="n"/>
      <c r="M160" s="12" t="n"/>
      <c r="N160" s="12" t="n"/>
      <c r="O160" s="12" t="n"/>
      <c r="P160" s="12" t="n"/>
      <c r="Q160" s="12" t="n"/>
      <c r="R160" s="12" t="n"/>
      <c r="S160" s="12" t="n"/>
      <c r="T160" s="12" t="n"/>
      <c r="U160" s="12" t="n"/>
      <c r="V160" s="12" t="n"/>
      <c r="W160" s="12" t="n"/>
      <c r="X160" s="12" t="n"/>
      <c r="Y160" s="12" t="n"/>
      <c r="Z160" s="12" t="n"/>
      <c r="AA160" s="12" t="n"/>
      <c r="AB160" s="12" t="n"/>
      <c r="AC160" s="12" t="n"/>
      <c r="AD160" s="12" t="n"/>
      <c r="AE160" s="12" t="n"/>
      <c r="AF160" s="12" t="n"/>
      <c r="AG160" s="12" t="n"/>
      <c r="AH160" s="11" t="n"/>
      <c r="AI160" s="11" t="n"/>
      <c r="AJ160" s="11" t="n"/>
      <c r="AK160" s="11" t="n"/>
      <c r="AL160" s="12" t="n"/>
      <c r="AM160" s="11" t="n"/>
      <c r="AN160" s="11" t="n"/>
      <c r="AO160" s="11" t="n"/>
      <c r="AP160" s="11" t="n"/>
      <c r="AQ160" s="12" t="n"/>
      <c r="AR160" s="11" t="n"/>
      <c r="AS160" s="11" t="n"/>
      <c r="AT160" s="11" t="n"/>
      <c r="AU160" s="11" t="n"/>
      <c r="AV160" s="12" t="n"/>
      <c r="AW160" s="11" t="n"/>
      <c r="AX160" s="11" t="n"/>
      <c r="AY160" s="11" t="n"/>
      <c r="AZ160" s="11" t="n"/>
      <c r="BA160" s="12" t="n"/>
      <c r="BB160" s="11" t="n"/>
      <c r="BC160" s="11" t="n"/>
      <c r="BD160" s="11" t="n"/>
      <c r="BE160" s="11" t="n"/>
      <c r="BF160" s="12" t="n"/>
      <c r="BG160" s="11" t="n"/>
      <c r="BH160" s="11" t="n"/>
      <c r="BI160" s="11" t="n"/>
      <c r="BJ160" s="11" t="n"/>
      <c r="BK160" s="12" t="n"/>
      <c r="BL160" s="11" t="n"/>
      <c r="BM160" s="11" t="n"/>
      <c r="BN160" s="11" t="n"/>
      <c r="BO160" s="11" t="n"/>
      <c r="BP160" s="12" t="n"/>
      <c r="BQ160" s="11" t="n"/>
      <c r="BR160" s="11" t="n"/>
      <c r="BS160" s="11" t="n"/>
      <c r="BT160" s="11" t="n"/>
      <c r="BU160" s="12" t="n"/>
      <c r="BV160" s="11" t="n"/>
      <c r="BW160" s="11" t="n"/>
      <c r="BX160" s="11" t="n"/>
      <c r="BY160" s="11" t="n"/>
      <c r="BZ160" s="12" t="n"/>
      <c r="CA160" s="11" t="n"/>
      <c r="CB160" s="11" t="n"/>
      <c r="CC160" s="11" t="n"/>
      <c r="CD160" s="11" t="n"/>
      <c r="CE160" s="12" t="n"/>
      <c r="CF160" s="11" t="n"/>
      <c r="CG160" s="11" t="n"/>
      <c r="CH160" s="11" t="n"/>
      <c r="CI160" s="11" t="n"/>
      <c r="CJ160" s="12" t="n"/>
      <c r="CK160" s="11" t="n"/>
      <c r="CL160" s="11" t="n"/>
      <c r="CM160" s="11" t="n"/>
      <c r="CN160" s="11" t="n"/>
      <c r="CO160" s="12" t="n"/>
      <c r="CP160" s="11" t="n"/>
      <c r="CQ160" s="11" t="n"/>
      <c r="CR160" s="11" t="n"/>
      <c r="CS160" s="11" t="n"/>
      <c r="CT160" s="12" t="n"/>
      <c r="CU160" s="11" t="n"/>
      <c r="CV160" s="11" t="n"/>
      <c r="CW160" s="11" t="n"/>
      <c r="CX160" s="11" t="n"/>
      <c r="CY160" s="12" t="n"/>
    </row>
    <row r="161" hidden="1" outlineLevel="1">
      <c r="C161" s="57" t="n"/>
      <c r="D161" s="12" t="n"/>
      <c r="E161" s="12" t="n"/>
      <c r="F161" s="12" t="n"/>
      <c r="G161" s="12" t="n"/>
      <c r="H161" s="12" t="n"/>
      <c r="I161" s="12" t="n"/>
      <c r="J161" s="12" t="n"/>
      <c r="K161" s="12" t="n"/>
      <c r="L161" s="12" t="n"/>
      <c r="M161" s="12" t="n"/>
      <c r="N161" s="12" t="n"/>
      <c r="O161" s="12" t="n"/>
      <c r="P161" s="12" t="n"/>
      <c r="Q161" s="12" t="n"/>
      <c r="R161" s="12" t="n"/>
      <c r="S161" s="12" t="n"/>
      <c r="T161" s="12" t="n"/>
      <c r="U161" s="12" t="n"/>
      <c r="V161" s="12" t="n"/>
      <c r="W161" s="12" t="n"/>
      <c r="X161" s="12" t="n"/>
      <c r="Y161" s="12" t="n"/>
      <c r="Z161" s="12" t="n"/>
      <c r="AA161" s="12" t="n"/>
      <c r="AB161" s="12" t="n"/>
      <c r="AC161" s="12" t="n"/>
      <c r="AD161" s="12" t="n"/>
      <c r="AE161" s="12" t="n"/>
      <c r="AF161" s="12" t="n"/>
      <c r="AG161" s="12" t="n"/>
      <c r="AH161" s="12" t="n"/>
      <c r="AI161" s="12" t="n"/>
      <c r="AJ161" s="12" t="n"/>
      <c r="AK161" s="12" t="n"/>
      <c r="AL161" s="12" t="n"/>
      <c r="AM161" s="12" t="n"/>
      <c r="AN161" s="12" t="n"/>
      <c r="AO161" s="12" t="n"/>
      <c r="AP161" s="12" t="n"/>
      <c r="AQ161" s="12" t="n"/>
      <c r="AR161" s="12" t="n"/>
      <c r="AS161" s="12" t="n"/>
      <c r="AT161" s="12" t="n"/>
      <c r="AU161" s="12" t="n"/>
      <c r="AV161" s="12" t="n"/>
      <c r="AW161" s="12" t="n"/>
      <c r="AX161" s="12" t="n"/>
      <c r="AY161" s="12" t="n"/>
      <c r="AZ161" s="12" t="n"/>
      <c r="BA161" s="12" t="n"/>
      <c r="BB161" s="12" t="n"/>
      <c r="BC161" s="12" t="n"/>
      <c r="BD161" s="12" t="n"/>
      <c r="BE161" s="12" t="n"/>
      <c r="BF161" s="12" t="n"/>
      <c r="BG161" s="12" t="n"/>
      <c r="BH161" s="12" t="n"/>
      <c r="BI161" s="12" t="n"/>
      <c r="BJ161" s="12" t="n"/>
      <c r="BK161" s="12" t="n"/>
      <c r="BL161" s="12" t="n"/>
      <c r="BM161" s="12" t="n"/>
      <c r="BN161" s="12" t="n"/>
      <c r="BO161" s="12" t="n"/>
      <c r="BP161" s="12" t="n"/>
      <c r="BQ161" s="12" t="n"/>
      <c r="BR161" s="12" t="n"/>
      <c r="BS161" s="12" t="n"/>
      <c r="BT161" s="12" t="n"/>
      <c r="BU161" s="12" t="n"/>
      <c r="BV161" s="12" t="n"/>
      <c r="BW161" s="12" t="n"/>
      <c r="BX161" s="12" t="n"/>
      <c r="BY161" s="12" t="n"/>
      <c r="BZ161" s="12" t="n"/>
      <c r="CA161" s="12" t="n"/>
      <c r="CB161" s="12" t="n"/>
      <c r="CC161" s="12" t="n"/>
      <c r="CD161" s="12" t="n"/>
      <c r="CE161" s="12" t="n"/>
      <c r="CF161" s="12" t="n"/>
      <c r="CG161" s="12" t="n"/>
      <c r="CH161" s="12" t="n"/>
      <c r="CI161" s="12" t="n"/>
      <c r="CJ161" s="12" t="n"/>
      <c r="CK161" s="12" t="n"/>
      <c r="CL161" s="12" t="n"/>
      <c r="CM161" s="12" t="n"/>
      <c r="CN161" s="12" t="n"/>
      <c r="CO161" s="12" t="n"/>
      <c r="CP161" s="12" t="n"/>
      <c r="CQ161" s="12" t="n"/>
      <c r="CR161" s="12" t="n"/>
      <c r="CS161" s="12" t="n"/>
      <c r="CT161" s="12" t="n"/>
      <c r="CU161" s="12" t="n"/>
      <c r="CV161" s="12" t="n"/>
      <c r="CW161" s="12" t="n"/>
      <c r="CX161" s="12" t="n"/>
      <c r="CY161" s="12" t="n"/>
    </row>
    <row r="162" collapsed="1">
      <c r="C162" s="14" t="inlineStr">
        <is>
          <t>PP&amp;E</t>
        </is>
      </c>
      <c r="D162" s="46" t="n"/>
      <c r="E162" s="46" t="n"/>
      <c r="F162" s="46" t="n"/>
      <c r="G162" s="46" t="n"/>
      <c r="H162" s="12" t="n"/>
      <c r="I162" s="46">
        <f>'Inputs (2)'!D22</f>
        <v>87606</v>
      </c>
      <c r="J162" s="46">
        <f>'Inputs (2)'!E22</f>
        <v>91697</v>
      </c>
      <c r="K162" s="46">
        <f>'Inputs (2)'!F22</f>
        <v>94631</v>
      </c>
      <c r="L162" s="46">
        <f>'Inputs (2)'!G22</f>
        <v>97599</v>
      </c>
      <c r="M162" s="12">
        <f>'Inputs (2)'!H22</f>
        <v>97599</v>
      </c>
      <c r="N162" s="46">
        <f>'Inputs (2)'!I22</f>
        <v>104218</v>
      </c>
      <c r="O162" s="46">
        <f>'Inputs (2)'!J22</f>
        <v>106223</v>
      </c>
      <c r="P162" s="46">
        <f>'Inputs (2)'!K22</f>
        <v>108363</v>
      </c>
      <c r="Q162" s="46">
        <f>'Inputs (2)'!L22</f>
        <v>112668</v>
      </c>
      <c r="R162" s="12">
        <f>'Inputs (2)'!M22</f>
        <v>112668</v>
      </c>
      <c r="S162" s="46">
        <f>'Inputs (2)'!N22</f>
        <v>117560</v>
      </c>
      <c r="T162" s="46">
        <f>'Inputs (2)'!O22</f>
        <v>121208</v>
      </c>
      <c r="U162" s="46">
        <f>'Inputs (2)'!P22</f>
        <v>125705</v>
      </c>
      <c r="V162" s="46">
        <f>'Inputs (2)'!Q22</f>
        <v>134345</v>
      </c>
      <c r="W162" s="12">
        <f>'Inputs (2)'!R22</f>
        <v>134345</v>
      </c>
      <c r="X162" s="46">
        <f>'Inputs (2)'!S22</f>
        <v>143182</v>
      </c>
      <c r="Y162" s="46">
        <f>'Inputs (2)'!T22</f>
        <v>151155</v>
      </c>
      <c r="Z162" s="46">
        <f>'Inputs (2)'!U22</f>
        <v>161270</v>
      </c>
      <c r="AA162" s="46">
        <f>'Inputs (2)'!V22</f>
        <v>171036</v>
      </c>
      <c r="AB162" s="12">
        <f>'Inputs (2)'!W22</f>
        <v>171036</v>
      </c>
      <c r="AC162" s="46">
        <f>'Inputs (2)'!X22</f>
        <v>185062</v>
      </c>
      <c r="AD162" s="46">
        <f>'Inputs (2)'!Y22</f>
        <v>203231</v>
      </c>
      <c r="AE162" s="46">
        <f>'Inputs (2)'!Z22</f>
        <v>223787</v>
      </c>
      <c r="AF162" s="46">
        <f>'Inputs (2)'!AA22</f>
        <v>246597</v>
      </c>
      <c r="AG162" s="12">
        <f>'Inputs (2)'!AB22</f>
        <v>246597</v>
      </c>
      <c r="AH162" s="12">
        <f>'Inputs (2)'!AC22</f>
        <v>281020</v>
      </c>
      <c r="AI162" s="12">
        <f>'Inputs (2)'!AD22</f>
        <v>321212</v>
      </c>
      <c r="AJ162" s="12">
        <f>AJ167</f>
        <v>349828.558077179</v>
      </c>
      <c r="AK162" s="12">
        <f>AK167</f>
        <v>381655.832121766</v>
      </c>
      <c r="AL162" s="12">
        <f>AK162</f>
        <v>381655.832121766</v>
      </c>
      <c r="AM162" s="12">
        <f>AM167</f>
        <v>412383.415676078</v>
      </c>
      <c r="AN162" s="12">
        <f>AN167</f>
        <v>445879.098862659</v>
      </c>
      <c r="AO162" s="12">
        <f>AO167</f>
        <v>479541.516824855</v>
      </c>
      <c r="AP162" s="12">
        <f>AP167</f>
        <v>516980.785327961</v>
      </c>
      <c r="AQ162" s="12">
        <f>AP162</f>
        <v>516980.785327961</v>
      </c>
      <c r="AR162" s="12">
        <f>AR167</f>
        <v>552972.820757204</v>
      </c>
      <c r="AS162" s="12">
        <f>AS167</f>
        <v>592207.204868377</v>
      </c>
      <c r="AT162" s="12">
        <f>AT167</f>
        <v>631636.889854436</v>
      </c>
      <c r="AU162" s="12">
        <f>AU167</f>
        <v>675490.500276711</v>
      </c>
      <c r="AV162" s="12">
        <f>AU162</f>
        <v>675490.500276711</v>
      </c>
      <c r="AW162" s="12">
        <f>AW167</f>
        <v>717468.967951535</v>
      </c>
      <c r="AX162" s="12">
        <f>AX167</f>
        <v>763229.073083416</v>
      </c>
      <c r="AY162" s="12">
        <f>AY167</f>
        <v>809216.962817235</v>
      </c>
      <c r="AZ162" s="12">
        <f>AZ167</f>
        <v>860364.594385748</v>
      </c>
      <c r="BA162" s="12">
        <f>AZ162</f>
        <v>860364.594385748</v>
      </c>
      <c r="BB162" s="12">
        <f>BB167</f>
        <v>909115.304783791</v>
      </c>
      <c r="BC162" s="12">
        <f>BC167</f>
        <v>962257.731285612</v>
      </c>
      <c r="BD162" s="12">
        <f>BD167</f>
        <v>1015664.69010072</v>
      </c>
      <c r="BE162" s="12">
        <f>BE167</f>
        <v>1075063.79426663</v>
      </c>
      <c r="BF162" s="12">
        <f>BE162</f>
        <v>1075063.79426663</v>
      </c>
      <c r="BG162" s="12" t="n"/>
      <c r="BH162" s="12" t="n"/>
      <c r="BI162" s="12" t="n"/>
      <c r="BJ162" s="12" t="n"/>
      <c r="BK162" s="12" t="n"/>
      <c r="BL162" s="12" t="n"/>
      <c r="BM162" s="12" t="n"/>
      <c r="BN162" s="12" t="n"/>
      <c r="BO162" s="12" t="n"/>
      <c r="BP162" s="12" t="n"/>
      <c r="BQ162" s="12" t="n"/>
      <c r="BR162" s="12" t="n"/>
      <c r="BS162" s="12" t="n"/>
      <c r="BT162" s="12" t="n"/>
      <c r="BU162" s="12" t="n"/>
      <c r="BV162" s="12" t="n"/>
      <c r="BW162" s="12" t="n"/>
      <c r="BX162" s="12" t="n"/>
      <c r="BY162" s="12" t="n"/>
      <c r="BZ162" s="12" t="n"/>
      <c r="CA162" s="12" t="n"/>
      <c r="CB162" s="12" t="n"/>
      <c r="CC162" s="12" t="n"/>
      <c r="CD162" s="12" t="n"/>
      <c r="CE162" s="12" t="n"/>
      <c r="CF162" s="12" t="n"/>
      <c r="CG162" s="12" t="n"/>
      <c r="CH162" s="12" t="n"/>
      <c r="CI162" s="12" t="n"/>
      <c r="CJ162" s="12" t="n"/>
      <c r="CK162" s="12" t="n"/>
      <c r="CL162" s="12" t="n"/>
      <c r="CM162" s="12" t="n"/>
      <c r="CN162" s="12" t="n"/>
      <c r="CO162" s="12" t="n"/>
      <c r="CP162" s="12" t="n"/>
      <c r="CQ162" s="12" t="n"/>
      <c r="CR162" s="12" t="n"/>
      <c r="CS162" s="12" t="n"/>
      <c r="CT162" s="12" t="n"/>
      <c r="CU162" s="12" t="n"/>
      <c r="CV162" s="12" t="n"/>
      <c r="CW162" s="12" t="n"/>
      <c r="CX162" s="12" t="n"/>
      <c r="CY162" s="12" t="n"/>
    </row>
    <row r="163" hidden="1" outlineLevel="1">
      <c r="C163" s="57" t="n"/>
      <c r="D163" s="12" t="n"/>
      <c r="E163" s="12" t="n"/>
      <c r="F163" s="12" t="n"/>
      <c r="G163" s="12" t="n"/>
      <c r="H163" s="12" t="n"/>
      <c r="I163" s="12" t="n"/>
      <c r="J163" s="12" t="n"/>
      <c r="K163" s="12" t="n"/>
      <c r="L163" s="12" t="n"/>
      <c r="M163" s="12" t="n"/>
      <c r="N163" s="12" t="n"/>
      <c r="O163" s="12" t="n"/>
      <c r="P163" s="12" t="n"/>
      <c r="Q163" s="12" t="n"/>
      <c r="R163" s="12" t="n"/>
      <c r="S163" s="12" t="n"/>
      <c r="T163" s="12" t="n"/>
      <c r="U163" s="12" t="n"/>
      <c r="V163" s="12" t="n"/>
      <c r="W163" s="12" t="n"/>
      <c r="X163" s="12" t="n"/>
      <c r="Y163" s="12" t="n"/>
      <c r="Z163" s="12" t="n"/>
      <c r="AA163" s="12" t="n"/>
      <c r="AB163" s="12" t="n"/>
      <c r="AC163" s="12" t="n"/>
      <c r="AD163" s="12" t="n"/>
      <c r="AE163" s="12" t="n"/>
      <c r="AF163" s="12" t="n"/>
      <c r="AG163" s="12" t="n"/>
      <c r="AH163" s="12" t="n"/>
      <c r="AI163" s="12" t="n"/>
      <c r="AJ163" s="12" t="n"/>
      <c r="AK163" s="12" t="n"/>
      <c r="AL163" s="12" t="n"/>
      <c r="AM163" s="12" t="n"/>
      <c r="AN163" s="12" t="n"/>
      <c r="AO163" s="12" t="n"/>
      <c r="AP163" s="12" t="n"/>
      <c r="AQ163" s="12" t="n"/>
      <c r="AR163" s="12" t="n"/>
      <c r="AS163" s="12" t="n"/>
      <c r="AT163" s="12" t="n"/>
      <c r="AU163" s="12" t="n"/>
      <c r="AV163" s="12" t="n"/>
      <c r="AW163" s="12" t="n"/>
      <c r="AX163" s="12" t="n"/>
      <c r="AY163" s="12" t="n"/>
      <c r="AZ163" s="12" t="n"/>
      <c r="BA163" s="12" t="n"/>
      <c r="BB163" s="12" t="n"/>
      <c r="BC163" s="12" t="n"/>
      <c r="BD163" s="12" t="n"/>
      <c r="BE163" s="12" t="n"/>
      <c r="BF163" s="12" t="n"/>
      <c r="BG163" s="12" t="n"/>
      <c r="BH163" s="12" t="n"/>
      <c r="BI163" s="12" t="n"/>
      <c r="BJ163" s="12" t="n"/>
      <c r="BK163" s="12" t="n"/>
      <c r="BL163" s="12" t="n"/>
      <c r="BM163" s="12" t="n"/>
      <c r="BN163" s="12" t="n"/>
      <c r="BO163" s="12" t="n"/>
      <c r="BP163" s="12" t="n"/>
      <c r="BQ163" s="12" t="n"/>
      <c r="BR163" s="12" t="n"/>
      <c r="BS163" s="12" t="n"/>
      <c r="BT163" s="12" t="n"/>
      <c r="BU163" s="12" t="n"/>
      <c r="BV163" s="12" t="n"/>
      <c r="BW163" s="12" t="n"/>
      <c r="BX163" s="12" t="n"/>
      <c r="BY163" s="12" t="n"/>
      <c r="BZ163" s="12" t="n"/>
      <c r="CA163" s="12" t="n"/>
      <c r="CB163" s="12" t="n"/>
      <c r="CC163" s="12" t="n"/>
      <c r="CD163" s="12" t="n"/>
      <c r="CE163" s="12" t="n"/>
      <c r="CF163" s="12" t="n"/>
      <c r="CG163" s="12" t="n"/>
      <c r="CH163" s="12" t="n"/>
      <c r="CI163" s="12" t="n"/>
      <c r="CJ163" s="12" t="n"/>
      <c r="CK163" s="12" t="n"/>
      <c r="CL163" s="12" t="n"/>
      <c r="CM163" s="12" t="n"/>
      <c r="CN163" s="12" t="n"/>
      <c r="CO163" s="12" t="n"/>
      <c r="CP163" s="12" t="n"/>
      <c r="CQ163" s="12" t="n"/>
      <c r="CR163" s="12" t="n"/>
      <c r="CS163" s="12" t="n"/>
      <c r="CT163" s="12" t="n"/>
      <c r="CU163" s="12" t="n"/>
      <c r="CV163" s="12" t="n"/>
      <c r="CW163" s="12" t="n"/>
      <c r="CX163" s="12" t="n"/>
      <c r="CY163" s="12" t="n"/>
    </row>
    <row r="164" hidden="1" outlineLevel="1">
      <c r="C164" s="57" t="inlineStr">
        <is>
          <t>Capital expenditures</t>
        </is>
      </c>
      <c r="D164" s="12" t="n"/>
      <c r="E164" s="12" t="n"/>
      <c r="F164" s="12" t="n"/>
      <c r="G164" s="12" t="n"/>
      <c r="H164" s="12" t="n"/>
      <c r="I164" s="12" t="n"/>
      <c r="J164" s="12">
        <f>J162-I162-J66</f>
        <v>6821</v>
      </c>
      <c r="K164" s="12">
        <f>K162-J162-K66</f>
        <v>6019</v>
      </c>
      <c r="L164" s="12">
        <f>L162-K162-L66</f>
        <v>6183</v>
      </c>
      <c r="M164" s="12" t="n"/>
      <c r="N164" s="12">
        <f>N162-M162-N66</f>
        <v>10210</v>
      </c>
      <c r="O164" s="12">
        <f>O162-N162-O66</f>
        <v>5703</v>
      </c>
      <c r="P164" s="12">
        <f>P162-O162-P66</f>
        <v>6073</v>
      </c>
      <c r="Q164" s="12">
        <f>Q162-P162-Q66</f>
        <v>8370</v>
      </c>
      <c r="R164" s="12" t="n"/>
      <c r="S164" s="12">
        <f>S162-R162-S66</f>
        <v>7952</v>
      </c>
      <c r="T164" s="12">
        <f>T162-S162-T66</f>
        <v>6927</v>
      </c>
      <c r="U164" s="12">
        <f>U162-T162-U66</f>
        <v>8168</v>
      </c>
      <c r="V164" s="12">
        <f>V162-U162-V66</f>
        <v>11956</v>
      </c>
      <c r="W164" s="12" t="n"/>
      <c r="X164" s="12">
        <f>X162-W162-X66</f>
        <v>12250</v>
      </c>
      <c r="Y164" s="12">
        <f>Y162-X162-Y66</f>
        <v>11681</v>
      </c>
      <c r="Z164" s="12">
        <f>Z162-Y162-Z66</f>
        <v>14100</v>
      </c>
      <c r="AA164" s="12">
        <f>AA162-Z162-AA66</f>
        <v>13971</v>
      </c>
      <c r="AB164" s="12" t="n"/>
      <c r="AC164" s="12">
        <f>AC162-AB162-AC66</f>
        <v>18513</v>
      </c>
      <c r="AD164" s="12">
        <f>AD162-AC162-AD66</f>
        <v>23167</v>
      </c>
      <c r="AE164" s="12">
        <f>AE162-AD162-AE66</f>
        <v>26167</v>
      </c>
      <c r="AF164" s="11">
        <f>AF162-AE162-AF66</f>
        <v>28850</v>
      </c>
      <c r="AG164" s="12">
        <f>SUM(AC164:AF164)</f>
        <v>96697</v>
      </c>
      <c r="AH164" s="11">
        <f>AH162-AG162-AH66</f>
        <v>40905</v>
      </c>
      <c r="AI164" s="11">
        <f>AI162-AH162-AI66</f>
        <v>47296</v>
      </c>
      <c r="AJ164" s="11">
        <f>AJ15*Control!$B$24</f>
        <v>35192.535452491</v>
      </c>
      <c r="AK164" s="11">
        <f>AK15*Control!$B$24</f>
        <v>39141.0618687745</v>
      </c>
      <c r="AL164" s="12" t="n"/>
      <c r="AM164" s="11">
        <f>AM15*Control!$C$24</f>
        <v>37788.6666414608</v>
      </c>
      <c r="AN164" s="11">
        <f>AN15*Control!$C$24</f>
        <v>41192.8651541497</v>
      </c>
      <c r="AO164" s="11">
        <f>AO15*Control!$C$24</f>
        <v>41397.9149538567</v>
      </c>
      <c r="AP164" s="11">
        <f>AP15*Control!$C$24</f>
        <v>46042.6715385316</v>
      </c>
      <c r="AQ164" s="12" t="n"/>
      <c r="AR164" s="11">
        <f>AR15*Control!$D$24</f>
        <v>44262.8697495613</v>
      </c>
      <c r="AS164" s="11">
        <f>AS15*Control!$D$24</f>
        <v>48250.2979591473</v>
      </c>
      <c r="AT164" s="11">
        <f>AT15*Control!$D$24</f>
        <v>48490.4782402542</v>
      </c>
      <c r="AU164" s="11">
        <f>AU15*Control!$D$24</f>
        <v>53931.0050965343</v>
      </c>
      <c r="AV164" s="12" t="n"/>
      <c r="AW164" s="11">
        <f>AW15*Control!$E$24</f>
        <v>51624.9616010112</v>
      </c>
      <c r="AX164" s="11">
        <f>AX15*Control!$E$24</f>
        <v>56275.6051171538</v>
      </c>
      <c r="AY164" s="11">
        <f>AY15*Control!$E$24</f>
        <v>56555.7337635706</v>
      </c>
      <c r="AZ164" s="11">
        <f>AZ15*Control!$E$24</f>
        <v>62901.1648581623</v>
      </c>
      <c r="BA164" s="12" t="n"/>
      <c r="BB164" s="11">
        <f>BB15*Control!$F$24</f>
        <v>59953.4402212211</v>
      </c>
      <c r="BC164" s="11">
        <f>BC15*Control!$F$24</f>
        <v>65354.3561616566</v>
      </c>
      <c r="BD164" s="11">
        <f>BD15*Control!$F$24</f>
        <v>65679.6770052244</v>
      </c>
      <c r="BE164" s="11">
        <f>BE15*Control!$F$24</f>
        <v>73048.7948119877</v>
      </c>
      <c r="BF164" s="12" t="n"/>
      <c r="BG164" s="11" t="n"/>
      <c r="BH164" s="11" t="n"/>
      <c r="BI164" s="11" t="n"/>
      <c r="BJ164" s="11" t="n"/>
      <c r="BK164" s="12" t="n"/>
      <c r="BL164" s="11" t="n"/>
      <c r="BM164" s="11" t="n"/>
      <c r="BN164" s="11" t="n"/>
      <c r="BO164" s="11" t="n"/>
      <c r="BP164" s="12" t="n"/>
      <c r="BQ164" s="11" t="n"/>
      <c r="BR164" s="11" t="n"/>
      <c r="BS164" s="11" t="n"/>
      <c r="BT164" s="11" t="n"/>
      <c r="BU164" s="12" t="n"/>
      <c r="BV164" s="11" t="n"/>
      <c r="BW164" s="11" t="n"/>
      <c r="BX164" s="11" t="n"/>
      <c r="BY164" s="11" t="n"/>
      <c r="BZ164" s="12" t="n"/>
      <c r="CA164" s="11" t="n"/>
      <c r="CB164" s="11" t="n"/>
      <c r="CC164" s="11" t="n"/>
      <c r="CD164" s="11" t="n"/>
      <c r="CE164" s="12" t="n"/>
      <c r="CF164" s="11" t="n"/>
      <c r="CG164" s="11" t="n"/>
      <c r="CH164" s="11" t="n"/>
      <c r="CI164" s="11" t="n"/>
      <c r="CJ164" s="12" t="n"/>
      <c r="CK164" s="11" t="n"/>
      <c r="CL164" s="11" t="n"/>
      <c r="CM164" s="11" t="n"/>
      <c r="CN164" s="11" t="n"/>
      <c r="CO164" s="12" t="n"/>
      <c r="CP164" s="11" t="n"/>
      <c r="CQ164" s="11" t="n"/>
      <c r="CR164" s="11" t="n"/>
      <c r="CS164" s="11" t="n"/>
      <c r="CT164" s="12" t="n"/>
      <c r="CU164" s="11" t="n"/>
      <c r="CV164" s="11" t="n"/>
      <c r="CW164" s="11" t="n"/>
      <c r="CX164" s="11" t="n"/>
      <c r="CY164" s="12" t="n"/>
    </row>
    <row r="165" hidden="1" outlineLevel="1">
      <c r="C165" s="57" t="inlineStr">
        <is>
          <t>Recurring asset sales (enter as -)</t>
        </is>
      </c>
      <c r="D165" s="12" t="n"/>
      <c r="E165" s="12" t="n"/>
      <c r="F165" s="12" t="n"/>
      <c r="G165" s="12" t="n"/>
      <c r="H165" s="12" t="n"/>
      <c r="I165" s="12" t="n"/>
      <c r="J165" s="12" t="n"/>
      <c r="K165" s="12" t="n"/>
      <c r="L165" s="12" t="n"/>
      <c r="M165" s="12">
        <f>SUM(I165:L165)</f>
        <v>0</v>
      </c>
      <c r="N165" s="12" t="n"/>
      <c r="O165" s="12" t="n"/>
      <c r="P165" s="12" t="n"/>
      <c r="Q165" s="12" t="n"/>
      <c r="R165" s="12">
        <f>SUM(N165:Q165)</f>
        <v>0</v>
      </c>
      <c r="S165" s="12" t="n"/>
      <c r="T165" s="12" t="n"/>
      <c r="U165" s="12" t="n"/>
      <c r="V165" s="12" t="n"/>
      <c r="W165" s="12">
        <f>SUM(S165:V165)</f>
        <v>0</v>
      </c>
      <c r="X165" s="12" t="n"/>
      <c r="Y165" s="12" t="n"/>
      <c r="Z165" s="12" t="n"/>
      <c r="AA165" s="12" t="n"/>
      <c r="AB165" s="12">
        <f>SUM(X165:AA165)</f>
        <v>0</v>
      </c>
      <c r="AC165" s="12" t="n"/>
      <c r="AD165" s="12" t="n"/>
      <c r="AE165" s="12" t="n"/>
      <c r="AF165" s="11" t="n"/>
      <c r="AG165" s="12">
        <f>SUM(AC165:AF165)</f>
        <v>0</v>
      </c>
      <c r="AH165" s="11" t="n"/>
      <c r="AI165" s="11" t="n"/>
      <c r="AJ165" s="11">
        <f>0</f>
        <v>0</v>
      </c>
      <c r="AK165" s="11">
        <f>0</f>
        <v>0</v>
      </c>
      <c r="AL165" s="12" t="n"/>
      <c r="AM165" s="11">
        <f>0</f>
        <v>0</v>
      </c>
      <c r="AN165" s="11">
        <f>0</f>
        <v>0</v>
      </c>
      <c r="AO165" s="11">
        <f>0</f>
        <v>0</v>
      </c>
      <c r="AP165" s="11">
        <f>0</f>
        <v>0</v>
      </c>
      <c r="AQ165" s="12" t="n"/>
      <c r="AR165" s="11">
        <f>0</f>
        <v>0</v>
      </c>
      <c r="AS165" s="11">
        <f>0</f>
        <v>0</v>
      </c>
      <c r="AT165" s="11">
        <f>0</f>
        <v>0</v>
      </c>
      <c r="AU165" s="11">
        <f>0</f>
        <v>0</v>
      </c>
      <c r="AV165" s="12" t="n"/>
      <c r="AW165" s="11">
        <f>0</f>
        <v>0</v>
      </c>
      <c r="AX165" s="11">
        <f>0</f>
        <v>0</v>
      </c>
      <c r="AY165" s="11">
        <f>0</f>
        <v>0</v>
      </c>
      <c r="AZ165" s="11">
        <f>0</f>
        <v>0</v>
      </c>
      <c r="BA165" s="12" t="n"/>
      <c r="BB165" s="11">
        <f>0</f>
        <v>0</v>
      </c>
      <c r="BC165" s="11">
        <f>0</f>
        <v>0</v>
      </c>
      <c r="BD165" s="11">
        <f>0</f>
        <v>0</v>
      </c>
      <c r="BE165" s="11">
        <f>0</f>
        <v>0</v>
      </c>
      <c r="BF165" s="12" t="n"/>
      <c r="BG165" s="11" t="n"/>
      <c r="BH165" s="11" t="n"/>
      <c r="BI165" s="11" t="n"/>
      <c r="BJ165" s="11" t="n"/>
      <c r="BK165" s="12" t="n"/>
      <c r="BL165" s="11" t="n"/>
      <c r="BM165" s="11" t="n"/>
      <c r="BN165" s="11" t="n"/>
      <c r="BO165" s="11" t="n"/>
      <c r="BP165" s="12" t="n"/>
      <c r="BQ165" s="11" t="n"/>
      <c r="BR165" s="11" t="n"/>
      <c r="BS165" s="11" t="n"/>
      <c r="BT165" s="11" t="n"/>
      <c r="BU165" s="12" t="n"/>
      <c r="BV165" s="11" t="n"/>
      <c r="BW165" s="11" t="n"/>
      <c r="BX165" s="11" t="n"/>
      <c r="BY165" s="11" t="n"/>
      <c r="BZ165" s="12" t="n"/>
      <c r="CA165" s="11" t="n"/>
      <c r="CB165" s="11" t="n"/>
      <c r="CC165" s="11" t="n"/>
      <c r="CD165" s="11" t="n"/>
      <c r="CE165" s="12" t="n"/>
      <c r="CF165" s="11" t="n"/>
      <c r="CG165" s="11" t="n"/>
      <c r="CH165" s="11" t="n"/>
      <c r="CI165" s="11" t="n"/>
      <c r="CJ165" s="12" t="n"/>
      <c r="CK165" s="11" t="n"/>
      <c r="CL165" s="11" t="n"/>
      <c r="CM165" s="11" t="n"/>
      <c r="CN165" s="11" t="n"/>
      <c r="CO165" s="12" t="n"/>
      <c r="CP165" s="11" t="n"/>
      <c r="CQ165" s="11" t="n"/>
      <c r="CR165" s="11" t="n"/>
      <c r="CS165" s="11" t="n"/>
      <c r="CT165" s="12" t="n"/>
      <c r="CU165" s="11" t="n"/>
      <c r="CV165" s="11" t="n"/>
      <c r="CW165" s="11" t="n"/>
      <c r="CX165" s="11" t="n"/>
      <c r="CY165" s="12" t="n"/>
    </row>
    <row r="166" hidden="1" outlineLevel="1">
      <c r="C166" s="57" t="inlineStr">
        <is>
          <t>Depreciation</t>
        </is>
      </c>
      <c r="D166" s="12" t="n"/>
      <c r="E166" s="12" t="n"/>
      <c r="F166" s="12" t="n"/>
      <c r="G166" s="12" t="n"/>
      <c r="H166" s="12" t="n"/>
      <c r="I166" s="12">
        <f>I66</f>
        <v>-2525</v>
      </c>
      <c r="J166" s="12">
        <f>J66</f>
        <v>-2730</v>
      </c>
      <c r="K166" s="12">
        <f>K66</f>
        <v>-3085</v>
      </c>
      <c r="L166" s="12">
        <f>L66</f>
        <v>-3215</v>
      </c>
      <c r="M166" s="12" t="n"/>
      <c r="N166" s="12">
        <f>N66</f>
        <v>-3591</v>
      </c>
      <c r="O166" s="12">
        <f>O66</f>
        <v>-3698</v>
      </c>
      <c r="P166" s="12">
        <f>P66</f>
        <v>-3933</v>
      </c>
      <c r="Q166" s="12">
        <f>Q66</f>
        <v>-4065</v>
      </c>
      <c r="R166" s="12" t="n"/>
      <c r="S166" s="12">
        <f>S66</f>
        <v>-3060</v>
      </c>
      <c r="T166" s="12">
        <f>T66</f>
        <v>-3279</v>
      </c>
      <c r="U166" s="12">
        <f>U66</f>
        <v>-3671</v>
      </c>
      <c r="V166" s="12">
        <f>V66</f>
        <v>-3316</v>
      </c>
      <c r="W166" s="12" t="n"/>
      <c r="X166" s="12">
        <f>X66</f>
        <v>-3413</v>
      </c>
      <c r="Y166" s="12">
        <f>Y66</f>
        <v>-3708</v>
      </c>
      <c r="Z166" s="12">
        <f>Z66</f>
        <v>-3985</v>
      </c>
      <c r="AA166" s="12">
        <f>AA66</f>
        <v>-4205</v>
      </c>
      <c r="AB166" s="12" t="n"/>
      <c r="AC166" s="12">
        <f>AC66</f>
        <v>-4487</v>
      </c>
      <c r="AD166" s="12">
        <f>AD66</f>
        <v>-4998</v>
      </c>
      <c r="AE166" s="12">
        <f>AE66</f>
        <v>-5611</v>
      </c>
      <c r="AF166" s="12">
        <f>AF66</f>
        <v>-6040</v>
      </c>
      <c r="AG166" s="12" t="n"/>
      <c r="AH166" s="12">
        <f>AH66</f>
        <v>-6482</v>
      </c>
      <c r="AI166" s="12">
        <f>AI66</f>
        <v>-7104</v>
      </c>
      <c r="AJ166" s="12">
        <f>AJ66</f>
        <v>-6575.97737531178</v>
      </c>
      <c r="AK166" s="12">
        <f>AK66</f>
        <v>-7313.78782418819</v>
      </c>
      <c r="AL166" s="12" t="n"/>
      <c r="AM166" s="12">
        <f>AM66</f>
        <v>-7061.08308714814</v>
      </c>
      <c r="AN166" s="12">
        <f>AN66</f>
        <v>-7697.18196756932</v>
      </c>
      <c r="AO166" s="12">
        <f>AO66</f>
        <v>-7735.49699166031</v>
      </c>
      <c r="AP166" s="12">
        <f>AP66</f>
        <v>-8603.40303542592</v>
      </c>
      <c r="AQ166" s="12" t="n"/>
      <c r="AR166" s="12">
        <f>AR66</f>
        <v>-8270.83432031848</v>
      </c>
      <c r="AS166" s="12">
        <f>AS66</f>
        <v>-9015.91384797329</v>
      </c>
      <c r="AT166" s="12">
        <f>AT66</f>
        <v>-9060.79325419532</v>
      </c>
      <c r="AU166" s="12">
        <f>AU66</f>
        <v>-10077.3946742599</v>
      </c>
      <c r="AV166" s="12" t="n"/>
      <c r="AW166" s="12">
        <f>AW66</f>
        <v>-9646.4939261874</v>
      </c>
      <c r="AX166" s="12">
        <f>AX66</f>
        <v>-10515.4999852729</v>
      </c>
      <c r="AY166" s="12">
        <f>AY66</f>
        <v>-10567.8440297507</v>
      </c>
      <c r="AZ166" s="12">
        <f>AZ66</f>
        <v>-11753.5332896497</v>
      </c>
      <c r="BA166" s="12" t="n"/>
      <c r="BB166" s="12">
        <f>BB66</f>
        <v>-11202.7298231777</v>
      </c>
      <c r="BC166" s="12">
        <f>BC66</f>
        <v>-12211.9296598365</v>
      </c>
      <c r="BD166" s="12">
        <f>BD66</f>
        <v>-12272.7181901175</v>
      </c>
      <c r="BE166" s="12">
        <f>BE66</f>
        <v>-13649.690646072</v>
      </c>
      <c r="BF166" s="12" t="n"/>
      <c r="BG166" s="12" t="n"/>
      <c r="BH166" s="12" t="n"/>
      <c r="BI166" s="12" t="n"/>
      <c r="BJ166" s="12" t="n"/>
      <c r="BK166" s="12" t="n"/>
      <c r="BL166" s="12" t="n"/>
      <c r="BM166" s="12" t="n"/>
      <c r="BN166" s="12" t="n"/>
      <c r="BO166" s="12" t="n"/>
      <c r="BP166" s="12" t="n"/>
      <c r="BQ166" s="12" t="n"/>
      <c r="BR166" s="12" t="n"/>
      <c r="BS166" s="12" t="n"/>
      <c r="BT166" s="12" t="n"/>
      <c r="BU166" s="12" t="n"/>
      <c r="BV166" s="12" t="n"/>
      <c r="BW166" s="12" t="n"/>
      <c r="BX166" s="12" t="n"/>
      <c r="BY166" s="12" t="n"/>
      <c r="BZ166" s="12" t="n"/>
      <c r="CA166" s="12" t="n"/>
      <c r="CB166" s="12" t="n"/>
      <c r="CC166" s="12" t="n"/>
      <c r="CD166" s="12" t="n"/>
      <c r="CE166" s="12" t="n"/>
      <c r="CF166" s="12" t="n"/>
      <c r="CG166" s="12" t="n"/>
      <c r="CH166" s="12" t="n"/>
      <c r="CI166" s="12" t="n"/>
      <c r="CJ166" s="12" t="n"/>
      <c r="CK166" s="12" t="n"/>
      <c r="CL166" s="12" t="n"/>
      <c r="CM166" s="12" t="n"/>
      <c r="CN166" s="12" t="n"/>
      <c r="CO166" s="12" t="n"/>
      <c r="CP166" s="12" t="n"/>
      <c r="CQ166" s="12" t="n"/>
      <c r="CR166" s="12" t="n"/>
      <c r="CS166" s="12" t="n"/>
      <c r="CT166" s="12" t="n"/>
      <c r="CU166" s="12" t="n"/>
      <c r="CV166" s="12" t="n"/>
      <c r="CW166" s="12" t="n"/>
      <c r="CX166" s="12" t="n"/>
      <c r="CY166" s="12" t="n"/>
    </row>
    <row r="167" hidden="1" outlineLevel="1">
      <c r="C167" s="57" t="inlineStr">
        <is>
          <t>PP&amp;E</t>
        </is>
      </c>
      <c r="D167" s="12" t="n"/>
      <c r="E167" s="12" t="n"/>
      <c r="F167" s="12" t="n"/>
      <c r="G167" s="12" t="n"/>
      <c r="H167" s="12" t="n"/>
      <c r="I167" s="12">
        <f>I162</f>
        <v>87606</v>
      </c>
      <c r="J167" s="12">
        <f>J162</f>
        <v>91697</v>
      </c>
      <c r="K167" s="12">
        <f>K162</f>
        <v>94631</v>
      </c>
      <c r="L167" s="12">
        <f>L162</f>
        <v>97599</v>
      </c>
      <c r="M167" s="12" t="n"/>
      <c r="N167" s="12">
        <f>N162</f>
        <v>104218</v>
      </c>
      <c r="O167" s="12">
        <f>O162</f>
        <v>106223</v>
      </c>
      <c r="P167" s="12">
        <f>P162</f>
        <v>108363</v>
      </c>
      <c r="Q167" s="12">
        <f>Q162</f>
        <v>112668</v>
      </c>
      <c r="R167" s="12" t="n"/>
      <c r="S167" s="12">
        <f>S162</f>
        <v>117560</v>
      </c>
      <c r="T167" s="12">
        <f>T162</f>
        <v>121208</v>
      </c>
      <c r="U167" s="12">
        <f>U162</f>
        <v>125705</v>
      </c>
      <c r="V167" s="12">
        <f>V162</f>
        <v>134345</v>
      </c>
      <c r="W167" s="12" t="n"/>
      <c r="X167" s="12">
        <f>X162</f>
        <v>143182</v>
      </c>
      <c r="Y167" s="12">
        <f>Y162</f>
        <v>151155</v>
      </c>
      <c r="Z167" s="12">
        <f>Z162</f>
        <v>161270</v>
      </c>
      <c r="AA167" s="12">
        <f>Y167+SUM(AA164:AA166)</f>
        <v>160921</v>
      </c>
      <c r="AB167" s="12" t="n"/>
      <c r="AC167" s="12">
        <f>AC162</f>
        <v>185062</v>
      </c>
      <c r="AD167" s="12">
        <f>AD162</f>
        <v>203231</v>
      </c>
      <c r="AE167" s="12">
        <f>AE162</f>
        <v>223787</v>
      </c>
      <c r="AF167" s="12">
        <f>AF162</f>
        <v>246597</v>
      </c>
      <c r="AG167" s="12" t="n"/>
      <c r="AH167" s="12">
        <f>AH162</f>
        <v>281020</v>
      </c>
      <c r="AI167" s="12">
        <f>AI162</f>
        <v>321212</v>
      </c>
      <c r="AJ167" s="12">
        <f>AI167+SUM(AJ164:AJ166)</f>
        <v>349828.558077179</v>
      </c>
      <c r="AK167" s="12">
        <f>AJ167+SUM(AK164:AK166)</f>
        <v>381655.832121766</v>
      </c>
      <c r="AL167" s="12" t="n"/>
      <c r="AM167" s="12">
        <f>AK167+SUM(AM164:AM166)</f>
        <v>412383.415676078</v>
      </c>
      <c r="AN167" s="12">
        <f>AM167+SUM(AN164:AN166)</f>
        <v>445879.098862659</v>
      </c>
      <c r="AO167" s="12">
        <f>AN167+SUM(AO164:AO166)</f>
        <v>479541.516824855</v>
      </c>
      <c r="AP167" s="12">
        <f>AO167+SUM(AP164:AP166)</f>
        <v>516980.785327961</v>
      </c>
      <c r="AQ167" s="12" t="n"/>
      <c r="AR167" s="12">
        <f>AP167+SUM(AR164:AR166)</f>
        <v>552972.820757204</v>
      </c>
      <c r="AS167" s="12">
        <f>AR167+SUM(AS164:AS166)</f>
        <v>592207.204868377</v>
      </c>
      <c r="AT167" s="12">
        <f>AS167+SUM(AT164:AT166)</f>
        <v>631636.889854436</v>
      </c>
      <c r="AU167" s="12">
        <f>AT167+SUM(AU164:AU166)</f>
        <v>675490.500276711</v>
      </c>
      <c r="AV167" s="12" t="n"/>
      <c r="AW167" s="12">
        <f>AU167+SUM(AW164:AW166)</f>
        <v>717468.967951535</v>
      </c>
      <c r="AX167" s="12">
        <f>AW167+SUM(AX164:AX166)</f>
        <v>763229.073083416</v>
      </c>
      <c r="AY167" s="12">
        <f>AX167+SUM(AY164:AY166)</f>
        <v>809216.962817235</v>
      </c>
      <c r="AZ167" s="12">
        <f>AY167+SUM(AZ164:AZ166)</f>
        <v>860364.594385748</v>
      </c>
      <c r="BA167" s="12" t="n"/>
      <c r="BB167" s="12">
        <f>AZ167+SUM(BB164:BB166)</f>
        <v>909115.304783791</v>
      </c>
      <c r="BC167" s="12">
        <f>BB167+SUM(BC164:BC166)</f>
        <v>962257.731285612</v>
      </c>
      <c r="BD167" s="12">
        <f>BC167+SUM(BD164:BD166)</f>
        <v>1015664.69010072</v>
      </c>
      <c r="BE167" s="12">
        <f>BD167+SUM(BE164:BE166)</f>
        <v>1075063.79426663</v>
      </c>
      <c r="BF167" s="12" t="n"/>
      <c r="BG167" s="12" t="n"/>
      <c r="BH167" s="12" t="n"/>
      <c r="BI167" s="12" t="n"/>
      <c r="BJ167" s="12" t="n"/>
      <c r="BK167" s="12" t="n"/>
      <c r="BL167" s="12" t="n"/>
      <c r="BM167" s="12" t="n"/>
      <c r="BN167" s="12" t="n"/>
      <c r="BO167" s="12" t="n"/>
      <c r="BP167" s="12" t="n"/>
      <c r="BQ167" s="12" t="n"/>
      <c r="BR167" s="12" t="n"/>
      <c r="BS167" s="12" t="n"/>
      <c r="BT167" s="12" t="n"/>
      <c r="BU167" s="12" t="n"/>
      <c r="BV167" s="12" t="n"/>
      <c r="BW167" s="12" t="n"/>
      <c r="BX167" s="12" t="n"/>
      <c r="BY167" s="12" t="n"/>
      <c r="BZ167" s="12" t="n"/>
      <c r="CA167" s="12" t="n"/>
      <c r="CB167" s="12" t="n"/>
      <c r="CC167" s="12" t="n"/>
      <c r="CD167" s="12" t="n"/>
      <c r="CE167" s="12" t="n"/>
      <c r="CF167" s="12" t="n"/>
      <c r="CG167" s="12" t="n"/>
      <c r="CH167" s="12" t="n"/>
      <c r="CI167" s="12" t="n"/>
      <c r="CJ167" s="12" t="n"/>
      <c r="CK167" s="12" t="n"/>
      <c r="CL167" s="12" t="n"/>
      <c r="CM167" s="12" t="n"/>
      <c r="CN167" s="12" t="n"/>
      <c r="CO167" s="12" t="n"/>
      <c r="CP167" s="12" t="n"/>
      <c r="CQ167" s="12" t="n"/>
      <c r="CR167" s="12" t="n"/>
      <c r="CS167" s="12" t="n"/>
      <c r="CT167" s="12" t="n"/>
      <c r="CU167" s="12" t="n"/>
      <c r="CV167" s="12" t="n"/>
      <c r="CW167" s="12" t="n"/>
      <c r="CX167" s="12" t="n"/>
      <c r="CY167" s="12" t="n"/>
    </row>
    <row r="168" hidden="1" outlineLevel="1">
      <c r="C168" s="57" t="n"/>
      <c r="D168" s="12" t="n"/>
      <c r="E168" s="12" t="n"/>
      <c r="F168" s="12" t="n"/>
      <c r="G168" s="12" t="n"/>
      <c r="H168" s="12" t="n"/>
      <c r="I168" s="12" t="n"/>
      <c r="J168" s="12" t="n"/>
      <c r="K168" s="12" t="n"/>
      <c r="L168" s="12" t="n"/>
      <c r="M168" s="12" t="n"/>
      <c r="N168" s="12" t="n"/>
      <c r="O168" s="12" t="n"/>
      <c r="P168" s="12" t="n"/>
      <c r="Q168" s="12" t="n"/>
      <c r="R168" s="12" t="n"/>
      <c r="S168" s="12" t="n"/>
      <c r="T168" s="12" t="n"/>
      <c r="U168" s="12" t="n"/>
      <c r="V168" s="12" t="n"/>
      <c r="W168" s="12" t="n"/>
      <c r="X168" s="12" t="n"/>
      <c r="Y168" s="12" t="n"/>
      <c r="Z168" s="12" t="n"/>
      <c r="AA168" s="12" t="n"/>
      <c r="AB168" s="12" t="n"/>
      <c r="AC168" s="12" t="n"/>
      <c r="AD168" s="12" t="n"/>
      <c r="AE168" s="12" t="n"/>
      <c r="AF168" s="12" t="n"/>
      <c r="AG168" s="12" t="n"/>
      <c r="AH168" s="12" t="n"/>
      <c r="AI168" s="12" t="n"/>
      <c r="AJ168" s="12">
        <f>IF(AJ15=0,"",AJ164/AJ15)</f>
        <v>0.292315451149275</v>
      </c>
      <c r="AK168" s="12">
        <f>IF(AK15=0,"",AK164/AK15)</f>
        <v>0.292315451149275</v>
      </c>
      <c r="AL168" s="12" t="n"/>
      <c r="AM168" s="12">
        <f>IF(AM15=0,"",AM164/AM15)</f>
        <v>0.292315451149275</v>
      </c>
      <c r="AN168" s="12">
        <f>IF(AN15=0,"",AN164/AN15)</f>
        <v>0.292315451149275</v>
      </c>
      <c r="AO168" s="12">
        <f>IF(AO15=0,"",AO164/AO15)</f>
        <v>0.292315451149275</v>
      </c>
      <c r="AP168" s="12">
        <f>IF(AP15=0,"",AP164/AP15)</f>
        <v>0.292315451149275</v>
      </c>
      <c r="AQ168" s="12" t="n"/>
      <c r="AR168" s="12">
        <f>IF(AR15=0,"",AR164/AR15)</f>
        <v>0.292315451149275</v>
      </c>
      <c r="AS168" s="12">
        <f>IF(AS15=0,"",AS164/AS15)</f>
        <v>0.292315451149275</v>
      </c>
      <c r="AT168" s="12">
        <f>IF(AT15=0,"",AT164/AT15)</f>
        <v>0.292315451149275</v>
      </c>
      <c r="AU168" s="12">
        <f>IF(AU15=0,"",AU164/AU15)</f>
        <v>0.292315451149275</v>
      </c>
      <c r="AV168" s="12" t="n"/>
      <c r="AW168" s="12">
        <f>IF(AW15=0,"",AW164/AW15)</f>
        <v>0.292315451149275</v>
      </c>
      <c r="AX168" s="12">
        <f>IF(AX15=0,"",AX164/AX15)</f>
        <v>0.292315451149275</v>
      </c>
      <c r="AY168" s="12">
        <f>IF(AY15=0,"",AY164/AY15)</f>
        <v>0.292315451149275</v>
      </c>
      <c r="AZ168" s="12">
        <f>IF(AZ15=0,"",AZ164/AZ15)</f>
        <v>0.292315451149275</v>
      </c>
      <c r="BA168" s="12" t="n"/>
      <c r="BB168" s="12">
        <f>IF(BB15=0,"",BB164/BB15)</f>
        <v>0.292315451149275</v>
      </c>
      <c r="BC168" s="12">
        <f>IF(BC15=0,"",BC164/BC15)</f>
        <v>0.292315451149275</v>
      </c>
      <c r="BD168" s="12">
        <f>IF(BD15=0,"",BD164/BD15)</f>
        <v>0.292315451149275</v>
      </c>
      <c r="BE168" s="12">
        <f>IF(BE15=0,"",BE164/BE15)</f>
        <v>0.292315451149275</v>
      </c>
      <c r="BF168" s="12" t="n"/>
      <c r="BG168" s="12" t="n"/>
      <c r="BH168" s="12" t="n"/>
      <c r="BI168" s="12" t="n"/>
      <c r="BJ168" s="12" t="n"/>
      <c r="BK168" s="12" t="n"/>
      <c r="BL168" s="12" t="n"/>
      <c r="BM168" s="12" t="n"/>
      <c r="BN168" s="12" t="n"/>
      <c r="BO168" s="12" t="n"/>
      <c r="BP168" s="12" t="n"/>
      <c r="BQ168" s="12" t="n"/>
      <c r="BR168" s="12" t="n"/>
      <c r="BS168" s="12" t="n"/>
      <c r="BT168" s="12" t="n"/>
      <c r="BU168" s="12" t="n"/>
      <c r="BV168" s="12" t="n"/>
      <c r="BW168" s="12" t="n"/>
      <c r="BX168" s="12" t="n"/>
      <c r="BY168" s="12" t="n"/>
      <c r="BZ168" s="12" t="n"/>
      <c r="CA168" s="12" t="n"/>
      <c r="CB168" s="12" t="n"/>
      <c r="CC168" s="12" t="n"/>
      <c r="CD168" s="12" t="n"/>
      <c r="CE168" s="12" t="n"/>
      <c r="CF168" s="12" t="n"/>
      <c r="CG168" s="12" t="n"/>
      <c r="CH168" s="12" t="n"/>
      <c r="CI168" s="12" t="n"/>
      <c r="CJ168" s="12" t="n"/>
      <c r="CK168" s="12" t="n"/>
      <c r="CL168" s="12" t="n"/>
      <c r="CM168" s="12" t="n"/>
      <c r="CN168" s="12" t="n"/>
      <c r="CO168" s="12" t="n"/>
      <c r="CP168" s="12" t="n"/>
      <c r="CQ168" s="12" t="n"/>
      <c r="CR168" s="12" t="n"/>
      <c r="CS168" s="12" t="n"/>
      <c r="CT168" s="12" t="n"/>
      <c r="CU168" s="12" t="n"/>
      <c r="CV168" s="12" t="n"/>
      <c r="CW168" s="12" t="n"/>
      <c r="CX168" s="12" t="n"/>
      <c r="CY168" s="12" t="n"/>
    </row>
    <row r="169" hidden="1" outlineLevel="1">
      <c r="C169" s="57" t="inlineStr">
        <is>
          <t>Capital expenditures (% Net Revenues)</t>
        </is>
      </c>
      <c r="D169" s="12" t="n"/>
      <c r="E169" s="12" t="n"/>
      <c r="F169" s="12" t="n"/>
      <c r="G169" s="12" t="n"/>
      <c r="H169" s="12" t="n"/>
      <c r="I169" s="12" t="n"/>
      <c r="J169" s="12" t="n"/>
      <c r="K169" s="12" t="n"/>
      <c r="L169" s="12" t="n"/>
      <c r="M169" s="12" t="n"/>
      <c r="N169" s="12" t="n"/>
      <c r="O169" s="12" t="n"/>
      <c r="P169" s="12" t="n"/>
      <c r="Q169" s="12" t="n"/>
      <c r="R169" s="12" t="n"/>
      <c r="S169" s="12" t="n"/>
      <c r="T169" s="12" t="n"/>
      <c r="U169" s="12" t="n"/>
      <c r="V169" s="12" t="n"/>
      <c r="W169" s="12" t="n"/>
      <c r="X169" s="12" t="n"/>
      <c r="Y169" s="12" t="n"/>
      <c r="Z169" s="12" t="n"/>
      <c r="AA169" s="12" t="n"/>
      <c r="AB169" s="12" t="n"/>
      <c r="AC169" s="12" t="n"/>
      <c r="AD169" s="12" t="n"/>
      <c r="AE169" s="12" t="n"/>
      <c r="AF169" s="58">
        <f>IFERROR(AF164/AF15,"")</f>
        <v>0.253450350965044</v>
      </c>
      <c r="AG169" s="58">
        <f>IFERROR(AG164/AG15,"")</f>
        <v>0.240040016185206</v>
      </c>
      <c r="AH169" s="58">
        <f>IFERROR(AH164/AH15,"")</f>
        <v>0.37221554924656</v>
      </c>
      <c r="AI169" s="58">
        <f>IFERROR(AI164/AI15,"")</f>
        <v>0.394804500985008</v>
      </c>
      <c r="AJ169" s="58">
        <f>IFERROR(AJ164/AJ15,"")</f>
        <v>0.292315451149275</v>
      </c>
      <c r="AK169" s="58">
        <f>IFERROR(AK164/AK15,"")</f>
        <v>0.292315451149275</v>
      </c>
      <c r="AL169" s="58">
        <f>IFERROR(AL164/AL15,"")</f>
        <v>0</v>
      </c>
      <c r="AM169" s="58">
        <f>IFERROR(AM164/AM15,"")</f>
        <v>0.292315451149275</v>
      </c>
      <c r="AN169" s="58">
        <f>IFERROR(AN164/AN15,"")</f>
        <v>0.292315451149275</v>
      </c>
      <c r="AO169" s="58">
        <f>IFERROR(AO164/AO15,"")</f>
        <v>0.292315451149275</v>
      </c>
      <c r="AP169" s="58">
        <f>IFERROR(AP164/AP15,"")</f>
        <v>0.292315451149275</v>
      </c>
      <c r="AQ169" s="58">
        <f>IFERROR(AQ164/AQ15,"")</f>
        <v>0</v>
      </c>
      <c r="AR169" s="58">
        <f>IFERROR(AR164/AR15,"")</f>
        <v>0.292315451149275</v>
      </c>
      <c r="AS169" s="58">
        <f>IFERROR(AS164/AS15,"")</f>
        <v>0.292315451149275</v>
      </c>
      <c r="AT169" s="58">
        <f>IFERROR(AT164/AT15,"")</f>
        <v>0.292315451149275</v>
      </c>
      <c r="AU169" s="58">
        <f>IFERROR(AU164/AU15,"")</f>
        <v>0.292315451149275</v>
      </c>
      <c r="AV169" s="58">
        <f>IFERROR(AV164/AV15,"")</f>
        <v>0</v>
      </c>
      <c r="AW169" s="58">
        <f>IFERROR(AW164/AW15,"")</f>
        <v>0.292315451149275</v>
      </c>
      <c r="AX169" s="58">
        <f>IFERROR(AX164/AX15,"")</f>
        <v>0.292315451149275</v>
      </c>
      <c r="AY169" s="58">
        <f>IFERROR(AY164/AY15,"")</f>
        <v>0.292315451149275</v>
      </c>
      <c r="AZ169" s="58">
        <f>IFERROR(AZ164/AZ15,"")</f>
        <v>0.292315451149275</v>
      </c>
      <c r="BA169" s="58">
        <f>IFERROR(BA164/BA15,"")</f>
        <v>0</v>
      </c>
      <c r="BB169" s="58">
        <f>IFERROR(BB164/BB15,"")</f>
        <v>0.292315451149275</v>
      </c>
      <c r="BC169" s="58">
        <f>IFERROR(BC164/BC15,"")</f>
        <v>0.292315451149275</v>
      </c>
      <c r="BD169" s="58">
        <f>IFERROR(BD164/BD15,"")</f>
        <v>0.292315451149275</v>
      </c>
      <c r="BE169" s="58">
        <f>IFERROR(BE164/BE15,"")</f>
        <v>0.292315451149275</v>
      </c>
      <c r="BF169" s="58">
        <f>IFERROR(BF164/BF15,"")</f>
        <v>0</v>
      </c>
      <c r="BG169" s="58" t="n"/>
      <c r="BH169" s="58" t="n"/>
      <c r="BI169" s="58" t="n"/>
      <c r="BJ169" s="58" t="n"/>
      <c r="BK169" s="58" t="n"/>
      <c r="BL169" s="58" t="n"/>
      <c r="BM169" s="58" t="n"/>
      <c r="BN169" s="58" t="n"/>
      <c r="BO169" s="58" t="n"/>
      <c r="BP169" s="58" t="n"/>
      <c r="BQ169" s="58" t="n"/>
      <c r="BR169" s="58" t="n"/>
      <c r="BS169" s="58" t="n"/>
      <c r="BT169" s="58" t="n"/>
      <c r="BU169" s="58" t="n"/>
      <c r="BV169" s="58" t="n"/>
      <c r="BW169" s="58" t="n"/>
      <c r="BX169" s="58" t="n"/>
      <c r="BY169" s="58" t="n"/>
      <c r="BZ169" s="58" t="n"/>
      <c r="CA169" s="58" t="n"/>
      <c r="CB169" s="58" t="n"/>
      <c r="CC169" s="58" t="n"/>
      <c r="CD169" s="58" t="n"/>
      <c r="CE169" s="58" t="n"/>
      <c r="CF169" s="58" t="n"/>
      <c r="CG169" s="58" t="n"/>
      <c r="CH169" s="58" t="n"/>
      <c r="CI169" s="58" t="n"/>
      <c r="CJ169" s="58" t="n"/>
      <c r="CK169" s="58" t="n"/>
      <c r="CL169" s="58" t="n"/>
      <c r="CM169" s="58" t="n"/>
      <c r="CN169" s="58" t="n"/>
      <c r="CO169" s="58" t="n"/>
      <c r="CP169" s="58" t="n"/>
      <c r="CQ169" s="58" t="n"/>
      <c r="CR169" s="58" t="n"/>
      <c r="CS169" s="58" t="n"/>
      <c r="CT169" s="58" t="n"/>
      <c r="CU169" s="58" t="n"/>
      <c r="CV169" s="58" t="n"/>
      <c r="CW169" s="58" t="n"/>
      <c r="CX169" s="58" t="n"/>
      <c r="CY169" s="58" t="n"/>
    </row>
    <row r="170" hidden="1" outlineLevel="1">
      <c r="C170" s="57" t="n"/>
      <c r="D170" s="12" t="n"/>
      <c r="E170" s="12" t="n"/>
      <c r="F170" s="12" t="n"/>
      <c r="G170" s="12" t="n"/>
      <c r="H170" s="12" t="n"/>
      <c r="I170" s="12" t="n"/>
      <c r="J170" s="12" t="n"/>
      <c r="K170" s="12" t="n"/>
      <c r="L170" s="12" t="n"/>
      <c r="M170" s="12" t="n"/>
      <c r="N170" s="12" t="n"/>
      <c r="O170" s="12" t="n"/>
      <c r="P170" s="12" t="n"/>
      <c r="Q170" s="12" t="n"/>
      <c r="R170" s="12" t="n"/>
      <c r="S170" s="12" t="n"/>
      <c r="T170" s="12" t="n"/>
      <c r="U170" s="12" t="n"/>
      <c r="V170" s="12" t="n"/>
      <c r="W170" s="12" t="n"/>
      <c r="X170" s="12" t="n"/>
      <c r="Y170" s="12" t="n"/>
      <c r="Z170" s="12" t="n"/>
      <c r="AA170" s="12" t="n"/>
      <c r="AB170" s="12" t="n"/>
      <c r="AC170" s="12" t="n"/>
      <c r="AD170" s="12" t="n"/>
      <c r="AE170" s="12" t="n"/>
      <c r="AF170" s="12" t="n"/>
      <c r="AG170" s="12" t="n"/>
      <c r="AH170" s="12" t="n"/>
      <c r="AI170" s="12" t="n"/>
      <c r="AJ170" s="12" t="n"/>
      <c r="AK170" s="12" t="n"/>
      <c r="AL170" s="12" t="n"/>
      <c r="AM170" s="12" t="n"/>
      <c r="AN170" s="12" t="n"/>
      <c r="AO170" s="12" t="n"/>
      <c r="AP170" s="12" t="n"/>
      <c r="AQ170" s="12" t="n"/>
      <c r="AR170" s="12" t="n"/>
      <c r="AS170" s="12" t="n"/>
      <c r="AT170" s="12" t="n"/>
      <c r="AU170" s="12" t="n"/>
      <c r="AV170" s="12" t="n"/>
      <c r="AW170" s="12" t="n"/>
      <c r="AX170" s="12" t="n"/>
      <c r="AY170" s="12" t="n"/>
      <c r="AZ170" s="12" t="n"/>
      <c r="BA170" s="12" t="n"/>
      <c r="BB170" s="12" t="n"/>
      <c r="BC170" s="12" t="n"/>
      <c r="BD170" s="12" t="n"/>
      <c r="BE170" s="12" t="n"/>
      <c r="BF170" s="12" t="n"/>
      <c r="BG170" s="12" t="n"/>
      <c r="BH170" s="12" t="n"/>
      <c r="BI170" s="12" t="n"/>
      <c r="BJ170" s="12" t="n"/>
      <c r="BK170" s="12" t="n"/>
      <c r="BL170" s="12" t="n"/>
      <c r="BM170" s="12" t="n"/>
      <c r="BN170" s="12" t="n"/>
      <c r="BO170" s="12" t="n"/>
      <c r="BP170" s="12" t="n"/>
      <c r="BQ170" s="12" t="n"/>
      <c r="BR170" s="12" t="n"/>
      <c r="BS170" s="12" t="n"/>
      <c r="BT170" s="12" t="n"/>
      <c r="BU170" s="12" t="n"/>
      <c r="BV170" s="12" t="n"/>
      <c r="BW170" s="12" t="n"/>
      <c r="BX170" s="12" t="n"/>
      <c r="BY170" s="12" t="n"/>
      <c r="BZ170" s="12" t="n"/>
      <c r="CA170" s="12" t="n"/>
      <c r="CB170" s="12" t="n"/>
      <c r="CC170" s="12" t="n"/>
      <c r="CD170" s="12" t="n"/>
      <c r="CE170" s="12" t="n"/>
      <c r="CF170" s="12" t="n"/>
      <c r="CG170" s="12" t="n"/>
      <c r="CH170" s="12" t="n"/>
      <c r="CI170" s="12" t="n"/>
      <c r="CJ170" s="12" t="n"/>
      <c r="CK170" s="12" t="n"/>
      <c r="CL170" s="12" t="n"/>
      <c r="CM170" s="12" t="n"/>
      <c r="CN170" s="12" t="n"/>
      <c r="CO170" s="12" t="n"/>
      <c r="CP170" s="12" t="n"/>
      <c r="CQ170" s="12" t="n"/>
      <c r="CR170" s="12" t="n"/>
      <c r="CS170" s="12" t="n"/>
      <c r="CT170" s="12" t="n"/>
      <c r="CU170" s="12" t="n"/>
      <c r="CV170" s="12" t="n"/>
      <c r="CW170" s="12" t="n"/>
      <c r="CX170" s="12" t="n"/>
      <c r="CY170" s="12" t="n"/>
    </row>
    <row r="171" hidden="1" outlineLevel="1">
      <c r="C171" s="57" t="n"/>
      <c r="D171" s="12" t="n"/>
      <c r="E171" s="12" t="n"/>
      <c r="F171" s="12" t="n"/>
      <c r="G171" s="12" t="n"/>
      <c r="H171" s="12" t="n"/>
      <c r="I171" s="12" t="n"/>
      <c r="J171" s="12" t="n"/>
      <c r="K171" s="12" t="n"/>
      <c r="L171" s="12" t="n"/>
      <c r="M171" s="12" t="n"/>
      <c r="N171" s="12" t="n"/>
      <c r="O171" s="12" t="n"/>
      <c r="P171" s="12" t="n"/>
      <c r="Q171" s="12" t="n"/>
      <c r="R171" s="12" t="n"/>
      <c r="S171" s="12" t="n"/>
      <c r="T171" s="12" t="n"/>
      <c r="U171" s="12" t="n"/>
      <c r="V171" s="12" t="n"/>
      <c r="W171" s="12" t="n"/>
      <c r="X171" s="12" t="n"/>
      <c r="Y171" s="12" t="n"/>
      <c r="Z171" s="12" t="n"/>
      <c r="AA171" s="12" t="n"/>
      <c r="AB171" s="12" t="n"/>
      <c r="AC171" s="12" t="n"/>
      <c r="AD171" s="12" t="n"/>
      <c r="AE171" s="12" t="n"/>
      <c r="AF171" s="12" t="n"/>
      <c r="AG171" s="12" t="n"/>
      <c r="AH171" s="12" t="n"/>
      <c r="AI171" s="12" t="n"/>
      <c r="AJ171" s="12" t="n"/>
      <c r="AK171" s="12" t="n"/>
      <c r="AL171" s="12" t="n"/>
      <c r="AM171" s="12" t="n"/>
      <c r="AN171" s="12" t="n"/>
      <c r="AO171" s="12" t="n"/>
      <c r="AP171" s="12" t="n"/>
      <c r="AQ171" s="12" t="n"/>
      <c r="AR171" s="12" t="n"/>
      <c r="AS171" s="12" t="n"/>
      <c r="AT171" s="12" t="n"/>
      <c r="AU171" s="12" t="n"/>
      <c r="AV171" s="12" t="n"/>
      <c r="AW171" s="12" t="n"/>
      <c r="AX171" s="12" t="n"/>
      <c r="AY171" s="12" t="n"/>
      <c r="AZ171" s="12" t="n"/>
      <c r="BA171" s="12" t="n"/>
      <c r="BB171" s="12" t="n"/>
      <c r="BC171" s="12" t="n"/>
      <c r="BD171" s="12" t="n"/>
      <c r="BE171" s="12" t="n"/>
      <c r="BF171" s="12" t="n"/>
      <c r="BG171" s="12" t="n"/>
      <c r="BH171" s="12" t="n"/>
      <c r="BI171" s="12" t="n"/>
      <c r="BJ171" s="12" t="n"/>
      <c r="BK171" s="12" t="n"/>
      <c r="BL171" s="12" t="n"/>
      <c r="BM171" s="12" t="n"/>
      <c r="BN171" s="12" t="n"/>
      <c r="BO171" s="12" t="n"/>
      <c r="BP171" s="12" t="n"/>
      <c r="BQ171" s="12" t="n"/>
      <c r="BR171" s="12" t="n"/>
      <c r="BS171" s="12" t="n"/>
      <c r="BT171" s="12" t="n"/>
      <c r="BU171" s="12" t="n"/>
      <c r="BV171" s="12" t="n"/>
      <c r="BW171" s="12" t="n"/>
      <c r="BX171" s="12" t="n"/>
      <c r="BY171" s="12" t="n"/>
      <c r="BZ171" s="12" t="n"/>
      <c r="CA171" s="12" t="n"/>
      <c r="CB171" s="12" t="n"/>
      <c r="CC171" s="12" t="n"/>
      <c r="CD171" s="12" t="n"/>
      <c r="CE171" s="12" t="n"/>
      <c r="CF171" s="12" t="n"/>
      <c r="CG171" s="12" t="n"/>
      <c r="CH171" s="12" t="n"/>
      <c r="CI171" s="12" t="n"/>
      <c r="CJ171" s="12" t="n"/>
      <c r="CK171" s="12" t="n"/>
      <c r="CL171" s="12" t="n"/>
      <c r="CM171" s="12" t="n"/>
      <c r="CN171" s="12" t="n"/>
      <c r="CO171" s="12" t="n"/>
      <c r="CP171" s="12" t="n"/>
      <c r="CQ171" s="12" t="n"/>
      <c r="CR171" s="12" t="n"/>
      <c r="CS171" s="12" t="n"/>
      <c r="CT171" s="12" t="n"/>
      <c r="CU171" s="12" t="n"/>
      <c r="CV171" s="12" t="n"/>
      <c r="CW171" s="12" t="n"/>
      <c r="CX171" s="12" t="n"/>
      <c r="CY171" s="12" t="n"/>
    </row>
    <row r="172" collapsed="1">
      <c r="C172" s="14" t="inlineStr">
        <is>
          <t>Right-of-use-assets</t>
        </is>
      </c>
      <c r="D172" s="46" t="n"/>
      <c r="E172" s="46" t="n"/>
      <c r="F172" s="46" t="n"/>
      <c r="G172" s="46" t="n"/>
      <c r="H172" s="12" t="n"/>
      <c r="I172" s="46">
        <f>'Inputs (2)'!D23</f>
        <v>12598</v>
      </c>
      <c r="J172" s="46">
        <f>'Inputs (2)'!E23</f>
        <v>12978</v>
      </c>
      <c r="K172" s="46">
        <f>'Inputs (2)'!F23</f>
        <v>12918</v>
      </c>
      <c r="L172" s="46">
        <f>'Inputs (2)'!G23</f>
        <v>12959</v>
      </c>
      <c r="M172" s="12">
        <f>'Inputs (2)'!H23</f>
        <v>12959</v>
      </c>
      <c r="N172" s="46">
        <f>'Inputs (2)'!I23</f>
        <v>12992</v>
      </c>
      <c r="O172" s="46">
        <f>'Inputs (2)'!J23</f>
        <v>13398</v>
      </c>
      <c r="P172" s="46">
        <f>'Inputs (2)'!K23</f>
        <v>13677</v>
      </c>
      <c r="Q172" s="46">
        <f>'Inputs (2)'!L23</f>
        <v>14381</v>
      </c>
      <c r="R172" s="12">
        <f>'Inputs (2)'!M23</f>
        <v>14381</v>
      </c>
      <c r="S172" s="46">
        <f>'Inputs (2)'!N23</f>
        <v>14447</v>
      </c>
      <c r="T172" s="46">
        <f>'Inputs (2)'!O23</f>
        <v>14469</v>
      </c>
      <c r="U172" s="46">
        <f>'Inputs (2)'!P23</f>
        <v>14199</v>
      </c>
      <c r="V172" s="46">
        <f>'Inputs (2)'!Q23</f>
        <v>14091</v>
      </c>
      <c r="W172" s="12">
        <f>'Inputs (2)'!R23</f>
        <v>14091</v>
      </c>
      <c r="X172" s="46">
        <f>'Inputs (2)'!S23</f>
        <v>13768</v>
      </c>
      <c r="Y172" s="46">
        <f>'Inputs (2)'!T23</f>
        <v>13606</v>
      </c>
      <c r="Z172" s="46">
        <f>'Inputs (2)'!U23</f>
        <v>13561</v>
      </c>
      <c r="AA172" s="46">
        <f>'Inputs (2)'!V23</f>
        <v>13588</v>
      </c>
      <c r="AB172" s="12">
        <f>'Inputs (2)'!W23</f>
        <v>13588</v>
      </c>
      <c r="AC172" s="46">
        <f>'Inputs (2)'!X23</f>
        <v>13722</v>
      </c>
      <c r="AD172" s="46">
        <f>'Inputs (2)'!Y23</f>
        <v>14255</v>
      </c>
      <c r="AE172" s="46">
        <f>'Inputs (2)'!Z23</f>
        <v>14524</v>
      </c>
      <c r="AF172" s="46">
        <f>'Inputs (2)'!AA23</f>
        <v>15221</v>
      </c>
      <c r="AG172" s="12">
        <f>'Inputs (2)'!AB23</f>
        <v>15221</v>
      </c>
      <c r="AH172" s="12">
        <f>'Inputs (2)'!AC23</f>
        <v>15509</v>
      </c>
      <c r="AI172" s="12">
        <f>'Inputs (2)'!AD23</f>
        <v>17694</v>
      </c>
      <c r="AJ172" s="12">
        <f>AI172</f>
        <v>17694</v>
      </c>
      <c r="AK172" s="12">
        <f>AJ172</f>
        <v>17694</v>
      </c>
      <c r="AL172" s="12">
        <f>AK172</f>
        <v>17694</v>
      </c>
      <c r="AM172" s="12">
        <f>AL172</f>
        <v>17694</v>
      </c>
      <c r="AN172" s="12">
        <f>AM172</f>
        <v>17694</v>
      </c>
      <c r="AO172" s="12">
        <f>AN172</f>
        <v>17694</v>
      </c>
      <c r="AP172" s="12">
        <f>AO172</f>
        <v>17694</v>
      </c>
      <c r="AQ172" s="12">
        <f>AP172</f>
        <v>17694</v>
      </c>
      <c r="AR172" s="12">
        <f>AQ172</f>
        <v>17694</v>
      </c>
      <c r="AS172" s="12">
        <f>AR172</f>
        <v>17694</v>
      </c>
      <c r="AT172" s="12">
        <f>AS172</f>
        <v>17694</v>
      </c>
      <c r="AU172" s="12">
        <f>AT172</f>
        <v>17694</v>
      </c>
      <c r="AV172" s="12">
        <f>AU172</f>
        <v>17694</v>
      </c>
      <c r="AW172" s="12">
        <f>AV172</f>
        <v>17694</v>
      </c>
      <c r="AX172" s="12">
        <f>AW172</f>
        <v>17694</v>
      </c>
      <c r="AY172" s="12">
        <f>AX172</f>
        <v>17694</v>
      </c>
      <c r="AZ172" s="12">
        <f>AY172</f>
        <v>17694</v>
      </c>
      <c r="BA172" s="12">
        <f>AZ172</f>
        <v>17694</v>
      </c>
      <c r="BB172" s="12">
        <f>BA172</f>
        <v>17694</v>
      </c>
      <c r="BC172" s="12">
        <f>BB172</f>
        <v>17694</v>
      </c>
      <c r="BD172" s="12">
        <f>BC172</f>
        <v>17694</v>
      </c>
      <c r="BE172" s="12">
        <f>BD172</f>
        <v>17694</v>
      </c>
      <c r="BF172" s="12">
        <f>BE172</f>
        <v>17694</v>
      </c>
      <c r="BG172" s="12" t="n"/>
      <c r="BH172" s="12" t="n"/>
      <c r="BI172" s="12" t="n"/>
      <c r="BJ172" s="12" t="n"/>
      <c r="BK172" s="12" t="n"/>
      <c r="BL172" s="12" t="n"/>
      <c r="BM172" s="12" t="n"/>
      <c r="BN172" s="12" t="n"/>
      <c r="BO172" s="12" t="n"/>
      <c r="BP172" s="12" t="n"/>
      <c r="BQ172" s="12" t="n"/>
      <c r="BR172" s="12" t="n"/>
      <c r="BS172" s="12" t="n"/>
      <c r="BT172" s="12" t="n"/>
      <c r="BU172" s="12" t="n"/>
      <c r="BV172" s="12" t="n"/>
      <c r="BW172" s="12" t="n"/>
      <c r="BX172" s="12" t="n"/>
      <c r="BY172" s="12" t="n"/>
      <c r="BZ172" s="12" t="n"/>
      <c r="CA172" s="12" t="n"/>
      <c r="CB172" s="12" t="n"/>
      <c r="CC172" s="12" t="n"/>
      <c r="CD172" s="12" t="n"/>
      <c r="CE172" s="12" t="n"/>
      <c r="CF172" s="12" t="n"/>
      <c r="CG172" s="12" t="n"/>
      <c r="CH172" s="12" t="n"/>
      <c r="CI172" s="12" t="n"/>
      <c r="CJ172" s="12" t="n"/>
      <c r="CK172" s="12" t="n"/>
      <c r="CL172" s="12" t="n"/>
      <c r="CM172" s="12" t="n"/>
      <c r="CN172" s="12" t="n"/>
      <c r="CO172" s="12" t="n"/>
      <c r="CP172" s="12" t="n"/>
      <c r="CQ172" s="12" t="n"/>
      <c r="CR172" s="12" t="n"/>
      <c r="CS172" s="12" t="n"/>
      <c r="CT172" s="12" t="n"/>
      <c r="CU172" s="12" t="n"/>
      <c r="CV172" s="12" t="n"/>
      <c r="CW172" s="12" t="n"/>
      <c r="CX172" s="12" t="n"/>
      <c r="CY172" s="12" t="n"/>
    </row>
    <row r="173" hidden="1" outlineLevel="1">
      <c r="C173" s="59" t="inlineStr">
        <is>
          <t>%(Var.)</t>
        </is>
      </c>
      <c r="D173" s="12" t="n"/>
      <c r="E173" s="40" t="n"/>
      <c r="F173" s="40" t="n"/>
      <c r="G173" s="40" t="n"/>
      <c r="H173" s="12" t="n"/>
      <c r="I173" s="40" t="str">
        <f>""</f>
        <v/>
      </c>
      <c r="J173" s="40">
        <f>IFERROR(IF(I172=0,"",J172/I172-1),"")</f>
        <v>0.0301635180187332</v>
      </c>
      <c r="K173" s="40">
        <f>IFERROR(IF(J172=0,"",K172/J172-1),"")</f>
        <v>-0.00462320850670361</v>
      </c>
      <c r="L173" s="40">
        <f>IFERROR(IF(K172=0,"",L172/K172-1),"")</f>
        <v>0.00317386592351765</v>
      </c>
      <c r="M173" s="12">
        <f>IFERROR(IF(L172=0,"",M172/L172-1),"")</f>
        <v>0</v>
      </c>
      <c r="N173" s="40">
        <f>IFERROR(IF(M172=0,"",N172/M172-1),"")</f>
        <v>0.00254649278493702</v>
      </c>
      <c r="O173" s="40">
        <f>IFERROR(IF(N172=0,"",O172/N172-1),"")</f>
        <v>0.03125</v>
      </c>
      <c r="P173" s="40">
        <f>IFERROR(IF(O172=0,"",P172/O172-1),"")</f>
        <v>0.0208240035826244</v>
      </c>
      <c r="Q173" s="40">
        <f>IFERROR(IF(P172=0,"",Q172/P172-1),"")</f>
        <v>0.0514732763032828</v>
      </c>
      <c r="R173" s="12">
        <f>IFERROR(IF(Q172=0,"",R172/Q172-1),"")</f>
        <v>0</v>
      </c>
      <c r="S173" s="40">
        <f>IFERROR(IF(R172=0,"",S172/R172-1),"")</f>
        <v>0.00458938877685844</v>
      </c>
      <c r="T173" s="40">
        <f>IFERROR(IF(S172=0,"",T172/S172-1),"")</f>
        <v>0.00152280750328782</v>
      </c>
      <c r="U173" s="40">
        <f>IFERROR(IF(T172=0,"",U172/T172-1),"")</f>
        <v>-0.0186605846983205</v>
      </c>
      <c r="V173" s="40">
        <f>IFERROR(IF(U172=0,"",V172/U172-1),"")</f>
        <v>-0.00760616944855275</v>
      </c>
      <c r="W173" s="12">
        <f>IFERROR(IF(V172=0,"",W172/V172-1),"")</f>
        <v>0</v>
      </c>
      <c r="X173" s="40">
        <f>IFERROR(IF(W172=0,"",X172/W172-1),"")</f>
        <v>-0.0229224327584984</v>
      </c>
      <c r="Y173" s="40">
        <f>IFERROR(IF(X172=0,"",Y172/X172-1),"")</f>
        <v>-0.0117664148750727</v>
      </c>
      <c r="Z173" s="40">
        <f>IFERROR(IF(Y172=0,"",Z172/Y172-1),"")</f>
        <v>-0.00330736439805968</v>
      </c>
      <c r="AA173" s="40">
        <f>IFERROR(IF(Z172=0,"",AA172/Z172-1),"")</f>
        <v>0.00199100361330284</v>
      </c>
      <c r="AB173" s="12">
        <f>IFERROR(IF(AA172=0,"",AB172/AA172-1),"")</f>
        <v>0</v>
      </c>
      <c r="AC173" s="40">
        <f>IFERROR(IF(AB172=0,"",AC172/AB172-1),"")</f>
        <v>0.00986164262584643</v>
      </c>
      <c r="AD173" s="40">
        <f>IFERROR(IF(AC172=0,"",AD172/AC172-1),"")</f>
        <v>0.0388427342952922</v>
      </c>
      <c r="AE173" s="40">
        <f>IFERROR(IF(AD172=0,"",AE172/AD172-1),"")</f>
        <v>0.0188705717292179</v>
      </c>
      <c r="AF173" s="55">
        <f>IFERROR(IF(AE172=0,"",AF172/AE172-1),"")</f>
        <v>0.0479895345634811</v>
      </c>
      <c r="AG173" s="12">
        <f>IFERROR(IF(AF172=0,"",AG172/AF172-1),"")</f>
        <v>0</v>
      </c>
      <c r="AH173" s="55">
        <f>IFERROR(IF(AG172=0,"",AH172/AG172-1),"")</f>
        <v>0.0189212272518231</v>
      </c>
      <c r="AI173" s="55">
        <f>IFERROR(IF(AH172=0,"",AI172/AH172-1),"")</f>
        <v>0.140885937197756</v>
      </c>
      <c r="AJ173" s="55">
        <f>IFERROR(IF(AI172=0,"",AJ172/AI172-1),"")</f>
        <v>0</v>
      </c>
      <c r="AK173" s="55">
        <f>IFERROR(IF(AJ172=0,"",AK172/AJ172-1),"")</f>
        <v>0</v>
      </c>
      <c r="AL173" s="12">
        <f>IFERROR(IF(AK172=0,"",AL172/AK172-1),"")</f>
        <v>0</v>
      </c>
      <c r="AM173" s="55">
        <f>IFERROR(IF(AL172=0,"",AM172/AL172-1),"")</f>
        <v>0</v>
      </c>
      <c r="AN173" s="55">
        <f>IFERROR(IF(AM172=0,"",AN172/AM172-1),"")</f>
        <v>0</v>
      </c>
      <c r="AO173" s="55">
        <f>IFERROR(IF(AN172=0,"",AO172/AN172-1),"")</f>
        <v>0</v>
      </c>
      <c r="AP173" s="55">
        <f>IFERROR(IF(AO172=0,"",AP172/AO172-1),"")</f>
        <v>0</v>
      </c>
      <c r="AQ173" s="12">
        <f>IFERROR(IF(AP172=0,"",AQ172/AP172-1),"")</f>
        <v>0</v>
      </c>
      <c r="AR173" s="55">
        <f>IFERROR(IF(AQ172=0,"",AR172/AQ172-1),"")</f>
        <v>0</v>
      </c>
      <c r="AS173" s="55">
        <f>IFERROR(IF(AR172=0,"",AS172/AR172-1),"")</f>
        <v>0</v>
      </c>
      <c r="AT173" s="55">
        <f>IFERROR(IF(AS172=0,"",AT172/AS172-1),"")</f>
        <v>0</v>
      </c>
      <c r="AU173" s="55">
        <f>IFERROR(IF(AT172=0,"",AU172/AT172-1),"")</f>
        <v>0</v>
      </c>
      <c r="AV173" s="12">
        <f>IFERROR(IF(AU172=0,"",AV172/AU172-1),"")</f>
        <v>0</v>
      </c>
      <c r="AW173" s="55">
        <f>IFERROR(IF(AV172=0,"",AW172/AV172-1),"")</f>
        <v>0</v>
      </c>
      <c r="AX173" s="55">
        <f>IFERROR(IF(AW172=0,"",AX172/AW172-1),"")</f>
        <v>0</v>
      </c>
      <c r="AY173" s="55">
        <f>IFERROR(IF(AX172=0,"",AY172/AX172-1),"")</f>
        <v>0</v>
      </c>
      <c r="AZ173" s="55">
        <f>IFERROR(IF(AY172=0,"",AZ172/AY172-1),"")</f>
        <v>0</v>
      </c>
      <c r="BA173" s="12">
        <f>IFERROR(IF(AZ172=0,"",BA172/AZ172-1),"")</f>
        <v>0</v>
      </c>
      <c r="BB173" s="55">
        <f>IFERROR(IF(BA172=0,"",BB172/BA172-1),"")</f>
        <v>0</v>
      </c>
      <c r="BC173" s="55">
        <f>IFERROR(IF(BB172=0,"",BC172/BB172-1),"")</f>
        <v>0</v>
      </c>
      <c r="BD173" s="55">
        <f>IFERROR(IF(BC172=0,"",BD172/BC172-1),"")</f>
        <v>0</v>
      </c>
      <c r="BE173" s="55">
        <f>IFERROR(IF(BD172=0,"",BE172/BD172-1),"")</f>
        <v>0</v>
      </c>
      <c r="BF173" s="12">
        <f>IFERROR(IF(BE172=0,"",BF172/BE172-1),"")</f>
        <v>0</v>
      </c>
      <c r="BG173" s="55" t="n"/>
      <c r="BH173" s="55" t="n"/>
      <c r="BI173" s="55" t="n"/>
      <c r="BJ173" s="55" t="n"/>
      <c r="BK173" s="12" t="n"/>
      <c r="BL173" s="55" t="n"/>
      <c r="BM173" s="55" t="n"/>
      <c r="BN173" s="55" t="n"/>
      <c r="BO173" s="55" t="n"/>
      <c r="BP173" s="12" t="n"/>
      <c r="BQ173" s="55" t="n"/>
      <c r="BR173" s="55" t="n"/>
      <c r="BS173" s="55" t="n"/>
      <c r="BT173" s="55" t="n"/>
      <c r="BU173" s="12" t="n"/>
      <c r="BV173" s="55" t="n"/>
      <c r="BW173" s="55" t="n"/>
      <c r="BX173" s="55" t="n"/>
      <c r="BY173" s="55" t="n"/>
      <c r="BZ173" s="12" t="n"/>
      <c r="CA173" s="55" t="n"/>
      <c r="CB173" s="55" t="n"/>
      <c r="CC173" s="55" t="n"/>
      <c r="CD173" s="55" t="n"/>
      <c r="CE173" s="12" t="n"/>
      <c r="CF173" s="55" t="n"/>
      <c r="CG173" s="55" t="n"/>
      <c r="CH173" s="55" t="n"/>
      <c r="CI173" s="55" t="n"/>
      <c r="CJ173" s="12" t="n"/>
      <c r="CK173" s="55" t="n"/>
      <c r="CL173" s="55" t="n"/>
      <c r="CM173" s="55" t="n"/>
      <c r="CN173" s="55" t="n"/>
      <c r="CO173" s="12" t="n"/>
      <c r="CP173" s="55" t="n"/>
      <c r="CQ173" s="55" t="n"/>
      <c r="CR173" s="55" t="n"/>
      <c r="CS173" s="55" t="n"/>
      <c r="CT173" s="12" t="n"/>
      <c r="CU173" s="55" t="n"/>
      <c r="CV173" s="55" t="n"/>
      <c r="CW173" s="55" t="n"/>
      <c r="CX173" s="55" t="n"/>
      <c r="CY173" s="12" t="n"/>
    </row>
    <row r="174" hidden="1" outlineLevel="1">
      <c r="C174" s="57" t="n"/>
      <c r="D174" s="12" t="n"/>
      <c r="E174" s="12" t="n"/>
      <c r="F174" s="12" t="n"/>
      <c r="G174" s="12" t="n"/>
      <c r="H174" s="12" t="n"/>
      <c r="I174" s="12" t="n"/>
      <c r="J174" s="12" t="n"/>
      <c r="K174" s="12" t="n"/>
      <c r="L174" s="12" t="n"/>
      <c r="M174" s="12" t="n"/>
      <c r="N174" s="12" t="n"/>
      <c r="O174" s="12" t="n"/>
      <c r="P174" s="12" t="n"/>
      <c r="Q174" s="12" t="n"/>
      <c r="R174" s="12" t="n"/>
      <c r="S174" s="12" t="n"/>
      <c r="T174" s="12" t="n"/>
      <c r="U174" s="12" t="n"/>
      <c r="V174" s="12" t="n"/>
      <c r="W174" s="12" t="n"/>
      <c r="X174" s="12" t="n"/>
      <c r="Y174" s="12" t="n"/>
      <c r="Z174" s="12" t="n"/>
      <c r="AA174" s="12" t="n"/>
      <c r="AB174" s="12" t="n"/>
      <c r="AC174" s="12" t="n"/>
      <c r="AD174" s="12" t="n"/>
      <c r="AE174" s="12" t="n"/>
      <c r="AF174" s="12" t="n"/>
      <c r="AG174" s="12" t="n"/>
      <c r="AH174" s="12" t="n"/>
      <c r="AI174" s="12" t="n"/>
      <c r="AJ174" s="12" t="n"/>
      <c r="AK174" s="12" t="n"/>
      <c r="AL174" s="12" t="n"/>
      <c r="AM174" s="12" t="n"/>
      <c r="AN174" s="12" t="n"/>
      <c r="AO174" s="12" t="n"/>
      <c r="AP174" s="12" t="n"/>
      <c r="AQ174" s="12" t="n"/>
      <c r="AR174" s="12" t="n"/>
      <c r="AS174" s="12" t="n"/>
      <c r="AT174" s="12" t="n"/>
      <c r="AU174" s="12" t="n"/>
      <c r="AV174" s="12" t="n"/>
      <c r="AW174" s="12" t="n"/>
      <c r="AX174" s="12" t="n"/>
      <c r="AY174" s="12" t="n"/>
      <c r="AZ174" s="12" t="n"/>
      <c r="BA174" s="12" t="n"/>
      <c r="BB174" s="12" t="n"/>
      <c r="BC174" s="12" t="n"/>
      <c r="BD174" s="12" t="n"/>
      <c r="BE174" s="12" t="n"/>
      <c r="BF174" s="12" t="n"/>
      <c r="BG174" s="12" t="n"/>
      <c r="BH174" s="12" t="n"/>
      <c r="BI174" s="12" t="n"/>
      <c r="BJ174" s="12" t="n"/>
      <c r="BK174" s="12" t="n"/>
      <c r="BL174" s="12" t="n"/>
      <c r="BM174" s="12" t="n"/>
      <c r="BN174" s="12" t="n"/>
      <c r="BO174" s="12" t="n"/>
      <c r="BP174" s="12" t="n"/>
      <c r="BQ174" s="12" t="n"/>
      <c r="BR174" s="12" t="n"/>
      <c r="BS174" s="12" t="n"/>
      <c r="BT174" s="12" t="n"/>
      <c r="BU174" s="12" t="n"/>
      <c r="BV174" s="12" t="n"/>
      <c r="BW174" s="12" t="n"/>
      <c r="BX174" s="12" t="n"/>
      <c r="BY174" s="12" t="n"/>
      <c r="BZ174" s="12" t="n"/>
      <c r="CA174" s="12" t="n"/>
      <c r="CB174" s="12" t="n"/>
      <c r="CC174" s="12" t="n"/>
      <c r="CD174" s="12" t="n"/>
      <c r="CE174" s="12" t="n"/>
      <c r="CF174" s="12" t="n"/>
      <c r="CG174" s="12" t="n"/>
      <c r="CH174" s="12" t="n"/>
      <c r="CI174" s="12" t="n"/>
      <c r="CJ174" s="12" t="n"/>
      <c r="CK174" s="12" t="n"/>
      <c r="CL174" s="12" t="n"/>
      <c r="CM174" s="12" t="n"/>
      <c r="CN174" s="12" t="n"/>
      <c r="CO174" s="12" t="n"/>
      <c r="CP174" s="12" t="n"/>
      <c r="CQ174" s="12" t="n"/>
      <c r="CR174" s="12" t="n"/>
      <c r="CS174" s="12" t="n"/>
      <c r="CT174" s="12" t="n"/>
      <c r="CU174" s="12" t="n"/>
      <c r="CV174" s="12" t="n"/>
      <c r="CW174" s="12" t="n"/>
      <c r="CX174" s="12" t="n"/>
      <c r="CY174" s="12" t="n"/>
    </row>
    <row r="175" collapsed="1">
      <c r="C175" s="14" t="inlineStr">
        <is>
          <t>Goodwill</t>
        </is>
      </c>
      <c r="D175" s="46" t="n"/>
      <c r="E175" s="46" t="n"/>
      <c r="F175" s="46" t="n"/>
      <c r="G175" s="46" t="n"/>
      <c r="H175" s="12" t="n"/>
      <c r="I175" s="46">
        <f>'Inputs (2)'!D24</f>
        <v>22341</v>
      </c>
      <c r="J175" s="46">
        <f>'Inputs (2)'!E24</f>
        <v>22406</v>
      </c>
      <c r="K175" s="46">
        <f>'Inputs (2)'!F24</f>
        <v>22623</v>
      </c>
      <c r="L175" s="46">
        <f>'Inputs (2)'!G24</f>
        <v>22956</v>
      </c>
      <c r="M175" s="12">
        <f>'Inputs (2)'!H24</f>
        <v>22956</v>
      </c>
      <c r="N175" s="46">
        <f>'Inputs (2)'!I24</f>
        <v>23010</v>
      </c>
      <c r="O175" s="46">
        <f>'Inputs (2)'!J24</f>
        <v>23949</v>
      </c>
      <c r="P175" s="46">
        <f>'Inputs (2)'!K24</f>
        <v>28834</v>
      </c>
      <c r="Q175" s="46">
        <f>'Inputs (2)'!L24</f>
        <v>28960</v>
      </c>
      <c r="R175" s="12">
        <f>'Inputs (2)'!M24</f>
        <v>28960</v>
      </c>
      <c r="S175" s="46">
        <f>'Inputs (2)'!N24</f>
        <v>28994</v>
      </c>
      <c r="T175" s="46">
        <f>'Inputs (2)'!O24</f>
        <v>29210</v>
      </c>
      <c r="U175" s="46">
        <f>'Inputs (2)'!P24</f>
        <v>29146</v>
      </c>
      <c r="V175" s="46">
        <f>'Inputs (2)'!Q24</f>
        <v>29198</v>
      </c>
      <c r="W175" s="12">
        <f>'Inputs (2)'!R24</f>
        <v>29198</v>
      </c>
      <c r="X175" s="46">
        <f>'Inputs (2)'!S24</f>
        <v>29183</v>
      </c>
      <c r="Y175" s="46">
        <f>'Inputs (2)'!T24</f>
        <v>29185</v>
      </c>
      <c r="Z175" s="46">
        <f>'Inputs (2)'!U24</f>
        <v>31935</v>
      </c>
      <c r="AA175" s="46">
        <f>'Inputs (2)'!V24</f>
        <v>31885</v>
      </c>
      <c r="AB175" s="12">
        <f>'Inputs (2)'!W24</f>
        <v>31885</v>
      </c>
      <c r="AC175" s="46">
        <f>'Inputs (2)'!X24</f>
        <v>32173</v>
      </c>
      <c r="AD175" s="46">
        <f>'Inputs (2)'!Y24</f>
        <v>32335</v>
      </c>
      <c r="AE175" s="46">
        <f>'Inputs (2)'!Z24</f>
        <v>33269</v>
      </c>
      <c r="AF175" s="46">
        <f>'Inputs (2)'!AA24</f>
        <v>33380</v>
      </c>
      <c r="AG175" s="12">
        <f>'Inputs (2)'!AB24</f>
        <v>33380</v>
      </c>
      <c r="AH175" s="12">
        <f>'Inputs (2)'!AC24</f>
        <v>57774</v>
      </c>
      <c r="AI175" s="12">
        <f>'Inputs (2)'!AD24</f>
        <v>57828</v>
      </c>
      <c r="AJ175" s="12">
        <f>AI175</f>
        <v>57828</v>
      </c>
      <c r="AK175" s="12">
        <f>AJ175</f>
        <v>57828</v>
      </c>
      <c r="AL175" s="12">
        <f>AK175</f>
        <v>57828</v>
      </c>
      <c r="AM175" s="12">
        <f>AL175</f>
        <v>57828</v>
      </c>
      <c r="AN175" s="12">
        <f>AM175</f>
        <v>57828</v>
      </c>
      <c r="AO175" s="12">
        <f>AN175</f>
        <v>57828</v>
      </c>
      <c r="AP175" s="12">
        <f>AO175</f>
        <v>57828</v>
      </c>
      <c r="AQ175" s="12">
        <f>AP175</f>
        <v>57828</v>
      </c>
      <c r="AR175" s="12">
        <f>AQ175</f>
        <v>57828</v>
      </c>
      <c r="AS175" s="12">
        <f>AR175</f>
        <v>57828</v>
      </c>
      <c r="AT175" s="12">
        <f>AS175</f>
        <v>57828</v>
      </c>
      <c r="AU175" s="12">
        <f>AT175</f>
        <v>57828</v>
      </c>
      <c r="AV175" s="12">
        <f>AU175</f>
        <v>57828</v>
      </c>
      <c r="AW175" s="12">
        <f>AV175</f>
        <v>57828</v>
      </c>
      <c r="AX175" s="12">
        <f>AW175</f>
        <v>57828</v>
      </c>
      <c r="AY175" s="12">
        <f>AX175</f>
        <v>57828</v>
      </c>
      <c r="AZ175" s="12">
        <f>AY175</f>
        <v>57828</v>
      </c>
      <c r="BA175" s="12">
        <f>AZ175</f>
        <v>57828</v>
      </c>
      <c r="BB175" s="12">
        <f>BA175</f>
        <v>57828</v>
      </c>
      <c r="BC175" s="12">
        <f>BB175</f>
        <v>57828</v>
      </c>
      <c r="BD175" s="12">
        <f>BC175</f>
        <v>57828</v>
      </c>
      <c r="BE175" s="12">
        <f>BD175</f>
        <v>57828</v>
      </c>
      <c r="BF175" s="12">
        <f>BE175</f>
        <v>57828</v>
      </c>
      <c r="BG175" s="12" t="n"/>
      <c r="BH175" s="12" t="n"/>
      <c r="BI175" s="12" t="n"/>
      <c r="BJ175" s="12" t="n"/>
      <c r="BK175" s="12" t="n"/>
      <c r="BL175" s="12" t="n"/>
      <c r="BM175" s="12" t="n"/>
      <c r="BN175" s="12" t="n"/>
      <c r="BO175" s="12" t="n"/>
      <c r="BP175" s="12" t="n"/>
      <c r="BQ175" s="12" t="n"/>
      <c r="BR175" s="12" t="n"/>
      <c r="BS175" s="12" t="n"/>
      <c r="BT175" s="12" t="n"/>
      <c r="BU175" s="12" t="n"/>
      <c r="BV175" s="12" t="n"/>
      <c r="BW175" s="12" t="n"/>
      <c r="BX175" s="12" t="n"/>
      <c r="BY175" s="12" t="n"/>
      <c r="BZ175" s="12" t="n"/>
      <c r="CA175" s="12" t="n"/>
      <c r="CB175" s="12" t="n"/>
      <c r="CC175" s="12" t="n"/>
      <c r="CD175" s="12" t="n"/>
      <c r="CE175" s="12" t="n"/>
      <c r="CF175" s="12" t="n"/>
      <c r="CG175" s="12" t="n"/>
      <c r="CH175" s="12" t="n"/>
      <c r="CI175" s="12" t="n"/>
      <c r="CJ175" s="12" t="n"/>
      <c r="CK175" s="12" t="n"/>
      <c r="CL175" s="12" t="n"/>
      <c r="CM175" s="12" t="n"/>
      <c r="CN175" s="12" t="n"/>
      <c r="CO175" s="12" t="n"/>
      <c r="CP175" s="12" t="n"/>
      <c r="CQ175" s="12" t="n"/>
      <c r="CR175" s="12" t="n"/>
      <c r="CS175" s="12" t="n"/>
      <c r="CT175" s="12" t="n"/>
      <c r="CU175" s="12" t="n"/>
      <c r="CV175" s="12" t="n"/>
      <c r="CW175" s="12" t="n"/>
      <c r="CX175" s="12" t="n"/>
      <c r="CY175" s="12" t="n"/>
    </row>
    <row r="176">
      <c r="C176" s="14" t="inlineStr">
        <is>
          <t>Intangibles</t>
        </is>
      </c>
      <c r="D176" s="46" t="n"/>
      <c r="E176" s="46" t="n"/>
      <c r="F176" s="46" t="n"/>
      <c r="G176" s="46" t="n"/>
      <c r="H176" s="12" t="n"/>
      <c r="I176" s="46">
        <f>'Inputs (2)'!D25</f>
        <v>1823</v>
      </c>
      <c r="J176" s="46">
        <f>'Inputs (2)'!E25</f>
        <v>1626</v>
      </c>
      <c r="K176" s="46">
        <f>'Inputs (2)'!F25</f>
        <v>1549</v>
      </c>
      <c r="L176" s="46">
        <f>'Inputs (2)'!G25</f>
        <v>1417</v>
      </c>
      <c r="M176" s="12">
        <f>'Inputs (2)'!H25</f>
        <v>1417</v>
      </c>
      <c r="N176" s="46">
        <f>'Inputs (2)'!I25</f>
        <v>1313</v>
      </c>
      <c r="O176" s="46">
        <f>'Inputs (2)'!J25</f>
        <v>1377</v>
      </c>
      <c r="P176" s="46">
        <f>'Inputs (2)'!K25</f>
        <v>2192</v>
      </c>
      <c r="Q176" s="46">
        <f>'Inputs (2)'!L25</f>
        <v>2084</v>
      </c>
      <c r="R176" s="12">
        <f>'Inputs (2)'!M25</f>
        <v>2084</v>
      </c>
      <c r="S176" s="46">
        <f>'Inputs (2)'!N25</f>
        <v>1968</v>
      </c>
      <c r="T176" s="46">
        <f>'Inputs (2)'!O25</f>
        <v>1966</v>
      </c>
      <c r="U176" s="46">
        <f>'Inputs (2)'!P25</f>
        <v>1833</v>
      </c>
      <c r="V176" s="46">
        <f>'Inputs (2)'!Q25</f>
        <v>0</v>
      </c>
      <c r="W176" s="12">
        <f>'Inputs (2)'!R25</f>
        <v>0</v>
      </c>
      <c r="X176" s="46">
        <f>'Inputs (2)'!S25</f>
        <v>0</v>
      </c>
      <c r="Y176" s="46">
        <f>'Inputs (2)'!T25</f>
        <v>0</v>
      </c>
      <c r="Z176" s="46">
        <f>'Inputs (2)'!U25</f>
        <v>0</v>
      </c>
      <c r="AA176" s="46">
        <f>'Inputs (2)'!V25</f>
        <v>0</v>
      </c>
      <c r="AB176" s="12">
        <f>'Inputs (2)'!W25</f>
        <v>0</v>
      </c>
      <c r="AC176" s="46">
        <f>'Inputs (2)'!X25</f>
        <v>0</v>
      </c>
      <c r="AD176" s="46">
        <f>'Inputs (2)'!Y25</f>
        <v>0</v>
      </c>
      <c r="AE176" s="46">
        <f>'Inputs (2)'!Z25</f>
        <v>0</v>
      </c>
      <c r="AF176" s="46">
        <f>'Inputs (2)'!AA25</f>
        <v>0</v>
      </c>
      <c r="AG176" s="12">
        <f>'Inputs (2)'!AB25</f>
        <v>0</v>
      </c>
      <c r="AH176" s="12">
        <f>'Inputs (2)'!AC25</f>
        <v>9444</v>
      </c>
      <c r="AI176" s="12">
        <f>'Inputs (2)'!AD25</f>
        <v>9105</v>
      </c>
      <c r="AJ176" s="12">
        <f>AI176</f>
        <v>9105</v>
      </c>
      <c r="AK176" s="12">
        <f>AJ176</f>
        <v>9105</v>
      </c>
      <c r="AL176" s="12">
        <f>AK176</f>
        <v>9105</v>
      </c>
      <c r="AM176" s="16">
        <f>AL176</f>
        <v>9105</v>
      </c>
      <c r="AN176" s="12">
        <f>AM176</f>
        <v>9105</v>
      </c>
      <c r="AO176" s="12">
        <f>AN176</f>
        <v>9105</v>
      </c>
      <c r="AP176" s="12">
        <f>AO176</f>
        <v>9105</v>
      </c>
      <c r="AQ176" s="12">
        <f>AP176</f>
        <v>9105</v>
      </c>
      <c r="AR176" s="16">
        <f>AQ176</f>
        <v>9105</v>
      </c>
      <c r="AS176" s="12">
        <f>AR176</f>
        <v>9105</v>
      </c>
      <c r="AT176" s="12">
        <f>AS176</f>
        <v>9105</v>
      </c>
      <c r="AU176" s="12">
        <f>AT176</f>
        <v>9105</v>
      </c>
      <c r="AV176" s="12">
        <f>AU176</f>
        <v>9105</v>
      </c>
      <c r="AW176" s="16">
        <f>AV176</f>
        <v>9105</v>
      </c>
      <c r="AX176" s="12">
        <f>AW176</f>
        <v>9105</v>
      </c>
      <c r="AY176" s="12">
        <f>AX176</f>
        <v>9105</v>
      </c>
      <c r="AZ176" s="12">
        <f>AY176</f>
        <v>9105</v>
      </c>
      <c r="BA176" s="12">
        <f>AZ176</f>
        <v>9105</v>
      </c>
      <c r="BB176" s="16">
        <f>BA176</f>
        <v>9105</v>
      </c>
      <c r="BC176" s="12">
        <f>BB176</f>
        <v>9105</v>
      </c>
      <c r="BD176" s="12">
        <f>BC176</f>
        <v>9105</v>
      </c>
      <c r="BE176" s="12">
        <f>BD176</f>
        <v>9105</v>
      </c>
      <c r="BF176" s="12">
        <f>BE176</f>
        <v>9105</v>
      </c>
      <c r="BH176" s="12" t="n"/>
      <c r="BI176" s="12" t="n"/>
      <c r="BJ176" s="12" t="n"/>
      <c r="BK176" s="12" t="n"/>
      <c r="BM176" s="12" t="n"/>
      <c r="BN176" s="12" t="n"/>
      <c r="BO176" s="12" t="n"/>
      <c r="BP176" s="12" t="n"/>
      <c r="BR176" s="12" t="n"/>
      <c r="BS176" s="12" t="n"/>
      <c r="BT176" s="12" t="n"/>
      <c r="BU176" s="12" t="n"/>
      <c r="BW176" s="12" t="n"/>
      <c r="BX176" s="12" t="n"/>
      <c r="BY176" s="12" t="n"/>
      <c r="BZ176" s="12" t="n"/>
      <c r="CB176" s="12" t="n"/>
      <c r="CC176" s="12" t="n"/>
      <c r="CD176" s="12" t="n"/>
      <c r="CE176" s="12" t="n"/>
      <c r="CG176" s="12" t="n"/>
      <c r="CH176" s="12" t="n"/>
      <c r="CI176" s="12" t="n"/>
      <c r="CJ176" s="12" t="n"/>
      <c r="CL176" s="12" t="n"/>
      <c r="CM176" s="12" t="n"/>
      <c r="CN176" s="12" t="n"/>
      <c r="CO176" s="12" t="n"/>
      <c r="CQ176" s="12" t="n"/>
      <c r="CR176" s="12" t="n"/>
      <c r="CS176" s="12" t="n"/>
      <c r="CT176" s="12" t="n"/>
      <c r="CV176" s="12" t="n"/>
      <c r="CW176" s="12" t="n"/>
      <c r="CX176" s="12" t="n"/>
      <c r="CY176" s="12" t="n"/>
    </row>
    <row r="177" hidden="1" outlineLevel="1">
      <c r="C177" s="57" t="n"/>
      <c r="D177" s="12" t="n"/>
      <c r="E177" s="12" t="n"/>
      <c r="F177" s="12" t="n"/>
      <c r="G177" s="12" t="n"/>
      <c r="H177" s="12" t="n"/>
      <c r="I177" s="12" t="n"/>
      <c r="J177" s="12" t="n"/>
      <c r="K177" s="12" t="n"/>
      <c r="L177" s="12" t="n"/>
      <c r="M177" s="12" t="n"/>
      <c r="N177" s="12" t="n"/>
      <c r="O177" s="12" t="n"/>
      <c r="P177" s="12" t="n"/>
      <c r="Q177" s="12" t="n"/>
      <c r="R177" s="12" t="n"/>
      <c r="S177" s="12" t="n"/>
      <c r="T177" s="12" t="n"/>
      <c r="U177" s="12" t="n"/>
      <c r="V177" s="12" t="n"/>
      <c r="W177" s="12" t="n"/>
      <c r="X177" s="12" t="n"/>
      <c r="Y177" s="12" t="n"/>
      <c r="Z177" s="12" t="n"/>
      <c r="AA177" s="12" t="n"/>
      <c r="AB177" s="12" t="n"/>
      <c r="AC177" s="12" t="n"/>
      <c r="AD177" s="12" t="n"/>
      <c r="AE177" s="12" t="n"/>
      <c r="AF177" s="12" t="n"/>
      <c r="AG177" s="12" t="n"/>
      <c r="AH177" s="12" t="n"/>
      <c r="AI177" s="12" t="n"/>
      <c r="AJ177" s="12" t="n"/>
      <c r="AK177" s="12" t="n"/>
      <c r="AL177" s="12" t="n"/>
      <c r="AM177" s="12" t="n"/>
      <c r="AN177" s="12" t="n"/>
      <c r="AO177" s="12" t="n"/>
      <c r="AP177" s="12" t="n"/>
      <c r="AQ177" s="12" t="n"/>
      <c r="AR177" s="12" t="n"/>
      <c r="AS177" s="12" t="n"/>
      <c r="AT177" s="12" t="n"/>
      <c r="AU177" s="12" t="n"/>
      <c r="AV177" s="12" t="n"/>
      <c r="AW177" s="12" t="n"/>
      <c r="AX177" s="12" t="n"/>
      <c r="AY177" s="12" t="n"/>
      <c r="AZ177" s="12" t="n"/>
      <c r="BA177" s="12" t="n"/>
      <c r="BB177" s="12" t="n"/>
      <c r="BC177" s="12" t="n"/>
      <c r="BD177" s="12" t="n"/>
      <c r="BE177" s="12" t="n"/>
      <c r="BF177" s="12" t="n"/>
      <c r="BG177" s="12" t="n"/>
      <c r="BH177" s="12" t="n"/>
      <c r="BI177" s="12" t="n"/>
      <c r="BJ177" s="12" t="n"/>
      <c r="BK177" s="12" t="n"/>
      <c r="BL177" s="12" t="n"/>
      <c r="BM177" s="12" t="n"/>
      <c r="BN177" s="12" t="n"/>
      <c r="BO177" s="12" t="n"/>
      <c r="BP177" s="12" t="n"/>
      <c r="BQ177" s="12" t="n"/>
      <c r="BR177" s="12" t="n"/>
      <c r="BS177" s="12" t="n"/>
      <c r="BT177" s="12" t="n"/>
      <c r="BU177" s="12" t="n"/>
      <c r="BV177" s="12" t="n"/>
      <c r="BW177" s="12" t="n"/>
      <c r="BX177" s="12" t="n"/>
      <c r="BY177" s="12" t="n"/>
      <c r="BZ177" s="12" t="n"/>
      <c r="CA177" s="12" t="n"/>
      <c r="CB177" s="12" t="n"/>
      <c r="CC177" s="12" t="n"/>
      <c r="CD177" s="12" t="n"/>
      <c r="CE177" s="12" t="n"/>
      <c r="CF177" s="12" t="n"/>
      <c r="CG177" s="12" t="n"/>
      <c r="CH177" s="12" t="n"/>
      <c r="CI177" s="12" t="n"/>
      <c r="CJ177" s="12" t="n"/>
      <c r="CK177" s="12" t="n"/>
      <c r="CL177" s="12" t="n"/>
      <c r="CM177" s="12" t="n"/>
      <c r="CN177" s="12" t="n"/>
      <c r="CO177" s="12" t="n"/>
      <c r="CP177" s="12" t="n"/>
      <c r="CQ177" s="12" t="n"/>
      <c r="CR177" s="12" t="n"/>
      <c r="CS177" s="12" t="n"/>
      <c r="CT177" s="12" t="n"/>
      <c r="CU177" s="12" t="n"/>
      <c r="CV177" s="12" t="n"/>
      <c r="CW177" s="12" t="n"/>
      <c r="CX177" s="12" t="n"/>
      <c r="CY177" s="12" t="n"/>
    </row>
    <row r="178" hidden="1" outlineLevel="1">
      <c r="C178" s="57" t="inlineStr">
        <is>
          <t>Purchase of intangible assets</t>
        </is>
      </c>
      <c r="D178" s="12" t="n"/>
      <c r="E178" s="12" t="n"/>
      <c r="F178" s="12" t="n"/>
      <c r="G178" s="12" t="n"/>
      <c r="H178" s="12" t="n"/>
      <c r="I178" s="12" t="str">
        <f>IF(COUNT(H176)=0,"",I176-H176-I80)</f>
        <v/>
      </c>
      <c r="J178" s="12">
        <f>J176-I176-J80</f>
        <v>-197</v>
      </c>
      <c r="K178" s="12">
        <f>K176-J176-K80</f>
        <v>-77</v>
      </c>
      <c r="L178" s="12">
        <f>L176-K176-L80</f>
        <v>-132</v>
      </c>
      <c r="M178" s="12" t="n"/>
      <c r="N178" s="12">
        <f>N176-M176-N80</f>
        <v>-104</v>
      </c>
      <c r="O178" s="12">
        <f>O176-N176-O80</f>
        <v>64</v>
      </c>
      <c r="P178" s="12">
        <f>P176-O176-P80</f>
        <v>815</v>
      </c>
      <c r="Q178" s="12">
        <f>Q176-P176-Q80</f>
        <v>-108</v>
      </c>
      <c r="R178" s="12" t="n"/>
      <c r="S178" s="12">
        <f>S176-R176-S80</f>
        <v>-116</v>
      </c>
      <c r="T178" s="12">
        <f>T176-S176-T80</f>
        <v>-2</v>
      </c>
      <c r="U178" s="12">
        <f>U176-T176-U80</f>
        <v>-133</v>
      </c>
      <c r="V178" s="12">
        <f>V176-U176-V80</f>
        <v>-1833</v>
      </c>
      <c r="W178" s="12" t="n"/>
      <c r="X178" s="12">
        <f>X176-W176-X80</f>
        <v>0</v>
      </c>
      <c r="Y178" s="12">
        <f>Y176-X176-Y80</f>
        <v>0</v>
      </c>
      <c r="Z178" s="12">
        <f>Z176-Y176-Z80</f>
        <v>0</v>
      </c>
      <c r="AA178" s="12">
        <f>AA176-Z176-AA80</f>
        <v>0</v>
      </c>
      <c r="AB178" s="12" t="n"/>
      <c r="AC178" s="12">
        <f>AC176-AB176-AC80</f>
        <v>0</v>
      </c>
      <c r="AD178" s="12">
        <f>AD176-AC176-AD80</f>
        <v>0</v>
      </c>
      <c r="AE178" s="12">
        <f>AE176-AD176-AE80</f>
        <v>0</v>
      </c>
      <c r="AF178" s="12">
        <f>AF176-AE176-AF80</f>
        <v>0</v>
      </c>
      <c r="AG178" s="12" t="n"/>
      <c r="AH178" s="11">
        <f>AH176-AG176-AH80</f>
        <v>9444</v>
      </c>
      <c r="AI178" s="11">
        <f>AI176-AH176-AI80</f>
        <v>-339</v>
      </c>
      <c r="AJ178" s="11" t="n"/>
      <c r="AK178" s="11" t="n"/>
      <c r="AL178" s="12" t="n"/>
      <c r="AM178" s="11" t="n"/>
      <c r="AN178" s="11" t="n"/>
      <c r="AO178" s="11" t="n"/>
      <c r="AP178" s="11" t="n"/>
      <c r="AQ178" s="12" t="n"/>
      <c r="AR178" s="11" t="n"/>
      <c r="AS178" s="11" t="n"/>
      <c r="AT178" s="11" t="n"/>
      <c r="AU178" s="11" t="n"/>
      <c r="AV178" s="12" t="n"/>
      <c r="AW178" s="11" t="n"/>
      <c r="AX178" s="11" t="n"/>
      <c r="AY178" s="11" t="n"/>
      <c r="AZ178" s="11" t="n"/>
      <c r="BA178" s="12" t="n"/>
      <c r="BB178" s="11" t="n"/>
      <c r="BC178" s="11" t="n"/>
      <c r="BD178" s="11" t="n"/>
      <c r="BE178" s="11" t="n"/>
      <c r="BF178" s="12" t="n"/>
      <c r="BG178" s="11" t="n"/>
      <c r="BH178" s="11" t="n"/>
      <c r="BI178" s="11" t="n"/>
      <c r="BJ178" s="11" t="n"/>
      <c r="BK178" s="12" t="n"/>
      <c r="BL178" s="11" t="n"/>
      <c r="BM178" s="11" t="n"/>
      <c r="BN178" s="11" t="n"/>
      <c r="BO178" s="11" t="n"/>
      <c r="BP178" s="12" t="n"/>
      <c r="BQ178" s="11" t="n"/>
      <c r="BR178" s="11" t="n"/>
      <c r="BS178" s="11" t="n"/>
      <c r="BT178" s="11" t="n"/>
      <c r="BU178" s="12" t="n"/>
      <c r="BV178" s="11" t="n"/>
      <c r="BW178" s="11" t="n"/>
      <c r="BX178" s="11" t="n"/>
      <c r="BY178" s="11" t="n"/>
      <c r="BZ178" s="12" t="n"/>
      <c r="CA178" s="11" t="n"/>
      <c r="CB178" s="11" t="n"/>
      <c r="CC178" s="11" t="n"/>
      <c r="CD178" s="11" t="n"/>
      <c r="CE178" s="12" t="n"/>
      <c r="CF178" s="11" t="n"/>
      <c r="CG178" s="11" t="n"/>
      <c r="CH178" s="11" t="n"/>
      <c r="CI178" s="11" t="n"/>
      <c r="CJ178" s="12" t="n"/>
      <c r="CK178" s="11" t="n"/>
      <c r="CL178" s="11" t="n"/>
      <c r="CM178" s="11" t="n"/>
      <c r="CN178" s="11" t="n"/>
      <c r="CO178" s="12" t="n"/>
      <c r="CP178" s="11" t="n"/>
      <c r="CQ178" s="11" t="n"/>
      <c r="CR178" s="11" t="n"/>
      <c r="CS178" s="11" t="n"/>
      <c r="CT178" s="12" t="n"/>
      <c r="CU178" s="11" t="n"/>
      <c r="CV178" s="11" t="n"/>
      <c r="CW178" s="11" t="n"/>
      <c r="CX178" s="11" t="n"/>
      <c r="CY178" s="12" t="n"/>
    </row>
    <row r="179" hidden="1" outlineLevel="1">
      <c r="C179" s="57" t="inlineStr">
        <is>
          <t>Amortization (enter as -)</t>
        </is>
      </c>
      <c r="D179" s="12" t="n"/>
      <c r="E179" s="12" t="n"/>
      <c r="F179" s="12" t="n"/>
      <c r="G179" s="12" t="n"/>
      <c r="H179" s="12" t="n"/>
      <c r="I179" s="12">
        <f>I79</f>
        <v>0</v>
      </c>
      <c r="J179" s="12">
        <f>J79</f>
        <v>0</v>
      </c>
      <c r="K179" s="12">
        <f>K79</f>
        <v>0</v>
      </c>
      <c r="L179" s="12">
        <f>L79</f>
        <v>0</v>
      </c>
      <c r="M179" s="12" t="n"/>
      <c r="N179" s="12">
        <f>N79</f>
        <v>0</v>
      </c>
      <c r="O179" s="12">
        <f>O79</f>
        <v>0</v>
      </c>
      <c r="P179" s="12">
        <f>P79</f>
        <v>0</v>
      </c>
      <c r="Q179" s="12">
        <f>Q79</f>
        <v>0</v>
      </c>
      <c r="R179" s="12" t="n"/>
      <c r="S179" s="12">
        <f>S79</f>
        <v>0</v>
      </c>
      <c r="T179" s="12">
        <f>T79</f>
        <v>0</v>
      </c>
      <c r="U179" s="12">
        <f>U79</f>
        <v>0</v>
      </c>
      <c r="V179" s="12">
        <f>V79</f>
        <v>0</v>
      </c>
      <c r="W179" s="12" t="n"/>
      <c r="X179" s="12">
        <f>X79</f>
        <v>0</v>
      </c>
      <c r="Y179" s="12">
        <f>Y79</f>
        <v>0</v>
      </c>
      <c r="Z179" s="12">
        <f>Z79</f>
        <v>0</v>
      </c>
      <c r="AA179" s="12">
        <f>AA79</f>
        <v>0</v>
      </c>
      <c r="AB179" s="12" t="n"/>
      <c r="AC179" s="12">
        <f>AC79</f>
        <v>0</v>
      </c>
      <c r="AD179" s="12">
        <f>AD79</f>
        <v>0</v>
      </c>
      <c r="AE179" s="12">
        <f>AE79</f>
        <v>0</v>
      </c>
      <c r="AF179" s="12">
        <f>AF79</f>
        <v>0</v>
      </c>
      <c r="AG179" s="12" t="n"/>
      <c r="AH179" s="12">
        <f>AH79</f>
        <v>0</v>
      </c>
      <c r="AI179" s="11">
        <f>AI79</f>
        <v>0</v>
      </c>
      <c r="AJ179" s="11" t="n"/>
      <c r="AK179" s="11" t="n"/>
      <c r="AL179" s="12" t="n"/>
      <c r="AM179" s="11" t="n"/>
      <c r="AN179" s="11" t="n"/>
      <c r="AO179" s="11" t="n"/>
      <c r="AP179" s="11" t="n"/>
      <c r="AQ179" s="12" t="n"/>
      <c r="AR179" s="11" t="n"/>
      <c r="AS179" s="11" t="n"/>
      <c r="AT179" s="11" t="n"/>
      <c r="AU179" s="11" t="n"/>
      <c r="AV179" s="12" t="n"/>
      <c r="AW179" s="11" t="n"/>
      <c r="AX179" s="11" t="n"/>
      <c r="AY179" s="11" t="n"/>
      <c r="AZ179" s="11" t="n"/>
      <c r="BA179" s="12" t="n"/>
      <c r="BB179" s="11" t="n"/>
      <c r="BC179" s="11" t="n"/>
      <c r="BD179" s="11" t="n"/>
      <c r="BE179" s="11" t="n"/>
      <c r="BF179" s="12" t="n"/>
      <c r="BG179" s="11" t="n"/>
      <c r="BH179" s="11" t="n"/>
      <c r="BI179" s="11" t="n"/>
      <c r="BJ179" s="11" t="n"/>
      <c r="BK179" s="12" t="n"/>
      <c r="BL179" s="11" t="n"/>
      <c r="BM179" s="11" t="n"/>
      <c r="BN179" s="11" t="n"/>
      <c r="BO179" s="11" t="n"/>
      <c r="BP179" s="12" t="n"/>
      <c r="BQ179" s="11" t="n"/>
      <c r="BR179" s="11" t="n"/>
      <c r="BS179" s="11" t="n"/>
      <c r="BT179" s="11" t="n"/>
      <c r="BU179" s="12" t="n"/>
      <c r="BV179" s="11" t="n"/>
      <c r="BW179" s="11" t="n"/>
      <c r="BX179" s="11" t="n"/>
      <c r="BY179" s="11" t="n"/>
      <c r="BZ179" s="12" t="n"/>
      <c r="CA179" s="11" t="n"/>
      <c r="CB179" s="11" t="n"/>
      <c r="CC179" s="11" t="n"/>
      <c r="CD179" s="11" t="n"/>
      <c r="CE179" s="12" t="n"/>
      <c r="CF179" s="11" t="n"/>
      <c r="CG179" s="11" t="n"/>
      <c r="CH179" s="11" t="n"/>
      <c r="CI179" s="11" t="n"/>
      <c r="CJ179" s="12" t="n"/>
      <c r="CK179" s="11" t="n"/>
      <c r="CL179" s="11" t="n"/>
      <c r="CM179" s="11" t="n"/>
      <c r="CN179" s="11" t="n"/>
      <c r="CO179" s="12" t="n"/>
      <c r="CP179" s="11" t="n"/>
      <c r="CQ179" s="11" t="n"/>
      <c r="CR179" s="11" t="n"/>
      <c r="CS179" s="11" t="n"/>
      <c r="CT179" s="12" t="n"/>
      <c r="CU179" s="11" t="n"/>
      <c r="CV179" s="11" t="n"/>
      <c r="CW179" s="11" t="n"/>
      <c r="CX179" s="11" t="n"/>
      <c r="CY179" s="12" t="n"/>
    </row>
    <row r="180" hidden="1" outlineLevel="1">
      <c r="C180" s="57" t="inlineStr">
        <is>
          <t>Intangibles</t>
        </is>
      </c>
      <c r="D180" s="12" t="n"/>
      <c r="E180" s="12" t="n"/>
      <c r="F180" s="12" t="n"/>
      <c r="G180" s="12" t="n"/>
      <c r="H180" s="12" t="n"/>
      <c r="I180" s="12">
        <f>I176</f>
        <v>1823</v>
      </c>
      <c r="J180" s="12">
        <f>J176</f>
        <v>1626</v>
      </c>
      <c r="K180" s="12">
        <f>K176</f>
        <v>1549</v>
      </c>
      <c r="L180" s="12">
        <f>L176</f>
        <v>1417</v>
      </c>
      <c r="M180" s="12">
        <f>M176</f>
        <v>1417</v>
      </c>
      <c r="N180" s="12">
        <f>N176</f>
        <v>1313</v>
      </c>
      <c r="O180" s="12">
        <f>O176</f>
        <v>1377</v>
      </c>
      <c r="P180" s="12">
        <f>P176</f>
        <v>2192</v>
      </c>
      <c r="Q180" s="12">
        <f>Q176</f>
        <v>2084</v>
      </c>
      <c r="R180" s="12">
        <f>R176</f>
        <v>2084</v>
      </c>
      <c r="S180" s="12">
        <f>S176</f>
        <v>1968</v>
      </c>
      <c r="T180" s="12">
        <f>T176</f>
        <v>1966</v>
      </c>
      <c r="U180" s="12">
        <f>U176</f>
        <v>1833</v>
      </c>
      <c r="V180" s="12">
        <f>V176</f>
        <v>0</v>
      </c>
      <c r="W180" s="12">
        <f>W176</f>
        <v>0</v>
      </c>
      <c r="X180" s="12">
        <f>X176</f>
        <v>0</v>
      </c>
      <c r="Y180" s="12">
        <f>Y176</f>
        <v>0</v>
      </c>
      <c r="Z180" s="12">
        <f>Z176</f>
        <v>0</v>
      </c>
      <c r="AA180" s="12">
        <f>AA176</f>
        <v>0</v>
      </c>
      <c r="AB180" s="12">
        <f>AB176</f>
        <v>0</v>
      </c>
      <c r="AC180" s="12">
        <f>AC176</f>
        <v>0</v>
      </c>
      <c r="AD180" s="12">
        <f>AD176</f>
        <v>0</v>
      </c>
      <c r="AE180" s="12">
        <f>AE176</f>
        <v>0</v>
      </c>
      <c r="AF180" s="12">
        <f>AF176</f>
        <v>0</v>
      </c>
      <c r="AG180" s="12">
        <f>AG176</f>
        <v>0</v>
      </c>
      <c r="AH180" s="12">
        <f>AH176</f>
        <v>9444</v>
      </c>
      <c r="AI180" s="12">
        <f>AI176</f>
        <v>9105</v>
      </c>
      <c r="AJ180" s="12">
        <f>AJ176</f>
        <v>9105</v>
      </c>
      <c r="AK180" s="12">
        <f>AK176</f>
        <v>9105</v>
      </c>
      <c r="AL180" s="12" t="n"/>
      <c r="AM180" s="12">
        <f>AM176</f>
        <v>9105</v>
      </c>
      <c r="AN180" s="12">
        <f>AN176</f>
        <v>9105</v>
      </c>
      <c r="AO180" s="12">
        <f>AO176</f>
        <v>9105</v>
      </c>
      <c r="AP180" s="12">
        <f>AP176</f>
        <v>9105</v>
      </c>
      <c r="AQ180" s="12" t="n"/>
      <c r="AR180" s="12">
        <f>AR176</f>
        <v>9105</v>
      </c>
      <c r="AS180" s="12">
        <f>AS176</f>
        <v>9105</v>
      </c>
      <c r="AT180" s="12">
        <f>AT176</f>
        <v>9105</v>
      </c>
      <c r="AU180" s="12">
        <f>AU176</f>
        <v>9105</v>
      </c>
      <c r="AV180" s="12" t="n"/>
      <c r="AW180" s="12">
        <f>AW176</f>
        <v>9105</v>
      </c>
      <c r="AX180" s="12">
        <f>AX176</f>
        <v>9105</v>
      </c>
      <c r="AY180" s="12">
        <f>AY176</f>
        <v>9105</v>
      </c>
      <c r="AZ180" s="12">
        <f>AZ176</f>
        <v>9105</v>
      </c>
      <c r="BA180" s="12" t="n"/>
      <c r="BB180" s="12">
        <f>BB176</f>
        <v>9105</v>
      </c>
      <c r="BC180" s="12">
        <f>BC176</f>
        <v>9105</v>
      </c>
      <c r="BD180" s="12">
        <f>BD176</f>
        <v>9105</v>
      </c>
      <c r="BE180" s="12">
        <f>BE176</f>
        <v>9105</v>
      </c>
      <c r="BF180" s="12" t="n"/>
      <c r="BG180" s="12" t="n"/>
      <c r="BH180" s="12" t="n"/>
      <c r="BI180" s="12" t="n"/>
      <c r="BJ180" s="12" t="n"/>
      <c r="BK180" s="12" t="n"/>
      <c r="BL180" s="12" t="n"/>
      <c r="BM180" s="12" t="n"/>
      <c r="BN180" s="12" t="n"/>
      <c r="BO180" s="12" t="n"/>
      <c r="BP180" s="12" t="n"/>
      <c r="BQ180" s="12" t="n"/>
      <c r="BR180" s="12" t="n"/>
      <c r="BS180" s="12" t="n"/>
      <c r="BT180" s="12" t="n"/>
      <c r="BU180" s="12" t="n"/>
      <c r="BV180" s="12" t="n"/>
      <c r="BW180" s="12" t="n"/>
      <c r="BX180" s="12" t="n"/>
      <c r="BY180" s="12" t="n"/>
      <c r="BZ180" s="12" t="n"/>
      <c r="CA180" s="12" t="n"/>
      <c r="CB180" s="12" t="n"/>
      <c r="CC180" s="12" t="n"/>
      <c r="CD180" s="12" t="n"/>
      <c r="CE180" s="12" t="n"/>
      <c r="CF180" s="12" t="n"/>
      <c r="CG180" s="12" t="n"/>
      <c r="CH180" s="12" t="n"/>
      <c r="CI180" s="12" t="n"/>
      <c r="CJ180" s="12" t="n"/>
      <c r="CK180" s="12" t="n"/>
      <c r="CL180" s="12" t="n"/>
      <c r="CM180" s="12" t="n"/>
      <c r="CN180" s="12" t="n"/>
      <c r="CO180" s="12" t="n"/>
      <c r="CP180" s="12" t="n"/>
      <c r="CQ180" s="12" t="n"/>
      <c r="CR180" s="12" t="n"/>
      <c r="CS180" s="12" t="n"/>
      <c r="CT180" s="12" t="n"/>
      <c r="CU180" s="12" t="n"/>
      <c r="CV180" s="12" t="n"/>
      <c r="CW180" s="12" t="n"/>
      <c r="CX180" s="12" t="n"/>
      <c r="CY180" s="12" t="n"/>
    </row>
    <row r="181" hidden="1" outlineLevel="1">
      <c r="C181" s="57" t="n"/>
      <c r="D181" s="12" t="n"/>
      <c r="E181" s="12" t="n"/>
      <c r="F181" s="12" t="n"/>
      <c r="G181" s="12" t="n"/>
      <c r="H181" s="12" t="n"/>
      <c r="I181" s="12" t="n"/>
      <c r="J181" s="12" t="n"/>
      <c r="K181" s="12" t="n"/>
      <c r="L181" s="12" t="n"/>
      <c r="M181" s="12" t="n"/>
      <c r="N181" s="12" t="n"/>
      <c r="O181" s="12" t="n"/>
      <c r="P181" s="12" t="n"/>
      <c r="Q181" s="12" t="n"/>
      <c r="R181" s="12" t="n"/>
      <c r="S181" s="12" t="n"/>
      <c r="T181" s="12" t="n"/>
      <c r="U181" s="12" t="n"/>
      <c r="V181" s="12" t="n"/>
      <c r="W181" s="12" t="n"/>
      <c r="X181" s="12" t="n"/>
      <c r="Y181" s="12" t="n"/>
      <c r="Z181" s="12" t="n"/>
      <c r="AA181" s="12" t="n"/>
      <c r="AB181" s="12" t="n"/>
      <c r="AC181" s="12" t="n"/>
      <c r="AD181" s="12" t="n"/>
      <c r="AE181" s="12" t="n"/>
      <c r="AF181" s="12" t="n"/>
      <c r="AG181" s="12" t="n"/>
      <c r="AH181" s="12" t="n"/>
      <c r="AI181" s="12" t="n"/>
      <c r="AJ181" s="12" t="n"/>
      <c r="AK181" s="12" t="n"/>
      <c r="AL181" s="12" t="n"/>
      <c r="AM181" s="12" t="n"/>
      <c r="AN181" s="12" t="n"/>
      <c r="AO181" s="12" t="n"/>
      <c r="AP181" s="12" t="n"/>
      <c r="AQ181" s="12" t="n"/>
      <c r="AR181" s="12" t="n"/>
      <c r="AS181" s="12" t="n"/>
      <c r="AT181" s="12" t="n"/>
      <c r="AU181" s="12" t="n"/>
      <c r="AV181" s="12" t="n"/>
      <c r="AW181" s="12" t="n"/>
      <c r="AX181" s="12" t="n"/>
      <c r="AY181" s="12" t="n"/>
      <c r="AZ181" s="12" t="n"/>
      <c r="BA181" s="12" t="n"/>
      <c r="BB181" s="12" t="n"/>
      <c r="BC181" s="12" t="n"/>
      <c r="BD181" s="12" t="n"/>
      <c r="BE181" s="12" t="n"/>
      <c r="BF181" s="12" t="n"/>
      <c r="BG181" s="12" t="n"/>
      <c r="BH181" s="12" t="n"/>
      <c r="BI181" s="12" t="n"/>
      <c r="BJ181" s="12" t="n"/>
      <c r="BK181" s="12" t="n"/>
      <c r="BL181" s="12" t="n"/>
      <c r="BM181" s="12" t="n"/>
      <c r="BN181" s="12" t="n"/>
      <c r="BO181" s="12" t="n"/>
      <c r="BP181" s="12" t="n"/>
      <c r="BQ181" s="12" t="n"/>
      <c r="BR181" s="12" t="n"/>
      <c r="BS181" s="12" t="n"/>
      <c r="BT181" s="12" t="n"/>
      <c r="BU181" s="12" t="n"/>
      <c r="BV181" s="12" t="n"/>
      <c r="BW181" s="12" t="n"/>
      <c r="BX181" s="12" t="n"/>
      <c r="BY181" s="12" t="n"/>
      <c r="BZ181" s="12" t="n"/>
      <c r="CA181" s="12" t="n"/>
      <c r="CB181" s="12" t="n"/>
      <c r="CC181" s="12" t="n"/>
      <c r="CD181" s="12" t="n"/>
      <c r="CE181" s="12" t="n"/>
      <c r="CF181" s="12" t="n"/>
      <c r="CG181" s="12" t="n"/>
      <c r="CH181" s="12" t="n"/>
      <c r="CI181" s="12" t="n"/>
      <c r="CJ181" s="12" t="n"/>
      <c r="CK181" s="12" t="n"/>
      <c r="CL181" s="12" t="n"/>
      <c r="CM181" s="12" t="n"/>
      <c r="CN181" s="12" t="n"/>
      <c r="CO181" s="12" t="n"/>
      <c r="CP181" s="12" t="n"/>
      <c r="CQ181" s="12" t="n"/>
      <c r="CR181" s="12" t="n"/>
      <c r="CS181" s="12" t="n"/>
      <c r="CT181" s="12" t="n"/>
      <c r="CU181" s="12" t="n"/>
      <c r="CV181" s="12" t="n"/>
      <c r="CW181" s="12" t="n"/>
      <c r="CX181" s="12" t="n"/>
      <c r="CY181" s="12" t="n"/>
    </row>
    <row r="182" hidden="1" outlineLevel="1">
      <c r="C182" s="57" t="inlineStr">
        <is>
          <t>Definir % do D&amp;A No PPE and Intagibles</t>
        </is>
      </c>
      <c r="D182" s="12" t="n"/>
      <c r="E182" s="12" t="n"/>
      <c r="F182" s="12" t="n"/>
      <c r="G182" s="12" t="n"/>
      <c r="H182" s="12" t="n"/>
      <c r="I182" s="12" t="n"/>
      <c r="J182" s="12" t="n"/>
      <c r="K182" s="12" t="n"/>
      <c r="L182" s="12" t="n"/>
      <c r="M182" s="12" t="n"/>
      <c r="N182" s="12" t="n"/>
      <c r="O182" s="12" t="n"/>
      <c r="P182" s="12" t="n"/>
      <c r="Q182" s="12" t="n"/>
      <c r="R182" s="12" t="n"/>
      <c r="S182" s="12" t="n"/>
      <c r="T182" s="12" t="n"/>
      <c r="U182" s="12" t="n"/>
      <c r="V182" s="12" t="n"/>
      <c r="W182" s="12" t="n"/>
      <c r="X182" s="12" t="n"/>
      <c r="Y182" s="12" t="n"/>
      <c r="Z182" s="12" t="n"/>
      <c r="AA182" s="12" t="n"/>
      <c r="AB182" s="12" t="n"/>
      <c r="AC182" s="12" t="n"/>
      <c r="AD182" s="12" t="n"/>
      <c r="AE182" s="12" t="n"/>
      <c r="AF182" s="12" t="n"/>
      <c r="AG182" s="12" t="n"/>
      <c r="AH182" s="12" t="n"/>
      <c r="AI182" s="12" t="n"/>
      <c r="AJ182" s="12" t="n"/>
      <c r="AK182" s="12" t="n"/>
      <c r="AL182" s="12" t="n"/>
      <c r="AM182" s="12" t="n"/>
      <c r="AN182" s="12" t="n"/>
      <c r="AO182" s="12" t="n"/>
      <c r="AP182" s="12" t="n"/>
      <c r="AQ182" s="12" t="n"/>
      <c r="AR182" s="12" t="n"/>
      <c r="AS182" s="12" t="n"/>
      <c r="AT182" s="12" t="n"/>
      <c r="AU182" s="12" t="n"/>
      <c r="AV182" s="12" t="n"/>
      <c r="AW182" s="12" t="n"/>
      <c r="AX182" s="12" t="n"/>
      <c r="AY182" s="12" t="n"/>
      <c r="AZ182" s="12" t="n"/>
      <c r="BA182" s="12" t="n"/>
      <c r="BB182" s="12" t="n"/>
      <c r="BC182" s="12" t="n"/>
      <c r="BD182" s="12" t="n"/>
      <c r="BE182" s="12" t="n"/>
      <c r="BF182" s="12" t="n"/>
      <c r="BG182" s="12" t="n"/>
      <c r="BH182" s="12" t="n"/>
      <c r="BI182" s="12" t="n"/>
      <c r="BJ182" s="12" t="n"/>
      <c r="BK182" s="12" t="n"/>
      <c r="BL182" s="12" t="n"/>
      <c r="BM182" s="12" t="n"/>
      <c r="BN182" s="12" t="n"/>
      <c r="BO182" s="12" t="n"/>
      <c r="BP182" s="12" t="n"/>
      <c r="BQ182" s="12" t="n"/>
      <c r="BR182" s="12" t="n"/>
      <c r="BS182" s="12" t="n"/>
      <c r="BT182" s="12" t="n"/>
      <c r="BU182" s="12" t="n"/>
      <c r="BV182" s="12" t="n"/>
      <c r="BW182" s="12" t="n"/>
      <c r="BX182" s="12" t="n"/>
      <c r="BY182" s="12" t="n"/>
      <c r="BZ182" s="12" t="n"/>
      <c r="CA182" s="12" t="n"/>
      <c r="CB182" s="12" t="n"/>
      <c r="CC182" s="12" t="n"/>
      <c r="CD182" s="12" t="n"/>
      <c r="CE182" s="12" t="n"/>
      <c r="CF182" s="12" t="n"/>
      <c r="CG182" s="12" t="n"/>
      <c r="CH182" s="12" t="n"/>
      <c r="CI182" s="12" t="n"/>
      <c r="CJ182" s="12" t="n"/>
      <c r="CK182" s="12" t="n"/>
      <c r="CL182" s="12" t="n"/>
      <c r="CM182" s="12" t="n"/>
      <c r="CN182" s="12" t="n"/>
      <c r="CO182" s="12" t="n"/>
      <c r="CP182" s="12" t="n"/>
      <c r="CQ182" s="12" t="n"/>
      <c r="CR182" s="12" t="n"/>
      <c r="CS182" s="12" t="n"/>
      <c r="CT182" s="12" t="n"/>
      <c r="CU182" s="12" t="n"/>
      <c r="CV182" s="12" t="n"/>
      <c r="CW182" s="12" t="n"/>
      <c r="CX182" s="12" t="n"/>
      <c r="CY182" s="12" t="n"/>
    </row>
    <row r="183" hidden="1" outlineLevel="1">
      <c r="C183" s="57" t="n"/>
      <c r="D183" s="12" t="n"/>
      <c r="E183" s="12" t="n"/>
      <c r="F183" s="12" t="n"/>
      <c r="G183" s="12" t="n"/>
      <c r="H183" s="12" t="n"/>
      <c r="I183" s="12" t="n"/>
      <c r="J183" s="12" t="n"/>
      <c r="K183" s="12" t="n"/>
      <c r="L183" s="12" t="n"/>
      <c r="M183" s="12" t="n"/>
      <c r="N183" s="12" t="n"/>
      <c r="O183" s="12" t="n"/>
      <c r="P183" s="12" t="n"/>
      <c r="Q183" s="12" t="n"/>
      <c r="R183" s="12" t="n"/>
      <c r="S183" s="12" t="n"/>
      <c r="T183" s="12" t="n"/>
      <c r="U183" s="12" t="n"/>
      <c r="V183" s="12" t="n"/>
      <c r="W183" s="12" t="n"/>
      <c r="X183" s="12" t="n"/>
      <c r="Y183" s="12" t="n"/>
      <c r="Z183" s="12" t="n"/>
      <c r="AA183" s="12" t="n"/>
      <c r="AB183" s="12" t="n"/>
      <c r="AC183" s="12" t="n"/>
      <c r="AD183" s="12" t="n"/>
      <c r="AE183" s="12" t="n"/>
      <c r="AF183" s="12" t="n"/>
      <c r="AG183" s="12" t="n"/>
      <c r="AH183" s="12" t="n"/>
      <c r="AI183" s="12" t="n"/>
      <c r="AJ183" s="12" t="n"/>
      <c r="AK183" s="12" t="n"/>
      <c r="AL183" s="12" t="n"/>
      <c r="AM183" s="12" t="n"/>
      <c r="AN183" s="12" t="n"/>
      <c r="AO183" s="12" t="n"/>
      <c r="AP183" s="12" t="n"/>
      <c r="AQ183" s="12" t="n"/>
      <c r="AR183" s="12" t="n"/>
      <c r="AS183" s="12" t="n"/>
      <c r="AT183" s="12" t="n"/>
      <c r="AU183" s="12" t="n"/>
      <c r="AV183" s="12" t="n"/>
      <c r="AW183" s="12" t="n"/>
      <c r="AX183" s="12" t="n"/>
      <c r="AY183" s="12" t="n"/>
      <c r="AZ183" s="12" t="n"/>
      <c r="BA183" s="12" t="n"/>
      <c r="BB183" s="12" t="n"/>
      <c r="BC183" s="12" t="n"/>
      <c r="BD183" s="12" t="n"/>
      <c r="BE183" s="12" t="n"/>
      <c r="BF183" s="12" t="n"/>
      <c r="BG183" s="12" t="n"/>
      <c r="BH183" s="12" t="n"/>
      <c r="BI183" s="12" t="n"/>
      <c r="BJ183" s="12" t="n"/>
      <c r="BK183" s="12" t="n"/>
      <c r="BL183" s="12" t="n"/>
      <c r="BM183" s="12" t="n"/>
      <c r="BN183" s="12" t="n"/>
      <c r="BO183" s="12" t="n"/>
      <c r="BP183" s="12" t="n"/>
      <c r="BQ183" s="12" t="n"/>
      <c r="BR183" s="12" t="n"/>
      <c r="BS183" s="12" t="n"/>
      <c r="BT183" s="12" t="n"/>
      <c r="BU183" s="12" t="n"/>
      <c r="BV183" s="12" t="n"/>
      <c r="BW183" s="12" t="n"/>
      <c r="BX183" s="12" t="n"/>
      <c r="BY183" s="12" t="n"/>
      <c r="BZ183" s="12" t="n"/>
      <c r="CA183" s="12" t="n"/>
      <c r="CB183" s="12" t="n"/>
      <c r="CC183" s="12" t="n"/>
      <c r="CD183" s="12" t="n"/>
      <c r="CE183" s="12" t="n"/>
      <c r="CF183" s="12" t="n"/>
      <c r="CG183" s="12" t="n"/>
      <c r="CH183" s="12" t="n"/>
      <c r="CI183" s="12" t="n"/>
      <c r="CJ183" s="12" t="n"/>
      <c r="CK183" s="12" t="n"/>
      <c r="CL183" s="12" t="n"/>
      <c r="CM183" s="12" t="n"/>
      <c r="CN183" s="12" t="n"/>
      <c r="CO183" s="12" t="n"/>
      <c r="CP183" s="12" t="n"/>
      <c r="CQ183" s="12" t="n"/>
      <c r="CR183" s="12" t="n"/>
      <c r="CS183" s="12" t="n"/>
      <c r="CT183" s="12" t="n"/>
      <c r="CU183" s="12" t="n"/>
      <c r="CV183" s="12" t="n"/>
      <c r="CW183" s="12" t="n"/>
      <c r="CX183" s="12" t="n"/>
      <c r="CY183" s="12" t="n"/>
    </row>
    <row r="184" hidden="1" outlineLevel="1">
      <c r="C184" s="57" t="n"/>
      <c r="D184" s="12" t="n"/>
      <c r="E184" s="12" t="n"/>
      <c r="F184" s="12" t="n"/>
      <c r="G184" s="12" t="n"/>
      <c r="H184" s="12" t="n"/>
      <c r="I184" s="12" t="n"/>
      <c r="J184" s="12" t="n"/>
      <c r="K184" s="12" t="n"/>
      <c r="L184" s="12" t="n"/>
      <c r="M184" s="12" t="n"/>
      <c r="N184" s="12" t="n"/>
      <c r="O184" s="12" t="n"/>
      <c r="P184" s="12" t="n"/>
      <c r="Q184" s="12" t="n"/>
      <c r="R184" s="12" t="n"/>
      <c r="S184" s="12" t="n"/>
      <c r="T184" s="12" t="n"/>
      <c r="U184" s="12" t="n"/>
      <c r="V184" s="12" t="n"/>
      <c r="W184" s="12" t="n"/>
      <c r="X184" s="12" t="n"/>
      <c r="Y184" s="12" t="n"/>
      <c r="Z184" s="12" t="n"/>
      <c r="AA184" s="12" t="n"/>
      <c r="AB184" s="12" t="n"/>
      <c r="AC184" s="12" t="n"/>
      <c r="AD184" s="12" t="n"/>
      <c r="AE184" s="12" t="n"/>
      <c r="AF184" s="12" t="n"/>
      <c r="AG184" s="12" t="n"/>
      <c r="AH184" s="12" t="n"/>
      <c r="AI184" s="12" t="n"/>
      <c r="AJ184" s="12" t="n"/>
      <c r="AK184" s="12" t="n"/>
      <c r="AL184" s="12" t="n"/>
      <c r="AM184" s="12" t="n"/>
      <c r="AN184" s="12" t="n"/>
      <c r="AO184" s="12" t="n"/>
      <c r="AP184" s="12" t="n"/>
      <c r="AQ184" s="12" t="n"/>
      <c r="AR184" s="12" t="n"/>
      <c r="AS184" s="12" t="n"/>
      <c r="AT184" s="12" t="n"/>
      <c r="AU184" s="12" t="n"/>
      <c r="AV184" s="12" t="n"/>
      <c r="AW184" s="12" t="n"/>
      <c r="AX184" s="12" t="n"/>
      <c r="AY184" s="12" t="n"/>
      <c r="AZ184" s="12" t="n"/>
      <c r="BA184" s="12" t="n"/>
      <c r="BB184" s="12" t="n"/>
      <c r="BC184" s="12" t="n"/>
      <c r="BD184" s="12" t="n"/>
      <c r="BE184" s="12" t="n"/>
      <c r="BF184" s="12" t="n"/>
      <c r="BG184" s="12" t="n"/>
      <c r="BH184" s="12" t="n"/>
      <c r="BI184" s="12" t="n"/>
      <c r="BJ184" s="12" t="n"/>
      <c r="BK184" s="12" t="n"/>
      <c r="BL184" s="12" t="n"/>
      <c r="BM184" s="12" t="n"/>
      <c r="BN184" s="12" t="n"/>
      <c r="BO184" s="12" t="n"/>
      <c r="BP184" s="12" t="n"/>
      <c r="BQ184" s="12" t="n"/>
      <c r="BR184" s="12" t="n"/>
      <c r="BS184" s="12" t="n"/>
      <c r="BT184" s="12" t="n"/>
      <c r="BU184" s="12" t="n"/>
      <c r="BV184" s="12" t="n"/>
      <c r="BW184" s="12" t="n"/>
      <c r="BX184" s="12" t="n"/>
      <c r="BY184" s="12" t="n"/>
      <c r="BZ184" s="12" t="n"/>
      <c r="CA184" s="12" t="n"/>
      <c r="CB184" s="12" t="n"/>
      <c r="CC184" s="12" t="n"/>
      <c r="CD184" s="12" t="n"/>
      <c r="CE184" s="12" t="n"/>
      <c r="CF184" s="12" t="n"/>
      <c r="CG184" s="12" t="n"/>
      <c r="CH184" s="12" t="n"/>
      <c r="CI184" s="12" t="n"/>
      <c r="CJ184" s="12" t="n"/>
      <c r="CK184" s="12" t="n"/>
      <c r="CL184" s="12" t="n"/>
      <c r="CM184" s="12" t="n"/>
      <c r="CN184" s="12" t="n"/>
      <c r="CO184" s="12" t="n"/>
      <c r="CP184" s="12" t="n"/>
      <c r="CQ184" s="12" t="n"/>
      <c r="CR184" s="12" t="n"/>
      <c r="CS184" s="12" t="n"/>
      <c r="CT184" s="12" t="n"/>
      <c r="CU184" s="12" t="n"/>
      <c r="CV184" s="12" t="n"/>
      <c r="CW184" s="12" t="n"/>
      <c r="CX184" s="12" t="n"/>
      <c r="CY184" s="12" t="n"/>
    </row>
    <row r="185" collapsed="1">
      <c r="C185" s="14" t="inlineStr">
        <is>
          <t>Other non-current assets</t>
        </is>
      </c>
      <c r="D185" s="46" t="n"/>
      <c r="E185" s="46" t="n"/>
      <c r="F185" s="46" t="n"/>
      <c r="G185" s="46" t="n"/>
      <c r="H185" s="12" t="n"/>
      <c r="I185" s="46">
        <f>'Inputs (2)'!D26</f>
        <v>29461</v>
      </c>
      <c r="J185" s="46">
        <f>'Inputs (2)'!E26</f>
        <v>29830</v>
      </c>
      <c r="K185" s="46">
        <f>'Inputs (2)'!F26</f>
        <v>30377</v>
      </c>
      <c r="L185" s="46">
        <f>'Inputs (2)'!G26</f>
        <v>34910</v>
      </c>
      <c r="M185" s="12">
        <f>'Inputs (2)'!H26</f>
        <v>34910</v>
      </c>
      <c r="N185" s="46">
        <f>'Inputs (2)'!I26</f>
        <v>36322</v>
      </c>
      <c r="O185" s="46">
        <f>'Inputs (2)'!J26</f>
        <v>36377</v>
      </c>
      <c r="P185" s="46">
        <f>'Inputs (2)'!K26</f>
        <v>36089</v>
      </c>
      <c r="Q185" s="46">
        <f>'Inputs (2)'!L26</f>
        <v>37115</v>
      </c>
      <c r="R185" s="12">
        <f>'Inputs (2)'!M26</f>
        <v>37115</v>
      </c>
      <c r="S185" s="46">
        <f>'Inputs (2)'!N26</f>
        <v>37652</v>
      </c>
      <c r="T185" s="46">
        <f>'Inputs (2)'!O26</f>
        <v>38046</v>
      </c>
      <c r="U185" s="46">
        <f>'Inputs (2)'!P26</f>
        <v>38535</v>
      </c>
      <c r="V185" s="46">
        <f>'Inputs (2)'!Q26</f>
        <v>41059</v>
      </c>
      <c r="W185" s="12">
        <f>'Inputs (2)'!R26</f>
        <v>41059</v>
      </c>
      <c r="X185" s="46">
        <f>'Inputs (2)'!S26</f>
        <v>44059</v>
      </c>
      <c r="Y185" s="46">
        <f>'Inputs (2)'!T26</f>
        <v>43871</v>
      </c>
      <c r="Z185" s="46">
        <f>'Inputs (2)'!U26</f>
        <v>50044</v>
      </c>
      <c r="AA185" s="46">
        <f>'Inputs (2)'!V26</f>
        <v>52856</v>
      </c>
      <c r="AB185" s="12">
        <f>'Inputs (2)'!W26</f>
        <v>52856</v>
      </c>
      <c r="AC185" s="46">
        <f>'Inputs (2)'!X26</f>
        <v>63979</v>
      </c>
      <c r="AD185" s="46">
        <f>'Inputs (2)'!Y26</f>
        <v>66727</v>
      </c>
      <c r="AE185" s="46">
        <f>'Inputs (2)'!Z26</f>
        <v>80611</v>
      </c>
      <c r="AF185" s="46">
        <f>'Inputs (2)'!AA26</f>
        <v>84932</v>
      </c>
      <c r="AG185" s="12">
        <f>'Inputs (2)'!AB26</f>
        <v>84932</v>
      </c>
      <c r="AH185" s="12">
        <f>'Inputs (2)'!AC26</f>
        <v>124424</v>
      </c>
      <c r="AI185" s="12">
        <f>'Inputs (2)'!AD26</f>
        <v>171172</v>
      </c>
      <c r="AJ185" s="12">
        <f>AI185</f>
        <v>171172</v>
      </c>
      <c r="AK185" s="12">
        <f>AJ185</f>
        <v>171172</v>
      </c>
      <c r="AL185" s="12">
        <f>AK185</f>
        <v>171172</v>
      </c>
      <c r="AM185" s="12">
        <f>AL185</f>
        <v>171172</v>
      </c>
      <c r="AN185" s="12">
        <f>AM185</f>
        <v>171172</v>
      </c>
      <c r="AO185" s="12">
        <f>AN185</f>
        <v>171172</v>
      </c>
      <c r="AP185" s="12">
        <f>AO185</f>
        <v>171172</v>
      </c>
      <c r="AQ185" s="12">
        <f>AP185</f>
        <v>171172</v>
      </c>
      <c r="AR185" s="12">
        <f>AQ185</f>
        <v>171172</v>
      </c>
      <c r="AS185" s="12">
        <f>AR185</f>
        <v>171172</v>
      </c>
      <c r="AT185" s="12">
        <f>AS185</f>
        <v>171172</v>
      </c>
      <c r="AU185" s="12">
        <f>AT185</f>
        <v>171172</v>
      </c>
      <c r="AV185" s="12">
        <f>AU185</f>
        <v>171172</v>
      </c>
      <c r="AW185" s="12">
        <f>AV185</f>
        <v>171172</v>
      </c>
      <c r="AX185" s="12">
        <f>AW185</f>
        <v>171172</v>
      </c>
      <c r="AY185" s="12">
        <f>AX185</f>
        <v>171172</v>
      </c>
      <c r="AZ185" s="12">
        <f>AY185</f>
        <v>171172</v>
      </c>
      <c r="BA185" s="12">
        <f>AZ185</f>
        <v>171172</v>
      </c>
      <c r="BB185" s="12">
        <f>BA185</f>
        <v>171172</v>
      </c>
      <c r="BC185" s="12">
        <f>BB185</f>
        <v>171172</v>
      </c>
      <c r="BD185" s="12">
        <f>BC185</f>
        <v>171172</v>
      </c>
      <c r="BE185" s="12">
        <f>BD185</f>
        <v>171172</v>
      </c>
      <c r="BF185" s="12">
        <f>BE185</f>
        <v>171172</v>
      </c>
      <c r="BG185" s="12" t="n"/>
      <c r="BH185" s="12" t="n"/>
      <c r="BI185" s="12" t="n"/>
      <c r="BJ185" s="12" t="n"/>
      <c r="BK185" s="12" t="n"/>
      <c r="BL185" s="12" t="n"/>
      <c r="BM185" s="12" t="n"/>
      <c r="BN185" s="12" t="n"/>
      <c r="BO185" s="12" t="n"/>
      <c r="BP185" s="12" t="n"/>
      <c r="BQ185" s="12" t="n"/>
      <c r="BR185" s="12" t="n"/>
      <c r="BS185" s="12" t="n"/>
      <c r="BT185" s="12" t="n"/>
      <c r="BU185" s="12" t="n"/>
      <c r="BV185" s="12" t="n"/>
      <c r="BW185" s="12" t="n"/>
      <c r="BX185" s="12" t="n"/>
      <c r="BY185" s="12" t="n"/>
      <c r="BZ185" s="12" t="n"/>
      <c r="CA185" s="12" t="n"/>
      <c r="CB185" s="12" t="n"/>
      <c r="CC185" s="12" t="n"/>
      <c r="CD185" s="12" t="n"/>
      <c r="CE185" s="12" t="n"/>
      <c r="CF185" s="12" t="n"/>
      <c r="CG185" s="12" t="n"/>
      <c r="CH185" s="12" t="n"/>
      <c r="CI185" s="12" t="n"/>
      <c r="CJ185" s="12" t="n"/>
      <c r="CK185" s="12" t="n"/>
      <c r="CL185" s="12" t="n"/>
      <c r="CM185" s="12" t="n"/>
      <c r="CN185" s="12" t="n"/>
      <c r="CO185" s="12" t="n"/>
      <c r="CP185" s="12" t="n"/>
      <c r="CQ185" s="12" t="n"/>
      <c r="CR185" s="12" t="n"/>
      <c r="CS185" s="12" t="n"/>
      <c r="CT185" s="12" t="n"/>
      <c r="CU185" s="12" t="n"/>
      <c r="CV185" s="12" t="n"/>
      <c r="CW185" s="12" t="n"/>
      <c r="CX185" s="12" t="n"/>
      <c r="CY185" s="12" t="n"/>
    </row>
    <row r="186" hidden="1" outlineLevel="1">
      <c r="C186" s="59" t="inlineStr">
        <is>
          <t>%(Var.)</t>
        </is>
      </c>
      <c r="D186" s="12" t="n"/>
      <c r="E186" s="40" t="n"/>
      <c r="F186" s="40" t="n"/>
      <c r="G186" s="40" t="n"/>
      <c r="H186" s="12" t="n"/>
      <c r="I186" s="40" t="str">
        <f>""</f>
        <v/>
      </c>
      <c r="J186" s="40">
        <f>IF(I185=0,"",J185/I185-1)</f>
        <v>0.0125250330945996</v>
      </c>
      <c r="K186" s="40">
        <f>IF(J185=0,"",K185/J185-1)</f>
        <v>0.0183372443848475</v>
      </c>
      <c r="L186" s="40">
        <f>IF(K185=0,"",L185/K185-1)</f>
        <v>0.149224742403792</v>
      </c>
      <c r="M186" s="12">
        <f>IF(L185=0,"",M185/L185-1)</f>
        <v>0</v>
      </c>
      <c r="N186" s="40">
        <f>IF(M185=0,"",N185/M185-1)</f>
        <v>0.0404468633629334</v>
      </c>
      <c r="O186" s="40">
        <f>IF(N185=0,"",O185/N185-1)</f>
        <v>0.00151423379769833</v>
      </c>
      <c r="P186" s="40">
        <f>IF(O185=0,"",P185/O185-1)</f>
        <v>-0.0079170904692526</v>
      </c>
      <c r="Q186" s="40">
        <f>IF(P185=0,"",Q185/P185-1)</f>
        <v>0.0284297154257529</v>
      </c>
      <c r="R186" s="12">
        <f>IF(Q185=0,"",R185/Q185-1)</f>
        <v>0</v>
      </c>
      <c r="S186" s="40">
        <f>IF(R185=0,"",S185/R185-1)</f>
        <v>0.014468543715479</v>
      </c>
      <c r="T186" s="40">
        <f>IF(S185=0,"",T185/S185-1)</f>
        <v>0.0104642515669819</v>
      </c>
      <c r="U186" s="40">
        <f>IF(T185=0,"",U185/T185-1)</f>
        <v>0.0128528623245545</v>
      </c>
      <c r="V186" s="40">
        <f>IF(U185=0,"",V185/U185-1)</f>
        <v>0.0654988971065265</v>
      </c>
      <c r="W186" s="12">
        <f>IF(V185=0,"",W185/V185-1)</f>
        <v>0</v>
      </c>
      <c r="X186" s="40">
        <f>IF(W185=0,"",X185/W185-1)</f>
        <v>0.0730655885433158</v>
      </c>
      <c r="Y186" s="40">
        <f>IF(X185=0,"",Y185/X185-1)</f>
        <v>-0.00426700560611903</v>
      </c>
      <c r="Z186" s="40">
        <f>IF(Y185=0,"",Z185/Y185-1)</f>
        <v>0.140707984773541</v>
      </c>
      <c r="AA186" s="40">
        <f>IF(Z185=0,"",AA185/Z185-1)</f>
        <v>0.0561905523139636</v>
      </c>
      <c r="AB186" s="12">
        <f>IF(AA185=0,"",AB185/AA185-1)</f>
        <v>0</v>
      </c>
      <c r="AC186" s="40">
        <f>IF(AB185=0,"",AC185/AB185-1)</f>
        <v>0.210439685182382</v>
      </c>
      <c r="AD186" s="40">
        <f>IF(AC185=0,"",AD185/AC185-1)</f>
        <v>0.0429515934916145</v>
      </c>
      <c r="AE186" s="40">
        <f>IF(AD185=0,"",AE185/AD185-1)</f>
        <v>0.20807169511592</v>
      </c>
      <c r="AF186" s="55">
        <f>IF(AE185=0,"",AF185/AE185-1)</f>
        <v>0.0536031062758184</v>
      </c>
      <c r="AG186" s="12">
        <f>IF(AF185=0,"",AG185/AF185-1)</f>
        <v>0</v>
      </c>
      <c r="AH186" s="55">
        <f>IF(AG185=0,"",AH185/AG185-1)</f>
        <v>0.464983751707248</v>
      </c>
      <c r="AI186" s="55">
        <f>IF(AH185=0,"",AI185/AH185-1)</f>
        <v>0.375715296084357</v>
      </c>
      <c r="AJ186" s="55">
        <f>IF(AI185=0,"",AJ185/AI185-1)</f>
        <v>0</v>
      </c>
      <c r="AK186" s="55">
        <f>IF(AJ185=0,"",AK185/AJ185-1)</f>
        <v>0</v>
      </c>
      <c r="AL186" s="12">
        <f>IF(AK185=0,"",AL185/AK185-1)</f>
        <v>0</v>
      </c>
      <c r="AM186" s="55">
        <f>IF(AL185=0,"",AM185/AL185-1)</f>
        <v>0</v>
      </c>
      <c r="AN186" s="55">
        <f>IF(AM185=0,"",AN185/AM185-1)</f>
        <v>0</v>
      </c>
      <c r="AO186" s="55">
        <f>IF(AN185=0,"",AO185/AN185-1)</f>
        <v>0</v>
      </c>
      <c r="AP186" s="55">
        <f>IF(AO185=0,"",AP185/AO185-1)</f>
        <v>0</v>
      </c>
      <c r="AQ186" s="12">
        <f>IF(AP185=0,"",AQ185/AP185-1)</f>
        <v>0</v>
      </c>
      <c r="AR186" s="55">
        <f>IF(AQ185=0,"",AR185/AQ185-1)</f>
        <v>0</v>
      </c>
      <c r="AS186" s="55">
        <f>IF(AR185=0,"",AS185/AR185-1)</f>
        <v>0</v>
      </c>
      <c r="AT186" s="55">
        <f>IF(AS185=0,"",AT185/AS185-1)</f>
        <v>0</v>
      </c>
      <c r="AU186" s="55">
        <f>IF(AT185=0,"",AU185/AT185-1)</f>
        <v>0</v>
      </c>
      <c r="AV186" s="12">
        <f>IF(AU185=0,"",AV185/AU185-1)</f>
        <v>0</v>
      </c>
      <c r="AW186" s="55">
        <f>IF(AV185=0,"",AW185/AV185-1)</f>
        <v>0</v>
      </c>
      <c r="AX186" s="55">
        <f>IF(AW185=0,"",AX185/AW185-1)</f>
        <v>0</v>
      </c>
      <c r="AY186" s="55">
        <f>IF(AX185=0,"",AY185/AX185-1)</f>
        <v>0</v>
      </c>
      <c r="AZ186" s="55">
        <f>IF(AY185=0,"",AZ185/AY185-1)</f>
        <v>0</v>
      </c>
      <c r="BA186" s="12">
        <f>IF(AZ185=0,"",BA185/AZ185-1)</f>
        <v>0</v>
      </c>
      <c r="BB186" s="55">
        <f>IF(BA185=0,"",BB185/BA185-1)</f>
        <v>0</v>
      </c>
      <c r="BC186" s="55">
        <f>IF(BB185=0,"",BC185/BB185-1)</f>
        <v>0</v>
      </c>
      <c r="BD186" s="55">
        <f>IF(BC185=0,"",BD185/BC185-1)</f>
        <v>0</v>
      </c>
      <c r="BE186" s="55">
        <f>IF(BD185=0,"",BE185/BD185-1)</f>
        <v>0</v>
      </c>
      <c r="BF186" s="12">
        <f>IF(BE185=0,"",BF185/BE185-1)</f>
        <v>0</v>
      </c>
      <c r="BG186" s="55" t="n"/>
      <c r="BH186" s="55" t="n"/>
      <c r="BI186" s="55" t="n"/>
      <c r="BJ186" s="55" t="n"/>
      <c r="BK186" s="12" t="n"/>
      <c r="BL186" s="55" t="n"/>
      <c r="BM186" s="55" t="n"/>
      <c r="BN186" s="55" t="n"/>
      <c r="BO186" s="55" t="n"/>
      <c r="BP186" s="12" t="n"/>
      <c r="BQ186" s="55" t="n"/>
      <c r="BR186" s="55" t="n"/>
      <c r="BS186" s="55" t="n"/>
      <c r="BT186" s="55" t="n"/>
      <c r="BU186" s="12" t="n"/>
      <c r="BV186" s="55" t="n"/>
      <c r="BW186" s="55" t="n"/>
      <c r="BX186" s="55" t="n"/>
      <c r="BY186" s="55" t="n"/>
      <c r="BZ186" s="12" t="n"/>
      <c r="CA186" s="55" t="n"/>
      <c r="CB186" s="55" t="n"/>
      <c r="CC186" s="55" t="n"/>
      <c r="CD186" s="55" t="n"/>
      <c r="CE186" s="12" t="n"/>
      <c r="CF186" s="55" t="n"/>
      <c r="CG186" s="55" t="n"/>
      <c r="CH186" s="55" t="n"/>
      <c r="CI186" s="55" t="n"/>
      <c r="CJ186" s="12" t="n"/>
      <c r="CK186" s="55" t="n"/>
      <c r="CL186" s="55" t="n"/>
      <c r="CM186" s="55" t="n"/>
      <c r="CN186" s="55" t="n"/>
      <c r="CO186" s="12" t="n"/>
      <c r="CP186" s="55" t="n"/>
      <c r="CQ186" s="55" t="n"/>
      <c r="CR186" s="55" t="n"/>
      <c r="CS186" s="55" t="n"/>
      <c r="CT186" s="12" t="n"/>
      <c r="CU186" s="55" t="n"/>
      <c r="CV186" s="55" t="n"/>
      <c r="CW186" s="55" t="n"/>
      <c r="CX186" s="55" t="n"/>
      <c r="CY186" s="12" t="n"/>
    </row>
    <row r="187" hidden="1" outlineLevel="1">
      <c r="C187" s="57" t="n"/>
      <c r="D187" s="12" t="n"/>
      <c r="E187" s="40" t="n"/>
      <c r="F187" s="40" t="n"/>
      <c r="G187" s="40" t="n"/>
      <c r="H187" s="12" t="n"/>
      <c r="I187" s="40" t="n"/>
      <c r="J187" s="40" t="n"/>
      <c r="K187" s="40" t="n"/>
      <c r="L187" s="40" t="n"/>
      <c r="M187" s="12" t="n"/>
      <c r="N187" s="40" t="n"/>
      <c r="O187" s="40" t="n"/>
      <c r="P187" s="40" t="n"/>
      <c r="Q187" s="40" t="n"/>
      <c r="R187" s="12" t="n"/>
      <c r="S187" s="40" t="n"/>
      <c r="T187" s="40" t="n"/>
      <c r="U187" s="40" t="n"/>
      <c r="V187" s="40" t="n"/>
      <c r="W187" s="12" t="n"/>
      <c r="X187" s="40" t="n"/>
      <c r="Y187" s="40" t="n"/>
      <c r="Z187" s="40" t="n"/>
      <c r="AA187" s="40" t="n"/>
      <c r="AB187" s="12" t="n"/>
      <c r="AC187" s="40" t="n"/>
      <c r="AD187" s="40" t="n"/>
      <c r="AE187" s="40" t="n"/>
      <c r="AF187" s="55" t="n"/>
      <c r="AG187" s="12" t="n"/>
      <c r="AH187" s="55" t="n"/>
      <c r="AI187" s="55" t="n"/>
      <c r="AJ187" s="55" t="n"/>
      <c r="AK187" s="55" t="n"/>
      <c r="AL187" s="12" t="n"/>
      <c r="AM187" s="55" t="n"/>
      <c r="AN187" s="55" t="n"/>
      <c r="AO187" s="55" t="n"/>
      <c r="AP187" s="55" t="n"/>
      <c r="AQ187" s="12" t="n"/>
      <c r="AR187" s="55" t="n"/>
      <c r="AS187" s="55" t="n"/>
      <c r="AT187" s="55" t="n"/>
      <c r="AU187" s="55" t="n"/>
      <c r="AV187" s="12" t="n"/>
      <c r="AW187" s="55" t="n"/>
      <c r="AX187" s="55" t="n"/>
      <c r="AY187" s="55" t="n"/>
      <c r="AZ187" s="55" t="n"/>
      <c r="BA187" s="12" t="n"/>
      <c r="BB187" s="55" t="n"/>
      <c r="BC187" s="55" t="n"/>
      <c r="BD187" s="55" t="n"/>
      <c r="BE187" s="55" t="n"/>
      <c r="BF187" s="12" t="n"/>
      <c r="BG187" s="55" t="n"/>
      <c r="BH187" s="55" t="n"/>
      <c r="BI187" s="55" t="n"/>
      <c r="BJ187" s="55" t="n"/>
      <c r="BK187" s="12" t="n"/>
      <c r="BL187" s="55" t="n"/>
      <c r="BM187" s="55" t="n"/>
      <c r="BN187" s="55" t="n"/>
      <c r="BO187" s="55" t="n"/>
      <c r="BP187" s="12" t="n"/>
      <c r="BQ187" s="55" t="n"/>
      <c r="BR187" s="55" t="n"/>
      <c r="BS187" s="55" t="n"/>
      <c r="BT187" s="55" t="n"/>
      <c r="BU187" s="12" t="n"/>
      <c r="BV187" s="55" t="n"/>
      <c r="BW187" s="55" t="n"/>
      <c r="BX187" s="55" t="n"/>
      <c r="BY187" s="55" t="n"/>
      <c r="BZ187" s="12" t="n"/>
      <c r="CA187" s="55" t="n"/>
      <c r="CB187" s="55" t="n"/>
      <c r="CC187" s="55" t="n"/>
      <c r="CD187" s="55" t="n"/>
      <c r="CE187" s="12" t="n"/>
      <c r="CF187" s="55" t="n"/>
      <c r="CG187" s="55" t="n"/>
      <c r="CH187" s="55" t="n"/>
      <c r="CI187" s="55" t="n"/>
      <c r="CJ187" s="12" t="n"/>
      <c r="CK187" s="55" t="n"/>
      <c r="CL187" s="55" t="n"/>
      <c r="CM187" s="55" t="n"/>
      <c r="CN187" s="55" t="n"/>
      <c r="CO187" s="12" t="n"/>
      <c r="CP187" s="55" t="n"/>
      <c r="CQ187" s="55" t="n"/>
      <c r="CR187" s="55" t="n"/>
      <c r="CS187" s="55" t="n"/>
      <c r="CT187" s="12" t="n"/>
      <c r="CU187" s="55" t="n"/>
      <c r="CV187" s="55" t="n"/>
      <c r="CW187" s="55" t="n"/>
      <c r="CX187" s="55" t="n"/>
      <c r="CY187" s="12" t="n"/>
    </row>
    <row r="188" hidden="1" outlineLevel="1">
      <c r="C188" s="60" t="inlineStr">
        <is>
          <t>Outros Créditos - LP</t>
        </is>
      </c>
      <c r="D188" s="11" t="n"/>
      <c r="E188" s="11" t="n"/>
      <c r="F188" s="11" t="n"/>
      <c r="G188" s="11" t="n"/>
      <c r="H188" s="12" t="n"/>
      <c r="I188" s="11" t="n"/>
      <c r="J188" s="11" t="n"/>
      <c r="K188" s="11" t="n"/>
      <c r="L188" s="11" t="n"/>
      <c r="M188" s="12" t="n"/>
      <c r="N188" s="11" t="n"/>
      <c r="O188" s="11" t="n"/>
      <c r="P188" s="11" t="n"/>
      <c r="Q188" s="11" t="n"/>
      <c r="R188" s="12" t="n"/>
      <c r="S188" s="11" t="n"/>
      <c r="T188" s="11" t="n"/>
      <c r="U188" s="11" t="n"/>
      <c r="V188" s="11" t="n"/>
      <c r="W188" s="12" t="n"/>
      <c r="X188" s="11" t="n"/>
      <c r="Y188" s="11" t="n"/>
      <c r="Z188" s="11" t="n"/>
      <c r="AA188" s="11" t="n"/>
      <c r="AB188" s="12" t="n"/>
      <c r="AC188" s="11" t="n"/>
      <c r="AD188" s="11" t="n"/>
      <c r="AE188" s="11" t="n"/>
      <c r="AF188" s="11" t="n"/>
      <c r="AG188" s="12" t="n"/>
      <c r="AH188" s="12" t="n"/>
      <c r="AI188" s="12" t="n"/>
      <c r="AJ188" s="12" t="n"/>
      <c r="AK188" s="12" t="n"/>
      <c r="AL188" s="12" t="n"/>
      <c r="AM188" s="12" t="n"/>
      <c r="AN188" s="12" t="n"/>
      <c r="AO188" s="12" t="n"/>
      <c r="AP188" s="12" t="n"/>
      <c r="AQ188" s="12" t="n"/>
      <c r="AR188" s="12" t="n"/>
      <c r="AS188" s="12" t="n"/>
      <c r="AT188" s="12" t="n"/>
      <c r="AU188" s="12" t="n"/>
      <c r="AV188" s="12" t="n"/>
      <c r="AW188" s="12" t="n"/>
      <c r="AX188" s="12" t="n"/>
      <c r="AY188" s="12" t="n"/>
      <c r="AZ188" s="12" t="n"/>
      <c r="BA188" s="12" t="n"/>
      <c r="BB188" s="12" t="n"/>
      <c r="BC188" s="12" t="n"/>
      <c r="BD188" s="12" t="n"/>
      <c r="BE188" s="12" t="n"/>
      <c r="BF188" s="12" t="n"/>
      <c r="BG188" s="12" t="n"/>
      <c r="BH188" s="12" t="n"/>
      <c r="BI188" s="12" t="n"/>
      <c r="BJ188" s="12" t="n"/>
      <c r="BK188" s="12" t="n"/>
      <c r="BL188" s="12" t="n"/>
      <c r="BM188" s="12" t="n"/>
      <c r="BN188" s="12" t="n"/>
      <c r="BO188" s="12" t="n"/>
      <c r="BP188" s="12" t="n"/>
      <c r="BQ188" s="12" t="n"/>
      <c r="BR188" s="12" t="n"/>
      <c r="BS188" s="12" t="n"/>
      <c r="BT188" s="12" t="n"/>
      <c r="BU188" s="12" t="n"/>
      <c r="BV188" s="12" t="n"/>
      <c r="BW188" s="12" t="n"/>
      <c r="BX188" s="12" t="n"/>
      <c r="BY188" s="12" t="n"/>
      <c r="BZ188" s="12" t="n"/>
      <c r="CA188" s="12" t="n"/>
      <c r="CB188" s="12" t="n"/>
      <c r="CC188" s="12" t="n"/>
      <c r="CD188" s="12" t="n"/>
      <c r="CE188" s="12" t="n"/>
      <c r="CF188" s="12" t="n"/>
      <c r="CG188" s="12" t="n"/>
      <c r="CH188" s="12" t="n"/>
      <c r="CI188" s="12" t="n"/>
      <c r="CJ188" s="12" t="n"/>
      <c r="CK188" s="12" t="n"/>
      <c r="CL188" s="12" t="n"/>
      <c r="CM188" s="12" t="n"/>
      <c r="CN188" s="12" t="n"/>
      <c r="CO188" s="12" t="n"/>
      <c r="CP188" s="12" t="n"/>
      <c r="CQ188" s="12" t="n"/>
      <c r="CR188" s="12" t="n"/>
      <c r="CS188" s="12" t="n"/>
      <c r="CT188" s="12" t="n"/>
      <c r="CU188" s="12" t="n"/>
      <c r="CV188" s="12" t="n"/>
      <c r="CW188" s="12" t="n"/>
      <c r="CX188" s="12" t="n"/>
      <c r="CY188" s="12" t="n"/>
    </row>
    <row r="189" hidden="1" outlineLevel="1">
      <c r="C189" s="60" t="inlineStr">
        <is>
          <t xml:space="preserve">Impostos e Contribuições a Recuperar </t>
        </is>
      </c>
      <c r="D189" s="11" t="n"/>
      <c r="E189" s="11" t="n"/>
      <c r="F189" s="11" t="n"/>
      <c r="G189" s="11" t="n"/>
      <c r="H189" s="12" t="n"/>
      <c r="I189" s="11" t="n"/>
      <c r="J189" s="11" t="n"/>
      <c r="K189" s="11" t="n"/>
      <c r="L189" s="11" t="n"/>
      <c r="M189" s="12" t="n"/>
      <c r="N189" s="11" t="n"/>
      <c r="O189" s="11" t="n"/>
      <c r="P189" s="11" t="n"/>
      <c r="Q189" s="11" t="n"/>
      <c r="R189" s="12" t="n"/>
      <c r="S189" s="11" t="n"/>
      <c r="T189" s="11" t="n"/>
      <c r="U189" s="11" t="n"/>
      <c r="V189" s="11" t="n"/>
      <c r="W189" s="12" t="n"/>
      <c r="X189" s="11" t="n"/>
      <c r="Y189" s="11" t="n"/>
      <c r="Z189" s="11" t="n"/>
      <c r="AA189" s="11" t="n"/>
      <c r="AB189" s="12" t="n"/>
      <c r="AC189" s="11" t="n"/>
      <c r="AD189" s="11" t="n"/>
      <c r="AE189" s="11" t="n"/>
      <c r="AF189" s="11" t="n"/>
      <c r="AG189" s="12" t="n"/>
      <c r="AH189" s="12" t="n"/>
      <c r="AI189" s="12" t="n"/>
      <c r="AJ189" s="12" t="n"/>
      <c r="AK189" s="12" t="n"/>
      <c r="AL189" s="12" t="n"/>
      <c r="AM189" s="12" t="n"/>
      <c r="AN189" s="12" t="n"/>
      <c r="AO189" s="12" t="n"/>
      <c r="AP189" s="12" t="n"/>
      <c r="AQ189" s="12" t="n"/>
      <c r="AR189" s="12" t="n"/>
      <c r="AS189" s="12" t="n"/>
      <c r="AT189" s="12" t="n"/>
      <c r="AU189" s="12" t="n"/>
      <c r="AV189" s="12" t="n"/>
      <c r="AW189" s="12" t="n"/>
      <c r="AX189" s="12" t="n"/>
      <c r="AY189" s="12" t="n"/>
      <c r="AZ189" s="12" t="n"/>
      <c r="BA189" s="12" t="n"/>
      <c r="BB189" s="12" t="n"/>
      <c r="BC189" s="12" t="n"/>
      <c r="BD189" s="12" t="n"/>
      <c r="BE189" s="12" t="n"/>
      <c r="BF189" s="12" t="n"/>
      <c r="BG189" s="12" t="n"/>
      <c r="BH189" s="12" t="n"/>
      <c r="BI189" s="12" t="n"/>
      <c r="BJ189" s="12" t="n"/>
      <c r="BK189" s="12" t="n"/>
      <c r="BL189" s="12" t="n"/>
      <c r="BM189" s="12" t="n"/>
      <c r="BN189" s="12" t="n"/>
      <c r="BO189" s="12" t="n"/>
      <c r="BP189" s="12" t="n"/>
      <c r="BQ189" s="12" t="n"/>
      <c r="BR189" s="12" t="n"/>
      <c r="BS189" s="12" t="n"/>
      <c r="BT189" s="12" t="n"/>
      <c r="BU189" s="12" t="n"/>
      <c r="BV189" s="12" t="n"/>
      <c r="BW189" s="12" t="n"/>
      <c r="BX189" s="12" t="n"/>
      <c r="BY189" s="12" t="n"/>
      <c r="BZ189" s="12" t="n"/>
      <c r="CA189" s="12" t="n"/>
      <c r="CB189" s="12" t="n"/>
      <c r="CC189" s="12" t="n"/>
      <c r="CD189" s="12" t="n"/>
      <c r="CE189" s="12" t="n"/>
      <c r="CF189" s="12" t="n"/>
      <c r="CG189" s="12" t="n"/>
      <c r="CH189" s="12" t="n"/>
      <c r="CI189" s="12" t="n"/>
      <c r="CJ189" s="12" t="n"/>
      <c r="CK189" s="12" t="n"/>
      <c r="CL189" s="12" t="n"/>
      <c r="CM189" s="12" t="n"/>
      <c r="CN189" s="12" t="n"/>
      <c r="CO189" s="12" t="n"/>
      <c r="CP189" s="12" t="n"/>
      <c r="CQ189" s="12" t="n"/>
      <c r="CR189" s="12" t="n"/>
      <c r="CS189" s="12" t="n"/>
      <c r="CT189" s="12" t="n"/>
      <c r="CU189" s="12" t="n"/>
      <c r="CV189" s="12" t="n"/>
      <c r="CW189" s="12" t="n"/>
      <c r="CX189" s="12" t="n"/>
      <c r="CY189" s="12" t="n"/>
    </row>
    <row r="190" hidden="1" outlineLevel="1">
      <c r="C190" s="60" t="inlineStr">
        <is>
          <t xml:space="preserve">Imposto de Renda e Contribuição Social Diferidos </t>
        </is>
      </c>
      <c r="D190" s="11" t="n"/>
      <c r="E190" s="11" t="n"/>
      <c r="F190" s="11" t="n"/>
      <c r="G190" s="11" t="n"/>
      <c r="H190" s="12" t="n"/>
      <c r="I190" s="11" t="n"/>
      <c r="J190" s="11" t="n"/>
      <c r="K190" s="11" t="n"/>
      <c r="L190" s="11" t="n"/>
      <c r="M190" s="12" t="n"/>
      <c r="N190" s="11" t="n"/>
      <c r="O190" s="11" t="n"/>
      <c r="P190" s="11" t="n"/>
      <c r="Q190" s="11" t="n"/>
      <c r="R190" s="12" t="n"/>
      <c r="S190" s="11" t="n"/>
      <c r="T190" s="11" t="n"/>
      <c r="U190" s="11" t="n"/>
      <c r="V190" s="11" t="n"/>
      <c r="W190" s="12" t="n"/>
      <c r="X190" s="11" t="n"/>
      <c r="Y190" s="11" t="n"/>
      <c r="Z190" s="11" t="n"/>
      <c r="AA190" s="11" t="n"/>
      <c r="AB190" s="12" t="n"/>
      <c r="AC190" s="11" t="n"/>
      <c r="AD190" s="11" t="n"/>
      <c r="AE190" s="11" t="n"/>
      <c r="AF190" s="11" t="n"/>
      <c r="AG190" s="12" t="n"/>
      <c r="AH190" s="12" t="n"/>
      <c r="AI190" s="12" t="n"/>
      <c r="AJ190" s="12" t="n"/>
      <c r="AK190" s="12" t="n"/>
      <c r="AL190" s="12" t="n"/>
      <c r="AM190" s="12" t="n"/>
      <c r="AN190" s="12" t="n"/>
      <c r="AO190" s="12" t="n"/>
      <c r="AP190" s="12" t="n"/>
      <c r="AQ190" s="12" t="n"/>
      <c r="AR190" s="12" t="n"/>
      <c r="AS190" s="12" t="n"/>
      <c r="AT190" s="12" t="n"/>
      <c r="AU190" s="12" t="n"/>
      <c r="AV190" s="12" t="n"/>
      <c r="AW190" s="12" t="n"/>
      <c r="AX190" s="12" t="n"/>
      <c r="AY190" s="12" t="n"/>
      <c r="AZ190" s="12" t="n"/>
      <c r="BA190" s="12" t="n"/>
      <c r="BB190" s="12" t="n"/>
      <c r="BC190" s="12" t="n"/>
      <c r="BD190" s="12" t="n"/>
      <c r="BE190" s="12" t="n"/>
      <c r="BF190" s="12" t="n"/>
      <c r="BG190" s="12" t="n"/>
      <c r="BH190" s="12" t="n"/>
      <c r="BI190" s="12" t="n"/>
      <c r="BJ190" s="12" t="n"/>
      <c r="BK190" s="12" t="n"/>
      <c r="BL190" s="12" t="n"/>
      <c r="BM190" s="12" t="n"/>
      <c r="BN190" s="12" t="n"/>
      <c r="BO190" s="12" t="n"/>
      <c r="BP190" s="12" t="n"/>
      <c r="BQ190" s="12" t="n"/>
      <c r="BR190" s="12" t="n"/>
      <c r="BS190" s="12" t="n"/>
      <c r="BT190" s="12" t="n"/>
      <c r="BU190" s="12" t="n"/>
      <c r="BV190" s="12" t="n"/>
      <c r="BW190" s="12" t="n"/>
      <c r="BX190" s="12" t="n"/>
      <c r="BY190" s="12" t="n"/>
      <c r="BZ190" s="12" t="n"/>
      <c r="CA190" s="12" t="n"/>
      <c r="CB190" s="12" t="n"/>
      <c r="CC190" s="12" t="n"/>
      <c r="CD190" s="12" t="n"/>
      <c r="CE190" s="12" t="n"/>
      <c r="CF190" s="12" t="n"/>
      <c r="CG190" s="12" t="n"/>
      <c r="CH190" s="12" t="n"/>
      <c r="CI190" s="12" t="n"/>
      <c r="CJ190" s="12" t="n"/>
      <c r="CK190" s="12" t="n"/>
      <c r="CL190" s="12" t="n"/>
      <c r="CM190" s="12" t="n"/>
      <c r="CN190" s="12" t="n"/>
      <c r="CO190" s="12" t="n"/>
      <c r="CP190" s="12" t="n"/>
      <c r="CQ190" s="12" t="n"/>
      <c r="CR190" s="12" t="n"/>
      <c r="CS190" s="12" t="n"/>
      <c r="CT190" s="12" t="n"/>
      <c r="CU190" s="12" t="n"/>
      <c r="CV190" s="12" t="n"/>
      <c r="CW190" s="12" t="n"/>
      <c r="CX190" s="12" t="n"/>
      <c r="CY190" s="12" t="n"/>
    </row>
    <row r="191" hidden="1" outlineLevel="1">
      <c r="C191" s="60" t="n"/>
      <c r="D191" s="12" t="n"/>
      <c r="E191" s="12" t="n"/>
      <c r="F191" s="12" t="n"/>
      <c r="G191" s="12" t="n"/>
      <c r="H191" s="12" t="n"/>
      <c r="I191" s="12" t="n"/>
      <c r="J191" s="12" t="n"/>
      <c r="K191" s="12" t="n"/>
      <c r="L191" s="12" t="n"/>
      <c r="M191" s="12" t="n"/>
      <c r="N191" s="12" t="n"/>
      <c r="O191" s="12" t="n"/>
      <c r="P191" s="12" t="n"/>
      <c r="Q191" s="12" t="n"/>
      <c r="R191" s="12" t="n"/>
      <c r="S191" s="12" t="n"/>
      <c r="T191" s="12" t="n"/>
      <c r="U191" s="12" t="n"/>
      <c r="V191" s="12" t="n"/>
      <c r="W191" s="12" t="n"/>
      <c r="X191" s="12" t="n"/>
      <c r="Y191" s="12" t="n"/>
      <c r="Z191" s="12" t="n"/>
      <c r="AA191" s="12" t="n"/>
      <c r="AB191" s="12" t="n"/>
      <c r="AC191" s="12" t="n"/>
      <c r="AD191" s="12" t="n"/>
      <c r="AE191" s="12" t="n"/>
      <c r="AF191" s="12" t="n"/>
      <c r="AG191" s="12" t="n"/>
      <c r="AH191" s="12" t="n"/>
      <c r="AI191" s="12" t="n"/>
      <c r="AJ191" s="12" t="n"/>
      <c r="AK191" s="12" t="n"/>
      <c r="AL191" s="12" t="n"/>
      <c r="AM191" s="12" t="n"/>
      <c r="AN191" s="12" t="n"/>
      <c r="AO191" s="12" t="n"/>
      <c r="AP191" s="12" t="n"/>
      <c r="AQ191" s="12" t="n"/>
      <c r="AR191" s="12" t="n"/>
      <c r="AS191" s="12" t="n"/>
      <c r="AT191" s="12" t="n"/>
      <c r="AU191" s="12" t="n"/>
      <c r="AV191" s="12" t="n"/>
      <c r="AW191" s="12" t="n"/>
      <c r="AX191" s="12" t="n"/>
      <c r="AY191" s="12" t="n"/>
      <c r="AZ191" s="12" t="n"/>
      <c r="BA191" s="12" t="n"/>
      <c r="BB191" s="12" t="n"/>
      <c r="BC191" s="12" t="n"/>
      <c r="BD191" s="12" t="n"/>
      <c r="BE191" s="12" t="n"/>
      <c r="BF191" s="12" t="n"/>
      <c r="BG191" s="12" t="n"/>
      <c r="BH191" s="12" t="n"/>
      <c r="BI191" s="12" t="n"/>
      <c r="BJ191" s="12" t="n"/>
      <c r="BK191" s="12" t="n"/>
      <c r="BL191" s="12" t="n"/>
      <c r="BM191" s="12" t="n"/>
      <c r="BN191" s="12" t="n"/>
      <c r="BO191" s="12" t="n"/>
      <c r="BP191" s="12" t="n"/>
      <c r="BQ191" s="12" t="n"/>
      <c r="BR191" s="12" t="n"/>
      <c r="BS191" s="12" t="n"/>
      <c r="BT191" s="12" t="n"/>
      <c r="BU191" s="12" t="n"/>
      <c r="BV191" s="12" t="n"/>
      <c r="BW191" s="12" t="n"/>
      <c r="BX191" s="12" t="n"/>
      <c r="BY191" s="12" t="n"/>
      <c r="BZ191" s="12" t="n"/>
      <c r="CA191" s="12" t="n"/>
      <c r="CB191" s="12" t="n"/>
      <c r="CC191" s="12" t="n"/>
      <c r="CD191" s="12" t="n"/>
      <c r="CE191" s="12" t="n"/>
      <c r="CF191" s="12" t="n"/>
      <c r="CG191" s="12" t="n"/>
      <c r="CH191" s="12" t="n"/>
      <c r="CI191" s="12" t="n"/>
      <c r="CJ191" s="12" t="n"/>
      <c r="CK191" s="12" t="n"/>
      <c r="CL191" s="12" t="n"/>
      <c r="CM191" s="12" t="n"/>
      <c r="CN191" s="12" t="n"/>
      <c r="CO191" s="12" t="n"/>
      <c r="CP191" s="12" t="n"/>
      <c r="CQ191" s="12" t="n"/>
      <c r="CR191" s="12" t="n"/>
      <c r="CS191" s="12" t="n"/>
      <c r="CT191" s="12" t="n"/>
      <c r="CU191" s="12" t="n"/>
      <c r="CV191" s="12" t="n"/>
      <c r="CW191" s="12" t="n"/>
      <c r="CX191" s="12" t="n"/>
      <c r="CY191" s="12" t="n"/>
    </row>
    <row r="192" hidden="1" outlineLevel="1">
      <c r="C192" s="57" t="n"/>
      <c r="D192" s="12" t="n"/>
      <c r="E192" s="12" t="n"/>
      <c r="F192" s="12" t="n"/>
      <c r="G192" s="12" t="n"/>
      <c r="H192" s="12" t="n"/>
      <c r="I192" s="12" t="n"/>
      <c r="J192" s="12" t="n"/>
      <c r="K192" s="12" t="n"/>
      <c r="L192" s="12" t="n"/>
      <c r="M192" s="12" t="n"/>
      <c r="N192" s="12" t="n"/>
      <c r="O192" s="12" t="n"/>
      <c r="P192" s="12" t="n"/>
      <c r="Q192" s="12" t="n"/>
      <c r="R192" s="12" t="n"/>
      <c r="S192" s="12" t="n"/>
      <c r="T192" s="12" t="n"/>
      <c r="U192" s="12" t="n"/>
      <c r="V192" s="12" t="n"/>
      <c r="W192" s="12" t="n"/>
      <c r="X192" s="12" t="n"/>
      <c r="Y192" s="12" t="n"/>
      <c r="Z192" s="12" t="n"/>
      <c r="AA192" s="12" t="n"/>
      <c r="AB192" s="12" t="n"/>
      <c r="AC192" s="12" t="n"/>
      <c r="AD192" s="12" t="n"/>
      <c r="AE192" s="12" t="n"/>
      <c r="AF192" s="12" t="n"/>
      <c r="AG192" s="12" t="n"/>
      <c r="AH192" s="12" t="n"/>
      <c r="AI192" s="12" t="n"/>
      <c r="AJ192" s="12" t="n"/>
      <c r="AK192" s="12" t="n"/>
      <c r="AL192" s="12" t="n"/>
      <c r="AM192" s="12" t="n"/>
      <c r="AN192" s="12" t="n"/>
      <c r="AO192" s="12" t="n"/>
      <c r="AP192" s="12" t="n"/>
      <c r="AQ192" s="12" t="n"/>
      <c r="AR192" s="12" t="n"/>
      <c r="AS192" s="12" t="n"/>
      <c r="AT192" s="12" t="n"/>
      <c r="AU192" s="12" t="n"/>
      <c r="AV192" s="12" t="n"/>
      <c r="AW192" s="12" t="n"/>
      <c r="AX192" s="12" t="n"/>
      <c r="AY192" s="12" t="n"/>
      <c r="AZ192" s="12" t="n"/>
      <c r="BA192" s="12" t="n"/>
      <c r="BB192" s="12" t="n"/>
      <c r="BC192" s="12" t="n"/>
      <c r="BD192" s="12" t="n"/>
      <c r="BE192" s="12" t="n"/>
      <c r="BF192" s="12" t="n"/>
      <c r="BG192" s="12" t="n"/>
      <c r="BH192" s="12" t="n"/>
      <c r="BI192" s="12" t="n"/>
      <c r="BJ192" s="12" t="n"/>
      <c r="BK192" s="12" t="n"/>
      <c r="BL192" s="12" t="n"/>
      <c r="BM192" s="12" t="n"/>
      <c r="BN192" s="12" t="n"/>
      <c r="BO192" s="12" t="n"/>
      <c r="BP192" s="12" t="n"/>
      <c r="BQ192" s="12" t="n"/>
      <c r="BR192" s="12" t="n"/>
      <c r="BS192" s="12" t="n"/>
      <c r="BT192" s="12" t="n"/>
      <c r="BU192" s="12" t="n"/>
      <c r="BV192" s="12" t="n"/>
      <c r="BW192" s="12" t="n"/>
      <c r="BX192" s="12" t="n"/>
      <c r="BY192" s="12" t="n"/>
      <c r="BZ192" s="12" t="n"/>
      <c r="CA192" s="12" t="n"/>
      <c r="CB192" s="12" t="n"/>
      <c r="CC192" s="12" t="n"/>
      <c r="CD192" s="12" t="n"/>
      <c r="CE192" s="12" t="n"/>
      <c r="CF192" s="12" t="n"/>
      <c r="CG192" s="12" t="n"/>
      <c r="CH192" s="12" t="n"/>
      <c r="CI192" s="12" t="n"/>
      <c r="CJ192" s="12" t="n"/>
      <c r="CK192" s="12" t="n"/>
      <c r="CL192" s="12" t="n"/>
      <c r="CM192" s="12" t="n"/>
      <c r="CN192" s="12" t="n"/>
      <c r="CO192" s="12" t="n"/>
      <c r="CP192" s="12" t="n"/>
      <c r="CQ192" s="12" t="n"/>
      <c r="CR192" s="12" t="n"/>
      <c r="CS192" s="12" t="n"/>
      <c r="CT192" s="12" t="n"/>
      <c r="CU192" s="12" t="n"/>
      <c r="CV192" s="12" t="n"/>
      <c r="CW192" s="12" t="n"/>
      <c r="CX192" s="12" t="n"/>
      <c r="CY192" s="12" t="n"/>
    </row>
    <row r="193" collapsed="1" customFormat="1" s="32">
      <c r="A193" s="30" t="n"/>
      <c r="B193" s="3" t="n"/>
      <c r="C193" s="33" t="inlineStr">
        <is>
          <t>Total Assets</t>
        </is>
      </c>
      <c r="D193" s="35" t="n"/>
      <c r="E193" s="35" t="n"/>
      <c r="F193" s="35" t="n"/>
      <c r="G193" s="35" t="n"/>
      <c r="H193" s="35" t="n"/>
      <c r="I193" s="35">
        <f>SUM(I140,I141,I145,I149,I150,I151,I157,I162,I172,I175,I176,I185)</f>
        <v>327095</v>
      </c>
      <c r="J193" s="35">
        <f>SUM(J140,J141,J145,J149,J150,J151,J157,J162,J172,J175,J176,J185)</f>
        <v>335387</v>
      </c>
      <c r="K193" s="35">
        <f>SUM(K140,K141,K145,K149,K150,K151,K157,K162,K172,K175,K176,K185)</f>
        <v>347403</v>
      </c>
      <c r="L193" s="35">
        <f>SUM(L140,L141,L145,L149,L150,L151,L157,L162,L172,L175,L176,L185)</f>
        <v>359268</v>
      </c>
      <c r="M193" s="35">
        <f>SUM(M140,M141,M145,M149,M150,M151,M157,M162,M172,M175,M176,M185)</f>
        <v>359268</v>
      </c>
      <c r="N193" s="35">
        <f>SUM(N140,N141,N145,N149,N150,N151,N157,N162,N172,N175,N176,N185)</f>
        <v>357096</v>
      </c>
      <c r="O193" s="35">
        <f>SUM(O140,O141,O145,O149,O150,O151,O157,O162,O172,O175,O176,O185)</f>
        <v>355185</v>
      </c>
      <c r="P193" s="35">
        <f>SUM(P140,P141,P145,P149,P150,P151,P157,P162,P172,P175,P176,P185)</f>
        <v>358255</v>
      </c>
      <c r="Q193" s="35">
        <f>SUM(Q140,Q141,Q145,Q149,Q150,Q151,Q157,Q162,Q172,Q175,Q176,Q185)</f>
        <v>365264</v>
      </c>
      <c r="R193" s="35">
        <f>SUM(R140,R141,R145,R149,R150,R151,R157,R162,R172,R175,R176,R185)</f>
        <v>365264</v>
      </c>
      <c r="S193" s="35">
        <f>SUM(S140,S141,S145,S149,S150,S151,S157,S162,S172,S175,S176,S185)</f>
        <v>369491</v>
      </c>
      <c r="T193" s="35">
        <f>SUM(T140,T141,T145,T149,T150,T151,T157,T162,T172,T175,T176,T185)</f>
        <v>383044</v>
      </c>
      <c r="U193" s="35">
        <f>SUM(U140,U141,U145,U149,U150,U151,U157,U162,U172,U175,U176,U185)</f>
        <v>396711</v>
      </c>
      <c r="V193" s="35">
        <f>SUM(V140,V141,V145,V149,V150,V151,V157,V162,V172,V175,V176,V185)</f>
        <v>402392</v>
      </c>
      <c r="W193" s="35">
        <f>SUM(W140,W141,W145,W149,W150,W151,W157,W162,W172,W175,W176,W185)</f>
        <v>402392</v>
      </c>
      <c r="X193" s="35">
        <f>SUM(X140,X141,X145,X149,X150,X151,X157,X162,X172,X175,X176,X185)</f>
        <v>407350</v>
      </c>
      <c r="Y193" s="35">
        <f>SUM(Y140,Y141,Y145,Y149,Y150,Y151,Y157,Y162,Y172,Y175,Y176,Y185)</f>
        <v>414770</v>
      </c>
      <c r="Z193" s="35">
        <f>SUM(Z140,Z141,Z145,Z149,Z150,Z151,Z157,Z162,Z172,Z175,Z176,Z185)</f>
        <v>430266</v>
      </c>
      <c r="AA193" s="35">
        <f>SUM(AA140,AA141,AA145,AA149,AA150,AA151,AA157,AA162,AA172,AA175,AA176,AA185)</f>
        <v>450256</v>
      </c>
      <c r="AB193" s="35">
        <f>SUM(AB140,AB141,AB145,AB149,AB150,AB151,AB157,AB162,AB172,AB175,AB176,AB185)</f>
        <v>450256</v>
      </c>
      <c r="AC193" s="35">
        <f>SUM(AC140,AC141,AC145,AC149,AC150,AC151,AC157,AC162,AC172,AC175,AC176,AC185)</f>
        <v>475374</v>
      </c>
      <c r="AD193" s="35">
        <f>SUM(AD140,AD141,AD145,AD149,AD150,AD151,AD157,AD162,AD172,AD175,AD176,AD185)</f>
        <v>502053</v>
      </c>
      <c r="AE193" s="35">
        <f>SUM(AE140,AE141,AE145,AE149,AE150,AE151,AE157,AE162,AE172,AE175,AE176,AE185)</f>
        <v>536469</v>
      </c>
      <c r="AF193" s="35">
        <f>SUM(AF140,AF141,AF145,AF149,AF150,AF151,AF157,AF162,AF172,AF175,AF176,AF185)</f>
        <v>595281</v>
      </c>
      <c r="AG193" s="35">
        <f>SUM(AG140,AG141,AG145,AG149,AG150,AG151,AG157,AG162,AG172,AG175,AG176,AG185)</f>
        <v>595281</v>
      </c>
      <c r="AH193" s="35">
        <f>SUM(AH140,AH141,AH145,AH149,AH150,AH151,AH157,AH162,AH172,AH175,AH176,AH185)</f>
        <v>703919</v>
      </c>
      <c r="AI193" s="35">
        <f>SUM(AI140,AI141,AI145,AI149,AI150,AI151,AI157,AI162,AI172,AI175,AI176,AI185)</f>
        <v>921983</v>
      </c>
      <c r="AJ193" s="35">
        <f>SUM(AJ140,AJ141,AJ145,AJ149,AJ150,AJ151,AJ157,AJ162,AJ172,AJ175,AJ176,AJ185)</f>
        <v>992655.583351327</v>
      </c>
      <c r="AK193" s="35">
        <f>SUM(AK140,AK141,AK145,AK149,AK150,AK151,AK157,AK162,AK172,AK175,AK176,AK185)</f>
        <v>1080641.39265892</v>
      </c>
      <c r="AL193" s="35">
        <f>SUM(AL140,AL141,AL145,AL149,AL150,AL151,AL157,AL162,AL172,AL175,AL176,AL185)</f>
        <v>1080641.39265892</v>
      </c>
      <c r="AM193" s="35">
        <f>SUM(AM140,AM141,AM145,AM149,AM150,AM151,AM157,AM162,AM172,AM175,AM176,AM185)</f>
        <v>1168151.45817299</v>
      </c>
      <c r="AN193" s="35">
        <f>SUM(AN140,AN141,AN145,AN149,AN150,AN151,AN157,AN162,AN172,AN175,AN176,AN185)</f>
        <v>1267071.00035187</v>
      </c>
      <c r="AO193" s="35">
        <f>SUM(AO140,AO141,AO145,AO149,AO150,AO151,AO157,AO162,AO172,AO175,AO176,AO185)</f>
        <v>1370007.65497678</v>
      </c>
      <c r="AP193" s="35">
        <f>SUM(AP140,AP141,AP145,AP149,AP150,AP151,AP157,AP162,AP172,AP175,AP176,AP185)</f>
        <v>1488624.60310985</v>
      </c>
      <c r="AQ193" s="35">
        <f>SUM(AQ140,AQ141,AQ145,AQ149,AQ150,AQ151,AQ157,AQ162,AQ172,AQ175,AQ176,AQ185)</f>
        <v>1488624.60310985</v>
      </c>
      <c r="AR193" s="35">
        <f>SUM(AR140,AR141,AR145,AR149,AR150,AR151,AR157,AR162,AR172,AR175,AR176,AR185)</f>
        <v>1607441.93459905</v>
      </c>
      <c r="AS193" s="35">
        <f>SUM(AS140,AS141,AS145,AS149,AS150,AS151,AS157,AS162,AS172,AS175,AS176,AS185)</f>
        <v>1742808.01169144</v>
      </c>
      <c r="AT193" s="35">
        <f>SUM(AT140,AT141,AT145,AT149,AT150,AT151,AT157,AT162,AT172,AT175,AT176,AT185)</f>
        <v>1885818.18967794</v>
      </c>
      <c r="AU193" s="35">
        <f>SUM(AU140,AU141,AU145,AU149,AU150,AU151,AU157,AU162,AU172,AU175,AU176,AU185)</f>
        <v>2050844.13353677</v>
      </c>
      <c r="AV193" s="35">
        <f>SUM(AV140,AV141,AV145,AV149,AV150,AV151,AV157,AV162,AV172,AV175,AV176,AV185)</f>
        <v>2050844.13353677</v>
      </c>
      <c r="AW193" s="35">
        <f>SUM(AW140,AW141,AW145,AW149,AW150,AW151,AW157,AW162,AW172,AW175,AW176,AW185)</f>
        <v>2219186.48431267</v>
      </c>
      <c r="AX193" s="35">
        <f>SUM(AX140,AX141,AX145,AX149,AX150,AX151,AX157,AX162,AX172,AX175,AX176,AX185)</f>
        <v>2411118.77191016</v>
      </c>
      <c r="AY193" s="35">
        <f>SUM(AY140,AY141,AY145,AY149,AY150,AY151,AY157,AY162,AY172,AY175,AY176,AY185)</f>
        <v>2617598.28933615</v>
      </c>
      <c r="AZ193" s="35">
        <f>SUM(AZ140,AZ141,AZ145,AZ149,AZ150,AZ151,AZ157,AZ162,AZ172,AZ175,AZ176,AZ185)</f>
        <v>2855997.23977516</v>
      </c>
      <c r="BA193" s="35">
        <f>SUM(BA140,BA141,BA145,BA149,BA150,BA151,BA157,BA162,BA172,BA175,BA176,BA185)</f>
        <v>2855997.23977516</v>
      </c>
      <c r="BB193" s="35">
        <f>SUM(BB140,BB141,BB145,BB149,BB150,BB151,BB157,BB162,BB172,BB175,BB176,BB185)</f>
        <v>3103257.35516629</v>
      </c>
      <c r="BC193" s="35">
        <f>SUM(BC140,BC141,BC145,BC149,BC150,BC151,BC157,BC162,BC172,BC175,BC176,BC185)</f>
        <v>3385914.79914247</v>
      </c>
      <c r="BD193" s="35">
        <f>SUM(BD140,BD141,BD145,BD149,BD150,BD151,BD157,BD162,BD172,BD175,BD176,BD185)</f>
        <v>3694552.93041517</v>
      </c>
      <c r="BE193" s="35">
        <f>SUM(BE140,BE141,BE145,BE149,BE150,BE151,BE157,BE162,BE172,BE175,BE176,BE185)</f>
        <v>4050720.23345278</v>
      </c>
      <c r="BF193" s="35">
        <f>SUM(BF140,BF141,BF145,BF149,BF150,BF151,BF157,BF162,BF172,BF175,BF176,BF185)</f>
        <v>4050720.23345278</v>
      </c>
      <c r="BG193" s="35" t="n"/>
      <c r="BH193" s="35" t="n"/>
      <c r="BI193" s="35" t="n"/>
      <c r="BJ193" s="35" t="n"/>
      <c r="BK193" s="35" t="n"/>
      <c r="BL193" s="35" t="n"/>
      <c r="BM193" s="35" t="n"/>
      <c r="BN193" s="35" t="n"/>
      <c r="BO193" s="35" t="n"/>
      <c r="BP193" s="35" t="n"/>
      <c r="BQ193" s="35" t="n"/>
      <c r="BR193" s="35" t="n"/>
      <c r="BS193" s="35" t="n"/>
      <c r="BT193" s="35" t="n"/>
      <c r="BU193" s="35" t="n"/>
      <c r="BV193" s="35" t="n"/>
      <c r="BW193" s="35" t="n"/>
      <c r="BX193" s="35" t="n"/>
      <c r="BY193" s="35" t="n"/>
      <c r="BZ193" s="35" t="n"/>
      <c r="CA193" s="35" t="n"/>
      <c r="CB193" s="35" t="n"/>
      <c r="CC193" s="35" t="n"/>
      <c r="CD193" s="35" t="n"/>
      <c r="CE193" s="35" t="n"/>
      <c r="CF193" s="35" t="n"/>
      <c r="CG193" s="35" t="n"/>
      <c r="CH193" s="35" t="n"/>
      <c r="CI193" s="35" t="n"/>
      <c r="CJ193" s="35" t="n"/>
      <c r="CK193" s="35" t="n"/>
      <c r="CL193" s="35" t="n"/>
      <c r="CM193" s="35" t="n"/>
      <c r="CN193" s="35" t="n"/>
      <c r="CO193" s="35" t="n"/>
      <c r="CP193" s="35" t="n"/>
      <c r="CQ193" s="35" t="n"/>
      <c r="CR193" s="35" t="n"/>
      <c r="CS193" s="35" t="n"/>
      <c r="CT193" s="35" t="n"/>
      <c r="CU193" s="35" t="n"/>
      <c r="CV193" s="35" t="n"/>
      <c r="CW193" s="35" t="n"/>
      <c r="CX193" s="35" t="n"/>
      <c r="CY193" s="35" t="n"/>
    </row>
    <row r="194">
      <c r="C194" s="14" t="inlineStr">
        <is>
          <t>Accounts payable</t>
        </is>
      </c>
      <c r="D194" s="46" t="n"/>
      <c r="E194" s="46" t="n"/>
      <c r="F194" s="46" t="n"/>
      <c r="G194" s="46" t="n"/>
      <c r="H194" s="12" t="n"/>
      <c r="I194" s="46">
        <f>'Inputs (2)'!D28</f>
        <v>4801</v>
      </c>
      <c r="J194" s="46">
        <f>'Inputs (2)'!E28</f>
        <v>4708</v>
      </c>
      <c r="K194" s="46">
        <f>'Inputs (2)'!F28</f>
        <v>4616</v>
      </c>
      <c r="L194" s="46">
        <f>'Inputs (2)'!G28</f>
        <v>6037</v>
      </c>
      <c r="M194" s="12">
        <f>'Inputs (2)'!H28</f>
        <v>6037</v>
      </c>
      <c r="N194" s="46">
        <f>'Inputs (2)'!I28</f>
        <v>3436</v>
      </c>
      <c r="O194" s="46">
        <f>'Inputs (2)'!J28</f>
        <v>4409</v>
      </c>
      <c r="P194" s="46">
        <f>'Inputs (2)'!K28</f>
        <v>6303</v>
      </c>
      <c r="Q194" s="46">
        <f>'Inputs (2)'!L28</f>
        <v>5128</v>
      </c>
      <c r="R194" s="12">
        <f>'Inputs (2)'!M28</f>
        <v>5128</v>
      </c>
      <c r="S194" s="46">
        <f>'Inputs (2)'!N28</f>
        <v>4184</v>
      </c>
      <c r="T194" s="46">
        <f>'Inputs (2)'!O28</f>
        <v>5313</v>
      </c>
      <c r="U194" s="46">
        <f>'Inputs (2)'!P28</f>
        <v>5803</v>
      </c>
      <c r="V194" s="46">
        <f>'Inputs (2)'!Q28</f>
        <v>7493</v>
      </c>
      <c r="W194" s="12">
        <f>'Inputs (2)'!R28</f>
        <v>7493</v>
      </c>
      <c r="X194" s="46">
        <f>'Inputs (2)'!S28</f>
        <v>6198</v>
      </c>
      <c r="Y194" s="46">
        <f>'Inputs (2)'!T28</f>
        <v>6092</v>
      </c>
      <c r="Z194" s="46">
        <f>'Inputs (2)'!U28</f>
        <v>7049</v>
      </c>
      <c r="AA194" s="46">
        <f>'Inputs (2)'!V28</f>
        <v>7987</v>
      </c>
      <c r="AB194" s="12">
        <f>'Inputs (2)'!W28</f>
        <v>7987</v>
      </c>
      <c r="AC194" s="46">
        <f>'Inputs (2)'!X28</f>
        <v>8497</v>
      </c>
      <c r="AD194" s="46">
        <f>'Inputs (2)'!Y28</f>
        <v>8347</v>
      </c>
      <c r="AE194" s="46">
        <f>'Inputs (2)'!Z28</f>
        <v>10546</v>
      </c>
      <c r="AF194" s="46">
        <f>'Inputs (2)'!AA28</f>
        <v>12200</v>
      </c>
      <c r="AG194" s="12">
        <f>'Inputs (2)'!AB28</f>
        <v>12200</v>
      </c>
      <c r="AH194" s="12">
        <f>'Inputs (2)'!AC28</f>
        <v>16852</v>
      </c>
      <c r="AI194" s="12">
        <f>'Inputs (2)'!AD28</f>
        <v>20258</v>
      </c>
      <c r="AJ194" s="12">
        <f>(AJ195/(AJ$5-AI$5))*-AJ$50</f>
        <v>14263.0379976708</v>
      </c>
      <c r="AK194" s="12">
        <f>(AK195/(AK$5-AJ$5))*-AK$50</f>
        <v>15863.3200343625</v>
      </c>
      <c r="AL194" s="12">
        <f>AK194</f>
        <v>15863.3200343625</v>
      </c>
      <c r="AM194" s="12">
        <f>(AM195/(AM$5-AL$5))*-AM$50</f>
        <v>15655.5514071946</v>
      </c>
      <c r="AN194" s="12">
        <f>(AN195/(AN$5-AM$5))*-AN$50</f>
        <v>16878.3472479741</v>
      </c>
      <c r="AO194" s="12">
        <f>(AO195/(AO$5-AN$5))*-AO$50</f>
        <v>16777.9907420512</v>
      </c>
      <c r="AP194" s="12">
        <f>(AP195/(AP$5-AO$5))*-AP$50</f>
        <v>18660.4450411051</v>
      </c>
      <c r="AQ194" s="12">
        <f>AP194</f>
        <v>18660.4450411051</v>
      </c>
      <c r="AR194" s="12">
        <f>(AR195/(AR$5-AQ$5))*-AR$50</f>
        <v>18136.2496400589</v>
      </c>
      <c r="AS194" s="12">
        <f>(AS195/(AS$5-AR$5))*-AS$50</f>
        <v>19770.0567980681</v>
      </c>
      <c r="AT194" s="12">
        <f>(AT195/(AT$5-AS$5))*-AT$50</f>
        <v>19652.5065549666</v>
      </c>
      <c r="AU194" s="12">
        <f>(AU195/(AU$5-AT$5))*-AU$50</f>
        <v>21857.4753155501</v>
      </c>
      <c r="AV194" s="12">
        <f>AU194</f>
        <v>21857.4753155501</v>
      </c>
      <c r="AW194" s="12">
        <f>(AW195/(AW$5-AV$5))*-AW$50</f>
        <v>21387.8210604108</v>
      </c>
      <c r="AX194" s="12">
        <f>(AX195/(AX$5-AW$5))*-AX$50</f>
        <v>23058.3427786038</v>
      </c>
      <c r="AY194" s="12">
        <f>(AY195/(AY$5-AX$5))*-AY$50</f>
        <v>22921.2408053101</v>
      </c>
      <c r="AZ194" s="12">
        <f>(AZ195/(AZ$5-AY$5))*-AZ$50</f>
        <v>25492.95448408</v>
      </c>
      <c r="BA194" s="12">
        <f>AZ194</f>
        <v>25492.95448408</v>
      </c>
      <c r="BB194" s="12">
        <f>(BB195/(BB$5-BA$5))*-BB$50</f>
        <v>24838.2451364845</v>
      </c>
      <c r="BC194" s="12">
        <f>(BC195/(BC$5-BB$5))*-BC$50</f>
        <v>26778.2664142528</v>
      </c>
      <c r="BD194" s="12">
        <f>(BD195/(BD$5-BC$5))*-BD$50</f>
        <v>26619.0462481711</v>
      </c>
      <c r="BE194" s="12">
        <f>(BE195/(BE$5-BD$5))*-BE$50</f>
        <v>29605.6457055779</v>
      </c>
      <c r="BF194" s="12">
        <f>BE194</f>
        <v>29605.6457055779</v>
      </c>
      <c r="BG194" s="12" t="n"/>
      <c r="BH194" s="12" t="n"/>
      <c r="BI194" s="12" t="n"/>
      <c r="BJ194" s="12" t="n"/>
      <c r="BK194" s="12" t="n"/>
      <c r="BL194" s="12" t="n"/>
      <c r="BM194" s="12" t="n"/>
      <c r="BN194" s="12" t="n"/>
      <c r="BO194" s="12" t="n"/>
      <c r="BP194" s="12" t="n"/>
      <c r="BQ194" s="12" t="n"/>
      <c r="BR194" s="12" t="n"/>
      <c r="BS194" s="12" t="n"/>
      <c r="BT194" s="12" t="n"/>
      <c r="BU194" s="12" t="n"/>
      <c r="BV194" s="12" t="n"/>
      <c r="BW194" s="12" t="n"/>
      <c r="BX194" s="12" t="n"/>
      <c r="BY194" s="12" t="n"/>
      <c r="BZ194" s="12" t="n"/>
      <c r="CA194" s="12" t="n"/>
      <c r="CB194" s="12" t="n"/>
      <c r="CC194" s="12" t="n"/>
      <c r="CD194" s="12" t="n"/>
      <c r="CE194" s="12" t="n"/>
      <c r="CF194" s="12" t="n"/>
      <c r="CG194" s="12" t="n"/>
      <c r="CH194" s="12" t="n"/>
      <c r="CI194" s="12" t="n"/>
      <c r="CJ194" s="12" t="n"/>
      <c r="CK194" s="12" t="n"/>
      <c r="CL194" s="12" t="n"/>
      <c r="CM194" s="12" t="n"/>
      <c r="CN194" s="12" t="n"/>
      <c r="CO194" s="12" t="n"/>
      <c r="CP194" s="12" t="n"/>
      <c r="CQ194" s="12" t="n"/>
      <c r="CR194" s="12" t="n"/>
      <c r="CS194" s="12" t="n"/>
      <c r="CT194" s="12" t="n"/>
      <c r="CU194" s="12" t="n"/>
      <c r="CV194" s="12" t="n"/>
      <c r="CW194" s="12" t="n"/>
      <c r="CX194" s="12" t="n"/>
      <c r="CY194" s="12" t="n"/>
    </row>
    <row r="195" hidden="1" outlineLevel="1">
      <c r="C195" s="57" t="inlineStr">
        <is>
          <t>DPO</t>
        </is>
      </c>
      <c r="D195" s="12" t="n"/>
      <c r="E195" s="12" t="n"/>
      <c r="F195" s="12" t="n"/>
      <c r="G195" s="12" t="n"/>
      <c r="H195" s="12" t="n"/>
      <c r="I195" s="12">
        <f>IFERROR(-(I194/I$50)*(I$5-H$5),"")</f>
        <v>17.9268140895324</v>
      </c>
      <c r="J195" s="12">
        <f>IFERROR(-(J194/J$50)*(J$5-I$5),"")</f>
        <v>16.3353795706714</v>
      </c>
      <c r="K195" s="12">
        <f>IFERROR(-(K194/K$50)*(K$5-J$5),"")</f>
        <v>15.3749683212049</v>
      </c>
      <c r="L195" s="12">
        <f>IFERROR(-(L194/L$50)*(L$5-K$5),"")</f>
        <v>16.8365466230144</v>
      </c>
      <c r="M195" s="12" t="n"/>
      <c r="N195" s="12">
        <f>IFERROR(-(N194/N$50)*(N$5-M$5),"")</f>
        <v>10.4476502584547</v>
      </c>
      <c r="O195" s="12">
        <f>IFERROR(-(O194/O$50)*(O$5-N$5),"")</f>
        <v>13.3277637523253</v>
      </c>
      <c r="P195" s="12">
        <f>IFERROR(-(P194/P$50)*(P$5-O$5),"")</f>
        <v>18.6108222607356</v>
      </c>
      <c r="Q195" s="12">
        <f>IFERROR(-(Q194/Q$50)*(Q$5-P$5),"")</f>
        <v>13.3488766906231</v>
      </c>
      <c r="R195" s="12" t="n"/>
      <c r="S195" s="12">
        <f>IFERROR(-(S194/S$50)*(S$5-R$5),"")</f>
        <v>12.3010584084673</v>
      </c>
      <c r="T195" s="12">
        <f>IFERROR(-(T194/T$50)*(T$5-S$5),"")</f>
        <v>15.1486088482266</v>
      </c>
      <c r="U195" s="12">
        <f>IFERROR(-(U194/U$50)*(U$5-T$5),"")</f>
        <v>16.0665683589636</v>
      </c>
      <c r="V195" s="12">
        <f>IFERROR(-(V194/V$50)*(V$5-U$5),"")</f>
        <v>18.3461343978709</v>
      </c>
      <c r="W195" s="12" t="n"/>
      <c r="X195" s="12">
        <f>IFERROR(-(X194/X$50)*(X$5-W$5),"")</f>
        <v>16.7304817275748</v>
      </c>
      <c r="Y195" s="12">
        <f>IFERROR(-(Y194/Y$50)*(Y$5-X$5),"")</f>
        <v>15.613034049624</v>
      </c>
      <c r="Z195" s="12">
        <f>IFERROR(-(Z194/Z$50)*(Z$5-Y$5),"")</f>
        <v>17.7800076767012</v>
      </c>
      <c r="AA195" s="12">
        <f>IFERROR(-(AA194/AA$50)*(AA$5-Z$5),"")</f>
        <v>18.0928274197917</v>
      </c>
      <c r="AB195" s="12" t="n"/>
      <c r="AC195" s="12">
        <f>IFERROR(-(AC194/AC$50)*(AC$5-AB$5),"")</f>
        <v>21.0315997909849</v>
      </c>
      <c r="AD195" s="12">
        <f>IFERROR(-(AD194/AD$50)*(AD$5-AC$5),"")</f>
        <v>19.4568764568765</v>
      </c>
      <c r="AE195" s="12">
        <f>IFERROR(-(AE194/AE$50)*(AE$5-AD$5),"")</f>
        <v>23.4531170683362</v>
      </c>
      <c r="AF195" s="11">
        <f>IFERROR(-(AF194/AF$50)*(AF$5-AE$5),"")</f>
        <v>24.5242205082265</v>
      </c>
      <c r="AG195" s="12" t="n"/>
      <c r="AH195" s="11">
        <f>IFERROR(-(AH194/AH$50)*(AH$5-AG$5),"")</f>
        <v>36.749291269899</v>
      </c>
      <c r="AI195" s="11">
        <f>IFERROR(-(AI194/AI$50)*(AI$5-AH$5),"")</f>
        <v>40.1253292122848</v>
      </c>
      <c r="AJ195" s="11">
        <f>Control!$B$27</f>
        <v>27.5567390511013</v>
      </c>
      <c r="AK195" s="11">
        <f>Control!$B$27</f>
        <v>27.5567390511013</v>
      </c>
      <c r="AL195" s="12" t="n"/>
      <c r="AM195" s="11">
        <f>Control!$C$27</f>
        <v>27.5567390511013</v>
      </c>
      <c r="AN195" s="11">
        <f>Control!$C$27</f>
        <v>27.5567390511013</v>
      </c>
      <c r="AO195" s="11">
        <f>Control!$C$27</f>
        <v>27.5567390511013</v>
      </c>
      <c r="AP195" s="11">
        <f>Control!$C$27</f>
        <v>27.5567390511013</v>
      </c>
      <c r="AQ195" s="12" t="n"/>
      <c r="AR195" s="11">
        <f>Control!$D$27</f>
        <v>27.5567390511013</v>
      </c>
      <c r="AS195" s="11">
        <f>Control!$D$27</f>
        <v>27.5567390511013</v>
      </c>
      <c r="AT195" s="11">
        <f>Control!$D$27</f>
        <v>27.5567390511013</v>
      </c>
      <c r="AU195" s="11">
        <f>Control!$D$27</f>
        <v>27.5567390511013</v>
      </c>
      <c r="AV195" s="12" t="n"/>
      <c r="AW195" s="11">
        <f>Control!$E$27</f>
        <v>27.5567390511013</v>
      </c>
      <c r="AX195" s="11">
        <f>Control!$E$27</f>
        <v>27.5567390511013</v>
      </c>
      <c r="AY195" s="11">
        <f>Control!$E$27</f>
        <v>27.5567390511013</v>
      </c>
      <c r="AZ195" s="11">
        <f>Control!$E$27</f>
        <v>27.5567390511013</v>
      </c>
      <c r="BA195" s="12" t="n"/>
      <c r="BB195" s="11">
        <f>Control!$F$27</f>
        <v>27.5567390511013</v>
      </c>
      <c r="BC195" s="11">
        <f>Control!$F$27</f>
        <v>27.5567390511013</v>
      </c>
      <c r="BD195" s="11">
        <f>Control!$F$27</f>
        <v>27.5567390511013</v>
      </c>
      <c r="BE195" s="11">
        <f>Control!$F$27</f>
        <v>27.5567390511013</v>
      </c>
      <c r="BF195" s="12" t="n"/>
      <c r="BG195" s="11" t="n"/>
      <c r="BH195" s="11" t="n"/>
      <c r="BI195" s="11" t="n"/>
      <c r="BJ195" s="11" t="n"/>
      <c r="BK195" s="12" t="n"/>
      <c r="BL195" s="11" t="n"/>
      <c r="BM195" s="11" t="n"/>
      <c r="BN195" s="11" t="n"/>
      <c r="BO195" s="11" t="n"/>
      <c r="BP195" s="12" t="n"/>
      <c r="BQ195" s="11" t="n"/>
      <c r="BR195" s="11" t="n"/>
      <c r="BS195" s="11" t="n"/>
      <c r="BT195" s="11" t="n"/>
      <c r="BU195" s="12" t="n"/>
      <c r="BV195" s="11" t="n"/>
      <c r="BW195" s="11" t="n"/>
      <c r="BX195" s="11" t="n"/>
      <c r="BY195" s="11" t="n"/>
      <c r="BZ195" s="12" t="n"/>
      <c r="CA195" s="11" t="n"/>
      <c r="CB195" s="11" t="n"/>
      <c r="CC195" s="11" t="n"/>
      <c r="CD195" s="11" t="n"/>
      <c r="CE195" s="12" t="n"/>
      <c r="CF195" s="11" t="n"/>
      <c r="CG195" s="11" t="n"/>
      <c r="CH195" s="11" t="n"/>
      <c r="CI195" s="11" t="n"/>
      <c r="CJ195" s="12" t="n"/>
      <c r="CK195" s="11" t="n"/>
      <c r="CL195" s="11" t="n"/>
      <c r="CM195" s="11" t="n"/>
      <c r="CN195" s="11" t="n"/>
      <c r="CO195" s="12" t="n"/>
      <c r="CP195" s="11" t="n"/>
      <c r="CQ195" s="11" t="n"/>
      <c r="CR195" s="11" t="n"/>
      <c r="CS195" s="11" t="n"/>
      <c r="CT195" s="12" t="n"/>
      <c r="CU195" s="11" t="n"/>
      <c r="CV195" s="11" t="n"/>
      <c r="CW195" s="11" t="n"/>
      <c r="CX195" s="11" t="n"/>
      <c r="CY195" s="12" t="n"/>
    </row>
    <row r="196" hidden="1" outlineLevel="1">
      <c r="C196" s="57" t="n"/>
      <c r="D196" s="12" t="n"/>
      <c r="E196" s="12" t="n"/>
      <c r="F196" s="12" t="n"/>
      <c r="G196" s="12" t="n"/>
      <c r="H196" s="12" t="n"/>
      <c r="I196" s="12" t="n"/>
      <c r="J196" s="12" t="n"/>
      <c r="K196" s="12" t="n"/>
      <c r="L196" s="12" t="n"/>
      <c r="M196" s="12" t="n"/>
      <c r="N196" s="12" t="n"/>
      <c r="O196" s="12" t="n"/>
      <c r="P196" s="12" t="n"/>
      <c r="Q196" s="12" t="n"/>
      <c r="R196" s="12" t="n"/>
      <c r="S196" s="12" t="n"/>
      <c r="T196" s="12" t="n"/>
      <c r="U196" s="12" t="n"/>
      <c r="V196" s="12" t="n"/>
      <c r="W196" s="12" t="n"/>
      <c r="X196" s="12" t="n"/>
      <c r="Y196" s="12" t="n"/>
      <c r="Z196" s="12" t="n"/>
      <c r="AA196" s="12" t="n"/>
      <c r="AB196" s="12" t="n"/>
      <c r="AC196" s="12" t="n"/>
      <c r="AD196" s="12" t="n"/>
      <c r="AE196" s="12" t="n"/>
      <c r="AF196" s="12" t="n"/>
      <c r="AG196" s="12" t="n"/>
      <c r="AH196" s="12" t="n"/>
      <c r="AI196" s="12" t="n"/>
      <c r="AJ196" s="12" t="n"/>
      <c r="AK196" s="12" t="n"/>
      <c r="AL196" s="12" t="n"/>
      <c r="AM196" s="12" t="n"/>
      <c r="AN196" s="12" t="n"/>
      <c r="AO196" s="12" t="n"/>
      <c r="AP196" s="12" t="n"/>
      <c r="AQ196" s="12" t="n"/>
      <c r="AR196" s="12" t="n"/>
      <c r="AS196" s="12" t="n"/>
      <c r="AT196" s="12" t="n"/>
      <c r="AU196" s="12" t="n"/>
      <c r="AV196" s="12" t="n"/>
      <c r="AW196" s="12" t="n"/>
      <c r="AX196" s="12" t="n"/>
      <c r="AY196" s="12" t="n"/>
      <c r="AZ196" s="12" t="n"/>
      <c r="BA196" s="12" t="n"/>
      <c r="BB196" s="12" t="n"/>
      <c r="BC196" s="12" t="n"/>
      <c r="BD196" s="12" t="n"/>
      <c r="BE196" s="12" t="n"/>
      <c r="BF196" s="12" t="n"/>
      <c r="BG196" s="12" t="n"/>
      <c r="BH196" s="12" t="n"/>
      <c r="BI196" s="12" t="n"/>
      <c r="BJ196" s="12" t="n"/>
      <c r="BK196" s="12" t="n"/>
      <c r="BL196" s="12" t="n"/>
      <c r="BM196" s="12" t="n"/>
      <c r="BN196" s="12" t="n"/>
      <c r="BO196" s="12" t="n"/>
      <c r="BP196" s="12" t="n"/>
      <c r="BQ196" s="12" t="n"/>
      <c r="BR196" s="12" t="n"/>
      <c r="BS196" s="12" t="n"/>
      <c r="BT196" s="12" t="n"/>
      <c r="BU196" s="12" t="n"/>
      <c r="BV196" s="12" t="n"/>
      <c r="BW196" s="12" t="n"/>
      <c r="BX196" s="12" t="n"/>
      <c r="BY196" s="12" t="n"/>
      <c r="BZ196" s="12" t="n"/>
      <c r="CA196" s="12" t="n"/>
      <c r="CB196" s="12" t="n"/>
      <c r="CC196" s="12" t="n"/>
      <c r="CD196" s="12" t="n"/>
      <c r="CE196" s="12" t="n"/>
      <c r="CF196" s="12" t="n"/>
      <c r="CG196" s="12" t="n"/>
      <c r="CH196" s="12" t="n"/>
      <c r="CI196" s="12" t="n"/>
      <c r="CJ196" s="12" t="n"/>
      <c r="CK196" s="12" t="n"/>
      <c r="CL196" s="12" t="n"/>
      <c r="CM196" s="12" t="n"/>
      <c r="CN196" s="12" t="n"/>
      <c r="CO196" s="12" t="n"/>
      <c r="CP196" s="12" t="n"/>
      <c r="CQ196" s="12" t="n"/>
      <c r="CR196" s="12" t="n"/>
      <c r="CS196" s="12" t="n"/>
      <c r="CT196" s="12" t="n"/>
      <c r="CU196" s="12" t="n"/>
      <c r="CV196" s="12" t="n"/>
      <c r="CW196" s="12" t="n"/>
      <c r="CX196" s="12" t="n"/>
      <c r="CY196" s="12" t="n"/>
    </row>
    <row r="197" hidden="1" outlineLevel="1">
      <c r="C197" s="57" t="n"/>
      <c r="D197" s="12" t="n"/>
      <c r="E197" s="12" t="n"/>
      <c r="F197" s="12" t="n"/>
      <c r="G197" s="12" t="n"/>
      <c r="H197" s="12" t="n"/>
      <c r="I197" s="12" t="n"/>
      <c r="J197" s="12" t="n"/>
      <c r="K197" s="12" t="n"/>
      <c r="L197" s="12" t="n"/>
      <c r="M197" s="12" t="n"/>
      <c r="N197" s="12" t="n"/>
      <c r="O197" s="12" t="n"/>
      <c r="P197" s="12" t="n"/>
      <c r="Q197" s="12" t="n"/>
      <c r="R197" s="12" t="n"/>
      <c r="S197" s="12" t="n"/>
      <c r="T197" s="12" t="n"/>
      <c r="U197" s="12" t="n"/>
      <c r="V197" s="12" t="n"/>
      <c r="W197" s="12" t="n"/>
      <c r="X197" s="12" t="n"/>
      <c r="Y197" s="12" t="n"/>
      <c r="Z197" s="12" t="n"/>
      <c r="AA197" s="12" t="n"/>
      <c r="AB197" s="12" t="n"/>
      <c r="AC197" s="12" t="n"/>
      <c r="AD197" s="12" t="n"/>
      <c r="AE197" s="12" t="n"/>
      <c r="AF197" s="12" t="n"/>
      <c r="AG197" s="12" t="n"/>
      <c r="AH197" s="12" t="n"/>
      <c r="AI197" s="12" t="n"/>
      <c r="AJ197" s="12" t="n"/>
      <c r="AK197" s="12" t="n"/>
      <c r="AL197" s="12" t="n"/>
      <c r="AM197" s="12" t="n"/>
      <c r="AN197" s="12" t="n"/>
      <c r="AO197" s="12" t="n"/>
      <c r="AP197" s="12" t="n"/>
      <c r="AQ197" s="12" t="n"/>
      <c r="AR197" s="12" t="n"/>
      <c r="AS197" s="12" t="n"/>
      <c r="AT197" s="12" t="n"/>
      <c r="AU197" s="12" t="n"/>
      <c r="AV197" s="12" t="n"/>
      <c r="AW197" s="12" t="n"/>
      <c r="AX197" s="12" t="n"/>
      <c r="AY197" s="12" t="n"/>
      <c r="AZ197" s="12" t="n"/>
      <c r="BA197" s="12" t="n"/>
      <c r="BB197" s="12" t="n"/>
      <c r="BC197" s="12" t="n"/>
      <c r="BD197" s="12" t="n"/>
      <c r="BE197" s="12" t="n"/>
      <c r="BF197" s="12" t="n"/>
      <c r="BG197" s="12" t="n"/>
      <c r="BH197" s="12" t="n"/>
      <c r="BI197" s="12" t="n"/>
      <c r="BJ197" s="12" t="n"/>
      <c r="BK197" s="12" t="n"/>
      <c r="BL197" s="12" t="n"/>
      <c r="BM197" s="12" t="n"/>
      <c r="BN197" s="12" t="n"/>
      <c r="BO197" s="12" t="n"/>
      <c r="BP197" s="12" t="n"/>
      <c r="BQ197" s="12" t="n"/>
      <c r="BR197" s="12" t="n"/>
      <c r="BS197" s="12" t="n"/>
      <c r="BT197" s="12" t="n"/>
      <c r="BU197" s="12" t="n"/>
      <c r="BV197" s="12" t="n"/>
      <c r="BW197" s="12" t="n"/>
      <c r="BX197" s="12" t="n"/>
      <c r="BY197" s="12" t="n"/>
      <c r="BZ197" s="12" t="n"/>
      <c r="CA197" s="12" t="n"/>
      <c r="CB197" s="12" t="n"/>
      <c r="CC197" s="12" t="n"/>
      <c r="CD197" s="12" t="n"/>
      <c r="CE197" s="12" t="n"/>
      <c r="CF197" s="12" t="n"/>
      <c r="CG197" s="12" t="n"/>
      <c r="CH197" s="12" t="n"/>
      <c r="CI197" s="12" t="n"/>
      <c r="CJ197" s="12" t="n"/>
      <c r="CK197" s="12" t="n"/>
      <c r="CL197" s="12" t="n"/>
      <c r="CM197" s="12" t="n"/>
      <c r="CN197" s="12" t="n"/>
      <c r="CO197" s="12" t="n"/>
      <c r="CP197" s="12" t="n"/>
      <c r="CQ197" s="12" t="n"/>
      <c r="CR197" s="12" t="n"/>
      <c r="CS197" s="12" t="n"/>
      <c r="CT197" s="12" t="n"/>
      <c r="CU197" s="12" t="n"/>
      <c r="CV197" s="12" t="n"/>
      <c r="CW197" s="12" t="n"/>
      <c r="CX197" s="12" t="n"/>
      <c r="CY197" s="12" t="n"/>
    </row>
    <row r="198" collapsed="1">
      <c r="C198" s="14" t="inlineStr">
        <is>
          <t>Accrued expenses</t>
        </is>
      </c>
      <c r="D198" s="46" t="n"/>
      <c r="E198" s="46" t="n"/>
      <c r="F198" s="46" t="n"/>
      <c r="G198" s="46" t="n"/>
      <c r="H198" s="12" t="n"/>
      <c r="I198" s="46">
        <f>'Inputs (2)'!D29</f>
        <v>46069</v>
      </c>
      <c r="J198" s="46">
        <f>'Inputs (2)'!E29</f>
        <v>46507</v>
      </c>
      <c r="K198" s="46">
        <f>'Inputs (2)'!F29</f>
        <v>50028</v>
      </c>
      <c r="L198" s="46">
        <f>'Inputs (2)'!G29</f>
        <v>54121</v>
      </c>
      <c r="M198" s="12">
        <f>'Inputs (2)'!H29</f>
        <v>54121</v>
      </c>
      <c r="N198" s="46">
        <f>'Inputs (2)'!I29</f>
        <v>50970</v>
      </c>
      <c r="O198" s="46">
        <f>'Inputs (2)'!J29</f>
        <v>51717</v>
      </c>
      <c r="P198" s="46">
        <f>'Inputs (2)'!K29</f>
        <v>55066</v>
      </c>
      <c r="Q198" s="46">
        <f>'Inputs (2)'!L29</f>
        <v>60264</v>
      </c>
      <c r="R198" s="12">
        <f>'Inputs (2)'!M29</f>
        <v>60264</v>
      </c>
      <c r="S198" s="46">
        <f>'Inputs (2)'!N29</f>
        <v>60955</v>
      </c>
      <c r="T198" s="46">
        <f>'Inputs (2)'!O29</f>
        <v>68550</v>
      </c>
      <c r="U198" s="46">
        <f>'Inputs (2)'!P29</f>
        <v>76189</v>
      </c>
      <c r="V198" s="46">
        <f>'Inputs (2)'!Q29</f>
        <v>70184</v>
      </c>
      <c r="W198" s="12">
        <f>'Inputs (2)'!R29</f>
        <v>70184</v>
      </c>
      <c r="X198" s="46">
        <f>'Inputs (2)'!S29</f>
        <v>66826</v>
      </c>
      <c r="Y198" s="46">
        <f>'Inputs (2)'!T29</f>
        <v>67570</v>
      </c>
      <c r="Z198" s="46">
        <f>'Inputs (2)'!U29</f>
        <v>68858</v>
      </c>
      <c r="AA198" s="46">
        <f>'Inputs (2)'!V29</f>
        <v>76099</v>
      </c>
      <c r="AB198" s="12">
        <f>'Inputs (2)'!W29</f>
        <v>76099</v>
      </c>
      <c r="AC198" s="46">
        <f>'Inputs (2)'!X29</f>
        <v>78249</v>
      </c>
      <c r="AD198" s="46">
        <f>'Inputs (2)'!Y29</f>
        <v>73994</v>
      </c>
      <c r="AE198" s="46">
        <f>'Inputs (2)'!Z29</f>
        <v>83462</v>
      </c>
      <c r="AF198" s="46">
        <f>'Inputs (2)'!AA29</f>
        <v>83967</v>
      </c>
      <c r="AG198" s="12">
        <f>'Inputs (2)'!AB29</f>
        <v>83967</v>
      </c>
      <c r="AH198" s="12">
        <f>'Inputs (2)'!AC29</f>
        <v>87174</v>
      </c>
      <c r="AI198" s="12">
        <f>'Inputs (2)'!AD29</f>
        <v>98699</v>
      </c>
      <c r="AJ198" s="12">
        <f>AI198*(1+AJ16)</f>
        <v>116102.257353597</v>
      </c>
      <c r="AK198" s="12">
        <f>AJ198*(1+AK16)</f>
        <v>136574.171598506</v>
      </c>
      <c r="AL198" s="12">
        <f>AK198</f>
        <v>136574.171598506</v>
      </c>
      <c r="AM198" s="12">
        <f>AL198*(1+AM16)</f>
        <v>160655.828516845</v>
      </c>
      <c r="AN198" s="12">
        <f>AM198*(1+AN16)</f>
        <v>188983.721697465</v>
      </c>
      <c r="AO198" s="12">
        <f>AN198*(1+AO16)</f>
        <v>222306.575468442</v>
      </c>
      <c r="AP198" s="12">
        <f>AO198*(1+AP16)</f>
        <v>261505.134159758</v>
      </c>
      <c r="AQ198" s="12">
        <f>AP198</f>
        <v>261505.134159758</v>
      </c>
      <c r="AR198" s="12">
        <f>AQ198*(1+AR16)</f>
        <v>306307.915068248</v>
      </c>
      <c r="AS198" s="12">
        <f>AR198*(1+AS16)</f>
        <v>358786.60331058</v>
      </c>
      <c r="AT198" s="12">
        <f>AS198*(1+AT16)</f>
        <v>420256.28585687</v>
      </c>
      <c r="AU198" s="12">
        <f>AT198*(1+AU16)</f>
        <v>492257.359033347</v>
      </c>
      <c r="AV198" s="12">
        <f>AU198</f>
        <v>492257.359033347</v>
      </c>
      <c r="AW198" s="12">
        <f>AV198*(1+AW16)</f>
        <v>574132.843209146</v>
      </c>
      <c r="AX198" s="12">
        <f>AW198*(1+AX16)</f>
        <v>669626.396848011</v>
      </c>
      <c r="AY198" s="12">
        <f>AX198*(1+AY16)</f>
        <v>781003.066902246</v>
      </c>
      <c r="AZ198" s="12">
        <f>AY198*(1+AZ16)</f>
        <v>910904.637842648</v>
      </c>
      <c r="BA198" s="12">
        <f>AZ198</f>
        <v>910904.637842648</v>
      </c>
      <c r="BB198" s="12">
        <f>BA198*(1+BB16)</f>
        <v>1057857.76993319</v>
      </c>
      <c r="BC198" s="12">
        <f>BB198*(1+BC16)</f>
        <v>1228518.34859286</v>
      </c>
      <c r="BD198" s="12">
        <f>BC198*(1+BD16)</f>
        <v>1426711.01515342</v>
      </c>
      <c r="BE198" s="12">
        <f>BD198*(1+BE16)</f>
        <v>1656877.42726152</v>
      </c>
      <c r="BF198" s="12">
        <f>BE198</f>
        <v>1656877.42726152</v>
      </c>
      <c r="BG198" s="12" t="n"/>
      <c r="BH198" s="12" t="n"/>
      <c r="BI198" s="12" t="n"/>
      <c r="BJ198" s="12" t="n"/>
      <c r="BK198" s="12" t="n"/>
      <c r="BL198" s="12" t="n"/>
      <c r="BM198" s="12" t="n"/>
      <c r="BN198" s="12" t="n"/>
      <c r="BO198" s="12" t="n"/>
      <c r="BP198" s="12" t="n"/>
      <c r="BQ198" s="12" t="n"/>
      <c r="BR198" s="12" t="n"/>
      <c r="BS198" s="12" t="n"/>
      <c r="BT198" s="12" t="n"/>
      <c r="BU198" s="12" t="n"/>
      <c r="BV198" s="12" t="n"/>
      <c r="BW198" s="12" t="n"/>
      <c r="BX198" s="12" t="n"/>
      <c r="BY198" s="12" t="n"/>
      <c r="BZ198" s="12" t="n"/>
      <c r="CA198" s="12" t="n"/>
      <c r="CB198" s="12" t="n"/>
      <c r="CC198" s="12" t="n"/>
      <c r="CD198" s="12" t="n"/>
      <c r="CE198" s="12" t="n"/>
      <c r="CF198" s="12" t="n"/>
      <c r="CG198" s="12" t="n"/>
      <c r="CH198" s="12" t="n"/>
      <c r="CI198" s="12" t="n"/>
      <c r="CJ198" s="12" t="n"/>
      <c r="CK198" s="12" t="n"/>
      <c r="CL198" s="12" t="n"/>
      <c r="CM198" s="12" t="n"/>
      <c r="CN198" s="12" t="n"/>
      <c r="CO198" s="12" t="n"/>
      <c r="CP198" s="12" t="n"/>
      <c r="CQ198" s="12" t="n"/>
      <c r="CR198" s="12" t="n"/>
      <c r="CS198" s="12" t="n"/>
      <c r="CT198" s="12" t="n"/>
      <c r="CU198" s="12" t="n"/>
      <c r="CV198" s="12" t="n"/>
      <c r="CW198" s="12" t="n"/>
      <c r="CX198" s="12" t="n"/>
      <c r="CY198" s="12" t="n"/>
    </row>
    <row r="199" hidden="1" outlineLevel="1">
      <c r="C199" s="59" t="inlineStr">
        <is>
          <t>%(Var.)</t>
        </is>
      </c>
      <c r="D199" s="12" t="n"/>
      <c r="E199" s="40" t="n"/>
      <c r="F199" s="40" t="n"/>
      <c r="G199" s="40" t="n"/>
      <c r="H199" s="12" t="n"/>
      <c r="I199" s="40" t="str">
        <f>""</f>
        <v/>
      </c>
      <c r="J199" s="40">
        <f>IFERROR(IF(I198=0,"",J198/I198-1),"")</f>
        <v>0.00950747791356443</v>
      </c>
      <c r="K199" s="40">
        <f>IFERROR(IF(J198=0,"",K198/J198-1),"")</f>
        <v>0.0757090330487884</v>
      </c>
      <c r="L199" s="40">
        <f>IFERROR(IF(K198=0,"",L198/K198-1),"")</f>
        <v>0.0818141840569282</v>
      </c>
      <c r="M199" s="12">
        <f>IF(L198=0,"",M198/L198-1)</f>
        <v>0</v>
      </c>
      <c r="N199" s="40">
        <f>IFERROR(IF(M198=0,"",N198/M198-1),"")</f>
        <v>-0.058221392805011</v>
      </c>
      <c r="O199" s="40">
        <f>IFERROR(IF(N198=0,"",O198/N198-1),"")</f>
        <v>0.0146556798116539</v>
      </c>
      <c r="P199" s="40">
        <f>IFERROR(IF(O198=0,"",P198/O198-1),"")</f>
        <v>0.0647562696985518</v>
      </c>
      <c r="Q199" s="40">
        <f>IFERROR(IF(P198=0,"",Q198/P198-1),"")</f>
        <v>0.0943958159299749</v>
      </c>
      <c r="R199" s="12">
        <f>IF(Q198=0,"",R198/Q198-1)</f>
        <v>0</v>
      </c>
      <c r="S199" s="40">
        <f>IFERROR(IF(R198=0,"",S198/R198-1),"")</f>
        <v>0.011466215319262</v>
      </c>
      <c r="T199" s="40">
        <f>IFERROR(IF(S198=0,"",T198/S198-1),"")</f>
        <v>0.124600114838816</v>
      </c>
      <c r="U199" s="40">
        <f>IFERROR(IF(T198=0,"",U198/T198-1),"")</f>
        <v>0.111436907366886</v>
      </c>
      <c r="V199" s="40">
        <f>IFERROR(IF(U198=0,"",V198/U198-1),"")</f>
        <v>-0.0788171520823215</v>
      </c>
      <c r="W199" s="12">
        <f>IF(V198=0,"",W198/V198-1)</f>
        <v>0</v>
      </c>
      <c r="X199" s="40">
        <f>IFERROR(IF(W198=0,"",X198/W198-1),"")</f>
        <v>-0.0478456628291348</v>
      </c>
      <c r="Y199" s="40">
        <f>IFERROR(IF(X198=0,"",Y198/X198-1),"")</f>
        <v>0.0111333911950438</v>
      </c>
      <c r="Z199" s="40">
        <f>IFERROR(IF(Y198=0,"",Z198/Y198-1),"")</f>
        <v>0.019061713778304</v>
      </c>
      <c r="AA199" s="40">
        <f>IFERROR(IF(Z198=0,"",AA198/Z198-1),"")</f>
        <v>0.105158442011095</v>
      </c>
      <c r="AB199" s="12">
        <f>IF(AA198=0,"",AB198/AA198-1)</f>
        <v>0</v>
      </c>
      <c r="AC199" s="40">
        <f>IFERROR(IF(AB198=0,"",AC198/AB198-1),"")</f>
        <v>0.0282526708629549</v>
      </c>
      <c r="AD199" s="40">
        <f>IFERROR(IF(AC198=0,"",AD198/AC198-1),"")</f>
        <v>-0.0543776917276898</v>
      </c>
      <c r="AE199" s="40">
        <f>IFERROR(IF(AD198=0,"",AE198/AD198-1),"")</f>
        <v>0.127956320782766</v>
      </c>
      <c r="AF199" s="55">
        <f>IFERROR(IF(AE198=0,"",AF198/AE198-1),"")</f>
        <v>0.00605065778438085</v>
      </c>
      <c r="AG199" s="12">
        <f>IF(AF198=0,"",AG198/AF198-1)</f>
        <v>0</v>
      </c>
      <c r="AH199" s="55">
        <f>IFERROR(IF(AG198=0,"",AH198/AG198-1),"")</f>
        <v>0.038193576047733</v>
      </c>
      <c r="AI199" s="55">
        <f>IFERROR(IF(AH198=0,"",AI198/AH198-1),"")</f>
        <v>0.132206850666483</v>
      </c>
      <c r="AJ199" s="55">
        <f>IFERROR(IF(AI198=0,"",AJ198/AI198-1),"")</f>
        <v>0.176326582372641</v>
      </c>
      <c r="AK199" s="55">
        <f>IF(AJ198=0,"",AK198/AJ198-1)</f>
        <v>0.176326582372641</v>
      </c>
      <c r="AL199" s="12">
        <f>IF(AK198=0,"",AL198/AK198-1)</f>
        <v>0</v>
      </c>
      <c r="AM199" s="55">
        <f>IF(AL198=0,"",AM198/AL198-1)</f>
        <v>0.176326582372641</v>
      </c>
      <c r="AN199" s="55">
        <f>IF(AM198=0,"",AN198/AM198-1)</f>
        <v>0.176326582372641</v>
      </c>
      <c r="AO199" s="55">
        <f>IF(AN198=0,"",AO198/AN198-1)</f>
        <v>0.176326582372641</v>
      </c>
      <c r="AP199" s="55">
        <f>IF(AO198=0,"",AP198/AO198-1)</f>
        <v>0.176326582372641</v>
      </c>
      <c r="AQ199" s="12">
        <f>IF(AP198=0,"",AQ198/AP198-1)</f>
        <v>0</v>
      </c>
      <c r="AR199" s="55">
        <f>IF(AQ198=0,"",AR198/AQ198-1)</f>
        <v>0.171326582372641</v>
      </c>
      <c r="AS199" s="55">
        <f>IF(AR198=0,"",AS198/AR198-1)</f>
        <v>0.171326582372641</v>
      </c>
      <c r="AT199" s="55">
        <f>IF(AS198=0,"",AT198/AS198-1)</f>
        <v>0.171326582372641</v>
      </c>
      <c r="AU199" s="55">
        <f>IF(AT198=0,"",AU198/AT198-1)</f>
        <v>0.171326582372641</v>
      </c>
      <c r="AV199" s="12">
        <f>IF(AU198=0,"",AV198/AU198-1)</f>
        <v>0</v>
      </c>
      <c r="AW199" s="55">
        <f>IF(AV198=0,"",AW198/AV198-1)</f>
        <v>0.166326582372641</v>
      </c>
      <c r="AX199" s="55">
        <f>IF(AW198=0,"",AX198/AW198-1)</f>
        <v>0.166326582372641</v>
      </c>
      <c r="AY199" s="55">
        <f>IF(AX198=0,"",AY198/AX198-1)</f>
        <v>0.166326582372641</v>
      </c>
      <c r="AZ199" s="55">
        <f>IF(AY198=0,"",AZ198/AY198-1)</f>
        <v>0.166326582372641</v>
      </c>
      <c r="BA199" s="12">
        <f>IF(AZ198=0,"",BA198/AZ198-1)</f>
        <v>0</v>
      </c>
      <c r="BB199" s="55">
        <f>IF(BA198=0,"",BB198/BA198-1)</f>
        <v>0.161326582372641</v>
      </c>
      <c r="BC199" s="55">
        <f>IF(BB198=0,"",BC198/BB198-1)</f>
        <v>0.161326582372641</v>
      </c>
      <c r="BD199" s="55">
        <f>IF(BC198=0,"",BD198/BC198-1)</f>
        <v>0.161326582372641</v>
      </c>
      <c r="BE199" s="55">
        <f>IF(BD198=0,"",BE198/BD198-1)</f>
        <v>0.161326582372641</v>
      </c>
      <c r="BF199" s="12">
        <f>IF(BE198=0,"",BF198/BE198-1)</f>
        <v>0</v>
      </c>
      <c r="BG199" s="55" t="n"/>
      <c r="BH199" s="55" t="n"/>
      <c r="BI199" s="55" t="n"/>
      <c r="BJ199" s="55" t="n"/>
      <c r="BK199" s="12" t="n"/>
      <c r="BL199" s="55" t="n"/>
      <c r="BM199" s="55" t="n"/>
      <c r="BN199" s="55" t="n"/>
      <c r="BO199" s="55" t="n"/>
      <c r="BP199" s="12" t="n"/>
      <c r="BQ199" s="55" t="n"/>
      <c r="BR199" s="55" t="n"/>
      <c r="BS199" s="55" t="n"/>
      <c r="BT199" s="55" t="n"/>
      <c r="BU199" s="12" t="n"/>
      <c r="BV199" s="55" t="n"/>
      <c r="BW199" s="55" t="n"/>
      <c r="BX199" s="55" t="n"/>
      <c r="BY199" s="55" t="n"/>
      <c r="BZ199" s="12" t="n"/>
      <c r="CA199" s="55" t="n"/>
      <c r="CB199" s="55" t="n"/>
      <c r="CC199" s="55" t="n"/>
      <c r="CD199" s="55" t="n"/>
      <c r="CE199" s="12" t="n"/>
      <c r="CF199" s="55" t="n"/>
      <c r="CG199" s="55" t="n"/>
      <c r="CH199" s="55" t="n"/>
      <c r="CI199" s="55" t="n"/>
      <c r="CJ199" s="12" t="n"/>
      <c r="CK199" s="55" t="n"/>
      <c r="CL199" s="55" t="n"/>
      <c r="CM199" s="55" t="n"/>
      <c r="CN199" s="55" t="n"/>
      <c r="CO199" s="12" t="n"/>
      <c r="CP199" s="55" t="n"/>
      <c r="CQ199" s="55" t="n"/>
      <c r="CR199" s="55" t="n"/>
      <c r="CS199" s="55" t="n"/>
      <c r="CT199" s="12" t="n"/>
      <c r="CU199" s="55" t="n"/>
      <c r="CV199" s="55" t="n"/>
      <c r="CW199" s="55" t="n"/>
      <c r="CX199" s="55" t="n"/>
      <c r="CY199" s="12" t="n"/>
    </row>
    <row r="200" collapsed="1">
      <c r="C200" s="14" t="inlineStr">
        <is>
          <t>Taxes payable</t>
        </is>
      </c>
      <c r="D200" s="46" t="n"/>
      <c r="E200" s="46" t="n"/>
      <c r="F200" s="46" t="n"/>
      <c r="G200" s="46" t="n"/>
      <c r="H200" s="12" t="n"/>
      <c r="I200" s="46">
        <f>'Inputs (2)'!D30</f>
        <v>1893</v>
      </c>
      <c r="J200" s="46">
        <f>'Inputs (2)'!E30</f>
        <v>1811</v>
      </c>
      <c r="K200" s="46">
        <f>'Inputs (2)'!F30</f>
        <v>4170</v>
      </c>
      <c r="L200" s="46">
        <f>'Inputs (2)'!G30</f>
        <v>808</v>
      </c>
      <c r="M200" s="12">
        <f>'Inputs (2)'!H30</f>
        <v>808</v>
      </c>
      <c r="N200" s="46">
        <f>'Inputs (2)'!I30</f>
        <v>4344</v>
      </c>
      <c r="O200" s="46">
        <f>'Inputs (2)'!J30</f>
        <v>1956</v>
      </c>
      <c r="P200" s="46">
        <f>'Inputs (2)'!K30</f>
        <v>1025</v>
      </c>
      <c r="Q200" s="46">
        <f>'Inputs (2)'!L30</f>
        <v>0</v>
      </c>
      <c r="R200" s="12">
        <f>'Inputs (2)'!M30</f>
        <v>0</v>
      </c>
      <c r="S200" s="46">
        <f>'Inputs (2)'!N30</f>
        <v>0</v>
      </c>
      <c r="T200" s="46">
        <f>'Inputs (2)'!O30</f>
        <v>0</v>
      </c>
      <c r="U200" s="46">
        <f>'Inputs (2)'!P30</f>
        <v>0</v>
      </c>
      <c r="V200" s="46">
        <f>'Inputs (2)'!Q30</f>
        <v>0</v>
      </c>
      <c r="W200" s="12">
        <f>'Inputs (2)'!R30</f>
        <v>0</v>
      </c>
      <c r="X200" s="46">
        <f>'Inputs (2)'!S30</f>
        <v>0</v>
      </c>
      <c r="Y200" s="46">
        <f>'Inputs (2)'!T30</f>
        <v>0</v>
      </c>
      <c r="Z200" s="46">
        <f>'Inputs (2)'!U30</f>
        <v>0</v>
      </c>
      <c r="AA200" s="46">
        <f>'Inputs (2)'!V30</f>
        <v>0</v>
      </c>
      <c r="AB200" s="12">
        <f>'Inputs (2)'!W30</f>
        <v>0</v>
      </c>
      <c r="AC200" s="46">
        <f>'Inputs (2)'!X30</f>
        <v>0</v>
      </c>
      <c r="AD200" s="46">
        <f>'Inputs (2)'!Y30</f>
        <v>0</v>
      </c>
      <c r="AE200" s="46">
        <f>'Inputs (2)'!Z30</f>
        <v>0</v>
      </c>
      <c r="AF200" s="46">
        <f>'Inputs (2)'!AA30</f>
        <v>0</v>
      </c>
      <c r="AG200" s="12">
        <f>'Inputs (2)'!AB30</f>
        <v>0</v>
      </c>
      <c r="AH200" s="12">
        <f>'Inputs (2)'!AC30</f>
        <v>0</v>
      </c>
      <c r="AI200" s="12">
        <f>'Inputs (2)'!AD30</f>
        <v>0</v>
      </c>
      <c r="AJ200" s="12">
        <f>AI200*(1+AJ16)</f>
        <v>0</v>
      </c>
      <c r="AK200" s="12">
        <f>AJ200*(1+AK16)</f>
        <v>0</v>
      </c>
      <c r="AL200" s="12">
        <f>AK200</f>
        <v>0</v>
      </c>
      <c r="AM200" s="12">
        <f>AL200*(1+AM16)</f>
        <v>0</v>
      </c>
      <c r="AN200" s="12">
        <f>AM200*(1+AN16)</f>
        <v>0</v>
      </c>
      <c r="AO200" s="12">
        <f>AN200*(1+AO16)</f>
        <v>0</v>
      </c>
      <c r="AP200" s="12">
        <f>AO200*(1+AP16)</f>
        <v>0</v>
      </c>
      <c r="AQ200" s="12">
        <f>AP200</f>
        <v>0</v>
      </c>
      <c r="AR200" s="12">
        <f>AQ200*(1+AR16)</f>
        <v>0</v>
      </c>
      <c r="AS200" s="12">
        <f>AR200*(1+AS16)</f>
        <v>0</v>
      </c>
      <c r="AT200" s="12">
        <f>AS200*(1+AT16)</f>
        <v>0</v>
      </c>
      <c r="AU200" s="12">
        <f>AT200*(1+AU16)</f>
        <v>0</v>
      </c>
      <c r="AV200" s="12">
        <f>AU200</f>
        <v>0</v>
      </c>
      <c r="AW200" s="12">
        <f>AV200*(1+AW16)</f>
        <v>0</v>
      </c>
      <c r="AX200" s="12">
        <f>AW200*(1+AX16)</f>
        <v>0</v>
      </c>
      <c r="AY200" s="12">
        <f>AX200*(1+AY16)</f>
        <v>0</v>
      </c>
      <c r="AZ200" s="12">
        <f>AY200*(1+AZ16)</f>
        <v>0</v>
      </c>
      <c r="BA200" s="12">
        <f>AZ200</f>
        <v>0</v>
      </c>
      <c r="BB200" s="12">
        <f>BA200*(1+BB16)</f>
        <v>0</v>
      </c>
      <c r="BC200" s="12">
        <f>BB200*(1+BC16)</f>
        <v>0</v>
      </c>
      <c r="BD200" s="12">
        <f>BC200*(1+BD16)</f>
        <v>0</v>
      </c>
      <c r="BE200" s="12">
        <f>BD200*(1+BE16)</f>
        <v>0</v>
      </c>
      <c r="BF200" s="12">
        <f>BE200</f>
        <v>0</v>
      </c>
      <c r="BG200" s="12" t="n"/>
      <c r="BH200" s="12" t="n"/>
      <c r="BI200" s="12" t="n"/>
      <c r="BJ200" s="12" t="n"/>
      <c r="BK200" s="12" t="n"/>
      <c r="BL200" s="12" t="n"/>
      <c r="BM200" s="12" t="n"/>
      <c r="BN200" s="12" t="n"/>
      <c r="BO200" s="12" t="n"/>
      <c r="BP200" s="12" t="n"/>
      <c r="BQ200" s="12" t="n"/>
      <c r="BR200" s="12" t="n"/>
      <c r="BS200" s="12" t="n"/>
      <c r="BT200" s="12" t="n"/>
      <c r="BU200" s="12" t="n"/>
      <c r="BV200" s="12" t="n"/>
      <c r="BW200" s="12" t="n"/>
      <c r="BX200" s="12" t="n"/>
      <c r="BY200" s="12" t="n"/>
      <c r="BZ200" s="12" t="n"/>
      <c r="CA200" s="12" t="n"/>
      <c r="CB200" s="12" t="n"/>
      <c r="CC200" s="12" t="n"/>
      <c r="CD200" s="12" t="n"/>
      <c r="CE200" s="12" t="n"/>
      <c r="CF200" s="12" t="n"/>
      <c r="CG200" s="12" t="n"/>
      <c r="CH200" s="12" t="n"/>
      <c r="CI200" s="12" t="n"/>
      <c r="CJ200" s="12" t="n"/>
      <c r="CK200" s="12" t="n"/>
      <c r="CL200" s="12" t="n"/>
      <c r="CM200" s="12" t="n"/>
      <c r="CN200" s="12" t="n"/>
      <c r="CO200" s="12" t="n"/>
      <c r="CP200" s="12" t="n"/>
      <c r="CQ200" s="12" t="n"/>
      <c r="CR200" s="12" t="n"/>
      <c r="CS200" s="12" t="n"/>
      <c r="CT200" s="12" t="n"/>
      <c r="CU200" s="12" t="n"/>
      <c r="CV200" s="12" t="n"/>
      <c r="CW200" s="12" t="n"/>
      <c r="CX200" s="12" t="n"/>
      <c r="CY200" s="12" t="n"/>
    </row>
    <row r="201">
      <c r="C201" s="14" t="inlineStr">
        <is>
          <t>Other current liabilities (non-debt)</t>
        </is>
      </c>
      <c r="D201" s="46" t="n"/>
      <c r="E201" s="46" t="n"/>
      <c r="F201" s="46" t="n"/>
      <c r="G201" s="46" t="n"/>
      <c r="H201" s="12" t="n"/>
      <c r="I201" s="46">
        <f>'Inputs (2)'!D31</f>
        <v>2690</v>
      </c>
      <c r="J201" s="46">
        <f>'Inputs (2)'!E31</f>
        <v>2715</v>
      </c>
      <c r="K201" s="46">
        <f>'Inputs (2)'!F31</f>
        <v>2968</v>
      </c>
      <c r="L201" s="46">
        <f>'Inputs (2)'!G31</f>
        <v>3288</v>
      </c>
      <c r="M201" s="12">
        <f>'Inputs (2)'!H31</f>
        <v>3288</v>
      </c>
      <c r="N201" s="46">
        <f>'Inputs (2)'!I31</f>
        <v>3198</v>
      </c>
      <c r="O201" s="46">
        <f>'Inputs (2)'!J31</f>
        <v>3272</v>
      </c>
      <c r="P201" s="46">
        <f>'Inputs (2)'!K31</f>
        <v>3585</v>
      </c>
      <c r="Q201" s="46">
        <f>'Inputs (2)'!L31</f>
        <v>3908</v>
      </c>
      <c r="R201" s="12">
        <f>'Inputs (2)'!M31</f>
        <v>3908</v>
      </c>
      <c r="S201" s="46">
        <f>'Inputs (2)'!N31</f>
        <v>3715</v>
      </c>
      <c r="T201" s="46">
        <f>'Inputs (2)'!O31</f>
        <v>3846</v>
      </c>
      <c r="U201" s="46">
        <f>'Inputs (2)'!P31</f>
        <v>4303</v>
      </c>
      <c r="V201" s="46">
        <f>'Inputs (2)'!Q31</f>
        <v>4137</v>
      </c>
      <c r="W201" s="12">
        <f>'Inputs (2)'!R31</f>
        <v>4137</v>
      </c>
      <c r="X201" s="46">
        <f>'Inputs (2)'!S31</f>
        <v>3973</v>
      </c>
      <c r="Y201" s="46">
        <f>'Inputs (2)'!T31</f>
        <v>4251</v>
      </c>
      <c r="Z201" s="46">
        <f>'Inputs (2)'!U31</f>
        <v>4896</v>
      </c>
      <c r="AA201" s="46">
        <f>'Inputs (2)'!V31</f>
        <v>5036</v>
      </c>
      <c r="AB201" s="12">
        <f>'Inputs (2)'!W31</f>
        <v>5036</v>
      </c>
      <c r="AC201" s="46">
        <f>'Inputs (2)'!X31</f>
        <v>4908</v>
      </c>
      <c r="AD201" s="46">
        <f>'Inputs (2)'!Y31</f>
        <v>4969</v>
      </c>
      <c r="AE201" s="46">
        <f>'Inputs (2)'!Z31</f>
        <v>5542</v>
      </c>
      <c r="AF201" s="46">
        <f>'Inputs (2)'!AA31</f>
        <v>6578</v>
      </c>
      <c r="AG201" s="12">
        <f>'Inputs (2)'!AB31</f>
        <v>6578</v>
      </c>
      <c r="AH201" s="12">
        <f>'Inputs (2)'!AC31</f>
        <v>7162</v>
      </c>
      <c r="AI201" s="12">
        <f>'Inputs (2)'!AD31</f>
        <v>7154</v>
      </c>
      <c r="AJ201" s="12">
        <f>AI201</f>
        <v>7154</v>
      </c>
      <c r="AK201" s="12">
        <f>AJ201</f>
        <v>7154</v>
      </c>
      <c r="AL201" s="12">
        <f>AK201</f>
        <v>7154</v>
      </c>
      <c r="AM201" s="12">
        <f>AL201</f>
        <v>7154</v>
      </c>
      <c r="AN201" s="12">
        <f>AM201</f>
        <v>7154</v>
      </c>
      <c r="AO201" s="12">
        <f>AN201</f>
        <v>7154</v>
      </c>
      <c r="AP201" s="12">
        <f>AO201</f>
        <v>7154</v>
      </c>
      <c r="AQ201" s="12">
        <f>AP201</f>
        <v>7154</v>
      </c>
      <c r="AR201" s="12">
        <f>AQ201</f>
        <v>7154</v>
      </c>
      <c r="AS201" s="12">
        <f>AR201</f>
        <v>7154</v>
      </c>
      <c r="AT201" s="12">
        <f>AS201</f>
        <v>7154</v>
      </c>
      <c r="AU201" s="12">
        <f>AT201</f>
        <v>7154</v>
      </c>
      <c r="AV201" s="12">
        <f>AU201</f>
        <v>7154</v>
      </c>
      <c r="AW201" s="12">
        <f>AV201</f>
        <v>7154</v>
      </c>
      <c r="AX201" s="12">
        <f>AW201</f>
        <v>7154</v>
      </c>
      <c r="AY201" s="12">
        <f>AX201</f>
        <v>7154</v>
      </c>
      <c r="AZ201" s="12">
        <f>AY201</f>
        <v>7154</v>
      </c>
      <c r="BA201" s="12">
        <f>AZ201</f>
        <v>7154</v>
      </c>
      <c r="BB201" s="12">
        <f>BA201</f>
        <v>7154</v>
      </c>
      <c r="BC201" s="12">
        <f>BB201</f>
        <v>7154</v>
      </c>
      <c r="BD201" s="12">
        <f>BC201</f>
        <v>7154</v>
      </c>
      <c r="BE201" s="12">
        <f>BD201</f>
        <v>7154</v>
      </c>
      <c r="BF201" s="12">
        <f>BE201</f>
        <v>7154</v>
      </c>
      <c r="BG201" s="12" t="n"/>
      <c r="BH201" s="12" t="n"/>
      <c r="BI201" s="12" t="n"/>
      <c r="BJ201" s="12" t="n"/>
      <c r="BK201" s="12" t="n"/>
      <c r="BL201" s="12" t="n"/>
      <c r="BM201" s="12" t="n"/>
      <c r="BN201" s="12" t="n"/>
      <c r="BO201" s="12" t="n"/>
      <c r="BP201" s="12" t="n"/>
      <c r="BQ201" s="12" t="n"/>
      <c r="BR201" s="12" t="n"/>
      <c r="BS201" s="12" t="n"/>
      <c r="BT201" s="12" t="n"/>
      <c r="BU201" s="12" t="n"/>
      <c r="BV201" s="12" t="n"/>
      <c r="BW201" s="12" t="n"/>
      <c r="BX201" s="12" t="n"/>
      <c r="BY201" s="12" t="n"/>
      <c r="BZ201" s="12" t="n"/>
      <c r="CA201" s="12" t="n"/>
      <c r="CB201" s="12" t="n"/>
      <c r="CC201" s="12" t="n"/>
      <c r="CD201" s="12" t="n"/>
      <c r="CE201" s="12" t="n"/>
      <c r="CF201" s="12" t="n"/>
      <c r="CG201" s="12" t="n"/>
      <c r="CH201" s="12" t="n"/>
      <c r="CI201" s="12" t="n"/>
      <c r="CJ201" s="12" t="n"/>
      <c r="CK201" s="12" t="n"/>
      <c r="CL201" s="12" t="n"/>
      <c r="CM201" s="12" t="n"/>
      <c r="CN201" s="12" t="n"/>
      <c r="CO201" s="12" t="n"/>
      <c r="CP201" s="12" t="n"/>
      <c r="CQ201" s="12" t="n"/>
      <c r="CR201" s="12" t="n"/>
      <c r="CS201" s="12" t="n"/>
      <c r="CT201" s="12" t="n"/>
      <c r="CU201" s="12" t="n"/>
      <c r="CV201" s="12" t="n"/>
      <c r="CW201" s="12" t="n"/>
      <c r="CX201" s="12" t="n"/>
      <c r="CY201" s="12" t="n"/>
    </row>
    <row r="202" hidden="1" outlineLevel="1">
      <c r="C202" s="59" t="inlineStr">
        <is>
          <t>%(Var.)</t>
        </is>
      </c>
      <c r="D202" s="12" t="n"/>
      <c r="E202" s="40" t="n"/>
      <c r="F202" s="40" t="n"/>
      <c r="G202" s="40" t="n"/>
      <c r="H202" s="12" t="n"/>
      <c r="I202" s="40" t="str">
        <f>""</f>
        <v/>
      </c>
      <c r="J202" s="40">
        <f>IFERROR(IF(I201=0,"",J201/I201-1),"")</f>
        <v>0.00929368029739774</v>
      </c>
      <c r="K202" s="40">
        <f>IFERROR(IF(J201=0,"",K201/J201-1),"")</f>
        <v>0.0931860036832413</v>
      </c>
      <c r="L202" s="40">
        <f>IFERROR(IF(K201=0,"",L201/K201-1),"")</f>
        <v>0.107816711590297</v>
      </c>
      <c r="M202" s="12">
        <f>IF(L201=0,"",M201/L201-1)</f>
        <v>0</v>
      </c>
      <c r="N202" s="40">
        <f>IFERROR(IF(M201=0,"",N201/M201-1),"")</f>
        <v>-0.0273722627737226</v>
      </c>
      <c r="O202" s="40">
        <f>IFERROR(IF(N201=0,"",O201/N201-1),"")</f>
        <v>0.0231394621638523</v>
      </c>
      <c r="P202" s="40">
        <f>IFERROR(IF(O201=0,"",P201/O201-1),"")</f>
        <v>0.0956601466992666</v>
      </c>
      <c r="Q202" s="40">
        <f>IFERROR(IF(P201=0,"",Q201/P201-1),"")</f>
        <v>0.0900976290097628</v>
      </c>
      <c r="R202" s="12">
        <f>IF(Q201=0,"",R201/Q201-1)</f>
        <v>0</v>
      </c>
      <c r="S202" s="40">
        <f>IFERROR(IF(R201=0,"",S201/R201-1),"")</f>
        <v>-0.0493858751279427</v>
      </c>
      <c r="T202" s="40">
        <f>IFERROR(IF(S201=0,"",T201/S201-1),"")</f>
        <v>0.0352624495289366</v>
      </c>
      <c r="U202" s="40">
        <f>IFERROR(IF(T201=0,"",U201/T201-1),"")</f>
        <v>0.11882475299012</v>
      </c>
      <c r="V202" s="40">
        <f>IFERROR(IF(U201=0,"",V201/U201-1),"")</f>
        <v>-0.0385777364629328</v>
      </c>
      <c r="W202" s="12">
        <f>IF(V201=0,"",W201/V201-1)</f>
        <v>0</v>
      </c>
      <c r="X202" s="40">
        <f>IFERROR(IF(W201=0,"",X201/W201-1),"")</f>
        <v>-0.0396422528402224</v>
      </c>
      <c r="Y202" s="40">
        <f>IFERROR(IF(X201=0,"",Y201/X201-1),"")</f>
        <v>0.0699723131135162</v>
      </c>
      <c r="Z202" s="40">
        <f>IFERROR(IF(Y201=0,"",Z201/Y201-1),"")</f>
        <v>0.151729004940014</v>
      </c>
      <c r="AA202" s="40">
        <f>IFERROR(IF(Z201=0,"",AA201/Z201-1),"")</f>
        <v>0.02859477124183</v>
      </c>
      <c r="AB202" s="12">
        <f>IF(AA201=0,"",AB201/AA201-1)</f>
        <v>0</v>
      </c>
      <c r="AC202" s="40">
        <f>IFERROR(IF(AB201=0,"",AC201/AB201-1),"")</f>
        <v>-0.0254169976171564</v>
      </c>
      <c r="AD202" s="40">
        <f>IFERROR(IF(AC201=0,"",AD201/AC201-1),"")</f>
        <v>0.0124286878565607</v>
      </c>
      <c r="AE202" s="40">
        <f>IFERROR(IF(AD201=0,"",AE201/AD201-1),"")</f>
        <v>0.115314952706782</v>
      </c>
      <c r="AF202" s="55">
        <f>IFERROR(IF(AE201=0,"",AF201/AE201-1),"")</f>
        <v>0.186936124142909</v>
      </c>
      <c r="AG202" s="12">
        <f>IF(AF201=0,"",AG201/AF201-1)</f>
        <v>0</v>
      </c>
      <c r="AH202" s="55">
        <f>IFERROR(IF(AG201=0,"",AH201/AG201-1),"")</f>
        <v>0.0887807844329585</v>
      </c>
      <c r="AI202" s="55">
        <f>IFERROR(IF(AH201=0,"",AI201/AH201-1),"")</f>
        <v>-0.00111700642278689</v>
      </c>
      <c r="AJ202" s="55">
        <f>IFERROR(IF(AI201=0,"",AJ201/AI201-1),"")</f>
        <v>0</v>
      </c>
      <c r="AK202" s="55">
        <f>IFERROR(IF(AJ201=0,"",AK201/AJ201-1),"")</f>
        <v>0</v>
      </c>
      <c r="AL202" s="12">
        <f>IFERROR(IF(AK201=0,"",AL201/AK201-1),"")</f>
        <v>0</v>
      </c>
      <c r="AM202" s="55">
        <f>IFERROR(IF(AL201=0,"",AM201/AL201-1),"")</f>
        <v>0</v>
      </c>
      <c r="AN202" s="55">
        <f>IFERROR(IF(AM201=0,"",AN201/AM201-1),"")</f>
        <v>0</v>
      </c>
      <c r="AO202" s="55">
        <f>IFERROR(IF(AN201=0,"",AO201/AN201-1),"")</f>
        <v>0</v>
      </c>
      <c r="AP202" s="55">
        <f>IFERROR(IF(AO201=0,"",AP201/AO201-1),"")</f>
        <v>0</v>
      </c>
      <c r="AQ202" s="12">
        <f>IFERROR(IF(AP201=0,"",AQ201/AP201-1),"")</f>
        <v>0</v>
      </c>
      <c r="AR202" s="55">
        <f>IFERROR(IF(AQ201=0,"",AR201/AQ201-1),"")</f>
        <v>0</v>
      </c>
      <c r="AS202" s="55">
        <f>IFERROR(IF(AR201=0,"",AS201/AR201-1),"")</f>
        <v>0</v>
      </c>
      <c r="AT202" s="55">
        <f>IFERROR(IF(AS201=0,"",AT201/AS201-1),"")</f>
        <v>0</v>
      </c>
      <c r="AU202" s="55">
        <f>IFERROR(IF(AT201=0,"",AU201/AT201-1),"")</f>
        <v>0</v>
      </c>
      <c r="AV202" s="12">
        <f>IFERROR(IF(AU201=0,"",AV201/AU201-1),"")</f>
        <v>0</v>
      </c>
      <c r="AW202" s="55">
        <f>IFERROR(IF(AV201=0,"",AW201/AV201-1),"")</f>
        <v>0</v>
      </c>
      <c r="AX202" s="55">
        <f>IFERROR(IF(AW201=0,"",AX201/AW201-1),"")</f>
        <v>0</v>
      </c>
      <c r="AY202" s="55">
        <f>IFERROR(IF(AX201=0,"",AY201/AX201-1),"")</f>
        <v>0</v>
      </c>
      <c r="AZ202" s="55">
        <f>IFERROR(IF(AY201=0,"",AZ201/AY201-1),"")</f>
        <v>0</v>
      </c>
      <c r="BA202" s="12">
        <f>IFERROR(IF(AZ201=0,"",BA201/AZ201-1),"")</f>
        <v>0</v>
      </c>
      <c r="BB202" s="55">
        <f>IFERROR(IF(BA201=0,"",BB201/BA201-1),"")</f>
        <v>0</v>
      </c>
      <c r="BC202" s="55">
        <f>IFERROR(IF(BB201=0,"",BC201/BB201-1),"")</f>
        <v>0</v>
      </c>
      <c r="BD202" s="55">
        <f>IFERROR(IF(BC201=0,"",BD201/BC201-1),"")</f>
        <v>0</v>
      </c>
      <c r="BE202" s="55">
        <f>IFERROR(IF(BD201=0,"",BE201/BD201-1),"")</f>
        <v>0</v>
      </c>
      <c r="BF202" s="12">
        <f>IFERROR(IF(BE201=0,"",BF201/BE201-1),"")</f>
        <v>0</v>
      </c>
      <c r="BG202" s="55" t="n"/>
      <c r="BH202" s="55" t="n"/>
      <c r="BI202" s="55" t="n"/>
      <c r="BJ202" s="55" t="n"/>
      <c r="BK202" s="12" t="n"/>
      <c r="BL202" s="55" t="n"/>
      <c r="BM202" s="55" t="n"/>
      <c r="BN202" s="55" t="n"/>
      <c r="BO202" s="55" t="n"/>
      <c r="BP202" s="12" t="n"/>
      <c r="BQ202" s="55" t="n"/>
      <c r="BR202" s="55" t="n"/>
      <c r="BS202" s="55" t="n"/>
      <c r="BT202" s="55" t="n"/>
      <c r="BU202" s="12" t="n"/>
      <c r="BV202" s="55" t="n"/>
      <c r="BW202" s="55" t="n"/>
      <c r="BX202" s="55" t="n"/>
      <c r="BY202" s="55" t="n"/>
      <c r="BZ202" s="12" t="n"/>
      <c r="CA202" s="55" t="n"/>
      <c r="CB202" s="55" t="n"/>
      <c r="CC202" s="55" t="n"/>
      <c r="CD202" s="55" t="n"/>
      <c r="CE202" s="12" t="n"/>
      <c r="CF202" s="55" t="n"/>
      <c r="CG202" s="55" t="n"/>
      <c r="CH202" s="55" t="n"/>
      <c r="CI202" s="55" t="n"/>
      <c r="CJ202" s="12" t="n"/>
      <c r="CK202" s="55" t="n"/>
      <c r="CL202" s="55" t="n"/>
      <c r="CM202" s="55" t="n"/>
      <c r="CN202" s="55" t="n"/>
      <c r="CO202" s="12" t="n"/>
      <c r="CP202" s="55" t="n"/>
      <c r="CQ202" s="55" t="n"/>
      <c r="CR202" s="55" t="n"/>
      <c r="CS202" s="55" t="n"/>
      <c r="CT202" s="12" t="n"/>
      <c r="CU202" s="55" t="n"/>
      <c r="CV202" s="55" t="n"/>
      <c r="CW202" s="55" t="n"/>
      <c r="CX202" s="55" t="n"/>
      <c r="CY202" s="12" t="n"/>
    </row>
    <row r="203" hidden="1" outlineLevel="1">
      <c r="C203" s="57" t="n"/>
      <c r="D203" s="12" t="n"/>
      <c r="E203" s="12" t="n"/>
      <c r="F203" s="12" t="n"/>
      <c r="G203" s="12" t="n"/>
      <c r="H203" s="12" t="n"/>
      <c r="I203" s="12" t="n"/>
      <c r="J203" s="12" t="n"/>
      <c r="K203" s="12" t="n"/>
      <c r="L203" s="12" t="n"/>
      <c r="M203" s="12" t="n"/>
      <c r="N203" s="12" t="n"/>
      <c r="O203" s="12" t="n"/>
      <c r="P203" s="12" t="n"/>
      <c r="Q203" s="12" t="n"/>
      <c r="R203" s="12" t="n"/>
      <c r="S203" s="12" t="n"/>
      <c r="T203" s="12" t="n"/>
      <c r="U203" s="12" t="n"/>
      <c r="V203" s="12" t="n"/>
      <c r="W203" s="12" t="n"/>
      <c r="X203" s="12" t="n"/>
      <c r="Y203" s="12" t="n"/>
      <c r="Z203" s="12" t="n"/>
      <c r="AA203" s="12" t="n"/>
      <c r="AB203" s="12" t="n"/>
      <c r="AC203" s="12" t="n"/>
      <c r="AD203" s="12" t="n"/>
      <c r="AE203" s="12" t="n"/>
      <c r="AF203" s="12" t="n"/>
      <c r="AG203" s="12" t="n"/>
      <c r="AH203" s="12" t="n"/>
      <c r="AI203" s="12" t="n"/>
      <c r="AJ203" s="12" t="n"/>
      <c r="AK203" s="12" t="n"/>
      <c r="AL203" s="12" t="n"/>
      <c r="AM203" s="12" t="n"/>
      <c r="AN203" s="12" t="n"/>
      <c r="AO203" s="12" t="n"/>
      <c r="AP203" s="12" t="n"/>
      <c r="AQ203" s="12" t="n"/>
      <c r="AR203" s="12" t="n"/>
      <c r="AS203" s="12" t="n"/>
      <c r="AT203" s="12" t="n"/>
      <c r="AU203" s="12" t="n"/>
      <c r="AV203" s="12" t="n"/>
      <c r="AW203" s="12" t="n"/>
      <c r="AX203" s="12" t="n"/>
      <c r="AY203" s="12" t="n"/>
      <c r="AZ203" s="12" t="n"/>
      <c r="BA203" s="12" t="n"/>
      <c r="BB203" s="12" t="n"/>
      <c r="BC203" s="12" t="n"/>
      <c r="BD203" s="12" t="n"/>
      <c r="BE203" s="12" t="n"/>
      <c r="BF203" s="12" t="n"/>
      <c r="BG203" s="12" t="n"/>
      <c r="BH203" s="12" t="n"/>
      <c r="BI203" s="12" t="n"/>
      <c r="BJ203" s="12" t="n"/>
      <c r="BK203" s="12" t="n"/>
      <c r="BL203" s="12" t="n"/>
      <c r="BM203" s="12" t="n"/>
      <c r="BN203" s="12" t="n"/>
      <c r="BO203" s="12" t="n"/>
      <c r="BP203" s="12" t="n"/>
      <c r="BQ203" s="12" t="n"/>
      <c r="BR203" s="12" t="n"/>
      <c r="BS203" s="12" t="n"/>
      <c r="BT203" s="12" t="n"/>
      <c r="BU203" s="12" t="n"/>
      <c r="BV203" s="12" t="n"/>
      <c r="BW203" s="12" t="n"/>
      <c r="BX203" s="12" t="n"/>
      <c r="BY203" s="12" t="n"/>
      <c r="BZ203" s="12" t="n"/>
      <c r="CA203" s="12" t="n"/>
      <c r="CB203" s="12" t="n"/>
      <c r="CC203" s="12" t="n"/>
      <c r="CD203" s="12" t="n"/>
      <c r="CE203" s="12" t="n"/>
      <c r="CF203" s="12" t="n"/>
      <c r="CG203" s="12" t="n"/>
      <c r="CH203" s="12" t="n"/>
      <c r="CI203" s="12" t="n"/>
      <c r="CJ203" s="12" t="n"/>
      <c r="CK203" s="12" t="n"/>
      <c r="CL203" s="12" t="n"/>
      <c r="CM203" s="12" t="n"/>
      <c r="CN203" s="12" t="n"/>
      <c r="CO203" s="12" t="n"/>
      <c r="CP203" s="12" t="n"/>
      <c r="CQ203" s="12" t="n"/>
      <c r="CR203" s="12" t="n"/>
      <c r="CS203" s="12" t="n"/>
      <c r="CT203" s="12" t="n"/>
      <c r="CU203" s="12" t="n"/>
      <c r="CV203" s="12" t="n"/>
      <c r="CW203" s="12" t="n"/>
      <c r="CX203" s="12" t="n"/>
      <c r="CY203" s="12" t="n"/>
    </row>
    <row r="204" hidden="1" outlineLevel="1">
      <c r="C204" s="57" t="inlineStr">
        <is>
          <t xml:space="preserve">Dividendos a Pagar </t>
        </is>
      </c>
      <c r="D204" s="11" t="n"/>
      <c r="E204" s="11" t="n"/>
      <c r="F204" s="11" t="n"/>
      <c r="G204" s="11" t="n"/>
      <c r="H204" s="12" t="n"/>
      <c r="I204" s="11" t="n"/>
      <c r="J204" s="11" t="n"/>
      <c r="K204" s="11" t="n"/>
      <c r="L204" s="11" t="n"/>
      <c r="M204" s="12" t="n"/>
      <c r="N204" s="11" t="n"/>
      <c r="O204" s="11" t="n"/>
      <c r="P204" s="11" t="n"/>
      <c r="Q204" s="11" t="n"/>
      <c r="R204" s="12" t="n"/>
      <c r="S204" s="11" t="n"/>
      <c r="T204" s="11" t="n"/>
      <c r="U204" s="11" t="n"/>
      <c r="V204" s="11" t="n"/>
      <c r="W204" s="12" t="n"/>
      <c r="X204" s="11" t="n"/>
      <c r="Y204" s="11" t="n"/>
      <c r="Z204" s="11" t="n"/>
      <c r="AA204" s="11" t="n"/>
      <c r="AB204" s="12" t="n"/>
      <c r="AC204" s="11" t="n"/>
      <c r="AD204" s="11" t="n"/>
      <c r="AE204" s="11" t="n"/>
      <c r="AF204" s="11" t="n"/>
      <c r="AG204" s="12" t="n"/>
      <c r="AH204" s="11" t="n"/>
      <c r="AI204" s="11" t="n"/>
      <c r="AJ204" s="11" t="n"/>
      <c r="AK204" s="11" t="n"/>
      <c r="AL204" s="12" t="n"/>
      <c r="AM204" s="11" t="n"/>
      <c r="AN204" s="11" t="n"/>
      <c r="AO204" s="11" t="n"/>
      <c r="AP204" s="11" t="n"/>
      <c r="AQ204" s="12" t="n"/>
      <c r="AR204" s="11" t="n"/>
      <c r="AS204" s="11" t="n"/>
      <c r="AT204" s="11" t="n"/>
      <c r="AU204" s="11" t="n"/>
      <c r="AV204" s="12" t="n"/>
      <c r="AW204" s="11" t="n"/>
      <c r="AX204" s="11" t="n"/>
      <c r="AY204" s="11" t="n"/>
      <c r="AZ204" s="11" t="n"/>
      <c r="BA204" s="12" t="n"/>
      <c r="BB204" s="11" t="n"/>
      <c r="BC204" s="11" t="n"/>
      <c r="BD204" s="11" t="n"/>
      <c r="BE204" s="11" t="n"/>
      <c r="BF204" s="12" t="n"/>
      <c r="BG204" s="11" t="n"/>
      <c r="BH204" s="11" t="n"/>
      <c r="BI204" s="11" t="n"/>
      <c r="BJ204" s="11" t="n"/>
      <c r="BK204" s="12" t="n"/>
      <c r="BL204" s="11" t="n"/>
      <c r="BM204" s="11" t="n"/>
      <c r="BN204" s="11" t="n"/>
      <c r="BO204" s="11" t="n"/>
      <c r="BP204" s="12" t="n"/>
      <c r="BQ204" s="11" t="n"/>
      <c r="BR204" s="11" t="n"/>
      <c r="BS204" s="11" t="n"/>
      <c r="BT204" s="11" t="n"/>
      <c r="BU204" s="12" t="n"/>
      <c r="BV204" s="11" t="n"/>
      <c r="BW204" s="11" t="n"/>
      <c r="BX204" s="11" t="n"/>
      <c r="BY204" s="11" t="n"/>
      <c r="BZ204" s="12" t="n"/>
      <c r="CA204" s="11" t="n"/>
      <c r="CB204" s="11" t="n"/>
      <c r="CC204" s="11" t="n"/>
      <c r="CD204" s="11" t="n"/>
      <c r="CE204" s="12" t="n"/>
      <c r="CF204" s="11" t="n"/>
      <c r="CG204" s="11" t="n"/>
      <c r="CH204" s="11" t="n"/>
      <c r="CI204" s="11" t="n"/>
      <c r="CJ204" s="12" t="n"/>
      <c r="CK204" s="11" t="n"/>
      <c r="CL204" s="11" t="n"/>
      <c r="CM204" s="11" t="n"/>
      <c r="CN204" s="11" t="n"/>
      <c r="CO204" s="12" t="n"/>
      <c r="CP204" s="11" t="n"/>
      <c r="CQ204" s="11" t="n"/>
      <c r="CR204" s="11" t="n"/>
      <c r="CS204" s="11" t="n"/>
      <c r="CT204" s="12" t="n"/>
      <c r="CU204" s="11" t="n"/>
      <c r="CV204" s="11" t="n"/>
      <c r="CW204" s="11" t="n"/>
      <c r="CX204" s="11" t="n"/>
      <c r="CY204" s="12" t="n"/>
    </row>
    <row r="205" hidden="1" outlineLevel="1">
      <c r="C205" s="57" t="inlineStr">
        <is>
          <t>Contas a pagar pela aquisição de controladas</t>
        </is>
      </c>
      <c r="D205" s="11" t="n"/>
      <c r="E205" s="11" t="n"/>
      <c r="F205" s="11" t="n"/>
      <c r="G205" s="11" t="n"/>
      <c r="H205" s="12" t="n"/>
      <c r="I205" s="11" t="n"/>
      <c r="J205" s="11" t="n"/>
      <c r="K205" s="11" t="n"/>
      <c r="L205" s="11" t="n"/>
      <c r="M205" s="12" t="n"/>
      <c r="N205" s="11" t="n"/>
      <c r="O205" s="11" t="n"/>
      <c r="P205" s="11" t="n"/>
      <c r="Q205" s="11" t="n"/>
      <c r="R205" s="12" t="n"/>
      <c r="S205" s="11" t="n"/>
      <c r="T205" s="11" t="n"/>
      <c r="U205" s="11" t="n"/>
      <c r="V205" s="11" t="n"/>
      <c r="W205" s="12" t="n"/>
      <c r="X205" s="11" t="n"/>
      <c r="Y205" s="11" t="n"/>
      <c r="Z205" s="11" t="n"/>
      <c r="AA205" s="11" t="n"/>
      <c r="AB205" s="12" t="n"/>
      <c r="AC205" s="11" t="n"/>
      <c r="AD205" s="11" t="n"/>
      <c r="AE205" s="11" t="n"/>
      <c r="AF205" s="11" t="n"/>
      <c r="AG205" s="12" t="n"/>
      <c r="AH205" s="11" t="n"/>
      <c r="AI205" s="11" t="n"/>
      <c r="AJ205" s="11" t="n"/>
      <c r="AK205" s="11" t="n"/>
      <c r="AL205" s="12" t="n"/>
      <c r="AM205" s="11" t="n"/>
      <c r="AN205" s="11" t="n"/>
      <c r="AO205" s="11" t="n"/>
      <c r="AP205" s="11" t="n"/>
      <c r="AQ205" s="12" t="n"/>
      <c r="AR205" s="11" t="n"/>
      <c r="AS205" s="11" t="n"/>
      <c r="AT205" s="11" t="n"/>
      <c r="AU205" s="11" t="n"/>
      <c r="AV205" s="12" t="n"/>
      <c r="AW205" s="11" t="n"/>
      <c r="AX205" s="11" t="n"/>
      <c r="AY205" s="11" t="n"/>
      <c r="AZ205" s="11" t="n"/>
      <c r="BA205" s="12" t="n"/>
      <c r="BB205" s="11" t="n"/>
      <c r="BC205" s="11" t="n"/>
      <c r="BD205" s="11" t="n"/>
      <c r="BE205" s="11" t="n"/>
      <c r="BF205" s="12" t="n"/>
      <c r="BG205" s="11" t="n"/>
      <c r="BH205" s="11" t="n"/>
      <c r="BI205" s="11" t="n"/>
      <c r="BJ205" s="11" t="n"/>
      <c r="BK205" s="12" t="n"/>
      <c r="BL205" s="11" t="n"/>
      <c r="BM205" s="11" t="n"/>
      <c r="BN205" s="11" t="n"/>
      <c r="BO205" s="11" t="n"/>
      <c r="BP205" s="12" t="n"/>
      <c r="BQ205" s="11" t="n"/>
      <c r="BR205" s="11" t="n"/>
      <c r="BS205" s="11" t="n"/>
      <c r="BT205" s="11" t="n"/>
      <c r="BU205" s="12" t="n"/>
      <c r="BV205" s="11" t="n"/>
      <c r="BW205" s="11" t="n"/>
      <c r="BX205" s="11" t="n"/>
      <c r="BY205" s="11" t="n"/>
      <c r="BZ205" s="12" t="n"/>
      <c r="CA205" s="11" t="n"/>
      <c r="CB205" s="11" t="n"/>
      <c r="CC205" s="11" t="n"/>
      <c r="CD205" s="11" t="n"/>
      <c r="CE205" s="12" t="n"/>
      <c r="CF205" s="11" t="n"/>
      <c r="CG205" s="11" t="n"/>
      <c r="CH205" s="11" t="n"/>
      <c r="CI205" s="11" t="n"/>
      <c r="CJ205" s="12" t="n"/>
      <c r="CK205" s="11" t="n"/>
      <c r="CL205" s="11" t="n"/>
      <c r="CM205" s="11" t="n"/>
      <c r="CN205" s="11" t="n"/>
      <c r="CO205" s="12" t="n"/>
      <c r="CP205" s="11" t="n"/>
      <c r="CQ205" s="11" t="n"/>
      <c r="CR205" s="11" t="n"/>
      <c r="CS205" s="11" t="n"/>
      <c r="CT205" s="12" t="n"/>
      <c r="CU205" s="11" t="n"/>
      <c r="CV205" s="11" t="n"/>
      <c r="CW205" s="11" t="n"/>
      <c r="CX205" s="11" t="n"/>
      <c r="CY205" s="12" t="n"/>
    </row>
    <row r="206" hidden="1" outlineLevel="1">
      <c r="C206" s="57" t="inlineStr">
        <is>
          <t>Outros</t>
        </is>
      </c>
      <c r="D206" s="11" t="n"/>
      <c r="E206" s="11" t="n"/>
      <c r="F206" s="11" t="n"/>
      <c r="G206" s="11" t="n"/>
      <c r="H206" s="12" t="n"/>
      <c r="I206" s="11" t="n"/>
      <c r="J206" s="11" t="n"/>
      <c r="K206" s="11" t="n"/>
      <c r="L206" s="11" t="n"/>
      <c r="M206" s="12" t="n"/>
      <c r="N206" s="11" t="n"/>
      <c r="O206" s="11" t="n"/>
      <c r="P206" s="11" t="n"/>
      <c r="Q206" s="11" t="n"/>
      <c r="R206" s="12" t="n"/>
      <c r="S206" s="11" t="n"/>
      <c r="T206" s="11" t="n"/>
      <c r="U206" s="11" t="n"/>
      <c r="V206" s="11" t="n"/>
      <c r="W206" s="12" t="n"/>
      <c r="X206" s="11" t="n"/>
      <c r="Y206" s="11" t="n"/>
      <c r="Z206" s="11" t="n"/>
      <c r="AA206" s="11" t="n"/>
      <c r="AB206" s="12" t="n"/>
      <c r="AC206" s="11" t="n"/>
      <c r="AD206" s="11" t="n"/>
      <c r="AE206" s="11" t="n"/>
      <c r="AF206" s="11" t="n"/>
      <c r="AG206" s="12" t="n"/>
      <c r="AH206" s="11" t="n"/>
      <c r="AI206" s="11" t="n"/>
      <c r="AJ206" s="11" t="n"/>
      <c r="AK206" s="11" t="n"/>
      <c r="AL206" s="12" t="n"/>
      <c r="AM206" s="11" t="n"/>
      <c r="AN206" s="11" t="n"/>
      <c r="AO206" s="11" t="n"/>
      <c r="AP206" s="11" t="n"/>
      <c r="AQ206" s="12" t="n"/>
      <c r="AR206" s="11" t="n"/>
      <c r="AS206" s="11" t="n"/>
      <c r="AT206" s="11" t="n"/>
      <c r="AU206" s="11" t="n"/>
      <c r="AV206" s="12" t="n"/>
      <c r="AW206" s="11" t="n"/>
      <c r="AX206" s="11" t="n"/>
      <c r="AY206" s="11" t="n"/>
      <c r="AZ206" s="11" t="n"/>
      <c r="BA206" s="12" t="n"/>
      <c r="BB206" s="11" t="n"/>
      <c r="BC206" s="11" t="n"/>
      <c r="BD206" s="11" t="n"/>
      <c r="BE206" s="11" t="n"/>
      <c r="BF206" s="12" t="n"/>
      <c r="BG206" s="11" t="n"/>
      <c r="BH206" s="11" t="n"/>
      <c r="BI206" s="11" t="n"/>
      <c r="BJ206" s="11" t="n"/>
      <c r="BK206" s="12" t="n"/>
      <c r="BL206" s="11" t="n"/>
      <c r="BM206" s="11" t="n"/>
      <c r="BN206" s="11" t="n"/>
      <c r="BO206" s="11" t="n"/>
      <c r="BP206" s="12" t="n"/>
      <c r="BQ206" s="11" t="n"/>
      <c r="BR206" s="11" t="n"/>
      <c r="BS206" s="11" t="n"/>
      <c r="BT206" s="11" t="n"/>
      <c r="BU206" s="12" t="n"/>
      <c r="BV206" s="11" t="n"/>
      <c r="BW206" s="11" t="n"/>
      <c r="BX206" s="11" t="n"/>
      <c r="BY206" s="11" t="n"/>
      <c r="BZ206" s="12" t="n"/>
      <c r="CA206" s="11" t="n"/>
      <c r="CB206" s="11" t="n"/>
      <c r="CC206" s="11" t="n"/>
      <c r="CD206" s="11" t="n"/>
      <c r="CE206" s="12" t="n"/>
      <c r="CF206" s="11" t="n"/>
      <c r="CG206" s="11" t="n"/>
      <c r="CH206" s="11" t="n"/>
      <c r="CI206" s="11" t="n"/>
      <c r="CJ206" s="12" t="n"/>
      <c r="CK206" s="11" t="n"/>
      <c r="CL206" s="11" t="n"/>
      <c r="CM206" s="11" t="n"/>
      <c r="CN206" s="11" t="n"/>
      <c r="CO206" s="12" t="n"/>
      <c r="CP206" s="11" t="n"/>
      <c r="CQ206" s="11" t="n"/>
      <c r="CR206" s="11" t="n"/>
      <c r="CS206" s="11" t="n"/>
      <c r="CT206" s="12" t="n"/>
      <c r="CU206" s="11" t="n"/>
      <c r="CV206" s="11" t="n"/>
      <c r="CW206" s="11" t="n"/>
      <c r="CX206" s="11" t="n"/>
      <c r="CY206" s="12" t="n"/>
    </row>
    <row r="207" hidden="1" outlineLevel="1">
      <c r="C207" s="57" t="n"/>
      <c r="D207" s="12" t="n"/>
      <c r="E207" s="12" t="n"/>
      <c r="F207" s="12" t="n"/>
      <c r="G207" s="12" t="n"/>
      <c r="H207" s="12" t="n"/>
      <c r="I207" s="12" t="n"/>
      <c r="J207" s="12" t="n"/>
      <c r="K207" s="12" t="n"/>
      <c r="L207" s="12" t="n"/>
      <c r="M207" s="12" t="n"/>
      <c r="N207" s="12" t="n"/>
      <c r="O207" s="12" t="n"/>
      <c r="P207" s="12" t="n"/>
      <c r="Q207" s="12" t="n"/>
      <c r="R207" s="12" t="n"/>
      <c r="S207" s="12" t="n"/>
      <c r="T207" s="12" t="n"/>
      <c r="U207" s="12" t="n"/>
      <c r="V207" s="12" t="n"/>
      <c r="W207" s="12" t="n"/>
      <c r="X207" s="12" t="n"/>
      <c r="Y207" s="12" t="n"/>
      <c r="Z207" s="12" t="n"/>
      <c r="AA207" s="12" t="n"/>
      <c r="AB207" s="12" t="n"/>
      <c r="AC207" s="12" t="n"/>
      <c r="AD207" s="12" t="n"/>
      <c r="AE207" s="12" t="n"/>
      <c r="AF207" s="12" t="n"/>
      <c r="AG207" s="12" t="n"/>
      <c r="AH207" s="12" t="n"/>
      <c r="AI207" s="12" t="n"/>
      <c r="AJ207" s="12" t="n"/>
      <c r="AK207" s="12" t="n"/>
      <c r="AL207" s="12" t="n"/>
      <c r="AM207" s="12" t="n"/>
      <c r="AN207" s="12" t="n"/>
      <c r="AO207" s="12" t="n"/>
      <c r="AP207" s="12" t="n"/>
      <c r="AQ207" s="12" t="n"/>
      <c r="AR207" s="12" t="n"/>
      <c r="AS207" s="12" t="n"/>
      <c r="AT207" s="12" t="n"/>
      <c r="AU207" s="12" t="n"/>
      <c r="AV207" s="12" t="n"/>
      <c r="AW207" s="12" t="n"/>
      <c r="AX207" s="12" t="n"/>
      <c r="AY207" s="12" t="n"/>
      <c r="AZ207" s="12" t="n"/>
      <c r="BA207" s="12" t="n"/>
      <c r="BB207" s="12" t="n"/>
      <c r="BC207" s="12" t="n"/>
      <c r="BD207" s="12" t="n"/>
      <c r="BE207" s="12" t="n"/>
      <c r="BF207" s="12" t="n"/>
      <c r="BG207" s="12" t="n"/>
      <c r="BH207" s="12" t="n"/>
      <c r="BI207" s="12" t="n"/>
      <c r="BJ207" s="12" t="n"/>
      <c r="BK207" s="12" t="n"/>
      <c r="BL207" s="12" t="n"/>
      <c r="BM207" s="12" t="n"/>
      <c r="BN207" s="12" t="n"/>
      <c r="BO207" s="12" t="n"/>
      <c r="BP207" s="12" t="n"/>
      <c r="BQ207" s="12" t="n"/>
      <c r="BR207" s="12" t="n"/>
      <c r="BS207" s="12" t="n"/>
      <c r="BT207" s="12" t="n"/>
      <c r="BU207" s="12" t="n"/>
      <c r="BV207" s="12" t="n"/>
      <c r="BW207" s="12" t="n"/>
      <c r="BX207" s="12" t="n"/>
      <c r="BY207" s="12" t="n"/>
      <c r="BZ207" s="12" t="n"/>
      <c r="CA207" s="12" t="n"/>
      <c r="CB207" s="12" t="n"/>
      <c r="CC207" s="12" t="n"/>
      <c r="CD207" s="12" t="n"/>
      <c r="CE207" s="12" t="n"/>
      <c r="CF207" s="12" t="n"/>
      <c r="CG207" s="12" t="n"/>
      <c r="CH207" s="12" t="n"/>
      <c r="CI207" s="12" t="n"/>
      <c r="CJ207" s="12" t="n"/>
      <c r="CK207" s="12" t="n"/>
      <c r="CL207" s="12" t="n"/>
      <c r="CM207" s="12" t="n"/>
      <c r="CN207" s="12" t="n"/>
      <c r="CO207" s="12" t="n"/>
      <c r="CP207" s="12" t="n"/>
      <c r="CQ207" s="12" t="n"/>
      <c r="CR207" s="12" t="n"/>
      <c r="CS207" s="12" t="n"/>
      <c r="CT207" s="12" t="n"/>
      <c r="CU207" s="12" t="n"/>
      <c r="CV207" s="12" t="n"/>
      <c r="CW207" s="12" t="n"/>
      <c r="CX207" s="12" t="n"/>
      <c r="CY207" s="12" t="n"/>
    </row>
    <row r="208" collapsed="1">
      <c r="C208" s="14" t="inlineStr">
        <is>
          <t>Current portion of long-term debt</t>
        </is>
      </c>
      <c r="D208" s="46" t="n"/>
      <c r="E208" s="46" t="n"/>
      <c r="F208" s="46" t="n"/>
      <c r="G208" s="46" t="n"/>
      <c r="H208" s="12" t="n"/>
      <c r="I208" s="46">
        <f>'Inputs (2)'!D32</f>
        <v>0</v>
      </c>
      <c r="J208" s="46">
        <f>'Inputs (2)'!E32</f>
        <v>0</v>
      </c>
      <c r="K208" s="46">
        <f>'Inputs (2)'!F32</f>
        <v>0</v>
      </c>
      <c r="L208" s="46">
        <f>'Inputs (2)'!G32</f>
        <v>0</v>
      </c>
      <c r="M208" s="12">
        <f>'Inputs (2)'!H32</f>
        <v>0</v>
      </c>
      <c r="N208" s="46">
        <f>'Inputs (2)'!I32</f>
        <v>0</v>
      </c>
      <c r="O208" s="46">
        <f>'Inputs (2)'!J32</f>
        <v>0</v>
      </c>
      <c r="P208" s="46">
        <f>'Inputs (2)'!K32</f>
        <v>0</v>
      </c>
      <c r="Q208" s="46">
        <f>'Inputs (2)'!L32</f>
        <v>0</v>
      </c>
      <c r="R208" s="12">
        <f>'Inputs (2)'!M32</f>
        <v>0</v>
      </c>
      <c r="S208" s="46">
        <f>'Inputs (2)'!N32</f>
        <v>0</v>
      </c>
      <c r="T208" s="46">
        <f>'Inputs (2)'!O32</f>
        <v>0</v>
      </c>
      <c r="U208" s="46">
        <f>'Inputs (2)'!P32</f>
        <v>0</v>
      </c>
      <c r="V208" s="46">
        <f>'Inputs (2)'!Q32</f>
        <v>0</v>
      </c>
      <c r="W208" s="12">
        <f>'Inputs (2)'!R32</f>
        <v>0</v>
      </c>
      <c r="X208" s="46">
        <f>'Inputs (2)'!S32</f>
        <v>0</v>
      </c>
      <c r="Y208" s="46">
        <f>'Inputs (2)'!T32</f>
        <v>0</v>
      </c>
      <c r="Z208" s="46">
        <f>'Inputs (2)'!U32</f>
        <v>0</v>
      </c>
      <c r="AA208" s="46">
        <f>'Inputs (2)'!V32</f>
        <v>0</v>
      </c>
      <c r="AB208" s="12">
        <f>'Inputs (2)'!W32</f>
        <v>0</v>
      </c>
      <c r="AC208" s="46">
        <f>'Inputs (2)'!X32</f>
        <v>0</v>
      </c>
      <c r="AD208" s="46">
        <f>'Inputs (2)'!Y32</f>
        <v>0</v>
      </c>
      <c r="AE208" s="46">
        <f>'Inputs (2)'!Z32</f>
        <v>0</v>
      </c>
      <c r="AF208" s="46">
        <f>'Inputs (2)'!AA32</f>
        <v>0</v>
      </c>
      <c r="AG208" s="12">
        <f>'Inputs (2)'!AB32</f>
        <v>0</v>
      </c>
      <c r="AH208" s="12">
        <f>'Inputs (2)'!AC32</f>
        <v>0</v>
      </c>
      <c r="AI208" s="12">
        <f>'Inputs (2)'!AD32</f>
        <v>0</v>
      </c>
      <c r="AJ208" s="12">
        <f>AI208</f>
        <v>0</v>
      </c>
      <c r="AK208" s="12">
        <f>AJ208</f>
        <v>0</v>
      </c>
      <c r="AL208" s="12">
        <f>AK208</f>
        <v>0</v>
      </c>
      <c r="AM208" s="12">
        <f>AL208</f>
        <v>0</v>
      </c>
      <c r="AN208" s="12">
        <f>AM208</f>
        <v>0</v>
      </c>
      <c r="AO208" s="12">
        <f>AN208</f>
        <v>0</v>
      </c>
      <c r="AP208" s="12">
        <f>AO208</f>
        <v>0</v>
      </c>
      <c r="AQ208" s="12">
        <f>AP208</f>
        <v>0</v>
      </c>
      <c r="AR208" s="12">
        <f>AQ208</f>
        <v>0</v>
      </c>
      <c r="AS208" s="12">
        <f>AR208</f>
        <v>0</v>
      </c>
      <c r="AT208" s="12">
        <f>AS208</f>
        <v>0</v>
      </c>
      <c r="AU208" s="12">
        <f>AT208</f>
        <v>0</v>
      </c>
      <c r="AV208" s="12">
        <f>AU208</f>
        <v>0</v>
      </c>
      <c r="AW208" s="12">
        <f>AV208</f>
        <v>0</v>
      </c>
      <c r="AX208" s="12">
        <f>AW208</f>
        <v>0</v>
      </c>
      <c r="AY208" s="12">
        <f>AX208</f>
        <v>0</v>
      </c>
      <c r="AZ208" s="12">
        <f>AY208</f>
        <v>0</v>
      </c>
      <c r="BA208" s="12">
        <f>AZ208</f>
        <v>0</v>
      </c>
      <c r="BB208" s="12">
        <f>BA208</f>
        <v>0</v>
      </c>
      <c r="BC208" s="12">
        <f>BB208</f>
        <v>0</v>
      </c>
      <c r="BD208" s="12">
        <f>BC208</f>
        <v>0</v>
      </c>
      <c r="BE208" s="12">
        <f>BD208</f>
        <v>0</v>
      </c>
      <c r="BF208" s="12">
        <f>BE208</f>
        <v>0</v>
      </c>
      <c r="BG208" s="12" t="n"/>
      <c r="BH208" s="12" t="n"/>
      <c r="BI208" s="12" t="n"/>
      <c r="BJ208" s="12" t="n"/>
      <c r="BK208" s="12" t="n"/>
      <c r="BL208" s="12" t="n"/>
      <c r="BM208" s="12" t="n"/>
      <c r="BN208" s="12" t="n"/>
      <c r="BO208" s="12" t="n"/>
      <c r="BP208" s="12" t="n"/>
      <c r="BQ208" s="12" t="n"/>
      <c r="BR208" s="12" t="n"/>
      <c r="BS208" s="12" t="n"/>
      <c r="BT208" s="12" t="n"/>
      <c r="BU208" s="12" t="n"/>
      <c r="BV208" s="12" t="n"/>
      <c r="BW208" s="12" t="n"/>
      <c r="BX208" s="12" t="n"/>
      <c r="BY208" s="12" t="n"/>
      <c r="BZ208" s="12" t="n"/>
      <c r="CA208" s="12" t="n"/>
      <c r="CB208" s="12" t="n"/>
      <c r="CC208" s="12" t="n"/>
      <c r="CD208" s="12" t="n"/>
      <c r="CE208" s="12" t="n"/>
      <c r="CF208" s="12" t="n"/>
      <c r="CG208" s="12" t="n"/>
      <c r="CH208" s="12" t="n"/>
      <c r="CI208" s="12" t="n"/>
      <c r="CJ208" s="12" t="n"/>
      <c r="CK208" s="12" t="n"/>
      <c r="CL208" s="12" t="n"/>
      <c r="CM208" s="12" t="n"/>
      <c r="CN208" s="12" t="n"/>
      <c r="CO208" s="12" t="n"/>
      <c r="CP208" s="12" t="n"/>
      <c r="CQ208" s="12" t="n"/>
      <c r="CR208" s="12" t="n"/>
      <c r="CS208" s="12" t="n"/>
      <c r="CT208" s="12" t="n"/>
      <c r="CU208" s="12" t="n"/>
      <c r="CV208" s="12" t="n"/>
      <c r="CW208" s="12" t="n"/>
      <c r="CX208" s="12" t="n"/>
      <c r="CY208" s="12" t="n"/>
    </row>
    <row r="209">
      <c r="C209" s="14" t="inlineStr">
        <is>
          <t>Short term debt (Revolving credit facility)</t>
        </is>
      </c>
      <c r="D209" s="46" t="n"/>
      <c r="E209" s="46" t="n"/>
      <c r="F209" s="46" t="n"/>
      <c r="G209" s="46" t="n"/>
      <c r="H209" s="12" t="n"/>
      <c r="I209" s="46">
        <f>'Inputs (2)'!D33</f>
        <v>0</v>
      </c>
      <c r="J209" s="46">
        <f>'Inputs (2)'!E33</f>
        <v>0</v>
      </c>
      <c r="K209" s="46">
        <f>'Inputs (2)'!F33</f>
        <v>0</v>
      </c>
      <c r="L209" s="46">
        <f>'Inputs (2)'!G33</f>
        <v>0</v>
      </c>
      <c r="M209" s="12">
        <f>'Inputs (2)'!H33</f>
        <v>0</v>
      </c>
      <c r="N209" s="46">
        <f>'Inputs (2)'!I33</f>
        <v>0</v>
      </c>
      <c r="O209" s="46">
        <f>'Inputs (2)'!J33</f>
        <v>0</v>
      </c>
      <c r="P209" s="46">
        <f>'Inputs (2)'!K33</f>
        <v>0</v>
      </c>
      <c r="Q209" s="46">
        <f>'Inputs (2)'!L33</f>
        <v>0</v>
      </c>
      <c r="R209" s="12">
        <f>'Inputs (2)'!M33</f>
        <v>0</v>
      </c>
      <c r="S209" s="46">
        <f>'Inputs (2)'!N33</f>
        <v>0</v>
      </c>
      <c r="T209" s="46">
        <f>'Inputs (2)'!O33</f>
        <v>0</v>
      </c>
      <c r="U209" s="46">
        <f>'Inputs (2)'!P33</f>
        <v>0</v>
      </c>
      <c r="V209" s="46">
        <f>'Inputs (2)'!Q33</f>
        <v>0</v>
      </c>
      <c r="W209" s="12">
        <f>'Inputs (2)'!R33</f>
        <v>0</v>
      </c>
      <c r="X209" s="46">
        <f>'Inputs (2)'!S33</f>
        <v>0</v>
      </c>
      <c r="Y209" s="46">
        <f>'Inputs (2)'!T33</f>
        <v>0</v>
      </c>
      <c r="Z209" s="46">
        <f>'Inputs (2)'!U33</f>
        <v>0</v>
      </c>
      <c r="AA209" s="46">
        <f>'Inputs (2)'!V33</f>
        <v>0</v>
      </c>
      <c r="AB209" s="12">
        <f>'Inputs (2)'!W33</f>
        <v>0</v>
      </c>
      <c r="AC209" s="46">
        <f>'Inputs (2)'!X33</f>
        <v>0</v>
      </c>
      <c r="AD209" s="46">
        <f>'Inputs (2)'!Y33</f>
        <v>0</v>
      </c>
      <c r="AE209" s="46">
        <f>'Inputs (2)'!Z33</f>
        <v>0</v>
      </c>
      <c r="AF209" s="46">
        <f>'Inputs (2)'!AA33</f>
        <v>0</v>
      </c>
      <c r="AG209" s="12">
        <f>'Inputs (2)'!AB33</f>
        <v>0</v>
      </c>
      <c r="AH209" s="12">
        <f>'Inputs (2)'!AC33</f>
        <v>0</v>
      </c>
      <c r="AI209" s="12">
        <f>'Inputs (2)'!AD33</f>
        <v>0</v>
      </c>
      <c r="AJ209" s="12">
        <f>AI209</f>
        <v>0</v>
      </c>
      <c r="AK209" s="12">
        <f>AJ209</f>
        <v>0</v>
      </c>
      <c r="AL209" s="12">
        <f>AK209</f>
        <v>0</v>
      </c>
      <c r="AM209" s="12">
        <f>AL209</f>
        <v>0</v>
      </c>
      <c r="AN209" s="12">
        <f>AM209</f>
        <v>0</v>
      </c>
      <c r="AO209" s="12">
        <f>AN209</f>
        <v>0</v>
      </c>
      <c r="AP209" s="12">
        <f>AO209</f>
        <v>0</v>
      </c>
      <c r="AQ209" s="12">
        <f>AP209</f>
        <v>0</v>
      </c>
      <c r="AR209" s="12">
        <f>AQ209</f>
        <v>0</v>
      </c>
      <c r="AS209" s="12">
        <f>AR209</f>
        <v>0</v>
      </c>
      <c r="AT209" s="12">
        <f>AS209</f>
        <v>0</v>
      </c>
      <c r="AU209" s="12">
        <f>AT209</f>
        <v>0</v>
      </c>
      <c r="AV209" s="12">
        <f>AU209</f>
        <v>0</v>
      </c>
      <c r="AW209" s="12">
        <f>AV209</f>
        <v>0</v>
      </c>
      <c r="AX209" s="12">
        <f>AW209</f>
        <v>0</v>
      </c>
      <c r="AY209" s="12">
        <f>AX209</f>
        <v>0</v>
      </c>
      <c r="AZ209" s="12">
        <f>AY209</f>
        <v>0</v>
      </c>
      <c r="BA209" s="12">
        <f>AZ209</f>
        <v>0</v>
      </c>
      <c r="BB209" s="12">
        <f>BA209</f>
        <v>0</v>
      </c>
      <c r="BC209" s="12">
        <f>BB209</f>
        <v>0</v>
      </c>
      <c r="BD209" s="12">
        <f>BC209</f>
        <v>0</v>
      </c>
      <c r="BE209" s="12">
        <f>BD209</f>
        <v>0</v>
      </c>
      <c r="BF209" s="12">
        <f>BE209</f>
        <v>0</v>
      </c>
      <c r="BG209" s="12" t="n"/>
      <c r="BH209" s="12" t="n"/>
      <c r="BI209" s="12" t="n"/>
      <c r="BJ209" s="12" t="n"/>
      <c r="BK209" s="12" t="n"/>
      <c r="BL209" s="12" t="n"/>
      <c r="BM209" s="12" t="n"/>
      <c r="BN209" s="12" t="n"/>
      <c r="BO209" s="12" t="n"/>
      <c r="BP209" s="12" t="n"/>
      <c r="BQ209" s="12" t="n"/>
      <c r="BR209" s="12" t="n"/>
      <c r="BS209" s="12" t="n"/>
      <c r="BT209" s="12" t="n"/>
      <c r="BU209" s="12" t="n"/>
      <c r="BV209" s="12" t="n"/>
      <c r="BW209" s="12" t="n"/>
      <c r="BX209" s="12" t="n"/>
      <c r="BY209" s="12" t="n"/>
      <c r="BZ209" s="12" t="n"/>
      <c r="CA209" s="12" t="n"/>
      <c r="CB209" s="12" t="n"/>
      <c r="CC209" s="12" t="n"/>
      <c r="CD209" s="12" t="n"/>
      <c r="CE209" s="12" t="n"/>
      <c r="CF209" s="12" t="n"/>
      <c r="CG209" s="12" t="n"/>
      <c r="CH209" s="12" t="n"/>
      <c r="CI209" s="12" t="n"/>
      <c r="CJ209" s="12" t="n"/>
      <c r="CK209" s="12" t="n"/>
      <c r="CL209" s="12" t="n"/>
      <c r="CM209" s="12" t="n"/>
      <c r="CN209" s="12" t="n"/>
      <c r="CO209" s="12" t="n"/>
      <c r="CP209" s="12" t="n"/>
      <c r="CQ209" s="12" t="n"/>
      <c r="CR209" s="12" t="n"/>
      <c r="CS209" s="12" t="n"/>
      <c r="CT209" s="12" t="n"/>
      <c r="CU209" s="12" t="n"/>
      <c r="CV209" s="12" t="n"/>
      <c r="CW209" s="12" t="n"/>
      <c r="CX209" s="12" t="n"/>
      <c r="CY209" s="12" t="n"/>
    </row>
    <row r="210">
      <c r="C210" s="14" t="inlineStr">
        <is>
          <t>Short term operating leases</t>
        </is>
      </c>
      <c r="D210" s="46" t="n"/>
      <c r="E210" s="46" t="n"/>
      <c r="F210" s="46" t="n"/>
      <c r="G210" s="46" t="n"/>
      <c r="H210" s="12" t="n"/>
      <c r="I210" s="46">
        <f>'Inputs (2)'!D34</f>
        <v>0</v>
      </c>
      <c r="J210" s="46">
        <f>'Inputs (2)'!E34</f>
        <v>0</v>
      </c>
      <c r="K210" s="46">
        <f>'Inputs (2)'!F34</f>
        <v>0</v>
      </c>
      <c r="L210" s="46">
        <f>'Inputs (2)'!G34</f>
        <v>0</v>
      </c>
      <c r="M210" s="12">
        <f>'Inputs (2)'!H34</f>
        <v>0</v>
      </c>
      <c r="N210" s="46">
        <f>'Inputs (2)'!I34</f>
        <v>0</v>
      </c>
      <c r="O210" s="46">
        <f>'Inputs (2)'!J34</f>
        <v>0</v>
      </c>
      <c r="P210" s="46">
        <f>'Inputs (2)'!K34</f>
        <v>0</v>
      </c>
      <c r="Q210" s="46">
        <f>'Inputs (2)'!L34</f>
        <v>0</v>
      </c>
      <c r="R210" s="12">
        <f>'Inputs (2)'!M34</f>
        <v>0</v>
      </c>
      <c r="S210" s="46">
        <f>'Inputs (2)'!N34</f>
        <v>0</v>
      </c>
      <c r="T210" s="46">
        <f>'Inputs (2)'!O34</f>
        <v>0</v>
      </c>
      <c r="U210" s="46">
        <f>'Inputs (2)'!P34</f>
        <v>0</v>
      </c>
      <c r="V210" s="46">
        <f>'Inputs (2)'!Q34</f>
        <v>0</v>
      </c>
      <c r="W210" s="12">
        <f>'Inputs (2)'!R34</f>
        <v>0</v>
      </c>
      <c r="X210" s="46">
        <f>'Inputs (2)'!S34</f>
        <v>0</v>
      </c>
      <c r="Y210" s="46">
        <f>'Inputs (2)'!T34</f>
        <v>0</v>
      </c>
      <c r="Z210" s="46">
        <f>'Inputs (2)'!U34</f>
        <v>0</v>
      </c>
      <c r="AA210" s="46">
        <f>'Inputs (2)'!V34</f>
        <v>0</v>
      </c>
      <c r="AB210" s="12">
        <f>'Inputs (2)'!W34</f>
        <v>0</v>
      </c>
      <c r="AC210" s="46">
        <f>'Inputs (2)'!X34</f>
        <v>0</v>
      </c>
      <c r="AD210" s="46">
        <f>'Inputs (2)'!Y34</f>
        <v>0</v>
      </c>
      <c r="AE210" s="46">
        <f>'Inputs (2)'!Z34</f>
        <v>0</v>
      </c>
      <c r="AF210" s="46">
        <f>'Inputs (2)'!AA34</f>
        <v>0</v>
      </c>
      <c r="AG210" s="12">
        <f>'Inputs (2)'!AB34</f>
        <v>0</v>
      </c>
      <c r="AH210" s="12">
        <f>'Inputs (2)'!AC34</f>
        <v>0</v>
      </c>
      <c r="AI210" s="12">
        <f>'Inputs (2)'!AD34</f>
        <v>0</v>
      </c>
      <c r="AJ210" s="12">
        <f>AI210</f>
        <v>0</v>
      </c>
      <c r="AK210" s="12">
        <f>AJ210</f>
        <v>0</v>
      </c>
      <c r="AL210" s="12">
        <f>AK210</f>
        <v>0</v>
      </c>
      <c r="AM210" s="12">
        <f>AL210</f>
        <v>0</v>
      </c>
      <c r="AN210" s="12">
        <f>AM210</f>
        <v>0</v>
      </c>
      <c r="AO210" s="12">
        <f>AN210</f>
        <v>0</v>
      </c>
      <c r="AP210" s="12">
        <f>AO210</f>
        <v>0</v>
      </c>
      <c r="AQ210" s="12">
        <f>AP210</f>
        <v>0</v>
      </c>
      <c r="AR210" s="12">
        <f>AQ210</f>
        <v>0</v>
      </c>
      <c r="AS210" s="12">
        <f>AR210</f>
        <v>0</v>
      </c>
      <c r="AT210" s="12">
        <f>AS210</f>
        <v>0</v>
      </c>
      <c r="AU210" s="12">
        <f>AT210</f>
        <v>0</v>
      </c>
      <c r="AV210" s="12">
        <f>AU210</f>
        <v>0</v>
      </c>
      <c r="AW210" s="12">
        <f>AV210</f>
        <v>0</v>
      </c>
      <c r="AX210" s="12">
        <f>AW210</f>
        <v>0</v>
      </c>
      <c r="AY210" s="12">
        <f>AX210</f>
        <v>0</v>
      </c>
      <c r="AZ210" s="12">
        <f>AY210</f>
        <v>0</v>
      </c>
      <c r="BA210" s="12">
        <f>AZ210</f>
        <v>0</v>
      </c>
      <c r="BB210" s="12">
        <f>BA210</f>
        <v>0</v>
      </c>
      <c r="BC210" s="12">
        <f>BB210</f>
        <v>0</v>
      </c>
      <c r="BD210" s="12">
        <f>BC210</f>
        <v>0</v>
      </c>
      <c r="BE210" s="12">
        <f>BD210</f>
        <v>0</v>
      </c>
      <c r="BF210" s="12">
        <f>BE210</f>
        <v>0</v>
      </c>
      <c r="BG210" s="12" t="n"/>
      <c r="BH210" s="12" t="n"/>
      <c r="BI210" s="12" t="n"/>
      <c r="BJ210" s="12" t="n"/>
      <c r="BK210" s="12" t="n"/>
      <c r="BL210" s="12" t="n"/>
      <c r="BM210" s="12" t="n"/>
      <c r="BN210" s="12" t="n"/>
      <c r="BO210" s="12" t="n"/>
      <c r="BP210" s="12" t="n"/>
      <c r="BQ210" s="12" t="n"/>
      <c r="BR210" s="12" t="n"/>
      <c r="BS210" s="12" t="n"/>
      <c r="BT210" s="12" t="n"/>
      <c r="BU210" s="12" t="n"/>
      <c r="BV210" s="12" t="n"/>
      <c r="BW210" s="12" t="n"/>
      <c r="BX210" s="12" t="n"/>
      <c r="BY210" s="12" t="n"/>
      <c r="BZ210" s="12" t="n"/>
      <c r="CA210" s="12" t="n"/>
      <c r="CB210" s="12" t="n"/>
      <c r="CC210" s="12" t="n"/>
      <c r="CD210" s="12" t="n"/>
      <c r="CE210" s="12" t="n"/>
      <c r="CF210" s="12" t="n"/>
      <c r="CG210" s="12" t="n"/>
      <c r="CH210" s="12" t="n"/>
      <c r="CI210" s="12" t="n"/>
      <c r="CJ210" s="12" t="n"/>
      <c r="CK210" s="12" t="n"/>
      <c r="CL210" s="12" t="n"/>
      <c r="CM210" s="12" t="n"/>
      <c r="CN210" s="12" t="n"/>
      <c r="CO210" s="12" t="n"/>
      <c r="CP210" s="12" t="n"/>
      <c r="CQ210" s="12" t="n"/>
      <c r="CR210" s="12" t="n"/>
      <c r="CS210" s="12" t="n"/>
      <c r="CT210" s="12" t="n"/>
      <c r="CU210" s="12" t="n"/>
      <c r="CV210" s="12" t="n"/>
      <c r="CW210" s="12" t="n"/>
      <c r="CX210" s="12" t="n"/>
      <c r="CY210" s="12" t="n"/>
    </row>
    <row r="211" hidden="1" outlineLevel="1">
      <c r="C211" s="59" t="inlineStr">
        <is>
          <t>%(Var.)</t>
        </is>
      </c>
      <c r="D211" s="12" t="n"/>
      <c r="E211" s="40" t="n"/>
      <c r="F211" s="40" t="n"/>
      <c r="G211" s="40" t="n"/>
      <c r="H211" s="12" t="n"/>
      <c r="I211" s="40" t="str">
        <f>""</f>
        <v/>
      </c>
      <c r="J211" s="40" t="str">
        <f>IFERROR(IF(I210=0,"",J210/I210-1),"")</f>
        <v/>
      </c>
      <c r="K211" s="40" t="str">
        <f>IFERROR(IF(J210=0,"",K210/J210-1),"")</f>
        <v/>
      </c>
      <c r="L211" s="40" t="str">
        <f>IFERROR(IF(K210=0,"",L210/K210-1),"")</f>
        <v/>
      </c>
      <c r="M211" s="12" t="str">
        <f>IF(L210=0,"",M210/L210-1)</f>
        <v/>
      </c>
      <c r="N211" s="40" t="str">
        <f>IFERROR(IF(M210=0,"",N210/M210-1),"")</f>
        <v/>
      </c>
      <c r="O211" s="40" t="str">
        <f>IFERROR(IF(N210=0,"",O210/N210-1),"")</f>
        <v/>
      </c>
      <c r="P211" s="40" t="str">
        <f>IFERROR(IF(O210=0,"",P210/O210-1),"")</f>
        <v/>
      </c>
      <c r="Q211" s="40" t="str">
        <f>IFERROR(IF(P210=0,"",Q210/P210-1),"")</f>
        <v/>
      </c>
      <c r="R211" s="12" t="str">
        <f>IF(Q210=0,"",R210/Q210-1)</f>
        <v/>
      </c>
      <c r="S211" s="40" t="str">
        <f>IFERROR(IF(R210=0,"",S210/R210-1),"")</f>
        <v/>
      </c>
      <c r="T211" s="40" t="str">
        <f>IFERROR(IF(S210=0,"",T210/S210-1),"")</f>
        <v/>
      </c>
      <c r="U211" s="40" t="str">
        <f>IFERROR(IF(T210=0,"",U210/T210-1),"")</f>
        <v/>
      </c>
      <c r="V211" s="40" t="str">
        <f>IFERROR(IF(U210=0,"",V210/U210-1),"")</f>
        <v/>
      </c>
      <c r="W211" s="12" t="str">
        <f>IF(V210=0,"",W210/V210-1)</f>
        <v/>
      </c>
      <c r="X211" s="40" t="str">
        <f>IFERROR(IF(W210=0,"",X210/W210-1),"")</f>
        <v/>
      </c>
      <c r="Y211" s="40" t="str">
        <f>IFERROR(IF(X210=0,"",Y210/X210-1),"")</f>
        <v/>
      </c>
      <c r="Z211" s="40" t="str">
        <f>IFERROR(IF(Y210=0,"",Z210/Y210-1),"")</f>
        <v/>
      </c>
      <c r="AA211" s="40" t="str">
        <f>IFERROR(IF(Z210=0,"",AA210/Z210-1),"")</f>
        <v/>
      </c>
      <c r="AB211" s="12" t="str">
        <f>IF(AA210=0,"",AB210/AA210-1)</f>
        <v/>
      </c>
      <c r="AC211" s="40" t="str">
        <f>IFERROR(IF(AB210=0,"",AC210/AB210-1),"")</f>
        <v/>
      </c>
      <c r="AD211" s="40" t="str">
        <f>IFERROR(IF(AC210=0,"",AD210/AC210-1),"")</f>
        <v/>
      </c>
      <c r="AE211" s="40" t="str">
        <f>IFERROR(IF(AD210=0,"",AE210/AD210-1),"")</f>
        <v/>
      </c>
      <c r="AF211" s="11" t="str">
        <f>IFERROR(IF(AE210=0,"",AF210/AE210-1),"")</f>
        <v/>
      </c>
      <c r="AG211" s="12" t="str">
        <f>IF(AF210=0,"",AG210/AF210-1)</f>
        <v/>
      </c>
      <c r="AH211" s="11" t="str">
        <f>IFERROR(IF(AG210=0,"",AH210/AG210-1),"")</f>
        <v/>
      </c>
      <c r="AI211" s="11" t="str">
        <f>IFERROR(IF(AH210=0,"",AI210/AH210-1),"")</f>
        <v/>
      </c>
      <c r="AJ211" s="11" t="str">
        <f>IFERROR(IF(AI210=0,"",AJ210/AI210-1),"")</f>
        <v/>
      </c>
      <c r="AK211" s="11" t="str">
        <f>IFERROR(IF(AJ210=0,"",AK210/AJ210-1),"")</f>
        <v/>
      </c>
      <c r="AL211" s="12" t="str">
        <f>IFERROR(IF(AK210=0,"",AL210/AK210-1),"")</f>
        <v/>
      </c>
      <c r="AM211" s="11" t="str">
        <f>IFERROR(IF(AL210=0,"",AM210/AL210-1),"")</f>
        <v/>
      </c>
      <c r="AN211" s="11" t="str">
        <f>IFERROR(IF(AM210=0,"",AN210/AM210-1),"")</f>
        <v/>
      </c>
      <c r="AO211" s="11" t="str">
        <f>IFERROR(IF(AN210=0,"",AO210/AN210-1),"")</f>
        <v/>
      </c>
      <c r="AP211" s="11" t="str">
        <f>IFERROR(IF(AO210=0,"",AP210/AO210-1),"")</f>
        <v/>
      </c>
      <c r="AQ211" s="12" t="str">
        <f>IFERROR(IF(AP210=0,"",AQ210/AP210-1),"")</f>
        <v/>
      </c>
      <c r="AR211" s="11" t="str">
        <f>IFERROR(IF(AQ210=0,"",AR210/AQ210-1),"")</f>
        <v/>
      </c>
      <c r="AS211" s="11" t="str">
        <f>IFERROR(IF(AR210=0,"",AS210/AR210-1),"")</f>
        <v/>
      </c>
      <c r="AT211" s="11" t="str">
        <f>IFERROR(IF(AS210=0,"",AT210/AS210-1),"")</f>
        <v/>
      </c>
      <c r="AU211" s="11" t="str">
        <f>IFERROR(IF(AT210=0,"",AU210/AT210-1),"")</f>
        <v/>
      </c>
      <c r="AV211" s="12" t="str">
        <f>IFERROR(IF(AU210=0,"",AV210/AU210-1),"")</f>
        <v/>
      </c>
      <c r="AW211" s="11" t="str">
        <f>IFERROR(IF(AV210=0,"",AW210/AV210-1),"")</f>
        <v/>
      </c>
      <c r="AX211" s="11" t="str">
        <f>IFERROR(IF(AW210=0,"",AX210/AW210-1),"")</f>
        <v/>
      </c>
      <c r="AY211" s="11" t="str">
        <f>IFERROR(IF(AX210=0,"",AY210/AX210-1),"")</f>
        <v/>
      </c>
      <c r="AZ211" s="11" t="str">
        <f>IFERROR(IF(AY210=0,"",AZ210/AY210-1),"")</f>
        <v/>
      </c>
      <c r="BA211" s="12" t="str">
        <f>IFERROR(IF(AZ210=0,"",BA210/AZ210-1),"")</f>
        <v/>
      </c>
      <c r="BB211" s="11" t="str">
        <f>IFERROR(IF(BA210=0,"",BB210/BA210-1),"")</f>
        <v/>
      </c>
      <c r="BC211" s="11" t="str">
        <f>IFERROR(IF(BB210=0,"",BC210/BB210-1),"")</f>
        <v/>
      </c>
      <c r="BD211" s="11" t="str">
        <f>IFERROR(IF(BC210=0,"",BD210/BC210-1),"")</f>
        <v/>
      </c>
      <c r="BE211" s="11" t="str">
        <f>IFERROR(IF(BD210=0,"",BE210/BD210-1),"")</f>
        <v/>
      </c>
      <c r="BF211" s="12" t="str">
        <f>IFERROR(IF(BE210=0,"",BF210/BE210-1),"")</f>
        <v/>
      </c>
      <c r="BG211" s="11" t="n"/>
      <c r="BH211" s="11" t="n"/>
      <c r="BI211" s="11" t="n"/>
      <c r="BJ211" s="11" t="n"/>
      <c r="BK211" s="12" t="n"/>
      <c r="BL211" s="11" t="n"/>
      <c r="BM211" s="11" t="n"/>
      <c r="BN211" s="11" t="n"/>
      <c r="BO211" s="11" t="n"/>
      <c r="BP211" s="12" t="n"/>
      <c r="BQ211" s="11" t="n"/>
      <c r="BR211" s="11" t="n"/>
      <c r="BS211" s="11" t="n"/>
      <c r="BT211" s="11" t="n"/>
      <c r="BU211" s="12" t="n"/>
      <c r="BV211" s="11" t="n"/>
      <c r="BW211" s="11" t="n"/>
      <c r="BX211" s="11" t="n"/>
      <c r="BY211" s="11" t="n"/>
      <c r="BZ211" s="12" t="n"/>
      <c r="CA211" s="11" t="n"/>
      <c r="CB211" s="11" t="n"/>
      <c r="CC211" s="11" t="n"/>
      <c r="CD211" s="11" t="n"/>
      <c r="CE211" s="12" t="n"/>
      <c r="CF211" s="11" t="n"/>
      <c r="CG211" s="11" t="n"/>
      <c r="CH211" s="11" t="n"/>
      <c r="CI211" s="11" t="n"/>
      <c r="CJ211" s="12" t="n"/>
      <c r="CK211" s="11" t="n"/>
      <c r="CL211" s="11" t="n"/>
      <c r="CM211" s="11" t="n"/>
      <c r="CN211" s="11" t="n"/>
      <c r="CO211" s="12" t="n"/>
      <c r="CP211" s="11" t="n"/>
      <c r="CQ211" s="11" t="n"/>
      <c r="CR211" s="11" t="n"/>
      <c r="CS211" s="11" t="n"/>
      <c r="CT211" s="12" t="n"/>
      <c r="CU211" s="11" t="n"/>
      <c r="CV211" s="11" t="n"/>
      <c r="CW211" s="11" t="n"/>
      <c r="CX211" s="11" t="n"/>
      <c r="CY211" s="12" t="n"/>
    </row>
    <row r="212" hidden="1" outlineLevel="1">
      <c r="C212" s="57" t="n"/>
      <c r="D212" s="12" t="n"/>
      <c r="E212" s="12" t="n"/>
      <c r="F212" s="12" t="n"/>
      <c r="G212" s="12" t="n"/>
      <c r="H212" s="12" t="n"/>
      <c r="I212" s="12" t="n"/>
      <c r="J212" s="12" t="n"/>
      <c r="K212" s="12" t="n"/>
      <c r="L212" s="12" t="n"/>
      <c r="M212" s="12" t="n"/>
      <c r="N212" s="12" t="n"/>
      <c r="O212" s="12" t="n"/>
      <c r="P212" s="12" t="n"/>
      <c r="Q212" s="12" t="n"/>
      <c r="R212" s="12" t="n"/>
      <c r="S212" s="12" t="n"/>
      <c r="T212" s="12" t="n"/>
      <c r="U212" s="12" t="n"/>
      <c r="V212" s="12" t="n"/>
      <c r="W212" s="12" t="n"/>
      <c r="X212" s="12" t="n"/>
      <c r="Y212" s="12" t="n"/>
      <c r="Z212" s="12" t="n"/>
      <c r="AA212" s="12" t="n"/>
      <c r="AB212" s="12" t="n"/>
      <c r="AC212" s="12" t="n"/>
      <c r="AD212" s="12" t="n"/>
      <c r="AE212" s="12" t="n"/>
      <c r="AF212" s="12" t="n"/>
      <c r="AG212" s="12" t="n"/>
      <c r="AH212" s="12" t="n"/>
      <c r="AI212" s="12" t="n"/>
      <c r="AJ212" s="12" t="n"/>
      <c r="AK212" s="12" t="n"/>
      <c r="AL212" s="12" t="n"/>
      <c r="AM212" s="12" t="n"/>
      <c r="AN212" s="12" t="n"/>
      <c r="AO212" s="12" t="n"/>
      <c r="AP212" s="12" t="n"/>
      <c r="AQ212" s="12" t="n"/>
      <c r="AR212" s="12" t="n"/>
      <c r="AS212" s="12" t="n"/>
      <c r="AT212" s="12" t="n"/>
      <c r="AU212" s="12" t="n"/>
      <c r="AV212" s="12" t="n"/>
      <c r="AW212" s="12" t="n"/>
      <c r="AX212" s="12" t="n"/>
      <c r="AY212" s="12" t="n"/>
      <c r="AZ212" s="12" t="n"/>
      <c r="BA212" s="12" t="n"/>
      <c r="BB212" s="12" t="n"/>
      <c r="BC212" s="12" t="n"/>
      <c r="BD212" s="12" t="n"/>
      <c r="BE212" s="12" t="n"/>
      <c r="BF212" s="12" t="n"/>
      <c r="BG212" s="12" t="n"/>
      <c r="BH212" s="12" t="n"/>
      <c r="BI212" s="12" t="n"/>
      <c r="BJ212" s="12" t="n"/>
      <c r="BK212" s="12" t="n"/>
      <c r="BL212" s="12" t="n"/>
      <c r="BM212" s="12" t="n"/>
      <c r="BN212" s="12" t="n"/>
      <c r="BO212" s="12" t="n"/>
      <c r="BP212" s="12" t="n"/>
      <c r="BQ212" s="12" t="n"/>
      <c r="BR212" s="12" t="n"/>
      <c r="BS212" s="12" t="n"/>
      <c r="BT212" s="12" t="n"/>
      <c r="BU212" s="12" t="n"/>
      <c r="BV212" s="12" t="n"/>
      <c r="BW212" s="12" t="n"/>
      <c r="BX212" s="12" t="n"/>
      <c r="BY212" s="12" t="n"/>
      <c r="BZ212" s="12" t="n"/>
      <c r="CA212" s="12" t="n"/>
      <c r="CB212" s="12" t="n"/>
      <c r="CC212" s="12" t="n"/>
      <c r="CD212" s="12" t="n"/>
      <c r="CE212" s="12" t="n"/>
      <c r="CF212" s="12" t="n"/>
      <c r="CG212" s="12" t="n"/>
      <c r="CH212" s="12" t="n"/>
      <c r="CI212" s="12" t="n"/>
      <c r="CJ212" s="12" t="n"/>
      <c r="CK212" s="12" t="n"/>
      <c r="CL212" s="12" t="n"/>
      <c r="CM212" s="12" t="n"/>
      <c r="CN212" s="12" t="n"/>
      <c r="CO212" s="12" t="n"/>
      <c r="CP212" s="12" t="n"/>
      <c r="CQ212" s="12" t="n"/>
      <c r="CR212" s="12" t="n"/>
      <c r="CS212" s="12" t="n"/>
      <c r="CT212" s="12" t="n"/>
      <c r="CU212" s="12" t="n"/>
      <c r="CV212" s="12" t="n"/>
      <c r="CW212" s="12" t="n"/>
      <c r="CX212" s="12" t="n"/>
      <c r="CY212" s="12" t="n"/>
    </row>
    <row r="213" collapsed="1">
      <c r="C213" s="14" t="inlineStr">
        <is>
          <t>Long term debt</t>
        </is>
      </c>
      <c r="D213" s="46" t="n"/>
      <c r="E213" s="46" t="n"/>
      <c r="F213" s="46" t="n"/>
      <c r="G213" s="46" t="n"/>
      <c r="H213" s="12" t="n"/>
      <c r="I213" s="46">
        <f>'Inputs (2)'!D35</f>
        <v>13887</v>
      </c>
      <c r="J213" s="46">
        <f>'Inputs (2)'!E35</f>
        <v>14328</v>
      </c>
      <c r="K213" s="46">
        <f>'Inputs (2)'!F35</f>
        <v>14288</v>
      </c>
      <c r="L213" s="46">
        <f>'Inputs (2)'!G35</f>
        <v>14817</v>
      </c>
      <c r="M213" s="12">
        <f>'Inputs (2)'!H35</f>
        <v>14817</v>
      </c>
      <c r="N213" s="46">
        <f>'Inputs (2)'!I35</f>
        <v>14791</v>
      </c>
      <c r="O213" s="46">
        <f>'Inputs (2)'!J35</f>
        <v>14734</v>
      </c>
      <c r="P213" s="46">
        <f>'Inputs (2)'!K35</f>
        <v>14653</v>
      </c>
      <c r="Q213" s="46">
        <f>'Inputs (2)'!L35</f>
        <v>14701</v>
      </c>
      <c r="R213" s="12">
        <f>'Inputs (2)'!M35</f>
        <v>14701</v>
      </c>
      <c r="S213" s="46">
        <f>'Inputs (2)'!N35</f>
        <v>13697</v>
      </c>
      <c r="T213" s="46">
        <f>'Inputs (2)'!O35</f>
        <v>13705</v>
      </c>
      <c r="U213" s="46">
        <f>'Inputs (2)'!P35</f>
        <v>13781</v>
      </c>
      <c r="V213" s="46">
        <f>'Inputs (2)'!Q35</f>
        <v>13253</v>
      </c>
      <c r="W213" s="12">
        <f>'Inputs (2)'!R35</f>
        <v>13253</v>
      </c>
      <c r="X213" s="46">
        <f>'Inputs (2)'!S35</f>
        <v>13228</v>
      </c>
      <c r="Y213" s="46">
        <f>'Inputs (2)'!T35</f>
        <v>13238</v>
      </c>
      <c r="Z213" s="46">
        <f>'Inputs (2)'!U35</f>
        <v>12297</v>
      </c>
      <c r="AA213" s="46">
        <f>'Inputs (2)'!V35</f>
        <v>10883</v>
      </c>
      <c r="AB213" s="12">
        <f>'Inputs (2)'!W35</f>
        <v>10883</v>
      </c>
      <c r="AC213" s="46">
        <f>'Inputs (2)'!X35</f>
        <v>10886</v>
      </c>
      <c r="AD213" s="46">
        <f>'Inputs (2)'!Y35</f>
        <v>23607</v>
      </c>
      <c r="AE213" s="46">
        <f>'Inputs (2)'!Z35</f>
        <v>21607</v>
      </c>
      <c r="AF213" s="46">
        <f>'Inputs (2)'!AA35</f>
        <v>46547</v>
      </c>
      <c r="AG213" s="12">
        <f>'Inputs (2)'!AB35</f>
        <v>46547</v>
      </c>
      <c r="AH213" s="12">
        <f>'Inputs (2)'!AC35</f>
        <v>77501</v>
      </c>
      <c r="AI213" s="12">
        <f>'Inputs (2)'!AD35</f>
        <v>98165</v>
      </c>
      <c r="AJ213" s="12">
        <f>AJ219</f>
        <v>98165</v>
      </c>
      <c r="AK213" s="12">
        <f>AK219</f>
        <v>98165</v>
      </c>
      <c r="AL213" s="12">
        <f>AK213</f>
        <v>98165</v>
      </c>
      <c r="AM213" s="12">
        <f>AM219</f>
        <v>98165</v>
      </c>
      <c r="AN213" s="12">
        <f>AN219</f>
        <v>98165</v>
      </c>
      <c r="AO213" s="12">
        <f>AO219</f>
        <v>98165</v>
      </c>
      <c r="AP213" s="12">
        <f>AP219</f>
        <v>98165</v>
      </c>
      <c r="AQ213" s="12">
        <f>AP213</f>
        <v>98165</v>
      </c>
      <c r="AR213" s="12">
        <f>AR219</f>
        <v>98165</v>
      </c>
      <c r="AS213" s="12">
        <f>AS219</f>
        <v>98165</v>
      </c>
      <c r="AT213" s="12">
        <f>AT219</f>
        <v>98165</v>
      </c>
      <c r="AU213" s="12">
        <f>AU219</f>
        <v>98165</v>
      </c>
      <c r="AV213" s="12">
        <f>AU213</f>
        <v>98165</v>
      </c>
      <c r="AW213" s="12">
        <f>AW219</f>
        <v>98165</v>
      </c>
      <c r="AX213" s="12">
        <f>AX219</f>
        <v>98165</v>
      </c>
      <c r="AY213" s="12">
        <f>AY219</f>
        <v>98165</v>
      </c>
      <c r="AZ213" s="12">
        <f>AZ219</f>
        <v>98165</v>
      </c>
      <c r="BA213" s="12">
        <f>AZ213</f>
        <v>98165</v>
      </c>
      <c r="BB213" s="12">
        <f>BB219</f>
        <v>98165</v>
      </c>
      <c r="BC213" s="12">
        <f>BC219</f>
        <v>98165</v>
      </c>
      <c r="BD213" s="12">
        <f>BD219</f>
        <v>98165</v>
      </c>
      <c r="BE213" s="12">
        <f>BE219</f>
        <v>98165</v>
      </c>
      <c r="BF213" s="12">
        <f>BE213</f>
        <v>98165</v>
      </c>
      <c r="BG213" s="12" t="n"/>
      <c r="BH213" s="12" t="n"/>
      <c r="BI213" s="12" t="n"/>
      <c r="BJ213" s="12" t="n"/>
      <c r="BK213" s="12" t="n"/>
      <c r="BL213" s="12" t="n"/>
      <c r="BM213" s="12" t="n"/>
      <c r="BN213" s="12" t="n"/>
      <c r="BO213" s="12" t="n"/>
      <c r="BP213" s="12" t="n"/>
      <c r="BQ213" s="12" t="n"/>
      <c r="BR213" s="12" t="n"/>
      <c r="BS213" s="12" t="n"/>
      <c r="BT213" s="12" t="n"/>
      <c r="BU213" s="12" t="n"/>
      <c r="BV213" s="12" t="n"/>
      <c r="BW213" s="12" t="n"/>
      <c r="BX213" s="12" t="n"/>
      <c r="BY213" s="12" t="n"/>
      <c r="BZ213" s="12" t="n"/>
      <c r="CA213" s="12" t="n"/>
      <c r="CB213" s="12" t="n"/>
      <c r="CC213" s="12" t="n"/>
      <c r="CD213" s="12" t="n"/>
      <c r="CE213" s="12" t="n"/>
      <c r="CF213" s="12" t="n"/>
      <c r="CG213" s="12" t="n"/>
      <c r="CH213" s="12" t="n"/>
      <c r="CI213" s="12" t="n"/>
      <c r="CJ213" s="12" t="n"/>
      <c r="CK213" s="12" t="n"/>
      <c r="CL213" s="12" t="n"/>
      <c r="CM213" s="12" t="n"/>
      <c r="CN213" s="12" t="n"/>
      <c r="CO213" s="12" t="n"/>
      <c r="CP213" s="12" t="n"/>
      <c r="CQ213" s="12" t="n"/>
      <c r="CR213" s="12" t="n"/>
      <c r="CS213" s="12" t="n"/>
      <c r="CT213" s="12" t="n"/>
      <c r="CU213" s="12" t="n"/>
      <c r="CV213" s="12" t="n"/>
      <c r="CW213" s="12" t="n"/>
      <c r="CX213" s="12" t="n"/>
      <c r="CY213" s="12" t="n"/>
    </row>
    <row r="214" hidden="1" outlineLevel="1">
      <c r="C214" s="57" t="n"/>
      <c r="D214" s="12" t="n"/>
      <c r="E214" s="12" t="n"/>
      <c r="F214" s="12" t="n"/>
      <c r="G214" s="12" t="n"/>
      <c r="H214" s="12" t="n"/>
      <c r="I214" s="12" t="n"/>
      <c r="J214" s="12" t="n"/>
      <c r="K214" s="12" t="n"/>
      <c r="L214" s="12" t="n"/>
      <c r="M214" s="12" t="n"/>
      <c r="N214" s="12" t="n"/>
      <c r="O214" s="12" t="n"/>
      <c r="P214" s="12" t="n"/>
      <c r="Q214" s="12" t="n"/>
      <c r="R214" s="12" t="n"/>
      <c r="S214" s="12" t="n"/>
      <c r="T214" s="12" t="n"/>
      <c r="U214" s="12" t="n"/>
      <c r="V214" s="12" t="n"/>
      <c r="W214" s="12" t="n"/>
      <c r="X214" s="12" t="n"/>
      <c r="Y214" s="12" t="n"/>
      <c r="Z214" s="12" t="n"/>
      <c r="AA214" s="12" t="n"/>
      <c r="AB214" s="12" t="n"/>
      <c r="AC214" s="12" t="n"/>
      <c r="AD214" s="12" t="n"/>
      <c r="AE214" s="12" t="n"/>
      <c r="AF214" s="12" t="n"/>
      <c r="AG214" s="12" t="n"/>
      <c r="AH214" s="12" t="n"/>
      <c r="AI214" s="12" t="n"/>
      <c r="AJ214" s="12" t="n"/>
      <c r="AK214" s="12" t="n"/>
      <c r="AL214" s="12" t="n"/>
      <c r="AM214" s="12" t="n"/>
      <c r="AN214" s="12" t="n"/>
      <c r="AO214" s="12" t="n"/>
      <c r="AP214" s="12" t="n"/>
      <c r="AQ214" s="12" t="n"/>
      <c r="AR214" s="12" t="n"/>
      <c r="AS214" s="12" t="n"/>
      <c r="AT214" s="12" t="n"/>
      <c r="AU214" s="12" t="n"/>
      <c r="AV214" s="12" t="n"/>
      <c r="AW214" s="12" t="n"/>
      <c r="AX214" s="12" t="n"/>
      <c r="AY214" s="12" t="n"/>
      <c r="AZ214" s="12" t="n"/>
      <c r="BA214" s="12" t="n"/>
      <c r="BB214" s="12" t="n"/>
      <c r="BC214" s="12" t="n"/>
      <c r="BD214" s="12" t="n"/>
      <c r="BE214" s="12" t="n"/>
      <c r="BF214" s="12" t="n"/>
      <c r="BG214" s="12" t="n"/>
      <c r="BH214" s="12" t="n"/>
      <c r="BI214" s="12" t="n"/>
      <c r="BJ214" s="12" t="n"/>
      <c r="BK214" s="12" t="n"/>
      <c r="BL214" s="12" t="n"/>
      <c r="BM214" s="12" t="n"/>
      <c r="BN214" s="12" t="n"/>
      <c r="BO214" s="12" t="n"/>
      <c r="BP214" s="12" t="n"/>
      <c r="BQ214" s="12" t="n"/>
      <c r="BR214" s="12" t="n"/>
      <c r="BS214" s="12" t="n"/>
      <c r="BT214" s="12" t="n"/>
      <c r="BU214" s="12" t="n"/>
      <c r="BV214" s="12" t="n"/>
      <c r="BW214" s="12" t="n"/>
      <c r="BX214" s="12" t="n"/>
      <c r="BY214" s="12" t="n"/>
      <c r="BZ214" s="12" t="n"/>
      <c r="CA214" s="12" t="n"/>
      <c r="CB214" s="12" t="n"/>
      <c r="CC214" s="12" t="n"/>
      <c r="CD214" s="12" t="n"/>
      <c r="CE214" s="12" t="n"/>
      <c r="CF214" s="12" t="n"/>
      <c r="CG214" s="12" t="n"/>
      <c r="CH214" s="12" t="n"/>
      <c r="CI214" s="12" t="n"/>
      <c r="CJ214" s="12" t="n"/>
      <c r="CK214" s="12" t="n"/>
      <c r="CL214" s="12" t="n"/>
      <c r="CM214" s="12" t="n"/>
      <c r="CN214" s="12" t="n"/>
      <c r="CO214" s="12" t="n"/>
      <c r="CP214" s="12" t="n"/>
      <c r="CQ214" s="12" t="n"/>
      <c r="CR214" s="12" t="n"/>
      <c r="CS214" s="12" t="n"/>
      <c r="CT214" s="12" t="n"/>
      <c r="CU214" s="12" t="n"/>
      <c r="CV214" s="12" t="n"/>
      <c r="CW214" s="12" t="n"/>
      <c r="CX214" s="12" t="n"/>
      <c r="CY214" s="12" t="n"/>
    </row>
    <row r="215" hidden="1" outlineLevel="1">
      <c r="C215" s="57" t="inlineStr">
        <is>
          <t>Current portion of LTD</t>
        </is>
      </c>
      <c r="D215" s="12" t="n"/>
      <c r="E215" s="12" t="n"/>
      <c r="F215" s="12" t="n"/>
      <c r="G215" s="12" t="n"/>
      <c r="H215" s="12" t="n"/>
      <c r="I215" s="12" t="n"/>
      <c r="J215" s="12" t="n"/>
      <c r="K215" s="12" t="n"/>
      <c r="L215" s="12" t="n"/>
      <c r="M215" s="12" t="n"/>
      <c r="N215" s="12" t="n"/>
      <c r="O215" s="12" t="n"/>
      <c r="P215" s="12" t="n"/>
      <c r="Q215" s="12" t="n"/>
      <c r="R215" s="12" t="n"/>
      <c r="S215" s="12" t="n"/>
      <c r="T215" s="12" t="n"/>
      <c r="U215" s="12" t="n"/>
      <c r="V215" s="12" t="n"/>
      <c r="W215" s="12" t="n"/>
      <c r="X215" s="12" t="n"/>
      <c r="Y215" s="12" t="n"/>
      <c r="Z215" s="12" t="n"/>
      <c r="AA215" s="12" t="n"/>
      <c r="AB215" s="12" t="n"/>
      <c r="AC215" s="12" t="n"/>
      <c r="AD215" s="12" t="n"/>
      <c r="AE215" s="12" t="n"/>
      <c r="AF215" s="12" t="n"/>
      <c r="AG215" s="12" t="n"/>
      <c r="AH215" s="12">
        <f>AF208</f>
        <v>0</v>
      </c>
      <c r="AI215" s="62" t="n"/>
      <c r="AJ215" s="62" t="n"/>
      <c r="AK215" s="62" t="n"/>
      <c r="AL215" s="12" t="n"/>
      <c r="AM215" s="12">
        <f>AK208</f>
        <v>0</v>
      </c>
      <c r="AN215" s="62" t="n"/>
      <c r="AO215" s="62" t="n"/>
      <c r="AP215" s="62" t="n"/>
      <c r="AQ215" s="12" t="n"/>
      <c r="AR215" s="12">
        <f>AP208</f>
        <v>0</v>
      </c>
      <c r="AS215" s="62" t="n"/>
      <c r="AT215" s="62" t="n"/>
      <c r="AU215" s="62" t="n"/>
      <c r="AV215" s="12" t="n"/>
      <c r="AW215" s="12">
        <f>AU208</f>
        <v>0</v>
      </c>
      <c r="AX215" s="62" t="n"/>
      <c r="AY215" s="62" t="n"/>
      <c r="AZ215" s="62" t="n"/>
      <c r="BA215" s="12" t="n"/>
      <c r="BB215" s="12">
        <f>AZ208</f>
        <v>0</v>
      </c>
      <c r="BC215" s="62" t="n"/>
      <c r="BD215" s="62" t="n"/>
      <c r="BE215" s="62" t="n"/>
      <c r="BF215" s="12" t="n"/>
      <c r="BG215" s="12" t="n"/>
      <c r="BH215" s="62" t="n"/>
      <c r="BI215" s="62" t="n"/>
      <c r="BJ215" s="62" t="n"/>
      <c r="BK215" s="12" t="n"/>
      <c r="BL215" s="12" t="n"/>
      <c r="BM215" s="62" t="n"/>
      <c r="BN215" s="62" t="n"/>
      <c r="BO215" s="62" t="n"/>
      <c r="BP215" s="12" t="n"/>
      <c r="BQ215" s="12" t="n"/>
      <c r="BR215" s="62" t="n"/>
      <c r="BS215" s="62" t="n"/>
      <c r="BT215" s="62" t="n"/>
      <c r="BU215" s="12" t="n"/>
      <c r="BV215" s="12" t="n"/>
      <c r="BW215" s="62" t="n"/>
      <c r="BX215" s="62" t="n"/>
      <c r="BY215" s="62" t="n"/>
      <c r="BZ215" s="12" t="n"/>
      <c r="CA215" s="12" t="n"/>
      <c r="CB215" s="62" t="n"/>
      <c r="CC215" s="62" t="n"/>
      <c r="CD215" s="62" t="n"/>
      <c r="CE215" s="12" t="n"/>
      <c r="CF215" s="12" t="n"/>
      <c r="CG215" s="62" t="n"/>
      <c r="CH215" s="62" t="n"/>
      <c r="CI215" s="62" t="n"/>
      <c r="CJ215" s="12" t="n"/>
      <c r="CK215" s="12" t="n"/>
      <c r="CL215" s="62" t="n"/>
      <c r="CM215" s="62" t="n"/>
      <c r="CN215" s="62" t="n"/>
      <c r="CO215" s="12" t="n"/>
      <c r="CP215" s="12" t="n"/>
      <c r="CQ215" s="62" t="n"/>
      <c r="CR215" s="62" t="n"/>
      <c r="CS215" s="62" t="n"/>
      <c r="CT215" s="12" t="n"/>
      <c r="CU215" s="12" t="n"/>
      <c r="CV215" s="62" t="n"/>
      <c r="CW215" s="62" t="n"/>
      <c r="CX215" s="62" t="n"/>
      <c r="CY215" s="12" t="n"/>
    </row>
    <row r="216" hidden="1" outlineLevel="1">
      <c r="C216" s="57" t="n"/>
      <c r="D216" s="12" t="n"/>
      <c r="E216" s="12" t="n"/>
      <c r="F216" s="12" t="n"/>
      <c r="G216" s="12" t="n"/>
      <c r="H216" s="12" t="n"/>
      <c r="I216" s="12" t="n"/>
      <c r="J216" s="12" t="n"/>
      <c r="K216" s="12" t="n"/>
      <c r="L216" s="12" t="n"/>
      <c r="M216" s="12" t="n"/>
      <c r="N216" s="12" t="n"/>
      <c r="O216" s="12" t="n"/>
      <c r="P216" s="12" t="n"/>
      <c r="Q216" s="12" t="n"/>
      <c r="R216" s="12" t="n"/>
      <c r="S216" s="12" t="n"/>
      <c r="T216" s="12" t="n"/>
      <c r="U216" s="12" t="n"/>
      <c r="V216" s="12" t="n"/>
      <c r="W216" s="12" t="n"/>
      <c r="X216" s="12" t="n"/>
      <c r="Y216" s="12" t="n"/>
      <c r="Z216" s="12" t="n"/>
      <c r="AA216" s="12" t="n"/>
      <c r="AB216" s="12" t="n"/>
      <c r="AC216" s="12" t="n"/>
      <c r="AD216" s="12" t="n"/>
      <c r="AE216" s="12" t="n"/>
      <c r="AF216" s="12" t="n"/>
      <c r="AG216" s="12" t="n"/>
      <c r="AH216" s="12" t="n"/>
      <c r="AI216" s="12" t="n"/>
      <c r="AJ216" s="12" t="n"/>
      <c r="AK216" s="12" t="n"/>
      <c r="AL216" s="12" t="n"/>
      <c r="AM216" s="12" t="n"/>
      <c r="AN216" s="12" t="n"/>
      <c r="AO216" s="12" t="n"/>
      <c r="AP216" s="12" t="n"/>
      <c r="AQ216" s="12" t="n"/>
      <c r="AR216" s="12" t="n"/>
      <c r="AS216" s="12" t="n"/>
      <c r="AT216" s="12" t="n"/>
      <c r="AU216" s="12" t="n"/>
      <c r="AV216" s="12" t="n"/>
      <c r="AW216" s="12" t="n"/>
      <c r="AX216" s="12" t="n"/>
      <c r="AY216" s="12" t="n"/>
      <c r="AZ216" s="12" t="n"/>
      <c r="BA216" s="12" t="n"/>
      <c r="BB216" s="12" t="n"/>
      <c r="BC216" s="12" t="n"/>
      <c r="BD216" s="12" t="n"/>
      <c r="BE216" s="12" t="n"/>
      <c r="BF216" s="12" t="n"/>
      <c r="BG216" s="12" t="n"/>
      <c r="BH216" s="12" t="n"/>
      <c r="BI216" s="12" t="n"/>
      <c r="BJ216" s="12" t="n"/>
      <c r="BK216" s="12" t="n"/>
      <c r="BL216" s="12" t="n"/>
      <c r="BM216" s="12" t="n"/>
      <c r="BN216" s="12" t="n"/>
      <c r="BO216" s="12" t="n"/>
      <c r="BP216" s="12" t="n"/>
      <c r="BQ216" s="12" t="n"/>
      <c r="BR216" s="12" t="n"/>
      <c r="BS216" s="12" t="n"/>
      <c r="BT216" s="12" t="n"/>
      <c r="BU216" s="12" t="n"/>
      <c r="BV216" s="12" t="n"/>
      <c r="BW216" s="12" t="n"/>
      <c r="BX216" s="12" t="n"/>
      <c r="BY216" s="12" t="n"/>
      <c r="BZ216" s="12" t="n"/>
      <c r="CA216" s="12" t="n"/>
      <c r="CB216" s="12" t="n"/>
      <c r="CC216" s="12" t="n"/>
      <c r="CD216" s="12" t="n"/>
      <c r="CE216" s="12" t="n"/>
      <c r="CF216" s="12" t="n"/>
      <c r="CG216" s="12" t="n"/>
      <c r="CH216" s="12" t="n"/>
      <c r="CI216" s="12" t="n"/>
      <c r="CJ216" s="12" t="n"/>
      <c r="CK216" s="12" t="n"/>
      <c r="CL216" s="12" t="n"/>
      <c r="CM216" s="12" t="n"/>
      <c r="CN216" s="12" t="n"/>
      <c r="CO216" s="12" t="n"/>
      <c r="CP216" s="12" t="n"/>
      <c r="CQ216" s="12" t="n"/>
      <c r="CR216" s="12" t="n"/>
      <c r="CS216" s="12" t="n"/>
      <c r="CT216" s="12" t="n"/>
      <c r="CU216" s="12" t="n"/>
      <c r="CV216" s="12" t="n"/>
      <c r="CW216" s="12" t="n"/>
      <c r="CX216" s="12" t="n"/>
      <c r="CY216" s="12" t="n"/>
    </row>
    <row r="217" hidden="1" outlineLevel="1">
      <c r="C217" s="57" t="inlineStr">
        <is>
          <t>Reclassification of LTD to CP of LTD</t>
        </is>
      </c>
      <c r="D217" s="12" t="n"/>
      <c r="E217" s="12" t="n"/>
      <c r="F217" s="12" t="n"/>
      <c r="G217" s="12" t="n"/>
      <c r="H217" s="12" t="n"/>
      <c r="I217" s="12" t="n"/>
      <c r="J217" s="12" t="n"/>
      <c r="K217" s="12" t="n"/>
      <c r="L217" s="12" t="n"/>
      <c r="M217" s="12" t="n"/>
      <c r="N217" s="12" t="n"/>
      <c r="O217" s="12" t="n"/>
      <c r="P217" s="12" t="n"/>
      <c r="Q217" s="12" t="n"/>
      <c r="R217" s="12" t="n"/>
      <c r="S217" s="12" t="n"/>
      <c r="T217" s="12" t="n"/>
      <c r="U217" s="12" t="n"/>
      <c r="V217" s="12" t="n"/>
      <c r="W217" s="12" t="n"/>
      <c r="X217" s="12" t="n"/>
      <c r="Y217" s="12" t="n"/>
      <c r="Z217" s="12" t="n"/>
      <c r="AA217" s="12" t="n"/>
      <c r="AB217" s="12" t="n"/>
      <c r="AC217" s="12" t="n"/>
      <c r="AD217" s="12" t="n"/>
      <c r="AE217" s="12" t="n"/>
      <c r="AF217" s="12" t="n"/>
      <c r="AG217" s="12" t="n"/>
      <c r="AH217" s="12" t="n"/>
      <c r="AI217" s="12">
        <f>-AI215</f>
        <v>0</v>
      </c>
      <c r="AJ217" s="12">
        <f>-AJ215</f>
        <v>0</v>
      </c>
      <c r="AK217" s="12">
        <f>-AK215</f>
        <v>0</v>
      </c>
      <c r="AL217" s="12" t="n"/>
      <c r="AM217" s="12" t="n"/>
      <c r="AN217" s="12">
        <f>-AN215</f>
        <v>0</v>
      </c>
      <c r="AO217" s="12">
        <f>-AO215</f>
        <v>0</v>
      </c>
      <c r="AP217" s="12">
        <f>-AP215</f>
        <v>0</v>
      </c>
      <c r="AQ217" s="12" t="n"/>
      <c r="AR217" s="12" t="n"/>
      <c r="AS217" s="12">
        <f>-AS215</f>
        <v>0</v>
      </c>
      <c r="AT217" s="12">
        <f>-AT215</f>
        <v>0</v>
      </c>
      <c r="AU217" s="12">
        <f>-AU215</f>
        <v>0</v>
      </c>
      <c r="AV217" s="12" t="n"/>
      <c r="AW217" s="12" t="n"/>
      <c r="AX217" s="12">
        <f>-AX215</f>
        <v>0</v>
      </c>
      <c r="AY217" s="12">
        <f>-AY215</f>
        <v>0</v>
      </c>
      <c r="AZ217" s="12">
        <f>-AZ215</f>
        <v>0</v>
      </c>
      <c r="BA217" s="12" t="n"/>
      <c r="BB217" s="12" t="n"/>
      <c r="BC217" s="12">
        <f>-BC215</f>
        <v>0</v>
      </c>
      <c r="BD217" s="12">
        <f>-BD215</f>
        <v>0</v>
      </c>
      <c r="BE217" s="12">
        <f>-BE215</f>
        <v>0</v>
      </c>
      <c r="BF217" s="12" t="n"/>
      <c r="BG217" s="12" t="n"/>
      <c r="BH217" s="12" t="n"/>
      <c r="BI217" s="12" t="n"/>
      <c r="BJ217" s="12" t="n"/>
      <c r="BK217" s="12" t="n"/>
      <c r="BL217" s="12" t="n"/>
      <c r="BM217" s="12" t="n"/>
      <c r="BN217" s="12" t="n"/>
      <c r="BO217" s="12" t="n"/>
      <c r="BP217" s="12" t="n"/>
      <c r="BQ217" s="12" t="n"/>
      <c r="BR217" s="12" t="n"/>
      <c r="BS217" s="12" t="n"/>
      <c r="BT217" s="12" t="n"/>
      <c r="BU217" s="12" t="n"/>
      <c r="BV217" s="12" t="n"/>
      <c r="BW217" s="12" t="n"/>
      <c r="BX217" s="12" t="n"/>
      <c r="BY217" s="12" t="n"/>
      <c r="BZ217" s="12" t="n"/>
      <c r="CA217" s="12" t="n"/>
      <c r="CB217" s="12" t="n"/>
      <c r="CC217" s="12" t="n"/>
      <c r="CD217" s="12" t="n"/>
      <c r="CE217" s="12" t="n"/>
      <c r="CF217" s="12" t="n"/>
      <c r="CG217" s="12" t="n"/>
      <c r="CH217" s="12" t="n"/>
      <c r="CI217" s="12" t="n"/>
      <c r="CJ217" s="12" t="n"/>
      <c r="CK217" s="12" t="n"/>
      <c r="CL217" s="12" t="n"/>
      <c r="CM217" s="12" t="n"/>
      <c r="CN217" s="12" t="n"/>
      <c r="CO217" s="12" t="n"/>
      <c r="CP217" s="12" t="n"/>
      <c r="CQ217" s="12" t="n"/>
      <c r="CR217" s="12" t="n"/>
      <c r="CS217" s="12" t="n"/>
      <c r="CT217" s="12" t="n"/>
      <c r="CU217" s="12" t="n"/>
      <c r="CV217" s="12" t="n"/>
      <c r="CW217" s="12" t="n"/>
      <c r="CX217" s="12" t="n"/>
      <c r="CY217" s="12" t="n"/>
    </row>
    <row r="218" hidden="1" outlineLevel="1">
      <c r="C218" s="57" t="inlineStr">
        <is>
          <t>Discretionary (paydown)/borrowing of long term debt</t>
        </is>
      </c>
      <c r="D218" s="12" t="n"/>
      <c r="E218" s="12" t="n"/>
      <c r="F218" s="12" t="n"/>
      <c r="G218" s="12" t="n"/>
      <c r="H218" s="12" t="n"/>
      <c r="I218" s="12" t="n"/>
      <c r="J218" s="12" t="n"/>
      <c r="K218" s="12" t="n"/>
      <c r="L218" s="12" t="n"/>
      <c r="M218" s="12" t="n"/>
      <c r="N218" s="12" t="n"/>
      <c r="O218" s="12" t="n"/>
      <c r="P218" s="12" t="n"/>
      <c r="Q218" s="12" t="n"/>
      <c r="R218" s="12" t="n"/>
      <c r="S218" s="12" t="n"/>
      <c r="T218" s="12" t="n"/>
      <c r="U218" s="12" t="n"/>
      <c r="V218" s="12" t="n"/>
      <c r="W218" s="12" t="n"/>
      <c r="X218" s="12" t="n"/>
      <c r="Y218" s="12" t="n"/>
      <c r="Z218" s="12" t="n"/>
      <c r="AA218" s="12" t="n"/>
      <c r="AB218" s="12" t="n"/>
      <c r="AC218" s="12" t="n"/>
      <c r="AD218" s="12" t="n"/>
      <c r="AE218" s="12" t="n"/>
      <c r="AF218" s="12" t="n"/>
      <c r="AG218" s="12" t="n"/>
      <c r="AH218" s="62" t="n"/>
      <c r="AI218" s="62" t="n"/>
      <c r="AJ218" s="62" t="n"/>
      <c r="AK218" s="62" t="n"/>
      <c r="AL218" s="12" t="n"/>
      <c r="AM218" s="62" t="n"/>
      <c r="AN218" s="62" t="n"/>
      <c r="AO218" s="62" t="n"/>
      <c r="AP218" s="62" t="n"/>
      <c r="AQ218" s="12" t="n"/>
      <c r="AR218" s="62" t="n"/>
      <c r="AS218" s="62" t="n"/>
      <c r="AT218" s="62" t="n"/>
      <c r="AU218" s="62" t="n"/>
      <c r="AV218" s="12" t="n"/>
      <c r="AW218" s="62" t="n"/>
      <c r="AX218" s="62" t="n"/>
      <c r="AY218" s="62" t="n"/>
      <c r="AZ218" s="62" t="n"/>
      <c r="BA218" s="12" t="n"/>
      <c r="BB218" s="62" t="n"/>
      <c r="BC218" s="62" t="n"/>
      <c r="BD218" s="62" t="n"/>
      <c r="BE218" s="62" t="n"/>
      <c r="BF218" s="12" t="n"/>
      <c r="BG218" s="62" t="n"/>
      <c r="BH218" s="62" t="n"/>
      <c r="BI218" s="62" t="n"/>
      <c r="BJ218" s="62" t="n"/>
      <c r="BK218" s="12" t="n"/>
      <c r="BL218" s="62" t="n"/>
      <c r="BM218" s="62" t="n"/>
      <c r="BN218" s="62" t="n"/>
      <c r="BO218" s="62" t="n"/>
      <c r="BP218" s="12" t="n"/>
      <c r="BQ218" s="62" t="n"/>
      <c r="BR218" s="62" t="n"/>
      <c r="BS218" s="62" t="n"/>
      <c r="BT218" s="62" t="n"/>
      <c r="BU218" s="12" t="n"/>
      <c r="BV218" s="62" t="n"/>
      <c r="BW218" s="62" t="n"/>
      <c r="BX218" s="62" t="n"/>
      <c r="BY218" s="62" t="n"/>
      <c r="BZ218" s="12" t="n"/>
      <c r="CA218" s="62" t="n"/>
      <c r="CB218" s="62" t="n"/>
      <c r="CC218" s="62" t="n"/>
      <c r="CD218" s="62" t="n"/>
      <c r="CE218" s="12" t="n"/>
      <c r="CF218" s="62" t="n"/>
      <c r="CG218" s="62" t="n"/>
      <c r="CH218" s="62" t="n"/>
      <c r="CI218" s="62" t="n"/>
      <c r="CJ218" s="12" t="n"/>
      <c r="CK218" s="62" t="n"/>
      <c r="CL218" s="62" t="n"/>
      <c r="CM218" s="62" t="n"/>
      <c r="CN218" s="62" t="n"/>
      <c r="CO218" s="12" t="n"/>
      <c r="CP218" s="62" t="n"/>
      <c r="CQ218" s="62" t="n"/>
      <c r="CR218" s="62" t="n"/>
      <c r="CS218" s="62" t="n"/>
      <c r="CT218" s="12" t="n"/>
      <c r="CU218" s="62" t="n"/>
      <c r="CV218" s="62" t="n"/>
      <c r="CW218" s="62" t="n"/>
      <c r="CX218" s="62" t="n"/>
      <c r="CY218" s="12" t="n"/>
    </row>
    <row r="219" hidden="1" outlineLevel="1">
      <c r="C219" s="57" t="inlineStr">
        <is>
          <t>Long term debt</t>
        </is>
      </c>
      <c r="D219" s="12" t="n"/>
      <c r="E219" s="12" t="n"/>
      <c r="F219" s="12" t="n"/>
      <c r="G219" s="12" t="n"/>
      <c r="H219" s="12" t="n"/>
      <c r="I219" s="12" t="n"/>
      <c r="J219" s="12" t="n"/>
      <c r="K219" s="12" t="n"/>
      <c r="L219" s="12" t="n"/>
      <c r="M219" s="12" t="n"/>
      <c r="N219" s="12" t="n"/>
      <c r="O219" s="12" t="n"/>
      <c r="P219" s="12" t="n"/>
      <c r="Q219" s="12" t="n"/>
      <c r="R219" s="12" t="n"/>
      <c r="S219" s="12" t="n"/>
      <c r="T219" s="12" t="n"/>
      <c r="U219" s="12" t="n"/>
      <c r="V219" s="12" t="n"/>
      <c r="W219" s="12" t="n"/>
      <c r="X219" s="12" t="n"/>
      <c r="Y219" s="12" t="n"/>
      <c r="Z219" s="12" t="n"/>
      <c r="AA219" s="12" t="n"/>
      <c r="AB219" s="12" t="n"/>
      <c r="AC219" s="12" t="n"/>
      <c r="AD219" s="12" t="n"/>
      <c r="AE219" s="12" t="n"/>
      <c r="AF219" s="12" t="n"/>
      <c r="AG219" s="12" t="n"/>
      <c r="AH219" s="12">
        <f>AH213</f>
        <v>77501</v>
      </c>
      <c r="AI219" s="12">
        <f>AI213</f>
        <v>98165</v>
      </c>
      <c r="AJ219" s="12">
        <f>AI219+SUM(AJ217:AJ218)</f>
        <v>98165</v>
      </c>
      <c r="AK219" s="12">
        <f>AJ219+SUM(AK217:AK218)</f>
        <v>98165</v>
      </c>
      <c r="AL219" s="12" t="n"/>
      <c r="AM219" s="12">
        <f>AK219+SUM(AM217:AM218)</f>
        <v>98165</v>
      </c>
      <c r="AN219" s="12">
        <f>AM219+SUM(AN217:AN218)</f>
        <v>98165</v>
      </c>
      <c r="AO219" s="12">
        <f>AN219+SUM(AO217:AO218)</f>
        <v>98165</v>
      </c>
      <c r="AP219" s="12">
        <f>AO219+SUM(AP217:AP218)</f>
        <v>98165</v>
      </c>
      <c r="AQ219" s="12" t="n"/>
      <c r="AR219" s="12">
        <f>AP219+SUM(AR217:AR218)</f>
        <v>98165</v>
      </c>
      <c r="AS219" s="12">
        <f>AR219+SUM(AS217:AS218)</f>
        <v>98165</v>
      </c>
      <c r="AT219" s="12">
        <f>AS219+SUM(AT217:AT218)</f>
        <v>98165</v>
      </c>
      <c r="AU219" s="12">
        <f>AT219+SUM(AU217:AU218)</f>
        <v>98165</v>
      </c>
      <c r="AV219" s="12" t="n"/>
      <c r="AW219" s="12">
        <f>AU219+SUM(AW217:AW218)</f>
        <v>98165</v>
      </c>
      <c r="AX219" s="12">
        <f>AW219+SUM(AX217:AX218)</f>
        <v>98165</v>
      </c>
      <c r="AY219" s="12">
        <f>AX219+SUM(AY217:AY218)</f>
        <v>98165</v>
      </c>
      <c r="AZ219" s="12">
        <f>AY219+SUM(AZ217:AZ218)</f>
        <v>98165</v>
      </c>
      <c r="BA219" s="12" t="n"/>
      <c r="BB219" s="12">
        <f>AZ219+SUM(BB217:BB218)</f>
        <v>98165</v>
      </c>
      <c r="BC219" s="12">
        <f>BB219+SUM(BC217:BC218)</f>
        <v>98165</v>
      </c>
      <c r="BD219" s="12">
        <f>BC219+SUM(BD217:BD218)</f>
        <v>98165</v>
      </c>
      <c r="BE219" s="12">
        <f>BD219+SUM(BE217:BE218)</f>
        <v>98165</v>
      </c>
      <c r="BF219" s="12" t="n"/>
      <c r="BG219" s="12" t="n"/>
      <c r="BH219" s="12" t="n"/>
      <c r="BI219" s="12" t="n"/>
      <c r="BJ219" s="12" t="n"/>
      <c r="BK219" s="12" t="n"/>
      <c r="BL219" s="12" t="n"/>
      <c r="BM219" s="12" t="n"/>
      <c r="BN219" s="12" t="n"/>
      <c r="BO219" s="12" t="n"/>
      <c r="BP219" s="12" t="n"/>
      <c r="BQ219" s="12" t="n"/>
      <c r="BR219" s="12" t="n"/>
      <c r="BS219" s="12" t="n"/>
      <c r="BT219" s="12" t="n"/>
      <c r="BU219" s="12" t="n"/>
      <c r="BV219" s="12" t="n"/>
      <c r="BW219" s="12" t="n"/>
      <c r="BX219" s="12" t="n"/>
      <c r="BY219" s="12" t="n"/>
      <c r="BZ219" s="12" t="n"/>
      <c r="CA219" s="12" t="n"/>
      <c r="CB219" s="12" t="n"/>
      <c r="CC219" s="12" t="n"/>
      <c r="CD219" s="12" t="n"/>
      <c r="CE219" s="12" t="n"/>
      <c r="CF219" s="12" t="n"/>
      <c r="CG219" s="12" t="n"/>
      <c r="CH219" s="12" t="n"/>
      <c r="CI219" s="12" t="n"/>
      <c r="CJ219" s="12" t="n"/>
      <c r="CK219" s="12" t="n"/>
      <c r="CL219" s="12" t="n"/>
      <c r="CM219" s="12" t="n"/>
      <c r="CN219" s="12" t="n"/>
      <c r="CO219" s="12" t="n"/>
      <c r="CP219" s="12" t="n"/>
      <c r="CQ219" s="12" t="n"/>
      <c r="CR219" s="12" t="n"/>
      <c r="CS219" s="12" t="n"/>
      <c r="CT219" s="12" t="n"/>
      <c r="CU219" s="12" t="n"/>
      <c r="CV219" s="12" t="n"/>
      <c r="CW219" s="12" t="n"/>
      <c r="CX219" s="12" t="n"/>
      <c r="CY219" s="12" t="n"/>
    </row>
    <row r="220" hidden="1" outlineLevel="1">
      <c r="C220" s="57" t="n"/>
      <c r="D220" s="12" t="n"/>
      <c r="E220" s="12" t="n"/>
      <c r="F220" s="12" t="n"/>
      <c r="G220" s="12" t="n"/>
      <c r="H220" s="12" t="n"/>
      <c r="I220" s="12" t="n"/>
      <c r="J220" s="12" t="n"/>
      <c r="K220" s="12" t="n"/>
      <c r="L220" s="12" t="n"/>
      <c r="M220" s="12" t="n"/>
      <c r="N220" s="12" t="n"/>
      <c r="O220" s="12" t="n"/>
      <c r="P220" s="12" t="n"/>
      <c r="Q220" s="12" t="n"/>
      <c r="R220" s="12" t="n"/>
      <c r="S220" s="12" t="n"/>
      <c r="T220" s="12" t="n"/>
      <c r="U220" s="12" t="n"/>
      <c r="V220" s="12" t="n"/>
      <c r="W220" s="12" t="n"/>
      <c r="X220" s="12" t="n"/>
      <c r="Y220" s="12" t="n"/>
      <c r="Z220" s="12" t="n"/>
      <c r="AA220" s="12" t="n"/>
      <c r="AB220" s="12" t="n"/>
      <c r="AC220" s="12" t="n"/>
      <c r="AD220" s="12" t="n"/>
      <c r="AE220" s="12" t="n"/>
      <c r="AF220" s="12" t="n"/>
      <c r="AG220" s="12" t="n"/>
      <c r="AH220" s="12" t="n"/>
      <c r="AI220" s="12" t="n"/>
      <c r="AJ220" s="12" t="n"/>
      <c r="AK220" s="12" t="n"/>
      <c r="AL220" s="12" t="n"/>
      <c r="AM220" s="12" t="n"/>
      <c r="AN220" s="12" t="n"/>
      <c r="AO220" s="12" t="n"/>
      <c r="AP220" s="12" t="n"/>
      <c r="AQ220" s="12" t="n"/>
      <c r="AR220" s="12" t="n"/>
      <c r="AS220" s="12" t="n"/>
      <c r="AT220" s="12" t="n"/>
      <c r="AU220" s="12" t="n"/>
      <c r="AV220" s="12" t="n"/>
      <c r="AW220" s="12" t="n"/>
      <c r="AX220" s="12" t="n"/>
      <c r="AY220" s="12" t="n"/>
      <c r="AZ220" s="12" t="n"/>
      <c r="BA220" s="12" t="n"/>
      <c r="BB220" s="12" t="n"/>
      <c r="BC220" s="12" t="n"/>
      <c r="BD220" s="12" t="n"/>
      <c r="BE220" s="12" t="n"/>
      <c r="BF220" s="12" t="n"/>
      <c r="BG220" s="12" t="n"/>
      <c r="BH220" s="12" t="n"/>
      <c r="BI220" s="12" t="n"/>
      <c r="BJ220" s="12" t="n"/>
      <c r="BK220" s="12" t="n"/>
      <c r="BL220" s="12" t="n"/>
      <c r="BM220" s="12" t="n"/>
      <c r="BN220" s="12" t="n"/>
      <c r="BO220" s="12" t="n"/>
      <c r="BP220" s="12" t="n"/>
      <c r="BQ220" s="12" t="n"/>
      <c r="BR220" s="12" t="n"/>
      <c r="BS220" s="12" t="n"/>
      <c r="BT220" s="12" t="n"/>
      <c r="BU220" s="12" t="n"/>
      <c r="BV220" s="12" t="n"/>
      <c r="BW220" s="12" t="n"/>
      <c r="BX220" s="12" t="n"/>
      <c r="BY220" s="12" t="n"/>
      <c r="BZ220" s="12" t="n"/>
      <c r="CA220" s="12" t="n"/>
      <c r="CB220" s="12" t="n"/>
      <c r="CC220" s="12" t="n"/>
      <c r="CD220" s="12" t="n"/>
      <c r="CE220" s="12" t="n"/>
      <c r="CF220" s="12" t="n"/>
      <c r="CG220" s="12" t="n"/>
      <c r="CH220" s="12" t="n"/>
      <c r="CI220" s="12" t="n"/>
      <c r="CJ220" s="12" t="n"/>
      <c r="CK220" s="12" t="n"/>
      <c r="CL220" s="12" t="n"/>
      <c r="CM220" s="12" t="n"/>
      <c r="CN220" s="12" t="n"/>
      <c r="CO220" s="12" t="n"/>
      <c r="CP220" s="12" t="n"/>
      <c r="CQ220" s="12" t="n"/>
      <c r="CR220" s="12" t="n"/>
      <c r="CS220" s="12" t="n"/>
      <c r="CT220" s="12" t="n"/>
      <c r="CU220" s="12" t="n"/>
      <c r="CV220" s="12" t="n"/>
      <c r="CW220" s="12" t="n"/>
      <c r="CX220" s="12" t="n"/>
      <c r="CY220" s="12" t="n"/>
    </row>
    <row r="221" hidden="1" outlineLevel="1">
      <c r="C221" s="57" t="inlineStr">
        <is>
          <t>Discretionary (paydown)/borrowing of convertible debt</t>
        </is>
      </c>
      <c r="D221" s="12" t="n"/>
      <c r="E221" s="12" t="n"/>
      <c r="F221" s="12" t="n"/>
      <c r="G221" s="12" t="n"/>
      <c r="H221" s="12" t="n"/>
      <c r="I221" s="12" t="n"/>
      <c r="J221" s="12" t="n"/>
      <c r="K221" s="12" t="n"/>
      <c r="L221" s="12" t="n"/>
      <c r="M221" s="12" t="n"/>
      <c r="N221" s="12" t="n"/>
      <c r="O221" s="12" t="n"/>
      <c r="P221" s="12" t="n"/>
      <c r="Q221" s="12" t="n"/>
      <c r="R221" s="12" t="n"/>
      <c r="S221" s="12" t="n"/>
      <c r="T221" s="12" t="n"/>
      <c r="U221" s="12" t="n"/>
      <c r="V221" s="12" t="n"/>
      <c r="W221" s="12" t="n"/>
      <c r="X221" s="12" t="n"/>
      <c r="Y221" s="12" t="n"/>
      <c r="Z221" s="12" t="n"/>
      <c r="AA221" s="12" t="n"/>
      <c r="AB221" s="12" t="n"/>
      <c r="AC221" s="12" t="n"/>
      <c r="AD221" s="12" t="n"/>
      <c r="AE221" s="12" t="n"/>
      <c r="AF221" s="12" t="n"/>
      <c r="AG221" s="12" t="n"/>
      <c r="AH221" s="62" t="n"/>
      <c r="AI221" s="62" t="n"/>
      <c r="AJ221" s="62" t="n"/>
      <c r="AK221" s="62" t="n"/>
      <c r="AL221" s="12" t="n"/>
      <c r="AM221" s="62" t="n"/>
      <c r="AN221" s="62" t="n"/>
      <c r="AO221" s="62" t="n"/>
      <c r="AP221" s="62" t="n"/>
      <c r="AQ221" s="12" t="n"/>
      <c r="AR221" s="62" t="n"/>
      <c r="AS221" s="62" t="n"/>
      <c r="AT221" s="62" t="n"/>
      <c r="AU221" s="62" t="n"/>
      <c r="AV221" s="12" t="n"/>
      <c r="AW221" s="62" t="n"/>
      <c r="AX221" s="62" t="n"/>
      <c r="AY221" s="62" t="n"/>
      <c r="AZ221" s="62" t="n"/>
      <c r="BA221" s="12" t="n"/>
      <c r="BB221" s="62" t="n"/>
      <c r="BC221" s="62" t="n"/>
      <c r="BD221" s="62" t="n"/>
      <c r="BE221" s="62" t="n"/>
      <c r="BF221" s="12" t="n"/>
      <c r="BG221" s="62" t="n"/>
      <c r="BH221" s="62" t="n"/>
      <c r="BI221" s="62" t="n"/>
      <c r="BJ221" s="62" t="n"/>
      <c r="BK221" s="12" t="n"/>
      <c r="BL221" s="62" t="n"/>
      <c r="BM221" s="62" t="n"/>
      <c r="BN221" s="62" t="n"/>
      <c r="BO221" s="62" t="n"/>
      <c r="BP221" s="12" t="n"/>
      <c r="BQ221" s="62" t="n"/>
      <c r="BR221" s="62" t="n"/>
      <c r="BS221" s="62" t="n"/>
      <c r="BT221" s="62" t="n"/>
      <c r="BU221" s="12" t="n"/>
      <c r="BV221" s="62" t="n"/>
      <c r="BW221" s="62" t="n"/>
      <c r="BX221" s="62" t="n"/>
      <c r="BY221" s="62" t="n"/>
      <c r="BZ221" s="12" t="n"/>
      <c r="CA221" s="62" t="n"/>
      <c r="CB221" s="62" t="n"/>
      <c r="CC221" s="62" t="n"/>
      <c r="CD221" s="62" t="n"/>
      <c r="CE221" s="12" t="n"/>
      <c r="CF221" s="62" t="n"/>
      <c r="CG221" s="62" t="n"/>
      <c r="CH221" s="62" t="n"/>
      <c r="CI221" s="62" t="n"/>
      <c r="CJ221" s="12" t="n"/>
      <c r="CK221" s="62" t="n"/>
      <c r="CL221" s="62" t="n"/>
      <c r="CM221" s="62" t="n"/>
      <c r="CN221" s="62" t="n"/>
      <c r="CO221" s="12" t="n"/>
      <c r="CP221" s="62" t="n"/>
      <c r="CQ221" s="62" t="n"/>
      <c r="CR221" s="62" t="n"/>
      <c r="CS221" s="62" t="n"/>
      <c r="CT221" s="12" t="n"/>
      <c r="CU221" s="62" t="n"/>
      <c r="CV221" s="62" t="n"/>
      <c r="CW221" s="62" t="n"/>
      <c r="CX221" s="62" t="n"/>
      <c r="CY221" s="12" t="n"/>
    </row>
    <row r="222" hidden="1" outlineLevel="1">
      <c r="C222" s="57" t="inlineStr">
        <is>
          <t>Convertible debt</t>
        </is>
      </c>
      <c r="D222" s="12" t="n"/>
      <c r="E222" s="12" t="n"/>
      <c r="F222" s="12" t="n"/>
      <c r="G222" s="12" t="n"/>
      <c r="H222" s="12" t="n"/>
      <c r="I222" s="12" t="n"/>
      <c r="J222" s="12" t="n"/>
      <c r="K222" s="12" t="n"/>
      <c r="L222" s="12" t="n"/>
      <c r="M222" s="12" t="n"/>
      <c r="N222" s="12" t="n"/>
      <c r="O222" s="12" t="n"/>
      <c r="P222" s="12" t="n"/>
      <c r="Q222" s="12" t="n"/>
      <c r="R222" s="12" t="n"/>
      <c r="S222" s="12" t="n"/>
      <c r="T222" s="12" t="n"/>
      <c r="U222" s="12" t="n"/>
      <c r="V222" s="12" t="n"/>
      <c r="W222" s="12" t="n"/>
      <c r="X222" s="12" t="n"/>
      <c r="Y222" s="12" t="n"/>
      <c r="Z222" s="12" t="n"/>
      <c r="AA222" s="12" t="n"/>
      <c r="AB222" s="12" t="n"/>
      <c r="AC222" s="12" t="n"/>
      <c r="AD222" s="12" t="n"/>
      <c r="AE222" s="12" t="n"/>
      <c r="AF222" s="12" t="n"/>
      <c r="AG222" s="12" t="n"/>
      <c r="AH222" s="12">
        <f>AH234</f>
        <v>0</v>
      </c>
      <c r="AI222" s="12">
        <f>AH222+SUM(AI221)</f>
        <v>0</v>
      </c>
      <c r="AJ222" s="12">
        <f>AI222+SUM(AJ221)</f>
        <v>0</v>
      </c>
      <c r="AK222" s="12">
        <f>AJ222+SUM(AK221)</f>
        <v>0</v>
      </c>
      <c r="AL222" s="12" t="n"/>
      <c r="AM222" s="12">
        <f>AM234</f>
        <v>0</v>
      </c>
      <c r="AN222" s="12">
        <f>AM222+SUM(AN221)</f>
        <v>0</v>
      </c>
      <c r="AO222" s="12">
        <f>AN222+SUM(AO221)</f>
        <v>0</v>
      </c>
      <c r="AP222" s="12">
        <f>AO222+SUM(AP221)</f>
        <v>0</v>
      </c>
      <c r="AQ222" s="12" t="n"/>
      <c r="AR222" s="12">
        <f>AR234</f>
        <v>0</v>
      </c>
      <c r="AS222" s="12">
        <f>AR222+SUM(AS221)</f>
        <v>0</v>
      </c>
      <c r="AT222" s="12">
        <f>AS222+SUM(AT221)</f>
        <v>0</v>
      </c>
      <c r="AU222" s="12">
        <f>AT222+SUM(AU221)</f>
        <v>0</v>
      </c>
      <c r="AV222" s="12" t="n"/>
      <c r="AW222" s="12">
        <f>AW234</f>
        <v>0</v>
      </c>
      <c r="AX222" s="12">
        <f>AW222+SUM(AX221)</f>
        <v>0</v>
      </c>
      <c r="AY222" s="12">
        <f>AX222+SUM(AY221)</f>
        <v>0</v>
      </c>
      <c r="AZ222" s="12">
        <f>AY222+SUM(AZ221)</f>
        <v>0</v>
      </c>
      <c r="BA222" s="12" t="n"/>
      <c r="BB222" s="12">
        <f>BB234</f>
        <v>0</v>
      </c>
      <c r="BC222" s="12">
        <f>BB222+SUM(BC221)</f>
        <v>0</v>
      </c>
      <c r="BD222" s="12">
        <f>BC222+SUM(BD221)</f>
        <v>0</v>
      </c>
      <c r="BE222" s="12">
        <f>BD222+SUM(BE221)</f>
        <v>0</v>
      </c>
      <c r="BF222" s="12" t="n"/>
      <c r="BG222" s="12" t="n"/>
      <c r="BH222" s="12" t="n"/>
      <c r="BI222" s="12" t="n"/>
      <c r="BJ222" s="12" t="n"/>
      <c r="BK222" s="12" t="n"/>
      <c r="BL222" s="12" t="n"/>
      <c r="BM222" s="12" t="n"/>
      <c r="BN222" s="12" t="n"/>
      <c r="BO222" s="12" t="n"/>
      <c r="BP222" s="12" t="n"/>
      <c r="BQ222" s="12" t="n"/>
      <c r="BR222" s="12" t="n"/>
      <c r="BS222" s="12" t="n"/>
      <c r="BT222" s="12" t="n"/>
      <c r="BU222" s="12" t="n"/>
      <c r="BV222" s="12" t="n"/>
      <c r="BW222" s="12" t="n"/>
      <c r="BX222" s="12" t="n"/>
      <c r="BY222" s="12" t="n"/>
      <c r="BZ222" s="12" t="n"/>
      <c r="CA222" s="12" t="n"/>
      <c r="CB222" s="12" t="n"/>
      <c r="CC222" s="12" t="n"/>
      <c r="CD222" s="12" t="n"/>
      <c r="CE222" s="12" t="n"/>
      <c r="CF222" s="12" t="n"/>
      <c r="CG222" s="12" t="n"/>
      <c r="CH222" s="12" t="n"/>
      <c r="CI222" s="12" t="n"/>
      <c r="CJ222" s="12" t="n"/>
      <c r="CK222" s="12" t="n"/>
      <c r="CL222" s="12" t="n"/>
      <c r="CM222" s="12" t="n"/>
      <c r="CN222" s="12" t="n"/>
      <c r="CO222" s="12" t="n"/>
      <c r="CP222" s="12" t="n"/>
      <c r="CQ222" s="12" t="n"/>
      <c r="CR222" s="12" t="n"/>
      <c r="CS222" s="12" t="n"/>
      <c r="CT222" s="12" t="n"/>
      <c r="CU222" s="12" t="n"/>
      <c r="CV222" s="12" t="n"/>
      <c r="CW222" s="12" t="n"/>
      <c r="CX222" s="12" t="n"/>
      <c r="CY222" s="12" t="n"/>
    </row>
    <row r="223" hidden="1" outlineLevel="1">
      <c r="C223" s="57" t="n"/>
      <c r="D223" s="12" t="n"/>
      <c r="E223" s="12" t="n"/>
      <c r="F223" s="12" t="n"/>
      <c r="G223" s="12" t="n"/>
      <c r="H223" s="12" t="n"/>
      <c r="I223" s="12" t="n"/>
      <c r="J223" s="12" t="n"/>
      <c r="K223" s="12" t="n"/>
      <c r="L223" s="12" t="n"/>
      <c r="M223" s="12" t="n"/>
      <c r="N223" s="12" t="n"/>
      <c r="O223" s="12" t="n"/>
      <c r="P223" s="12" t="n"/>
      <c r="Q223" s="12" t="n"/>
      <c r="R223" s="12" t="n"/>
      <c r="S223" s="12" t="n"/>
      <c r="T223" s="12" t="n"/>
      <c r="U223" s="12" t="n"/>
      <c r="V223" s="12" t="n"/>
      <c r="W223" s="12" t="n"/>
      <c r="X223" s="12" t="n"/>
      <c r="Y223" s="12" t="n"/>
      <c r="Z223" s="12" t="n"/>
      <c r="AA223" s="12" t="n"/>
      <c r="AB223" s="12" t="n"/>
      <c r="AC223" s="12" t="n"/>
      <c r="AD223" s="12" t="n"/>
      <c r="AE223" s="12" t="n"/>
      <c r="AF223" s="12" t="n"/>
      <c r="AG223" s="12" t="n"/>
      <c r="AI223" s="12" t="n"/>
      <c r="AJ223" s="12" t="n"/>
      <c r="AK223" s="12" t="n"/>
      <c r="AL223" s="12" t="n"/>
      <c r="AN223" s="12" t="n"/>
      <c r="AO223" s="12" t="n"/>
      <c r="AP223" s="12" t="n"/>
      <c r="AQ223" s="12" t="n"/>
      <c r="AS223" s="12" t="n"/>
      <c r="AT223" s="12" t="n"/>
      <c r="AU223" s="12" t="n"/>
      <c r="AV223" s="12" t="n"/>
      <c r="AX223" s="12" t="n"/>
      <c r="AY223" s="12" t="n"/>
      <c r="AZ223" s="12" t="n"/>
      <c r="BA223" s="12" t="n"/>
      <c r="BC223" s="12" t="n"/>
      <c r="BD223" s="12" t="n"/>
      <c r="BE223" s="12" t="n"/>
      <c r="BF223" s="12" t="n"/>
      <c r="BH223" s="12" t="n"/>
      <c r="BI223" s="12" t="n"/>
      <c r="BJ223" s="12" t="n"/>
      <c r="BK223" s="12" t="n"/>
      <c r="BM223" s="12" t="n"/>
      <c r="BN223" s="12" t="n"/>
      <c r="BO223" s="12" t="n"/>
      <c r="BP223" s="12" t="n"/>
      <c r="BR223" s="12" t="n"/>
      <c r="BS223" s="12" t="n"/>
      <c r="BT223" s="12" t="n"/>
      <c r="BU223" s="12" t="n"/>
      <c r="BW223" s="12" t="n"/>
      <c r="BX223" s="12" t="n"/>
      <c r="BY223" s="12" t="n"/>
      <c r="BZ223" s="12" t="n"/>
      <c r="CB223" s="12" t="n"/>
      <c r="CC223" s="12" t="n"/>
      <c r="CD223" s="12" t="n"/>
      <c r="CE223" s="12" t="n"/>
      <c r="CG223" s="12" t="n"/>
      <c r="CH223" s="12" t="n"/>
      <c r="CI223" s="12" t="n"/>
      <c r="CJ223" s="12" t="n"/>
      <c r="CL223" s="12" t="n"/>
      <c r="CM223" s="12" t="n"/>
      <c r="CN223" s="12" t="n"/>
      <c r="CO223" s="12" t="n"/>
      <c r="CQ223" s="12" t="n"/>
      <c r="CR223" s="12" t="n"/>
      <c r="CS223" s="12" t="n"/>
      <c r="CT223" s="12" t="n"/>
      <c r="CV223" s="12" t="n"/>
      <c r="CW223" s="12" t="n"/>
      <c r="CX223" s="12" t="n"/>
      <c r="CY223" s="12" t="n"/>
    </row>
    <row r="224" hidden="1" outlineLevel="1">
      <c r="C224" s="57" t="inlineStr">
        <is>
          <t>Calculation of short term debt</t>
        </is>
      </c>
      <c r="D224" s="12" t="n"/>
      <c r="E224" s="12" t="n"/>
      <c r="F224" s="12" t="n"/>
      <c r="G224" s="12" t="n"/>
      <c r="H224" s="12" t="n"/>
      <c r="I224" s="12" t="n"/>
      <c r="J224" s="12" t="n"/>
      <c r="K224" s="12" t="n"/>
      <c r="L224" s="12" t="n"/>
      <c r="M224" s="12" t="n"/>
      <c r="N224" s="12" t="n"/>
      <c r="O224" s="12" t="n"/>
      <c r="P224" s="12" t="n"/>
      <c r="Q224" s="12" t="n"/>
      <c r="R224" s="12" t="n"/>
      <c r="S224" s="12" t="n"/>
      <c r="T224" s="12" t="n"/>
      <c r="U224" s="12" t="n"/>
      <c r="V224" s="12" t="n"/>
      <c r="W224" s="12" t="n"/>
      <c r="X224" s="12" t="n"/>
      <c r="Y224" s="12" t="n"/>
      <c r="Z224" s="12" t="n"/>
      <c r="AA224" s="12" t="n"/>
      <c r="AB224" s="12" t="n"/>
      <c r="AC224" s="12" t="n"/>
      <c r="AD224" s="12" t="n"/>
      <c r="AE224" s="12" t="n"/>
      <c r="AF224" s="12" t="n"/>
      <c r="AG224" s="12" t="n"/>
      <c r="AH224" s="12" t="n"/>
      <c r="AI224" s="12" t="n"/>
      <c r="AJ224" s="12" t="n"/>
      <c r="AK224" s="12" t="n"/>
      <c r="AL224" s="12" t="n"/>
      <c r="AM224" s="12" t="n"/>
      <c r="AN224" s="12" t="n"/>
      <c r="AO224" s="12" t="n"/>
      <c r="AP224" s="12" t="n"/>
      <c r="AQ224" s="12" t="n"/>
      <c r="AR224" s="12" t="n"/>
      <c r="AS224" s="12" t="n"/>
      <c r="AT224" s="12" t="n"/>
      <c r="AU224" s="12" t="n"/>
      <c r="AV224" s="12" t="n"/>
      <c r="AW224" s="12" t="n"/>
      <c r="AX224" s="12" t="n"/>
      <c r="AY224" s="12" t="n"/>
      <c r="AZ224" s="12" t="n"/>
      <c r="BA224" s="12" t="n"/>
      <c r="BB224" s="12" t="n"/>
      <c r="BC224" s="12" t="n"/>
      <c r="BD224" s="12" t="n"/>
      <c r="BE224" s="12" t="n"/>
      <c r="BF224" s="12" t="n"/>
      <c r="BG224" s="12" t="n"/>
      <c r="BH224" s="12" t="n"/>
      <c r="BI224" s="12" t="n"/>
      <c r="BJ224" s="12" t="n"/>
      <c r="BK224" s="12" t="n"/>
      <c r="BL224" s="12" t="n"/>
      <c r="BM224" s="12" t="n"/>
      <c r="BN224" s="12" t="n"/>
      <c r="BO224" s="12" t="n"/>
      <c r="BP224" s="12" t="n"/>
      <c r="BQ224" s="12" t="n"/>
      <c r="BR224" s="12" t="n"/>
      <c r="BS224" s="12" t="n"/>
      <c r="BT224" s="12" t="n"/>
      <c r="BU224" s="12" t="n"/>
      <c r="BV224" s="12" t="n"/>
      <c r="BW224" s="12" t="n"/>
      <c r="BX224" s="12" t="n"/>
      <c r="BY224" s="12" t="n"/>
      <c r="BZ224" s="12" t="n"/>
      <c r="CA224" s="12" t="n"/>
      <c r="CB224" s="12" t="n"/>
      <c r="CC224" s="12" t="n"/>
      <c r="CD224" s="12" t="n"/>
      <c r="CE224" s="12" t="n"/>
      <c r="CF224" s="12" t="n"/>
      <c r="CG224" s="12" t="n"/>
      <c r="CH224" s="12" t="n"/>
      <c r="CI224" s="12" t="n"/>
      <c r="CJ224" s="12" t="n"/>
      <c r="CK224" s="12" t="n"/>
      <c r="CL224" s="12" t="n"/>
      <c r="CM224" s="12" t="n"/>
      <c r="CN224" s="12" t="n"/>
      <c r="CO224" s="12" t="n"/>
      <c r="CP224" s="12" t="n"/>
      <c r="CQ224" s="12" t="n"/>
      <c r="CR224" s="12" t="n"/>
      <c r="CS224" s="12" t="n"/>
      <c r="CT224" s="12" t="n"/>
      <c r="CU224" s="12" t="n"/>
      <c r="CV224" s="12" t="n"/>
      <c r="CW224" s="12" t="n"/>
      <c r="CX224" s="12" t="n"/>
      <c r="CY224" s="12" t="n"/>
    </row>
    <row r="225" hidden="1" outlineLevel="1">
      <c r="C225" s="57" t="inlineStr">
        <is>
          <t>Cash @ beginning of the period (end of last period)</t>
        </is>
      </c>
      <c r="D225" s="12" t="n"/>
      <c r="E225" s="12" t="n"/>
      <c r="F225" s="12" t="n"/>
      <c r="G225" s="12" t="n"/>
      <c r="H225" s="12" t="n"/>
      <c r="I225" s="12" t="n"/>
      <c r="J225" s="12" t="n"/>
      <c r="K225" s="12" t="n"/>
      <c r="L225" s="12" t="n"/>
      <c r="M225" s="12" t="n"/>
      <c r="N225" s="12" t="n"/>
      <c r="O225" s="12" t="n"/>
      <c r="P225" s="12" t="n"/>
      <c r="Q225" s="12" t="n"/>
      <c r="R225" s="12" t="n"/>
      <c r="S225" s="12" t="n"/>
      <c r="T225" s="12" t="n"/>
      <c r="U225" s="12" t="n"/>
      <c r="V225" s="12" t="n"/>
      <c r="W225" s="12" t="n"/>
      <c r="X225" s="12" t="n"/>
      <c r="Y225" s="12" t="n"/>
      <c r="Z225" s="12" t="n"/>
      <c r="AA225" s="12" t="n"/>
      <c r="AB225" s="12" t="n"/>
      <c r="AC225" s="12" t="n"/>
      <c r="AD225" s="12" t="n"/>
      <c r="AE225" s="12" t="n"/>
      <c r="AF225" s="12" t="n"/>
      <c r="AG225" s="12" t="n"/>
      <c r="AH225" s="63">
        <f>AG140</f>
        <v>126843</v>
      </c>
      <c r="AI225" s="12" t="n"/>
      <c r="AJ225" s="12" t="n"/>
      <c r="AK225" s="12" t="n"/>
      <c r="AL225" s="12" t="n"/>
      <c r="AM225" s="63">
        <f>AL140</f>
        <v>342963.408506186</v>
      </c>
      <c r="AN225" s="12" t="n"/>
      <c r="AO225" s="12" t="n"/>
      <c r="AP225" s="12" t="n"/>
      <c r="AQ225" s="12" t="n"/>
      <c r="AR225" s="63">
        <f>AQ140</f>
        <v>602063.711698601</v>
      </c>
      <c r="AS225" s="12" t="n"/>
      <c r="AT225" s="12" t="n"/>
      <c r="AU225" s="12" t="n"/>
      <c r="AV225" s="12" t="n"/>
      <c r="AW225" s="63">
        <f>AV140</f>
        <v>990277.190952864</v>
      </c>
      <c r="AX225" s="12" t="n"/>
      <c r="AY225" s="12" t="n"/>
      <c r="AZ225" s="12" t="n"/>
      <c r="BA225" s="12" t="n"/>
      <c r="BB225" s="63">
        <f>BA140</f>
        <v>1592934.65974529</v>
      </c>
      <c r="BC225" s="12" t="n"/>
      <c r="BD225" s="12" t="n"/>
      <c r="BE225" s="12" t="n"/>
      <c r="BF225" s="12" t="n"/>
      <c r="BG225" s="63" t="n"/>
      <c r="BH225" s="12" t="n"/>
      <c r="BI225" s="12" t="n"/>
      <c r="BJ225" s="12" t="n"/>
      <c r="BK225" s="12" t="n"/>
      <c r="BL225" s="63" t="n"/>
      <c r="BM225" s="12" t="n"/>
      <c r="BN225" s="12" t="n"/>
      <c r="BO225" s="12" t="n"/>
      <c r="BP225" s="12" t="n"/>
      <c r="BQ225" s="63" t="n"/>
      <c r="BR225" s="12" t="n"/>
      <c r="BS225" s="12" t="n"/>
      <c r="BT225" s="12" t="n"/>
      <c r="BU225" s="12" t="n"/>
      <c r="BV225" s="63" t="n"/>
      <c r="BW225" s="12" t="n"/>
      <c r="BX225" s="12" t="n"/>
      <c r="BY225" s="12" t="n"/>
      <c r="BZ225" s="12" t="n"/>
      <c r="CA225" s="63" t="n"/>
      <c r="CB225" s="12" t="n"/>
      <c r="CC225" s="12" t="n"/>
      <c r="CD225" s="12" t="n"/>
      <c r="CE225" s="12" t="n"/>
      <c r="CF225" s="63" t="n"/>
      <c r="CG225" s="12" t="n"/>
      <c r="CH225" s="12" t="n"/>
      <c r="CI225" s="12" t="n"/>
      <c r="CJ225" s="12" t="n"/>
      <c r="CK225" s="63" t="n"/>
      <c r="CL225" s="12" t="n"/>
      <c r="CM225" s="12" t="n"/>
      <c r="CN225" s="12" t="n"/>
      <c r="CO225" s="12" t="n"/>
      <c r="CP225" s="63" t="n"/>
      <c r="CQ225" s="12" t="n"/>
      <c r="CR225" s="12" t="n"/>
      <c r="CS225" s="12" t="n"/>
      <c r="CT225" s="12" t="n"/>
      <c r="CU225" s="63" t="n"/>
      <c r="CV225" s="12" t="n"/>
      <c r="CW225" s="12" t="n"/>
      <c r="CX225" s="12" t="n"/>
      <c r="CY225" s="12" t="n"/>
    </row>
    <row r="226" hidden="1" outlineLevel="1">
      <c r="C226" s="57" t="inlineStr">
        <is>
          <t>Plus: Free cash flows prior to debt during period</t>
        </is>
      </c>
      <c r="D226" s="12" t="n"/>
      <c r="E226" s="12" t="n"/>
      <c r="F226" s="12" t="n"/>
      <c r="G226" s="12" t="n"/>
      <c r="H226" s="12" t="n"/>
      <c r="I226" s="12" t="n"/>
      <c r="J226" s="12" t="n"/>
      <c r="K226" s="12" t="n"/>
      <c r="L226" s="12" t="n"/>
      <c r="M226" s="12" t="n"/>
      <c r="N226" s="12" t="n"/>
      <c r="O226" s="12" t="n"/>
      <c r="P226" s="12" t="n"/>
      <c r="Q226" s="12" t="n"/>
      <c r="R226" s="12" t="n"/>
      <c r="S226" s="12" t="n"/>
      <c r="T226" s="12" t="n"/>
      <c r="U226" s="12" t="n"/>
      <c r="V226" s="12" t="n"/>
      <c r="W226" s="12" t="n"/>
      <c r="X226" s="12" t="n"/>
      <c r="Y226" s="12" t="n"/>
      <c r="Z226" s="12" t="n"/>
      <c r="AA226" s="12" t="n"/>
      <c r="AB226" s="12" t="n"/>
      <c r="AC226" s="12" t="n"/>
      <c r="AD226" s="12" t="n"/>
      <c r="AE226" s="12" t="n"/>
      <c r="AF226" s="12" t="n"/>
      <c r="AG226" s="12" t="inlineStr">
        <is>
          <t>% of sales</t>
        </is>
      </c>
      <c r="AH226" s="64">
        <f>(AH288+AH295)+SUM(AH298:AH304)</f>
        <v>-33068</v>
      </c>
      <c r="AI226" s="64">
        <f>(AI288+AI295)+SUM(AI298:AI304)</f>
        <v>-891</v>
      </c>
      <c r="AJ226" s="64">
        <f>(AJ288+AJ295)+SUM(AJ298:AJ304)</f>
        <v>0</v>
      </c>
      <c r="AK226" s="64">
        <f>(AK288+AK295)+SUM(AK298:AK304)</f>
        <v>0</v>
      </c>
      <c r="AL226" s="12" t="n"/>
      <c r="AM226" s="64">
        <f>(AM288+AM295)+SUM(AM298:AM304)</f>
        <v>0</v>
      </c>
      <c r="AN226" s="64">
        <f>(AN288+AN295)+SUM(AN298:AN304)</f>
        <v>0</v>
      </c>
      <c r="AO226" s="64">
        <f>(AO288+AO295)+SUM(AO298:AO304)</f>
        <v>0</v>
      </c>
      <c r="AP226" s="64">
        <f>(AP288+AP295)+SUM(AP298:AP304)</f>
        <v>0</v>
      </c>
      <c r="AQ226" s="12" t="n"/>
      <c r="AR226" s="64">
        <f>(AR288+AR295)+SUM(AR298:AR304)</f>
        <v>0</v>
      </c>
      <c r="AS226" s="64">
        <f>(AS288+AS295)+SUM(AS298:AS304)</f>
        <v>0</v>
      </c>
      <c r="AT226" s="64">
        <f>(AT288+AT295)+SUM(AT298:AT304)</f>
        <v>0</v>
      </c>
      <c r="AU226" s="64">
        <f>(AU288+AU295)+SUM(AU298:AU304)</f>
        <v>0</v>
      </c>
      <c r="AV226" s="12" t="n"/>
      <c r="AW226" s="64">
        <f>(AW288+AW295)+SUM(AW298:AW304)</f>
        <v>0</v>
      </c>
      <c r="AX226" s="64">
        <f>(AX288+AX295)+SUM(AX298:AX304)</f>
        <v>0</v>
      </c>
      <c r="AY226" s="64">
        <f>(AY288+AY295)+SUM(AY298:AY304)</f>
        <v>0</v>
      </c>
      <c r="AZ226" s="64">
        <f>(AZ288+AZ295)+SUM(AZ298:AZ304)</f>
        <v>0</v>
      </c>
      <c r="BA226" s="12" t="n"/>
      <c r="BB226" s="64">
        <f>(BB288+BB295)+SUM(BB298:BB304)</f>
        <v>0</v>
      </c>
      <c r="BC226" s="64">
        <f>(BC288+BC295)+SUM(BC298:BC304)</f>
        <v>0</v>
      </c>
      <c r="BD226" s="64">
        <f>(BD288+BD295)+SUM(BD298:BD304)</f>
        <v>0</v>
      </c>
      <c r="BE226" s="64">
        <f>(BE288+BE295)+SUM(BE298:BE304)</f>
        <v>0</v>
      </c>
      <c r="BF226" s="12" t="n"/>
      <c r="BG226" s="64" t="n"/>
      <c r="BH226" s="64" t="n"/>
      <c r="BI226" s="64" t="n"/>
      <c r="BJ226" s="64" t="n"/>
      <c r="BK226" s="12" t="n"/>
      <c r="BL226" s="64" t="n"/>
      <c r="BM226" s="64" t="n"/>
      <c r="BN226" s="64" t="n"/>
      <c r="BO226" s="64" t="n"/>
      <c r="BP226" s="12" t="n"/>
      <c r="BQ226" s="64" t="n"/>
      <c r="BR226" s="64" t="n"/>
      <c r="BS226" s="64" t="n"/>
      <c r="BT226" s="64" t="n"/>
      <c r="BU226" s="12" t="n"/>
      <c r="BV226" s="64" t="n"/>
      <c r="BW226" s="64" t="n"/>
      <c r="BX226" s="64" t="n"/>
      <c r="BY226" s="64" t="n"/>
      <c r="BZ226" s="12" t="n"/>
      <c r="CA226" s="64" t="n"/>
      <c r="CB226" s="64" t="n"/>
      <c r="CC226" s="64" t="n"/>
      <c r="CD226" s="64" t="n"/>
      <c r="CE226" s="12" t="n"/>
      <c r="CF226" s="64" t="n"/>
      <c r="CG226" s="64" t="n"/>
      <c r="CH226" s="64" t="n"/>
      <c r="CI226" s="64" t="n"/>
      <c r="CJ226" s="12" t="n"/>
      <c r="CK226" s="64" t="n"/>
      <c r="CL226" s="64" t="n"/>
      <c r="CM226" s="64" t="n"/>
      <c r="CN226" s="64" t="n"/>
      <c r="CO226" s="12" t="n"/>
      <c r="CP226" s="64" t="n"/>
      <c r="CQ226" s="64" t="n"/>
      <c r="CR226" s="64" t="n"/>
      <c r="CS226" s="64" t="n"/>
      <c r="CT226" s="12" t="n"/>
      <c r="CU226" s="64" t="n"/>
      <c r="CV226" s="64" t="n"/>
      <c r="CW226" s="64" t="n"/>
      <c r="CX226" s="64" t="n"/>
      <c r="CY226" s="12" t="n"/>
    </row>
    <row r="227" hidden="1" outlineLevel="1">
      <c r="C227" s="57" t="inlineStr">
        <is>
          <t>Less: Minimum cash balance</t>
        </is>
      </c>
      <c r="D227" s="12" t="n"/>
      <c r="E227" s="12" t="n"/>
      <c r="F227" s="12" t="n"/>
      <c r="G227" s="12" t="n"/>
      <c r="H227" s="12" t="n"/>
      <c r="I227" s="12" t="n"/>
      <c r="J227" s="12" t="n"/>
      <c r="K227" s="12" t="n"/>
      <c r="L227" s="12" t="n"/>
      <c r="M227" s="12" t="n"/>
      <c r="N227" s="12" t="n"/>
      <c r="O227" s="12" t="n"/>
      <c r="P227" s="12" t="n"/>
      <c r="Q227" s="12" t="n"/>
      <c r="R227" s="12" t="n"/>
      <c r="S227" s="12" t="n"/>
      <c r="T227" s="12" t="n"/>
      <c r="U227" s="12" t="n"/>
      <c r="V227" s="12" t="n"/>
      <c r="W227" s="12" t="n"/>
      <c r="X227" s="12" t="n"/>
      <c r="Y227" s="12" t="n"/>
      <c r="Z227" s="12" t="n"/>
      <c r="AA227" s="12" t="n"/>
      <c r="AB227" s="12" t="n"/>
      <c r="AC227" s="12" t="n"/>
      <c r="AD227" s="12" t="n"/>
      <c r="AE227" s="12" t="n"/>
      <c r="AF227" s="12" t="n"/>
      <c r="AG227" s="52" t="n"/>
      <c r="AH227" s="12">
        <f>($AG$227*AH15)</f>
        <v>0</v>
      </c>
      <c r="AI227" s="12">
        <f>($AG$227*AI15)</f>
        <v>0</v>
      </c>
      <c r="AJ227" s="12">
        <f>($AG$227*AJ15)</f>
        <v>0</v>
      </c>
      <c r="AK227" s="12">
        <f>($AG$227*AK15)</f>
        <v>0</v>
      </c>
      <c r="AL227" s="12" t="n"/>
      <c r="AM227" s="12">
        <f>($AG$227*AM15)</f>
        <v>0</v>
      </c>
      <c r="AN227" s="12">
        <f>($AG$227*AN15)</f>
        <v>0</v>
      </c>
      <c r="AO227" s="12">
        <f>($AG$227*AO15)</f>
        <v>0</v>
      </c>
      <c r="AP227" s="12">
        <f>($AG$227*AP15)</f>
        <v>0</v>
      </c>
      <c r="AQ227" s="12" t="n"/>
      <c r="AR227" s="12">
        <f>($AG$227*AR15)</f>
        <v>0</v>
      </c>
      <c r="AS227" s="12">
        <f>($AG$227*AS15)</f>
        <v>0</v>
      </c>
      <c r="AT227" s="12">
        <f>($AG$227*AT15)</f>
        <v>0</v>
      </c>
      <c r="AU227" s="12">
        <f>($AG$227*AU15)</f>
        <v>0</v>
      </c>
      <c r="AV227" s="12" t="n"/>
      <c r="AW227" s="12">
        <f>($AG$227*AW15)</f>
        <v>0</v>
      </c>
      <c r="AX227" s="12">
        <f>($AG$227*AX15)</f>
        <v>0</v>
      </c>
      <c r="AY227" s="12">
        <f>($AG$227*AY15)</f>
        <v>0</v>
      </c>
      <c r="AZ227" s="12">
        <f>($AG$227*AZ15)</f>
        <v>0</v>
      </c>
      <c r="BA227" s="12" t="n"/>
      <c r="BB227" s="12">
        <f>($AG$227*BB15)</f>
        <v>0</v>
      </c>
      <c r="BC227" s="12">
        <f>($AG$227*BC15)</f>
        <v>0</v>
      </c>
      <c r="BD227" s="12">
        <f>($AG$227*BD15)</f>
        <v>0</v>
      </c>
      <c r="BE227" s="12">
        <f>($AG$227*BE15)</f>
        <v>0</v>
      </c>
      <c r="BF227" s="12" t="n"/>
      <c r="BG227" s="12" t="n"/>
      <c r="BH227" s="12" t="n"/>
      <c r="BI227" s="12" t="n"/>
      <c r="BJ227" s="12" t="n"/>
      <c r="BK227" s="12" t="n"/>
      <c r="BL227" s="12" t="n"/>
      <c r="BM227" s="12" t="n"/>
      <c r="BN227" s="12" t="n"/>
      <c r="BO227" s="12" t="n"/>
      <c r="BP227" s="12" t="n"/>
      <c r="BQ227" s="12" t="n"/>
      <c r="BR227" s="12" t="n"/>
      <c r="BS227" s="12" t="n"/>
      <c r="BT227" s="12" t="n"/>
      <c r="BU227" s="12" t="n"/>
      <c r="BV227" s="12" t="n"/>
      <c r="BW227" s="12" t="n"/>
      <c r="BX227" s="12" t="n"/>
      <c r="BY227" s="12" t="n"/>
      <c r="BZ227" s="12" t="n"/>
      <c r="CA227" s="12" t="n"/>
      <c r="CB227" s="12" t="n"/>
      <c r="CC227" s="12" t="n"/>
      <c r="CD227" s="12" t="n"/>
      <c r="CE227" s="12" t="n"/>
      <c r="CF227" s="12" t="n"/>
      <c r="CG227" s="12" t="n"/>
      <c r="CH227" s="12" t="n"/>
      <c r="CI227" s="12" t="n"/>
      <c r="CJ227" s="12" t="n"/>
      <c r="CK227" s="12" t="n"/>
      <c r="CL227" s="12" t="n"/>
      <c r="CM227" s="12" t="n"/>
      <c r="CN227" s="12" t="n"/>
      <c r="CO227" s="12" t="n"/>
      <c r="CP227" s="12" t="n"/>
      <c r="CQ227" s="12" t="n"/>
      <c r="CR227" s="12" t="n"/>
      <c r="CS227" s="12" t="n"/>
      <c r="CT227" s="12" t="n"/>
      <c r="CU227" s="12" t="n"/>
      <c r="CV227" s="12" t="n"/>
      <c r="CW227" s="12" t="n"/>
      <c r="CX227" s="12" t="n"/>
      <c r="CY227" s="12" t="n"/>
    </row>
    <row r="228" hidden="1" outlineLevel="1">
      <c r="C228" s="57" t="inlineStr">
        <is>
          <t>Total cash available / (debt required) for short term debt paydown</t>
        </is>
      </c>
      <c r="D228" s="12" t="n"/>
      <c r="E228" s="12" t="n"/>
      <c r="F228" s="12" t="n"/>
      <c r="G228" s="12" t="n"/>
      <c r="H228" s="12" t="n"/>
      <c r="I228" s="12" t="n"/>
      <c r="J228" s="12" t="n"/>
      <c r="K228" s="12" t="n"/>
      <c r="L228" s="12" t="n"/>
      <c r="M228" s="12" t="n"/>
      <c r="N228" s="12" t="n"/>
      <c r="O228" s="12" t="n"/>
      <c r="P228" s="12" t="n"/>
      <c r="Q228" s="12" t="n"/>
      <c r="R228" s="12" t="n"/>
      <c r="S228" s="12" t="n"/>
      <c r="T228" s="12" t="n"/>
      <c r="U228" s="12" t="n"/>
      <c r="V228" s="12" t="n"/>
      <c r="W228" s="12" t="n"/>
      <c r="X228" s="12" t="n"/>
      <c r="Y228" s="12" t="n"/>
      <c r="Z228" s="12" t="n"/>
      <c r="AA228" s="12" t="n"/>
      <c r="AB228" s="12" t="n"/>
      <c r="AC228" s="12" t="n"/>
      <c r="AD228" s="12" t="n"/>
      <c r="AE228" s="12" t="n"/>
      <c r="AF228" s="12" t="n"/>
      <c r="AG228" s="12" t="n"/>
      <c r="AH228" s="3">
        <f>AH225+AH226-AH227-AF215+AH217+AH221</f>
        <v>93775</v>
      </c>
      <c r="AI228" s="3">
        <f>AI225+AI226-AI227-AG215+AI217+AI221</f>
        <v>-891</v>
      </c>
      <c r="AJ228" s="3">
        <f>AJ225+AJ226-AJ227-AH215+AJ217+AJ221</f>
        <v>0</v>
      </c>
      <c r="AK228" s="3">
        <f>AK225+AK226-AK227-AI215+AK217+AK221</f>
        <v>0</v>
      </c>
      <c r="AL228" s="12" t="n"/>
      <c r="AM228" s="3">
        <f>AM225+AM226-AM227-AK215+AM217+AM221</f>
        <v>342963.408506186</v>
      </c>
      <c r="AN228" s="3">
        <f>AN225+AN226-AN227-AL215+AN217+AN221</f>
        <v>0</v>
      </c>
      <c r="AO228" s="3">
        <f>AO225+AO226-AO227-AM215+AO217+AO221</f>
        <v>0</v>
      </c>
      <c r="AP228" s="3">
        <f>AP225+AP226-AP227-AN215+AP217+AP221</f>
        <v>0</v>
      </c>
      <c r="AQ228" s="12" t="n"/>
      <c r="AR228" s="3">
        <f>AR225+AR226-AR227-AP215+AR217+AR221</f>
        <v>602063.711698601</v>
      </c>
      <c r="AS228" s="3">
        <f>AS225+AS226-AS227-AQ215+AS217+AS221</f>
        <v>0</v>
      </c>
      <c r="AT228" s="3">
        <f>AT225+AT226-AT227-AR215+AT217+AT221</f>
        <v>0</v>
      </c>
      <c r="AU228" s="3">
        <f>AU225+AU226-AU227-AS215+AU217+AU221</f>
        <v>0</v>
      </c>
      <c r="AV228" s="12" t="n"/>
      <c r="AW228" s="3">
        <f>AW225+AW226-AW227-AU215+AW217+AW221</f>
        <v>990277.190952864</v>
      </c>
      <c r="AX228" s="3">
        <f>AX225+AX226-AX227-AV215+AX217+AX221</f>
        <v>0</v>
      </c>
      <c r="AY228" s="3">
        <f>AY225+AY226-AY227-AW215+AY217+AY221</f>
        <v>0</v>
      </c>
      <c r="AZ228" s="3">
        <f>AZ225+AZ226-AZ227-AX215+AZ217+AZ221</f>
        <v>0</v>
      </c>
      <c r="BA228" s="12" t="n"/>
      <c r="BB228" s="3">
        <f>BB225+BB226-BB227-AZ215+BB217+BB221</f>
        <v>1592934.65974529</v>
      </c>
      <c r="BC228" s="3">
        <f>BC225+BC226-BC227-BA215+BC217+BC221</f>
        <v>0</v>
      </c>
      <c r="BD228" s="3">
        <f>BD225+BD226-BD227-BB215+BD217+BD221</f>
        <v>0</v>
      </c>
      <c r="BE228" s="3">
        <f>BE225+BE226-BE227-BC215+BE217+BE221</f>
        <v>0</v>
      </c>
      <c r="BF228" s="12" t="n"/>
      <c r="BG228" s="3" t="n"/>
      <c r="BH228" s="3" t="n"/>
      <c r="BI228" s="3" t="n"/>
      <c r="BJ228" s="3" t="n"/>
      <c r="BK228" s="12" t="n"/>
      <c r="BL228" s="3" t="n"/>
      <c r="BM228" s="3" t="n"/>
      <c r="BN228" s="3" t="n"/>
      <c r="BO228" s="3" t="n"/>
      <c r="BP228" s="12" t="n"/>
      <c r="BQ228" s="3" t="n"/>
      <c r="BR228" s="3" t="n"/>
      <c r="BS228" s="3" t="n"/>
      <c r="BT228" s="3" t="n"/>
      <c r="BU228" s="12" t="n"/>
      <c r="BV228" s="3" t="n"/>
      <c r="BW228" s="3" t="n"/>
      <c r="BX228" s="3" t="n"/>
      <c r="BY228" s="3" t="n"/>
      <c r="BZ228" s="12" t="n"/>
      <c r="CA228" s="3" t="n"/>
      <c r="CB228" s="3" t="n"/>
      <c r="CC228" s="3" t="n"/>
      <c r="CD228" s="3" t="n"/>
      <c r="CE228" s="12" t="n"/>
      <c r="CF228" s="3" t="n"/>
      <c r="CG228" s="3" t="n"/>
      <c r="CH228" s="3" t="n"/>
      <c r="CI228" s="3" t="n"/>
      <c r="CJ228" s="12" t="n"/>
      <c r="CK228" s="3" t="n"/>
      <c r="CL228" s="3" t="n"/>
      <c r="CM228" s="3" t="n"/>
      <c r="CN228" s="3" t="n"/>
      <c r="CO228" s="12" t="n"/>
      <c r="CP228" s="3" t="n"/>
      <c r="CQ228" s="3" t="n"/>
      <c r="CR228" s="3" t="n"/>
      <c r="CS228" s="3" t="n"/>
      <c r="CT228" s="12" t="n"/>
      <c r="CU228" s="3" t="n"/>
      <c r="CV228" s="3" t="n"/>
      <c r="CW228" s="3" t="n"/>
      <c r="CX228" s="3" t="n"/>
      <c r="CY228" s="12" t="n"/>
    </row>
    <row r="229" hidden="1" outlineLevel="1">
      <c r="C229" s="57" t="inlineStr">
        <is>
          <t>Short term debt</t>
        </is>
      </c>
      <c r="D229" s="12" t="n"/>
      <c r="E229" s="12" t="n"/>
      <c r="F229" s="12" t="n"/>
      <c r="G229" s="12" t="n"/>
      <c r="H229" s="12" t="n"/>
      <c r="I229" s="12" t="n"/>
      <c r="J229" s="12" t="n"/>
      <c r="K229" s="12" t="n"/>
      <c r="L229" s="12" t="n"/>
      <c r="M229" s="12" t="n"/>
      <c r="N229" s="12" t="n"/>
      <c r="O229" s="12" t="n"/>
      <c r="P229" s="12" t="n"/>
      <c r="Q229" s="12" t="n"/>
      <c r="R229" s="12" t="n"/>
      <c r="S229" s="12" t="n"/>
      <c r="T229" s="12" t="n"/>
      <c r="U229" s="12" t="n"/>
      <c r="V229" s="12" t="n"/>
      <c r="W229" s="12" t="n"/>
      <c r="X229" s="12" t="n"/>
      <c r="Y229" s="12" t="n"/>
      <c r="Z229" s="12" t="n"/>
      <c r="AA229" s="12" t="n"/>
      <c r="AB229" s="12" t="n"/>
      <c r="AC229" s="12" t="n"/>
      <c r="AD229" s="12" t="n"/>
      <c r="AE229" s="12" t="n"/>
      <c r="AF229" s="12" t="n"/>
      <c r="AG229" s="12" t="n"/>
      <c r="AH229" s="12">
        <f>AH209</f>
        <v>0</v>
      </c>
      <c r="AI229" s="12">
        <f>MAX(0,AH229-AI228)</f>
        <v>891</v>
      </c>
      <c r="AJ229" s="12">
        <f>MAX(0,AI229-AJ228)</f>
        <v>891</v>
      </c>
      <c r="AK229" s="12">
        <f>MAX(0,AJ229-AK228)</f>
        <v>891</v>
      </c>
      <c r="AL229" s="12" t="n"/>
      <c r="AM229" s="12">
        <f>AM209</f>
        <v>0</v>
      </c>
      <c r="AN229" s="12">
        <f>MAX(0,AM229-AN228)</f>
        <v>0</v>
      </c>
      <c r="AO229" s="12">
        <f>MAX(0,AN229-AO228)</f>
        <v>0</v>
      </c>
      <c r="AP229" s="12">
        <f>MAX(0,AO229-AP228)</f>
        <v>0</v>
      </c>
      <c r="AQ229" s="12" t="n"/>
      <c r="AR229" s="12">
        <f>AR209</f>
        <v>0</v>
      </c>
      <c r="AS229" s="12">
        <f>MAX(0,AR229-AS228)</f>
        <v>0</v>
      </c>
      <c r="AT229" s="12">
        <f>MAX(0,AS229-AT228)</f>
        <v>0</v>
      </c>
      <c r="AU229" s="12">
        <f>MAX(0,AT229-AU228)</f>
        <v>0</v>
      </c>
      <c r="AV229" s="12" t="n"/>
      <c r="AW229" s="12">
        <f>AW209</f>
        <v>0</v>
      </c>
      <c r="AX229" s="12">
        <f>MAX(0,AW229-AX228)</f>
        <v>0</v>
      </c>
      <c r="AY229" s="12">
        <f>MAX(0,AX229-AY228)</f>
        <v>0</v>
      </c>
      <c r="AZ229" s="12">
        <f>MAX(0,AY229-AZ228)</f>
        <v>0</v>
      </c>
      <c r="BA229" s="12" t="n"/>
      <c r="BB229" s="12">
        <f>BB209</f>
        <v>0</v>
      </c>
      <c r="BC229" s="12">
        <f>MAX(0,BB229-BC228)</f>
        <v>0</v>
      </c>
      <c r="BD229" s="12">
        <f>MAX(0,BC229-BD228)</f>
        <v>0</v>
      </c>
      <c r="BE229" s="12">
        <f>MAX(0,BD229-BE228)</f>
        <v>0</v>
      </c>
      <c r="BF229" s="12" t="n"/>
      <c r="BG229" s="12" t="n"/>
      <c r="BH229" s="12" t="n"/>
      <c r="BI229" s="12" t="n"/>
      <c r="BJ229" s="12" t="n"/>
      <c r="BK229" s="12" t="n"/>
      <c r="BL229" s="12" t="n"/>
      <c r="BM229" s="12" t="n"/>
      <c r="BN229" s="12" t="n"/>
      <c r="BO229" s="12" t="n"/>
      <c r="BP229" s="12" t="n"/>
      <c r="BQ229" s="12" t="n"/>
      <c r="BR229" s="12" t="n"/>
      <c r="BS229" s="12" t="n"/>
      <c r="BT229" s="12" t="n"/>
      <c r="BU229" s="12" t="n"/>
      <c r="BV229" s="12" t="n"/>
      <c r="BW229" s="12" t="n"/>
      <c r="BX229" s="12" t="n"/>
      <c r="BY229" s="12" t="n"/>
      <c r="BZ229" s="12" t="n"/>
      <c r="CA229" s="12" t="n"/>
      <c r="CB229" s="12" t="n"/>
      <c r="CC229" s="12" t="n"/>
      <c r="CD229" s="12" t="n"/>
      <c r="CE229" s="12" t="n"/>
      <c r="CF229" s="12" t="n"/>
      <c r="CG229" s="12" t="n"/>
      <c r="CH229" s="12" t="n"/>
      <c r="CI229" s="12" t="n"/>
      <c r="CJ229" s="12" t="n"/>
      <c r="CK229" s="12" t="n"/>
      <c r="CL229" s="12" t="n"/>
      <c r="CM229" s="12" t="n"/>
      <c r="CN229" s="12" t="n"/>
      <c r="CO229" s="12" t="n"/>
      <c r="CP229" s="12" t="n"/>
      <c r="CQ229" s="12" t="n"/>
      <c r="CR229" s="12" t="n"/>
      <c r="CS229" s="12" t="n"/>
      <c r="CT229" s="12" t="n"/>
      <c r="CU229" s="12" t="n"/>
      <c r="CV229" s="12" t="n"/>
      <c r="CW229" s="12" t="n"/>
      <c r="CX229" s="12" t="n"/>
      <c r="CY229" s="12" t="n"/>
    </row>
    <row r="230" hidden="1" outlineLevel="1">
      <c r="C230" s="57" t="n"/>
      <c r="D230" s="12" t="n"/>
      <c r="E230" s="12" t="n"/>
      <c r="F230" s="12" t="n"/>
      <c r="G230" s="12" t="n"/>
      <c r="H230" s="12" t="n"/>
      <c r="I230" s="12" t="n"/>
      <c r="J230" s="12" t="n"/>
      <c r="K230" s="12" t="n"/>
      <c r="L230" s="12" t="n"/>
      <c r="M230" s="12" t="n"/>
      <c r="N230" s="12" t="n"/>
      <c r="O230" s="12" t="n"/>
      <c r="P230" s="12" t="n"/>
      <c r="Q230" s="12" t="n"/>
      <c r="R230" s="12" t="n"/>
      <c r="S230" s="12" t="n"/>
      <c r="T230" s="12" t="n"/>
      <c r="U230" s="12" t="n"/>
      <c r="V230" s="12" t="n"/>
      <c r="W230" s="12" t="n"/>
      <c r="X230" s="12" t="n"/>
      <c r="Y230" s="12" t="n"/>
      <c r="Z230" s="12" t="n"/>
      <c r="AA230" s="12" t="n"/>
      <c r="AB230" s="12" t="n"/>
      <c r="AC230" s="12" t="n"/>
      <c r="AD230" s="12" t="n"/>
      <c r="AE230" s="12" t="n"/>
      <c r="AF230" s="12" t="n"/>
      <c r="AG230" s="12" t="n"/>
      <c r="AH230" s="12" t="n"/>
      <c r="AI230" s="12" t="n"/>
      <c r="AJ230" s="12" t="n"/>
      <c r="AK230" s="12" t="n"/>
      <c r="AL230" s="12" t="n"/>
      <c r="AM230" s="12" t="n"/>
      <c r="AN230" s="12" t="n"/>
      <c r="AO230" s="12" t="n"/>
      <c r="AP230" s="12" t="n"/>
      <c r="AQ230" s="12" t="n"/>
      <c r="AR230" s="12" t="n"/>
      <c r="AS230" s="12" t="n"/>
      <c r="AT230" s="12" t="n"/>
      <c r="AU230" s="12" t="n"/>
      <c r="AV230" s="12" t="n"/>
      <c r="AW230" s="12" t="n"/>
      <c r="AX230" s="12" t="n"/>
      <c r="AY230" s="12" t="n"/>
      <c r="AZ230" s="12" t="n"/>
      <c r="BA230" s="12" t="n"/>
      <c r="BB230" s="12" t="n"/>
      <c r="BC230" s="12" t="n"/>
      <c r="BD230" s="12" t="n"/>
      <c r="BE230" s="12" t="n"/>
      <c r="BF230" s="12" t="n"/>
      <c r="BG230" s="12" t="n"/>
      <c r="BH230" s="12" t="n"/>
      <c r="BI230" s="12" t="n"/>
      <c r="BJ230" s="12" t="n"/>
      <c r="BK230" s="12" t="n"/>
      <c r="BL230" s="12" t="n"/>
      <c r="BM230" s="12" t="n"/>
      <c r="BN230" s="12" t="n"/>
      <c r="BO230" s="12" t="n"/>
      <c r="BP230" s="12" t="n"/>
      <c r="BQ230" s="12" t="n"/>
      <c r="BR230" s="12" t="n"/>
      <c r="BS230" s="12" t="n"/>
      <c r="BT230" s="12" t="n"/>
      <c r="BU230" s="12" t="n"/>
      <c r="BV230" s="12" t="n"/>
      <c r="BW230" s="12" t="n"/>
      <c r="BX230" s="12" t="n"/>
      <c r="BY230" s="12" t="n"/>
      <c r="BZ230" s="12" t="n"/>
      <c r="CA230" s="12" t="n"/>
      <c r="CB230" s="12" t="n"/>
      <c r="CC230" s="12" t="n"/>
      <c r="CD230" s="12" t="n"/>
      <c r="CE230" s="12" t="n"/>
      <c r="CF230" s="12" t="n"/>
      <c r="CG230" s="12" t="n"/>
      <c r="CH230" s="12" t="n"/>
      <c r="CI230" s="12" t="n"/>
      <c r="CJ230" s="12" t="n"/>
      <c r="CK230" s="12" t="n"/>
      <c r="CL230" s="12" t="n"/>
      <c r="CM230" s="12" t="n"/>
      <c r="CN230" s="12" t="n"/>
      <c r="CO230" s="12" t="n"/>
      <c r="CP230" s="12" t="n"/>
      <c r="CQ230" s="12" t="n"/>
      <c r="CR230" s="12" t="n"/>
      <c r="CS230" s="12" t="n"/>
      <c r="CT230" s="12" t="n"/>
      <c r="CU230" s="12" t="n"/>
      <c r="CV230" s="12" t="n"/>
      <c r="CW230" s="12" t="n"/>
      <c r="CX230" s="12" t="n"/>
      <c r="CY230" s="12" t="n"/>
    </row>
    <row r="231" collapsed="1">
      <c r="C231" s="14" t="inlineStr">
        <is>
          <t>Long term operating leases</t>
        </is>
      </c>
      <c r="D231" s="46" t="n"/>
      <c r="E231" s="46" t="n"/>
      <c r="F231" s="46" t="n"/>
      <c r="G231" s="46" t="n"/>
      <c r="H231" s="12" t="n"/>
      <c r="I231" s="46">
        <f>'Inputs (2)'!D36</f>
        <v>11382</v>
      </c>
      <c r="J231" s="46">
        <f>'Inputs (2)'!E36</f>
        <v>11619</v>
      </c>
      <c r="K231" s="46">
        <f>'Inputs (2)'!F36</f>
        <v>11471</v>
      </c>
      <c r="L231" s="46">
        <f>'Inputs (2)'!G36</f>
        <v>11389</v>
      </c>
      <c r="M231" s="12">
        <f>'Inputs (2)'!H36</f>
        <v>11389</v>
      </c>
      <c r="N231" s="46">
        <f>'Inputs (2)'!I36</f>
        <v>11363</v>
      </c>
      <c r="O231" s="46">
        <f>'Inputs (2)'!J36</f>
        <v>11697</v>
      </c>
      <c r="P231" s="46">
        <f>'Inputs (2)'!K36</f>
        <v>11984</v>
      </c>
      <c r="Q231" s="46">
        <f>'Inputs (2)'!L36</f>
        <v>12501</v>
      </c>
      <c r="R231" s="12">
        <f>'Inputs (2)'!M36</f>
        <v>12501</v>
      </c>
      <c r="S231" s="46">
        <f>'Inputs (2)'!N36</f>
        <v>12799</v>
      </c>
      <c r="T231" s="46">
        <f>'Inputs (2)'!O36</f>
        <v>12746</v>
      </c>
      <c r="U231" s="46">
        <f>'Inputs (2)'!P36</f>
        <v>12550</v>
      </c>
      <c r="V231" s="46">
        <f>'Inputs (2)'!Q36</f>
        <v>12460</v>
      </c>
      <c r="W231" s="12">
        <f>'Inputs (2)'!R36</f>
        <v>12460</v>
      </c>
      <c r="X231" s="46">
        <f>'Inputs (2)'!S36</f>
        <v>11957</v>
      </c>
      <c r="Y231" s="46">
        <f>'Inputs (2)'!T36</f>
        <v>11708</v>
      </c>
      <c r="Z231" s="46">
        <f>'Inputs (2)'!U36</f>
        <v>11654</v>
      </c>
      <c r="AA231" s="46">
        <f>'Inputs (2)'!V36</f>
        <v>11691</v>
      </c>
      <c r="AB231" s="12">
        <f>'Inputs (2)'!W36</f>
        <v>11691</v>
      </c>
      <c r="AC231" s="46">
        <f>'Inputs (2)'!X36</f>
        <v>11678</v>
      </c>
      <c r="AD231" s="46">
        <f>'Inputs (2)'!Y36</f>
        <v>11952</v>
      </c>
      <c r="AE231" s="46">
        <f>'Inputs (2)'!Z36</f>
        <v>12106</v>
      </c>
      <c r="AF231" s="46">
        <f>'Inputs (2)'!AA36</f>
        <v>12744</v>
      </c>
      <c r="AG231" s="12">
        <f>'Inputs (2)'!AB36</f>
        <v>12744</v>
      </c>
      <c r="AH231" s="12">
        <f>'Inputs (2)'!AC36</f>
        <v>12983</v>
      </c>
      <c r="AI231" s="12">
        <f>'Inputs (2)'!AD36</f>
        <v>14591</v>
      </c>
      <c r="AJ231" s="12">
        <f>AI231</f>
        <v>14591</v>
      </c>
      <c r="AK231" s="12">
        <f>AJ231</f>
        <v>14591</v>
      </c>
      <c r="AL231" s="12">
        <f>AK231</f>
        <v>14591</v>
      </c>
      <c r="AM231" s="12">
        <f>AL231</f>
        <v>14591</v>
      </c>
      <c r="AN231" s="12">
        <f>AM231</f>
        <v>14591</v>
      </c>
      <c r="AO231" s="12">
        <f>AN231</f>
        <v>14591</v>
      </c>
      <c r="AP231" s="12">
        <f>AO231</f>
        <v>14591</v>
      </c>
      <c r="AQ231" s="12">
        <f>AP231</f>
        <v>14591</v>
      </c>
      <c r="AR231" s="12">
        <f>AQ231</f>
        <v>14591</v>
      </c>
      <c r="AS231" s="12">
        <f>AR231</f>
        <v>14591</v>
      </c>
      <c r="AT231" s="12">
        <f>AS231</f>
        <v>14591</v>
      </c>
      <c r="AU231" s="12">
        <f>AT231</f>
        <v>14591</v>
      </c>
      <c r="AV231" s="12">
        <f>AU231</f>
        <v>14591</v>
      </c>
      <c r="AW231" s="12">
        <f>AV231</f>
        <v>14591</v>
      </c>
      <c r="AX231" s="12">
        <f>AW231</f>
        <v>14591</v>
      </c>
      <c r="AY231" s="12">
        <f>AX231</f>
        <v>14591</v>
      </c>
      <c r="AZ231" s="12">
        <f>AY231</f>
        <v>14591</v>
      </c>
      <c r="BA231" s="12">
        <f>AZ231</f>
        <v>14591</v>
      </c>
      <c r="BB231" s="12">
        <f>BA231</f>
        <v>14591</v>
      </c>
      <c r="BC231" s="12">
        <f>BB231</f>
        <v>14591</v>
      </c>
      <c r="BD231" s="12">
        <f>BC231</f>
        <v>14591</v>
      </c>
      <c r="BE231" s="12">
        <f>BD231</f>
        <v>14591</v>
      </c>
      <c r="BF231" s="12">
        <f>BE231</f>
        <v>14591</v>
      </c>
      <c r="BG231" s="12" t="n"/>
      <c r="BH231" s="12" t="n"/>
      <c r="BI231" s="12" t="n"/>
      <c r="BJ231" s="12" t="n"/>
      <c r="BK231" s="12" t="n"/>
      <c r="BL231" s="12" t="n"/>
      <c r="BM231" s="12" t="n"/>
      <c r="BN231" s="12" t="n"/>
      <c r="BO231" s="12" t="n"/>
      <c r="BP231" s="12" t="n"/>
      <c r="BQ231" s="12" t="n"/>
      <c r="BR231" s="12" t="n"/>
      <c r="BS231" s="12" t="n"/>
      <c r="BT231" s="12" t="n"/>
      <c r="BU231" s="12" t="n"/>
      <c r="BV231" s="12" t="n"/>
      <c r="BW231" s="12" t="n"/>
      <c r="BX231" s="12" t="n"/>
      <c r="BY231" s="12" t="n"/>
      <c r="BZ231" s="12" t="n"/>
      <c r="CA231" s="12" t="n"/>
      <c r="CB231" s="12" t="n"/>
      <c r="CC231" s="12" t="n"/>
      <c r="CD231" s="12" t="n"/>
      <c r="CE231" s="12" t="n"/>
      <c r="CF231" s="12" t="n"/>
      <c r="CG231" s="12" t="n"/>
      <c r="CH231" s="12" t="n"/>
      <c r="CI231" s="12" t="n"/>
      <c r="CJ231" s="12" t="n"/>
      <c r="CK231" s="12" t="n"/>
      <c r="CL231" s="12" t="n"/>
      <c r="CM231" s="12" t="n"/>
      <c r="CN231" s="12" t="n"/>
      <c r="CO231" s="12" t="n"/>
      <c r="CP231" s="12" t="n"/>
      <c r="CQ231" s="12" t="n"/>
      <c r="CR231" s="12" t="n"/>
      <c r="CS231" s="12" t="n"/>
      <c r="CT231" s="12" t="n"/>
      <c r="CU231" s="12" t="n"/>
      <c r="CV231" s="12" t="n"/>
      <c r="CW231" s="12" t="n"/>
      <c r="CX231" s="12" t="n"/>
      <c r="CY231" s="12" t="n"/>
    </row>
    <row r="232" hidden="1" outlineLevel="1">
      <c r="C232" s="59" t="inlineStr">
        <is>
          <t>%(Var.)</t>
        </is>
      </c>
      <c r="D232" s="12" t="n"/>
      <c r="E232" s="40" t="n"/>
      <c r="F232" s="40" t="n"/>
      <c r="G232" s="40" t="n"/>
      <c r="H232" s="12" t="n"/>
      <c r="I232" s="40" t="str">
        <f>""</f>
        <v/>
      </c>
      <c r="J232" s="40">
        <f>IFERROR(IF(I231=0,"",J231/I231-1),"")</f>
        <v>0.0208223510806536</v>
      </c>
      <c r="K232" s="40">
        <f>IFERROR(IF(J231=0,"",K231/J231-1),"")</f>
        <v>-0.0127377571219555</v>
      </c>
      <c r="L232" s="40">
        <f>IFERROR(IF(K231=0,"",L231/K231-1),"")</f>
        <v>-0.00714846133728531</v>
      </c>
      <c r="M232" s="12">
        <f>IF(L231=0,"",M231/L231-1)</f>
        <v>0</v>
      </c>
      <c r="N232" s="40">
        <f>IFERROR(IF(M231=0,"",N231/M231-1),"")</f>
        <v>-0.00228290455702873</v>
      </c>
      <c r="O232" s="40">
        <f>IFERROR(IF(N231=0,"",O231/N231-1),"")</f>
        <v>0.0293936460441784</v>
      </c>
      <c r="P232" s="40">
        <f>IFERROR(IF(O231=0,"",P231/O231-1),"")</f>
        <v>0.0245362058647516</v>
      </c>
      <c r="Q232" s="40">
        <f>IFERROR(IF(P231=0,"",Q231/P231-1),"")</f>
        <v>0.0431408544726302</v>
      </c>
      <c r="R232" s="12">
        <f>IF(Q231=0,"",R231/Q231-1)</f>
        <v>0</v>
      </c>
      <c r="S232" s="40">
        <f>IFERROR(IF(R231=0,"",S231/R231-1),"")</f>
        <v>0.0238380929525639</v>
      </c>
      <c r="T232" s="40">
        <f>IFERROR(IF(S231=0,"",T231/S231-1),"")</f>
        <v>-0.00414094851160252</v>
      </c>
      <c r="U232" s="40">
        <f>IFERROR(IF(T231=0,"",U231/T231-1),"")</f>
        <v>-0.0153773732935824</v>
      </c>
      <c r="V232" s="40">
        <f>IFERROR(IF(U231=0,"",V231/U231-1),"")</f>
        <v>-0.00717131474103583</v>
      </c>
      <c r="W232" s="12">
        <f>IF(V231=0,"",W231/V231-1)</f>
        <v>0</v>
      </c>
      <c r="X232" s="40">
        <f>IFERROR(IF(W231=0,"",X231/W231-1),"")</f>
        <v>-0.0403691813804173</v>
      </c>
      <c r="Y232" s="40">
        <f>IFERROR(IF(X231=0,"",Y231/X231-1),"")</f>
        <v>-0.0208246215605922</v>
      </c>
      <c r="Z232" s="40">
        <f>IFERROR(IF(Y231=0,"",Z231/Y231-1),"")</f>
        <v>-0.00461223095319441</v>
      </c>
      <c r="AA232" s="40">
        <f>IFERROR(IF(Z231=0,"",AA231/Z231-1),"")</f>
        <v>0.00317487557920026</v>
      </c>
      <c r="AB232" s="12">
        <f>IF(AA231=0,"",AB231/AA231-1)</f>
        <v>0</v>
      </c>
      <c r="AC232" s="40">
        <f>IFERROR(IF(AB231=0,"",AC231/AB231-1),"")</f>
        <v>-0.00111196646993417</v>
      </c>
      <c r="AD232" s="40">
        <f>IFERROR(IF(AC231=0,"",AD231/AC231-1),"")</f>
        <v>0.0234629217331734</v>
      </c>
      <c r="AE232" s="40">
        <f>IFERROR(IF(AD231=0,"",AE231/AD231-1),"")</f>
        <v>0.0128848728246318</v>
      </c>
      <c r="AF232" s="41">
        <f>IFERROR(IF(AE231=0,"",AF231/AE231-1),"")</f>
        <v>0.052701139930613</v>
      </c>
      <c r="AG232" s="12">
        <f>IF(AF231=0,"",AG231/AF231-1)</f>
        <v>0</v>
      </c>
      <c r="AH232" s="11">
        <f>IFERROR(IF(AG231=0,"",AH231/AG231-1),"")</f>
        <v>0.0187539234149403</v>
      </c>
      <c r="AI232" s="11">
        <f>IFERROR(IF(AH231=0,"",AI231/AH231-1),"")</f>
        <v>0.12385427096973</v>
      </c>
      <c r="AJ232" s="11">
        <f>IFERROR(IF(AI231=0,"",AJ231/AI231-1),"")</f>
        <v>0</v>
      </c>
      <c r="AK232" s="11">
        <f>IFERROR(IF(AJ231=0,"",AK231/AJ231-1),"")</f>
        <v>0</v>
      </c>
      <c r="AL232" s="12">
        <f>IFERROR(IF(AK231=0,"",AL231/AK231-1),"")</f>
        <v>0</v>
      </c>
      <c r="AM232" s="11">
        <f>IFERROR(IF(AL231=0,"",AM231/AL231-1),"")</f>
        <v>0</v>
      </c>
      <c r="AN232" s="11">
        <f>IFERROR(IF(AM231=0,"",AN231/AM231-1),"")</f>
        <v>0</v>
      </c>
      <c r="AO232" s="11">
        <f>IFERROR(IF(AN231=0,"",AO231/AN231-1),"")</f>
        <v>0</v>
      </c>
      <c r="AP232" s="11">
        <f>IFERROR(IF(AO231=0,"",AP231/AO231-1),"")</f>
        <v>0</v>
      </c>
      <c r="AQ232" s="12">
        <f>IFERROR(IF(AP231=0,"",AQ231/AP231-1),"")</f>
        <v>0</v>
      </c>
      <c r="AR232" s="11">
        <f>IFERROR(IF(AQ231=0,"",AR231/AQ231-1),"")</f>
        <v>0</v>
      </c>
      <c r="AS232" s="11">
        <f>IFERROR(IF(AR231=0,"",AS231/AR231-1),"")</f>
        <v>0</v>
      </c>
      <c r="AT232" s="11">
        <f>IFERROR(IF(AS231=0,"",AT231/AS231-1),"")</f>
        <v>0</v>
      </c>
      <c r="AU232" s="11">
        <f>IFERROR(IF(AT231=0,"",AU231/AT231-1),"")</f>
        <v>0</v>
      </c>
      <c r="AV232" s="12">
        <f>IFERROR(IF(AU231=0,"",AV231/AU231-1),"")</f>
        <v>0</v>
      </c>
      <c r="AW232" s="11">
        <f>IFERROR(IF(AV231=0,"",AW231/AV231-1),"")</f>
        <v>0</v>
      </c>
      <c r="AX232" s="11">
        <f>IFERROR(IF(AW231=0,"",AX231/AW231-1),"")</f>
        <v>0</v>
      </c>
      <c r="AY232" s="11">
        <f>IFERROR(IF(AX231=0,"",AY231/AX231-1),"")</f>
        <v>0</v>
      </c>
      <c r="AZ232" s="11">
        <f>IFERROR(IF(AY231=0,"",AZ231/AY231-1),"")</f>
        <v>0</v>
      </c>
      <c r="BA232" s="12">
        <f>IFERROR(IF(AZ231=0,"",BA231/AZ231-1),"")</f>
        <v>0</v>
      </c>
      <c r="BB232" s="11">
        <f>IFERROR(IF(BA231=0,"",BB231/BA231-1),"")</f>
        <v>0</v>
      </c>
      <c r="BC232" s="11">
        <f>IFERROR(IF(BB231=0,"",BC231/BB231-1),"")</f>
        <v>0</v>
      </c>
      <c r="BD232" s="11">
        <f>IFERROR(IF(BC231=0,"",BD231/BC231-1),"")</f>
        <v>0</v>
      </c>
      <c r="BE232" s="11">
        <f>IFERROR(IF(BD231=0,"",BE231/BD231-1),"")</f>
        <v>0</v>
      </c>
      <c r="BF232" s="12">
        <f>IFERROR(IF(BE231=0,"",BF231/BE231-1),"")</f>
        <v>0</v>
      </c>
      <c r="BG232" s="11" t="n"/>
      <c r="BH232" s="11" t="n"/>
      <c r="BI232" s="11" t="n"/>
      <c r="BJ232" s="11" t="n"/>
      <c r="BK232" s="12" t="n"/>
      <c r="BL232" s="11" t="n"/>
      <c r="BM232" s="11" t="n"/>
      <c r="BN232" s="11" t="n"/>
      <c r="BO232" s="11" t="n"/>
      <c r="BP232" s="12" t="n"/>
      <c r="BQ232" s="11" t="n"/>
      <c r="BR232" s="11" t="n"/>
      <c r="BS232" s="11" t="n"/>
      <c r="BT232" s="11" t="n"/>
      <c r="BU232" s="12" t="n"/>
      <c r="BV232" s="11" t="n"/>
      <c r="BW232" s="11" t="n"/>
      <c r="BX232" s="11" t="n"/>
      <c r="BY232" s="11" t="n"/>
      <c r="BZ232" s="12" t="n"/>
      <c r="CA232" s="11" t="n"/>
      <c r="CB232" s="11" t="n"/>
      <c r="CC232" s="11" t="n"/>
      <c r="CD232" s="11" t="n"/>
      <c r="CE232" s="12" t="n"/>
      <c r="CF232" s="11" t="n"/>
      <c r="CG232" s="11" t="n"/>
      <c r="CH232" s="11" t="n"/>
      <c r="CI232" s="11" t="n"/>
      <c r="CJ232" s="12" t="n"/>
      <c r="CK232" s="11" t="n"/>
      <c r="CL232" s="11" t="n"/>
      <c r="CM232" s="11" t="n"/>
      <c r="CN232" s="11" t="n"/>
      <c r="CO232" s="12" t="n"/>
      <c r="CP232" s="11" t="n"/>
      <c r="CQ232" s="11" t="n"/>
      <c r="CR232" s="11" t="n"/>
      <c r="CS232" s="11" t="n"/>
      <c r="CT232" s="12" t="n"/>
      <c r="CU232" s="11" t="n"/>
      <c r="CV232" s="11" t="n"/>
      <c r="CW232" s="11" t="n"/>
      <c r="CX232" s="11" t="n"/>
      <c r="CY232" s="12" t="n"/>
    </row>
    <row r="233" hidden="1" outlineLevel="1">
      <c r="C233" s="57" t="n"/>
      <c r="D233" s="12" t="n"/>
      <c r="E233" s="12" t="n"/>
      <c r="F233" s="12" t="n"/>
      <c r="G233" s="12" t="n"/>
      <c r="H233" s="12" t="n"/>
      <c r="I233" s="12" t="n"/>
      <c r="J233" s="12" t="n"/>
      <c r="K233" s="12" t="n"/>
      <c r="L233" s="12" t="n"/>
      <c r="M233" s="12" t="n"/>
      <c r="N233" s="12" t="n"/>
      <c r="O233" s="12" t="n"/>
      <c r="P233" s="12" t="n"/>
      <c r="Q233" s="12" t="n"/>
      <c r="R233" s="12" t="n"/>
      <c r="S233" s="12" t="n"/>
      <c r="T233" s="12" t="n"/>
      <c r="U233" s="12" t="n"/>
      <c r="V233" s="12" t="n"/>
      <c r="W233" s="12" t="n"/>
      <c r="X233" s="12" t="n"/>
      <c r="Y233" s="12" t="n"/>
      <c r="Z233" s="12" t="n"/>
      <c r="AA233" s="12" t="n"/>
      <c r="AB233" s="12" t="n"/>
      <c r="AC233" s="12" t="n"/>
      <c r="AD233" s="12" t="n"/>
      <c r="AE233" s="12" t="n"/>
      <c r="AF233" s="12" t="n"/>
      <c r="AG233" s="12" t="n"/>
      <c r="AH233" s="12" t="n"/>
      <c r="AI233" s="12" t="n"/>
      <c r="AJ233" s="12" t="n"/>
      <c r="AK233" s="12" t="n"/>
      <c r="AL233" s="12" t="n"/>
      <c r="AM233" s="12" t="n"/>
      <c r="AN233" s="12" t="n"/>
      <c r="AO233" s="12" t="n"/>
      <c r="AP233" s="12" t="n"/>
      <c r="AQ233" s="12" t="n"/>
      <c r="AR233" s="12" t="n"/>
      <c r="AS233" s="12" t="n"/>
      <c r="AT233" s="12" t="n"/>
      <c r="AU233" s="12" t="n"/>
      <c r="AV233" s="12" t="n"/>
      <c r="AW233" s="12" t="n"/>
      <c r="AX233" s="12" t="n"/>
      <c r="AY233" s="12" t="n"/>
      <c r="AZ233" s="12" t="n"/>
      <c r="BA233" s="12" t="n"/>
      <c r="BB233" s="12" t="n"/>
      <c r="BC233" s="12" t="n"/>
      <c r="BD233" s="12" t="n"/>
      <c r="BE233" s="12" t="n"/>
      <c r="BF233" s="12" t="n"/>
      <c r="BG233" s="12" t="n"/>
      <c r="BH233" s="12" t="n"/>
      <c r="BI233" s="12" t="n"/>
      <c r="BJ233" s="12" t="n"/>
      <c r="BK233" s="12" t="n"/>
      <c r="BL233" s="12" t="n"/>
      <c r="BM233" s="12" t="n"/>
      <c r="BN233" s="12" t="n"/>
      <c r="BO233" s="12" t="n"/>
      <c r="BP233" s="12" t="n"/>
      <c r="BQ233" s="12" t="n"/>
      <c r="BR233" s="12" t="n"/>
      <c r="BS233" s="12" t="n"/>
      <c r="BT233" s="12" t="n"/>
      <c r="BU233" s="12" t="n"/>
      <c r="BV233" s="12" t="n"/>
      <c r="BW233" s="12" t="n"/>
      <c r="BX233" s="12" t="n"/>
      <c r="BY233" s="12" t="n"/>
      <c r="BZ233" s="12" t="n"/>
      <c r="CA233" s="12" t="n"/>
      <c r="CB233" s="12" t="n"/>
      <c r="CC233" s="12" t="n"/>
      <c r="CD233" s="12" t="n"/>
      <c r="CE233" s="12" t="n"/>
      <c r="CF233" s="12" t="n"/>
      <c r="CG233" s="12" t="n"/>
      <c r="CH233" s="12" t="n"/>
      <c r="CI233" s="12" t="n"/>
      <c r="CJ233" s="12" t="n"/>
      <c r="CK233" s="12" t="n"/>
      <c r="CL233" s="12" t="n"/>
      <c r="CM233" s="12" t="n"/>
      <c r="CN233" s="12" t="n"/>
      <c r="CO233" s="12" t="n"/>
      <c r="CP233" s="12" t="n"/>
      <c r="CQ233" s="12" t="n"/>
      <c r="CR233" s="12" t="n"/>
      <c r="CS233" s="12" t="n"/>
      <c r="CT233" s="12" t="n"/>
      <c r="CU233" s="12" t="n"/>
      <c r="CV233" s="12" t="n"/>
      <c r="CW233" s="12" t="n"/>
      <c r="CX233" s="12" t="n"/>
      <c r="CY233" s="12" t="n"/>
    </row>
    <row r="234" collapsed="1">
      <c r="C234" s="14" t="inlineStr">
        <is>
          <t>Convertible debt</t>
        </is>
      </c>
      <c r="D234" s="46" t="n"/>
      <c r="E234" s="46" t="n"/>
      <c r="F234" s="46" t="n"/>
      <c r="G234" s="46" t="n"/>
      <c r="H234" s="12" t="n"/>
      <c r="I234" s="46">
        <f>'Inputs (2)'!D37</f>
        <v>0</v>
      </c>
      <c r="J234" s="46">
        <f>'Inputs (2)'!E37</f>
        <v>0</v>
      </c>
      <c r="K234" s="46">
        <f>'Inputs (2)'!F37</f>
        <v>0</v>
      </c>
      <c r="L234" s="46">
        <f>'Inputs (2)'!G37</f>
        <v>0</v>
      </c>
      <c r="M234" s="12">
        <f>'Inputs (2)'!H37</f>
        <v>0</v>
      </c>
      <c r="N234" s="46">
        <f>'Inputs (2)'!I37</f>
        <v>0</v>
      </c>
      <c r="O234" s="46">
        <f>'Inputs (2)'!J37</f>
        <v>0</v>
      </c>
      <c r="P234" s="46">
        <f>'Inputs (2)'!K37</f>
        <v>0</v>
      </c>
      <c r="Q234" s="46">
        <f>'Inputs (2)'!L37</f>
        <v>0</v>
      </c>
      <c r="R234" s="12">
        <f>'Inputs (2)'!M37</f>
        <v>0</v>
      </c>
      <c r="S234" s="46">
        <f>'Inputs (2)'!N37</f>
        <v>0</v>
      </c>
      <c r="T234" s="46">
        <f>'Inputs (2)'!O37</f>
        <v>0</v>
      </c>
      <c r="U234" s="46">
        <f>'Inputs (2)'!P37</f>
        <v>0</v>
      </c>
      <c r="V234" s="46">
        <f>'Inputs (2)'!Q37</f>
        <v>0</v>
      </c>
      <c r="W234" s="12">
        <f>'Inputs (2)'!R37</f>
        <v>0</v>
      </c>
      <c r="X234" s="46">
        <f>'Inputs (2)'!S37</f>
        <v>0</v>
      </c>
      <c r="Y234" s="46">
        <f>'Inputs (2)'!T37</f>
        <v>0</v>
      </c>
      <c r="Z234" s="46">
        <f>'Inputs (2)'!U37</f>
        <v>0</v>
      </c>
      <c r="AA234" s="46">
        <f>'Inputs (2)'!V37</f>
        <v>0</v>
      </c>
      <c r="AB234" s="12">
        <f>'Inputs (2)'!W37</f>
        <v>0</v>
      </c>
      <c r="AC234" s="46">
        <f>'Inputs (2)'!X37</f>
        <v>0</v>
      </c>
      <c r="AD234" s="46">
        <f>'Inputs (2)'!Y37</f>
        <v>0</v>
      </c>
      <c r="AE234" s="46">
        <f>'Inputs (2)'!Z37</f>
        <v>0</v>
      </c>
      <c r="AF234" s="46">
        <f>'Inputs (2)'!AA37</f>
        <v>0</v>
      </c>
      <c r="AG234" s="12">
        <f>'Inputs (2)'!AB37</f>
        <v>0</v>
      </c>
      <c r="AH234" s="12">
        <f>'Inputs (2)'!AC37</f>
        <v>0</v>
      </c>
      <c r="AI234" s="12">
        <f>'Inputs (2)'!AD37</f>
        <v>0</v>
      </c>
      <c r="AJ234" s="12">
        <f>AI234</f>
        <v>0</v>
      </c>
      <c r="AK234" s="12">
        <f>AJ234</f>
        <v>0</v>
      </c>
      <c r="AL234" s="12">
        <f>AK234</f>
        <v>0</v>
      </c>
      <c r="AM234" s="12">
        <f>AL234</f>
        <v>0</v>
      </c>
      <c r="AN234" s="12">
        <f>AM234</f>
        <v>0</v>
      </c>
      <c r="AO234" s="12">
        <f>AN234</f>
        <v>0</v>
      </c>
      <c r="AP234" s="12">
        <f>AO234</f>
        <v>0</v>
      </c>
      <c r="AQ234" s="12">
        <f>AP234</f>
        <v>0</v>
      </c>
      <c r="AR234" s="12">
        <f>AQ234</f>
        <v>0</v>
      </c>
      <c r="AS234" s="12">
        <f>AR234</f>
        <v>0</v>
      </c>
      <c r="AT234" s="12">
        <f>AS234</f>
        <v>0</v>
      </c>
      <c r="AU234" s="12">
        <f>AT234</f>
        <v>0</v>
      </c>
      <c r="AV234" s="12">
        <f>AU234</f>
        <v>0</v>
      </c>
      <c r="AW234" s="12">
        <f>AV234</f>
        <v>0</v>
      </c>
      <c r="AX234" s="12">
        <f>AW234</f>
        <v>0</v>
      </c>
      <c r="AY234" s="12">
        <f>AX234</f>
        <v>0</v>
      </c>
      <c r="AZ234" s="12">
        <f>AY234</f>
        <v>0</v>
      </c>
      <c r="BA234" s="12">
        <f>AZ234</f>
        <v>0</v>
      </c>
      <c r="BB234" s="12">
        <f>BA234</f>
        <v>0</v>
      </c>
      <c r="BC234" s="12">
        <f>BB234</f>
        <v>0</v>
      </c>
      <c r="BD234" s="12">
        <f>BC234</f>
        <v>0</v>
      </c>
      <c r="BE234" s="12">
        <f>BD234</f>
        <v>0</v>
      </c>
      <c r="BF234" s="12">
        <f>BE234</f>
        <v>0</v>
      </c>
      <c r="BG234" s="12" t="n"/>
      <c r="BH234" s="12" t="n"/>
      <c r="BI234" s="12" t="n"/>
      <c r="BJ234" s="12" t="n"/>
      <c r="BK234" s="12" t="n"/>
      <c r="BL234" s="12" t="n"/>
      <c r="BM234" s="12" t="n"/>
      <c r="BN234" s="12" t="n"/>
      <c r="BO234" s="12" t="n"/>
      <c r="BP234" s="12" t="n"/>
      <c r="BQ234" s="12" t="n"/>
      <c r="BR234" s="12" t="n"/>
      <c r="BS234" s="12" t="n"/>
      <c r="BT234" s="12" t="n"/>
      <c r="BU234" s="12" t="n"/>
      <c r="BV234" s="12" t="n"/>
      <c r="BW234" s="12" t="n"/>
      <c r="BX234" s="12" t="n"/>
      <c r="BY234" s="12" t="n"/>
      <c r="BZ234" s="12" t="n"/>
      <c r="CA234" s="12" t="n"/>
      <c r="CB234" s="12" t="n"/>
      <c r="CC234" s="12" t="n"/>
      <c r="CD234" s="12" t="n"/>
      <c r="CE234" s="12" t="n"/>
      <c r="CF234" s="12" t="n"/>
      <c r="CG234" s="12" t="n"/>
      <c r="CH234" s="12" t="n"/>
      <c r="CI234" s="12" t="n"/>
      <c r="CJ234" s="12" t="n"/>
      <c r="CK234" s="12" t="n"/>
      <c r="CL234" s="12" t="n"/>
      <c r="CM234" s="12" t="n"/>
      <c r="CN234" s="12" t="n"/>
      <c r="CO234" s="12" t="n"/>
      <c r="CP234" s="12" t="n"/>
      <c r="CQ234" s="12" t="n"/>
      <c r="CR234" s="12" t="n"/>
      <c r="CS234" s="12" t="n"/>
      <c r="CT234" s="12" t="n"/>
      <c r="CU234" s="12" t="n"/>
      <c r="CV234" s="12" t="n"/>
      <c r="CW234" s="12" t="n"/>
      <c r="CX234" s="12" t="n"/>
      <c r="CY234" s="12" t="n"/>
    </row>
    <row r="235">
      <c r="C235" s="14" t="inlineStr">
        <is>
          <t>Deferred income taxes</t>
        </is>
      </c>
      <c r="D235" s="46" t="n"/>
      <c r="E235" s="46" t="n"/>
      <c r="F235" s="46" t="n"/>
      <c r="G235" s="46" t="n"/>
      <c r="H235" s="12" t="n"/>
      <c r="I235" s="46">
        <f>'Inputs (2)'!D38</f>
        <v>4406</v>
      </c>
      <c r="J235" s="46">
        <f>'Inputs (2)'!E38</f>
        <v>4703</v>
      </c>
      <c r="K235" s="46">
        <f>'Inputs (2)'!F38</f>
        <v>3551</v>
      </c>
      <c r="L235" s="46">
        <f>'Inputs (2)'!G38</f>
        <v>5257</v>
      </c>
      <c r="M235" s="12">
        <f>'Inputs (2)'!H38</f>
        <v>5257</v>
      </c>
      <c r="N235" s="46">
        <f>'Inputs (2)'!I38</f>
        <v>2843</v>
      </c>
      <c r="O235" s="46">
        <f>'Inputs (2)'!J38</f>
        <v>924</v>
      </c>
      <c r="P235" s="46">
        <f>'Inputs (2)'!K38</f>
        <v>476</v>
      </c>
      <c r="Q235" s="46">
        <f>'Inputs (2)'!L38</f>
        <v>514</v>
      </c>
      <c r="R235" s="12">
        <f>'Inputs (2)'!M38</f>
        <v>514</v>
      </c>
      <c r="S235" s="46">
        <f>'Inputs (2)'!N38</f>
        <v>542</v>
      </c>
      <c r="T235" s="46">
        <f>'Inputs (2)'!O38</f>
        <v>558</v>
      </c>
      <c r="U235" s="46">
        <f>'Inputs (2)'!P38</f>
        <v>528</v>
      </c>
      <c r="V235" s="46">
        <f>'Inputs (2)'!Q38</f>
        <v>485</v>
      </c>
      <c r="W235" s="12">
        <f>'Inputs (2)'!R38</f>
        <v>485</v>
      </c>
      <c r="X235" s="46">
        <f>'Inputs (2)'!S38</f>
        <v>486</v>
      </c>
      <c r="Y235" s="46">
        <f>'Inputs (2)'!T38</f>
        <v>717</v>
      </c>
      <c r="Z235" s="46">
        <f>'Inputs (2)'!U38</f>
        <v>706</v>
      </c>
      <c r="AA235" s="46">
        <f>'Inputs (2)'!V38</f>
        <v>0</v>
      </c>
      <c r="AB235" s="12">
        <f>'Inputs (2)'!W38</f>
        <v>0</v>
      </c>
      <c r="AC235" s="46">
        <f>'Inputs (2)'!X38</f>
        <v>0</v>
      </c>
      <c r="AD235" s="46">
        <f>'Inputs (2)'!Y38</f>
        <v>0</v>
      </c>
      <c r="AE235" s="46">
        <f>'Inputs (2)'!Z38</f>
        <v>0</v>
      </c>
      <c r="AF235" s="46">
        <f>'Inputs (2)'!AA38</f>
        <v>0</v>
      </c>
      <c r="AG235" s="12">
        <f>'Inputs (2)'!AB38</f>
        <v>0</v>
      </c>
      <c r="AH235" s="12">
        <f>'Inputs (2)'!AC38</f>
        <v>0</v>
      </c>
      <c r="AI235" s="12">
        <f>'Inputs (2)'!AD38</f>
        <v>22819</v>
      </c>
      <c r="AJ235" s="12">
        <f>AI235</f>
        <v>22819</v>
      </c>
      <c r="AK235" s="12">
        <f>AJ235</f>
        <v>22819</v>
      </c>
      <c r="AL235" s="12">
        <f>AK235</f>
        <v>22819</v>
      </c>
      <c r="AM235" s="12">
        <f>AL235</f>
        <v>22819</v>
      </c>
      <c r="AN235" s="12">
        <f>AM235</f>
        <v>22819</v>
      </c>
      <c r="AO235" s="12">
        <f>AN235</f>
        <v>22819</v>
      </c>
      <c r="AP235" s="12">
        <f>AO235</f>
        <v>22819</v>
      </c>
      <c r="AQ235" s="12">
        <f>AP235</f>
        <v>22819</v>
      </c>
      <c r="AR235" s="12">
        <f>AQ235</f>
        <v>22819</v>
      </c>
      <c r="AS235" s="12">
        <f>AR235</f>
        <v>22819</v>
      </c>
      <c r="AT235" s="12">
        <f>AS235</f>
        <v>22819</v>
      </c>
      <c r="AU235" s="12">
        <f>AT235</f>
        <v>22819</v>
      </c>
      <c r="AV235" s="12">
        <f>AU235</f>
        <v>22819</v>
      </c>
      <c r="AW235" s="12">
        <f>AV235</f>
        <v>22819</v>
      </c>
      <c r="AX235" s="12">
        <f>AW235</f>
        <v>22819</v>
      </c>
      <c r="AY235" s="12">
        <f>AX235</f>
        <v>22819</v>
      </c>
      <c r="AZ235" s="12">
        <f>AY235</f>
        <v>22819</v>
      </c>
      <c r="BA235" s="12">
        <f>AZ235</f>
        <v>22819</v>
      </c>
      <c r="BB235" s="12">
        <f>BA235</f>
        <v>22819</v>
      </c>
      <c r="BC235" s="12">
        <f>BB235</f>
        <v>22819</v>
      </c>
      <c r="BD235" s="12">
        <f>BC235</f>
        <v>22819</v>
      </c>
      <c r="BE235" s="12">
        <f>BD235</f>
        <v>22819</v>
      </c>
      <c r="BF235" s="12">
        <f>BE235</f>
        <v>22819</v>
      </c>
      <c r="BG235" s="12" t="n"/>
      <c r="BH235" s="12" t="n"/>
      <c r="BI235" s="12" t="n"/>
      <c r="BJ235" s="12" t="n"/>
      <c r="BK235" s="12" t="n"/>
      <c r="BL235" s="12" t="n"/>
      <c r="BM235" s="12" t="n"/>
      <c r="BN235" s="12" t="n"/>
      <c r="BO235" s="12" t="n"/>
      <c r="BP235" s="12" t="n"/>
      <c r="BQ235" s="12" t="n"/>
      <c r="BR235" s="12" t="n"/>
      <c r="BS235" s="12" t="n"/>
      <c r="BT235" s="12" t="n"/>
      <c r="BU235" s="12" t="n"/>
      <c r="BV235" s="12" t="n"/>
      <c r="BW235" s="12" t="n"/>
      <c r="BX235" s="12" t="n"/>
      <c r="BY235" s="12" t="n"/>
      <c r="BZ235" s="12" t="n"/>
      <c r="CA235" s="12" t="n"/>
      <c r="CB235" s="12" t="n"/>
      <c r="CC235" s="12" t="n"/>
      <c r="CD235" s="12" t="n"/>
      <c r="CE235" s="12" t="n"/>
      <c r="CF235" s="12" t="n"/>
      <c r="CG235" s="12" t="n"/>
      <c r="CH235" s="12" t="n"/>
      <c r="CI235" s="12" t="n"/>
      <c r="CJ235" s="12" t="n"/>
      <c r="CK235" s="12" t="n"/>
      <c r="CL235" s="12" t="n"/>
      <c r="CM235" s="12" t="n"/>
      <c r="CN235" s="12" t="n"/>
      <c r="CO235" s="12" t="n"/>
      <c r="CP235" s="12" t="n"/>
      <c r="CQ235" s="12" t="n"/>
      <c r="CR235" s="12" t="n"/>
      <c r="CS235" s="12" t="n"/>
      <c r="CT235" s="12" t="n"/>
      <c r="CU235" s="12" t="n"/>
      <c r="CV235" s="12" t="n"/>
      <c r="CW235" s="12" t="n"/>
      <c r="CX235" s="12" t="n"/>
      <c r="CY235" s="12" t="n"/>
    </row>
    <row r="236">
      <c r="C236" s="14" t="inlineStr">
        <is>
          <t>Other non-current liabilities</t>
        </is>
      </c>
      <c r="D236" s="46" t="n"/>
      <c r="E236" s="46" t="n"/>
      <c r="F236" s="46" t="n"/>
      <c r="G236" s="46" t="n"/>
      <c r="H236" s="12" t="n"/>
      <c r="I236" s="46">
        <f>'Inputs (2)'!D39</f>
        <v>11954</v>
      </c>
      <c r="J236" s="46">
        <f>'Inputs (2)'!E39</f>
        <v>11431</v>
      </c>
      <c r="K236" s="46">
        <f>'Inputs (2)'!F39</f>
        <v>11744</v>
      </c>
      <c r="L236" s="46">
        <f>'Inputs (2)'!G39</f>
        <v>11916</v>
      </c>
      <c r="M236" s="12">
        <f>'Inputs (2)'!H39</f>
        <v>11916</v>
      </c>
      <c r="N236" s="46">
        <f>'Inputs (2)'!I39</f>
        <v>12147</v>
      </c>
      <c r="O236" s="46">
        <f>'Inputs (2)'!J39</f>
        <v>11057</v>
      </c>
      <c r="P236" s="46">
        <f>'Inputs (2)'!K39</f>
        <v>11537</v>
      </c>
      <c r="Q236" s="46">
        <f>'Inputs (2)'!L39</f>
        <v>12104</v>
      </c>
      <c r="R236" s="12">
        <f>'Inputs (2)'!M39</f>
        <v>12104</v>
      </c>
      <c r="S236" s="46">
        <f>'Inputs (2)'!N39</f>
        <v>12705</v>
      </c>
      <c r="T236" s="46">
        <f>'Inputs (2)'!O39</f>
        <v>11185</v>
      </c>
      <c r="U236" s="46">
        <f>'Inputs (2)'!P39</f>
        <v>10355</v>
      </c>
      <c r="V236" s="46">
        <f>'Inputs (2)'!Q39</f>
        <v>11001</v>
      </c>
      <c r="W236" s="12">
        <f>'Inputs (2)'!R39</f>
        <v>11001</v>
      </c>
      <c r="X236" s="46">
        <f>'Inputs (2)'!S39</f>
        <v>11838</v>
      </c>
      <c r="Y236" s="46">
        <f>'Inputs (2)'!T39</f>
        <v>10441</v>
      </c>
      <c r="Z236" s="46">
        <f>'Inputs (2)'!U39</f>
        <v>10687</v>
      </c>
      <c r="AA236" s="46">
        <f>'Inputs (2)'!V39</f>
        <v>13476</v>
      </c>
      <c r="AB236" s="12">
        <f>'Inputs (2)'!W39</f>
        <v>13476</v>
      </c>
      <c r="AC236" s="46">
        <f>'Inputs (2)'!X39</f>
        <v>15889</v>
      </c>
      <c r="AD236" s="46">
        <f>'Inputs (2)'!Y39</f>
        <v>16268</v>
      </c>
      <c r="AE236" s="46">
        <f>'Inputs (2)'!Z39</f>
        <v>16339</v>
      </c>
      <c r="AF236" s="46">
        <f>'Inputs (2)'!AA39</f>
        <v>17980</v>
      </c>
      <c r="AG236" s="12">
        <f>'Inputs (2)'!AB39</f>
        <v>17980</v>
      </c>
      <c r="AH236" s="12">
        <f>'Inputs (2)'!AC39</f>
        <v>23501</v>
      </c>
      <c r="AI236" s="12">
        <f>'Inputs (2)'!AD39</f>
        <v>19817</v>
      </c>
      <c r="AJ236" s="12">
        <f>AI236</f>
        <v>19817</v>
      </c>
      <c r="AK236" s="12">
        <f>AJ236</f>
        <v>19817</v>
      </c>
      <c r="AL236" s="12">
        <f>AK236</f>
        <v>19817</v>
      </c>
      <c r="AM236" s="12">
        <f>AL236</f>
        <v>19817</v>
      </c>
      <c r="AN236" s="12">
        <f>AM236</f>
        <v>19817</v>
      </c>
      <c r="AO236" s="12">
        <f>AN236</f>
        <v>19817</v>
      </c>
      <c r="AP236" s="12">
        <f>AO236</f>
        <v>19817</v>
      </c>
      <c r="AQ236" s="12">
        <f>AP236</f>
        <v>19817</v>
      </c>
      <c r="AR236" s="12">
        <f>AQ236</f>
        <v>19817</v>
      </c>
      <c r="AS236" s="12">
        <f>AR236</f>
        <v>19817</v>
      </c>
      <c r="AT236" s="12">
        <f>AS236</f>
        <v>19817</v>
      </c>
      <c r="AU236" s="12">
        <f>AT236</f>
        <v>19817</v>
      </c>
      <c r="AV236" s="12">
        <f>AU236</f>
        <v>19817</v>
      </c>
      <c r="AW236" s="12">
        <f>AV236</f>
        <v>19817</v>
      </c>
      <c r="AX236" s="12">
        <f>AW236</f>
        <v>19817</v>
      </c>
      <c r="AY236" s="12">
        <f>AX236</f>
        <v>19817</v>
      </c>
      <c r="AZ236" s="12">
        <f>AY236</f>
        <v>19817</v>
      </c>
      <c r="BA236" s="12">
        <f>AZ236</f>
        <v>19817</v>
      </c>
      <c r="BB236" s="12">
        <f>BA236</f>
        <v>19817</v>
      </c>
      <c r="BC236" s="12">
        <f>BB236</f>
        <v>19817</v>
      </c>
      <c r="BD236" s="12">
        <f>BC236</f>
        <v>19817</v>
      </c>
      <c r="BE236" s="12">
        <f>BD236</f>
        <v>19817</v>
      </c>
      <c r="BF236" s="12">
        <f>BE236</f>
        <v>19817</v>
      </c>
      <c r="BG236" s="12" t="n"/>
      <c r="BH236" s="12" t="n"/>
      <c r="BI236" s="12" t="n"/>
      <c r="BJ236" s="12" t="n"/>
      <c r="BK236" s="12" t="n"/>
      <c r="BL236" s="12" t="n"/>
      <c r="BM236" s="12" t="n"/>
      <c r="BN236" s="12" t="n"/>
      <c r="BO236" s="12" t="n"/>
      <c r="BP236" s="12" t="n"/>
      <c r="BQ236" s="12" t="n"/>
      <c r="BR236" s="12" t="n"/>
      <c r="BS236" s="12" t="n"/>
      <c r="BT236" s="12" t="n"/>
      <c r="BU236" s="12" t="n"/>
      <c r="BV236" s="12" t="n"/>
      <c r="BW236" s="12" t="n"/>
      <c r="BX236" s="12" t="n"/>
      <c r="BY236" s="12" t="n"/>
      <c r="BZ236" s="12" t="n"/>
      <c r="CA236" s="12" t="n"/>
      <c r="CB236" s="12" t="n"/>
      <c r="CC236" s="12" t="n"/>
      <c r="CD236" s="12" t="n"/>
      <c r="CE236" s="12" t="n"/>
      <c r="CF236" s="12" t="n"/>
      <c r="CG236" s="12" t="n"/>
      <c r="CH236" s="12" t="n"/>
      <c r="CI236" s="12" t="n"/>
      <c r="CJ236" s="12" t="n"/>
      <c r="CK236" s="12" t="n"/>
      <c r="CL236" s="12" t="n"/>
      <c r="CM236" s="12" t="n"/>
      <c r="CN236" s="12" t="n"/>
      <c r="CO236" s="12" t="n"/>
      <c r="CP236" s="12" t="n"/>
      <c r="CQ236" s="12" t="n"/>
      <c r="CR236" s="12" t="n"/>
      <c r="CS236" s="12" t="n"/>
      <c r="CT236" s="12" t="n"/>
      <c r="CU236" s="12" t="n"/>
      <c r="CV236" s="12" t="n"/>
      <c r="CW236" s="12" t="n"/>
      <c r="CX236" s="12" t="n"/>
      <c r="CY236" s="12" t="n"/>
    </row>
    <row r="237" hidden="1" outlineLevel="1" ht="12" customHeight="1">
      <c r="C237" s="59" t="inlineStr">
        <is>
          <t>%(Var.)</t>
        </is>
      </c>
      <c r="D237" s="12" t="n"/>
      <c r="E237" s="40" t="n"/>
      <c r="F237" s="40" t="n"/>
      <c r="G237" s="40" t="n"/>
      <c r="H237" s="12" t="n"/>
      <c r="I237" s="40" t="str">
        <f>""</f>
        <v/>
      </c>
      <c r="J237" s="40">
        <f>IF(I236=0,"",J236/I236-1)</f>
        <v>-0.0437510456750878</v>
      </c>
      <c r="K237" s="40">
        <f>IF(J236=0,"",K236/J236-1)</f>
        <v>0.0273816813927041</v>
      </c>
      <c r="L237" s="40">
        <f>IF(K236=0,"",L236/K236-1)</f>
        <v>0.0146457765667576</v>
      </c>
      <c r="M237" s="12">
        <f>IF(L236=0,"",M236/L236-1)</f>
        <v>0</v>
      </c>
      <c r="N237" s="40">
        <f>IF(M236=0,"",N236/M236-1)</f>
        <v>0.0193856998992952</v>
      </c>
      <c r="O237" s="40">
        <f>IF(N236=0,"",O236/N236-1)</f>
        <v>-0.089734090721989</v>
      </c>
      <c r="P237" s="40">
        <f>IF(O236=0,"",P236/O236-1)</f>
        <v>0.0434114135841548</v>
      </c>
      <c r="Q237" s="40">
        <f>IF(P236=0,"",Q236/P236-1)</f>
        <v>0.049146225188524</v>
      </c>
      <c r="R237" s="12">
        <f>IF(Q236=0,"",R236/Q236-1)</f>
        <v>0</v>
      </c>
      <c r="S237" s="40">
        <f>IF(R236=0,"",S236/R236-1)</f>
        <v>0.0496530072703238</v>
      </c>
      <c r="T237" s="40">
        <f>IF(S236=0,"",T236/S236-1)</f>
        <v>-0.119637937819756</v>
      </c>
      <c r="U237" s="40">
        <f>IF(T236=0,"",U236/T236-1)</f>
        <v>-0.0742065265981224</v>
      </c>
      <c r="V237" s="40">
        <f>IF(U236=0,"",V236/U236-1)</f>
        <v>0.0623853211009173</v>
      </c>
      <c r="W237" s="12">
        <f>IF(V236=0,"",W236/V236-1)</f>
        <v>0</v>
      </c>
      <c r="X237" s="40">
        <f>IF(W236=0,"",X236/W236-1)</f>
        <v>0.0760839923643306</v>
      </c>
      <c r="Y237" s="40">
        <f>IF(X236=0,"",Y236/X236-1)</f>
        <v>-0.118009798952526</v>
      </c>
      <c r="Z237" s="40">
        <f>IF(Y236=0,"",Z236/Y236-1)</f>
        <v>0.0235609615937171</v>
      </c>
      <c r="AA237" s="40">
        <f>IF(Z236=0,"",AA236/Z236-1)</f>
        <v>0.260971273509872</v>
      </c>
      <c r="AB237" s="12">
        <f>IF(AA236=0,"",AB236/AA236-1)</f>
        <v>0</v>
      </c>
      <c r="AC237" s="40">
        <f>IF(AB236=0,"",AC236/AB236-1)</f>
        <v>0.179059067972692</v>
      </c>
      <c r="AD237" s="40">
        <f>IF(AC236=0,"",AD236/AC236-1)</f>
        <v>0.0238529800490905</v>
      </c>
      <c r="AE237" s="40">
        <f>IF(AD236=0,"",AE236/AD236-1)</f>
        <v>0.00436439636095409</v>
      </c>
      <c r="AF237" s="41">
        <f>IF(AE236=0,"",AF236/AE236-1)</f>
        <v>0.100434543117694</v>
      </c>
      <c r="AG237" s="12">
        <f>IF(AF236=0,"",AG236/AF236-1)</f>
        <v>0</v>
      </c>
      <c r="AH237" s="41">
        <f>IF(AG236=0,"",AH236/AG236-1)</f>
        <v>0.30706340378198</v>
      </c>
      <c r="AI237" s="41">
        <f>IF(AH236=0,"",AI236/AH236-1)</f>
        <v>-0.156759286838858</v>
      </c>
      <c r="AJ237" s="41">
        <f>IF(AI236=0,"",AJ236/AI236-1)</f>
        <v>0</v>
      </c>
      <c r="AK237" s="41">
        <f>IF(AJ236=0,"",AK236/AJ236-1)</f>
        <v>0</v>
      </c>
      <c r="AL237" s="12">
        <f>IF(AK236=0,"",AL236/AK236-1)</f>
        <v>0</v>
      </c>
      <c r="AM237" s="41">
        <f>IF(AL236=0,"",AM236/AL236-1)</f>
        <v>0</v>
      </c>
      <c r="AN237" s="41">
        <f>IF(AM236=0,"",AN236/AM236-1)</f>
        <v>0</v>
      </c>
      <c r="AO237" s="41">
        <f>IF(AN236=0,"",AO236/AN236-1)</f>
        <v>0</v>
      </c>
      <c r="AP237" s="41">
        <f>IF(AO236=0,"",AP236/AO236-1)</f>
        <v>0</v>
      </c>
      <c r="AQ237" s="12">
        <f>IF(AP236=0,"",AQ236/AP236-1)</f>
        <v>0</v>
      </c>
      <c r="AR237" s="41">
        <f>IF(AQ236=0,"",AR236/AQ236-1)</f>
        <v>0</v>
      </c>
      <c r="AS237" s="41">
        <f>IF(AR236=0,"",AS236/AR236-1)</f>
        <v>0</v>
      </c>
      <c r="AT237" s="41">
        <f>IF(AS236=0,"",AT236/AS236-1)</f>
        <v>0</v>
      </c>
      <c r="AU237" s="41">
        <f>IF(AT236=0,"",AU236/AT236-1)</f>
        <v>0</v>
      </c>
      <c r="AV237" s="12">
        <f>IF(AU236=0,"",AV236/AU236-1)</f>
        <v>0</v>
      </c>
      <c r="AW237" s="41">
        <f>IF(AV236=0,"",AW236/AV236-1)</f>
        <v>0</v>
      </c>
      <c r="AX237" s="41">
        <f>IF(AW236=0,"",AX236/AW236-1)</f>
        <v>0</v>
      </c>
      <c r="AY237" s="41">
        <f>IF(AX236=0,"",AY236/AX236-1)</f>
        <v>0</v>
      </c>
      <c r="AZ237" s="41">
        <f>IF(AY236=0,"",AZ236/AY236-1)</f>
        <v>0</v>
      </c>
      <c r="BA237" s="12">
        <f>IF(AZ236=0,"",BA236/AZ236-1)</f>
        <v>0</v>
      </c>
      <c r="BB237" s="41">
        <f>IF(BA236=0,"",BB236/BA236-1)</f>
        <v>0</v>
      </c>
      <c r="BC237" s="41">
        <f>IF(BB236=0,"",BC236/BB236-1)</f>
        <v>0</v>
      </c>
      <c r="BD237" s="41">
        <f>IF(BC236=0,"",BD236/BC236-1)</f>
        <v>0</v>
      </c>
      <c r="BE237" s="41">
        <f>IF(BD236=0,"",BE236/BD236-1)</f>
        <v>0</v>
      </c>
      <c r="BF237" s="12">
        <f>IF(BE236=0,"",BF236/BE236-1)</f>
        <v>0</v>
      </c>
      <c r="BG237" s="41" t="n"/>
      <c r="BH237" s="41" t="n"/>
      <c r="BI237" s="41" t="n"/>
      <c r="BJ237" s="41" t="n"/>
      <c r="BK237" s="12" t="n"/>
      <c r="BL237" s="41" t="n"/>
      <c r="BM237" s="41" t="n"/>
      <c r="BN237" s="41" t="n"/>
      <c r="BO237" s="41" t="n"/>
      <c r="BP237" s="12" t="n"/>
      <c r="BQ237" s="41" t="n"/>
      <c r="BR237" s="41" t="n"/>
      <c r="BS237" s="41" t="n"/>
      <c r="BT237" s="41" t="n"/>
      <c r="BU237" s="12" t="n"/>
      <c r="BV237" s="41" t="n"/>
      <c r="BW237" s="41" t="n"/>
      <c r="BX237" s="41" t="n"/>
      <c r="BY237" s="41" t="n"/>
      <c r="BZ237" s="12" t="n"/>
      <c r="CA237" s="41" t="n"/>
      <c r="CB237" s="41" t="n"/>
      <c r="CC237" s="41" t="n"/>
      <c r="CD237" s="41" t="n"/>
      <c r="CE237" s="12" t="n"/>
      <c r="CF237" s="41" t="n"/>
      <c r="CG237" s="41" t="n"/>
      <c r="CH237" s="41" t="n"/>
      <c r="CI237" s="41" t="n"/>
      <c r="CJ237" s="12" t="n"/>
      <c r="CK237" s="41" t="n"/>
      <c r="CL237" s="41" t="n"/>
      <c r="CM237" s="41" t="n"/>
      <c r="CN237" s="41" t="n"/>
      <c r="CO237" s="12" t="n"/>
      <c r="CP237" s="41" t="n"/>
      <c r="CQ237" s="41" t="n"/>
      <c r="CR237" s="41" t="n"/>
      <c r="CS237" s="41" t="n"/>
      <c r="CT237" s="12" t="n"/>
      <c r="CU237" s="41" t="n"/>
      <c r="CV237" s="41" t="n"/>
      <c r="CW237" s="41" t="n"/>
      <c r="CX237" s="41" t="n"/>
      <c r="CY237" s="12" t="n"/>
    </row>
    <row r="238" hidden="1" outlineLevel="1" ht="12" customHeight="1">
      <c r="C238" s="59" t="n"/>
      <c r="D238" s="12" t="n"/>
      <c r="E238" s="12" t="n"/>
      <c r="F238" s="12" t="n"/>
      <c r="G238" s="12" t="n"/>
      <c r="H238" s="12" t="n"/>
      <c r="I238" s="12" t="n"/>
      <c r="J238" s="12" t="n"/>
      <c r="K238" s="12" t="n"/>
      <c r="L238" s="12" t="n"/>
      <c r="M238" s="12" t="n"/>
      <c r="N238" s="12" t="n"/>
      <c r="O238" s="12" t="n"/>
      <c r="P238" s="12" t="n"/>
      <c r="Q238" s="12" t="n"/>
      <c r="R238" s="12" t="n"/>
      <c r="S238" s="12" t="n"/>
      <c r="T238" s="12" t="n"/>
      <c r="U238" s="12" t="n"/>
      <c r="V238" s="12" t="n"/>
      <c r="W238" s="12" t="n"/>
      <c r="X238" s="12" t="n"/>
      <c r="Y238" s="12" t="n"/>
      <c r="Z238" s="12" t="n"/>
      <c r="AA238" s="12" t="n"/>
      <c r="AB238" s="12" t="n"/>
      <c r="AC238" s="12" t="n"/>
      <c r="AD238" s="12" t="n"/>
      <c r="AE238" s="12" t="n"/>
      <c r="AF238" s="12" t="n"/>
      <c r="AG238" s="12" t="n"/>
      <c r="AH238" s="12" t="n"/>
      <c r="AI238" s="12" t="n"/>
      <c r="AJ238" s="12" t="n"/>
      <c r="AK238" s="12" t="n"/>
      <c r="AL238" s="12" t="n"/>
      <c r="AM238" s="12" t="n"/>
      <c r="AN238" s="12" t="n"/>
      <c r="AO238" s="12" t="n"/>
      <c r="AP238" s="12" t="n"/>
      <c r="AQ238" s="12" t="n"/>
      <c r="AR238" s="12" t="n"/>
      <c r="AS238" s="12" t="n"/>
      <c r="AT238" s="12" t="n"/>
      <c r="AU238" s="12" t="n"/>
      <c r="AV238" s="12" t="n"/>
      <c r="AW238" s="12" t="n"/>
      <c r="AX238" s="12" t="n"/>
      <c r="AY238" s="12" t="n"/>
      <c r="AZ238" s="12" t="n"/>
      <c r="BA238" s="12" t="n"/>
      <c r="BB238" s="12" t="n"/>
      <c r="BC238" s="12" t="n"/>
      <c r="BD238" s="12" t="n"/>
      <c r="BE238" s="12" t="n"/>
      <c r="BF238" s="12" t="n"/>
      <c r="BG238" s="12" t="n"/>
      <c r="BH238" s="12" t="n"/>
      <c r="BI238" s="12" t="n"/>
      <c r="BJ238" s="12" t="n"/>
      <c r="BK238" s="12" t="n"/>
      <c r="BL238" s="12" t="n"/>
      <c r="BM238" s="12" t="n"/>
      <c r="BN238" s="12" t="n"/>
      <c r="BO238" s="12" t="n"/>
      <c r="BP238" s="12" t="n"/>
      <c r="BQ238" s="12" t="n"/>
      <c r="BR238" s="12" t="n"/>
      <c r="BS238" s="12" t="n"/>
      <c r="BT238" s="12" t="n"/>
      <c r="BU238" s="12" t="n"/>
      <c r="BV238" s="12" t="n"/>
      <c r="BW238" s="12" t="n"/>
      <c r="BX238" s="12" t="n"/>
      <c r="BY238" s="12" t="n"/>
      <c r="BZ238" s="12" t="n"/>
      <c r="CA238" s="12" t="n"/>
      <c r="CB238" s="12" t="n"/>
      <c r="CC238" s="12" t="n"/>
      <c r="CD238" s="12" t="n"/>
      <c r="CE238" s="12" t="n"/>
      <c r="CF238" s="12" t="n"/>
      <c r="CG238" s="12" t="n"/>
      <c r="CH238" s="12" t="n"/>
      <c r="CI238" s="12" t="n"/>
      <c r="CJ238" s="12" t="n"/>
      <c r="CK238" s="12" t="n"/>
      <c r="CL238" s="12" t="n"/>
      <c r="CM238" s="12" t="n"/>
      <c r="CN238" s="12" t="n"/>
      <c r="CO238" s="12" t="n"/>
      <c r="CP238" s="12" t="n"/>
      <c r="CQ238" s="12" t="n"/>
      <c r="CR238" s="12" t="n"/>
      <c r="CS238" s="12" t="n"/>
      <c r="CT238" s="12" t="n"/>
      <c r="CU238" s="12" t="n"/>
      <c r="CV238" s="12" t="n"/>
      <c r="CW238" s="12" t="n"/>
      <c r="CX238" s="12" t="n"/>
      <c r="CY238" s="12" t="n"/>
    </row>
    <row r="239" hidden="1" outlineLevel="1">
      <c r="C239" s="57" t="inlineStr">
        <is>
          <t>Contas a pagar pela aquisição de controladas</t>
        </is>
      </c>
      <c r="D239" s="11" t="n"/>
      <c r="E239" s="11" t="n"/>
      <c r="F239" s="11" t="n"/>
      <c r="G239" s="11" t="n"/>
      <c r="H239" s="12" t="n"/>
      <c r="I239" s="11" t="n"/>
      <c r="J239" s="11" t="n"/>
      <c r="K239" s="11" t="n"/>
      <c r="L239" s="11" t="n"/>
      <c r="M239" s="12" t="n"/>
      <c r="N239" s="11" t="n"/>
      <c r="O239" s="11" t="n"/>
      <c r="P239" s="11" t="n"/>
      <c r="Q239" s="11" t="n"/>
      <c r="R239" s="12" t="n"/>
      <c r="S239" s="11" t="n"/>
      <c r="T239" s="11" t="n"/>
      <c r="U239" s="11" t="n"/>
      <c r="V239" s="11" t="n"/>
      <c r="W239" s="12" t="n"/>
      <c r="X239" s="11" t="n"/>
      <c r="Y239" s="11" t="n"/>
      <c r="Z239" s="11" t="n"/>
      <c r="AA239" s="11" t="n"/>
      <c r="AB239" s="12" t="n"/>
      <c r="AC239" s="11" t="n"/>
      <c r="AD239" s="11" t="n"/>
      <c r="AE239" s="11" t="n"/>
      <c r="AF239" s="11" t="n"/>
      <c r="AG239" s="12" t="n"/>
      <c r="AH239" s="12" t="n"/>
      <c r="AI239" s="12" t="n"/>
      <c r="AJ239" s="12" t="n"/>
      <c r="AK239" s="12" t="n"/>
      <c r="AL239" s="12" t="n"/>
      <c r="AM239" s="12" t="n"/>
      <c r="AN239" s="12" t="n"/>
      <c r="AO239" s="12" t="n"/>
      <c r="AP239" s="12" t="n"/>
      <c r="AQ239" s="12" t="n"/>
      <c r="AR239" s="12" t="n"/>
      <c r="AS239" s="12" t="n"/>
      <c r="AT239" s="12" t="n"/>
      <c r="AU239" s="12" t="n"/>
      <c r="AV239" s="12" t="n"/>
      <c r="AW239" s="12" t="n"/>
      <c r="AX239" s="12" t="n"/>
      <c r="AY239" s="12" t="n"/>
      <c r="AZ239" s="12" t="n"/>
      <c r="BA239" s="12" t="n"/>
      <c r="BB239" s="12" t="n"/>
      <c r="BC239" s="12" t="n"/>
      <c r="BD239" s="12" t="n"/>
      <c r="BE239" s="12" t="n"/>
      <c r="BF239" s="12" t="n"/>
      <c r="BG239" s="12" t="n"/>
      <c r="BH239" s="12" t="n"/>
      <c r="BI239" s="12" t="n"/>
      <c r="BJ239" s="12" t="n"/>
      <c r="BK239" s="12" t="n"/>
      <c r="BL239" s="12" t="n"/>
      <c r="BM239" s="12" t="n"/>
      <c r="BN239" s="12" t="n"/>
      <c r="BO239" s="12" t="n"/>
      <c r="BP239" s="12" t="n"/>
      <c r="BQ239" s="12" t="n"/>
      <c r="BR239" s="12" t="n"/>
      <c r="BS239" s="12" t="n"/>
      <c r="BT239" s="12" t="n"/>
      <c r="BU239" s="12" t="n"/>
      <c r="BV239" s="12" t="n"/>
      <c r="BW239" s="12" t="n"/>
      <c r="BX239" s="12" t="n"/>
      <c r="BY239" s="12" t="n"/>
      <c r="BZ239" s="12" t="n"/>
      <c r="CA239" s="12" t="n"/>
      <c r="CB239" s="12" t="n"/>
      <c r="CC239" s="12" t="n"/>
      <c r="CD239" s="12" t="n"/>
      <c r="CE239" s="12" t="n"/>
      <c r="CF239" s="12" t="n"/>
      <c r="CG239" s="12" t="n"/>
      <c r="CH239" s="12" t="n"/>
      <c r="CI239" s="12" t="n"/>
      <c r="CJ239" s="12" t="n"/>
      <c r="CK239" s="12" t="n"/>
      <c r="CL239" s="12" t="n"/>
      <c r="CM239" s="12" t="n"/>
      <c r="CN239" s="12" t="n"/>
      <c r="CO239" s="12" t="n"/>
      <c r="CP239" s="12" t="n"/>
      <c r="CQ239" s="12" t="n"/>
      <c r="CR239" s="12" t="n"/>
      <c r="CS239" s="12" t="n"/>
      <c r="CT239" s="12" t="n"/>
      <c r="CU239" s="12" t="n"/>
      <c r="CV239" s="12" t="n"/>
      <c r="CW239" s="12" t="n"/>
      <c r="CX239" s="12" t="n"/>
      <c r="CY239" s="12" t="n"/>
    </row>
    <row r="240" hidden="1" outlineLevel="1">
      <c r="C240" s="57" t="inlineStr">
        <is>
          <t xml:space="preserve">Outras Obrigações </t>
        </is>
      </c>
      <c r="D240" s="11" t="n"/>
      <c r="E240" s="11" t="n"/>
      <c r="F240" s="11" t="n"/>
      <c r="G240" s="11" t="n"/>
      <c r="H240" s="12" t="n"/>
      <c r="I240" s="11" t="n"/>
      <c r="J240" s="11" t="n"/>
      <c r="K240" s="11" t="n"/>
      <c r="L240" s="11" t="n"/>
      <c r="M240" s="12" t="n"/>
      <c r="N240" s="11" t="n"/>
      <c r="O240" s="11" t="n"/>
      <c r="P240" s="11" t="n"/>
      <c r="Q240" s="11" t="n"/>
      <c r="R240" s="12" t="n"/>
      <c r="S240" s="11" t="n"/>
      <c r="T240" s="11" t="n"/>
      <c r="U240" s="11" t="n"/>
      <c r="V240" s="11" t="n"/>
      <c r="W240" s="12" t="n"/>
      <c r="X240" s="11" t="n"/>
      <c r="Y240" s="11" t="n"/>
      <c r="Z240" s="11" t="n"/>
      <c r="AA240" s="11" t="n"/>
      <c r="AB240" s="12" t="n"/>
      <c r="AC240" s="11" t="n"/>
      <c r="AD240" s="11" t="n"/>
      <c r="AE240" s="11" t="n"/>
      <c r="AF240" s="11" t="n"/>
      <c r="AG240" s="12" t="n"/>
      <c r="AH240" s="12" t="n"/>
      <c r="AI240" s="12" t="n"/>
      <c r="AJ240" s="12" t="n"/>
      <c r="AK240" s="12" t="n"/>
      <c r="AL240" s="12" t="n"/>
      <c r="AM240" s="12" t="n"/>
      <c r="AN240" s="12" t="n"/>
      <c r="AO240" s="12" t="n"/>
      <c r="AP240" s="12" t="n"/>
      <c r="AQ240" s="12" t="n"/>
      <c r="AR240" s="12" t="n"/>
      <c r="AS240" s="12" t="n"/>
      <c r="AT240" s="12" t="n"/>
      <c r="AU240" s="12" t="n"/>
      <c r="AV240" s="12" t="n"/>
      <c r="AW240" s="12" t="n"/>
      <c r="AX240" s="12" t="n"/>
      <c r="AY240" s="12" t="n"/>
      <c r="AZ240" s="12" t="n"/>
      <c r="BA240" s="12" t="n"/>
      <c r="BB240" s="12" t="n"/>
      <c r="BC240" s="12" t="n"/>
      <c r="BD240" s="12" t="n"/>
      <c r="BE240" s="12" t="n"/>
      <c r="BF240" s="12" t="n"/>
      <c r="BG240" s="12" t="n"/>
      <c r="BH240" s="12" t="n"/>
      <c r="BI240" s="12" t="n"/>
      <c r="BJ240" s="12" t="n"/>
      <c r="BK240" s="12" t="n"/>
      <c r="BL240" s="12" t="n"/>
      <c r="BM240" s="12" t="n"/>
      <c r="BN240" s="12" t="n"/>
      <c r="BO240" s="12" t="n"/>
      <c r="BP240" s="12" t="n"/>
      <c r="BQ240" s="12" t="n"/>
      <c r="BR240" s="12" t="n"/>
      <c r="BS240" s="12" t="n"/>
      <c r="BT240" s="12" t="n"/>
      <c r="BU240" s="12" t="n"/>
      <c r="BV240" s="12" t="n"/>
      <c r="BW240" s="12" t="n"/>
      <c r="BX240" s="12" t="n"/>
      <c r="BY240" s="12" t="n"/>
      <c r="BZ240" s="12" t="n"/>
      <c r="CA240" s="12" t="n"/>
      <c r="CB240" s="12" t="n"/>
      <c r="CC240" s="12" t="n"/>
      <c r="CD240" s="12" t="n"/>
      <c r="CE240" s="12" t="n"/>
      <c r="CF240" s="12" t="n"/>
      <c r="CG240" s="12" t="n"/>
      <c r="CH240" s="12" t="n"/>
      <c r="CI240" s="12" t="n"/>
      <c r="CJ240" s="12" t="n"/>
      <c r="CK240" s="12" t="n"/>
      <c r="CL240" s="12" t="n"/>
      <c r="CM240" s="12" t="n"/>
      <c r="CN240" s="12" t="n"/>
      <c r="CO240" s="12" t="n"/>
      <c r="CP240" s="12" t="n"/>
      <c r="CQ240" s="12" t="n"/>
      <c r="CR240" s="12" t="n"/>
      <c r="CS240" s="12" t="n"/>
      <c r="CT240" s="12" t="n"/>
      <c r="CU240" s="12" t="n"/>
      <c r="CV240" s="12" t="n"/>
      <c r="CW240" s="12" t="n"/>
      <c r="CX240" s="12" t="n"/>
      <c r="CY240" s="12" t="n"/>
    </row>
    <row r="241" hidden="1" outlineLevel="1">
      <c r="C241" s="57" t="inlineStr">
        <is>
          <t xml:space="preserve">Provisão de Risco Cíveis, Trabalhistas e Tributários </t>
        </is>
      </c>
      <c r="D241" s="11" t="n"/>
      <c r="E241" s="11" t="n"/>
      <c r="F241" s="11" t="n"/>
      <c r="G241" s="11" t="n"/>
      <c r="H241" s="12" t="n"/>
      <c r="I241" s="11" t="n"/>
      <c r="J241" s="11" t="n"/>
      <c r="K241" s="11" t="n"/>
      <c r="L241" s="11" t="n"/>
      <c r="M241" s="12" t="n"/>
      <c r="N241" s="11" t="n"/>
      <c r="O241" s="11" t="n"/>
      <c r="P241" s="11" t="n"/>
      <c r="Q241" s="11" t="n"/>
      <c r="R241" s="12" t="n"/>
      <c r="S241" s="11" t="n"/>
      <c r="T241" s="11" t="n"/>
      <c r="U241" s="11" t="n"/>
      <c r="V241" s="11" t="n"/>
      <c r="W241" s="12" t="n"/>
      <c r="X241" s="11" t="n"/>
      <c r="Y241" s="11" t="n"/>
      <c r="Z241" s="11" t="n"/>
      <c r="AA241" s="11" t="n"/>
      <c r="AB241" s="12" t="n"/>
      <c r="AC241" s="11" t="n"/>
      <c r="AD241" s="11" t="n"/>
      <c r="AE241" s="11" t="n"/>
      <c r="AF241" s="11" t="n"/>
      <c r="AG241" s="12" t="n"/>
      <c r="AH241" s="12" t="n"/>
      <c r="AI241" s="12" t="n"/>
      <c r="AJ241" s="12" t="n"/>
      <c r="AK241" s="12" t="n"/>
      <c r="AL241" s="12" t="n"/>
      <c r="AM241" s="12" t="n"/>
      <c r="AN241" s="12" t="n"/>
      <c r="AO241" s="12" t="n"/>
      <c r="AP241" s="12" t="n"/>
      <c r="AQ241" s="12" t="n"/>
      <c r="AR241" s="12" t="n"/>
      <c r="AS241" s="12" t="n"/>
      <c r="AT241" s="12" t="n"/>
      <c r="AU241" s="12" t="n"/>
      <c r="AV241" s="12" t="n"/>
      <c r="AW241" s="12" t="n"/>
      <c r="AX241" s="12" t="n"/>
      <c r="AY241" s="12" t="n"/>
      <c r="AZ241" s="12" t="n"/>
      <c r="BA241" s="12" t="n"/>
      <c r="BB241" s="12" t="n"/>
      <c r="BC241" s="12" t="n"/>
      <c r="BD241" s="12" t="n"/>
      <c r="BE241" s="12" t="n"/>
      <c r="BF241" s="12" t="n"/>
      <c r="BG241" s="12" t="n"/>
      <c r="BH241" s="12" t="n"/>
      <c r="BI241" s="12" t="n"/>
      <c r="BJ241" s="12" t="n"/>
      <c r="BK241" s="12" t="n"/>
      <c r="BL241" s="12" t="n"/>
      <c r="BM241" s="12" t="n"/>
      <c r="BN241" s="12" t="n"/>
      <c r="BO241" s="12" t="n"/>
      <c r="BP241" s="12" t="n"/>
      <c r="BQ241" s="12" t="n"/>
      <c r="BR241" s="12" t="n"/>
      <c r="BS241" s="12" t="n"/>
      <c r="BT241" s="12" t="n"/>
      <c r="BU241" s="12" t="n"/>
      <c r="BV241" s="12" t="n"/>
      <c r="BW241" s="12" t="n"/>
      <c r="BX241" s="12" t="n"/>
      <c r="BY241" s="12" t="n"/>
      <c r="BZ241" s="12" t="n"/>
      <c r="CA241" s="12" t="n"/>
      <c r="CB241" s="12" t="n"/>
      <c r="CC241" s="12" t="n"/>
      <c r="CD241" s="12" t="n"/>
      <c r="CE241" s="12" t="n"/>
      <c r="CF241" s="12" t="n"/>
      <c r="CG241" s="12" t="n"/>
      <c r="CH241" s="12" t="n"/>
      <c r="CI241" s="12" t="n"/>
      <c r="CJ241" s="12" t="n"/>
      <c r="CK241" s="12" t="n"/>
      <c r="CL241" s="12" t="n"/>
      <c r="CM241" s="12" t="n"/>
      <c r="CN241" s="12" t="n"/>
      <c r="CO241" s="12" t="n"/>
      <c r="CP241" s="12" t="n"/>
      <c r="CQ241" s="12" t="n"/>
      <c r="CR241" s="12" t="n"/>
      <c r="CS241" s="12" t="n"/>
      <c r="CT241" s="12" t="n"/>
      <c r="CU241" s="12" t="n"/>
      <c r="CV241" s="12" t="n"/>
      <c r="CW241" s="12" t="n"/>
      <c r="CX241" s="12" t="n"/>
      <c r="CY241" s="12" t="n"/>
    </row>
    <row r="242" hidden="1" outlineLevel="1">
      <c r="C242" s="57" t="n"/>
      <c r="D242" s="12" t="n"/>
      <c r="E242" s="12" t="n"/>
      <c r="F242" s="12" t="n"/>
      <c r="G242" s="12" t="n"/>
      <c r="H242" s="12" t="n"/>
      <c r="I242" s="12" t="n"/>
      <c r="J242" s="12" t="n"/>
      <c r="K242" s="12" t="n"/>
      <c r="L242" s="12" t="n"/>
      <c r="M242" s="12" t="n"/>
      <c r="N242" s="12" t="n"/>
      <c r="O242" s="12" t="n"/>
      <c r="P242" s="12" t="n"/>
      <c r="Q242" s="12" t="n"/>
      <c r="R242" s="12" t="n"/>
      <c r="S242" s="12" t="n"/>
      <c r="T242" s="12" t="n"/>
      <c r="U242" s="12" t="n"/>
      <c r="V242" s="12" t="n"/>
      <c r="W242" s="12" t="n"/>
      <c r="X242" s="12" t="n"/>
      <c r="Y242" s="12" t="n"/>
      <c r="Z242" s="12" t="n"/>
      <c r="AA242" s="12" t="n"/>
      <c r="AB242" s="12" t="n"/>
      <c r="AC242" s="12" t="n"/>
      <c r="AD242" s="12" t="n"/>
      <c r="AE242" s="12" t="n"/>
      <c r="AF242" s="12" t="n"/>
      <c r="AG242" s="12" t="n"/>
      <c r="AH242" s="12" t="n"/>
      <c r="AI242" s="12" t="n"/>
      <c r="AJ242" s="12" t="n"/>
      <c r="AK242" s="12" t="n"/>
      <c r="AL242" s="12" t="n"/>
      <c r="AM242" s="12" t="n"/>
      <c r="AN242" s="12" t="n"/>
      <c r="AO242" s="12" t="n"/>
      <c r="AP242" s="12" t="n"/>
      <c r="AQ242" s="12" t="n"/>
      <c r="AR242" s="12" t="n"/>
      <c r="AS242" s="12" t="n"/>
      <c r="AT242" s="12" t="n"/>
      <c r="AU242" s="12" t="n"/>
      <c r="AV242" s="12" t="n"/>
      <c r="AW242" s="12" t="n"/>
      <c r="AX242" s="12" t="n"/>
      <c r="AY242" s="12" t="n"/>
      <c r="AZ242" s="12" t="n"/>
      <c r="BA242" s="12" t="n"/>
      <c r="BB242" s="12" t="n"/>
      <c r="BC242" s="12" t="n"/>
      <c r="BD242" s="12" t="n"/>
      <c r="BE242" s="12" t="n"/>
      <c r="BF242" s="12" t="n"/>
      <c r="BG242" s="12" t="n"/>
      <c r="BH242" s="12" t="n"/>
      <c r="BI242" s="12" t="n"/>
      <c r="BJ242" s="12" t="n"/>
      <c r="BK242" s="12" t="n"/>
      <c r="BL242" s="12" t="n"/>
      <c r="BM242" s="12" t="n"/>
      <c r="BN242" s="12" t="n"/>
      <c r="BO242" s="12" t="n"/>
      <c r="BP242" s="12" t="n"/>
      <c r="BQ242" s="12" t="n"/>
      <c r="BR242" s="12" t="n"/>
      <c r="BS242" s="12" t="n"/>
      <c r="BT242" s="12" t="n"/>
      <c r="BU242" s="12" t="n"/>
      <c r="BV242" s="12" t="n"/>
      <c r="BW242" s="12" t="n"/>
      <c r="BX242" s="12" t="n"/>
      <c r="BY242" s="12" t="n"/>
      <c r="BZ242" s="12" t="n"/>
      <c r="CA242" s="12" t="n"/>
      <c r="CB242" s="12" t="n"/>
      <c r="CC242" s="12" t="n"/>
      <c r="CD242" s="12" t="n"/>
      <c r="CE242" s="12" t="n"/>
      <c r="CF242" s="12" t="n"/>
      <c r="CG242" s="12" t="n"/>
      <c r="CH242" s="12" t="n"/>
      <c r="CI242" s="12" t="n"/>
      <c r="CJ242" s="12" t="n"/>
      <c r="CK242" s="12" t="n"/>
      <c r="CL242" s="12" t="n"/>
      <c r="CM242" s="12" t="n"/>
      <c r="CN242" s="12" t="n"/>
      <c r="CO242" s="12" t="n"/>
      <c r="CP242" s="12" t="n"/>
      <c r="CQ242" s="12" t="n"/>
      <c r="CR242" s="12" t="n"/>
      <c r="CS242" s="12" t="n"/>
      <c r="CT242" s="12" t="n"/>
      <c r="CU242" s="12" t="n"/>
      <c r="CV242" s="12" t="n"/>
      <c r="CW242" s="12" t="n"/>
      <c r="CX242" s="12" t="n"/>
      <c r="CY242" s="12" t="n"/>
    </row>
    <row r="243" collapsed="1" customFormat="1" s="32">
      <c r="A243" s="30" t="n"/>
      <c r="B243" s="30" t="n"/>
      <c r="C243" s="65" t="inlineStr">
        <is>
          <t>Total Liabilities</t>
        </is>
      </c>
      <c r="D243" s="35" t="n"/>
      <c r="E243" s="35" t="n"/>
      <c r="F243" s="35" t="n"/>
      <c r="G243" s="35" t="n"/>
      <c r="H243" s="35" t="n"/>
      <c r="I243" s="35">
        <f>SUM(I194+I198+I200+I201+I208+I209+I210+I213+I231+I234+I235+I236)</f>
        <v>97082</v>
      </c>
      <c r="J243" s="35">
        <f>SUM(J194+J198+J200+J201+J208+J209+J210+J213+J231+J234+J235+J236)</f>
        <v>97822</v>
      </c>
      <c r="K243" s="35">
        <f>SUM(K194+K198+K200+K201+K208+K209+K210+K213+K231+K234+K235+K236)</f>
        <v>102836</v>
      </c>
      <c r="L243" s="35">
        <f>SUM(L194+L198+L200+L201+L208+L209+L210+L213+L231+L234+L235+L236)</f>
        <v>107633</v>
      </c>
      <c r="M243" s="35">
        <f>SUM(M194,M198,M200,M201,M208,M209,M213,M210,M231,M234,M235,M236)</f>
        <v>107633</v>
      </c>
      <c r="N243" s="35">
        <f>SUM(N194+N198+N200+N201+N208+N209+N210+N213+N231+N234+N235+N236)</f>
        <v>103092</v>
      </c>
      <c r="O243" s="35">
        <f>SUM(O194+O198+O200+O201+O208+O209+O210+O213+O231+O234+O235+O236)</f>
        <v>99766</v>
      </c>
      <c r="P243" s="35">
        <f>SUM(P194+P198+P200+P201+P208+P209+P210+P213+P231+P234+P235+P236)</f>
        <v>104629</v>
      </c>
      <c r="Q243" s="35">
        <f>SUM(Q194+Q198+Q200+Q201+Q208+Q209+Q210+Q213+Q231+Q234+Q235+Q236)</f>
        <v>109120</v>
      </c>
      <c r="R243" s="35">
        <f>SUM(R194,R198,R200,R201,R208,R209,R213,R210,R231,R234,R235,R236)</f>
        <v>109120</v>
      </c>
      <c r="S243" s="35">
        <f>SUM(S194+S198+S200+S201+S208+S209+S210+S213+S231+S234+S235+S236)</f>
        <v>108597</v>
      </c>
      <c r="T243" s="35">
        <f>SUM(T194+T198+T200+T201+T208+T209+T210+T213+T231+T234+T235+T236)</f>
        <v>115903</v>
      </c>
      <c r="U243" s="35">
        <f>SUM(U194+U198+U200+U201+U208+U209+U210+U213+U231+U234+U235+U236)</f>
        <v>123509</v>
      </c>
      <c r="V243" s="35">
        <f>SUM(V194+V198+V200+V201+V208+V209+V210+V213+V231+V234+V235+V236)</f>
        <v>119013</v>
      </c>
      <c r="W243" s="35">
        <f>SUM(W194,W198,W200,W201,W208,W209,W213,W210,W231,W234,W235,W236)</f>
        <v>119013</v>
      </c>
      <c r="X243" s="35">
        <f>SUM(X194+X198+X200+X201+X208+X209+X210+X213+X231+X234+X235+X236)</f>
        <v>114506</v>
      </c>
      <c r="Y243" s="35">
        <f>SUM(Y194+Y198+Y200+Y201+Y208+Y209+Y210+Y213+Y231+Y234+Y235+Y236)</f>
        <v>114017</v>
      </c>
      <c r="Z243" s="35">
        <f>SUM(Z194+Z198+Z200+Z201+Z208+Z209+Z210+Z213+Z231+Z234+Z235+Z236)</f>
        <v>116147</v>
      </c>
      <c r="AA243" s="35">
        <f>SUM(AA194+AA198+AA200+AA201+AA208+AA209+AA210+AA213+AA231+AA234+AA235+AA236)</f>
        <v>125172</v>
      </c>
      <c r="AB243" s="35">
        <f>SUM(AB194,AB198,AB200,AB201,AB208,AB209,AB213,AB210,AB231,AB234,AB235,AB236)</f>
        <v>125172</v>
      </c>
      <c r="AC243" s="35">
        <f>SUM(AC194+AC198+AC200+AC201+AC208+AC209+AC210+AC213+AC231+AC234+AC235+AC236)</f>
        <v>130107</v>
      </c>
      <c r="AD243" s="35">
        <f>SUM(AD194+AD198+AD200+AD201+AD208+AD209+AD210+AD213+AD231+AD234+AD235+AD236)</f>
        <v>139137</v>
      </c>
      <c r="AE243" s="35">
        <f>SUM(AE194+AE198+AE200+AE201+AE208+AE209+AE210+AE213+AE231+AE234+AE235+AE236)</f>
        <v>149602</v>
      </c>
      <c r="AF243" s="35">
        <f>SUM(AF194+AF198+AF200+AF201+AF208+AF209+AF210+AF213+AF231+AF234+AF235+AF236)</f>
        <v>180016</v>
      </c>
      <c r="AG243" s="35">
        <f>SUM(AG194,AG198,AG200,AG201,AG208,AG209,AG213,AG210,AG231,AG234,AG235,AG236)</f>
        <v>180016</v>
      </c>
      <c r="AH243" s="35">
        <f>SUM(AH194+AH198+AH200+AH201+AH208+AH209+AH210+AH213+AH231+AH234+AH235+AH236)</f>
        <v>225173</v>
      </c>
      <c r="AI243" s="35">
        <f>SUM(AI194+AI198+AI200+AI201+AI208+AI209+AI210+AI213+AI231+AI234+AI235+AI236)</f>
        <v>281503</v>
      </c>
      <c r="AJ243" s="35">
        <f>SUM(AJ194+AJ198+AJ200+AJ201+AJ208+AJ209+AJ210+AJ213+AJ231+AJ234+AJ235+AJ236)</f>
        <v>292911.295351268</v>
      </c>
      <c r="AK243" s="35">
        <f>SUM(AK194+AK198+AK200+AK201+AK208+AK209+AK210+AK213+AK231+AK234+AK235+AK236)</f>
        <v>314983.491632868</v>
      </c>
      <c r="AL243" s="35">
        <f>SUM(AL194,AL198,AL200,AL201,AL208,AL209,AL213,AL210,AL231,AL234,AL235,AL236)</f>
        <v>314983.491632869</v>
      </c>
      <c r="AM243" s="35">
        <f>SUM(AM194+AM198+AM200+AM201+AM208+AM209+AM210+AM213+AM231+AM234+AM235+AM236)</f>
        <v>338857.37992404</v>
      </c>
      <c r="AN243" s="35">
        <f>SUM(AN194+AN198+AN200+AN201+AN208+AN209+AN210+AN213+AN231+AN234+AN235+AN236)</f>
        <v>368408.06894544</v>
      </c>
      <c r="AO243" s="35">
        <f>SUM(AO194+AO198+AO200+AO201+AO208+AO209+AO210+AO213+AO231+AO234+AO235+AO236)</f>
        <v>401630.566210493</v>
      </c>
      <c r="AP243" s="35">
        <f>SUM(AP194+AP198+AP200+AP201+AP208+AP209+AP210+AP213+AP231+AP234+AP235+AP236)</f>
        <v>442711.579200863</v>
      </c>
      <c r="AQ243" s="35">
        <f>SUM(AQ194,AQ198,AQ200,AQ201,AQ208,AQ209,AQ213,AQ210,AQ231,AQ234,AQ235,AQ236)</f>
        <v>442711.579200863</v>
      </c>
      <c r="AR243" s="35">
        <f>SUM(AR194+AR198+AR200+AR201+AR208+AR209+AR210+AR213+AR231+AR234+AR235+AR236)</f>
        <v>486990.164708307</v>
      </c>
      <c r="AS243" s="35">
        <f>SUM(AS194+AS198+AS200+AS201+AS208+AS209+AS210+AS213+AS231+AS234+AS235+AS236)</f>
        <v>541102.660108648</v>
      </c>
      <c r="AT243" s="35">
        <f>SUM(AT194+AT198+AT200+AT201+AT208+AT209+AT210+AT213+AT231+AT234+AT235+AT236)</f>
        <v>602454.792411837</v>
      </c>
      <c r="AU243" s="35">
        <f>SUM(AU194+AU198+AU200+AU201+AU208+AU209+AU210+AU213+AU231+AU234+AU235+AU236)</f>
        <v>676660.834348898</v>
      </c>
      <c r="AV243" s="35">
        <f>SUM(AV194,AV198,AV200,AV201,AV208,AV209,AV213,AV210,AV231,AV234,AV235,AV236)</f>
        <v>676660.834348898</v>
      </c>
      <c r="AW243" s="35">
        <f>SUM(AW194+AW198+AW200+AW201+AW208+AW209+AW210+AW213+AW231+AW234+AW235+AW236)</f>
        <v>758066.664269557</v>
      </c>
      <c r="AX243" s="35">
        <f>SUM(AX194+AX198+AX200+AX201+AX208+AX209+AX210+AX213+AX231+AX234+AX235+AX236)</f>
        <v>855230.739626615</v>
      </c>
      <c r="AY243" s="35">
        <f>SUM(AY194+AY198+AY200+AY201+AY208+AY209+AY210+AY213+AY231+AY234+AY235+AY236)</f>
        <v>966470.307707557</v>
      </c>
      <c r="AZ243" s="35">
        <f>SUM(AZ194+AZ198+AZ200+AZ201+AZ208+AZ209+AZ210+AZ213+AZ231+AZ234+AZ235+AZ236)</f>
        <v>1098943.59232673</v>
      </c>
      <c r="BA243" s="35">
        <f>SUM(BA194,BA198,BA200,BA201,BA208,BA209,BA213,BA210,BA231,BA234,BA235,BA236)</f>
        <v>1098943.59232673</v>
      </c>
      <c r="BB243" s="35">
        <f>SUM(BB194+BB198+BB200+BB201+BB208+BB209+BB210+BB213+BB231+BB234+BB235+BB236)</f>
        <v>1245242.01506968</v>
      </c>
      <c r="BC243" s="35">
        <f>SUM(BC194+BC198+BC200+BC201+BC208+BC209+BC210+BC213+BC231+BC234+BC235+BC236)</f>
        <v>1417842.61500711</v>
      </c>
      <c r="BD243" s="35">
        <f>SUM(BD194+BD198+BD200+BD201+BD208+BD209+BD210+BD213+BD231+BD234+BD235+BD236)</f>
        <v>1615876.06140159</v>
      </c>
      <c r="BE243" s="35">
        <f>SUM(BE194+BE198+BE200+BE201+BE208+BE209+BE210+BE213+BE231+BE234+BE235+BE236)</f>
        <v>1849029.0729671</v>
      </c>
      <c r="BF243" s="35">
        <f>SUM(BF194,BF198,BF200,BF201,BF208,BF209,BF213,BF210,BF231,BF234,BF235,BF236)</f>
        <v>1849029.0729671</v>
      </c>
      <c r="BG243" s="35" t="n"/>
      <c r="BH243" s="35" t="n"/>
      <c r="BI243" s="35" t="n"/>
      <c r="BJ243" s="35" t="n"/>
      <c r="BK243" s="35" t="n"/>
      <c r="BL243" s="35" t="n"/>
      <c r="BM243" s="35" t="n"/>
      <c r="BN243" s="35" t="n"/>
      <c r="BO243" s="35" t="n"/>
      <c r="BP243" s="35" t="n"/>
      <c r="BQ243" s="35" t="n"/>
      <c r="BR243" s="35" t="n"/>
      <c r="BS243" s="35" t="n"/>
      <c r="BT243" s="35" t="n"/>
      <c r="BU243" s="35" t="n"/>
      <c r="BV243" s="35" t="n"/>
      <c r="BW243" s="35" t="n"/>
      <c r="BX243" s="35" t="n"/>
      <c r="BY243" s="35" t="n"/>
      <c r="BZ243" s="35" t="n"/>
      <c r="CA243" s="35" t="n"/>
      <c r="CB243" s="35" t="n"/>
      <c r="CC243" s="35" t="n"/>
      <c r="CD243" s="35" t="n"/>
      <c r="CE243" s="35" t="n"/>
      <c r="CF243" s="35" t="n"/>
      <c r="CG243" s="35" t="n"/>
      <c r="CH243" s="35" t="n"/>
      <c r="CI243" s="35" t="n"/>
      <c r="CJ243" s="35" t="n"/>
      <c r="CK243" s="35" t="n"/>
      <c r="CL243" s="35" t="n"/>
      <c r="CM243" s="35" t="n"/>
      <c r="CN243" s="35" t="n"/>
      <c r="CO243" s="35" t="n"/>
      <c r="CP243" s="35" t="n"/>
      <c r="CQ243" s="35" t="n"/>
      <c r="CR243" s="35" t="n"/>
      <c r="CS243" s="35" t="n"/>
      <c r="CT243" s="35" t="n"/>
      <c r="CU243" s="35" t="n"/>
      <c r="CV243" s="35" t="n"/>
      <c r="CW243" s="35" t="n"/>
      <c r="CX243" s="35" t="n"/>
      <c r="CY243" s="35" t="n"/>
    </row>
    <row r="244">
      <c r="C244" s="14" t="inlineStr">
        <is>
          <t>Minority interest</t>
        </is>
      </c>
      <c r="D244" s="46" t="n"/>
      <c r="E244" s="46" t="n"/>
      <c r="F244" s="46" t="n"/>
      <c r="G244" s="46" t="n"/>
      <c r="H244" s="12" t="n"/>
      <c r="I244" s="46">
        <f>'Inputs (2)'!D41</f>
        <v>0</v>
      </c>
      <c r="J244" s="46">
        <f>'Inputs (2)'!E41</f>
        <v>0</v>
      </c>
      <c r="K244" s="46">
        <f>'Inputs (2)'!F41</f>
        <v>0</v>
      </c>
      <c r="L244" s="46">
        <f>'Inputs (2)'!G41</f>
        <v>0</v>
      </c>
      <c r="M244" s="12">
        <f>'Inputs (2)'!H41</f>
        <v>0</v>
      </c>
      <c r="N244" s="46">
        <f>'Inputs (2)'!I41</f>
        <v>0</v>
      </c>
      <c r="O244" s="46">
        <f>'Inputs (2)'!J41</f>
        <v>0</v>
      </c>
      <c r="P244" s="46">
        <f>'Inputs (2)'!K41</f>
        <v>0</v>
      </c>
      <c r="Q244" s="46">
        <f>'Inputs (2)'!L41</f>
        <v>0</v>
      </c>
      <c r="R244" s="12">
        <f>'Inputs (2)'!M41</f>
        <v>0</v>
      </c>
      <c r="S244" s="46">
        <f>'Inputs (2)'!N41</f>
        <v>0</v>
      </c>
      <c r="T244" s="46">
        <f>'Inputs (2)'!O41</f>
        <v>0</v>
      </c>
      <c r="U244" s="46">
        <f>'Inputs (2)'!P41</f>
        <v>0</v>
      </c>
      <c r="V244" s="46">
        <f>'Inputs (2)'!Q41</f>
        <v>0</v>
      </c>
      <c r="W244" s="12">
        <f>'Inputs (2)'!R41</f>
        <v>0</v>
      </c>
      <c r="X244" s="46">
        <f>'Inputs (2)'!S41</f>
        <v>0</v>
      </c>
      <c r="Y244" s="46">
        <f>'Inputs (2)'!T41</f>
        <v>0</v>
      </c>
      <c r="Z244" s="46">
        <f>'Inputs (2)'!U41</f>
        <v>0</v>
      </c>
      <c r="AA244" s="46">
        <f>'Inputs (2)'!V41</f>
        <v>0</v>
      </c>
      <c r="AB244" s="12">
        <f>'Inputs (2)'!W41</f>
        <v>0</v>
      </c>
      <c r="AC244" s="46">
        <f>'Inputs (2)'!X41</f>
        <v>0</v>
      </c>
      <c r="AD244" s="46">
        <f>'Inputs (2)'!Y41</f>
        <v>0</v>
      </c>
      <c r="AE244" s="46">
        <f>'Inputs (2)'!Z41</f>
        <v>0</v>
      </c>
      <c r="AF244" s="46">
        <f>'Inputs (2)'!AA41</f>
        <v>0</v>
      </c>
      <c r="AG244" s="12">
        <f>'Inputs (2)'!AB41</f>
        <v>0</v>
      </c>
      <c r="AH244" s="12">
        <f>'Inputs (2)'!AC41</f>
        <v>0</v>
      </c>
      <c r="AI244" s="12">
        <f>'Inputs (2)'!AD41</f>
        <v>0</v>
      </c>
      <c r="AJ244" s="12">
        <f>AI244</f>
        <v>0</v>
      </c>
      <c r="AK244" s="12">
        <f>AJ244</f>
        <v>0</v>
      </c>
      <c r="AL244" s="12">
        <f>AK244</f>
        <v>0</v>
      </c>
      <c r="AM244" s="12">
        <f>AL244</f>
        <v>0</v>
      </c>
      <c r="AN244" s="12">
        <f>AM244</f>
        <v>0</v>
      </c>
      <c r="AO244" s="12">
        <f>AN244</f>
        <v>0</v>
      </c>
      <c r="AP244" s="12">
        <f>AO244</f>
        <v>0</v>
      </c>
      <c r="AQ244" s="12">
        <f>AP244</f>
        <v>0</v>
      </c>
      <c r="AR244" s="12">
        <f>AQ244</f>
        <v>0</v>
      </c>
      <c r="AS244" s="12">
        <f>AR244</f>
        <v>0</v>
      </c>
      <c r="AT244" s="12">
        <f>AS244</f>
        <v>0</v>
      </c>
      <c r="AU244" s="12">
        <f>AT244</f>
        <v>0</v>
      </c>
      <c r="AV244" s="12">
        <f>AU244</f>
        <v>0</v>
      </c>
      <c r="AW244" s="12">
        <f>AV244</f>
        <v>0</v>
      </c>
      <c r="AX244" s="12">
        <f>AW244</f>
        <v>0</v>
      </c>
      <c r="AY244" s="12">
        <f>AX244</f>
        <v>0</v>
      </c>
      <c r="AZ244" s="12">
        <f>AY244</f>
        <v>0</v>
      </c>
      <c r="BA244" s="12">
        <f>AZ244</f>
        <v>0</v>
      </c>
      <c r="BB244" s="12">
        <f>BA244</f>
        <v>0</v>
      </c>
      <c r="BC244" s="12">
        <f>BB244</f>
        <v>0</v>
      </c>
      <c r="BD244" s="12">
        <f>BC244</f>
        <v>0</v>
      </c>
      <c r="BE244" s="12">
        <f>BD244</f>
        <v>0</v>
      </c>
      <c r="BF244" s="12">
        <f>BE244</f>
        <v>0</v>
      </c>
      <c r="BG244" s="12" t="n"/>
      <c r="BH244" s="12" t="n"/>
      <c r="BI244" s="12" t="n"/>
      <c r="BJ244" s="12" t="n"/>
      <c r="BK244" s="12" t="n"/>
      <c r="BL244" s="12" t="n"/>
      <c r="BM244" s="12" t="n"/>
      <c r="BN244" s="12" t="n"/>
      <c r="BO244" s="12" t="n"/>
      <c r="BP244" s="12" t="n"/>
      <c r="BQ244" s="12" t="n"/>
      <c r="BR244" s="12" t="n"/>
      <c r="BS244" s="12" t="n"/>
      <c r="BT244" s="12" t="n"/>
      <c r="BU244" s="12" t="n"/>
      <c r="BV244" s="12" t="n"/>
      <c r="BW244" s="12" t="n"/>
      <c r="BX244" s="12" t="n"/>
      <c r="BY244" s="12" t="n"/>
      <c r="BZ244" s="12" t="n"/>
      <c r="CA244" s="12" t="n"/>
      <c r="CB244" s="12" t="n"/>
      <c r="CC244" s="12" t="n"/>
      <c r="CD244" s="12" t="n"/>
      <c r="CE244" s="12" t="n"/>
      <c r="CF244" s="12" t="n"/>
      <c r="CG244" s="12" t="n"/>
      <c r="CH244" s="12" t="n"/>
      <c r="CI244" s="12" t="n"/>
      <c r="CJ244" s="12" t="n"/>
      <c r="CK244" s="12" t="n"/>
      <c r="CL244" s="12" t="n"/>
      <c r="CM244" s="12" t="n"/>
      <c r="CN244" s="12" t="n"/>
      <c r="CO244" s="12" t="n"/>
      <c r="CP244" s="12" t="n"/>
      <c r="CQ244" s="12" t="n"/>
      <c r="CR244" s="12" t="n"/>
      <c r="CS244" s="12" t="n"/>
      <c r="CT244" s="12" t="n"/>
      <c r="CU244" s="12" t="n"/>
      <c r="CV244" s="12" t="n"/>
      <c r="CW244" s="12" t="n"/>
      <c r="CX244" s="12" t="n"/>
      <c r="CY244" s="12" t="n"/>
    </row>
    <row r="245" hidden="1" outlineLevel="1" customFormat="1" s="66">
      <c r="A245" s="37" t="n"/>
      <c r="B245" s="37" t="n"/>
      <c r="C245" s="59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  <c r="AA245" s="42" t="n"/>
      <c r="AB245" s="42" t="n"/>
      <c r="AC245" s="42" t="n"/>
      <c r="AD245" s="42" t="n"/>
      <c r="AE245" s="42" t="n"/>
      <c r="AF245" s="42" t="n"/>
      <c r="AG245" s="42" t="n"/>
      <c r="AH245" s="42" t="n"/>
      <c r="AI245" s="42" t="n"/>
      <c r="AJ245" s="42" t="n"/>
      <c r="AK245" s="42" t="n"/>
      <c r="AL245" s="42" t="n"/>
      <c r="AM245" s="42" t="n"/>
      <c r="AN245" s="42" t="n"/>
      <c r="AO245" s="42" t="n"/>
      <c r="AP245" s="42" t="n"/>
      <c r="AQ245" s="42" t="n"/>
      <c r="AR245" s="42" t="n"/>
      <c r="AS245" s="42" t="n"/>
      <c r="AT245" s="42" t="n"/>
      <c r="AU245" s="42" t="n"/>
      <c r="AV245" s="42" t="n"/>
      <c r="AW245" s="42" t="n"/>
      <c r="AX245" s="42" t="n"/>
      <c r="AY245" s="42" t="n"/>
      <c r="AZ245" s="42" t="n"/>
      <c r="BA245" s="42" t="n"/>
      <c r="BB245" s="42" t="n"/>
      <c r="BC245" s="42" t="n"/>
      <c r="BD245" s="42" t="n"/>
      <c r="BE245" s="42" t="n"/>
      <c r="BF245" s="42" t="n"/>
      <c r="BG245" s="42" t="n"/>
      <c r="BH245" s="42" t="n"/>
      <c r="BI245" s="42" t="n"/>
      <c r="BJ245" s="42" t="n"/>
      <c r="BK245" s="42" t="n"/>
      <c r="BL245" s="42" t="n"/>
      <c r="BM245" s="42" t="n"/>
      <c r="BN245" s="42" t="n"/>
      <c r="BO245" s="42" t="n"/>
      <c r="BP245" s="42" t="n"/>
      <c r="BQ245" s="42" t="n"/>
      <c r="BR245" s="42" t="n"/>
      <c r="BS245" s="42" t="n"/>
      <c r="BT245" s="42" t="n"/>
      <c r="BU245" s="42" t="n"/>
      <c r="BV245" s="42" t="n"/>
      <c r="BW245" s="42" t="n"/>
      <c r="BX245" s="42" t="n"/>
      <c r="BY245" s="42" t="n"/>
      <c r="BZ245" s="42" t="n"/>
      <c r="CA245" s="42" t="n"/>
      <c r="CB245" s="42" t="n"/>
      <c r="CC245" s="42" t="n"/>
      <c r="CD245" s="42" t="n"/>
      <c r="CE245" s="42" t="n"/>
      <c r="CF245" s="42" t="n"/>
      <c r="CG245" s="42" t="n"/>
      <c r="CH245" s="42" t="n"/>
      <c r="CI245" s="42" t="n"/>
      <c r="CJ245" s="42" t="n"/>
      <c r="CK245" s="42" t="n"/>
      <c r="CL245" s="42" t="n"/>
      <c r="CM245" s="42" t="n"/>
      <c r="CN245" s="42" t="n"/>
      <c r="CO245" s="42" t="n"/>
      <c r="CP245" s="42" t="n"/>
      <c r="CQ245" s="42" t="n"/>
      <c r="CR245" s="42" t="n"/>
      <c r="CS245" s="42" t="n"/>
      <c r="CT245" s="42" t="n"/>
      <c r="CU245" s="42" t="n"/>
      <c r="CV245" s="42" t="n"/>
      <c r="CW245" s="42" t="n"/>
      <c r="CX245" s="42" t="n"/>
      <c r="CY245" s="42" t="n"/>
    </row>
    <row r="246" hidden="1" outlineLevel="1" customFormat="1" s="66">
      <c r="A246" s="37" t="n"/>
      <c r="B246" s="37" t="n"/>
      <c r="C246" s="57" t="inlineStr">
        <is>
          <t>Minority Interest Expense - % YoY</t>
        </is>
      </c>
      <c r="D246" s="42" t="n"/>
      <c r="E246" s="58" t="n"/>
      <c r="F246" s="42" t="n"/>
      <c r="G246" s="42" t="n"/>
      <c r="H246" s="58" t="n"/>
      <c r="I246" s="42" t="n"/>
      <c r="J246" s="58">
        <f>IF(I131=0,0,J131/I131-1)</f>
        <v>0</v>
      </c>
      <c r="K246" s="42" t="n"/>
      <c r="L246" s="42" t="n"/>
      <c r="M246" s="58" t="n"/>
      <c r="N246" s="58">
        <f>IF(I131=0,0,N131/I131-1)</f>
        <v>0</v>
      </c>
      <c r="O246" s="58">
        <f>IF(J131=0,0,O131/J131-1)</f>
        <v>0</v>
      </c>
      <c r="P246" s="58">
        <f>IF(K131=0,0,P131/K131-1)</f>
        <v>0</v>
      </c>
      <c r="Q246" s="58">
        <f>IF(L131=0,0,Q131/L131-1)</f>
        <v>0</v>
      </c>
      <c r="R246" s="58" t="n"/>
      <c r="S246" s="58">
        <f>IF(N131=0,0,S131/N131-1)</f>
        <v>0</v>
      </c>
      <c r="T246" s="58">
        <f>IF(O131=0,0,T131/O131-1)</f>
        <v>0</v>
      </c>
      <c r="U246" s="58">
        <f>IF(P131=0,0,U131/P131-1)</f>
        <v>0</v>
      </c>
      <c r="V246" s="58">
        <f>IF(Q131=0,0,V131/Q131-1)</f>
        <v>0</v>
      </c>
      <c r="W246" s="58">
        <f>IF(R132=0,0,W132/R132-1)</f>
        <v>0</v>
      </c>
      <c r="X246" s="58">
        <f>IF(S131=0,0,X131/S131-1)</f>
        <v>0</v>
      </c>
      <c r="Y246" s="58">
        <f>IF(T131=0,0,Y131/T131-1)</f>
        <v>0</v>
      </c>
      <c r="Z246" s="58">
        <f>IF(U131=0,0,Z131/U131-1)</f>
        <v>0</v>
      </c>
      <c r="AA246" s="58">
        <f>IF(V131=0,0,AA131/V131-1)</f>
        <v>0</v>
      </c>
      <c r="AB246" s="58">
        <f>IF(W132=0,0,AB132/W132-1)</f>
        <v>0</v>
      </c>
      <c r="AC246" s="58">
        <f>IF(X131=0,0,AC131/X131-1)</f>
        <v>0</v>
      </c>
      <c r="AD246" s="58">
        <f>IF(Y131=0,0,AD131/Y131-1)</f>
        <v>0</v>
      </c>
      <c r="AE246" s="58">
        <f>IF(Z131=0,0,AE131/Z131-1)</f>
        <v>0</v>
      </c>
      <c r="AF246" s="58">
        <f>IF(AA131=0,0,AF131/AA131-1)</f>
        <v>0</v>
      </c>
      <c r="AG246" s="58">
        <f>IF(AB132=0,0,AG132/AB132-1)</f>
        <v>0</v>
      </c>
      <c r="AH246" s="62">
        <f>IF(AC131=0,0,AH131/AC131-1)</f>
        <v>0</v>
      </c>
      <c r="AI246" s="62">
        <f>IF(AD131=0,0,AI131/AD131-1)</f>
        <v>0</v>
      </c>
      <c r="AJ246" s="62" t="n"/>
      <c r="AK246" s="62" t="n"/>
      <c r="AL246" s="58">
        <f>IF(AG132=0,0,AL132/AG132-1)</f>
        <v>0</v>
      </c>
      <c r="AM246" s="62" t="n"/>
      <c r="AN246" s="62" t="n"/>
      <c r="AO246" s="62" t="n"/>
      <c r="AP246" s="62" t="n"/>
      <c r="AQ246" s="58">
        <f>IF(AL132=0,0,AQ132/AL132-1)</f>
        <v>0</v>
      </c>
      <c r="AR246" s="62" t="n"/>
      <c r="AS246" s="62" t="n"/>
      <c r="AT246" s="62" t="n"/>
      <c r="AU246" s="62" t="n"/>
      <c r="AV246" s="58">
        <f>IF(AQ132=0,0,AV132/AQ132-1)</f>
        <v>0</v>
      </c>
      <c r="AW246" s="62" t="n"/>
      <c r="AX246" s="62" t="n"/>
      <c r="AY246" s="62" t="n"/>
      <c r="AZ246" s="62" t="n"/>
      <c r="BA246" s="58">
        <f>IF(AV132=0,0,BA132/AV132-1)</f>
        <v>0</v>
      </c>
      <c r="BB246" s="62" t="n"/>
      <c r="BC246" s="62" t="n"/>
      <c r="BD246" s="62" t="n"/>
      <c r="BE246" s="62" t="n"/>
      <c r="BF246" s="58">
        <f>IF(BA132=0,0,BF132/BA132-1)</f>
        <v>0</v>
      </c>
      <c r="BG246" s="62" t="n"/>
      <c r="BH246" s="62" t="n"/>
      <c r="BI246" s="62" t="n"/>
      <c r="BJ246" s="62" t="n"/>
      <c r="BK246" s="58" t="n"/>
      <c r="BL246" s="62" t="n"/>
      <c r="BM246" s="62" t="n"/>
      <c r="BN246" s="62" t="n"/>
      <c r="BO246" s="62" t="n"/>
      <c r="BP246" s="58" t="n"/>
      <c r="BQ246" s="62" t="n"/>
      <c r="BR246" s="62" t="n"/>
      <c r="BS246" s="62" t="n"/>
      <c r="BT246" s="62" t="n"/>
      <c r="BU246" s="58" t="n"/>
      <c r="BV246" s="62" t="n"/>
      <c r="BW246" s="62" t="n"/>
      <c r="BX246" s="62" t="n"/>
      <c r="BY246" s="62" t="n"/>
      <c r="BZ246" s="58" t="n"/>
      <c r="CA246" s="62" t="n"/>
      <c r="CB246" s="62" t="n"/>
      <c r="CC246" s="62" t="n"/>
      <c r="CD246" s="62" t="n"/>
      <c r="CE246" s="58" t="n"/>
      <c r="CF246" s="62" t="n"/>
      <c r="CG246" s="62" t="n"/>
      <c r="CH246" s="62" t="n"/>
      <c r="CI246" s="62" t="n"/>
      <c r="CJ246" s="58" t="n"/>
      <c r="CK246" s="62" t="n"/>
      <c r="CL246" s="62" t="n"/>
      <c r="CM246" s="62" t="n"/>
      <c r="CN246" s="62" t="n"/>
      <c r="CO246" s="58" t="n"/>
      <c r="CP246" s="62" t="n"/>
      <c r="CQ246" s="62" t="n"/>
      <c r="CR246" s="62" t="n"/>
      <c r="CS246" s="62" t="n"/>
      <c r="CT246" s="58" t="n"/>
      <c r="CU246" s="62" t="n"/>
      <c r="CV246" s="62" t="n"/>
      <c r="CW246" s="62" t="n"/>
      <c r="CX246" s="62" t="n"/>
      <c r="CY246" s="58" t="n"/>
    </row>
    <row r="247" hidden="1" outlineLevel="1" customFormat="1" s="66">
      <c r="A247" s="37" t="n"/>
      <c r="B247" s="37" t="n"/>
      <c r="C247" s="57" t="inlineStr">
        <is>
          <t>Dividends (enter as -)</t>
        </is>
      </c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  <c r="AA247" s="42" t="n"/>
      <c r="AB247" s="42" t="n"/>
      <c r="AC247" s="42" t="n"/>
      <c r="AD247" s="42" t="n"/>
      <c r="AE247" s="42" t="n"/>
      <c r="AF247" s="42" t="n"/>
      <c r="AG247" s="42" t="n"/>
      <c r="AH247" s="62" t="n"/>
      <c r="AI247" s="62" t="n"/>
      <c r="AJ247" s="62" t="n"/>
      <c r="AK247" s="62" t="n"/>
      <c r="AL247" s="42" t="n"/>
      <c r="AM247" s="62" t="n"/>
      <c r="AN247" s="62" t="n"/>
      <c r="AO247" s="62" t="n"/>
      <c r="AP247" s="62" t="n"/>
      <c r="AQ247" s="42" t="n"/>
      <c r="AR247" s="62" t="n"/>
      <c r="AS247" s="62" t="n"/>
      <c r="AT247" s="62" t="n"/>
      <c r="AU247" s="62" t="n"/>
      <c r="AV247" s="42" t="n"/>
      <c r="AW247" s="62" t="n"/>
      <c r="AX247" s="62" t="n"/>
      <c r="AY247" s="62" t="n"/>
      <c r="AZ247" s="62" t="n"/>
      <c r="BA247" s="42" t="n"/>
      <c r="BB247" s="62" t="n"/>
      <c r="BC247" s="62" t="n"/>
      <c r="BD247" s="62" t="n"/>
      <c r="BE247" s="62" t="n"/>
      <c r="BF247" s="42" t="n"/>
      <c r="BG247" s="62" t="n"/>
      <c r="BH247" s="62" t="n"/>
      <c r="BI247" s="62" t="n"/>
      <c r="BJ247" s="62" t="n"/>
      <c r="BK247" s="42" t="n"/>
      <c r="BL247" s="62" t="n"/>
      <c r="BM247" s="62" t="n"/>
      <c r="BN247" s="62" t="n"/>
      <c r="BO247" s="62" t="n"/>
      <c r="BP247" s="42" t="n"/>
      <c r="BQ247" s="62" t="n"/>
      <c r="BR247" s="62" t="n"/>
      <c r="BS247" s="62" t="n"/>
      <c r="BT247" s="62" t="n"/>
      <c r="BU247" s="42" t="n"/>
      <c r="BV247" s="62" t="n"/>
      <c r="BW247" s="62" t="n"/>
      <c r="BX247" s="62" t="n"/>
      <c r="BY247" s="62" t="n"/>
      <c r="BZ247" s="42" t="n"/>
      <c r="CA247" s="62" t="n"/>
      <c r="CB247" s="62" t="n"/>
      <c r="CC247" s="62" t="n"/>
      <c r="CD247" s="62" t="n"/>
      <c r="CE247" s="42" t="n"/>
      <c r="CF247" s="62" t="n"/>
      <c r="CG247" s="62" t="n"/>
      <c r="CH247" s="62" t="n"/>
      <c r="CI247" s="62" t="n"/>
      <c r="CJ247" s="42" t="n"/>
      <c r="CK247" s="62" t="n"/>
      <c r="CL247" s="62" t="n"/>
      <c r="CM247" s="62" t="n"/>
      <c r="CN247" s="62" t="n"/>
      <c r="CO247" s="42" t="n"/>
      <c r="CP247" s="62" t="n"/>
      <c r="CQ247" s="62" t="n"/>
      <c r="CR247" s="62" t="n"/>
      <c r="CS247" s="62" t="n"/>
      <c r="CT247" s="42" t="n"/>
      <c r="CU247" s="62" t="n"/>
      <c r="CV247" s="62" t="n"/>
      <c r="CW247" s="62" t="n"/>
      <c r="CX247" s="62" t="n"/>
      <c r="CY247" s="42" t="n"/>
    </row>
    <row r="248" hidden="1" outlineLevel="1" customFormat="1" s="66">
      <c r="A248" s="37" t="n"/>
      <c r="B248" s="37" t="n"/>
      <c r="C248" s="59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  <c r="AA248" s="42" t="n"/>
      <c r="AB248" s="42" t="n"/>
      <c r="AC248" s="42" t="n"/>
      <c r="AD248" s="42" t="n"/>
      <c r="AE248" s="42" t="n"/>
      <c r="AF248" s="42" t="n"/>
      <c r="AG248" s="42" t="n"/>
      <c r="AH248" s="42" t="n"/>
      <c r="AI248" s="42" t="n"/>
      <c r="AJ248" s="42" t="n"/>
      <c r="AK248" s="42" t="n"/>
      <c r="AL248" s="42" t="n"/>
      <c r="AM248" s="42" t="n"/>
      <c r="AN248" s="42" t="n"/>
      <c r="AO248" s="42" t="n"/>
      <c r="AP248" s="42" t="n"/>
      <c r="AQ248" s="42" t="n"/>
      <c r="AR248" s="42" t="n"/>
      <c r="AS248" s="42" t="n"/>
      <c r="AT248" s="42" t="n"/>
      <c r="AU248" s="42" t="n"/>
      <c r="AV248" s="42" t="n"/>
      <c r="AW248" s="42" t="n"/>
      <c r="AX248" s="42" t="n"/>
      <c r="AY248" s="42" t="n"/>
      <c r="AZ248" s="42" t="n"/>
      <c r="BA248" s="42" t="n"/>
      <c r="BB248" s="42" t="n"/>
      <c r="BC248" s="42" t="n"/>
      <c r="BD248" s="42" t="n"/>
      <c r="BE248" s="42" t="n"/>
      <c r="BF248" s="42" t="n"/>
      <c r="BG248" s="42" t="n"/>
      <c r="BH248" s="42" t="n"/>
      <c r="BI248" s="42" t="n"/>
      <c r="BJ248" s="42" t="n"/>
      <c r="BK248" s="42" t="n"/>
      <c r="BL248" s="42" t="n"/>
      <c r="BM248" s="42" t="n"/>
      <c r="BN248" s="42" t="n"/>
      <c r="BO248" s="42" t="n"/>
      <c r="BP248" s="42" t="n"/>
      <c r="BQ248" s="42" t="n"/>
      <c r="BR248" s="42" t="n"/>
      <c r="BS248" s="42" t="n"/>
      <c r="BT248" s="42" t="n"/>
      <c r="BU248" s="42" t="n"/>
      <c r="BV248" s="42" t="n"/>
      <c r="BW248" s="42" t="n"/>
      <c r="BX248" s="42" t="n"/>
      <c r="BY248" s="42" t="n"/>
      <c r="BZ248" s="42" t="n"/>
      <c r="CA248" s="42" t="n"/>
      <c r="CB248" s="42" t="n"/>
      <c r="CC248" s="42" t="n"/>
      <c r="CD248" s="42" t="n"/>
      <c r="CE248" s="42" t="n"/>
      <c r="CF248" s="42" t="n"/>
      <c r="CG248" s="42" t="n"/>
      <c r="CH248" s="42" t="n"/>
      <c r="CI248" s="42" t="n"/>
      <c r="CJ248" s="42" t="n"/>
      <c r="CK248" s="42" t="n"/>
      <c r="CL248" s="42" t="n"/>
      <c r="CM248" s="42" t="n"/>
      <c r="CN248" s="42" t="n"/>
      <c r="CO248" s="42" t="n"/>
      <c r="CP248" s="42" t="n"/>
      <c r="CQ248" s="42" t="n"/>
      <c r="CR248" s="42" t="n"/>
      <c r="CS248" s="42" t="n"/>
      <c r="CT248" s="42" t="n"/>
      <c r="CU248" s="42" t="n"/>
      <c r="CV248" s="42" t="n"/>
      <c r="CW248" s="42" t="n"/>
      <c r="CX248" s="42" t="n"/>
      <c r="CY248" s="42" t="n"/>
    </row>
    <row r="249" collapsed="1">
      <c r="C249" s="14" t="inlineStr">
        <is>
          <t>Convertible Preferred Stock</t>
        </is>
      </c>
      <c r="D249" s="46" t="n"/>
      <c r="E249" s="46" t="n"/>
      <c r="F249" s="46" t="n"/>
      <c r="G249" s="46" t="n"/>
      <c r="H249" s="12" t="n"/>
      <c r="I249" s="46">
        <f>'Inputs (2)'!D42</f>
        <v>0</v>
      </c>
      <c r="J249" s="46">
        <f>'Inputs (2)'!E42</f>
        <v>0</v>
      </c>
      <c r="K249" s="46">
        <f>'Inputs (2)'!F42</f>
        <v>0</v>
      </c>
      <c r="L249" s="46">
        <f>'Inputs (2)'!G42</f>
        <v>0</v>
      </c>
      <c r="M249" s="12">
        <f>'Inputs (2)'!H42</f>
        <v>0</v>
      </c>
      <c r="N249" s="46">
        <f>'Inputs (2)'!I42</f>
        <v>0</v>
      </c>
      <c r="O249" s="46">
        <f>'Inputs (2)'!J42</f>
        <v>0</v>
      </c>
      <c r="P249" s="46">
        <f>'Inputs (2)'!K42</f>
        <v>0</v>
      </c>
      <c r="Q249" s="46">
        <f>'Inputs (2)'!L42</f>
        <v>0</v>
      </c>
      <c r="R249" s="12">
        <f>'Inputs (2)'!M42</f>
        <v>0</v>
      </c>
      <c r="S249" s="46">
        <f>'Inputs (2)'!N42</f>
        <v>0</v>
      </c>
      <c r="T249" s="46">
        <f>'Inputs (2)'!O42</f>
        <v>0</v>
      </c>
      <c r="U249" s="46">
        <f>'Inputs (2)'!P42</f>
        <v>0</v>
      </c>
      <c r="V249" s="46">
        <f>'Inputs (2)'!Q42</f>
        <v>0</v>
      </c>
      <c r="W249" s="12">
        <f>'Inputs (2)'!R42</f>
        <v>0</v>
      </c>
      <c r="X249" s="46">
        <f>'Inputs (2)'!S42</f>
        <v>0</v>
      </c>
      <c r="Y249" s="46">
        <f>'Inputs (2)'!T42</f>
        <v>0</v>
      </c>
      <c r="Z249" s="46">
        <f>'Inputs (2)'!U42</f>
        <v>0</v>
      </c>
      <c r="AA249" s="46">
        <f>'Inputs (2)'!V42</f>
        <v>0</v>
      </c>
      <c r="AB249" s="12">
        <f>'Inputs (2)'!W42</f>
        <v>0</v>
      </c>
      <c r="AC249" s="46">
        <f>'Inputs (2)'!X42</f>
        <v>0</v>
      </c>
      <c r="AD249" s="46">
        <f>'Inputs (2)'!Y42</f>
        <v>0</v>
      </c>
      <c r="AE249" s="46">
        <f>'Inputs (2)'!Z42</f>
        <v>0</v>
      </c>
      <c r="AF249" s="46">
        <f>'Inputs (2)'!AA42</f>
        <v>0</v>
      </c>
      <c r="AG249" s="12">
        <f>'Inputs (2)'!AB42</f>
        <v>0</v>
      </c>
      <c r="AH249" s="12">
        <f>'Inputs (2)'!AC42</f>
        <v>0</v>
      </c>
      <c r="AI249" s="12">
        <f>'Inputs (2)'!AD42</f>
        <v>0</v>
      </c>
      <c r="AJ249" s="12">
        <f>AI249</f>
        <v>0</v>
      </c>
      <c r="AK249" s="12">
        <f>AJ249</f>
        <v>0</v>
      </c>
      <c r="AL249" s="12">
        <f>AK249</f>
        <v>0</v>
      </c>
      <c r="AM249" s="12">
        <f>AL249</f>
        <v>0</v>
      </c>
      <c r="AN249" s="12">
        <f>AM249</f>
        <v>0</v>
      </c>
      <c r="AO249" s="12">
        <f>AN249</f>
        <v>0</v>
      </c>
      <c r="AP249" s="12">
        <f>AO249</f>
        <v>0</v>
      </c>
      <c r="AQ249" s="12">
        <f>AP249</f>
        <v>0</v>
      </c>
      <c r="AR249" s="12">
        <f>AQ249</f>
        <v>0</v>
      </c>
      <c r="AS249" s="12">
        <f>AR249</f>
        <v>0</v>
      </c>
      <c r="AT249" s="12">
        <f>AS249</f>
        <v>0</v>
      </c>
      <c r="AU249" s="12">
        <f>AT249</f>
        <v>0</v>
      </c>
      <c r="AV249" s="12">
        <f>AU249</f>
        <v>0</v>
      </c>
      <c r="AW249" s="12">
        <f>AV249</f>
        <v>0</v>
      </c>
      <c r="AX249" s="12">
        <f>AW249</f>
        <v>0</v>
      </c>
      <c r="AY249" s="12">
        <f>AX249</f>
        <v>0</v>
      </c>
      <c r="AZ249" s="12">
        <f>AY249</f>
        <v>0</v>
      </c>
      <c r="BA249" s="12">
        <f>AZ249</f>
        <v>0</v>
      </c>
      <c r="BB249" s="12">
        <f>BA249</f>
        <v>0</v>
      </c>
      <c r="BC249" s="12">
        <f>BB249</f>
        <v>0</v>
      </c>
      <c r="BD249" s="12">
        <f>BC249</f>
        <v>0</v>
      </c>
      <c r="BE249" s="12">
        <f>BD249</f>
        <v>0</v>
      </c>
      <c r="BF249" s="12">
        <f>BE249</f>
        <v>0</v>
      </c>
      <c r="BG249" s="12" t="n"/>
      <c r="BH249" s="12" t="n"/>
      <c r="BI249" s="12" t="n"/>
      <c r="BJ249" s="12" t="n"/>
      <c r="BK249" s="12" t="n"/>
      <c r="BL249" s="12" t="n"/>
      <c r="BM249" s="12" t="n"/>
      <c r="BN249" s="12" t="n"/>
      <c r="BO249" s="12" t="n"/>
      <c r="BP249" s="12" t="n"/>
      <c r="BQ249" s="12" t="n"/>
      <c r="BR249" s="12" t="n"/>
      <c r="BS249" s="12" t="n"/>
      <c r="BT249" s="12" t="n"/>
      <c r="BU249" s="12" t="n"/>
      <c r="BV249" s="12" t="n"/>
      <c r="BW249" s="12" t="n"/>
      <c r="BX249" s="12" t="n"/>
      <c r="BY249" s="12" t="n"/>
      <c r="BZ249" s="12" t="n"/>
      <c r="CA249" s="12" t="n"/>
      <c r="CB249" s="12" t="n"/>
      <c r="CC249" s="12" t="n"/>
      <c r="CD249" s="12" t="n"/>
      <c r="CE249" s="12" t="n"/>
      <c r="CF249" s="12" t="n"/>
      <c r="CG249" s="12" t="n"/>
      <c r="CH249" s="12" t="n"/>
      <c r="CI249" s="12" t="n"/>
      <c r="CJ249" s="12" t="n"/>
      <c r="CK249" s="12" t="n"/>
      <c r="CL249" s="12" t="n"/>
      <c r="CM249" s="12" t="n"/>
      <c r="CN249" s="12" t="n"/>
      <c r="CO249" s="12" t="n"/>
      <c r="CP249" s="12" t="n"/>
      <c r="CQ249" s="12" t="n"/>
      <c r="CR249" s="12" t="n"/>
      <c r="CS249" s="12" t="n"/>
      <c r="CT249" s="12" t="n"/>
      <c r="CU249" s="12" t="n"/>
      <c r="CV249" s="12" t="n"/>
      <c r="CW249" s="12" t="n"/>
      <c r="CX249" s="12" t="n"/>
      <c r="CY249" s="12" t="n"/>
    </row>
    <row r="250">
      <c r="C250" s="13" t="inlineStr">
        <is>
          <t>Common Stock and APIC</t>
        </is>
      </c>
      <c r="D250" s="46" t="n"/>
      <c r="E250" s="46" t="n"/>
      <c r="F250" s="46" t="n"/>
      <c r="G250" s="46" t="n"/>
      <c r="H250" s="12" t="n"/>
      <c r="I250" s="46">
        <f>'Inputs (2)'!D43</f>
        <v>59436</v>
      </c>
      <c r="J250" s="46">
        <f>'Inputs (2)'!E43</f>
        <v>60436</v>
      </c>
      <c r="K250" s="46">
        <f>'Inputs (2)'!F43</f>
        <v>61193</v>
      </c>
      <c r="L250" s="46">
        <f>'Inputs (2)'!G43</f>
        <v>61774</v>
      </c>
      <c r="M250" s="12">
        <f>'Inputs (2)'!H43</f>
        <v>61774</v>
      </c>
      <c r="N250" s="46">
        <f>'Inputs (2)'!I43</f>
        <v>62832</v>
      </c>
      <c r="O250" s="46">
        <f>'Inputs (2)'!J43</f>
        <v>64402</v>
      </c>
      <c r="P250" s="46">
        <f>'Inputs (2)'!K43</f>
        <v>66258</v>
      </c>
      <c r="Q250" s="46">
        <f>'Inputs (2)'!L43</f>
        <v>68184</v>
      </c>
      <c r="R250" s="12">
        <f>'Inputs (2)'!M43</f>
        <v>68184</v>
      </c>
      <c r="S250" s="46">
        <f>'Inputs (2)'!N43</f>
        <v>70269</v>
      </c>
      <c r="T250" s="46">
        <f>'Inputs (2)'!O43</f>
        <v>72248</v>
      </c>
      <c r="U250" s="46">
        <f>'Inputs (2)'!P43</f>
        <v>74591</v>
      </c>
      <c r="V250" s="46">
        <f>'Inputs (2)'!Q43</f>
        <v>76534</v>
      </c>
      <c r="W250" s="12">
        <f>'Inputs (2)'!R43</f>
        <v>76534</v>
      </c>
      <c r="X250" s="46">
        <f>'Inputs (2)'!S43</f>
        <v>77913</v>
      </c>
      <c r="Y250" s="46">
        <f>'Inputs (2)'!T43</f>
        <v>79732</v>
      </c>
      <c r="Z250" s="46">
        <f>'Inputs (2)'!U43</f>
        <v>82030</v>
      </c>
      <c r="AA250" s="46">
        <f>'Inputs (2)'!V43</f>
        <v>84800</v>
      </c>
      <c r="AB250" s="12">
        <f>'Inputs (2)'!W43</f>
        <v>84800</v>
      </c>
      <c r="AC250" s="46">
        <f>'Inputs (2)'!X43</f>
        <v>86725</v>
      </c>
      <c r="AD250" s="46">
        <f>'Inputs (2)'!Y43</f>
        <v>89283</v>
      </c>
      <c r="AE250" s="46">
        <f>'Inputs (2)'!Z43</f>
        <v>91695</v>
      </c>
      <c r="AF250" s="46">
        <f>'Inputs (2)'!AA43</f>
        <v>93126</v>
      </c>
      <c r="AG250" s="12">
        <f>'Inputs (2)'!AB43</f>
        <v>93126</v>
      </c>
      <c r="AH250" s="12">
        <f>'Inputs (2)'!AC43</f>
        <v>96902</v>
      </c>
      <c r="AI250" s="12">
        <f>'Inputs (2)'!AD43</f>
        <v>131371</v>
      </c>
      <c r="AJ250" s="12">
        <f>AI250+AJ254</f>
        <v>131371</v>
      </c>
      <c r="AK250" s="12">
        <f>AJ250+AK254</f>
        <v>131371</v>
      </c>
      <c r="AL250" s="12">
        <f>AK250</f>
        <v>131371</v>
      </c>
      <c r="AM250" s="12">
        <f>AL250+AM254</f>
        <v>131371</v>
      </c>
      <c r="AN250" s="12">
        <f>AM250+AN254</f>
        <v>131371</v>
      </c>
      <c r="AO250" s="12">
        <f>AN250+AO254</f>
        <v>131371</v>
      </c>
      <c r="AP250" s="12">
        <f>AO250+AP254</f>
        <v>131371</v>
      </c>
      <c r="AQ250" s="12">
        <f>AP250</f>
        <v>131371</v>
      </c>
      <c r="AR250" s="12">
        <f>AQ250+AR254</f>
        <v>131371</v>
      </c>
      <c r="AS250" s="12">
        <f>AR250+AS254</f>
        <v>131371</v>
      </c>
      <c r="AT250" s="12">
        <f>AS250+AT254</f>
        <v>131371</v>
      </c>
      <c r="AU250" s="12">
        <f>AT250+AU254</f>
        <v>131371</v>
      </c>
      <c r="AV250" s="12">
        <f>AU250</f>
        <v>131371</v>
      </c>
      <c r="AW250" s="12">
        <f>AV250+AW254</f>
        <v>131371</v>
      </c>
      <c r="AX250" s="12">
        <f>AW250+AX254</f>
        <v>131371</v>
      </c>
      <c r="AY250" s="12">
        <f>AX250+AY254</f>
        <v>131371</v>
      </c>
      <c r="AZ250" s="12">
        <f>AY250+AZ254</f>
        <v>131371</v>
      </c>
      <c r="BA250" s="12">
        <f>AZ250</f>
        <v>131371</v>
      </c>
      <c r="BB250" s="12">
        <f>BA250+BB254</f>
        <v>131371</v>
      </c>
      <c r="BC250" s="12">
        <f>BB250+BC254</f>
        <v>131371</v>
      </c>
      <c r="BD250" s="12">
        <f>BC250+BD254</f>
        <v>131371</v>
      </c>
      <c r="BE250" s="12">
        <f>BD250+BE254</f>
        <v>131371</v>
      </c>
      <c r="BF250" s="12">
        <f>BE250</f>
        <v>131371</v>
      </c>
      <c r="BG250" s="12" t="n"/>
      <c r="BH250" s="12" t="n"/>
      <c r="BI250" s="12" t="n"/>
      <c r="BJ250" s="12" t="n"/>
      <c r="BK250" s="12" t="n"/>
      <c r="BL250" s="12" t="n"/>
      <c r="BM250" s="12" t="n"/>
      <c r="BN250" s="12" t="n"/>
      <c r="BO250" s="12" t="n"/>
      <c r="BP250" s="12" t="n"/>
      <c r="BQ250" s="12" t="n"/>
      <c r="BR250" s="12" t="n"/>
      <c r="BS250" s="12" t="n"/>
      <c r="BT250" s="12" t="n"/>
      <c r="BU250" s="12" t="n"/>
      <c r="BV250" s="12" t="n"/>
      <c r="BW250" s="12" t="n"/>
      <c r="BX250" s="12" t="n"/>
      <c r="BY250" s="12" t="n"/>
      <c r="BZ250" s="12" t="n"/>
      <c r="CA250" s="12" t="n"/>
      <c r="CB250" s="12" t="n"/>
      <c r="CC250" s="12" t="n"/>
      <c r="CD250" s="12" t="n"/>
      <c r="CE250" s="12" t="n"/>
      <c r="CF250" s="12" t="n"/>
      <c r="CG250" s="12" t="n"/>
      <c r="CH250" s="12" t="n"/>
      <c r="CI250" s="12" t="n"/>
      <c r="CJ250" s="12" t="n"/>
      <c r="CK250" s="12" t="n"/>
      <c r="CL250" s="12" t="n"/>
      <c r="CM250" s="12" t="n"/>
      <c r="CN250" s="12" t="n"/>
      <c r="CO250" s="12" t="n"/>
      <c r="CP250" s="12" t="n"/>
      <c r="CQ250" s="12" t="n"/>
      <c r="CR250" s="12" t="n"/>
      <c r="CS250" s="12" t="n"/>
      <c r="CT250" s="12" t="n"/>
      <c r="CU250" s="12" t="n"/>
      <c r="CV250" s="12" t="n"/>
      <c r="CW250" s="12" t="n"/>
      <c r="CX250" s="12" t="n"/>
      <c r="CY250" s="12" t="n"/>
    </row>
    <row r="251" hidden="1" outlineLevel="1" customFormat="1" s="66">
      <c r="A251" s="37" t="n"/>
      <c r="B251" s="37" t="n"/>
      <c r="C251" s="67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  <c r="AA251" s="42" t="n"/>
      <c r="AB251" s="42" t="n"/>
      <c r="AC251" s="42" t="n"/>
      <c r="AD251" s="42" t="n"/>
      <c r="AE251" s="42" t="n"/>
      <c r="AF251" s="42" t="n"/>
      <c r="AG251" s="42" t="n"/>
      <c r="AH251" s="42" t="n"/>
      <c r="AI251" s="42" t="n"/>
      <c r="AJ251" s="42" t="n"/>
      <c r="AK251" s="42" t="n"/>
      <c r="AL251" s="42" t="n"/>
      <c r="AM251" s="42" t="n"/>
      <c r="AN251" s="42" t="n"/>
      <c r="AO251" s="42" t="n"/>
      <c r="AP251" s="42" t="n"/>
      <c r="AQ251" s="42" t="n"/>
      <c r="AR251" s="42" t="n"/>
      <c r="AS251" s="42" t="n"/>
      <c r="AT251" s="42" t="n"/>
      <c r="AU251" s="42" t="n"/>
      <c r="AV251" s="42" t="n"/>
      <c r="AW251" s="42" t="n"/>
      <c r="AX251" s="42" t="n"/>
      <c r="AY251" s="42" t="n"/>
      <c r="AZ251" s="42" t="n"/>
      <c r="BA251" s="42" t="n"/>
      <c r="BB251" s="42" t="n"/>
      <c r="BC251" s="42" t="n"/>
      <c r="BD251" s="42" t="n"/>
      <c r="BE251" s="42" t="n"/>
      <c r="BF251" s="42" t="n"/>
      <c r="BG251" s="42" t="n"/>
      <c r="BH251" s="42" t="n"/>
      <c r="BI251" s="42" t="n"/>
      <c r="BJ251" s="42" t="n"/>
      <c r="BK251" s="42" t="n"/>
      <c r="BL251" s="42" t="n"/>
      <c r="BM251" s="42" t="n"/>
      <c r="BN251" s="42" t="n"/>
      <c r="BO251" s="42" t="n"/>
      <c r="BP251" s="42" t="n"/>
      <c r="BQ251" s="42" t="n"/>
      <c r="BR251" s="42" t="n"/>
      <c r="BS251" s="42" t="n"/>
      <c r="BT251" s="42" t="n"/>
      <c r="BU251" s="42" t="n"/>
      <c r="BV251" s="42" t="n"/>
      <c r="BW251" s="42" t="n"/>
      <c r="BX251" s="42" t="n"/>
      <c r="BY251" s="42" t="n"/>
      <c r="BZ251" s="42" t="n"/>
      <c r="CA251" s="42" t="n"/>
      <c r="CB251" s="42" t="n"/>
      <c r="CC251" s="42" t="n"/>
      <c r="CD251" s="42" t="n"/>
      <c r="CE251" s="42" t="n"/>
      <c r="CF251" s="42" t="n"/>
      <c r="CG251" s="42" t="n"/>
      <c r="CH251" s="42" t="n"/>
      <c r="CI251" s="42" t="n"/>
      <c r="CJ251" s="42" t="n"/>
      <c r="CK251" s="42" t="n"/>
      <c r="CL251" s="42" t="n"/>
      <c r="CM251" s="42" t="n"/>
      <c r="CN251" s="42" t="n"/>
      <c r="CO251" s="42" t="n"/>
      <c r="CP251" s="42" t="n"/>
      <c r="CQ251" s="42" t="n"/>
      <c r="CR251" s="42" t="n"/>
      <c r="CS251" s="42" t="n"/>
      <c r="CT251" s="42" t="n"/>
      <c r="CU251" s="42" t="n"/>
      <c r="CV251" s="42" t="n"/>
      <c r="CW251" s="42" t="n"/>
      <c r="CX251" s="42" t="n"/>
      <c r="CY251" s="42" t="n"/>
    </row>
    <row r="252" hidden="1" outlineLevel="1" customFormat="1" s="66">
      <c r="A252" s="37" t="n"/>
      <c r="B252" s="37" t="n"/>
      <c r="C252" s="67" t="inlineStr">
        <is>
          <t>Diluted Shares outstanding</t>
        </is>
      </c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  <c r="AA252" s="42" t="n"/>
      <c r="AB252" s="42" t="n"/>
      <c r="AC252" s="42" t="n"/>
      <c r="AD252" s="42" t="n"/>
      <c r="AE252" s="42" t="n"/>
      <c r="AF252" s="42" t="n"/>
      <c r="AG252" s="42" t="n"/>
      <c r="AH252" s="42" t="n"/>
      <c r="AI252" s="42" t="n"/>
      <c r="AJ252" s="42" t="n"/>
      <c r="AK252" s="42" t="n"/>
      <c r="AL252" s="42" t="n"/>
      <c r="AM252" s="42" t="n"/>
      <c r="AN252" s="42" t="n"/>
      <c r="AO252" s="42" t="n"/>
      <c r="AP252" s="42" t="n"/>
      <c r="AQ252" s="42" t="n"/>
      <c r="AR252" s="42" t="n"/>
      <c r="AS252" s="42" t="n"/>
      <c r="AT252" s="42" t="n"/>
      <c r="AU252" s="42" t="n"/>
      <c r="AV252" s="42" t="n"/>
      <c r="AW252" s="42" t="n"/>
      <c r="AX252" s="42" t="n"/>
      <c r="AY252" s="42" t="n"/>
      <c r="AZ252" s="42" t="n"/>
      <c r="BA252" s="42" t="n"/>
      <c r="BB252" s="42" t="n"/>
      <c r="BC252" s="42" t="n"/>
      <c r="BD252" s="42" t="n"/>
      <c r="BE252" s="42" t="n"/>
      <c r="BF252" s="42" t="n"/>
      <c r="BG252" s="42" t="n"/>
      <c r="BH252" s="42" t="n"/>
      <c r="BI252" s="42" t="n"/>
      <c r="BJ252" s="42" t="n"/>
      <c r="BK252" s="42" t="n"/>
      <c r="BL252" s="42" t="n"/>
      <c r="BM252" s="42" t="n"/>
      <c r="BN252" s="42" t="n"/>
      <c r="BO252" s="42" t="n"/>
      <c r="BP252" s="42" t="n"/>
      <c r="BQ252" s="42" t="n"/>
      <c r="BR252" s="42" t="n"/>
      <c r="BS252" s="42" t="n"/>
      <c r="BT252" s="42" t="n"/>
      <c r="BU252" s="42" t="n"/>
      <c r="BV252" s="42" t="n"/>
      <c r="BW252" s="42" t="n"/>
      <c r="BX252" s="42" t="n"/>
      <c r="BY252" s="42" t="n"/>
      <c r="BZ252" s="42" t="n"/>
      <c r="CA252" s="42" t="n"/>
      <c r="CB252" s="42" t="n"/>
      <c r="CC252" s="42" t="n"/>
      <c r="CD252" s="42" t="n"/>
      <c r="CE252" s="42" t="n"/>
      <c r="CF252" s="42" t="n"/>
      <c r="CG252" s="42" t="n"/>
      <c r="CH252" s="42" t="n"/>
      <c r="CI252" s="42" t="n"/>
      <c r="CJ252" s="42" t="n"/>
      <c r="CK252" s="42" t="n"/>
      <c r="CL252" s="42" t="n"/>
      <c r="CM252" s="42" t="n"/>
      <c r="CN252" s="42" t="n"/>
      <c r="CO252" s="42" t="n"/>
      <c r="CP252" s="42" t="n"/>
      <c r="CQ252" s="42" t="n"/>
      <c r="CR252" s="42" t="n"/>
      <c r="CS252" s="42" t="n"/>
      <c r="CT252" s="42" t="n"/>
      <c r="CU252" s="42" t="n"/>
      <c r="CV252" s="42" t="n"/>
      <c r="CW252" s="42" t="n"/>
      <c r="CX252" s="42" t="n"/>
      <c r="CY252" s="42" t="n"/>
    </row>
    <row r="253" hidden="1" outlineLevel="1" customFormat="1" s="66">
      <c r="A253" s="37" t="n"/>
      <c r="B253" s="37" t="n"/>
      <c r="C253" s="67" t="inlineStr">
        <is>
          <t>Treasury share $ repurchases</t>
        </is>
      </c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  <c r="AA253" s="42" t="n"/>
      <c r="AB253" s="42" t="n"/>
      <c r="AC253" s="42" t="n"/>
      <c r="AD253" s="42" t="n"/>
      <c r="AE253" s="42" t="n"/>
      <c r="AF253" s="42" t="n"/>
      <c r="AG253" s="42" t="n"/>
      <c r="AH253" s="11" t="n"/>
      <c r="AI253" s="11" t="n"/>
      <c r="AJ253" s="11" t="n"/>
      <c r="AK253" s="11" t="n"/>
      <c r="AL253" s="42" t="n"/>
      <c r="AM253" s="11" t="n"/>
      <c r="AN253" s="11" t="n"/>
      <c r="AO253" s="11" t="n"/>
      <c r="AP253" s="11" t="n"/>
      <c r="AQ253" s="42" t="n"/>
      <c r="AR253" s="11" t="n"/>
      <c r="AS253" s="11" t="n"/>
      <c r="AT253" s="11" t="n"/>
      <c r="AU253" s="11" t="n"/>
      <c r="AV253" s="42" t="n"/>
      <c r="AW253" s="11" t="n"/>
      <c r="AX253" s="11" t="n"/>
      <c r="AY253" s="11" t="n"/>
      <c r="AZ253" s="11" t="n"/>
      <c r="BA253" s="42" t="n"/>
      <c r="BB253" s="11" t="n"/>
      <c r="BC253" s="11" t="n"/>
      <c r="BD253" s="11" t="n"/>
      <c r="BE253" s="11" t="n"/>
      <c r="BF253" s="42" t="n"/>
      <c r="BG253" s="11" t="n"/>
      <c r="BH253" s="11" t="n"/>
      <c r="BI253" s="11" t="n"/>
      <c r="BJ253" s="11" t="n"/>
      <c r="BK253" s="42" t="n"/>
      <c r="BL253" s="11" t="n"/>
      <c r="BM253" s="11" t="n"/>
      <c r="BN253" s="11" t="n"/>
      <c r="BO253" s="11" t="n"/>
      <c r="BP253" s="42" t="n"/>
      <c r="BQ253" s="11" t="n"/>
      <c r="BR253" s="11" t="n"/>
      <c r="BS253" s="11" t="n"/>
      <c r="BT253" s="11" t="n"/>
      <c r="BU253" s="42" t="n"/>
      <c r="BV253" s="11" t="n"/>
      <c r="BW253" s="11" t="n"/>
      <c r="BX253" s="11" t="n"/>
      <c r="BY253" s="11" t="n"/>
      <c r="BZ253" s="42" t="n"/>
      <c r="CA253" s="11" t="n"/>
      <c r="CB253" s="11" t="n"/>
      <c r="CC253" s="11" t="n"/>
      <c r="CD253" s="11" t="n"/>
      <c r="CE253" s="42" t="n"/>
      <c r="CF253" s="11" t="n"/>
      <c r="CG253" s="11" t="n"/>
      <c r="CH253" s="11" t="n"/>
      <c r="CI253" s="11" t="n"/>
      <c r="CJ253" s="42" t="n"/>
      <c r="CK253" s="11" t="n"/>
      <c r="CL253" s="11" t="n"/>
      <c r="CM253" s="11" t="n"/>
      <c r="CN253" s="11" t="n"/>
      <c r="CO253" s="42" t="n"/>
      <c r="CP253" s="11" t="n"/>
      <c r="CQ253" s="11" t="n"/>
      <c r="CR253" s="11" t="n"/>
      <c r="CS253" s="11" t="n"/>
      <c r="CT253" s="42" t="n"/>
      <c r="CU253" s="11" t="n"/>
      <c r="CV253" s="11" t="n"/>
      <c r="CW253" s="11" t="n"/>
      <c r="CX253" s="11" t="n"/>
      <c r="CY253" s="42" t="n"/>
    </row>
    <row r="254" hidden="1" outlineLevel="1" customFormat="1" s="66">
      <c r="A254" s="37" t="n"/>
      <c r="B254" s="37" t="n"/>
      <c r="C254" s="67" t="inlineStr">
        <is>
          <t>Value of shares issued</t>
        </is>
      </c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  <c r="AA254" s="42" t="n"/>
      <c r="AB254" s="42" t="n"/>
      <c r="AC254" s="42" t="n"/>
      <c r="AD254" s="42" t="n"/>
      <c r="AE254" s="42" t="n"/>
      <c r="AF254" s="42" t="n"/>
      <c r="AG254" s="42" t="n"/>
      <c r="AH254" s="11" t="n"/>
      <c r="AI254" s="11" t="n"/>
      <c r="AJ254" s="11" t="n"/>
      <c r="AK254" s="11" t="n"/>
      <c r="AL254" s="42" t="n"/>
      <c r="AM254" s="11" t="n"/>
      <c r="AN254" s="11" t="n"/>
      <c r="AO254" s="11" t="n"/>
      <c r="AP254" s="11" t="n"/>
      <c r="AQ254" s="42" t="n"/>
      <c r="AR254" s="11" t="n"/>
      <c r="AS254" s="11" t="n"/>
      <c r="AT254" s="11" t="n"/>
      <c r="AU254" s="11" t="n"/>
      <c r="AV254" s="42" t="n"/>
      <c r="AW254" s="11" t="n"/>
      <c r="AX254" s="11" t="n"/>
      <c r="AY254" s="11" t="n"/>
      <c r="AZ254" s="11" t="n"/>
      <c r="BA254" s="42" t="n"/>
      <c r="BB254" s="11" t="n"/>
      <c r="BC254" s="11" t="n"/>
      <c r="BD254" s="11" t="n"/>
      <c r="BE254" s="11" t="n"/>
      <c r="BF254" s="42" t="n"/>
      <c r="BG254" s="11" t="n"/>
      <c r="BH254" s="11" t="n"/>
      <c r="BI254" s="11" t="n"/>
      <c r="BJ254" s="11" t="n"/>
      <c r="BK254" s="42" t="n"/>
      <c r="BL254" s="11" t="n"/>
      <c r="BM254" s="11" t="n"/>
      <c r="BN254" s="11" t="n"/>
      <c r="BO254" s="11" t="n"/>
      <c r="BP254" s="42" t="n"/>
      <c r="BQ254" s="11" t="n"/>
      <c r="BR254" s="11" t="n"/>
      <c r="BS254" s="11" t="n"/>
      <c r="BT254" s="11" t="n"/>
      <c r="BU254" s="42" t="n"/>
      <c r="BV254" s="11" t="n"/>
      <c r="BW254" s="11" t="n"/>
      <c r="BX254" s="11" t="n"/>
      <c r="BY254" s="11" t="n"/>
      <c r="BZ254" s="42" t="n"/>
      <c r="CA254" s="11" t="n"/>
      <c r="CB254" s="11" t="n"/>
      <c r="CC254" s="11" t="n"/>
      <c r="CD254" s="11" t="n"/>
      <c r="CE254" s="42" t="n"/>
      <c r="CF254" s="11" t="n"/>
      <c r="CG254" s="11" t="n"/>
      <c r="CH254" s="11" t="n"/>
      <c r="CI254" s="11" t="n"/>
      <c r="CJ254" s="42" t="n"/>
      <c r="CK254" s="11" t="n"/>
      <c r="CL254" s="11" t="n"/>
      <c r="CM254" s="11" t="n"/>
      <c r="CN254" s="11" t="n"/>
      <c r="CO254" s="42" t="n"/>
      <c r="CP254" s="11" t="n"/>
      <c r="CQ254" s="11" t="n"/>
      <c r="CR254" s="11" t="n"/>
      <c r="CS254" s="11" t="n"/>
      <c r="CT254" s="42" t="n"/>
      <c r="CU254" s="11" t="n"/>
      <c r="CV254" s="11" t="n"/>
      <c r="CW254" s="11" t="n"/>
      <c r="CX254" s="11" t="n"/>
      <c r="CY254" s="42" t="n"/>
    </row>
    <row r="255" hidden="1" outlineLevel="1" customFormat="1" s="66">
      <c r="A255" s="37" t="n"/>
      <c r="B255" s="37" t="n"/>
      <c r="C255" s="67" t="inlineStr">
        <is>
          <t>Expected average share price</t>
        </is>
      </c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  <c r="AA255" s="42" t="n"/>
      <c r="AB255" s="42" t="n"/>
      <c r="AC255" s="42" t="n"/>
      <c r="AD255" s="42" t="n"/>
      <c r="AE255" s="42" t="n"/>
      <c r="AF255" s="42" t="n"/>
      <c r="AG255" s="42" t="n"/>
      <c r="AH255" s="68">
        <f>AF255*(1+AH256)</f>
        <v>0</v>
      </c>
      <c r="AI255" s="68">
        <f>AH255*(1+AI256)</f>
        <v>0</v>
      </c>
      <c r="AJ255" s="68">
        <f>AH255*(1+AJ256)</f>
        <v>0</v>
      </c>
      <c r="AK255" s="68">
        <f>AJ255*(1+AK256)</f>
        <v>0</v>
      </c>
      <c r="AL255" s="42" t="n"/>
      <c r="AM255" s="68">
        <f>AK255*(1+AM256)</f>
        <v>0</v>
      </c>
      <c r="AN255" s="68">
        <f>AM255*(1+AN256)</f>
        <v>0</v>
      </c>
      <c r="AO255" s="68">
        <f>AM255*(1+AO256)</f>
        <v>0</v>
      </c>
      <c r="AP255" s="68">
        <f>AO255*(1+AP256)</f>
        <v>0</v>
      </c>
      <c r="AQ255" s="42" t="n"/>
      <c r="AR255" s="68">
        <f>AP255*(1+AR256)</f>
        <v>0</v>
      </c>
      <c r="AS255" s="68">
        <f>AR255*(1+AS256)</f>
        <v>0</v>
      </c>
      <c r="AT255" s="68">
        <f>AR255*(1+AT256)</f>
        <v>0</v>
      </c>
      <c r="AU255" s="68">
        <f>AT255*(1+AU256)</f>
        <v>0</v>
      </c>
      <c r="AV255" s="42" t="n"/>
      <c r="AW255" s="68">
        <f>AU255*(1+AW256)</f>
        <v>0</v>
      </c>
      <c r="AX255" s="68">
        <f>AW255*(1+AX256)</f>
        <v>0</v>
      </c>
      <c r="AY255" s="68">
        <f>AW255*(1+AY256)</f>
        <v>0</v>
      </c>
      <c r="AZ255" s="68">
        <f>AY255*(1+AZ256)</f>
        <v>0</v>
      </c>
      <c r="BA255" s="42" t="n"/>
      <c r="BB255" s="68">
        <f>AZ255*(1+BB256)</f>
        <v>0</v>
      </c>
      <c r="BC255" s="68">
        <f>BB255*(1+BC256)</f>
        <v>0</v>
      </c>
      <c r="BD255" s="68">
        <f>BB255*(1+BD256)</f>
        <v>0</v>
      </c>
      <c r="BE255" s="68">
        <f>BD255*(1+BE256)</f>
        <v>0</v>
      </c>
      <c r="BF255" s="42" t="n"/>
      <c r="BG255" s="68" t="n"/>
      <c r="BH255" s="68" t="n"/>
      <c r="BI255" s="68" t="n"/>
      <c r="BJ255" s="68" t="n"/>
      <c r="BK255" s="42" t="n"/>
      <c r="BL255" s="68" t="n"/>
      <c r="BM255" s="68" t="n"/>
      <c r="BN255" s="68" t="n"/>
      <c r="BO255" s="68" t="n"/>
      <c r="BP255" s="42" t="n"/>
      <c r="BQ255" s="68" t="n"/>
      <c r="BR255" s="68" t="n"/>
      <c r="BS255" s="68" t="n"/>
      <c r="BT255" s="68" t="n"/>
      <c r="BU255" s="42" t="n"/>
      <c r="BV255" s="68" t="n"/>
      <c r="BW255" s="68" t="n"/>
      <c r="BX255" s="68" t="n"/>
      <c r="BY255" s="68" t="n"/>
      <c r="BZ255" s="42" t="n"/>
      <c r="CA255" s="68" t="n"/>
      <c r="CB255" s="68" t="n"/>
      <c r="CC255" s="68" t="n"/>
      <c r="CD255" s="68" t="n"/>
      <c r="CE255" s="42" t="n"/>
      <c r="CF255" s="68" t="n"/>
      <c r="CG255" s="68" t="n"/>
      <c r="CH255" s="68" t="n"/>
      <c r="CI255" s="68" t="n"/>
      <c r="CJ255" s="42" t="n"/>
      <c r="CK255" s="68" t="n"/>
      <c r="CL255" s="68" t="n"/>
      <c r="CM255" s="68" t="n"/>
      <c r="CN255" s="68" t="n"/>
      <c r="CO255" s="42" t="n"/>
      <c r="CP255" s="68" t="n"/>
      <c r="CQ255" s="68" t="n"/>
      <c r="CR255" s="68" t="n"/>
      <c r="CS255" s="68" t="n"/>
      <c r="CT255" s="42" t="n"/>
      <c r="CU255" s="68" t="n"/>
      <c r="CV255" s="68" t="n"/>
      <c r="CW255" s="68" t="n"/>
      <c r="CX255" s="68" t="n"/>
      <c r="CY255" s="42" t="n"/>
    </row>
    <row r="256" hidden="1" outlineLevel="1" customFormat="1" s="66">
      <c r="A256" s="37" t="n"/>
      <c r="B256" s="37" t="n"/>
      <c r="C256" s="67" t="inlineStr">
        <is>
          <t>Consensus EPS growth</t>
        </is>
      </c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  <c r="AA256" s="42" t="n"/>
      <c r="AB256" s="42" t="n"/>
      <c r="AC256" s="42" t="n"/>
      <c r="AD256" s="42" t="n"/>
      <c r="AE256" s="42" t="n"/>
      <c r="AF256" s="42" t="n"/>
      <c r="AG256" s="42" t="n"/>
      <c r="AH256" s="58">
        <f>$AL$261</f>
        <v>0</v>
      </c>
      <c r="AI256" s="58">
        <f>$AL$261</f>
        <v>0</v>
      </c>
      <c r="AJ256" s="58">
        <f>$AL$261</f>
        <v>0</v>
      </c>
      <c r="AK256" s="58">
        <f>$AL$261</f>
        <v>0</v>
      </c>
      <c r="AL256" s="42" t="n"/>
      <c r="AM256" s="58">
        <f>$AL$261</f>
        <v>0</v>
      </c>
      <c r="AN256" s="58">
        <f>$AL$261</f>
        <v>0</v>
      </c>
      <c r="AO256" s="58">
        <f>$AL$261</f>
        <v>0</v>
      </c>
      <c r="AP256" s="58">
        <f>$AL$261</f>
        <v>0</v>
      </c>
      <c r="AQ256" s="42" t="n"/>
      <c r="AR256" s="58">
        <f>$AL$261</f>
        <v>0</v>
      </c>
      <c r="AS256" s="58">
        <f>$AL$261</f>
        <v>0</v>
      </c>
      <c r="AT256" s="58">
        <f>$AL$261</f>
        <v>0</v>
      </c>
      <c r="AU256" s="58">
        <f>$AL$261</f>
        <v>0</v>
      </c>
      <c r="AV256" s="42" t="n"/>
      <c r="AW256" s="58">
        <f>$AL$261</f>
        <v>0</v>
      </c>
      <c r="AX256" s="58">
        <f>$AL$261</f>
        <v>0</v>
      </c>
      <c r="AY256" s="58">
        <f>$AL$261</f>
        <v>0</v>
      </c>
      <c r="AZ256" s="58">
        <f>$AL$261</f>
        <v>0</v>
      </c>
      <c r="BA256" s="42" t="n"/>
      <c r="BB256" s="58">
        <f>$AL$261</f>
        <v>0</v>
      </c>
      <c r="BC256" s="58">
        <f>$AL$261</f>
        <v>0</v>
      </c>
      <c r="BD256" s="58">
        <f>$AL$261</f>
        <v>0</v>
      </c>
      <c r="BE256" s="58">
        <f>$AL$261</f>
        <v>0</v>
      </c>
      <c r="BF256" s="42" t="n"/>
      <c r="BG256" s="58" t="n"/>
      <c r="BH256" s="58" t="n"/>
      <c r="BI256" s="58" t="n"/>
      <c r="BJ256" s="58" t="n"/>
      <c r="BK256" s="42" t="n"/>
      <c r="BL256" s="58" t="n"/>
      <c r="BM256" s="58" t="n"/>
      <c r="BN256" s="58" t="n"/>
      <c r="BO256" s="58" t="n"/>
      <c r="BP256" s="42" t="n"/>
      <c r="BQ256" s="58" t="n"/>
      <c r="BR256" s="58" t="n"/>
      <c r="BS256" s="58" t="n"/>
      <c r="BT256" s="58" t="n"/>
      <c r="BU256" s="42" t="n"/>
      <c r="BV256" s="58" t="n"/>
      <c r="BW256" s="58" t="n"/>
      <c r="BX256" s="58" t="n"/>
      <c r="BY256" s="58" t="n"/>
      <c r="BZ256" s="42" t="n"/>
      <c r="CA256" s="58" t="n"/>
      <c r="CB256" s="58" t="n"/>
      <c r="CC256" s="58" t="n"/>
      <c r="CD256" s="58" t="n"/>
      <c r="CE256" s="42" t="n"/>
      <c r="CF256" s="58" t="n"/>
      <c r="CG256" s="58" t="n"/>
      <c r="CH256" s="58" t="n"/>
      <c r="CI256" s="58" t="n"/>
      <c r="CJ256" s="42" t="n"/>
      <c r="CK256" s="58" t="n"/>
      <c r="CL256" s="58" t="n"/>
      <c r="CM256" s="58" t="n"/>
      <c r="CN256" s="58" t="n"/>
      <c r="CO256" s="42" t="n"/>
      <c r="CP256" s="58" t="n"/>
      <c r="CQ256" s="58" t="n"/>
      <c r="CR256" s="58" t="n"/>
      <c r="CS256" s="58" t="n"/>
      <c r="CT256" s="42" t="n"/>
      <c r="CU256" s="58" t="n"/>
      <c r="CV256" s="58" t="n"/>
      <c r="CW256" s="58" t="n"/>
      <c r="CX256" s="58" t="n"/>
      <c r="CY256" s="42" t="n"/>
    </row>
    <row r="257" hidden="1" outlineLevel="1" customFormat="1" s="66">
      <c r="A257" s="37" t="n"/>
      <c r="B257" s="37" t="n"/>
      <c r="C257" s="67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  <c r="AA257" s="42" t="n"/>
      <c r="AB257" s="42" t="n"/>
      <c r="AC257" s="42" t="n"/>
      <c r="AD257" s="42" t="n"/>
      <c r="AE257" s="42" t="n"/>
      <c r="AF257" s="42" t="n"/>
      <c r="AG257" s="42" t="n"/>
      <c r="AH257" s="12" t="n"/>
      <c r="AI257" s="12" t="n"/>
      <c r="AJ257" s="12" t="n"/>
      <c r="AK257" s="12" t="n"/>
      <c r="AL257" s="42" t="n"/>
      <c r="AM257" s="12" t="n"/>
      <c r="AN257" s="12" t="n"/>
      <c r="AO257" s="12" t="n"/>
      <c r="AP257" s="12" t="n"/>
      <c r="AQ257" s="42" t="n"/>
      <c r="AR257" s="12" t="n"/>
      <c r="AS257" s="12" t="n"/>
      <c r="AT257" s="12" t="n"/>
      <c r="AU257" s="12" t="n"/>
      <c r="AV257" s="42" t="n"/>
      <c r="AW257" s="12" t="n"/>
      <c r="AX257" s="12" t="n"/>
      <c r="AY257" s="12" t="n"/>
      <c r="AZ257" s="12" t="n"/>
      <c r="BA257" s="42" t="n"/>
      <c r="BB257" s="12" t="n"/>
      <c r="BC257" s="12" t="n"/>
      <c r="BD257" s="12" t="n"/>
      <c r="BE257" s="12" t="n"/>
      <c r="BF257" s="42" t="n"/>
      <c r="BG257" s="12" t="n"/>
      <c r="BH257" s="12" t="n"/>
      <c r="BI257" s="12" t="n"/>
      <c r="BJ257" s="12" t="n"/>
      <c r="BK257" s="42" t="n"/>
      <c r="BL257" s="12" t="n"/>
      <c r="BM257" s="12" t="n"/>
      <c r="BN257" s="12" t="n"/>
      <c r="BO257" s="12" t="n"/>
      <c r="BP257" s="42" t="n"/>
      <c r="BQ257" s="12" t="n"/>
      <c r="BR257" s="12" t="n"/>
      <c r="BS257" s="12" t="n"/>
      <c r="BT257" s="12" t="n"/>
      <c r="BU257" s="42" t="n"/>
      <c r="BV257" s="12" t="n"/>
      <c r="BW257" s="12" t="n"/>
      <c r="BX257" s="12" t="n"/>
      <c r="BY257" s="12" t="n"/>
      <c r="BZ257" s="42" t="n"/>
      <c r="CA257" s="12" t="n"/>
      <c r="CB257" s="12" t="n"/>
      <c r="CC257" s="12" t="n"/>
      <c r="CD257" s="12" t="n"/>
      <c r="CE257" s="42" t="n"/>
      <c r="CF257" s="12" t="n"/>
      <c r="CG257" s="12" t="n"/>
      <c r="CH257" s="12" t="n"/>
      <c r="CI257" s="12" t="n"/>
      <c r="CJ257" s="42" t="n"/>
      <c r="CK257" s="12" t="n"/>
      <c r="CL257" s="12" t="n"/>
      <c r="CM257" s="12" t="n"/>
      <c r="CN257" s="12" t="n"/>
      <c r="CO257" s="42" t="n"/>
      <c r="CP257" s="12" t="n"/>
      <c r="CQ257" s="12" t="n"/>
      <c r="CR257" s="12" t="n"/>
      <c r="CS257" s="12" t="n"/>
      <c r="CT257" s="42" t="n"/>
      <c r="CU257" s="12" t="n"/>
      <c r="CV257" s="12" t="n"/>
      <c r="CW257" s="12" t="n"/>
      <c r="CX257" s="12" t="n"/>
      <c r="CY257" s="42" t="n"/>
    </row>
    <row r="258" hidden="1" outlineLevel="1" customFormat="1" s="66">
      <c r="A258" s="37" t="n"/>
      <c r="B258" s="37" t="n"/>
      <c r="C258" s="67" t="inlineStr">
        <is>
          <t>Shares repurchased</t>
        </is>
      </c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  <c r="AA258" s="42" t="n"/>
      <c r="AB258" s="42" t="n"/>
      <c r="AC258" s="42" t="n"/>
      <c r="AD258" s="42" t="n"/>
      <c r="AE258" s="42" t="n"/>
      <c r="AF258" s="42" t="n"/>
      <c r="AG258" s="42" t="n"/>
      <c r="AH258" s="69" t="str">
        <f>IFERROR(-AH253/AH255,"")</f>
        <v/>
      </c>
      <c r="AI258" s="69" t="str">
        <f>IFERROR(-AI253/AI255,"")</f>
        <v/>
      </c>
      <c r="AJ258" s="69" t="str">
        <f>IFERROR(-AJ253/AJ255,"")</f>
        <v/>
      </c>
      <c r="AK258" s="69" t="str">
        <f>IFERROR(-AK253/AK255,"")</f>
        <v/>
      </c>
      <c r="AL258" s="42" t="n"/>
      <c r="AM258" s="69" t="str">
        <f>IFERROR(-AM253/AM255,"")</f>
        <v/>
      </c>
      <c r="AN258" s="69" t="str">
        <f>IFERROR(-AN253/AN255,"")</f>
        <v/>
      </c>
      <c r="AO258" s="69" t="str">
        <f>IFERROR(-AO253/AO255,"")</f>
        <v/>
      </c>
      <c r="AP258" s="69" t="str">
        <f>IFERROR(-AP253/AP255,"")</f>
        <v/>
      </c>
      <c r="AQ258" s="42" t="n"/>
      <c r="AR258" s="69" t="str">
        <f>IFERROR(-AR253/AR255,"")</f>
        <v/>
      </c>
      <c r="AS258" s="69" t="str">
        <f>IFERROR(-AS253/AS255,"")</f>
        <v/>
      </c>
      <c r="AT258" s="69" t="str">
        <f>IFERROR(-AT253/AT255,"")</f>
        <v/>
      </c>
      <c r="AU258" s="69" t="str">
        <f>IFERROR(-AU253/AU255,"")</f>
        <v/>
      </c>
      <c r="AV258" s="42" t="n"/>
      <c r="AW258" s="69" t="str">
        <f>IFERROR(-AW253/AW255,"")</f>
        <v/>
      </c>
      <c r="AX258" s="69" t="str">
        <f>IFERROR(-AX253/AX255,"")</f>
        <v/>
      </c>
      <c r="AY258" s="69" t="str">
        <f>IFERROR(-AY253/AY255,"")</f>
        <v/>
      </c>
      <c r="AZ258" s="69" t="str">
        <f>IFERROR(-AZ253/AZ255,"")</f>
        <v/>
      </c>
      <c r="BA258" s="42" t="n"/>
      <c r="BB258" s="69" t="str">
        <f>IFERROR(-BB253/BB255,"")</f>
        <v/>
      </c>
      <c r="BC258" s="69" t="str">
        <f>IFERROR(-BC253/BC255,"")</f>
        <v/>
      </c>
      <c r="BD258" s="69" t="str">
        <f>IFERROR(-BD253/BD255,"")</f>
        <v/>
      </c>
      <c r="BE258" s="69" t="str">
        <f>IFERROR(-BE253/BE255,"")</f>
        <v/>
      </c>
      <c r="BF258" s="42" t="n"/>
      <c r="BG258" s="69" t="n"/>
      <c r="BH258" s="69" t="n"/>
      <c r="BI258" s="69" t="n"/>
      <c r="BJ258" s="69" t="n"/>
      <c r="BK258" s="42" t="n"/>
      <c r="BL258" s="69" t="n"/>
      <c r="BM258" s="69" t="n"/>
      <c r="BN258" s="69" t="n"/>
      <c r="BO258" s="69" t="n"/>
      <c r="BP258" s="42" t="n"/>
      <c r="BQ258" s="69" t="n"/>
      <c r="BR258" s="69" t="n"/>
      <c r="BS258" s="69" t="n"/>
      <c r="BT258" s="69" t="n"/>
      <c r="BU258" s="42" t="n"/>
      <c r="BV258" s="69" t="n"/>
      <c r="BW258" s="69" t="n"/>
      <c r="BX258" s="69" t="n"/>
      <c r="BY258" s="69" t="n"/>
      <c r="BZ258" s="42" t="n"/>
      <c r="CA258" s="69" t="n"/>
      <c r="CB258" s="69" t="n"/>
      <c r="CC258" s="69" t="n"/>
      <c r="CD258" s="69" t="n"/>
      <c r="CE258" s="42" t="n"/>
      <c r="CF258" s="69" t="n"/>
      <c r="CG258" s="69" t="n"/>
      <c r="CH258" s="69" t="n"/>
      <c r="CI258" s="69" t="n"/>
      <c r="CJ258" s="42" t="n"/>
      <c r="CK258" s="69" t="n"/>
      <c r="CL258" s="69" t="n"/>
      <c r="CM258" s="69" t="n"/>
      <c r="CN258" s="69" t="n"/>
      <c r="CO258" s="42" t="n"/>
      <c r="CP258" s="69" t="n"/>
      <c r="CQ258" s="69" t="n"/>
      <c r="CR258" s="69" t="n"/>
      <c r="CS258" s="69" t="n"/>
      <c r="CT258" s="42" t="n"/>
      <c r="CU258" s="69" t="n"/>
      <c r="CV258" s="69" t="n"/>
      <c r="CW258" s="69" t="n"/>
      <c r="CX258" s="69" t="n"/>
      <c r="CY258" s="42" t="n"/>
    </row>
    <row r="259" hidden="1" outlineLevel="1" customFormat="1" s="66">
      <c r="A259" s="37" t="n"/>
      <c r="B259" s="37" t="n"/>
      <c r="C259" s="67" t="inlineStr">
        <is>
          <t>Shares issued</t>
        </is>
      </c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  <c r="AA259" s="42" t="n"/>
      <c r="AB259" s="42" t="n"/>
      <c r="AC259" s="42" t="n"/>
      <c r="AD259" s="42" t="n"/>
      <c r="AE259" s="42" t="n"/>
      <c r="AF259" s="9" t="n"/>
      <c r="AG259" s="42" t="n"/>
      <c r="AH259" s="69" t="str">
        <f>IFERROR(AH254/AH255,"")</f>
        <v/>
      </c>
      <c r="AI259" s="69" t="str">
        <f>IFERROR(AI254/AI255,"")</f>
        <v/>
      </c>
      <c r="AJ259" s="69" t="str">
        <f>IFERROR(AJ254/AJ255,"")</f>
        <v/>
      </c>
      <c r="AK259" s="69" t="str">
        <f>IFERROR(AK254/AK255,"")</f>
        <v/>
      </c>
      <c r="AL259" s="42" t="n"/>
      <c r="AM259" s="69" t="str">
        <f>IFERROR(AM254/AM255,"")</f>
        <v/>
      </c>
      <c r="AN259" s="69" t="str">
        <f>IFERROR(AN254/AN255,"")</f>
        <v/>
      </c>
      <c r="AO259" s="69" t="str">
        <f>IFERROR(AO254/AO255,"")</f>
        <v/>
      </c>
      <c r="AP259" s="69" t="str">
        <f>IFERROR(AP254/AP255,"")</f>
        <v/>
      </c>
      <c r="AQ259" s="42" t="n"/>
      <c r="AR259" s="69" t="str">
        <f>IFERROR(AR254/AR255,"")</f>
        <v/>
      </c>
      <c r="AS259" s="69" t="str">
        <f>IFERROR(AS254/AS255,"")</f>
        <v/>
      </c>
      <c r="AT259" s="69" t="str">
        <f>IFERROR(AT254/AT255,"")</f>
        <v/>
      </c>
      <c r="AU259" s="69" t="str">
        <f>IFERROR(AU254/AU255,"")</f>
        <v/>
      </c>
      <c r="AV259" s="42" t="n"/>
      <c r="AW259" s="69" t="str">
        <f>IFERROR(AW254/AW255,"")</f>
        <v/>
      </c>
      <c r="AX259" s="69" t="str">
        <f>IFERROR(AX254/AX255,"")</f>
        <v/>
      </c>
      <c r="AY259" s="69" t="str">
        <f>IFERROR(AY254/AY255,"")</f>
        <v/>
      </c>
      <c r="AZ259" s="69" t="str">
        <f>IFERROR(AZ254/AZ255,"")</f>
        <v/>
      </c>
      <c r="BA259" s="42" t="n"/>
      <c r="BB259" s="69" t="str">
        <f>IFERROR(BB254/BB255,"")</f>
        <v/>
      </c>
      <c r="BC259" s="69" t="str">
        <f>IFERROR(BC254/BC255,"")</f>
        <v/>
      </c>
      <c r="BD259" s="69" t="str">
        <f>IFERROR(BD254/BD255,"")</f>
        <v/>
      </c>
      <c r="BE259" s="69" t="str">
        <f>IFERROR(BE254/BE255,"")</f>
        <v/>
      </c>
      <c r="BF259" s="42" t="n"/>
      <c r="BG259" s="69" t="n"/>
      <c r="BH259" s="69" t="n"/>
      <c r="BI259" s="69" t="n"/>
      <c r="BJ259" s="69" t="n"/>
      <c r="BK259" s="42" t="n"/>
      <c r="BL259" s="69" t="n"/>
      <c r="BM259" s="69" t="n"/>
      <c r="BN259" s="69" t="n"/>
      <c r="BO259" s="69" t="n"/>
      <c r="BP259" s="42" t="n"/>
      <c r="BQ259" s="69" t="n"/>
      <c r="BR259" s="69" t="n"/>
      <c r="BS259" s="69" t="n"/>
      <c r="BT259" s="69" t="n"/>
      <c r="BU259" s="42" t="n"/>
      <c r="BV259" s="69" t="n"/>
      <c r="BW259" s="69" t="n"/>
      <c r="BX259" s="69" t="n"/>
      <c r="BY259" s="69" t="n"/>
      <c r="BZ259" s="42" t="n"/>
      <c r="CA259" s="69" t="n"/>
      <c r="CB259" s="69" t="n"/>
      <c r="CC259" s="69" t="n"/>
      <c r="CD259" s="69" t="n"/>
      <c r="CE259" s="42" t="n"/>
      <c r="CF259" s="69" t="n"/>
      <c r="CG259" s="69" t="n"/>
      <c r="CH259" s="69" t="n"/>
      <c r="CI259" s="69" t="n"/>
      <c r="CJ259" s="42" t="n"/>
      <c r="CK259" s="69" t="n"/>
      <c r="CL259" s="69" t="n"/>
      <c r="CM259" s="69" t="n"/>
      <c r="CN259" s="69" t="n"/>
      <c r="CO259" s="42" t="n"/>
      <c r="CP259" s="69" t="n"/>
      <c r="CQ259" s="69" t="n"/>
      <c r="CR259" s="69" t="n"/>
      <c r="CS259" s="69" t="n"/>
      <c r="CT259" s="42" t="n"/>
      <c r="CU259" s="69" t="n"/>
      <c r="CV259" s="69" t="n"/>
      <c r="CW259" s="69" t="n"/>
      <c r="CX259" s="69" t="n"/>
      <c r="CY259" s="42" t="n"/>
    </row>
    <row r="260" hidden="1" outlineLevel="1" customFormat="1" s="66">
      <c r="A260" s="37" t="n"/>
      <c r="B260" s="37" t="n"/>
      <c r="C260" s="67" t="inlineStr">
        <is>
          <t>End of period basic shares outstanding</t>
        </is>
      </c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  <c r="AA260" s="42" t="n"/>
      <c r="AB260" s="42" t="n"/>
      <c r="AC260" s="42" t="n"/>
      <c r="AD260" s="42" t="n"/>
      <c r="AE260" s="42" t="n"/>
      <c r="AF260" s="42" t="n"/>
      <c r="AG260" s="42" t="n"/>
      <c r="AH260" s="3" t="str">
        <f>IFERROR(AG260+AH259-AH258,"")</f>
        <v/>
      </c>
      <c r="AI260" s="3" t="str">
        <f>IFERROR(AH260+AI259-AI258,"")</f>
        <v/>
      </c>
      <c r="AJ260" s="69" t="str">
        <f>IFERROR(AH260+AJ259-AJ258,"")</f>
        <v/>
      </c>
      <c r="AK260" s="69" t="str">
        <f>IFERROR(AJ260+AK259-AK258,"")</f>
        <v/>
      </c>
      <c r="AL260" s="42" t="n"/>
      <c r="AM260" s="3" t="str">
        <f>IFERROR(AK260+AM259-AM258,"")</f>
        <v/>
      </c>
      <c r="AN260" s="3" t="str">
        <f>IFERROR(AM260+AN259-AN258,"")</f>
        <v/>
      </c>
      <c r="AO260" s="69" t="str">
        <f>IFERROR(AM260+AO259-AO258,"")</f>
        <v/>
      </c>
      <c r="AP260" s="69" t="str">
        <f>IFERROR(AO260+AP259-AP258,"")</f>
        <v/>
      </c>
      <c r="AQ260" s="42" t="n"/>
      <c r="AR260" s="3" t="str">
        <f>IFERROR(AP260+AR259-AR258,"")</f>
        <v/>
      </c>
      <c r="AS260" s="3" t="str">
        <f>IFERROR(AR260+AS259-AS258,"")</f>
        <v/>
      </c>
      <c r="AT260" s="69" t="str">
        <f>IFERROR(AR260+AT259-AT258,"")</f>
        <v/>
      </c>
      <c r="AU260" s="69" t="str">
        <f>IFERROR(AT260+AU259-AU258,"")</f>
        <v/>
      </c>
      <c r="AV260" s="42" t="n"/>
      <c r="AW260" s="3" t="str">
        <f>IFERROR(AU260+AW259-AW258,"")</f>
        <v/>
      </c>
      <c r="AX260" s="3" t="str">
        <f>IFERROR(AW260+AX259-AX258,"")</f>
        <v/>
      </c>
      <c r="AY260" s="69" t="str">
        <f>IFERROR(AW260+AY259-AY258,"")</f>
        <v/>
      </c>
      <c r="AZ260" s="69" t="str">
        <f>IFERROR(AY260+AZ259-AZ258,"")</f>
        <v/>
      </c>
      <c r="BA260" s="42" t="n"/>
      <c r="BB260" s="3" t="str">
        <f>IFERROR(AZ260+BB259-BB258,"")</f>
        <v/>
      </c>
      <c r="BC260" s="3" t="str">
        <f>IFERROR(BB260+BC259-BC258,"")</f>
        <v/>
      </c>
      <c r="BD260" s="69" t="str">
        <f>IFERROR(BB260+BD259-BD258,"")</f>
        <v/>
      </c>
      <c r="BE260" s="69" t="str">
        <f>IFERROR(BD260+BE259-BE258,"")</f>
        <v/>
      </c>
      <c r="BF260" s="42" t="n"/>
      <c r="BG260" s="3" t="n"/>
      <c r="BH260" s="3" t="n"/>
      <c r="BI260" s="69" t="n"/>
      <c r="BJ260" s="69" t="n"/>
      <c r="BK260" s="42" t="n"/>
      <c r="BL260" s="3" t="n"/>
      <c r="BM260" s="3" t="n"/>
      <c r="BN260" s="69" t="n"/>
      <c r="BO260" s="69" t="n"/>
      <c r="BP260" s="42" t="n"/>
      <c r="BQ260" s="3" t="n"/>
      <c r="BR260" s="3" t="n"/>
      <c r="BS260" s="69" t="n"/>
      <c r="BT260" s="69" t="n"/>
      <c r="BU260" s="42" t="n"/>
      <c r="BV260" s="3" t="n"/>
      <c r="BW260" s="3" t="n"/>
      <c r="BX260" s="69" t="n"/>
      <c r="BY260" s="69" t="n"/>
      <c r="BZ260" s="42" t="n"/>
      <c r="CA260" s="3" t="n"/>
      <c r="CB260" s="3" t="n"/>
      <c r="CC260" s="69" t="n"/>
      <c r="CD260" s="69" t="n"/>
      <c r="CE260" s="42" t="n"/>
      <c r="CF260" s="3" t="n"/>
      <c r="CG260" s="3" t="n"/>
      <c r="CH260" s="69" t="n"/>
      <c r="CI260" s="69" t="n"/>
      <c r="CJ260" s="42" t="n"/>
      <c r="CK260" s="3" t="n"/>
      <c r="CL260" s="3" t="n"/>
      <c r="CM260" s="69" t="n"/>
      <c r="CN260" s="69" t="n"/>
      <c r="CO260" s="42" t="n"/>
      <c r="CP260" s="3" t="n"/>
      <c r="CQ260" s="3" t="n"/>
      <c r="CR260" s="69" t="n"/>
      <c r="CS260" s="69" t="n"/>
      <c r="CT260" s="42" t="n"/>
      <c r="CU260" s="3" t="n"/>
      <c r="CV260" s="3" t="n"/>
      <c r="CW260" s="69" t="n"/>
      <c r="CX260" s="69" t="n"/>
      <c r="CY260" s="42" t="n"/>
    </row>
    <row r="261" hidden="1" outlineLevel="1" customFormat="1" s="66">
      <c r="A261" s="37" t="n"/>
      <c r="B261" s="37" t="n"/>
      <c r="C261" s="67" t="inlineStr">
        <is>
          <t>Weighted average basic shares outstanding</t>
        </is>
      </c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  <c r="AA261" s="42" t="n"/>
      <c r="AB261" s="42" t="n"/>
      <c r="AC261" s="42" t="n"/>
      <c r="AD261" s="42" t="n"/>
      <c r="AE261" s="42" t="n"/>
      <c r="AF261" s="42" t="n"/>
      <c r="AG261" s="42" t="n"/>
      <c r="AH261" s="69" t="str">
        <f>IFERROR(AVERAGE(AG260,AH260),"")</f>
        <v/>
      </c>
      <c r="AI261" s="69" t="str">
        <f>IFERROR(AVERAGE(AH260,AI260),"")</f>
        <v/>
      </c>
      <c r="AJ261" s="69" t="str">
        <f>IFERROR(AVERAGE(AH260,AJ260),"")</f>
        <v/>
      </c>
      <c r="AK261" s="69" t="str">
        <f>IFERROR(AVERAGE(AJ260,AK260),"")</f>
        <v/>
      </c>
      <c r="AL261" s="42" t="n"/>
      <c r="AM261" s="69" t="str">
        <f>IFERROR(AVERAGE(AL260,AM260),"")</f>
        <v/>
      </c>
      <c r="AN261" s="69" t="str">
        <f>IFERROR(AVERAGE(AM260,AN260),"")</f>
        <v/>
      </c>
      <c r="AO261" s="69" t="str">
        <f>IFERROR(AVERAGE(AM260,AO260),"")</f>
        <v/>
      </c>
      <c r="AP261" s="69" t="str">
        <f>IFERROR(AVERAGE(AO260,AP260),"")</f>
        <v/>
      </c>
      <c r="AQ261" s="42" t="n"/>
      <c r="AR261" s="69" t="str">
        <f>IFERROR(AVERAGE(AQ260,AR260),"")</f>
        <v/>
      </c>
      <c r="AS261" s="69" t="str">
        <f>IFERROR(AVERAGE(AR260,AS260),"")</f>
        <v/>
      </c>
      <c r="AT261" s="69" t="str">
        <f>IFERROR(AVERAGE(AR260,AT260),"")</f>
        <v/>
      </c>
      <c r="AU261" s="69" t="str">
        <f>IFERROR(AVERAGE(AT260,AU260),"")</f>
        <v/>
      </c>
      <c r="AV261" s="42" t="n"/>
      <c r="AW261" s="69" t="str">
        <f>IFERROR(AVERAGE(AV260,AW260),"")</f>
        <v/>
      </c>
      <c r="AX261" s="69" t="str">
        <f>IFERROR(AVERAGE(AW260,AX260),"")</f>
        <v/>
      </c>
      <c r="AY261" s="69" t="str">
        <f>IFERROR(AVERAGE(AW260,AY260),"")</f>
        <v/>
      </c>
      <c r="AZ261" s="69" t="str">
        <f>IFERROR(AVERAGE(AY260,AZ260),"")</f>
        <v/>
      </c>
      <c r="BA261" s="42" t="n"/>
      <c r="BB261" s="69" t="str">
        <f>IFERROR(AVERAGE(BA260,BB260),"")</f>
        <v/>
      </c>
      <c r="BC261" s="69" t="str">
        <f>IFERROR(AVERAGE(BB260,BC260),"")</f>
        <v/>
      </c>
      <c r="BD261" s="69" t="str">
        <f>IFERROR(AVERAGE(BB260,BD260),"")</f>
        <v/>
      </c>
      <c r="BE261" s="69" t="str">
        <f>IFERROR(AVERAGE(BD260,BE260),"")</f>
        <v/>
      </c>
      <c r="BF261" s="42" t="n"/>
      <c r="BG261" s="69" t="n"/>
      <c r="BH261" s="69" t="n"/>
      <c r="BI261" s="69" t="n"/>
      <c r="BJ261" s="69" t="n"/>
      <c r="BK261" s="42" t="n"/>
      <c r="BL261" s="69" t="n"/>
      <c r="BM261" s="69" t="n"/>
      <c r="BN261" s="69" t="n"/>
      <c r="BO261" s="69" t="n"/>
      <c r="BP261" s="42" t="n"/>
      <c r="BQ261" s="69" t="n"/>
      <c r="BR261" s="69" t="n"/>
      <c r="BS261" s="69" t="n"/>
      <c r="BT261" s="69" t="n"/>
      <c r="BU261" s="42" t="n"/>
      <c r="BV261" s="69" t="n"/>
      <c r="BW261" s="69" t="n"/>
      <c r="BX261" s="69" t="n"/>
      <c r="BY261" s="69" t="n"/>
      <c r="BZ261" s="42" t="n"/>
      <c r="CA261" s="69" t="n"/>
      <c r="CB261" s="69" t="n"/>
      <c r="CC261" s="69" t="n"/>
      <c r="CD261" s="69" t="n"/>
      <c r="CE261" s="42" t="n"/>
      <c r="CF261" s="69" t="n"/>
      <c r="CG261" s="69" t="n"/>
      <c r="CH261" s="69" t="n"/>
      <c r="CI261" s="69" t="n"/>
      <c r="CJ261" s="42" t="n"/>
      <c r="CK261" s="69" t="n"/>
      <c r="CL261" s="69" t="n"/>
      <c r="CM261" s="69" t="n"/>
      <c r="CN261" s="69" t="n"/>
      <c r="CO261" s="42" t="n"/>
      <c r="CP261" s="69" t="n"/>
      <c r="CQ261" s="69" t="n"/>
      <c r="CR261" s="69" t="n"/>
      <c r="CS261" s="69" t="n"/>
      <c r="CT261" s="42" t="n"/>
      <c r="CU261" s="69" t="n"/>
      <c r="CV261" s="69" t="n"/>
      <c r="CW261" s="69" t="n"/>
      <c r="CX261" s="69" t="n"/>
      <c r="CY261" s="42" t="n"/>
    </row>
    <row r="262" hidden="1" outlineLevel="1" customFormat="1" s="66">
      <c r="A262" s="37" t="n"/>
      <c r="B262" s="37" t="n"/>
      <c r="C262" s="67" t="n"/>
      <c r="D262" s="42" t="n"/>
      <c r="E262" s="42" t="n"/>
      <c r="F262" s="42" t="n"/>
      <c r="G262" s="42" t="n"/>
      <c r="H262" s="12" t="n"/>
      <c r="I262" s="42" t="n"/>
      <c r="J262" s="42" t="n"/>
      <c r="K262" s="42" t="n"/>
      <c r="L262" s="42" t="n"/>
      <c r="M262" s="12" t="n"/>
      <c r="N262" s="42" t="n"/>
      <c r="O262" s="42" t="n"/>
      <c r="P262" s="42" t="n"/>
      <c r="Q262" s="42" t="n"/>
      <c r="R262" s="12" t="n"/>
      <c r="S262" s="42" t="n"/>
      <c r="T262" s="42" t="n"/>
      <c r="U262" s="42" t="n"/>
      <c r="V262" s="42" t="n"/>
      <c r="W262" s="12" t="n"/>
      <c r="X262" s="42" t="n"/>
      <c r="Y262" s="42" t="n"/>
      <c r="Z262" s="42" t="n"/>
      <c r="AA262" s="42" t="n"/>
      <c r="AB262" s="12" t="n"/>
      <c r="AC262" s="42" t="n"/>
      <c r="AD262" s="42" t="n"/>
      <c r="AE262" s="42" t="n"/>
      <c r="AF262" s="42" t="n"/>
      <c r="AG262" s="12" t="n"/>
      <c r="AH262" s="42" t="n"/>
      <c r="AI262" s="42" t="n"/>
      <c r="AJ262" s="42" t="n"/>
      <c r="AK262" s="42" t="n"/>
      <c r="AL262" s="12" t="n"/>
      <c r="AM262" s="42" t="n"/>
      <c r="AN262" s="42" t="n"/>
      <c r="AO262" s="42" t="n"/>
      <c r="AP262" s="42" t="n"/>
      <c r="AQ262" s="12" t="n"/>
      <c r="AR262" s="42" t="n"/>
      <c r="AS262" s="42" t="n"/>
      <c r="AT262" s="42" t="n"/>
      <c r="AU262" s="42" t="n"/>
      <c r="AV262" s="12" t="n"/>
      <c r="AW262" s="42" t="n"/>
      <c r="AX262" s="42" t="n"/>
      <c r="AY262" s="42" t="n"/>
      <c r="AZ262" s="42" t="n"/>
      <c r="BA262" s="12" t="n"/>
      <c r="BB262" s="42" t="n"/>
      <c r="BC262" s="42" t="n"/>
      <c r="BD262" s="42" t="n"/>
      <c r="BE262" s="42" t="n"/>
      <c r="BF262" s="12" t="n"/>
      <c r="BG262" s="42" t="n"/>
      <c r="BH262" s="42" t="n"/>
      <c r="BI262" s="42" t="n"/>
      <c r="BJ262" s="42" t="n"/>
      <c r="BK262" s="12" t="n"/>
      <c r="BL262" s="42" t="n"/>
      <c r="BM262" s="42" t="n"/>
      <c r="BN262" s="42" t="n"/>
      <c r="BO262" s="42" t="n"/>
      <c r="BP262" s="12" t="n"/>
      <c r="BQ262" s="42" t="n"/>
      <c r="BR262" s="42" t="n"/>
      <c r="BS262" s="42" t="n"/>
      <c r="BT262" s="42" t="n"/>
      <c r="BU262" s="12" t="n"/>
      <c r="BV262" s="42" t="n"/>
      <c r="BW262" s="42" t="n"/>
      <c r="BX262" s="42" t="n"/>
      <c r="BY262" s="42" t="n"/>
      <c r="BZ262" s="12" t="n"/>
      <c r="CA262" s="42" t="n"/>
      <c r="CB262" s="42" t="n"/>
      <c r="CC262" s="42" t="n"/>
      <c r="CD262" s="42" t="n"/>
      <c r="CE262" s="12" t="n"/>
      <c r="CF262" s="42" t="n"/>
      <c r="CG262" s="42" t="n"/>
      <c r="CH262" s="42" t="n"/>
      <c r="CI262" s="42" t="n"/>
      <c r="CJ262" s="12" t="n"/>
      <c r="CK262" s="42" t="n"/>
      <c r="CL262" s="42" t="n"/>
      <c r="CM262" s="42" t="n"/>
      <c r="CN262" s="42" t="n"/>
      <c r="CO262" s="12" t="n"/>
      <c r="CP262" s="42" t="n"/>
      <c r="CQ262" s="42" t="n"/>
      <c r="CR262" s="42" t="n"/>
      <c r="CS262" s="42" t="n"/>
      <c r="CT262" s="12" t="n"/>
      <c r="CU262" s="42" t="n"/>
      <c r="CV262" s="42" t="n"/>
      <c r="CW262" s="42" t="n"/>
      <c r="CX262" s="42" t="n"/>
      <c r="CY262" s="12" t="n"/>
    </row>
    <row r="263" collapsed="1">
      <c r="C263" s="14" t="inlineStr">
        <is>
          <t>Treasury stock (contra account)</t>
        </is>
      </c>
      <c r="D263" s="46" t="n"/>
      <c r="E263" s="46" t="n"/>
      <c r="F263" s="46" t="n"/>
      <c r="G263" s="46" t="n"/>
      <c r="H263" s="12" t="n"/>
      <c r="I263" s="46">
        <f>'Inputs (2)'!D44</f>
        <v>0</v>
      </c>
      <c r="J263" s="46">
        <f>'Inputs (2)'!E44</f>
        <v>0</v>
      </c>
      <c r="K263" s="46">
        <f>'Inputs (2)'!F44</f>
        <v>0</v>
      </c>
      <c r="L263" s="46">
        <f>'Inputs (2)'!G44</f>
        <v>0</v>
      </c>
      <c r="M263" s="12">
        <f>'Inputs (2)'!H44</f>
        <v>0</v>
      </c>
      <c r="N263" s="46">
        <f>'Inputs (2)'!I44</f>
        <v>0</v>
      </c>
      <c r="O263" s="46">
        <f>'Inputs (2)'!J44</f>
        <v>0</v>
      </c>
      <c r="P263" s="46">
        <f>'Inputs (2)'!K44</f>
        <v>0</v>
      </c>
      <c r="Q263" s="46">
        <f>'Inputs (2)'!L44</f>
        <v>0</v>
      </c>
      <c r="R263" s="12">
        <f>'Inputs (2)'!M44</f>
        <v>0</v>
      </c>
      <c r="S263" s="46">
        <f>'Inputs (2)'!N44</f>
        <v>0</v>
      </c>
      <c r="T263" s="46">
        <f>'Inputs (2)'!O44</f>
        <v>0</v>
      </c>
      <c r="U263" s="46">
        <f>'Inputs (2)'!P44</f>
        <v>0</v>
      </c>
      <c r="V263" s="46">
        <f>'Inputs (2)'!Q44</f>
        <v>0</v>
      </c>
      <c r="W263" s="12">
        <f>'Inputs (2)'!R44</f>
        <v>0</v>
      </c>
      <c r="X263" s="46">
        <f>'Inputs (2)'!S44</f>
        <v>0</v>
      </c>
      <c r="Y263" s="46">
        <f>'Inputs (2)'!T44</f>
        <v>0</v>
      </c>
      <c r="Z263" s="46">
        <f>'Inputs (2)'!U44</f>
        <v>0</v>
      </c>
      <c r="AA263" s="46">
        <f>'Inputs (2)'!V44</f>
        <v>0</v>
      </c>
      <c r="AB263" s="12">
        <f>'Inputs (2)'!W44</f>
        <v>0</v>
      </c>
      <c r="AC263" s="46">
        <f>'Inputs (2)'!X44</f>
        <v>0</v>
      </c>
      <c r="AD263" s="46">
        <f>'Inputs (2)'!Y44</f>
        <v>0</v>
      </c>
      <c r="AE263" s="46">
        <f>'Inputs (2)'!Z44</f>
        <v>0</v>
      </c>
      <c r="AF263" s="46">
        <f>'Inputs (2)'!AA44</f>
        <v>0</v>
      </c>
      <c r="AG263" s="12">
        <f>'Inputs (2)'!AB44</f>
        <v>0</v>
      </c>
      <c r="AH263" s="12">
        <f>'Inputs (2)'!AC44</f>
        <v>0</v>
      </c>
      <c r="AI263" s="12">
        <f>'Inputs (2)'!AD44</f>
        <v>0</v>
      </c>
      <c r="AJ263" s="12">
        <f>AI263</f>
        <v>0</v>
      </c>
      <c r="AK263" s="12">
        <f>AJ263</f>
        <v>0</v>
      </c>
      <c r="AL263" s="12">
        <f>AK263</f>
        <v>0</v>
      </c>
      <c r="AM263" s="12">
        <f>AL263</f>
        <v>0</v>
      </c>
      <c r="AN263" s="12">
        <f>AM263</f>
        <v>0</v>
      </c>
      <c r="AO263" s="12">
        <f>AN263</f>
        <v>0</v>
      </c>
      <c r="AP263" s="12">
        <f>AO263</f>
        <v>0</v>
      </c>
      <c r="AQ263" s="12">
        <f>AP263</f>
        <v>0</v>
      </c>
      <c r="AR263" s="12">
        <f>AQ263</f>
        <v>0</v>
      </c>
      <c r="AS263" s="12">
        <f>AR263</f>
        <v>0</v>
      </c>
      <c r="AT263" s="12">
        <f>AS263</f>
        <v>0</v>
      </c>
      <c r="AU263" s="12">
        <f>AT263</f>
        <v>0</v>
      </c>
      <c r="AV263" s="12">
        <f>AU263</f>
        <v>0</v>
      </c>
      <c r="AW263" s="12">
        <f>AV263</f>
        <v>0</v>
      </c>
      <c r="AX263" s="12">
        <f>AW263</f>
        <v>0</v>
      </c>
      <c r="AY263" s="12">
        <f>AX263</f>
        <v>0</v>
      </c>
      <c r="AZ263" s="12">
        <f>AY263</f>
        <v>0</v>
      </c>
      <c r="BA263" s="12">
        <f>AZ263</f>
        <v>0</v>
      </c>
      <c r="BB263" s="12">
        <f>BA263</f>
        <v>0</v>
      </c>
      <c r="BC263" s="12">
        <f>BB263</f>
        <v>0</v>
      </c>
      <c r="BD263" s="12">
        <f>BC263</f>
        <v>0</v>
      </c>
      <c r="BE263" s="12">
        <f>BD263</f>
        <v>0</v>
      </c>
      <c r="BF263" s="12">
        <f>BE263</f>
        <v>0</v>
      </c>
      <c r="BG263" s="12" t="n"/>
      <c r="BH263" s="12" t="n"/>
      <c r="BI263" s="12" t="n"/>
      <c r="BJ263" s="12" t="n"/>
      <c r="BK263" s="12" t="n"/>
      <c r="BL263" s="12" t="n"/>
      <c r="BM263" s="12" t="n"/>
      <c r="BN263" s="12" t="n"/>
      <c r="BO263" s="12" t="n"/>
      <c r="BP263" s="12" t="n"/>
      <c r="BQ263" s="12" t="n"/>
      <c r="BR263" s="12" t="n"/>
      <c r="BS263" s="12" t="n"/>
      <c r="BT263" s="12" t="n"/>
      <c r="BU263" s="12" t="n"/>
      <c r="BV263" s="12" t="n"/>
      <c r="BW263" s="12" t="n"/>
      <c r="BX263" s="12" t="n"/>
      <c r="BY263" s="12" t="n"/>
      <c r="BZ263" s="12" t="n"/>
      <c r="CA263" s="12" t="n"/>
      <c r="CB263" s="12" t="n"/>
      <c r="CC263" s="12" t="n"/>
      <c r="CD263" s="12" t="n"/>
      <c r="CE263" s="12" t="n"/>
      <c r="CF263" s="12" t="n"/>
      <c r="CG263" s="12" t="n"/>
      <c r="CH263" s="12" t="n"/>
      <c r="CI263" s="12" t="n"/>
      <c r="CJ263" s="12" t="n"/>
      <c r="CK263" s="12" t="n"/>
      <c r="CL263" s="12" t="n"/>
      <c r="CM263" s="12" t="n"/>
      <c r="CN263" s="12" t="n"/>
      <c r="CO263" s="12" t="n"/>
      <c r="CP263" s="12" t="n"/>
      <c r="CQ263" s="12" t="n"/>
      <c r="CR263" s="12" t="n"/>
      <c r="CS263" s="12" t="n"/>
      <c r="CT263" s="12" t="n"/>
      <c r="CU263" s="12" t="n"/>
      <c r="CV263" s="12" t="n"/>
      <c r="CW263" s="12" t="n"/>
      <c r="CX263" s="12" t="n"/>
      <c r="CY263" s="12" t="n"/>
    </row>
    <row r="264">
      <c r="C264" s="14" t="inlineStr">
        <is>
          <t>Comprehensive (accumulated) loss</t>
        </is>
      </c>
      <c r="D264" s="46" t="n"/>
      <c r="E264" s="46" t="n"/>
      <c r="F264" s="46" t="n"/>
      <c r="G264" s="46" t="n"/>
      <c r="H264" s="12" t="n"/>
      <c r="I264" s="46">
        <f>'Inputs (2)'!D45</f>
        <v>-3</v>
      </c>
      <c r="J264" s="46">
        <f>'Inputs (2)'!E45</f>
        <v>190</v>
      </c>
      <c r="K264" s="46">
        <f>'Inputs (2)'!F45</f>
        <v>-408</v>
      </c>
      <c r="L264" s="46">
        <f>'Inputs (2)'!G45</f>
        <v>-1623</v>
      </c>
      <c r="M264" s="12">
        <f>'Inputs (2)'!H45</f>
        <v>-1623</v>
      </c>
      <c r="N264" s="46">
        <f>'Inputs (2)'!I45</f>
        <v>-4049</v>
      </c>
      <c r="O264" s="46">
        <f>'Inputs (2)'!J45</f>
        <v>-5828</v>
      </c>
      <c r="P264" s="46">
        <f>'Inputs (2)'!K45</f>
        <v>-8852</v>
      </c>
      <c r="Q264" s="46">
        <f>'Inputs (2)'!L45</f>
        <v>-7603</v>
      </c>
      <c r="R264" s="12">
        <f>'Inputs (2)'!M45</f>
        <v>-7603</v>
      </c>
      <c r="S264" s="46">
        <f>'Inputs (2)'!N45</f>
        <v>-6000</v>
      </c>
      <c r="T264" s="46">
        <f>'Inputs (2)'!O45</f>
        <v>-5991</v>
      </c>
      <c r="U264" s="46">
        <f>'Inputs (2)'!P45</f>
        <v>-7036</v>
      </c>
      <c r="V264" s="46">
        <f>'Inputs (2)'!Q45</f>
        <v>-4402</v>
      </c>
      <c r="W264" s="12">
        <f>'Inputs (2)'!R45</f>
        <v>-4402</v>
      </c>
      <c r="X264" s="46">
        <f>'Inputs (2)'!S45</f>
        <v>-4839</v>
      </c>
      <c r="Y264" s="46">
        <f>'Inputs (2)'!T45</f>
        <v>-5012</v>
      </c>
      <c r="Z264" s="46">
        <f>'Inputs (2)'!U45</f>
        <v>-3228</v>
      </c>
      <c r="AA264" s="46">
        <f>'Inputs (2)'!V45</f>
        <v>-4800</v>
      </c>
      <c r="AB264" s="12">
        <f>'Inputs (2)'!W45</f>
        <v>-4800</v>
      </c>
      <c r="AC264" s="46">
        <f>'Inputs (2)'!X45</f>
        <v>-4086</v>
      </c>
      <c r="AD264" s="46">
        <f>'Inputs (2)'!Y45</f>
        <v>-2127</v>
      </c>
      <c r="AE264" s="46">
        <f>'Inputs (2)'!Z45</f>
        <v>-2054</v>
      </c>
      <c r="AF264" s="46">
        <f>'Inputs (2)'!AA45</f>
        <v>-1916</v>
      </c>
      <c r="AG264" s="12">
        <f>'Inputs (2)'!AB45</f>
        <v>-1916</v>
      </c>
      <c r="AH264" s="12">
        <f>'Inputs (2)'!AC45</f>
        <v>-2180</v>
      </c>
      <c r="AI264" s="12">
        <f>'Inputs (2)'!AD45</f>
        <v>-2285</v>
      </c>
      <c r="AJ264" s="12">
        <f>AI264</f>
        <v>-2285</v>
      </c>
      <c r="AK264" s="12">
        <f>AJ264</f>
        <v>-2285</v>
      </c>
      <c r="AL264" s="12">
        <f>AK264</f>
        <v>-2285</v>
      </c>
      <c r="AM264" s="12">
        <f>AL264</f>
        <v>-2285</v>
      </c>
      <c r="AN264" s="12">
        <f>AM264</f>
        <v>-2285</v>
      </c>
      <c r="AO264" s="12">
        <f>AN264</f>
        <v>-2285</v>
      </c>
      <c r="AP264" s="12">
        <f>AO264</f>
        <v>-2285</v>
      </c>
      <c r="AQ264" s="12">
        <f>AP264</f>
        <v>-2285</v>
      </c>
      <c r="AR264" s="12">
        <f>AQ264</f>
        <v>-2285</v>
      </c>
      <c r="AS264" s="12">
        <f>AR264</f>
        <v>-2285</v>
      </c>
      <c r="AT264" s="12">
        <f>AS264</f>
        <v>-2285</v>
      </c>
      <c r="AU264" s="12">
        <f>AT264</f>
        <v>-2285</v>
      </c>
      <c r="AV264" s="12">
        <f>AU264</f>
        <v>-2285</v>
      </c>
      <c r="AW264" s="12">
        <f>AV264</f>
        <v>-2285</v>
      </c>
      <c r="AX264" s="12">
        <f>AW264</f>
        <v>-2285</v>
      </c>
      <c r="AY264" s="12">
        <f>AX264</f>
        <v>-2285</v>
      </c>
      <c r="AZ264" s="12">
        <f>AY264</f>
        <v>-2285</v>
      </c>
      <c r="BA264" s="12">
        <f>AZ264</f>
        <v>-2285</v>
      </c>
      <c r="BB264" s="12">
        <f>BA264</f>
        <v>-2285</v>
      </c>
      <c r="BC264" s="12">
        <f>BB264</f>
        <v>-2285</v>
      </c>
      <c r="BD264" s="12">
        <f>BC264</f>
        <v>-2285</v>
      </c>
      <c r="BE264" s="12">
        <f>BD264</f>
        <v>-2285</v>
      </c>
      <c r="BF264" s="12">
        <f>BE264</f>
        <v>-2285</v>
      </c>
      <c r="BG264" s="12" t="n"/>
      <c r="BH264" s="12" t="n"/>
      <c r="BI264" s="12" t="n"/>
      <c r="BJ264" s="12" t="n"/>
      <c r="BK264" s="12" t="n"/>
      <c r="BL264" s="12" t="n"/>
      <c r="BM264" s="12" t="n"/>
      <c r="BN264" s="12" t="n"/>
      <c r="BO264" s="12" t="n"/>
      <c r="BP264" s="12" t="n"/>
      <c r="BQ264" s="12" t="n"/>
      <c r="BR264" s="12" t="n"/>
      <c r="BS264" s="12" t="n"/>
      <c r="BT264" s="12" t="n"/>
      <c r="BU264" s="12" t="n"/>
      <c r="BV264" s="12" t="n"/>
      <c r="BW264" s="12" t="n"/>
      <c r="BX264" s="12" t="n"/>
      <c r="BY264" s="12" t="n"/>
      <c r="BZ264" s="12" t="n"/>
      <c r="CA264" s="12" t="n"/>
      <c r="CB264" s="12" t="n"/>
      <c r="CC264" s="12" t="n"/>
      <c r="CD264" s="12" t="n"/>
      <c r="CE264" s="12" t="n"/>
      <c r="CF264" s="12" t="n"/>
      <c r="CG264" s="12" t="n"/>
      <c r="CH264" s="12" t="n"/>
      <c r="CI264" s="12" t="n"/>
      <c r="CJ264" s="12" t="n"/>
      <c r="CK264" s="12" t="n"/>
      <c r="CL264" s="12" t="n"/>
      <c r="CM264" s="12" t="n"/>
      <c r="CN264" s="12" t="n"/>
      <c r="CO264" s="12" t="n"/>
      <c r="CP264" s="12" t="n"/>
      <c r="CQ264" s="12" t="n"/>
      <c r="CR264" s="12" t="n"/>
      <c r="CS264" s="12" t="n"/>
      <c r="CT264" s="12" t="n"/>
      <c r="CU264" s="12" t="n"/>
      <c r="CV264" s="12" t="n"/>
      <c r="CW264" s="12" t="n"/>
      <c r="CX264" s="12" t="n"/>
      <c r="CY264" s="12" t="n"/>
    </row>
    <row r="265">
      <c r="C265" s="14" t="inlineStr">
        <is>
          <t>Other equity account</t>
        </is>
      </c>
      <c r="D265" s="46" t="n"/>
      <c r="E265" s="46" t="n"/>
      <c r="F265" s="46" t="n"/>
      <c r="G265" s="46" t="n"/>
      <c r="H265" s="12" t="n"/>
      <c r="I265" s="46">
        <f>'Inputs (2)'!D46</f>
        <v>0</v>
      </c>
      <c r="J265" s="46">
        <f>'Inputs (2)'!E46</f>
        <v>0</v>
      </c>
      <c r="K265" s="46">
        <f>'Inputs (2)'!F46</f>
        <v>0</v>
      </c>
      <c r="L265" s="46">
        <f>'Inputs (2)'!G46</f>
        <v>0</v>
      </c>
      <c r="M265" s="12">
        <f>'Inputs (2)'!H46</f>
        <v>0</v>
      </c>
      <c r="N265" s="46">
        <f>'Inputs (2)'!I46</f>
        <v>0</v>
      </c>
      <c r="O265" s="46">
        <f>'Inputs (2)'!J46</f>
        <v>0</v>
      </c>
      <c r="P265" s="46">
        <f>'Inputs (2)'!K46</f>
        <v>0</v>
      </c>
      <c r="Q265" s="46">
        <f>'Inputs (2)'!L46</f>
        <v>0</v>
      </c>
      <c r="R265" s="12">
        <f>'Inputs (2)'!M46</f>
        <v>0</v>
      </c>
      <c r="S265" s="46">
        <f>'Inputs (2)'!N46</f>
        <v>0</v>
      </c>
      <c r="T265" s="46">
        <f>'Inputs (2)'!O46</f>
        <v>0</v>
      </c>
      <c r="U265" s="46">
        <f>'Inputs (2)'!P46</f>
        <v>0</v>
      </c>
      <c r="V265" s="46">
        <f>'Inputs (2)'!Q46</f>
        <v>0</v>
      </c>
      <c r="W265" s="12">
        <f>'Inputs (2)'!R46</f>
        <v>0</v>
      </c>
      <c r="X265" s="46">
        <f>'Inputs (2)'!S46</f>
        <v>0</v>
      </c>
      <c r="Y265" s="46">
        <f>'Inputs (2)'!T46</f>
        <v>0</v>
      </c>
      <c r="Z265" s="46">
        <f>'Inputs (2)'!U46</f>
        <v>0</v>
      </c>
      <c r="AA265" s="46">
        <f>'Inputs (2)'!V46</f>
        <v>0</v>
      </c>
      <c r="AB265" s="12">
        <f>'Inputs (2)'!W46</f>
        <v>0</v>
      </c>
      <c r="AC265" s="46">
        <f>'Inputs (2)'!X46</f>
        <v>0</v>
      </c>
      <c r="AD265" s="46">
        <f>'Inputs (2)'!Y46</f>
        <v>0</v>
      </c>
      <c r="AE265" s="46">
        <f>'Inputs (2)'!Z46</f>
        <v>0</v>
      </c>
      <c r="AF265" s="46">
        <f>'Inputs (2)'!AA46</f>
        <v>0</v>
      </c>
      <c r="AG265" s="12">
        <f>'Inputs (2)'!AB46</f>
        <v>0</v>
      </c>
      <c r="AH265" s="12">
        <f>'Inputs (2)'!AC46</f>
        <v>0</v>
      </c>
      <c r="AI265" s="12">
        <f>'Inputs (2)'!AD46</f>
        <v>18023</v>
      </c>
      <c r="AJ265" s="12">
        <f>AI265</f>
        <v>18023</v>
      </c>
      <c r="AK265" s="12">
        <f>AJ265</f>
        <v>18023</v>
      </c>
      <c r="AL265" s="12">
        <f>AK265</f>
        <v>18023</v>
      </c>
      <c r="AM265" s="12">
        <f>AL265</f>
        <v>18023</v>
      </c>
      <c r="AN265" s="12">
        <f>AM265</f>
        <v>18023</v>
      </c>
      <c r="AO265" s="12">
        <f>AN265</f>
        <v>18023</v>
      </c>
      <c r="AP265" s="12">
        <f>AO265</f>
        <v>18023</v>
      </c>
      <c r="AQ265" s="12">
        <f>AP265</f>
        <v>18023</v>
      </c>
      <c r="AR265" s="12">
        <f>AQ265</f>
        <v>18023</v>
      </c>
      <c r="AS265" s="12">
        <f>AR265</f>
        <v>18023</v>
      </c>
      <c r="AT265" s="12">
        <f>AS265</f>
        <v>18023</v>
      </c>
      <c r="AU265" s="12">
        <f>AT265</f>
        <v>18023</v>
      </c>
      <c r="AV265" s="12">
        <f>AU265</f>
        <v>18023</v>
      </c>
      <c r="AW265" s="12">
        <f>AV265</f>
        <v>18023</v>
      </c>
      <c r="AX265" s="12">
        <f>AW265</f>
        <v>18023</v>
      </c>
      <c r="AY265" s="12">
        <f>AX265</f>
        <v>18023</v>
      </c>
      <c r="AZ265" s="12">
        <f>AY265</f>
        <v>18023</v>
      </c>
      <c r="BA265" s="12">
        <f>AZ265</f>
        <v>18023</v>
      </c>
      <c r="BB265" s="12">
        <f>BA265</f>
        <v>18023</v>
      </c>
      <c r="BC265" s="12">
        <f>BB265</f>
        <v>18023</v>
      </c>
      <c r="BD265" s="12">
        <f>BC265</f>
        <v>18023</v>
      </c>
      <c r="BE265" s="12">
        <f>BD265</f>
        <v>18023</v>
      </c>
      <c r="BF265" s="12">
        <f>BE265</f>
        <v>18023</v>
      </c>
      <c r="BG265" s="12" t="n"/>
      <c r="BH265" s="12" t="n"/>
      <c r="BI265" s="12" t="n"/>
      <c r="BJ265" s="12" t="n"/>
      <c r="BK265" s="12" t="n"/>
      <c r="BL265" s="12" t="n"/>
      <c r="BM265" s="12" t="n"/>
      <c r="BN265" s="12" t="n"/>
      <c r="BO265" s="12" t="n"/>
      <c r="BP265" s="12" t="n"/>
      <c r="BQ265" s="12" t="n"/>
      <c r="BR265" s="12" t="n"/>
      <c r="BS265" s="12" t="n"/>
      <c r="BT265" s="12" t="n"/>
      <c r="BU265" s="12" t="n"/>
      <c r="BV265" s="12" t="n"/>
      <c r="BW265" s="12" t="n"/>
      <c r="BX265" s="12" t="n"/>
      <c r="BY265" s="12" t="n"/>
      <c r="BZ265" s="12" t="n"/>
      <c r="CA265" s="12" t="n"/>
      <c r="CB265" s="12" t="n"/>
      <c r="CC265" s="12" t="n"/>
      <c r="CD265" s="12" t="n"/>
      <c r="CE265" s="12" t="n"/>
      <c r="CF265" s="12" t="n"/>
      <c r="CG265" s="12" t="n"/>
      <c r="CH265" s="12" t="n"/>
      <c r="CI265" s="12" t="n"/>
      <c r="CJ265" s="12" t="n"/>
      <c r="CK265" s="12" t="n"/>
      <c r="CL265" s="12" t="n"/>
      <c r="CM265" s="12" t="n"/>
      <c r="CN265" s="12" t="n"/>
      <c r="CO265" s="12" t="n"/>
      <c r="CP265" s="12" t="n"/>
      <c r="CQ265" s="12" t="n"/>
      <c r="CR265" s="12" t="n"/>
      <c r="CS265" s="12" t="n"/>
      <c r="CT265" s="12" t="n"/>
      <c r="CU265" s="12" t="n"/>
      <c r="CV265" s="12" t="n"/>
      <c r="CW265" s="12" t="n"/>
      <c r="CX265" s="12" t="n"/>
      <c r="CY265" s="12" t="n"/>
    </row>
    <row r="266">
      <c r="C266" s="15" t="inlineStr">
        <is>
          <t>Retained earnings</t>
        </is>
      </c>
      <c r="D266" s="46" t="n"/>
      <c r="E266" s="46" t="n"/>
      <c r="F266" s="46" t="n"/>
      <c r="G266" s="46" t="n"/>
      <c r="H266" s="12" t="n"/>
      <c r="I266" s="46">
        <f>'Inputs (2)'!D47</f>
        <v>170580</v>
      </c>
      <c r="J266" s="46">
        <f>'Inputs (2)'!E47</f>
        <v>176939</v>
      </c>
      <c r="K266" s="46">
        <f>'Inputs (2)'!F47</f>
        <v>183782</v>
      </c>
      <c r="L266" s="46">
        <f>'Inputs (2)'!G47</f>
        <v>191484</v>
      </c>
      <c r="M266" s="12">
        <f>'Inputs (2)'!H47</f>
        <v>191484</v>
      </c>
      <c r="N266" s="46">
        <f>'Inputs (2)'!I47</f>
        <v>195221</v>
      </c>
      <c r="O266" s="46">
        <f>'Inputs (2)'!J47</f>
        <v>196845</v>
      </c>
      <c r="P266" s="46">
        <f>'Inputs (2)'!K47</f>
        <v>196220</v>
      </c>
      <c r="Q266" s="46">
        <f>'Inputs (2)'!L47</f>
        <v>195563</v>
      </c>
      <c r="R266" s="12">
        <f>'Inputs (2)'!M47</f>
        <v>195563</v>
      </c>
      <c r="S266" s="46">
        <f>'Inputs (2)'!N47</f>
        <v>196625</v>
      </c>
      <c r="T266" s="46">
        <f>'Inputs (2)'!O47</f>
        <v>200884</v>
      </c>
      <c r="U266" s="46">
        <f>'Inputs (2)'!P47</f>
        <v>205647</v>
      </c>
      <c r="V266" s="46">
        <f>'Inputs (2)'!Q47</f>
        <v>211247</v>
      </c>
      <c r="W266" s="12">
        <f>'Inputs (2)'!R47</f>
        <v>211247</v>
      </c>
      <c r="X266" s="46">
        <f>'Inputs (2)'!S47</f>
        <v>219770</v>
      </c>
      <c r="Y266" s="46">
        <f>'Inputs (2)'!T47</f>
        <v>226033</v>
      </c>
      <c r="Z266" s="46">
        <f>'Inputs (2)'!U47</f>
        <v>235317</v>
      </c>
      <c r="AA266" s="46">
        <f>'Inputs (2)'!V47</f>
        <v>245084</v>
      </c>
      <c r="AB266" s="12">
        <f>'Inputs (2)'!W47</f>
        <v>245084</v>
      </c>
      <c r="AC266" s="46">
        <f>'Inputs (2)'!X47</f>
        <v>262628</v>
      </c>
      <c r="AD266" s="46">
        <f>'Inputs (2)'!Y47</f>
        <v>275760</v>
      </c>
      <c r="AE266" s="46">
        <f>'Inputs (2)'!Z47</f>
        <v>297226</v>
      </c>
      <c r="AF266" s="46">
        <f>'Inputs (2)'!AA47</f>
        <v>324055</v>
      </c>
      <c r="AG266" s="12">
        <f>'Inputs (2)'!AB47</f>
        <v>324055</v>
      </c>
      <c r="AH266" s="12">
        <f>'Inputs (2)'!AC47</f>
        <v>384024</v>
      </c>
      <c r="AI266" s="12">
        <f>'Inputs (2)'!AD47</f>
        <v>493371</v>
      </c>
      <c r="AJ266" s="12">
        <f>AI266+AJ133+AJ134</f>
        <v>552635.288000059</v>
      </c>
      <c r="AK266" s="12">
        <f>AJ266+AK133+AK134</f>
        <v>618548.901026055</v>
      </c>
      <c r="AL266" s="12">
        <f>AK266</f>
        <v>618548.901026055</v>
      </c>
      <c r="AM266" s="12">
        <f>AL266+AM133+AM134</f>
        <v>682185.078248951</v>
      </c>
      <c r="AN266" s="12">
        <f>AM266+AN133+AN134</f>
        <v>751553.931406427</v>
      </c>
      <c r="AO266" s="12">
        <f>AN266+AO133+AO134</f>
        <v>821268.088766283</v>
      </c>
      <c r="AP266" s="12">
        <f>AO266+AP133+AP134</f>
        <v>898804.023908987</v>
      </c>
      <c r="AQ266" s="12">
        <f>AP266</f>
        <v>898804.023908987</v>
      </c>
      <c r="AR266" s="12">
        <f>AQ266+AR133+AR134</f>
        <v>973342.769890741</v>
      </c>
      <c r="AS266" s="12">
        <f>AR266+AS133+AS134</f>
        <v>1054596.3515828</v>
      </c>
      <c r="AT266" s="12">
        <f>AS266+AT133+AT134</f>
        <v>1136254.39726611</v>
      </c>
      <c r="AU266" s="12">
        <f>AT266+AU133+AU134</f>
        <v>1227074.29918788</v>
      </c>
      <c r="AV266" s="12">
        <f>AU266</f>
        <v>1227074.29918788</v>
      </c>
      <c r="AW266" s="12">
        <f>AV266+AW133+AW134</f>
        <v>1314010.82004312</v>
      </c>
      <c r="AX266" s="12">
        <f>AW266+AX133+AX134</f>
        <v>1408779.03228355</v>
      </c>
      <c r="AY266" s="12">
        <f>AX266+AY133+AY134</f>
        <v>1504018.98162859</v>
      </c>
      <c r="AZ266" s="12">
        <f>AY266+AZ133+AZ134</f>
        <v>1609944.64744843</v>
      </c>
      <c r="BA266" s="12">
        <f>AZ266</f>
        <v>1609944.64744843</v>
      </c>
      <c r="BB266" s="12">
        <f>BA266+BB133+BB134</f>
        <v>1710906.34009661</v>
      </c>
      <c r="BC266" s="12">
        <f>BB266+BC133+BC134</f>
        <v>1820963.18413536</v>
      </c>
      <c r="BD266" s="12">
        <f>BC266+BD133+BD134</f>
        <v>1931567.86901358</v>
      </c>
      <c r="BE266" s="12">
        <f>BD266+BE133+BE134</f>
        <v>2054582.16048568</v>
      </c>
      <c r="BF266" s="12">
        <f>BE266</f>
        <v>2054582.16048568</v>
      </c>
      <c r="BG266" s="12" t="n"/>
      <c r="BH266" s="12" t="n"/>
      <c r="BI266" s="12" t="n"/>
      <c r="BJ266" s="12" t="n"/>
      <c r="BK266" s="12" t="n"/>
      <c r="BL266" s="12" t="n"/>
      <c r="BM266" s="12" t="n"/>
      <c r="BN266" s="12" t="n"/>
      <c r="BO266" s="12" t="n"/>
      <c r="BP266" s="12" t="n"/>
      <c r="BQ266" s="12" t="n"/>
      <c r="BR266" s="12" t="n"/>
      <c r="BS266" s="12" t="n"/>
      <c r="BT266" s="12" t="n"/>
      <c r="BU266" s="12" t="n"/>
      <c r="BV266" s="12" t="n"/>
      <c r="BW266" s="12" t="n"/>
      <c r="BX266" s="12" t="n"/>
      <c r="BY266" s="12" t="n"/>
      <c r="BZ266" s="12" t="n"/>
      <c r="CA266" s="12" t="n"/>
      <c r="CB266" s="12" t="n"/>
      <c r="CC266" s="12" t="n"/>
      <c r="CD266" s="12" t="n"/>
      <c r="CE266" s="12" t="n"/>
      <c r="CF266" s="12" t="n"/>
      <c r="CG266" s="12" t="n"/>
      <c r="CH266" s="12" t="n"/>
      <c r="CI266" s="12" t="n"/>
      <c r="CJ266" s="12" t="n"/>
      <c r="CK266" s="12" t="n"/>
      <c r="CL266" s="12" t="n"/>
      <c r="CM266" s="12" t="n"/>
      <c r="CN266" s="12" t="n"/>
      <c r="CO266" s="12" t="n"/>
      <c r="CP266" s="12" t="n"/>
      <c r="CQ266" s="12" t="n"/>
      <c r="CR266" s="12" t="n"/>
      <c r="CS266" s="12" t="n"/>
      <c r="CT266" s="12" t="n"/>
      <c r="CU266" s="12" t="n"/>
      <c r="CV266" s="12" t="n"/>
      <c r="CW266" s="12" t="n"/>
      <c r="CX266" s="12" t="n"/>
      <c r="CY266" s="12" t="n"/>
    </row>
    <row r="267" customFormat="1" s="32">
      <c r="A267" s="30" t="inlineStr">
        <is>
          <t xml:space="preserve"> </t>
        </is>
      </c>
      <c r="B267" s="30" t="n"/>
      <c r="C267" s="65" t="inlineStr">
        <is>
          <t>Total Shareholders' Equity</t>
        </is>
      </c>
      <c r="D267" s="35" t="n"/>
      <c r="E267" s="35" t="n"/>
      <c r="F267" s="35" t="n"/>
      <c r="G267" s="35" t="n"/>
      <c r="H267" s="35" t="n"/>
      <c r="I267" s="35">
        <f>SUM(I244+I249+I250+I263+I264+I265+I266)</f>
        <v>230013</v>
      </c>
      <c r="J267" s="35">
        <f>SUM(J244+J249+J250+J263+J264+J265+J266)</f>
        <v>237565</v>
      </c>
      <c r="K267" s="35">
        <f>SUM(K244+K249+K250+K263+K264+K265+K266)</f>
        <v>244567</v>
      </c>
      <c r="L267" s="35">
        <f>SUM(L244+L249+L250+L263+L264+L265+L266)</f>
        <v>251635</v>
      </c>
      <c r="M267" s="35">
        <f>SUM(M244,M249,M250,M263,M264,M265,M266)</f>
        <v>251635</v>
      </c>
      <c r="N267" s="35">
        <f>SUM(N244+N249+N250+N263+N264+N265+N266)</f>
        <v>254004</v>
      </c>
      <c r="O267" s="35">
        <f>SUM(O244+O249+O250+O263+O264+O265+O266)</f>
        <v>255419</v>
      </c>
      <c r="P267" s="35">
        <f>SUM(P244+P249+P250+P263+P264+P265+P266)</f>
        <v>253626</v>
      </c>
      <c r="Q267" s="35">
        <f>SUM(Q244+Q249+Q250+Q263+Q264+Q265+Q266)</f>
        <v>256144</v>
      </c>
      <c r="R267" s="35">
        <f>SUM(R244,R249,R250,R263,R264,R265,R266)</f>
        <v>256144</v>
      </c>
      <c r="S267" s="35">
        <f>SUM(S244+S249+S250+S263+S264+S265+S266)</f>
        <v>260894</v>
      </c>
      <c r="T267" s="35">
        <f>SUM(T244+T249+T250+T263+T264+T265+T266)</f>
        <v>267141</v>
      </c>
      <c r="U267" s="35">
        <f>SUM(U244+U249+U250+U263+U264+U265+U266)</f>
        <v>273202</v>
      </c>
      <c r="V267" s="35">
        <f>SUM(V244+V249+V250+V263+V264+V265+V266)</f>
        <v>283379</v>
      </c>
      <c r="W267" s="35">
        <f>SUM(W244,W249,W250,W263,W264,W265,W266)</f>
        <v>283379</v>
      </c>
      <c r="X267" s="35">
        <f>SUM(X244+X249+X250+X263+X264+X265+X266)</f>
        <v>292844</v>
      </c>
      <c r="Y267" s="35">
        <f>SUM(Y244+Y249+Y250+Y263+Y264+Y265+Y266)</f>
        <v>300753</v>
      </c>
      <c r="Z267" s="35">
        <f>SUM(Z244+Z249+Z250+Z263+Z264+Z265+Z266)</f>
        <v>314119</v>
      </c>
      <c r="AA267" s="35">
        <f>SUM(AA244+AA249+AA250+AA263+AA264+AA265+AA266)</f>
        <v>325084</v>
      </c>
      <c r="AB267" s="35">
        <f>SUM(AB244,AB249,AB250,AB263,AB264,AB265,AB266)</f>
        <v>325084</v>
      </c>
      <c r="AC267" s="35">
        <f>SUM(AC244+AC249+AC250+AC263+AC264+AC265+AC266)</f>
        <v>345267</v>
      </c>
      <c r="AD267" s="35">
        <f>SUM(AD244+AD249+AD250+AD263+AD264+AD265+AD266)</f>
        <v>362916</v>
      </c>
      <c r="AE267" s="35">
        <f>SUM(AE244+AE249+AE250+AE263+AE264+AE265+AE266)</f>
        <v>386867</v>
      </c>
      <c r="AF267" s="35">
        <f>SUM(AF244+AF249+AF250+AF263+AF264+AF265+AF266)</f>
        <v>415265</v>
      </c>
      <c r="AG267" s="35">
        <f>SUM(AG244,AG249,AG250,AG263,AG264,AG265,AG266)</f>
        <v>415265</v>
      </c>
      <c r="AH267" s="35">
        <f>SUM(AH244+AH249+AH250+AH263+AH264+AH265+AH266)</f>
        <v>478746</v>
      </c>
      <c r="AI267" s="35">
        <f>SUM(AI244+AI249+AI250+AI263+AI264+AI265+AI266)</f>
        <v>640480</v>
      </c>
      <c r="AJ267" s="35">
        <f>SUM(AJ244+AJ249+AJ250+AJ263+AJ264+AJ265+AJ266)</f>
        <v>699744.288000059</v>
      </c>
      <c r="AK267" s="35">
        <f>SUM(AK244+AK249+AK250+AK263+AK264+AK265+AK266)</f>
        <v>765657.901026055</v>
      </c>
      <c r="AL267" s="35">
        <f>SUM(AL244,AL249,AL250,AL263,AL264,AL265,AL266)</f>
        <v>765657.901026055</v>
      </c>
      <c r="AM267" s="35">
        <f>SUM(AM244+AM249+AM250+AM263+AM264+AM265+AM266)</f>
        <v>829294.078248951</v>
      </c>
      <c r="AN267" s="35">
        <f>SUM(AN244+AN249+AN250+AN263+AN264+AN265+AN266)</f>
        <v>898662.931406427</v>
      </c>
      <c r="AO267" s="35">
        <f>SUM(AO244+AO249+AO250+AO263+AO264+AO265+AO266)</f>
        <v>968377.088766283</v>
      </c>
      <c r="AP267" s="35">
        <f>SUM(AP244+AP249+AP250+AP263+AP264+AP265+AP266)</f>
        <v>1045913.02390899</v>
      </c>
      <c r="AQ267" s="35">
        <f>SUM(AQ244,AQ249,AQ250,AQ263,AQ264,AQ265,AQ266)</f>
        <v>1045913.02390899</v>
      </c>
      <c r="AR267" s="35">
        <f>SUM(AR244+AR249+AR250+AR263+AR264+AR265+AR266)</f>
        <v>1120451.76989074</v>
      </c>
      <c r="AS267" s="35">
        <f>SUM(AS244+AS249+AS250+AS263+AS264+AS265+AS266)</f>
        <v>1201705.3515828</v>
      </c>
      <c r="AT267" s="35">
        <f>SUM(AT244+AT249+AT250+AT263+AT264+AT265+AT266)</f>
        <v>1283363.39726611</v>
      </c>
      <c r="AU267" s="35">
        <f>SUM(AU244+AU249+AU250+AU263+AU264+AU265+AU266)</f>
        <v>1374183.29918788</v>
      </c>
      <c r="AV267" s="35">
        <f>SUM(AV244,AV249,AV250,AV263,AV264,AV265,AV266)</f>
        <v>1374183.29918788</v>
      </c>
      <c r="AW267" s="35">
        <f>SUM(AW244+AW249+AW250+AW263+AW264+AW265+AW266)</f>
        <v>1461119.82004312</v>
      </c>
      <c r="AX267" s="35">
        <f>SUM(AX244+AX249+AX250+AX263+AX264+AX265+AX266)</f>
        <v>1555888.03228355</v>
      </c>
      <c r="AY267" s="35">
        <f>SUM(AY244+AY249+AY250+AY263+AY264+AY265+AY266)</f>
        <v>1651127.98162859</v>
      </c>
      <c r="AZ267" s="35">
        <f>SUM(AZ244+AZ249+AZ250+AZ263+AZ264+AZ265+AZ266)</f>
        <v>1757053.64744843</v>
      </c>
      <c r="BA267" s="35">
        <f>SUM(BA244,BA249,BA250,BA263,BA264,BA265,BA266)</f>
        <v>1757053.64744843</v>
      </c>
      <c r="BB267" s="35">
        <f>SUM(BB244+BB249+BB250+BB263+BB264+BB265+BB266)</f>
        <v>1858015.34009661</v>
      </c>
      <c r="BC267" s="35">
        <f>SUM(BC244+BC249+BC250+BC263+BC264+BC265+BC266)</f>
        <v>1968072.18413536</v>
      </c>
      <c r="BD267" s="35">
        <f>SUM(BD244+BD249+BD250+BD263+BD264+BD265+BD266)</f>
        <v>2078676.86901358</v>
      </c>
      <c r="BE267" s="35">
        <f>SUM(BE244+BE249+BE250+BE263+BE264+BE265+BE266)</f>
        <v>2201691.16048568</v>
      </c>
      <c r="BF267" s="35">
        <f>SUM(BF244,BF249,BF250,BF263,BF264,BF265,BF266)</f>
        <v>2201691.16048568</v>
      </c>
      <c r="BG267" s="35" t="n"/>
      <c r="BH267" s="35" t="n"/>
      <c r="BI267" s="35" t="n"/>
      <c r="BJ267" s="35" t="n"/>
      <c r="BK267" s="35" t="n"/>
      <c r="BL267" s="35" t="n"/>
      <c r="BM267" s="35" t="n"/>
      <c r="BN267" s="35" t="n"/>
      <c r="BO267" s="35" t="n"/>
      <c r="BP267" s="35" t="n"/>
      <c r="BQ267" s="35" t="n"/>
      <c r="BR267" s="35" t="n"/>
      <c r="BS267" s="35" t="n"/>
      <c r="BT267" s="35" t="n"/>
      <c r="BU267" s="35" t="n"/>
      <c r="BV267" s="35" t="n"/>
      <c r="BW267" s="35" t="n"/>
      <c r="BX267" s="35" t="n"/>
      <c r="BY267" s="35" t="n"/>
      <c r="BZ267" s="35" t="n"/>
      <c r="CA267" s="35" t="n"/>
      <c r="CB267" s="35" t="n"/>
      <c r="CC267" s="35" t="n"/>
      <c r="CD267" s="35" t="n"/>
      <c r="CE267" s="35" t="n"/>
      <c r="CF267" s="35" t="n"/>
      <c r="CG267" s="35" t="n"/>
      <c r="CH267" s="35" t="n"/>
      <c r="CI267" s="35" t="n"/>
      <c r="CJ267" s="35" t="n"/>
      <c r="CK267" s="35" t="n"/>
      <c r="CL267" s="35" t="n"/>
      <c r="CM267" s="35" t="n"/>
      <c r="CN267" s="35" t="n"/>
      <c r="CO267" s="35" t="n"/>
      <c r="CP267" s="35" t="n"/>
      <c r="CQ267" s="35" t="n"/>
      <c r="CR267" s="35" t="n"/>
      <c r="CS267" s="35" t="n"/>
      <c r="CT267" s="35" t="n"/>
      <c r="CU267" s="35" t="n"/>
      <c r="CV267" s="35" t="n"/>
      <c r="CW267" s="35" t="n"/>
      <c r="CX267" s="35" t="n"/>
      <c r="CY267" s="35" t="n"/>
    </row>
    <row r="268">
      <c r="C268" s="10" t="n"/>
      <c r="D268" s="12" t="n"/>
      <c r="E268" s="12" t="n"/>
      <c r="F268" s="12" t="n"/>
      <c r="G268" s="12" t="n"/>
      <c r="H268" s="12" t="n"/>
      <c r="I268" s="12" t="n"/>
      <c r="J268" s="12" t="n"/>
      <c r="K268" s="12" t="n"/>
      <c r="L268" s="12" t="n"/>
      <c r="M268" s="12" t="n"/>
      <c r="N268" s="12" t="n"/>
      <c r="O268" s="12" t="n"/>
      <c r="P268" s="12" t="n"/>
      <c r="Q268" s="12" t="n"/>
      <c r="R268" s="12" t="n"/>
      <c r="S268" s="12" t="n"/>
      <c r="T268" s="12" t="n"/>
      <c r="U268" s="12" t="n"/>
      <c r="V268" s="12" t="n"/>
      <c r="W268" s="12" t="n"/>
      <c r="X268" s="12" t="n"/>
      <c r="Y268" s="12" t="n"/>
      <c r="Z268" s="12" t="n"/>
      <c r="AA268" s="12" t="n"/>
      <c r="AB268" s="12" t="n"/>
      <c r="AC268" s="12" t="n"/>
      <c r="AD268" s="12" t="n"/>
      <c r="AE268" s="12" t="n"/>
      <c r="AF268" s="12" t="n"/>
      <c r="AG268" s="12" t="n"/>
      <c r="AH268" s="12" t="n"/>
      <c r="AI268" s="12" t="n"/>
      <c r="AJ268" s="12" t="n"/>
      <c r="AK268" s="12" t="n"/>
      <c r="AL268" s="12" t="n"/>
      <c r="AM268" s="12" t="n"/>
      <c r="AN268" s="12" t="n"/>
      <c r="AO268" s="12" t="n"/>
      <c r="AP268" s="12" t="n"/>
      <c r="AQ268" s="12" t="n"/>
      <c r="AR268" s="12" t="n"/>
      <c r="AS268" s="12" t="n"/>
      <c r="AT268" s="12" t="n"/>
      <c r="AU268" s="12" t="n"/>
      <c r="AV268" s="12" t="n"/>
      <c r="AW268" s="12" t="n"/>
      <c r="AX268" s="12" t="n"/>
      <c r="AY268" s="12" t="n"/>
      <c r="AZ268" s="12" t="n"/>
      <c r="BA268" s="12" t="n"/>
      <c r="BB268" s="12" t="n"/>
      <c r="BC268" s="12" t="n"/>
      <c r="BD268" s="12" t="n"/>
      <c r="BE268" s="12" t="n"/>
      <c r="BF268" s="12" t="n"/>
      <c r="BG268" s="12" t="n"/>
      <c r="BH268" s="12" t="n"/>
      <c r="BI268" s="12" t="n"/>
      <c r="BJ268" s="12" t="n"/>
      <c r="BK268" s="12" t="n"/>
      <c r="BL268" s="12" t="n"/>
      <c r="BM268" s="12" t="n"/>
      <c r="BN268" s="12" t="n"/>
      <c r="BO268" s="12" t="n"/>
      <c r="BP268" s="12" t="n"/>
      <c r="BQ268" s="12" t="n"/>
      <c r="BR268" s="12" t="n"/>
      <c r="BS268" s="12" t="n"/>
      <c r="BT268" s="12" t="n"/>
      <c r="BU268" s="12" t="n"/>
      <c r="BV268" s="12" t="n"/>
      <c r="BW268" s="12" t="n"/>
      <c r="BX268" s="12" t="n"/>
      <c r="BY268" s="12" t="n"/>
      <c r="BZ268" s="12" t="n"/>
      <c r="CA268" s="12" t="n"/>
      <c r="CB268" s="12" t="n"/>
      <c r="CC268" s="12" t="n"/>
      <c r="CD268" s="12" t="n"/>
      <c r="CE268" s="12" t="n"/>
      <c r="CF268" s="12" t="n"/>
      <c r="CG268" s="12" t="n"/>
      <c r="CH268" s="12" t="n"/>
      <c r="CI268" s="12" t="n"/>
      <c r="CJ268" s="12" t="n"/>
      <c r="CK268" s="12" t="n"/>
      <c r="CL268" s="12" t="n"/>
      <c r="CM268" s="12" t="n"/>
      <c r="CN268" s="12" t="n"/>
      <c r="CO268" s="12" t="n"/>
      <c r="CP268" s="12" t="n"/>
      <c r="CQ268" s="12" t="n"/>
      <c r="CR268" s="12" t="n"/>
      <c r="CS268" s="12" t="n"/>
      <c r="CT268" s="12" t="n"/>
      <c r="CU268" s="12" t="n"/>
      <c r="CV268" s="12" t="n"/>
      <c r="CW268" s="12" t="n"/>
      <c r="CX268" s="12" t="n"/>
      <c r="CY268" s="12" t="n"/>
    </row>
    <row r="269" customFormat="1" s="32">
      <c r="A269" s="30" t="n"/>
      <c r="B269" s="3" t="n"/>
      <c r="C269" s="33" t="inlineStr">
        <is>
          <t>Total Liabilities + Shareholders' Equity</t>
        </is>
      </c>
      <c r="D269" s="35" t="n"/>
      <c r="E269" s="35" t="n"/>
      <c r="F269" s="35" t="n"/>
      <c r="G269" s="35" t="n"/>
      <c r="H269" s="35" t="n"/>
      <c r="I269" s="35">
        <f>I267+I243</f>
        <v>327095</v>
      </c>
      <c r="J269" s="35">
        <f>J267+J243</f>
        <v>335387</v>
      </c>
      <c r="K269" s="35">
        <f>K267+K243</f>
        <v>347403</v>
      </c>
      <c r="L269" s="35">
        <f>L267+L243</f>
        <v>359268</v>
      </c>
      <c r="M269" s="35">
        <f>M267+M243</f>
        <v>359268</v>
      </c>
      <c r="N269" s="35">
        <f>N267+N243</f>
        <v>357096</v>
      </c>
      <c r="O269" s="35">
        <f>O267+O243</f>
        <v>355185</v>
      </c>
      <c r="P269" s="35">
        <f>P267+P243</f>
        <v>358255</v>
      </c>
      <c r="Q269" s="35">
        <f>Q267+Q243</f>
        <v>365264</v>
      </c>
      <c r="R269" s="35">
        <f>R267+R243</f>
        <v>365264</v>
      </c>
      <c r="S269" s="35">
        <f>S267+S243</f>
        <v>369491</v>
      </c>
      <c r="T269" s="35">
        <f>T267+T243</f>
        <v>383044</v>
      </c>
      <c r="U269" s="35">
        <f>U267+U243</f>
        <v>396711</v>
      </c>
      <c r="V269" s="35">
        <f>V267+V243</f>
        <v>402392</v>
      </c>
      <c r="W269" s="35">
        <f>W267+W243</f>
        <v>402392</v>
      </c>
      <c r="X269" s="35">
        <f>X267+X243</f>
        <v>407350</v>
      </c>
      <c r="Y269" s="35">
        <f>Y267+Y243</f>
        <v>414770</v>
      </c>
      <c r="Z269" s="35">
        <f>Z267+Z243</f>
        <v>430266</v>
      </c>
      <c r="AA269" s="35">
        <f>AA267+AA243</f>
        <v>450256</v>
      </c>
      <c r="AB269" s="35">
        <f>AB267+AB243</f>
        <v>450256</v>
      </c>
      <c r="AC269" s="35">
        <f>AC267+AC243</f>
        <v>475374</v>
      </c>
      <c r="AD269" s="35">
        <f>AD267+AD243</f>
        <v>502053</v>
      </c>
      <c r="AE269" s="35">
        <f>AE267+AE243</f>
        <v>536469</v>
      </c>
      <c r="AF269" s="35">
        <f>AF267+AF243</f>
        <v>595281</v>
      </c>
      <c r="AG269" s="35">
        <f>AG267+AG243</f>
        <v>595281</v>
      </c>
      <c r="AH269" s="35">
        <f>AH267+AH243</f>
        <v>703919</v>
      </c>
      <c r="AI269" s="35">
        <f>AI267+AI243</f>
        <v>921983</v>
      </c>
      <c r="AJ269" s="35">
        <f>AJ267+AJ243</f>
        <v>992655.583351327</v>
      </c>
      <c r="AK269" s="35">
        <f>AK267+AK243</f>
        <v>1080641.39265892</v>
      </c>
      <c r="AL269" s="35">
        <f>AL267+AL243</f>
        <v>1080641.39265892</v>
      </c>
      <c r="AM269" s="35">
        <f>AM267+AM243</f>
        <v>1168151.45817299</v>
      </c>
      <c r="AN269" s="35">
        <f>AN267+AN243</f>
        <v>1267071.00035187</v>
      </c>
      <c r="AO269" s="35">
        <f>AO267+AO243</f>
        <v>1370007.65497678</v>
      </c>
      <c r="AP269" s="35">
        <f>AP267+AP243</f>
        <v>1488624.60310985</v>
      </c>
      <c r="AQ269" s="35">
        <f>AQ267+AQ243</f>
        <v>1488624.60310985</v>
      </c>
      <c r="AR269" s="35">
        <f>AR267+AR243</f>
        <v>1607441.93459905</v>
      </c>
      <c r="AS269" s="35">
        <f>AS267+AS243</f>
        <v>1742808.01169144</v>
      </c>
      <c r="AT269" s="35">
        <f>AT267+AT243</f>
        <v>1885818.18967794</v>
      </c>
      <c r="AU269" s="35">
        <f>AU267+AU243</f>
        <v>2050844.13353677</v>
      </c>
      <c r="AV269" s="35">
        <f>AV267+AV243</f>
        <v>2050844.13353677</v>
      </c>
      <c r="AW269" s="35">
        <f>AW267+AW243</f>
        <v>2219186.48431267</v>
      </c>
      <c r="AX269" s="35">
        <f>AX267+AX243</f>
        <v>2411118.77191016</v>
      </c>
      <c r="AY269" s="35">
        <f>AY267+AY243</f>
        <v>2617598.28933615</v>
      </c>
      <c r="AZ269" s="35">
        <f>AZ267+AZ243</f>
        <v>2855997.23977516</v>
      </c>
      <c r="BA269" s="35">
        <f>BA267+BA243</f>
        <v>2855997.23977516</v>
      </c>
      <c r="BB269" s="35">
        <f>BB267+BB243</f>
        <v>3103257.35516629</v>
      </c>
      <c r="BC269" s="35">
        <f>BC267+BC243</f>
        <v>3385914.79914247</v>
      </c>
      <c r="BD269" s="35">
        <f>BD267+BD243</f>
        <v>3694552.93041517</v>
      </c>
      <c r="BE269" s="35">
        <f>BE267+BE243</f>
        <v>4050720.23345278</v>
      </c>
      <c r="BF269" s="35">
        <f>BF267+BF243</f>
        <v>4050720.23345278</v>
      </c>
      <c r="BG269" s="35" t="n"/>
      <c r="BH269" s="35" t="n"/>
      <c r="BI269" s="35" t="n"/>
      <c r="BJ269" s="35" t="n"/>
      <c r="BK269" s="35" t="n"/>
      <c r="BL269" s="35" t="n"/>
      <c r="BM269" s="35" t="n"/>
      <c r="BN269" s="35" t="n"/>
      <c r="BO269" s="35" t="n"/>
      <c r="BP269" s="35" t="n"/>
      <c r="BQ269" s="35" t="n"/>
      <c r="BR269" s="35" t="n"/>
      <c r="BS269" s="35" t="n"/>
      <c r="BT269" s="35" t="n"/>
      <c r="BU269" s="35" t="n"/>
      <c r="BV269" s="35" t="n"/>
      <c r="BW269" s="35" t="n"/>
      <c r="BX269" s="35" t="n"/>
      <c r="BY269" s="35" t="n"/>
      <c r="BZ269" s="35" t="n"/>
      <c r="CA269" s="35" t="n"/>
      <c r="CB269" s="35" t="n"/>
      <c r="CC269" s="35" t="n"/>
      <c r="CD269" s="35" t="n"/>
      <c r="CE269" s="35" t="n"/>
      <c r="CF269" s="35" t="n"/>
      <c r="CG269" s="35" t="n"/>
      <c r="CH269" s="35" t="n"/>
      <c r="CI269" s="35" t="n"/>
      <c r="CJ269" s="35" t="n"/>
      <c r="CK269" s="35" t="n"/>
      <c r="CL269" s="35" t="n"/>
      <c r="CM269" s="35" t="n"/>
      <c r="CN269" s="35" t="n"/>
      <c r="CO269" s="35" t="n"/>
      <c r="CP269" s="35" t="n"/>
      <c r="CQ269" s="35" t="n"/>
      <c r="CR269" s="35" t="n"/>
      <c r="CS269" s="35" t="n"/>
      <c r="CT269" s="35" t="n"/>
      <c r="CU269" s="35" t="n"/>
      <c r="CV269" s="35" t="n"/>
      <c r="CW269" s="35" t="n"/>
      <c r="CX269" s="35" t="n"/>
      <c r="CY269" s="35" t="n"/>
    </row>
    <row r="270">
      <c r="C270" s="18" t="n"/>
      <c r="D270" s="3" t="n"/>
      <c r="E270" s="3" t="n"/>
      <c r="F270" s="3" t="n"/>
      <c r="G270" s="3" t="n"/>
      <c r="H270" s="3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U270" s="3" t="n"/>
      <c r="V270" s="3" t="n"/>
      <c r="W270" s="3" t="n"/>
      <c r="X270" s="3" t="n"/>
      <c r="Y270" s="3" t="n"/>
      <c r="Z270" s="3" t="n"/>
      <c r="AA270" s="3" t="n"/>
      <c r="AB270" s="3" t="n"/>
      <c r="AC270" s="3" t="n"/>
      <c r="AD270" s="3" t="n"/>
      <c r="AE270" s="3" t="n"/>
      <c r="AF270" s="3" t="n"/>
      <c r="AG270" s="3" t="n"/>
      <c r="AH270" s="3" t="n"/>
      <c r="AI270" s="3" t="n"/>
      <c r="AJ270" s="3" t="n"/>
      <c r="AK270" s="3" t="n"/>
      <c r="AL270" s="3" t="n"/>
      <c r="AM270" s="3" t="n"/>
      <c r="AN270" s="3" t="n"/>
      <c r="AO270" s="3" t="n"/>
      <c r="AP270" s="3" t="n"/>
      <c r="AQ270" s="3" t="n"/>
      <c r="AR270" s="3" t="n"/>
      <c r="AS270" s="3" t="n"/>
      <c r="AT270" s="3" t="n"/>
      <c r="AU270" s="3" t="n"/>
      <c r="AV270" s="3" t="n"/>
      <c r="AW270" s="3" t="n"/>
      <c r="AX270" s="3" t="n"/>
      <c r="AY270" s="3" t="n"/>
      <c r="AZ270" s="3" t="n"/>
      <c r="BA270" s="3" t="n"/>
      <c r="BB270" s="3" t="n"/>
      <c r="BC270" s="3" t="n"/>
      <c r="BD270" s="3" t="n"/>
      <c r="BE270" s="3" t="n"/>
      <c r="BF270" s="3" t="n"/>
      <c r="BG270" s="3" t="n"/>
      <c r="BH270" s="3" t="n"/>
      <c r="BI270" s="3" t="n"/>
      <c r="BJ270" s="3" t="n"/>
      <c r="BK270" s="3" t="n"/>
      <c r="BL270" s="3" t="n"/>
      <c r="BM270" s="3" t="n"/>
      <c r="BN270" s="3" t="n"/>
      <c r="BO270" s="3" t="n"/>
      <c r="BP270" s="3" t="n"/>
      <c r="BQ270" s="3" t="n"/>
      <c r="BR270" s="3" t="n"/>
      <c r="BS270" s="3" t="n"/>
      <c r="BT270" s="3" t="n"/>
      <c r="BU270" s="3" t="n"/>
      <c r="BV270" s="3" t="n"/>
      <c r="BW270" s="3" t="n"/>
      <c r="BX270" s="3" t="n"/>
      <c r="BY270" s="3" t="n"/>
      <c r="BZ270" s="3" t="n"/>
      <c r="CA270" s="3" t="n"/>
      <c r="CB270" s="3" t="n"/>
      <c r="CC270" s="3" t="n"/>
      <c r="CD270" s="3" t="n"/>
      <c r="CE270" s="3" t="n"/>
      <c r="CF270" s="3" t="n"/>
      <c r="CG270" s="3" t="n"/>
      <c r="CH270" s="3" t="n"/>
      <c r="CI270" s="3" t="n"/>
      <c r="CJ270" s="3" t="n"/>
      <c r="CK270" s="3" t="n"/>
      <c r="CL270" s="3" t="n"/>
      <c r="CM270" s="3" t="n"/>
      <c r="CN270" s="3" t="n"/>
      <c r="CO270" s="3" t="n"/>
      <c r="CP270" s="3" t="n"/>
      <c r="CQ270" s="3" t="n"/>
      <c r="CR270" s="3" t="n"/>
      <c r="CS270" s="3" t="n"/>
      <c r="CT270" s="3" t="n"/>
      <c r="CU270" s="3" t="n"/>
      <c r="CV270" s="3" t="n"/>
      <c r="CW270" s="3" t="n"/>
      <c r="CX270" s="3" t="n"/>
      <c r="CY270" s="3" t="n"/>
    </row>
    <row r="271" customFormat="1" s="32">
      <c r="A271" s="30" t="n"/>
      <c r="B271" s="30" t="n"/>
      <c r="C271" s="31" t="inlineStr">
        <is>
          <t>Cash Flow Statement</t>
        </is>
      </c>
      <c r="D271" s="70" t="n"/>
      <c r="E271" s="70" t="n"/>
      <c r="F271" s="70" t="n"/>
      <c r="G271" s="70" t="n"/>
      <c r="H271" s="70" t="n"/>
      <c r="I271" s="70" t="str">
        <f>I138</f>
        <v>1Q21</v>
      </c>
      <c r="J271" s="70" t="str">
        <f>J138</f>
        <v>2Q21</v>
      </c>
      <c r="K271" s="70" t="str">
        <f>K138</f>
        <v>3Q21</v>
      </c>
      <c r="L271" s="70" t="str">
        <f>L138</f>
        <v>4Q21</v>
      </c>
      <c r="M271" s="70">
        <f>M138</f>
        <v>2021</v>
      </c>
      <c r="N271" s="70" t="str">
        <f>N138</f>
        <v>1Q22</v>
      </c>
      <c r="O271" s="70" t="str">
        <f>O138</f>
        <v>2Q22</v>
      </c>
      <c r="P271" s="70" t="str">
        <f>P138</f>
        <v>3Q22</v>
      </c>
      <c r="Q271" s="70" t="str">
        <f>Q138</f>
        <v>4Q22</v>
      </c>
      <c r="R271" s="70">
        <f>R138</f>
        <v>2022</v>
      </c>
      <c r="S271" s="70" t="str">
        <f>S138</f>
        <v>1Q23</v>
      </c>
      <c r="T271" s="70" t="str">
        <f>T138</f>
        <v>2Q23</v>
      </c>
      <c r="U271" s="70" t="str">
        <f>U138</f>
        <v>3Q23</v>
      </c>
      <c r="V271" s="70" t="str">
        <f>V138</f>
        <v>4Q23</v>
      </c>
      <c r="W271" s="70">
        <f>W138</f>
        <v>2023</v>
      </c>
      <c r="X271" s="70" t="str">
        <f>X138</f>
        <v>1Q24</v>
      </c>
      <c r="Y271" s="70" t="str">
        <f>Y138</f>
        <v>2Q24</v>
      </c>
      <c r="Z271" s="70" t="str">
        <f>Z138</f>
        <v>3Q24</v>
      </c>
      <c r="AA271" s="70" t="str">
        <f>AA138</f>
        <v>4Q24</v>
      </c>
      <c r="AB271" s="70">
        <f>AB138</f>
        <v>2024</v>
      </c>
      <c r="AC271" s="70" t="str">
        <f>AC138</f>
        <v>1Q25</v>
      </c>
      <c r="AD271" s="70" t="str">
        <f>AD138</f>
        <v>2Q25</v>
      </c>
      <c r="AE271" s="70" t="str">
        <f>AE138</f>
        <v>3Q25</v>
      </c>
      <c r="AF271" s="70" t="str">
        <f>AF138</f>
        <v>4Q25</v>
      </c>
      <c r="AG271" s="70">
        <f>AG138</f>
        <v>2025</v>
      </c>
      <c r="AH271" s="70" t="str">
        <f>AH138</f>
        <v>1Q26</v>
      </c>
      <c r="AI271" s="70" t="str">
        <f>AI138</f>
        <v>2Q26</v>
      </c>
      <c r="AJ271" s="70" t="str">
        <f>AJ138</f>
        <v>3Q26</v>
      </c>
      <c r="AK271" s="70" t="str">
        <f>AK138</f>
        <v>4Q26</v>
      </c>
      <c r="AL271" s="70">
        <f>AL138</f>
        <v>2026</v>
      </c>
      <c r="AM271" s="70" t="str">
        <f>AM138</f>
        <v>1Q27</v>
      </c>
      <c r="AN271" s="70" t="str">
        <f>AN138</f>
        <v>2Q27</v>
      </c>
      <c r="AO271" s="70" t="str">
        <f>AO138</f>
        <v>3Q27</v>
      </c>
      <c r="AP271" s="70" t="str">
        <f>AP138</f>
        <v>4Q27</v>
      </c>
      <c r="AQ271" s="70">
        <f>AQ138</f>
        <v>2027</v>
      </c>
      <c r="AR271" s="70" t="str">
        <f>AR138</f>
        <v>1Q28</v>
      </c>
      <c r="AS271" s="70" t="str">
        <f>AS138</f>
        <v>2Q28</v>
      </c>
      <c r="AT271" s="70" t="str">
        <f>AT138</f>
        <v>3Q28</v>
      </c>
      <c r="AU271" s="70" t="str">
        <f>AU138</f>
        <v>4Q28</v>
      </c>
      <c r="AV271" s="70">
        <f>AV138</f>
        <v>2028</v>
      </c>
      <c r="AW271" s="70" t="str">
        <f>AW138</f>
        <v>1Q29</v>
      </c>
      <c r="AX271" s="70" t="str">
        <f>AX138</f>
        <v>2Q29</v>
      </c>
      <c r="AY271" s="70" t="str">
        <f>AY138</f>
        <v>3Q29</v>
      </c>
      <c r="AZ271" s="70" t="str">
        <f>AZ138</f>
        <v>4Q29</v>
      </c>
      <c r="BA271" s="70">
        <f>BA138</f>
        <v>2029</v>
      </c>
      <c r="BB271" s="70" t="str">
        <f>BB138</f>
        <v>1Q30</v>
      </c>
      <c r="BC271" s="70" t="str">
        <f>BC138</f>
        <v>2Q30</v>
      </c>
      <c r="BD271" s="70" t="str">
        <f>BD138</f>
        <v>3Q30</v>
      </c>
      <c r="BE271" s="70" t="str">
        <f>BE138</f>
        <v>4Q30</v>
      </c>
      <c r="BF271" s="70">
        <f>BF138</f>
        <v>2030</v>
      </c>
      <c r="BG271" s="70" t="n"/>
      <c r="BH271" s="70" t="n"/>
      <c r="BI271" s="70" t="n"/>
      <c r="BJ271" s="70" t="n"/>
      <c r="BK271" s="70" t="n"/>
      <c r="BL271" s="70" t="n"/>
      <c r="BM271" s="70" t="n"/>
      <c r="BN271" s="70" t="n"/>
      <c r="BO271" s="70" t="n"/>
      <c r="BP271" s="70" t="n"/>
      <c r="BQ271" s="70" t="n"/>
      <c r="BR271" s="70" t="n"/>
      <c r="BS271" s="70" t="n"/>
      <c r="BT271" s="70" t="n"/>
      <c r="BU271" s="70" t="n"/>
      <c r="BV271" s="70" t="n"/>
      <c r="BW271" s="70" t="n"/>
      <c r="BX271" s="70" t="n"/>
      <c r="BY271" s="70" t="n"/>
      <c r="BZ271" s="70" t="n"/>
      <c r="CA271" s="70" t="n"/>
      <c r="CB271" s="70" t="n"/>
      <c r="CC271" s="70" t="n"/>
      <c r="CD271" s="70" t="n"/>
      <c r="CE271" s="70" t="n"/>
      <c r="CF271" s="70" t="n"/>
      <c r="CG271" s="70" t="n"/>
      <c r="CH271" s="70" t="n"/>
      <c r="CI271" s="70" t="n"/>
      <c r="CJ271" s="70" t="n"/>
      <c r="CK271" s="70" t="n"/>
      <c r="CL271" s="70" t="n"/>
      <c r="CM271" s="70" t="n"/>
      <c r="CN271" s="70" t="n"/>
      <c r="CO271" s="70" t="n"/>
      <c r="CP271" s="70" t="n"/>
      <c r="CQ271" s="70" t="n"/>
      <c r="CR271" s="70" t="n"/>
      <c r="CS271" s="70" t="n"/>
      <c r="CT271" s="70" t="n"/>
      <c r="CU271" s="70" t="n"/>
      <c r="CV271" s="70" t="n"/>
      <c r="CW271" s="70" t="n"/>
      <c r="CX271" s="70" t="n"/>
      <c r="CY271" s="70" t="n"/>
    </row>
    <row r="272">
      <c r="C272" s="18" t="n"/>
      <c r="D272" s="3" t="n"/>
      <c r="E272" s="3" t="n"/>
      <c r="F272" s="3" t="n"/>
      <c r="G272" s="3" t="n"/>
      <c r="H272" s="3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3" t="n"/>
      <c r="AD272" s="3" t="n"/>
      <c r="AE272" s="3" t="n"/>
      <c r="AF272" s="3" t="n"/>
      <c r="AG272" s="3" t="n"/>
      <c r="AH272" s="3" t="n"/>
      <c r="AI272" s="3" t="n"/>
      <c r="AJ272" s="3" t="n"/>
      <c r="AK272" s="3" t="n"/>
      <c r="AL272" s="3" t="n"/>
      <c r="AM272" s="3" t="n"/>
      <c r="AN272" s="3" t="n"/>
      <c r="AO272" s="3" t="n"/>
      <c r="AP272" s="3" t="n"/>
      <c r="AQ272" s="3" t="n"/>
      <c r="AR272" s="3" t="n"/>
      <c r="AS272" s="3" t="n"/>
      <c r="AT272" s="3" t="n"/>
      <c r="AU272" s="3" t="n"/>
      <c r="AV272" s="3" t="n"/>
      <c r="AW272" s="3" t="n"/>
      <c r="AX272" s="3" t="n"/>
      <c r="AY272" s="3" t="n"/>
      <c r="AZ272" s="3" t="n"/>
      <c r="BA272" s="3" t="n"/>
      <c r="BB272" s="3" t="n"/>
      <c r="BC272" s="3" t="n"/>
      <c r="BD272" s="3" t="n"/>
      <c r="BE272" s="3" t="n"/>
      <c r="BF272" s="3" t="n"/>
      <c r="BG272" s="3" t="n"/>
      <c r="BH272" s="3" t="n"/>
      <c r="BI272" s="3" t="n"/>
      <c r="BJ272" s="3" t="n"/>
      <c r="BK272" s="3" t="n"/>
      <c r="BL272" s="3" t="n"/>
      <c r="BM272" s="3" t="n"/>
      <c r="BN272" s="3" t="n"/>
      <c r="BO272" s="3" t="n"/>
      <c r="BP272" s="3" t="n"/>
      <c r="BQ272" s="3" t="n"/>
      <c r="BR272" s="3" t="n"/>
      <c r="BS272" s="3" t="n"/>
      <c r="BT272" s="3" t="n"/>
      <c r="BU272" s="3" t="n"/>
      <c r="BV272" s="3" t="n"/>
      <c r="BW272" s="3" t="n"/>
      <c r="BX272" s="3" t="n"/>
      <c r="BY272" s="3" t="n"/>
      <c r="BZ272" s="3" t="n"/>
      <c r="CA272" s="3" t="n"/>
      <c r="CB272" s="3" t="n"/>
      <c r="CC272" s="3" t="n"/>
      <c r="CD272" s="3" t="n"/>
      <c r="CE272" s="3" t="n"/>
      <c r="CF272" s="3" t="n"/>
      <c r="CG272" s="3" t="n"/>
      <c r="CH272" s="3" t="n"/>
      <c r="CI272" s="3" t="n"/>
      <c r="CJ272" s="3" t="n"/>
      <c r="CK272" s="3" t="n"/>
      <c r="CL272" s="3" t="n"/>
      <c r="CM272" s="3" t="n"/>
      <c r="CN272" s="3" t="n"/>
      <c r="CO272" s="3" t="n"/>
      <c r="CP272" s="3" t="n"/>
      <c r="CQ272" s="3" t="n"/>
      <c r="CR272" s="3" t="n"/>
      <c r="CS272" s="3" t="n"/>
      <c r="CT272" s="3" t="n"/>
      <c r="CU272" s="3" t="n"/>
      <c r="CV272" s="3" t="n"/>
      <c r="CW272" s="3" t="n"/>
      <c r="CX272" s="3" t="n"/>
      <c r="CY272" s="3" t="n"/>
    </row>
    <row r="273">
      <c r="C273" s="10" t="inlineStr">
        <is>
          <t>Net Income</t>
        </is>
      </c>
      <c r="D273" s="12" t="n"/>
      <c r="E273" s="12" t="n"/>
      <c r="F273" s="12" t="n"/>
      <c r="G273" s="12" t="n"/>
      <c r="H273" s="12" t="n"/>
      <c r="I273" s="12" t="n"/>
      <c r="J273" s="12">
        <f>J133</f>
        <v>18525</v>
      </c>
      <c r="K273" s="12">
        <f>K133</f>
        <v>18936</v>
      </c>
      <c r="L273" s="12">
        <f>L133</f>
        <v>20642</v>
      </c>
      <c r="M273" s="12" t="n"/>
      <c r="N273" s="12">
        <f>N133</f>
        <v>16436</v>
      </c>
      <c r="O273" s="12">
        <f>O133</f>
        <v>16002</v>
      </c>
      <c r="P273" s="12">
        <f>P133</f>
        <v>13910</v>
      </c>
      <c r="Q273" s="12">
        <f>Q133</f>
        <v>13624</v>
      </c>
      <c r="R273" s="12">
        <f>SUM(N273:Q273)</f>
        <v>59972</v>
      </c>
      <c r="S273" s="12">
        <f>S133</f>
        <v>15051</v>
      </c>
      <c r="T273" s="12">
        <f>T133</f>
        <v>18368</v>
      </c>
      <c r="U273" s="12">
        <f>U133</f>
        <v>19689</v>
      </c>
      <c r="V273" s="12">
        <f>V133</f>
        <v>20687</v>
      </c>
      <c r="W273" s="12">
        <f>SUM(S273:V273)</f>
        <v>73795</v>
      </c>
      <c r="X273" s="12">
        <f>X133</f>
        <v>23662</v>
      </c>
      <c r="Y273" s="12">
        <f>Y133</f>
        <v>23619</v>
      </c>
      <c r="Z273" s="12">
        <f>Z133</f>
        <v>26301</v>
      </c>
      <c r="AA273" s="12">
        <f>AA133</f>
        <v>26536</v>
      </c>
      <c r="AB273" s="12">
        <f>SUM(X273:AA273)</f>
        <v>100118</v>
      </c>
      <c r="AC273" s="12">
        <f>AC133</f>
        <v>34540</v>
      </c>
      <c r="AD273" s="12">
        <f>AD133</f>
        <v>28196</v>
      </c>
      <c r="AE273" s="12">
        <f>AE133</f>
        <v>34979</v>
      </c>
      <c r="AF273" s="12">
        <f>AF133</f>
        <v>34455</v>
      </c>
      <c r="AG273" s="12">
        <f>SUM(AC273:AF273)</f>
        <v>132170</v>
      </c>
      <c r="AH273" s="12">
        <f>AH133</f>
        <v>62578</v>
      </c>
      <c r="AI273" s="12">
        <f>AI133</f>
        <v>112193</v>
      </c>
      <c r="AJ273" s="12">
        <f>AJ133</f>
        <v>59264.2880000586</v>
      </c>
      <c r="AK273" s="12">
        <f>AK133</f>
        <v>65913.6130259968</v>
      </c>
      <c r="AL273" s="12">
        <f>SUM(AH273:AK273)</f>
        <v>299948.901026055</v>
      </c>
      <c r="AM273" s="12">
        <f>AM133</f>
        <v>63636.1772228953</v>
      </c>
      <c r="AN273" s="12">
        <f>AN133</f>
        <v>69368.8531574758</v>
      </c>
      <c r="AO273" s="12">
        <f>AO133</f>
        <v>69714.1573598568</v>
      </c>
      <c r="AP273" s="12">
        <f>AP133</f>
        <v>77535.9351427036</v>
      </c>
      <c r="AQ273" s="12">
        <f>SUM(AM273:AP273)</f>
        <v>280255.122882932</v>
      </c>
      <c r="AR273" s="12">
        <f>AR133</f>
        <v>74538.7459817536</v>
      </c>
      <c r="AS273" s="12">
        <f>AS133</f>
        <v>81253.5816920557</v>
      </c>
      <c r="AT273" s="12">
        <f>AT133</f>
        <v>81658.0456833096</v>
      </c>
      <c r="AU273" s="12">
        <f>AU133</f>
        <v>90819.9019217698</v>
      </c>
      <c r="AV273" s="12">
        <f>SUM(AR273:AU273)</f>
        <v>328270.275278889</v>
      </c>
      <c r="AW273" s="12">
        <f>AW133</f>
        <v>86936.5208552411</v>
      </c>
      <c r="AX273" s="12">
        <f>AX133</f>
        <v>94768.2122404315</v>
      </c>
      <c r="AY273" s="12">
        <f>AY133</f>
        <v>95239.9493450435</v>
      </c>
      <c r="AZ273" s="12">
        <f>AZ133</f>
        <v>105925.665819836</v>
      </c>
      <c r="BA273" s="12">
        <f>SUM(AW273:AZ273)</f>
        <v>382870.348260552</v>
      </c>
      <c r="BB273" s="12">
        <f>BB133</f>
        <v>100961.692648185</v>
      </c>
      <c r="BC273" s="12">
        <f>BC133</f>
        <v>110056.844038745</v>
      </c>
      <c r="BD273" s="12">
        <f>BD133</f>
        <v>110604.684878223</v>
      </c>
      <c r="BE273" s="12">
        <f>BE133</f>
        <v>123014.291472097</v>
      </c>
      <c r="BF273" s="12">
        <f>SUM(BB273:BE273)</f>
        <v>444637.51303725</v>
      </c>
      <c r="BG273" s="12" t="n"/>
      <c r="BH273" s="12" t="n"/>
      <c r="BI273" s="12" t="n"/>
      <c r="BJ273" s="12" t="n"/>
      <c r="BK273" s="12" t="n"/>
      <c r="BL273" s="12" t="n"/>
      <c r="BM273" s="12" t="n"/>
      <c r="BN273" s="12" t="n"/>
      <c r="BO273" s="12" t="n"/>
      <c r="BP273" s="12" t="n"/>
      <c r="BQ273" s="12" t="n"/>
      <c r="BR273" s="12" t="n"/>
      <c r="BS273" s="12" t="n"/>
      <c r="BT273" s="12" t="n"/>
      <c r="BU273" s="12" t="n"/>
      <c r="BV273" s="12" t="n"/>
      <c r="BW273" s="12" t="n"/>
      <c r="BX273" s="12" t="n"/>
      <c r="BY273" s="12" t="n"/>
      <c r="BZ273" s="12" t="n"/>
      <c r="CA273" s="12" t="n"/>
      <c r="CB273" s="12" t="n"/>
      <c r="CC273" s="12" t="n"/>
      <c r="CD273" s="12" t="n"/>
      <c r="CE273" s="12" t="n"/>
      <c r="CF273" s="12" t="n"/>
      <c r="CG273" s="12" t="n"/>
      <c r="CH273" s="12" t="n"/>
      <c r="CI273" s="12" t="n"/>
      <c r="CJ273" s="12" t="n"/>
      <c r="CK273" s="12" t="n"/>
      <c r="CL273" s="12" t="n"/>
      <c r="CM273" s="12" t="n"/>
      <c r="CN273" s="12" t="n"/>
      <c r="CO273" s="12" t="n"/>
      <c r="CP273" s="12" t="n"/>
      <c r="CQ273" s="12" t="n"/>
      <c r="CR273" s="12" t="n"/>
      <c r="CS273" s="12" t="n"/>
      <c r="CT273" s="12" t="n"/>
      <c r="CU273" s="12" t="n"/>
      <c r="CV273" s="12" t="n"/>
      <c r="CW273" s="12" t="n"/>
      <c r="CX273" s="12" t="n"/>
      <c r="CY273" s="12" t="n"/>
    </row>
    <row r="274">
      <c r="C274" s="10" t="inlineStr">
        <is>
          <t>Depreciation &amp; amortization</t>
        </is>
      </c>
      <c r="D274" s="12" t="n"/>
      <c r="E274" s="12" t="n"/>
      <c r="F274" s="12" t="n"/>
      <c r="G274" s="12" t="n"/>
      <c r="H274" s="12" t="n"/>
      <c r="I274" s="12" t="n"/>
      <c r="J274" s="12">
        <f>-J66</f>
        <v>2730</v>
      </c>
      <c r="K274" s="12">
        <f>-K66</f>
        <v>3085</v>
      </c>
      <c r="L274" s="12">
        <f>-L66</f>
        <v>3215</v>
      </c>
      <c r="M274" s="12" t="n"/>
      <c r="N274" s="12">
        <f>-N66</f>
        <v>3591</v>
      </c>
      <c r="O274" s="12">
        <f>-O66</f>
        <v>3698</v>
      </c>
      <c r="P274" s="12">
        <f>-P66</f>
        <v>3933</v>
      </c>
      <c r="Q274" s="12">
        <f>-Q66</f>
        <v>4065</v>
      </c>
      <c r="R274" s="12">
        <f>SUM(N274:Q274)</f>
        <v>15287</v>
      </c>
      <c r="S274" s="12">
        <f>-S66</f>
        <v>3060</v>
      </c>
      <c r="T274" s="12">
        <f>-T66</f>
        <v>3279</v>
      </c>
      <c r="U274" s="12">
        <f>-U66</f>
        <v>3671</v>
      </c>
      <c r="V274" s="12">
        <f>-V66</f>
        <v>3316</v>
      </c>
      <c r="W274" s="12">
        <f>SUM(S274:V274)</f>
        <v>13326</v>
      </c>
      <c r="X274" s="12">
        <f>-X66</f>
        <v>3413</v>
      </c>
      <c r="Y274" s="12">
        <f>-Y66</f>
        <v>3708</v>
      </c>
      <c r="Z274" s="12">
        <f>-Z66</f>
        <v>3985</v>
      </c>
      <c r="AA274" s="12">
        <f>-AA66</f>
        <v>4205</v>
      </c>
      <c r="AB274" s="12">
        <f>SUM(X274:AA274)</f>
        <v>15311</v>
      </c>
      <c r="AC274" s="12">
        <f>-AC66</f>
        <v>4487</v>
      </c>
      <c r="AD274" s="12">
        <f>-AD66</f>
        <v>4998</v>
      </c>
      <c r="AE274" s="12">
        <f>-AE66</f>
        <v>5611</v>
      </c>
      <c r="AF274" s="12">
        <f>-AF66</f>
        <v>6040</v>
      </c>
      <c r="AG274" s="12">
        <f>SUM(AC274:AF274)</f>
        <v>21136</v>
      </c>
      <c r="AH274" s="12">
        <f>-AH66</f>
        <v>6482</v>
      </c>
      <c r="AI274" s="12">
        <f>-AI66</f>
        <v>7104</v>
      </c>
      <c r="AJ274" s="12">
        <f>-AJ66</f>
        <v>6575.97737531178</v>
      </c>
      <c r="AK274" s="12">
        <f>-AK66</f>
        <v>7313.78782418819</v>
      </c>
      <c r="AL274" s="12">
        <f>SUM(AH274:AK274)</f>
        <v>27475.7651995</v>
      </c>
      <c r="AM274" s="12">
        <f>-AM66</f>
        <v>7061.08308714814</v>
      </c>
      <c r="AN274" s="12">
        <f>-AN66</f>
        <v>7697.18196756932</v>
      </c>
      <c r="AO274" s="12">
        <f>-AO66</f>
        <v>7735.49699166031</v>
      </c>
      <c r="AP274" s="12">
        <f>-AP66</f>
        <v>8603.40303542592</v>
      </c>
      <c r="AQ274" s="12">
        <f>SUM(AM274:AP274)</f>
        <v>31097.1650818037</v>
      </c>
      <c r="AR274" s="12">
        <f>-AR66</f>
        <v>8270.83432031848</v>
      </c>
      <c r="AS274" s="12">
        <f>-AS66</f>
        <v>9015.91384797329</v>
      </c>
      <c r="AT274" s="12">
        <f>-AT66</f>
        <v>9060.79325419532</v>
      </c>
      <c r="AU274" s="12">
        <f>-AU66</f>
        <v>10077.3946742599</v>
      </c>
      <c r="AV274" s="12">
        <f>SUM(AR274:AU274)</f>
        <v>36424.9360967469</v>
      </c>
      <c r="AW274" s="12">
        <f>-AW66</f>
        <v>9646.4939261874</v>
      </c>
      <c r="AX274" s="12">
        <f>-AX66</f>
        <v>10515.4999852729</v>
      </c>
      <c r="AY274" s="12">
        <f>-AY66</f>
        <v>10567.8440297507</v>
      </c>
      <c r="AZ274" s="12">
        <f>-AZ66</f>
        <v>11753.5332896497</v>
      </c>
      <c r="BA274" s="12">
        <f>SUM(AW274:AZ274)</f>
        <v>42483.3712308607</v>
      </c>
      <c r="BB274" s="12">
        <f>-BB66</f>
        <v>11202.7298231777</v>
      </c>
      <c r="BC274" s="12">
        <f>-BC66</f>
        <v>12211.9296598365</v>
      </c>
      <c r="BD274" s="12">
        <f>-BD66</f>
        <v>12272.7181901175</v>
      </c>
      <c r="BE274" s="12">
        <f>-BE66</f>
        <v>13649.690646072</v>
      </c>
      <c r="BF274" s="12">
        <f>SUM(BB274:BE274)</f>
        <v>49337.0683192036</v>
      </c>
      <c r="BG274" s="12" t="n"/>
      <c r="BH274" s="12" t="n"/>
      <c r="BI274" s="12" t="n"/>
      <c r="BJ274" s="12" t="n"/>
      <c r="BK274" s="12" t="n"/>
      <c r="BL274" s="12" t="n"/>
      <c r="BM274" s="12" t="n"/>
      <c r="BN274" s="12" t="n"/>
      <c r="BO274" s="12" t="n"/>
      <c r="BP274" s="12" t="n"/>
      <c r="BQ274" s="12" t="n"/>
      <c r="BR274" s="12" t="n"/>
      <c r="BS274" s="12" t="n"/>
      <c r="BT274" s="12" t="n"/>
      <c r="BU274" s="12" t="n"/>
      <c r="BV274" s="12" t="n"/>
      <c r="BW274" s="12" t="n"/>
      <c r="BX274" s="12" t="n"/>
      <c r="BY274" s="12" t="n"/>
      <c r="BZ274" s="12" t="n"/>
      <c r="CA274" s="12" t="n"/>
      <c r="CB274" s="12" t="n"/>
      <c r="CC274" s="12" t="n"/>
      <c r="CD274" s="12" t="n"/>
      <c r="CE274" s="12" t="n"/>
      <c r="CF274" s="12" t="n"/>
      <c r="CG274" s="12" t="n"/>
      <c r="CH274" s="12" t="n"/>
      <c r="CI274" s="12" t="n"/>
      <c r="CJ274" s="12" t="n"/>
      <c r="CK274" s="12" t="n"/>
      <c r="CL274" s="12" t="n"/>
      <c r="CM274" s="12" t="n"/>
      <c r="CN274" s="12" t="n"/>
      <c r="CO274" s="12" t="n"/>
      <c r="CP274" s="12" t="n"/>
      <c r="CQ274" s="12" t="n"/>
      <c r="CR274" s="12" t="n"/>
      <c r="CS274" s="12" t="n"/>
      <c r="CT274" s="12" t="n"/>
      <c r="CU274" s="12" t="n"/>
      <c r="CV274" s="12" t="n"/>
      <c r="CW274" s="12" t="n"/>
      <c r="CX274" s="12" t="n"/>
      <c r="CY274" s="12" t="n"/>
    </row>
    <row r="275">
      <c r="C275" s="10" t="inlineStr">
        <is>
          <t xml:space="preserve">Changes in working capital </t>
        </is>
      </c>
      <c r="D275" s="12" t="n"/>
      <c r="E275" s="12" t="n"/>
      <c r="F275" s="12" t="n"/>
      <c r="G275" s="12" t="n"/>
      <c r="H275" s="12" t="n"/>
      <c r="I275" s="12" t="n"/>
      <c r="J275" s="12">
        <f>SUM(J276:J285)</f>
        <v>-2240</v>
      </c>
      <c r="K275" s="12">
        <f>SUM(K276:K285)</f>
        <v>2574</v>
      </c>
      <c r="L275" s="12">
        <f>SUM(L276:L285)</f>
        <v>-2298</v>
      </c>
      <c r="M275" s="12" t="n"/>
      <c r="N275" s="12">
        <f>SUM(N276:N285)</f>
        <v>-213</v>
      </c>
      <c r="O275" s="12">
        <f>SUM(O276:O285)</f>
        <v>-6106</v>
      </c>
      <c r="P275" s="12">
        <f>SUM(P276:P285)</f>
        <v>200</v>
      </c>
      <c r="Q275" s="12">
        <f>SUM(Q276:Q285)</f>
        <v>-94</v>
      </c>
      <c r="R275" s="12">
        <f>SUM(N275:Q275)</f>
        <v>-6213</v>
      </c>
      <c r="S275" s="12">
        <f>SUM(S276:S285)</f>
        <v>2108</v>
      </c>
      <c r="T275" s="12">
        <f>SUM(T276:T285)</f>
        <v>2826</v>
      </c>
      <c r="U275" s="12">
        <f>SUM(U276:U285)</f>
        <v>1011</v>
      </c>
      <c r="V275" s="12">
        <f>SUM(V276:V285)</f>
        <v>-9949</v>
      </c>
      <c r="W275" s="12">
        <f>SUM(S275:V275)</f>
        <v>-4004</v>
      </c>
      <c r="X275" s="12">
        <f>SUM(X276:X285)</f>
        <v>-1101</v>
      </c>
      <c r="Y275" s="12">
        <f>SUM(Y276:Y285)</f>
        <v>-6013</v>
      </c>
      <c r="Z275" s="12">
        <f>SUM(Z276:Z285)</f>
        <v>-1119</v>
      </c>
      <c r="AA275" s="12">
        <f>SUM(AA276:AA285)</f>
        <v>2605</v>
      </c>
      <c r="AB275" s="12">
        <f>SUM(X275:AA275)</f>
        <v>-5628</v>
      </c>
      <c r="AC275" s="12">
        <f>SUM(AC276:AC285)</f>
        <v>2656</v>
      </c>
      <c r="AD275" s="12">
        <f>SUM(AD276:AD285)</f>
        <v>-9591</v>
      </c>
      <c r="AE275" s="12">
        <f>SUM(AE276:AE285)</f>
        <v>16815</v>
      </c>
      <c r="AF275" s="12">
        <f>SUM(AF276:AF285)</f>
        <v>669</v>
      </c>
      <c r="AG275" s="12">
        <f>SUM(AC275:AF275)</f>
        <v>10549</v>
      </c>
      <c r="AH275" s="12">
        <f>SUM(AH276:AH285)</f>
        <v>7843</v>
      </c>
      <c r="AI275" s="12">
        <f>SUM(AI276:AI285)</f>
        <v>24152</v>
      </c>
      <c r="AJ275" s="12">
        <f>SUM(AJ276:AJ285)</f>
        <v>21439.8757766266</v>
      </c>
      <c r="AK275" s="12">
        <f>SUM(AK276:AK285)</f>
        <v>14315.4638252698</v>
      </c>
      <c r="AL275" s="12">
        <f>SUM(AH275:AK275)</f>
        <v>67750.3396018964</v>
      </c>
      <c r="AM275" s="12">
        <f>SUM(AM276:AM285)</f>
        <v>24880.9643045297</v>
      </c>
      <c r="AN275" s="12">
        <f>SUM(AN276:AN285)</f>
        <v>23623.67117819</v>
      </c>
      <c r="AO275" s="12">
        <f>SUM(AO276:AO285)</f>
        <v>33708.9356233227</v>
      </c>
      <c r="AP275" s="12">
        <f>SUM(AP276:AP285)</f>
        <v>31956.5624096356</v>
      </c>
      <c r="AQ275" s="12">
        <f>SUM(AM275:AP275)</f>
        <v>114170.133515678</v>
      </c>
      <c r="AR275" s="12">
        <f>SUM(AR276:AR285)</f>
        <v>46819.4148034849</v>
      </c>
      <c r="AS275" s="12">
        <f>SUM(AS276:AS285)</f>
        <v>46193.2632154233</v>
      </c>
      <c r="AT275" s="12">
        <f>SUM(AT276:AT285)</f>
        <v>61921.910482915</v>
      </c>
      <c r="AU275" s="12">
        <f>SUM(AU276:AU285)</f>
        <v>63518.3304223012</v>
      </c>
      <c r="AV275" s="12">
        <f>SUM(AR275:AU275)</f>
        <v>218452.918924124</v>
      </c>
      <c r="AW275" s="12">
        <f>SUM(AW276:AW285)</f>
        <v>83682.2926444579</v>
      </c>
      <c r="AX275" s="12">
        <f>SUM(AX276:AX285)</f>
        <v>89066.8839036684</v>
      </c>
      <c r="AY275" s="12">
        <f>SUM(AY276:AY285)</f>
        <v>111904.115518013</v>
      </c>
      <c r="AZ275" s="12">
        <f>SUM(AZ276:AZ285)</f>
        <v>120007.922574777</v>
      </c>
      <c r="BA275" s="12">
        <f>SUM(AW275:AZ275)</f>
        <v>404661.214640916</v>
      </c>
      <c r="BB275" s="12">
        <f>SUM(BB276:BB285)</f>
        <v>149471.866629411</v>
      </c>
      <c r="BC275" s="12">
        <f>SUM(BC276:BC285)</f>
        <v>163197.116260052</v>
      </c>
      <c r="BD275" s="12">
        <f>SUM(BD276:BD285)</f>
        <v>198805.202998402</v>
      </c>
      <c r="BE275" s="12">
        <f>SUM(BE276:BE285)</f>
        <v>218676.655264455</v>
      </c>
      <c r="BF275" s="12">
        <f>SUM(BB275:BE275)</f>
        <v>730150.84115232</v>
      </c>
      <c r="BG275" s="12" t="n"/>
      <c r="BH275" s="12" t="n"/>
      <c r="BI275" s="12" t="n"/>
      <c r="BJ275" s="12" t="n"/>
      <c r="BK275" s="12" t="n"/>
      <c r="BL275" s="12" t="n"/>
      <c r="BM275" s="12" t="n"/>
      <c r="BN275" s="12" t="n"/>
      <c r="BO275" s="12" t="n"/>
      <c r="BP275" s="12" t="n"/>
      <c r="BQ275" s="12" t="n"/>
      <c r="BR275" s="12" t="n"/>
      <c r="BS275" s="12" t="n"/>
      <c r="BT275" s="12" t="n"/>
      <c r="BU275" s="12" t="n"/>
      <c r="BV275" s="12" t="n"/>
      <c r="BW275" s="12" t="n"/>
      <c r="BX275" s="12" t="n"/>
      <c r="BY275" s="12" t="n"/>
      <c r="BZ275" s="12" t="n"/>
      <c r="CA275" s="12" t="n"/>
      <c r="CB275" s="12" t="n"/>
      <c r="CC275" s="12" t="n"/>
      <c r="CD275" s="12" t="n"/>
      <c r="CE275" s="12" t="n"/>
      <c r="CF275" s="12" t="n"/>
      <c r="CG275" s="12" t="n"/>
      <c r="CH275" s="12" t="n"/>
      <c r="CI275" s="12" t="n"/>
      <c r="CJ275" s="12" t="n"/>
      <c r="CK275" s="12" t="n"/>
      <c r="CL275" s="12" t="n"/>
      <c r="CM275" s="12" t="n"/>
      <c r="CN275" s="12" t="n"/>
      <c r="CO275" s="12" t="n"/>
      <c r="CP275" s="12" t="n"/>
      <c r="CQ275" s="12" t="n"/>
      <c r="CR275" s="12" t="n"/>
      <c r="CS275" s="12" t="n"/>
      <c r="CT275" s="12" t="n"/>
      <c r="CU275" s="12" t="n"/>
      <c r="CV275" s="12" t="n"/>
      <c r="CW275" s="12" t="n"/>
      <c r="CX275" s="12" t="n"/>
      <c r="CY275" s="12" t="n"/>
    </row>
    <row r="276" hidden="1" outlineLevel="1">
      <c r="C276" s="10" t="inlineStr">
        <is>
          <t>Accounts receivable</t>
        </is>
      </c>
      <c r="D276" s="12" t="n"/>
      <c r="E276" s="12" t="n"/>
      <c r="F276" s="12" t="n"/>
      <c r="G276" s="12" t="n"/>
      <c r="H276" s="12" t="n"/>
      <c r="I276" s="12" t="n"/>
      <c r="J276" s="12">
        <f>(J141-I141)*-1</f>
        <v>-3961</v>
      </c>
      <c r="K276" s="12">
        <f>(K141-J141)*-1</f>
        <v>-2080</v>
      </c>
      <c r="L276" s="12">
        <f>(L141-K141)*-1</f>
        <v>-5257</v>
      </c>
      <c r="M276" s="12" t="n"/>
      <c r="N276" s="12">
        <f>(N141-M141)*-1</f>
        <v>4601</v>
      </c>
      <c r="O276" s="12">
        <f>(O141-N141)*-1</f>
        <v>-1004</v>
      </c>
      <c r="P276" s="12">
        <f>(P141-O141)*-1</f>
        <v>1010</v>
      </c>
      <c r="Q276" s="12">
        <f>(Q141-P141)*-1</f>
        <v>-5561</v>
      </c>
      <c r="R276" s="12">
        <f>SUM(N276:Q276)</f>
        <v>-954</v>
      </c>
      <c r="S276" s="12">
        <f>(S141-R141)*-1</f>
        <v>4222</v>
      </c>
      <c r="T276" s="12">
        <f>(T141-S141)*-1</f>
        <v>-2768</v>
      </c>
      <c r="U276" s="12">
        <f>(U141-T141)*-1</f>
        <v>-2216</v>
      </c>
      <c r="V276" s="12">
        <f>(V141-U141)*-1</f>
        <v>-6944</v>
      </c>
      <c r="W276" s="12">
        <f>SUM(S276:V276)</f>
        <v>-7706</v>
      </c>
      <c r="X276" s="12">
        <f>(X141-W141)*-1</f>
        <v>3412</v>
      </c>
      <c r="Y276" s="12">
        <f>(Y141-X141)*-1</f>
        <v>-2535</v>
      </c>
      <c r="Z276" s="12">
        <f>(Z141-Y141)*-1</f>
        <v>-2017</v>
      </c>
      <c r="AA276" s="12">
        <f>(AA141-Z141)*-1</f>
        <v>-3236</v>
      </c>
      <c r="AB276" s="12">
        <f>SUM(X276:AA276)</f>
        <v>-4376</v>
      </c>
      <c r="AC276" s="12">
        <f>(AC141-AB141)*-1</f>
        <v>1340</v>
      </c>
      <c r="AD276" s="12">
        <f>(AD141-AC141)*-1</f>
        <v>-4048</v>
      </c>
      <c r="AE276" s="12">
        <f>(AE141-AD141)*-1</f>
        <v>-2100</v>
      </c>
      <c r="AF276" s="12">
        <f>(AF141-AE141)*-1</f>
        <v>-5738</v>
      </c>
      <c r="AG276" s="12">
        <f>SUM(AC276:AF276)</f>
        <v>-10546</v>
      </c>
      <c r="AH276" s="12">
        <f>(AH141-AG141)*-1</f>
        <v>-113</v>
      </c>
      <c r="AI276" s="12">
        <f>(AI141-AH141)*-1</f>
        <v>-6176</v>
      </c>
      <c r="AJ276" s="12">
        <f>(AJ141-AI141)*-1</f>
        <v>1747.70009332371</v>
      </c>
      <c r="AK276" s="12">
        <f>(AK141-AJ141)*-1</f>
        <v>-7565.19731917577</v>
      </c>
      <c r="AL276" s="12">
        <f>SUM(AH276:AK276)</f>
        <v>-12106.4972258521</v>
      </c>
      <c r="AM276" s="12">
        <f>(AM141-AL141)*-1</f>
        <v>982.208526510061</v>
      </c>
      <c r="AN276" s="12">
        <f>(AN141-AM141)*-1</f>
        <v>-5780.66341086224</v>
      </c>
      <c r="AO276" s="12">
        <f>(AO141-AN141)*-1</f>
        <v>474.426852368619</v>
      </c>
      <c r="AP276" s="12">
        <f>(AP141-AO141)*-1</f>
        <v>-8899.1427074407</v>
      </c>
      <c r="AQ276" s="12">
        <f>SUM(AM276:AP276)</f>
        <v>-13223.1707394243</v>
      </c>
      <c r="AR276" s="12">
        <f>(AR141-AQ141)*-1</f>
        <v>2478.08920664834</v>
      </c>
      <c r="AS276" s="12">
        <f>(AS141-AR141)*-1</f>
        <v>-7723.68448087662</v>
      </c>
      <c r="AT276" s="12">
        <f>(AT141-AS141)*-1</f>
        <v>555.70878357075</v>
      </c>
      <c r="AU276" s="12">
        <f>(AU141-AT141)*-1</f>
        <v>-10423.8024135529</v>
      </c>
      <c r="AV276" s="12">
        <f>SUM(AR276:AU276)</f>
        <v>-15113.6889042104</v>
      </c>
      <c r="AW276" s="12">
        <f>(AW141-AV141)*-1</f>
        <v>2220.25057487041</v>
      </c>
      <c r="AX276" s="12">
        <f>(AX141-AW141)*-1</f>
        <v>-7897.2494437448</v>
      </c>
      <c r="AY276" s="12">
        <f>(AY141-AX141)*-1</f>
        <v>648.137926336553</v>
      </c>
      <c r="AZ276" s="12">
        <f>(AZ141-AY141)*-1</f>
        <v>-12157.5578443269</v>
      </c>
      <c r="BA276" s="12">
        <f>SUM(AW276:AZ276)</f>
        <v>-17186.4187868647</v>
      </c>
      <c r="BB276" s="12">
        <f>(BB141-BA141)*-1</f>
        <v>3095.08279647261</v>
      </c>
      <c r="BC276" s="12">
        <f>(BC141-BB141)*-1</f>
        <v>-9171.2857066484</v>
      </c>
      <c r="BD276" s="12">
        <f>(BD141-BC141)*-1</f>
        <v>752.699802898525</v>
      </c>
      <c r="BE276" s="12">
        <f>(BE141-BD141)*-1</f>
        <v>-14118.8951013498</v>
      </c>
      <c r="BF276" s="12">
        <f>SUM(BB276:BE276)</f>
        <v>-19442.3982086271</v>
      </c>
      <c r="BG276" s="12" t="n"/>
      <c r="BH276" s="12" t="n"/>
      <c r="BI276" s="12" t="n"/>
      <c r="BJ276" s="12" t="n"/>
      <c r="BK276" s="12" t="n"/>
      <c r="BL276" s="12" t="n"/>
      <c r="BM276" s="12" t="n"/>
      <c r="BN276" s="12" t="n"/>
      <c r="BO276" s="12" t="n"/>
      <c r="BP276" s="12" t="n"/>
      <c r="BQ276" s="12" t="n"/>
      <c r="BR276" s="12" t="n"/>
      <c r="BS276" s="12" t="n"/>
      <c r="BT276" s="12" t="n"/>
      <c r="BU276" s="12" t="n"/>
      <c r="BV276" s="12" t="n"/>
      <c r="BW276" s="12" t="n"/>
      <c r="BX276" s="12" t="n"/>
      <c r="BY276" s="12" t="n"/>
      <c r="BZ276" s="12" t="n"/>
      <c r="CA276" s="12" t="n"/>
      <c r="CB276" s="12" t="n"/>
      <c r="CC276" s="12" t="n"/>
      <c r="CD276" s="12" t="n"/>
      <c r="CE276" s="12" t="n"/>
      <c r="CF276" s="12" t="n"/>
      <c r="CG276" s="12" t="n"/>
      <c r="CH276" s="12" t="n"/>
      <c r="CI276" s="12" t="n"/>
      <c r="CJ276" s="12" t="n"/>
      <c r="CK276" s="12" t="n"/>
      <c r="CL276" s="12" t="n"/>
      <c r="CM276" s="12" t="n"/>
      <c r="CN276" s="12" t="n"/>
      <c r="CO276" s="12" t="n"/>
      <c r="CP276" s="12" t="n"/>
      <c r="CQ276" s="12" t="n"/>
      <c r="CR276" s="12" t="n"/>
      <c r="CS276" s="12" t="n"/>
      <c r="CT276" s="12" t="n"/>
      <c r="CU276" s="12" t="n"/>
      <c r="CV276" s="12" t="n"/>
      <c r="CW276" s="12" t="n"/>
      <c r="CX276" s="12" t="n"/>
      <c r="CY276" s="12" t="n"/>
    </row>
    <row r="277" hidden="1" outlineLevel="1">
      <c r="C277" s="10" t="inlineStr">
        <is>
          <t>Inventories</t>
        </is>
      </c>
      <c r="D277" s="12" t="n"/>
      <c r="E277" s="12" t="n"/>
      <c r="F277" s="12" t="n"/>
      <c r="G277" s="12" t="n"/>
      <c r="H277" s="12" t="n"/>
      <c r="I277" s="12" t="n"/>
      <c r="J277" s="12">
        <f>(J145-I145)*-1</f>
        <v>-19</v>
      </c>
      <c r="K277" s="12">
        <f>(K145-J145)*-1</f>
        <v>-371</v>
      </c>
      <c r="L277" s="12">
        <f>(L145-K145)*-1</f>
        <v>108</v>
      </c>
      <c r="M277" s="12" t="n"/>
      <c r="N277" s="12">
        <f>(N145-M145)*-1</f>
        <v>-199</v>
      </c>
      <c r="O277" s="12">
        <f>(O145-N145)*-1</f>
        <v>-611</v>
      </c>
      <c r="P277" s="12">
        <f>(P145-O145)*-1</f>
        <v>-1176</v>
      </c>
      <c r="Q277" s="12">
        <f>(Q145-P145)*-1</f>
        <v>486</v>
      </c>
      <c r="R277" s="12">
        <f>SUM(N277:Q277)</f>
        <v>-1500</v>
      </c>
      <c r="S277" s="12">
        <f>(S145-R145)*-1</f>
        <v>355</v>
      </c>
      <c r="T277" s="12">
        <f>(T145-S145)*-1</f>
        <v>84</v>
      </c>
      <c r="U277" s="12">
        <f>(U145-T145)*-1</f>
        <v>-726</v>
      </c>
      <c r="V277" s="12">
        <f>(V145-U145)*-1</f>
        <v>2957</v>
      </c>
      <c r="W277" s="12">
        <f>SUM(S277:V277)</f>
        <v>2670</v>
      </c>
      <c r="X277" s="12">
        <f>(X145-W145)*-1</f>
        <v>0</v>
      </c>
      <c r="Y277" s="12">
        <f>(Y145-X145)*-1</f>
        <v>0</v>
      </c>
      <c r="Z277" s="12">
        <f>(Z145-Y145)*-1</f>
        <v>0</v>
      </c>
      <c r="AA277" s="12">
        <f>(AA145-Z145)*-1</f>
        <v>0</v>
      </c>
      <c r="AB277" s="12">
        <f>SUM(X277:AA277)</f>
        <v>0</v>
      </c>
      <c r="AC277" s="12">
        <f>(AC145-AB145)*-1</f>
        <v>0</v>
      </c>
      <c r="AD277" s="12">
        <f>(AD145-AC145)*-1</f>
        <v>0</v>
      </c>
      <c r="AE277" s="12">
        <f>(AE145-AD145)*-1</f>
        <v>0</v>
      </c>
      <c r="AF277" s="12">
        <f>(AF145-AE145)*-1</f>
        <v>0</v>
      </c>
      <c r="AG277" s="12">
        <f>SUM(AC277:AF277)</f>
        <v>0</v>
      </c>
      <c r="AH277" s="12">
        <f>(AH145-AG145)*-1</f>
        <v>0</v>
      </c>
      <c r="AI277" s="12">
        <f>(AI145-AH145)*-1</f>
        <v>-9991</v>
      </c>
      <c r="AJ277" s="12">
        <f>(AJ145-AI145)*-1</f>
        <v>8283.88033203477</v>
      </c>
      <c r="AK277" s="12">
        <f>(AK145-AJ145)*-1</f>
        <v>-191.535137154796</v>
      </c>
      <c r="AL277" s="12">
        <f>SUM(AH277:AK277)</f>
        <v>-1898.65480512003</v>
      </c>
      <c r="AM277" s="12">
        <f>(AM145-AL145)*-1</f>
        <v>24.8674868483417</v>
      </c>
      <c r="AN277" s="12">
        <f>(AN145-AM145)*-1</f>
        <v>-146.354432347554</v>
      </c>
      <c r="AO277" s="12">
        <f>(AO145-AN145)*-1</f>
        <v>12.0115059005818</v>
      </c>
      <c r="AP277" s="12">
        <f>(AP145-AO145)*-1</f>
        <v>-225.307873293576</v>
      </c>
      <c r="AQ277" s="12">
        <f>SUM(AM277:AP277)</f>
        <v>-334.783312892207</v>
      </c>
      <c r="AR277" s="12">
        <f>(AR145-AQ145)*-1</f>
        <v>62.7400893925283</v>
      </c>
      <c r="AS277" s="12">
        <f>(AS145-AR145)*-1</f>
        <v>-195.547704041413</v>
      </c>
      <c r="AT277" s="12">
        <f>(AT145-AS145)*-1</f>
        <v>14.0693961556776</v>
      </c>
      <c r="AU277" s="12">
        <f>(AU145-AT145)*-1</f>
        <v>-263.909101206612</v>
      </c>
      <c r="AV277" s="12">
        <f>SUM(AR277:AU277)</f>
        <v>-382.647319699819</v>
      </c>
      <c r="AW277" s="12">
        <f>(AW145-AV145)*-1</f>
        <v>56.2121489280794</v>
      </c>
      <c r="AX277" s="12">
        <f>(AX145-AW145)*-1</f>
        <v>-199.942009644514</v>
      </c>
      <c r="AY277" s="12">
        <f>(AY145-AX145)*-1</f>
        <v>16.4095107342982</v>
      </c>
      <c r="AZ277" s="12">
        <f>(AZ145-AY145)*-1</f>
        <v>-307.804200067344</v>
      </c>
      <c r="BA277" s="12">
        <f>SUM(AW277:AZ277)</f>
        <v>-435.12455004948</v>
      </c>
      <c r="BB277" s="12">
        <f>(BB145-BA145)*-1</f>
        <v>78.36108999103</v>
      </c>
      <c r="BC277" s="12">
        <f>(BC145-BB145)*-1</f>
        <v>-232.197970733182</v>
      </c>
      <c r="BD277" s="12">
        <f>(BD145-BC145)*-1</f>
        <v>19.0568010194702</v>
      </c>
      <c r="BE277" s="12">
        <f>(BE145-BD145)*-1</f>
        <v>-357.461199704153</v>
      </c>
      <c r="BF277" s="12">
        <f>SUM(BB277:BE277)</f>
        <v>-492.241279426835</v>
      </c>
      <c r="BG277" s="12" t="n"/>
      <c r="BH277" s="12" t="n"/>
      <c r="BI277" s="12" t="n"/>
      <c r="BJ277" s="12" t="n"/>
      <c r="BK277" s="12" t="n"/>
      <c r="BL277" s="12" t="n"/>
      <c r="BM277" s="12" t="n"/>
      <c r="BN277" s="12" t="n"/>
      <c r="BO277" s="12" t="n"/>
      <c r="BP277" s="12" t="n"/>
      <c r="BQ277" s="12" t="n"/>
      <c r="BR277" s="12" t="n"/>
      <c r="BS277" s="12" t="n"/>
      <c r="BT277" s="12" t="n"/>
      <c r="BU277" s="12" t="n"/>
      <c r="BV277" s="12" t="n"/>
      <c r="BW277" s="12" t="n"/>
      <c r="BX277" s="12" t="n"/>
      <c r="BY277" s="12" t="n"/>
      <c r="BZ277" s="12" t="n"/>
      <c r="CA277" s="12" t="n"/>
      <c r="CB277" s="12" t="n"/>
      <c r="CC277" s="12" t="n"/>
      <c r="CD277" s="12" t="n"/>
      <c r="CE277" s="12" t="n"/>
      <c r="CF277" s="12" t="n"/>
      <c r="CG277" s="12" t="n"/>
      <c r="CH277" s="12" t="n"/>
      <c r="CI277" s="12" t="n"/>
      <c r="CJ277" s="12" t="n"/>
      <c r="CK277" s="12" t="n"/>
      <c r="CL277" s="12" t="n"/>
      <c r="CM277" s="12" t="n"/>
      <c r="CN277" s="12" t="n"/>
      <c r="CO277" s="12" t="n"/>
      <c r="CP277" s="12" t="n"/>
      <c r="CQ277" s="12" t="n"/>
      <c r="CR277" s="12" t="n"/>
      <c r="CS277" s="12" t="n"/>
      <c r="CT277" s="12" t="n"/>
      <c r="CU277" s="12" t="n"/>
      <c r="CV277" s="12" t="n"/>
      <c r="CW277" s="12" t="n"/>
      <c r="CX277" s="12" t="n"/>
      <c r="CY277" s="12" t="n"/>
    </row>
    <row r="278" hidden="1" outlineLevel="1">
      <c r="C278" s="10" t="inlineStr">
        <is>
          <t>Deferred income taxes</t>
        </is>
      </c>
      <c r="D278" s="12" t="n"/>
      <c r="E278" s="12" t="n"/>
      <c r="F278" s="12" t="n"/>
      <c r="G278" s="12" t="n"/>
      <c r="H278" s="12" t="n"/>
      <c r="I278" s="12" t="n"/>
      <c r="J278" s="12">
        <f>(J149-I149)*-1</f>
        <v>-24</v>
      </c>
      <c r="K278" s="12">
        <f>(K149-J149)*-1</f>
        <v>-42</v>
      </c>
      <c r="L278" s="12">
        <f>(L149-K149)*-1</f>
        <v>-89</v>
      </c>
      <c r="M278" s="12" t="n"/>
      <c r="N278" s="12">
        <f>(N149-M149)*-1</f>
        <v>-104</v>
      </c>
      <c r="O278" s="12">
        <f>(O149-N149)*-1</f>
        <v>-102</v>
      </c>
      <c r="P278" s="12">
        <f>(P149-O149)*-1</f>
        <v>-1501</v>
      </c>
      <c r="Q278" s="12">
        <f>(Q149-P149)*-1</f>
        <v>-2270</v>
      </c>
      <c r="R278" s="12">
        <f>SUM(N278:Q278)</f>
        <v>-3977</v>
      </c>
      <c r="S278" s="12">
        <f>(S149-R149)*-1</f>
        <v>-1624</v>
      </c>
      <c r="T278" s="12">
        <f>(T149-S149)*-1</f>
        <v>-2472</v>
      </c>
      <c r="U278" s="12">
        <f>(U149-T149)*-1</f>
        <v>-1626</v>
      </c>
      <c r="V278" s="12">
        <f>(V149-U149)*-1</f>
        <v>-1186</v>
      </c>
      <c r="W278" s="12">
        <f>SUM(S278:V278)</f>
        <v>-6908</v>
      </c>
      <c r="X278" s="12">
        <f>(X149-W149)*-1</f>
        <v>482</v>
      </c>
      <c r="Y278" s="12">
        <f>(Y149-X149)*-1</f>
        <v>-3271</v>
      </c>
      <c r="Z278" s="12">
        <f>(Z149-Y149)*-1</f>
        <v>-957</v>
      </c>
      <c r="AA278" s="12">
        <f>(AA149-Z149)*-1</f>
        <v>-1265</v>
      </c>
      <c r="AB278" s="12">
        <f>SUM(X278:AA278)</f>
        <v>-5011</v>
      </c>
      <c r="AC278" s="12">
        <f>(AC149-AB149)*-1</f>
        <v>-1206</v>
      </c>
      <c r="AD278" s="12">
        <f>(AD149-AC149)*-1</f>
        <v>-903</v>
      </c>
      <c r="AE278" s="12">
        <f>(AE149-AD149)*-1</f>
        <v>8958</v>
      </c>
      <c r="AF278" s="12">
        <f>(AF149-AE149)*-1</f>
        <v>1218</v>
      </c>
      <c r="AG278" s="12">
        <f>SUM(AC278:AF278)</f>
        <v>8067</v>
      </c>
      <c r="AH278" s="12">
        <f>(AH149-AG149)*-1</f>
        <v>7118</v>
      </c>
      <c r="AI278" s="12">
        <f>(AI149-AH149)*-1</f>
        <v>547</v>
      </c>
      <c r="AJ278" s="12">
        <f>(AJ149-AI149)*-1</f>
        <v>0</v>
      </c>
      <c r="AK278" s="12">
        <f>(AK149-AJ149)*-1</f>
        <v>0</v>
      </c>
      <c r="AL278" s="12">
        <f>SUM(AH278:AK278)</f>
        <v>7665</v>
      </c>
      <c r="AM278" s="12">
        <f>(AM149-AL149)*-1</f>
        <v>0</v>
      </c>
      <c r="AN278" s="12">
        <f>(AN149-AM149)*-1</f>
        <v>0</v>
      </c>
      <c r="AO278" s="12">
        <f>(AO149-AN149)*-1</f>
        <v>0</v>
      </c>
      <c r="AP278" s="12">
        <f>(AP149-AO149)*-1</f>
        <v>0</v>
      </c>
      <c r="AQ278" s="12">
        <f>SUM(AM278:AP278)</f>
        <v>0</v>
      </c>
      <c r="AR278" s="12">
        <f>(AR149-AQ149)*-1</f>
        <v>0</v>
      </c>
      <c r="AS278" s="12">
        <f>(AS149-AR149)*-1</f>
        <v>0</v>
      </c>
      <c r="AT278" s="12">
        <f>(AT149-AS149)*-1</f>
        <v>0</v>
      </c>
      <c r="AU278" s="12">
        <f>(AU149-AT149)*-1</f>
        <v>0</v>
      </c>
      <c r="AV278" s="12">
        <f>SUM(AR278:AU278)</f>
        <v>0</v>
      </c>
      <c r="AW278" s="12">
        <f>(AW149-AV149)*-1</f>
        <v>0</v>
      </c>
      <c r="AX278" s="12">
        <f>(AX149-AW149)*-1</f>
        <v>0</v>
      </c>
      <c r="AY278" s="12">
        <f>(AY149-AX149)*-1</f>
        <v>0</v>
      </c>
      <c r="AZ278" s="12">
        <f>(AZ149-AY149)*-1</f>
        <v>0</v>
      </c>
      <c r="BA278" s="12">
        <f>SUM(AW278:AZ278)</f>
        <v>0</v>
      </c>
      <c r="BB278" s="12">
        <f>(BB149-BA149)*-1</f>
        <v>0</v>
      </c>
      <c r="BC278" s="12">
        <f>(BC149-BB149)*-1</f>
        <v>0</v>
      </c>
      <c r="BD278" s="12">
        <f>(BD149-BC149)*-1</f>
        <v>0</v>
      </c>
      <c r="BE278" s="12">
        <f>(BE149-BD149)*-1</f>
        <v>0</v>
      </c>
      <c r="BF278" s="12">
        <f>SUM(BB278:BE278)</f>
        <v>0</v>
      </c>
      <c r="BG278" s="12" t="n"/>
      <c r="BH278" s="12" t="n"/>
      <c r="BI278" s="12" t="n"/>
      <c r="BJ278" s="12" t="n"/>
      <c r="BK278" s="12" t="n"/>
      <c r="BL278" s="12" t="n"/>
      <c r="BM278" s="12" t="n"/>
      <c r="BN278" s="12" t="n"/>
      <c r="BO278" s="12" t="n"/>
      <c r="BP278" s="12" t="n"/>
      <c r="BQ278" s="12" t="n"/>
      <c r="BR278" s="12" t="n"/>
      <c r="BS278" s="12" t="n"/>
      <c r="BT278" s="12" t="n"/>
      <c r="BU278" s="12" t="n"/>
      <c r="BV278" s="12" t="n"/>
      <c r="BW278" s="12" t="n"/>
      <c r="BX278" s="12" t="n"/>
      <c r="BY278" s="12" t="n"/>
      <c r="BZ278" s="12" t="n"/>
      <c r="CA278" s="12" t="n"/>
      <c r="CB278" s="12" t="n"/>
      <c r="CC278" s="12" t="n"/>
      <c r="CD278" s="12" t="n"/>
      <c r="CE278" s="12" t="n"/>
      <c r="CF278" s="12" t="n"/>
      <c r="CG278" s="12" t="n"/>
      <c r="CH278" s="12" t="n"/>
      <c r="CI278" s="12" t="n"/>
      <c r="CJ278" s="12" t="n"/>
      <c r="CK278" s="12" t="n"/>
      <c r="CL278" s="12" t="n"/>
      <c r="CM278" s="12" t="n"/>
      <c r="CN278" s="12" t="n"/>
      <c r="CO278" s="12" t="n"/>
      <c r="CP278" s="12" t="n"/>
      <c r="CQ278" s="12" t="n"/>
      <c r="CR278" s="12" t="n"/>
      <c r="CS278" s="12" t="n"/>
      <c r="CT278" s="12" t="n"/>
      <c r="CU278" s="12" t="n"/>
      <c r="CV278" s="12" t="n"/>
      <c r="CW278" s="12" t="n"/>
      <c r="CX278" s="12" t="n"/>
      <c r="CY278" s="12" t="n"/>
    </row>
    <row r="279" hidden="1" outlineLevel="1">
      <c r="C279" s="10" t="inlineStr">
        <is>
          <t>Prepaid expenses</t>
        </is>
      </c>
      <c r="D279" s="12" t="n"/>
      <c r="E279" s="12" t="n"/>
      <c r="F279" s="12" t="n"/>
      <c r="G279" s="12" t="n"/>
      <c r="H279" s="12" t="n"/>
      <c r="I279" s="12" t="n"/>
      <c r="J279" s="12">
        <f>(J150-I150)*-1</f>
        <v>0</v>
      </c>
      <c r="K279" s="12">
        <f>(K150-J150)*-1</f>
        <v>0</v>
      </c>
      <c r="L279" s="12">
        <f>(L150-K150)*-1</f>
        <v>0</v>
      </c>
      <c r="M279" s="12" t="n"/>
      <c r="N279" s="12">
        <f>(N150-M150)*-1</f>
        <v>0</v>
      </c>
      <c r="O279" s="12">
        <f>(O150-N150)*-1</f>
        <v>0</v>
      </c>
      <c r="P279" s="12">
        <f>(P150-O150)*-1</f>
        <v>0</v>
      </c>
      <c r="Q279" s="12">
        <f>(Q150-P150)*-1</f>
        <v>0</v>
      </c>
      <c r="R279" s="12">
        <f>SUM(N279:Q279)</f>
        <v>0</v>
      </c>
      <c r="S279" s="12">
        <f>(S150-R150)*-1</f>
        <v>0</v>
      </c>
      <c r="T279" s="12">
        <f>(T150-S150)*-1</f>
        <v>0</v>
      </c>
      <c r="U279" s="12">
        <f>(U150-T150)*-1</f>
        <v>0</v>
      </c>
      <c r="V279" s="12">
        <f>(V150-U150)*-1</f>
        <v>0</v>
      </c>
      <c r="W279" s="12">
        <f>SUM(S279:V279)</f>
        <v>0</v>
      </c>
      <c r="X279" s="12">
        <f>(X150-W150)*-1</f>
        <v>0</v>
      </c>
      <c r="Y279" s="12">
        <f>(Y150-X150)*-1</f>
        <v>0</v>
      </c>
      <c r="Z279" s="12">
        <f>(Z150-Y150)*-1</f>
        <v>0</v>
      </c>
      <c r="AA279" s="12">
        <f>(AA150-Z150)*-1</f>
        <v>0</v>
      </c>
      <c r="AB279" s="12">
        <f>SUM(X279:AA279)</f>
        <v>0</v>
      </c>
      <c r="AC279" s="12">
        <f>(AC150-AB150)*-1</f>
        <v>0</v>
      </c>
      <c r="AD279" s="12">
        <f>(AD150-AC150)*-1</f>
        <v>0</v>
      </c>
      <c r="AE279" s="12">
        <f>(AE150-AD150)*-1</f>
        <v>0</v>
      </c>
      <c r="AF279" s="12">
        <f>(AF150-AE150)*-1</f>
        <v>0</v>
      </c>
      <c r="AG279" s="12">
        <f>SUM(AC279:AF279)</f>
        <v>0</v>
      </c>
      <c r="AH279" s="12">
        <f>(AH150-AG150)*-1</f>
        <v>0</v>
      </c>
      <c r="AI279" s="12">
        <f>(AI150-AH150)*-1</f>
        <v>0</v>
      </c>
      <c r="AJ279" s="12">
        <f>(AJ150-AI150)*-1</f>
        <v>0</v>
      </c>
      <c r="AK279" s="12">
        <f>(AK150-AJ150)*-1</f>
        <v>0</v>
      </c>
      <c r="AL279" s="12">
        <f>SUM(AH279:AK279)</f>
        <v>0</v>
      </c>
      <c r="AM279" s="12">
        <f>(AM150-AL150)*-1</f>
        <v>0</v>
      </c>
      <c r="AN279" s="12">
        <f>(AN150-AM150)*-1</f>
        <v>0</v>
      </c>
      <c r="AO279" s="12">
        <f>(AO150-AN150)*-1</f>
        <v>0</v>
      </c>
      <c r="AP279" s="12">
        <f>(AP150-AO150)*-1</f>
        <v>0</v>
      </c>
      <c r="AQ279" s="12">
        <f>SUM(AM279:AP279)</f>
        <v>0</v>
      </c>
      <c r="AR279" s="12">
        <f>(AR150-AQ150)*-1</f>
        <v>0</v>
      </c>
      <c r="AS279" s="12">
        <f>(AS150-AR150)*-1</f>
        <v>0</v>
      </c>
      <c r="AT279" s="12">
        <f>(AT150-AS150)*-1</f>
        <v>0</v>
      </c>
      <c r="AU279" s="12">
        <f>(AU150-AT150)*-1</f>
        <v>0</v>
      </c>
      <c r="AV279" s="12">
        <f>SUM(AR279:AU279)</f>
        <v>0</v>
      </c>
      <c r="AW279" s="12">
        <f>(AW150-AV150)*-1</f>
        <v>0</v>
      </c>
      <c r="AX279" s="12">
        <f>(AX150-AW150)*-1</f>
        <v>0</v>
      </c>
      <c r="AY279" s="12">
        <f>(AY150-AX150)*-1</f>
        <v>0</v>
      </c>
      <c r="AZ279" s="12">
        <f>(AZ150-AY150)*-1</f>
        <v>0</v>
      </c>
      <c r="BA279" s="12">
        <f>SUM(AW279:AZ279)</f>
        <v>0</v>
      </c>
      <c r="BB279" s="12">
        <f>(BB150-BA150)*-1</f>
        <v>0</v>
      </c>
      <c r="BC279" s="12">
        <f>(BC150-BB150)*-1</f>
        <v>0</v>
      </c>
      <c r="BD279" s="12">
        <f>(BD150-BC150)*-1</f>
        <v>0</v>
      </c>
      <c r="BE279" s="12">
        <f>(BE150-BD150)*-1</f>
        <v>0</v>
      </c>
      <c r="BF279" s="12">
        <f>SUM(BB279:BE279)</f>
        <v>0</v>
      </c>
      <c r="BG279" s="12" t="n"/>
      <c r="BH279" s="12" t="n"/>
      <c r="BI279" s="12" t="n"/>
      <c r="BJ279" s="12" t="n"/>
      <c r="BK279" s="12" t="n"/>
      <c r="BL279" s="12" t="n"/>
      <c r="BM279" s="12" t="n"/>
      <c r="BN279" s="12" t="n"/>
      <c r="BO279" s="12" t="n"/>
      <c r="BP279" s="12" t="n"/>
      <c r="BQ279" s="12" t="n"/>
      <c r="BR279" s="12" t="n"/>
      <c r="BS279" s="12" t="n"/>
      <c r="BT279" s="12" t="n"/>
      <c r="BU279" s="12" t="n"/>
      <c r="BV279" s="12" t="n"/>
      <c r="BW279" s="12" t="n"/>
      <c r="BX279" s="12" t="n"/>
      <c r="BY279" s="12" t="n"/>
      <c r="BZ279" s="12" t="n"/>
      <c r="CA279" s="12" t="n"/>
      <c r="CB279" s="12" t="n"/>
      <c r="CC279" s="12" t="n"/>
      <c r="CD279" s="12" t="n"/>
      <c r="CE279" s="12" t="n"/>
      <c r="CF279" s="12" t="n"/>
      <c r="CG279" s="12" t="n"/>
      <c r="CH279" s="12" t="n"/>
      <c r="CI279" s="12" t="n"/>
      <c r="CJ279" s="12" t="n"/>
      <c r="CK279" s="12" t="n"/>
      <c r="CL279" s="12" t="n"/>
      <c r="CM279" s="12" t="n"/>
      <c r="CN279" s="12" t="n"/>
      <c r="CO279" s="12" t="n"/>
      <c r="CP279" s="12" t="n"/>
      <c r="CQ279" s="12" t="n"/>
      <c r="CR279" s="12" t="n"/>
      <c r="CS279" s="12" t="n"/>
      <c r="CT279" s="12" t="n"/>
      <c r="CU279" s="12" t="n"/>
      <c r="CV279" s="12" t="n"/>
      <c r="CW279" s="12" t="n"/>
      <c r="CX279" s="12" t="n"/>
      <c r="CY279" s="12" t="n"/>
    </row>
    <row r="280" hidden="1" outlineLevel="1">
      <c r="C280" s="10" t="inlineStr">
        <is>
          <t>Other current assets</t>
        </is>
      </c>
      <c r="D280" s="12" t="n"/>
      <c r="E280" s="12" t="n"/>
      <c r="F280" s="12" t="n"/>
      <c r="G280" s="12" t="n"/>
      <c r="H280" s="12" t="n"/>
      <c r="I280" s="12" t="n"/>
      <c r="J280" s="12">
        <f>(J151-I151)*-1</f>
        <v>1179</v>
      </c>
      <c r="K280" s="12">
        <f>(K151-J151)*-1</f>
        <v>178</v>
      </c>
      <c r="L280" s="12">
        <f>(L151-K151)*-1</f>
        <v>-1238</v>
      </c>
      <c r="M280" s="12" t="n"/>
      <c r="N280" s="12">
        <f>(N151-M151)*-1</f>
        <v>209</v>
      </c>
      <c r="O280" s="12">
        <f>(O151-N151)*-1</f>
        <v>-1876</v>
      </c>
      <c r="P280" s="12">
        <f>(P151-O151)*-1</f>
        <v>-2310</v>
      </c>
      <c r="Q280" s="12">
        <f>(Q151-P151)*-1</f>
        <v>3892</v>
      </c>
      <c r="R280" s="12">
        <f>SUM(N280:Q280)</f>
        <v>-85</v>
      </c>
      <c r="S280" s="12">
        <f>(S151-R151)*-1</f>
        <v>-427</v>
      </c>
      <c r="T280" s="12">
        <f>(T151-S151)*-1</f>
        <v>-889</v>
      </c>
      <c r="U280" s="12">
        <f>(U151-T151)*-1</f>
        <v>-2977</v>
      </c>
      <c r="V280" s="12">
        <f>(V151-U151)*-1</f>
        <v>-252</v>
      </c>
      <c r="W280" s="12">
        <f>SUM(S280:V280)</f>
        <v>-4545</v>
      </c>
      <c r="X280" s="12">
        <f>(X151-W151)*-1</f>
        <v>-179</v>
      </c>
      <c r="Y280" s="12">
        <f>(Y151-X151)*-1</f>
        <v>-1354</v>
      </c>
      <c r="Z280" s="12">
        <f>(Z151-Y151)*-1</f>
        <v>-1024</v>
      </c>
      <c r="AA280" s="12">
        <f>(AA151-Z151)*-1</f>
        <v>-507</v>
      </c>
      <c r="AB280" s="12">
        <f>SUM(X280:AA280)</f>
        <v>-3064</v>
      </c>
      <c r="AC280" s="12">
        <f>(AC151-AB151)*-1</f>
        <v>-10</v>
      </c>
      <c r="AD280" s="12">
        <f>(AD151-AC151)*-1</f>
        <v>-296</v>
      </c>
      <c r="AE280" s="12">
        <f>(AE151-AD151)*-1</f>
        <v>-2283</v>
      </c>
      <c r="AF280" s="12">
        <f>(AF151-AE151)*-1</f>
        <v>1994</v>
      </c>
      <c r="AG280" s="12">
        <f>SUM(AC280:AF280)</f>
        <v>-595</v>
      </c>
      <c r="AH280" s="12">
        <f>(AH151-AG151)*-1</f>
        <v>-7605</v>
      </c>
      <c r="AI280" s="12">
        <f>(AI151-AH151)*-1</f>
        <v>2030</v>
      </c>
      <c r="AJ280" s="12">
        <f>(AJ151-AI151)*-1</f>
        <v>0</v>
      </c>
      <c r="AK280" s="12">
        <f>(AK151-AJ151)*-1</f>
        <v>0</v>
      </c>
      <c r="AL280" s="12">
        <f>SUM(AH280:AK280)</f>
        <v>-5575</v>
      </c>
      <c r="AM280" s="12">
        <f>(AM151-AL151)*-1</f>
        <v>0</v>
      </c>
      <c r="AN280" s="12">
        <f>(AN151-AM151)*-1</f>
        <v>0</v>
      </c>
      <c r="AO280" s="12">
        <f>(AO151-AN151)*-1</f>
        <v>0</v>
      </c>
      <c r="AP280" s="12">
        <f>(AP151-AO151)*-1</f>
        <v>0</v>
      </c>
      <c r="AQ280" s="12">
        <f>SUM(AM280:AP280)</f>
        <v>0</v>
      </c>
      <c r="AR280" s="12">
        <f>(AR151-AQ151)*-1</f>
        <v>0</v>
      </c>
      <c r="AS280" s="12">
        <f>(AS151-AR151)*-1</f>
        <v>0</v>
      </c>
      <c r="AT280" s="12">
        <f>(AT151-AS151)*-1</f>
        <v>0</v>
      </c>
      <c r="AU280" s="12">
        <f>(AU151-AT151)*-1</f>
        <v>0</v>
      </c>
      <c r="AV280" s="12">
        <f>SUM(AR280:AU280)</f>
        <v>0</v>
      </c>
      <c r="AW280" s="12">
        <f>(AW151-AV151)*-1</f>
        <v>0</v>
      </c>
      <c r="AX280" s="12">
        <f>(AX151-AW151)*-1</f>
        <v>0</v>
      </c>
      <c r="AY280" s="12">
        <f>(AY151-AX151)*-1</f>
        <v>0</v>
      </c>
      <c r="AZ280" s="12">
        <f>(AZ151-AY151)*-1</f>
        <v>0</v>
      </c>
      <c r="BA280" s="12">
        <f>SUM(AW280:AZ280)</f>
        <v>0</v>
      </c>
      <c r="BB280" s="12">
        <f>(BB151-BA151)*-1</f>
        <v>0</v>
      </c>
      <c r="BC280" s="12">
        <f>(BC151-BB151)*-1</f>
        <v>0</v>
      </c>
      <c r="BD280" s="12">
        <f>(BD151-BC151)*-1</f>
        <v>0</v>
      </c>
      <c r="BE280" s="12">
        <f>(BE151-BD151)*-1</f>
        <v>0</v>
      </c>
      <c r="BF280" s="12">
        <f>SUM(BB280:BE280)</f>
        <v>0</v>
      </c>
      <c r="BG280" s="12" t="n"/>
      <c r="BH280" s="12" t="n"/>
      <c r="BI280" s="12" t="n"/>
      <c r="BJ280" s="12" t="n"/>
      <c r="BK280" s="12" t="n"/>
      <c r="BL280" s="12" t="n"/>
      <c r="BM280" s="12" t="n"/>
      <c r="BN280" s="12" t="n"/>
      <c r="BO280" s="12" t="n"/>
      <c r="BP280" s="12" t="n"/>
      <c r="BQ280" s="12" t="n"/>
      <c r="BR280" s="12" t="n"/>
      <c r="BS280" s="12" t="n"/>
      <c r="BT280" s="12" t="n"/>
      <c r="BU280" s="12" t="n"/>
      <c r="BV280" s="12" t="n"/>
      <c r="BW280" s="12" t="n"/>
      <c r="BX280" s="12" t="n"/>
      <c r="BY280" s="12" t="n"/>
      <c r="BZ280" s="12" t="n"/>
      <c r="CA280" s="12" t="n"/>
      <c r="CB280" s="12" t="n"/>
      <c r="CC280" s="12" t="n"/>
      <c r="CD280" s="12" t="n"/>
      <c r="CE280" s="12" t="n"/>
      <c r="CF280" s="12" t="n"/>
      <c r="CG280" s="12" t="n"/>
      <c r="CH280" s="12" t="n"/>
      <c r="CI280" s="12" t="n"/>
      <c r="CJ280" s="12" t="n"/>
      <c r="CK280" s="12" t="n"/>
      <c r="CL280" s="12" t="n"/>
      <c r="CM280" s="12" t="n"/>
      <c r="CN280" s="12" t="n"/>
      <c r="CO280" s="12" t="n"/>
      <c r="CP280" s="12" t="n"/>
      <c r="CQ280" s="12" t="n"/>
      <c r="CR280" s="12" t="n"/>
      <c r="CS280" s="12" t="n"/>
      <c r="CT280" s="12" t="n"/>
      <c r="CU280" s="12" t="n"/>
      <c r="CV280" s="12" t="n"/>
      <c r="CW280" s="12" t="n"/>
      <c r="CX280" s="12" t="n"/>
      <c r="CY280" s="12" t="n"/>
    </row>
    <row r="281" hidden="1" outlineLevel="1">
      <c r="C281" s="10" t="inlineStr">
        <is>
          <t>Accounts payable</t>
        </is>
      </c>
      <c r="D281" s="12" t="n"/>
      <c r="E281" s="12" t="n"/>
      <c r="F281" s="12" t="n"/>
      <c r="G281" s="12" t="n"/>
      <c r="H281" s="12" t="n"/>
      <c r="I281" s="12" t="n"/>
      <c r="J281" s="12">
        <f>J194-I194</f>
        <v>-93</v>
      </c>
      <c r="K281" s="12">
        <f>K194-J194</f>
        <v>-92</v>
      </c>
      <c r="L281" s="12">
        <f>L194-K194</f>
        <v>1421</v>
      </c>
      <c r="M281" s="12" t="n"/>
      <c r="N281" s="12">
        <f>N194-M194</f>
        <v>-2601</v>
      </c>
      <c r="O281" s="12">
        <f>O194-N194</f>
        <v>973</v>
      </c>
      <c r="P281" s="12">
        <f>P194-O194</f>
        <v>1894</v>
      </c>
      <c r="Q281" s="12">
        <f>Q194-P194</f>
        <v>-1175</v>
      </c>
      <c r="R281" s="12">
        <f>SUM(N281:Q281)</f>
        <v>-909</v>
      </c>
      <c r="S281" s="12">
        <f>S194-R194</f>
        <v>-944</v>
      </c>
      <c r="T281" s="12">
        <f>T194-S194</f>
        <v>1129</v>
      </c>
      <c r="U281" s="12">
        <f>U194-T194</f>
        <v>490</v>
      </c>
      <c r="V281" s="12">
        <f>V194-U194</f>
        <v>1690</v>
      </c>
      <c r="W281" s="12">
        <f>SUM(S281:V281)</f>
        <v>2365</v>
      </c>
      <c r="X281" s="12">
        <f>X194-W194</f>
        <v>-1295</v>
      </c>
      <c r="Y281" s="12">
        <f>Y194-X194</f>
        <v>-106</v>
      </c>
      <c r="Z281" s="12">
        <f>Z194-Y194</f>
        <v>957</v>
      </c>
      <c r="AA281" s="12">
        <f>AA194-Z194</f>
        <v>938</v>
      </c>
      <c r="AB281" s="12">
        <f>SUM(X281:AA281)</f>
        <v>494</v>
      </c>
      <c r="AC281" s="12">
        <f>AC194-AB194</f>
        <v>510</v>
      </c>
      <c r="AD281" s="12">
        <f>AD194-AC194</f>
        <v>-150</v>
      </c>
      <c r="AE281" s="12">
        <f>AE194-AD194</f>
        <v>2199</v>
      </c>
      <c r="AF281" s="12">
        <f>AF194-AE194</f>
        <v>1654</v>
      </c>
      <c r="AG281" s="12">
        <f>SUM(AC281:AF281)</f>
        <v>4213</v>
      </c>
      <c r="AH281" s="12">
        <f>AH194-AG194</f>
        <v>4652</v>
      </c>
      <c r="AI281" s="12">
        <f>AI194-AH194</f>
        <v>3406</v>
      </c>
      <c r="AJ281" s="12">
        <f>AJ194-AI194</f>
        <v>-5994.96200232922</v>
      </c>
      <c r="AK281" s="12">
        <f>AK194-AJ194</f>
        <v>1600.28203669175</v>
      </c>
      <c r="AL281" s="12">
        <f>SUM(AH281:AK281)</f>
        <v>3663.32003436252</v>
      </c>
      <c r="AM281" s="12">
        <f>AM194-AL194</f>
        <v>-207.768627167912</v>
      </c>
      <c r="AN281" s="12">
        <f>AN194-AM194</f>
        <v>1222.79584077947</v>
      </c>
      <c r="AO281" s="12">
        <f>AO194-AN194</f>
        <v>-100.356505922897</v>
      </c>
      <c r="AP281" s="12">
        <f>AP194-AO194</f>
        <v>1882.45429905393</v>
      </c>
      <c r="AQ281" s="12">
        <f>SUM(AM281:AP281)</f>
        <v>2797.12500674259</v>
      </c>
      <c r="AR281" s="12">
        <f>AR194-AQ194</f>
        <v>-524.195401046203</v>
      </c>
      <c r="AS281" s="12">
        <f>AS194-AR194</f>
        <v>1633.80715800924</v>
      </c>
      <c r="AT281" s="12">
        <f>AT194-AS194</f>
        <v>-117.55024310153</v>
      </c>
      <c r="AU281" s="12">
        <f>AU194-AT194</f>
        <v>2204.96876058353</v>
      </c>
      <c r="AV281" s="12">
        <f>SUM(AR281:AU281)</f>
        <v>3197.03027444503</v>
      </c>
      <c r="AW281" s="12">
        <f>AW194-AV194</f>
        <v>-469.65425513934</v>
      </c>
      <c r="AX281" s="12">
        <f>AX194-AW194</f>
        <v>1670.52171819302</v>
      </c>
      <c r="AY281" s="12">
        <f>AY194-AX194</f>
        <v>-137.10197329368</v>
      </c>
      <c r="AZ281" s="12">
        <f>AZ194-AY194</f>
        <v>2571.71367876982</v>
      </c>
      <c r="BA281" s="12">
        <f>SUM(AW281:AZ281)</f>
        <v>3635.47916852982</v>
      </c>
      <c r="BB281" s="12">
        <f>BB194-BA194</f>
        <v>-654.709347595494</v>
      </c>
      <c r="BC281" s="12">
        <f>BC194-BB194</f>
        <v>1940.02127776837</v>
      </c>
      <c r="BD281" s="12">
        <f>BD194-BC194</f>
        <v>-159.220166081697</v>
      </c>
      <c r="BE281" s="12">
        <f>BE194-BD194</f>
        <v>2986.59945740673</v>
      </c>
      <c r="BF281" s="12">
        <f>SUM(BB281:BE281)</f>
        <v>4112.69122149791</v>
      </c>
      <c r="BG281" s="12" t="n"/>
      <c r="BH281" s="12" t="n"/>
      <c r="BI281" s="12" t="n"/>
      <c r="BJ281" s="12" t="n"/>
      <c r="BK281" s="12" t="n"/>
      <c r="BL281" s="12" t="n"/>
      <c r="BM281" s="12" t="n"/>
      <c r="BN281" s="12" t="n"/>
      <c r="BO281" s="12" t="n"/>
      <c r="BP281" s="12" t="n"/>
      <c r="BQ281" s="12" t="n"/>
      <c r="BR281" s="12" t="n"/>
      <c r="BS281" s="12" t="n"/>
      <c r="BT281" s="12" t="n"/>
      <c r="BU281" s="12" t="n"/>
      <c r="BV281" s="12" t="n"/>
      <c r="BW281" s="12" t="n"/>
      <c r="BX281" s="12" t="n"/>
      <c r="BY281" s="12" t="n"/>
      <c r="BZ281" s="12" t="n"/>
      <c r="CA281" s="12" t="n"/>
      <c r="CB281" s="12" t="n"/>
      <c r="CC281" s="12" t="n"/>
      <c r="CD281" s="12" t="n"/>
      <c r="CE281" s="12" t="n"/>
      <c r="CF281" s="12" t="n"/>
      <c r="CG281" s="12" t="n"/>
      <c r="CH281" s="12" t="n"/>
      <c r="CI281" s="12" t="n"/>
      <c r="CJ281" s="12" t="n"/>
      <c r="CK281" s="12" t="n"/>
      <c r="CL281" s="12" t="n"/>
      <c r="CM281" s="12" t="n"/>
      <c r="CN281" s="12" t="n"/>
      <c r="CO281" s="12" t="n"/>
      <c r="CP281" s="12" t="n"/>
      <c r="CQ281" s="12" t="n"/>
      <c r="CR281" s="12" t="n"/>
      <c r="CS281" s="12" t="n"/>
      <c r="CT281" s="12" t="n"/>
      <c r="CU281" s="12" t="n"/>
      <c r="CV281" s="12" t="n"/>
      <c r="CW281" s="12" t="n"/>
      <c r="CX281" s="12" t="n"/>
      <c r="CY281" s="12" t="n"/>
    </row>
    <row r="282" hidden="1" outlineLevel="1">
      <c r="C282" s="10" t="inlineStr">
        <is>
          <t>Accrued expenses</t>
        </is>
      </c>
      <c r="D282" s="12" t="n"/>
      <c r="E282" s="12" t="n"/>
      <c r="F282" s="12" t="n"/>
      <c r="G282" s="12" t="n"/>
      <c r="H282" s="12" t="n"/>
      <c r="I282" s="12" t="n"/>
      <c r="J282" s="12">
        <f>J198-I198</f>
        <v>438</v>
      </c>
      <c r="K282" s="12">
        <f>K198-J198</f>
        <v>3521</v>
      </c>
      <c r="L282" s="12">
        <f>L198-K198</f>
        <v>4093</v>
      </c>
      <c r="M282" s="12" t="n"/>
      <c r="N282" s="12">
        <f>N198-M198</f>
        <v>-3151</v>
      </c>
      <c r="O282" s="12">
        <f>O198-N198</f>
        <v>747</v>
      </c>
      <c r="P282" s="12">
        <f>P198-O198</f>
        <v>3349</v>
      </c>
      <c r="Q282" s="12">
        <f>Q198-P198</f>
        <v>5198</v>
      </c>
      <c r="R282" s="12">
        <f>SUM(N282:Q282)</f>
        <v>6143</v>
      </c>
      <c r="S282" s="12">
        <f>S198-R198</f>
        <v>691</v>
      </c>
      <c r="T282" s="12">
        <f>T198-S198</f>
        <v>7595</v>
      </c>
      <c r="U282" s="12">
        <f>U198-T198</f>
        <v>7639</v>
      </c>
      <c r="V282" s="12">
        <f>V198-U198</f>
        <v>-6005</v>
      </c>
      <c r="W282" s="12">
        <f>SUM(S282:V282)</f>
        <v>9920</v>
      </c>
      <c r="X282" s="12">
        <f>X198-W198</f>
        <v>-3358</v>
      </c>
      <c r="Y282" s="12">
        <f>Y198-X198</f>
        <v>744</v>
      </c>
      <c r="Z282" s="12">
        <f>Z198-Y198</f>
        <v>1288</v>
      </c>
      <c r="AA282" s="12">
        <f>AA198-Z198</f>
        <v>7241</v>
      </c>
      <c r="AB282" s="12">
        <f>SUM(X282:AA282)</f>
        <v>5915</v>
      </c>
      <c r="AC282" s="12">
        <f>AC198-AB198</f>
        <v>2150</v>
      </c>
      <c r="AD282" s="12">
        <f>AD198-AC198</f>
        <v>-4255</v>
      </c>
      <c r="AE282" s="12">
        <f>AE198-AD198</f>
        <v>9468</v>
      </c>
      <c r="AF282" s="12">
        <f>AF198-AE198</f>
        <v>505</v>
      </c>
      <c r="AG282" s="12">
        <f>SUM(AC282:AF282)</f>
        <v>7868</v>
      </c>
      <c r="AH282" s="12">
        <f>AH198-AG198</f>
        <v>3207</v>
      </c>
      <c r="AI282" s="12">
        <f>AI198-AH198</f>
        <v>11525</v>
      </c>
      <c r="AJ282" s="12">
        <f>AJ198-AI198</f>
        <v>17403.2573535973</v>
      </c>
      <c r="AK282" s="12">
        <f>AK198-AJ198</f>
        <v>20471.9142449086</v>
      </c>
      <c r="AL282" s="12">
        <f>SUM(AH282:AK282)</f>
        <v>52607.1715985059</v>
      </c>
      <c r="AM282" s="12">
        <f>AM198-AL198</f>
        <v>24081.6569183392</v>
      </c>
      <c r="AN282" s="12">
        <f>AN198-AM198</f>
        <v>28327.8931806204</v>
      </c>
      <c r="AO282" s="12">
        <f>AO198-AN198</f>
        <v>33322.8537709764</v>
      </c>
      <c r="AP282" s="12">
        <f>AP198-AO198</f>
        <v>39198.5586913159</v>
      </c>
      <c r="AQ282" s="12">
        <f>SUM(AM282:AP282)</f>
        <v>124930.962561252</v>
      </c>
      <c r="AR282" s="12">
        <f>AR198-AQ198</f>
        <v>44802.7809084903</v>
      </c>
      <c r="AS282" s="12">
        <f>AS198-AR198</f>
        <v>52478.6882423321</v>
      </c>
      <c r="AT282" s="12">
        <f>AT198-AS198</f>
        <v>61469.6825462901</v>
      </c>
      <c r="AU282" s="12">
        <f>AU198-AT198</f>
        <v>72001.0731764772</v>
      </c>
      <c r="AV282" s="12">
        <f>SUM(AR282:AU282)</f>
        <v>230752.22487359</v>
      </c>
      <c r="AW282" s="12">
        <f>AW198-AV198</f>
        <v>81875.4841757988</v>
      </c>
      <c r="AX282" s="12">
        <f>AX198-AW198</f>
        <v>95493.5536388647</v>
      </c>
      <c r="AY282" s="12">
        <f>AY198-AX198</f>
        <v>111376.670054236</v>
      </c>
      <c r="AZ282" s="12">
        <f>AZ198-AY198</f>
        <v>129901.570940402</v>
      </c>
      <c r="BA282" s="12">
        <f>SUM(AW282:AZ282)</f>
        <v>418647.278809301</v>
      </c>
      <c r="BB282" s="12">
        <f>BB198-BA198</f>
        <v>146953.132090543</v>
      </c>
      <c r="BC282" s="12">
        <f>BC198-BB198</f>
        <v>170660.578659665</v>
      </c>
      <c r="BD282" s="12">
        <f>BD198-BC198</f>
        <v>198192.666560566</v>
      </c>
      <c r="BE282" s="12">
        <f>BE198-BD198</f>
        <v>230166.412108103</v>
      </c>
      <c r="BF282" s="12">
        <f>SUM(BB282:BE282)</f>
        <v>745972.789418876</v>
      </c>
      <c r="BG282" s="12" t="n"/>
      <c r="BH282" s="12" t="n"/>
      <c r="BI282" s="12" t="n"/>
      <c r="BJ282" s="12" t="n"/>
      <c r="BK282" s="12" t="n"/>
      <c r="BL282" s="12" t="n"/>
      <c r="BM282" s="12" t="n"/>
      <c r="BN282" s="12" t="n"/>
      <c r="BO282" s="12" t="n"/>
      <c r="BP282" s="12" t="n"/>
      <c r="BQ282" s="12" t="n"/>
      <c r="BR282" s="12" t="n"/>
      <c r="BS282" s="12" t="n"/>
      <c r="BT282" s="12" t="n"/>
      <c r="BU282" s="12" t="n"/>
      <c r="BV282" s="12" t="n"/>
      <c r="BW282" s="12" t="n"/>
      <c r="BX282" s="12" t="n"/>
      <c r="BY282" s="12" t="n"/>
      <c r="BZ282" s="12" t="n"/>
      <c r="CA282" s="12" t="n"/>
      <c r="CB282" s="12" t="n"/>
      <c r="CC282" s="12" t="n"/>
      <c r="CD282" s="12" t="n"/>
      <c r="CE282" s="12" t="n"/>
      <c r="CF282" s="12" t="n"/>
      <c r="CG282" s="12" t="n"/>
      <c r="CH282" s="12" t="n"/>
      <c r="CI282" s="12" t="n"/>
      <c r="CJ282" s="12" t="n"/>
      <c r="CK282" s="12" t="n"/>
      <c r="CL282" s="12" t="n"/>
      <c r="CM282" s="12" t="n"/>
      <c r="CN282" s="12" t="n"/>
      <c r="CO282" s="12" t="n"/>
      <c r="CP282" s="12" t="n"/>
      <c r="CQ282" s="12" t="n"/>
      <c r="CR282" s="12" t="n"/>
      <c r="CS282" s="12" t="n"/>
      <c r="CT282" s="12" t="n"/>
      <c r="CU282" s="12" t="n"/>
      <c r="CV282" s="12" t="n"/>
      <c r="CW282" s="12" t="n"/>
      <c r="CX282" s="12" t="n"/>
      <c r="CY282" s="12" t="n"/>
    </row>
    <row r="283" hidden="1" outlineLevel="1">
      <c r="C283" s="10" t="inlineStr">
        <is>
          <t>Taxes payable</t>
        </is>
      </c>
      <c r="D283" s="12" t="n"/>
      <c r="E283" s="12" t="n"/>
      <c r="F283" s="12" t="n"/>
      <c r="G283" s="12" t="n"/>
      <c r="H283" s="12" t="n"/>
      <c r="I283" s="12" t="n"/>
      <c r="J283" s="12">
        <f>J200-I200</f>
        <v>-82</v>
      </c>
      <c r="K283" s="12">
        <f>K200-J200</f>
        <v>2359</v>
      </c>
      <c r="L283" s="12">
        <f>L200-K200</f>
        <v>-3362</v>
      </c>
      <c r="M283" s="12" t="n"/>
      <c r="N283" s="12">
        <f>N200-M200</f>
        <v>3536</v>
      </c>
      <c r="O283" s="12">
        <f>O200-N200</f>
        <v>-2388</v>
      </c>
      <c r="P283" s="12">
        <f>P200-O200</f>
        <v>-931</v>
      </c>
      <c r="Q283" s="12">
        <f>Q200-P200</f>
        <v>-1025</v>
      </c>
      <c r="R283" s="12">
        <f>SUM(N283:Q283)</f>
        <v>-808</v>
      </c>
      <c r="S283" s="12">
        <f>S200-R200</f>
        <v>0</v>
      </c>
      <c r="T283" s="12">
        <f>T200-S200</f>
        <v>0</v>
      </c>
      <c r="U283" s="12">
        <f>U200-T200</f>
        <v>0</v>
      </c>
      <c r="V283" s="12">
        <f>V200-U200</f>
        <v>0</v>
      </c>
      <c r="W283" s="12">
        <f>SUM(S283:V283)</f>
        <v>0</v>
      </c>
      <c r="X283" s="12">
        <f>X200-W200</f>
        <v>0</v>
      </c>
      <c r="Y283" s="12">
        <f>Y200-X200</f>
        <v>0</v>
      </c>
      <c r="Z283" s="12">
        <f>Z200-Y200</f>
        <v>0</v>
      </c>
      <c r="AA283" s="12">
        <f>AA200-Z200</f>
        <v>0</v>
      </c>
      <c r="AB283" s="12">
        <f>SUM(X283:AA283)</f>
        <v>0</v>
      </c>
      <c r="AC283" s="12">
        <f>AC200-AB200</f>
        <v>0</v>
      </c>
      <c r="AD283" s="12">
        <f>AD200-AC200</f>
        <v>0</v>
      </c>
      <c r="AE283" s="12">
        <f>AE200-AD200</f>
        <v>0</v>
      </c>
      <c r="AF283" s="12">
        <f>AF200-AE200</f>
        <v>0</v>
      </c>
      <c r="AG283" s="12">
        <f>SUM(AC283:AF283)</f>
        <v>0</v>
      </c>
      <c r="AH283" s="12">
        <f>AH200-AG200</f>
        <v>0</v>
      </c>
      <c r="AI283" s="12">
        <f>AI200-AH200</f>
        <v>0</v>
      </c>
      <c r="AJ283" s="12">
        <f>AJ200-AI200</f>
        <v>0</v>
      </c>
      <c r="AK283" s="12">
        <f>AK200-AJ200</f>
        <v>0</v>
      </c>
      <c r="AL283" s="12">
        <f>SUM(AH283:AK283)</f>
        <v>0</v>
      </c>
      <c r="AM283" s="12">
        <f>AM200-AL200</f>
        <v>0</v>
      </c>
      <c r="AN283" s="12">
        <f>AN200-AM200</f>
        <v>0</v>
      </c>
      <c r="AO283" s="12">
        <f>AO200-AN200</f>
        <v>0</v>
      </c>
      <c r="AP283" s="12">
        <f>AP200-AO200</f>
        <v>0</v>
      </c>
      <c r="AQ283" s="12">
        <f>SUM(AM283:AP283)</f>
        <v>0</v>
      </c>
      <c r="AR283" s="12">
        <f>AR200-AQ200</f>
        <v>0</v>
      </c>
      <c r="AS283" s="12">
        <f>AS200-AR200</f>
        <v>0</v>
      </c>
      <c r="AT283" s="12">
        <f>AT200-AS200</f>
        <v>0</v>
      </c>
      <c r="AU283" s="12">
        <f>AU200-AT200</f>
        <v>0</v>
      </c>
      <c r="AV283" s="12">
        <f>SUM(AR283:AU283)</f>
        <v>0</v>
      </c>
      <c r="AW283" s="12">
        <f>AW200-AV200</f>
        <v>0</v>
      </c>
      <c r="AX283" s="12">
        <f>AX200-AW200</f>
        <v>0</v>
      </c>
      <c r="AY283" s="12">
        <f>AY200-AX200</f>
        <v>0</v>
      </c>
      <c r="AZ283" s="12">
        <f>AZ200-AY200</f>
        <v>0</v>
      </c>
      <c r="BA283" s="12">
        <f>SUM(AW283:AZ283)</f>
        <v>0</v>
      </c>
      <c r="BB283" s="12">
        <f>BB200-BA200</f>
        <v>0</v>
      </c>
      <c r="BC283" s="12">
        <f>BC200-BB200</f>
        <v>0</v>
      </c>
      <c r="BD283" s="12">
        <f>BD200-BC200</f>
        <v>0</v>
      </c>
      <c r="BE283" s="12">
        <f>BE200-BD200</f>
        <v>0</v>
      </c>
      <c r="BF283" s="12">
        <f>SUM(BB283:BE283)</f>
        <v>0</v>
      </c>
      <c r="BG283" s="12" t="n"/>
      <c r="BH283" s="12" t="n"/>
      <c r="BI283" s="12" t="n"/>
      <c r="BJ283" s="12" t="n"/>
      <c r="BK283" s="12" t="n"/>
      <c r="BL283" s="12" t="n"/>
      <c r="BM283" s="12" t="n"/>
      <c r="BN283" s="12" t="n"/>
      <c r="BO283" s="12" t="n"/>
      <c r="BP283" s="12" t="n"/>
      <c r="BQ283" s="12" t="n"/>
      <c r="BR283" s="12" t="n"/>
      <c r="BS283" s="12" t="n"/>
      <c r="BT283" s="12" t="n"/>
      <c r="BU283" s="12" t="n"/>
      <c r="BV283" s="12" t="n"/>
      <c r="BW283" s="12" t="n"/>
      <c r="BX283" s="12" t="n"/>
      <c r="BY283" s="12" t="n"/>
      <c r="BZ283" s="12" t="n"/>
      <c r="CA283" s="12" t="n"/>
      <c r="CB283" s="12" t="n"/>
      <c r="CC283" s="12" t="n"/>
      <c r="CD283" s="12" t="n"/>
      <c r="CE283" s="12" t="n"/>
      <c r="CF283" s="12" t="n"/>
      <c r="CG283" s="12" t="n"/>
      <c r="CH283" s="12" t="n"/>
      <c r="CI283" s="12" t="n"/>
      <c r="CJ283" s="12" t="n"/>
      <c r="CK283" s="12" t="n"/>
      <c r="CL283" s="12" t="n"/>
      <c r="CM283" s="12" t="n"/>
      <c r="CN283" s="12" t="n"/>
      <c r="CO283" s="12" t="n"/>
      <c r="CP283" s="12" t="n"/>
      <c r="CQ283" s="12" t="n"/>
      <c r="CR283" s="12" t="n"/>
      <c r="CS283" s="12" t="n"/>
      <c r="CT283" s="12" t="n"/>
      <c r="CU283" s="12" t="n"/>
      <c r="CV283" s="12" t="n"/>
      <c r="CW283" s="12" t="n"/>
      <c r="CX283" s="12" t="n"/>
      <c r="CY283" s="12" t="n"/>
    </row>
    <row r="284" hidden="1" outlineLevel="1">
      <c r="C284" s="10" t="inlineStr">
        <is>
          <t>Other current liabilities (non-debt)</t>
        </is>
      </c>
      <c r="D284" s="12" t="n"/>
      <c r="E284" s="12" t="n"/>
      <c r="F284" s="12" t="n"/>
      <c r="G284" s="12" t="n"/>
      <c r="H284" s="12" t="n"/>
      <c r="I284" s="12" t="n"/>
      <c r="J284" s="12">
        <f>J201-I201</f>
        <v>25</v>
      </c>
      <c r="K284" s="12">
        <f>K201-J201</f>
        <v>253</v>
      </c>
      <c r="L284" s="12">
        <f>L201-K201</f>
        <v>320</v>
      </c>
      <c r="M284" s="12" t="n"/>
      <c r="N284" s="12">
        <f>N201-M201</f>
        <v>-90</v>
      </c>
      <c r="O284" s="12">
        <f>O201-N201</f>
        <v>74</v>
      </c>
      <c r="P284" s="12">
        <f>P201-O201</f>
        <v>313</v>
      </c>
      <c r="Q284" s="12">
        <f>Q201-P201</f>
        <v>323</v>
      </c>
      <c r="R284" s="12">
        <f>SUM(N284:Q284)</f>
        <v>620</v>
      </c>
      <c r="S284" s="12">
        <f>S201-R201</f>
        <v>-193</v>
      </c>
      <c r="T284" s="12">
        <f>T201-S201</f>
        <v>131</v>
      </c>
      <c r="U284" s="12">
        <f>U201-T201</f>
        <v>457</v>
      </c>
      <c r="V284" s="12">
        <f>V201-U201</f>
        <v>-166</v>
      </c>
      <c r="W284" s="12">
        <f>SUM(S284:V284)</f>
        <v>229</v>
      </c>
      <c r="X284" s="12">
        <f>X201-W201</f>
        <v>-164</v>
      </c>
      <c r="Y284" s="12">
        <f>Y201-X201</f>
        <v>278</v>
      </c>
      <c r="Z284" s="12">
        <f>Z201-Y201</f>
        <v>645</v>
      </c>
      <c r="AA284" s="12">
        <f>AA201-Z201</f>
        <v>140</v>
      </c>
      <c r="AB284" s="12">
        <f>SUM(X284:AA284)</f>
        <v>899</v>
      </c>
      <c r="AC284" s="12">
        <f>AC201-AB201</f>
        <v>-128</v>
      </c>
      <c r="AD284" s="12">
        <f>AD201-AC201</f>
        <v>61</v>
      </c>
      <c r="AE284" s="12">
        <f>AE201-AD201</f>
        <v>573</v>
      </c>
      <c r="AF284" s="12">
        <f>AF201-AE201</f>
        <v>1036</v>
      </c>
      <c r="AG284" s="12">
        <f>SUM(AC284:AF284)</f>
        <v>1542</v>
      </c>
      <c r="AH284" s="12">
        <f>AH201-AG201</f>
        <v>584</v>
      </c>
      <c r="AI284" s="12">
        <f>AI201-AH201</f>
        <v>-8</v>
      </c>
      <c r="AJ284" s="12">
        <f>AJ201-AI201</f>
        <v>0</v>
      </c>
      <c r="AK284" s="12">
        <f>AK201-AJ201</f>
        <v>0</v>
      </c>
      <c r="AL284" s="12">
        <f>SUM(AH284:AK284)</f>
        <v>576</v>
      </c>
      <c r="AM284" s="12">
        <f>AM201-AL201</f>
        <v>0</v>
      </c>
      <c r="AN284" s="12">
        <f>AN201-AM201</f>
        <v>0</v>
      </c>
      <c r="AO284" s="12">
        <f>AO201-AN201</f>
        <v>0</v>
      </c>
      <c r="AP284" s="12">
        <f>AP201-AO201</f>
        <v>0</v>
      </c>
      <c r="AQ284" s="12">
        <f>SUM(AM284:AP284)</f>
        <v>0</v>
      </c>
      <c r="AR284" s="12">
        <f>AR201-AQ201</f>
        <v>0</v>
      </c>
      <c r="AS284" s="12">
        <f>AS201-AR201</f>
        <v>0</v>
      </c>
      <c r="AT284" s="12">
        <f>AT201-AS201</f>
        <v>0</v>
      </c>
      <c r="AU284" s="12">
        <f>AU201-AT201</f>
        <v>0</v>
      </c>
      <c r="AV284" s="12">
        <f>SUM(AR284:AU284)</f>
        <v>0</v>
      </c>
      <c r="AW284" s="12">
        <f>AW201-AV201</f>
        <v>0</v>
      </c>
      <c r="AX284" s="12">
        <f>AX201-AW201</f>
        <v>0</v>
      </c>
      <c r="AY284" s="12">
        <f>AY201-AX201</f>
        <v>0</v>
      </c>
      <c r="AZ284" s="12">
        <f>AZ201-AY201</f>
        <v>0</v>
      </c>
      <c r="BA284" s="12">
        <f>SUM(AW284:AZ284)</f>
        <v>0</v>
      </c>
      <c r="BB284" s="12">
        <f>BB201-BA201</f>
        <v>0</v>
      </c>
      <c r="BC284" s="12">
        <f>BC201-BB201</f>
        <v>0</v>
      </c>
      <c r="BD284" s="12">
        <f>BD201-BC201</f>
        <v>0</v>
      </c>
      <c r="BE284" s="12">
        <f>BE201-BD201</f>
        <v>0</v>
      </c>
      <c r="BF284" s="12">
        <f>SUM(BB284:BE284)</f>
        <v>0</v>
      </c>
      <c r="BG284" s="12" t="n"/>
      <c r="BH284" s="12" t="n"/>
      <c r="BI284" s="12" t="n"/>
      <c r="BJ284" s="12" t="n"/>
      <c r="BK284" s="12" t="n"/>
      <c r="BL284" s="12" t="n"/>
      <c r="BM284" s="12" t="n"/>
      <c r="BN284" s="12" t="n"/>
      <c r="BO284" s="12" t="n"/>
      <c r="BP284" s="12" t="n"/>
      <c r="BQ284" s="12" t="n"/>
      <c r="BR284" s="12" t="n"/>
      <c r="BS284" s="12" t="n"/>
      <c r="BT284" s="12" t="n"/>
      <c r="BU284" s="12" t="n"/>
      <c r="BV284" s="12" t="n"/>
      <c r="BW284" s="12" t="n"/>
      <c r="BX284" s="12" t="n"/>
      <c r="BY284" s="12" t="n"/>
      <c r="BZ284" s="12" t="n"/>
      <c r="CA284" s="12" t="n"/>
      <c r="CB284" s="12" t="n"/>
      <c r="CC284" s="12" t="n"/>
      <c r="CD284" s="12" t="n"/>
      <c r="CE284" s="12" t="n"/>
      <c r="CF284" s="12" t="n"/>
      <c r="CG284" s="12" t="n"/>
      <c r="CH284" s="12" t="n"/>
      <c r="CI284" s="12" t="n"/>
      <c r="CJ284" s="12" t="n"/>
      <c r="CK284" s="12" t="n"/>
      <c r="CL284" s="12" t="n"/>
      <c r="CM284" s="12" t="n"/>
      <c r="CN284" s="12" t="n"/>
      <c r="CO284" s="12" t="n"/>
      <c r="CP284" s="12" t="n"/>
      <c r="CQ284" s="12" t="n"/>
      <c r="CR284" s="12" t="n"/>
      <c r="CS284" s="12" t="n"/>
      <c r="CT284" s="12" t="n"/>
      <c r="CU284" s="12" t="n"/>
      <c r="CV284" s="12" t="n"/>
      <c r="CW284" s="12" t="n"/>
      <c r="CX284" s="12" t="n"/>
      <c r="CY284" s="12" t="n"/>
    </row>
    <row r="285" hidden="1" outlineLevel="1">
      <c r="C285" s="10" t="inlineStr">
        <is>
          <t>Deferred income taxes</t>
        </is>
      </c>
      <c r="D285" s="12" t="n"/>
      <c r="E285" s="12" t="n"/>
      <c r="F285" s="12" t="n"/>
      <c r="G285" s="12" t="n"/>
      <c r="H285" s="12" t="n"/>
      <c r="I285" s="12" t="n"/>
      <c r="J285" s="12">
        <f>J235-I235</f>
        <v>297</v>
      </c>
      <c r="K285" s="12">
        <f>K235-J235</f>
        <v>-1152</v>
      </c>
      <c r="L285" s="12">
        <f>L235-K235</f>
        <v>1706</v>
      </c>
      <c r="M285" s="12" t="n"/>
      <c r="N285" s="12">
        <f>N235-M235</f>
        <v>-2414</v>
      </c>
      <c r="O285" s="12">
        <f>O235-N235</f>
        <v>-1919</v>
      </c>
      <c r="P285" s="12">
        <f>P235-O235</f>
        <v>-448</v>
      </c>
      <c r="Q285" s="12">
        <f>Q235-P235</f>
        <v>38</v>
      </c>
      <c r="R285" s="12">
        <f>SUM(N285:Q285)</f>
        <v>-4743</v>
      </c>
      <c r="S285" s="12">
        <f>S235-R235</f>
        <v>28</v>
      </c>
      <c r="T285" s="12">
        <f>T235-S235</f>
        <v>16</v>
      </c>
      <c r="U285" s="12">
        <f>U235-T235</f>
        <v>-30</v>
      </c>
      <c r="V285" s="12">
        <f>V235-U235</f>
        <v>-43</v>
      </c>
      <c r="W285" s="12">
        <f>SUM(S285:V285)</f>
        <v>-29</v>
      </c>
      <c r="X285" s="12">
        <f>X235-W235</f>
        <v>1</v>
      </c>
      <c r="Y285" s="12">
        <f>Y235-X235</f>
        <v>231</v>
      </c>
      <c r="Z285" s="12">
        <f>Z235-Y235</f>
        <v>-11</v>
      </c>
      <c r="AA285" s="12">
        <f>AA235-Z235</f>
        <v>-706</v>
      </c>
      <c r="AB285" s="12">
        <f>SUM(X285:AA285)</f>
        <v>-485</v>
      </c>
      <c r="AC285" s="12">
        <f>AC235-AB235</f>
        <v>0</v>
      </c>
      <c r="AD285" s="12">
        <f>AD235-AC235</f>
        <v>0</v>
      </c>
      <c r="AE285" s="12">
        <f>AE235-AD235</f>
        <v>0</v>
      </c>
      <c r="AF285" s="12">
        <f>AF235-AE235</f>
        <v>0</v>
      </c>
      <c r="AG285" s="12">
        <f>SUM(AC285:AF285)</f>
        <v>0</v>
      </c>
      <c r="AH285" s="12">
        <f>AH235-AG235</f>
        <v>0</v>
      </c>
      <c r="AI285" s="12">
        <f>AI235-AH235</f>
        <v>22819</v>
      </c>
      <c r="AJ285" s="12">
        <f>AJ235-AI235</f>
        <v>0</v>
      </c>
      <c r="AK285" s="12">
        <f>AK235-AJ235</f>
        <v>0</v>
      </c>
      <c r="AL285" s="12">
        <f>SUM(AH285:AK285)</f>
        <v>22819</v>
      </c>
      <c r="AM285" s="12">
        <f>AM235-AL235</f>
        <v>0</v>
      </c>
      <c r="AN285" s="12">
        <f>AN235-AM235</f>
        <v>0</v>
      </c>
      <c r="AO285" s="12">
        <f>AO235-AN235</f>
        <v>0</v>
      </c>
      <c r="AP285" s="12">
        <f>AP235-AO235</f>
        <v>0</v>
      </c>
      <c r="AQ285" s="12">
        <f>SUM(AM285:AP285)</f>
        <v>0</v>
      </c>
      <c r="AR285" s="12">
        <f>AR235-AQ235</f>
        <v>0</v>
      </c>
      <c r="AS285" s="12">
        <f>AS235-AR235</f>
        <v>0</v>
      </c>
      <c r="AT285" s="12">
        <f>AT235-AS235</f>
        <v>0</v>
      </c>
      <c r="AU285" s="12">
        <f>AU235-AT235</f>
        <v>0</v>
      </c>
      <c r="AV285" s="12">
        <f>SUM(AR285:AU285)</f>
        <v>0</v>
      </c>
      <c r="AW285" s="12">
        <f>AW235-AV235</f>
        <v>0</v>
      </c>
      <c r="AX285" s="12">
        <f>AX235-AW235</f>
        <v>0</v>
      </c>
      <c r="AY285" s="12">
        <f>AY235-AX235</f>
        <v>0</v>
      </c>
      <c r="AZ285" s="12">
        <f>AZ235-AY235</f>
        <v>0</v>
      </c>
      <c r="BA285" s="12">
        <f>SUM(AW285:AZ285)</f>
        <v>0</v>
      </c>
      <c r="BB285" s="12">
        <f>BB235-BA235</f>
        <v>0</v>
      </c>
      <c r="BC285" s="12">
        <f>BC235-BB235</f>
        <v>0</v>
      </c>
      <c r="BD285" s="12">
        <f>BD235-BC235</f>
        <v>0</v>
      </c>
      <c r="BE285" s="12">
        <f>BE235-BD235</f>
        <v>0</v>
      </c>
      <c r="BF285" s="12">
        <f>SUM(BB285:BE285)</f>
        <v>0</v>
      </c>
      <c r="BG285" s="12" t="n"/>
      <c r="BH285" s="12" t="n"/>
      <c r="BI285" s="12" t="n"/>
      <c r="BJ285" s="12" t="n"/>
      <c r="BK285" s="12" t="n"/>
      <c r="BL285" s="12" t="n"/>
      <c r="BM285" s="12" t="n"/>
      <c r="BN285" s="12" t="n"/>
      <c r="BO285" s="12" t="n"/>
      <c r="BP285" s="12" t="n"/>
      <c r="BQ285" s="12" t="n"/>
      <c r="BR285" s="12" t="n"/>
      <c r="BS285" s="12" t="n"/>
      <c r="BT285" s="12" t="n"/>
      <c r="BU285" s="12" t="n"/>
      <c r="BV285" s="12" t="n"/>
      <c r="BW285" s="12" t="n"/>
      <c r="BX285" s="12" t="n"/>
      <c r="BY285" s="12" t="n"/>
      <c r="BZ285" s="12" t="n"/>
      <c r="CA285" s="12" t="n"/>
      <c r="CB285" s="12" t="n"/>
      <c r="CC285" s="12" t="n"/>
      <c r="CD285" s="12" t="n"/>
      <c r="CE285" s="12" t="n"/>
      <c r="CF285" s="12" t="n"/>
      <c r="CG285" s="12" t="n"/>
      <c r="CH285" s="12" t="n"/>
      <c r="CI285" s="12" t="n"/>
      <c r="CJ285" s="12" t="n"/>
      <c r="CK285" s="12" t="n"/>
      <c r="CL285" s="12" t="n"/>
      <c r="CM285" s="12" t="n"/>
      <c r="CN285" s="12" t="n"/>
      <c r="CO285" s="12" t="n"/>
      <c r="CP285" s="12" t="n"/>
      <c r="CQ285" s="12" t="n"/>
      <c r="CR285" s="12" t="n"/>
      <c r="CS285" s="12" t="n"/>
      <c r="CT285" s="12" t="n"/>
      <c r="CU285" s="12" t="n"/>
      <c r="CV285" s="12" t="n"/>
      <c r="CW285" s="12" t="n"/>
      <c r="CX285" s="12" t="n"/>
      <c r="CY285" s="12" t="n"/>
    </row>
    <row r="286" collapsed="1">
      <c r="C286" s="10" t="inlineStr">
        <is>
          <t>Equity income in affiliates</t>
        </is>
      </c>
      <c r="D286" s="12" t="n"/>
      <c r="E286" s="12" t="n"/>
      <c r="F286" s="12" t="n"/>
      <c r="G286" s="12" t="n"/>
      <c r="H286" s="12" t="n"/>
      <c r="I286" s="12" t="n"/>
      <c r="J286" s="12">
        <f>(J157-I157)*-1</f>
        <v>0</v>
      </c>
      <c r="K286" s="12">
        <f>(K157-J157)*-1</f>
        <v>0</v>
      </c>
      <c r="L286" s="12">
        <f>(L157-K157)*-1</f>
        <v>0</v>
      </c>
      <c r="M286" s="12" t="n"/>
      <c r="N286" s="12">
        <f>(N157-M157)*-1</f>
        <v>0</v>
      </c>
      <c r="O286" s="12">
        <f>(O157-N157)*-1</f>
        <v>0</v>
      </c>
      <c r="P286" s="12">
        <f>(P157-O157)*-1</f>
        <v>0</v>
      </c>
      <c r="Q286" s="12">
        <f>(Q157-P157)*-1</f>
        <v>0</v>
      </c>
      <c r="R286" s="12">
        <f>SUM(N286:Q286)</f>
        <v>0</v>
      </c>
      <c r="S286" s="12">
        <f>(S157-R157)*-1</f>
        <v>0</v>
      </c>
      <c r="T286" s="12">
        <f>(T157-S157)*-1</f>
        <v>0</v>
      </c>
      <c r="U286" s="12">
        <f>(U157-T157)*-1</f>
        <v>0</v>
      </c>
      <c r="V286" s="12">
        <f>(V157-U157)*-1</f>
        <v>0</v>
      </c>
      <c r="W286" s="12">
        <f>SUM(S286:V286)</f>
        <v>0</v>
      </c>
      <c r="X286" s="12">
        <f>(X157-W157)*-1</f>
        <v>0</v>
      </c>
      <c r="Y286" s="12">
        <f>(Y157-X157)*-1</f>
        <v>0</v>
      </c>
      <c r="Z286" s="12">
        <f>(Z157-Y157)*-1</f>
        <v>0</v>
      </c>
      <c r="AA286" s="12">
        <f>(AA157-Z157)*-1</f>
        <v>0</v>
      </c>
      <c r="AB286" s="12">
        <f>SUM(X286:AA286)</f>
        <v>0</v>
      </c>
      <c r="AC286" s="12">
        <f>(AC157-AB157)*-1</f>
        <v>0</v>
      </c>
      <c r="AD286" s="12">
        <f>(AD157-AC157)*-1</f>
        <v>0</v>
      </c>
      <c r="AE286" s="12">
        <f>(AE157-AD157)*-1</f>
        <v>0</v>
      </c>
      <c r="AF286" s="12">
        <f>(AF157-AE157)*-1</f>
        <v>0</v>
      </c>
      <c r="AG286" s="12">
        <f>SUM(AC286:AF286)</f>
        <v>0</v>
      </c>
      <c r="AH286" s="12">
        <f>(AH157-AG157)*-1</f>
        <v>0</v>
      </c>
      <c r="AI286" s="12">
        <f>(AI157-AH157)*-1</f>
        <v>0</v>
      </c>
      <c r="AJ286" s="12">
        <f>(AJ157-AI157)*-1</f>
        <v>0</v>
      </c>
      <c r="AK286" s="12">
        <f>(AK157-AJ157)*-1</f>
        <v>0</v>
      </c>
      <c r="AL286" s="12">
        <f>SUM(AH286:AK286)</f>
        <v>0</v>
      </c>
      <c r="AM286" s="12">
        <f>(AM157-AL157)*-1</f>
        <v>0</v>
      </c>
      <c r="AN286" s="12">
        <f>(AN157-AM157)*-1</f>
        <v>0</v>
      </c>
      <c r="AO286" s="12">
        <f>(AO157-AN157)*-1</f>
        <v>0</v>
      </c>
      <c r="AP286" s="12">
        <f>(AP157-AO157)*-1</f>
        <v>0</v>
      </c>
      <c r="AQ286" s="12">
        <f>SUM(AM286:AP286)</f>
        <v>0</v>
      </c>
      <c r="AR286" s="12">
        <f>(AR157-AQ157)*-1</f>
        <v>0</v>
      </c>
      <c r="AS286" s="12">
        <f>(AS157-AR157)*-1</f>
        <v>0</v>
      </c>
      <c r="AT286" s="12">
        <f>(AT157-AS157)*-1</f>
        <v>0</v>
      </c>
      <c r="AU286" s="12">
        <f>(AU157-AT157)*-1</f>
        <v>0</v>
      </c>
      <c r="AV286" s="12">
        <f>SUM(AR286:AU286)</f>
        <v>0</v>
      </c>
      <c r="AW286" s="12">
        <f>(AW157-AV157)*-1</f>
        <v>0</v>
      </c>
      <c r="AX286" s="12">
        <f>(AX157-AW157)*-1</f>
        <v>0</v>
      </c>
      <c r="AY286" s="12">
        <f>(AY157-AX157)*-1</f>
        <v>0</v>
      </c>
      <c r="AZ286" s="12">
        <f>(AZ157-AY157)*-1</f>
        <v>0</v>
      </c>
      <c r="BA286" s="12">
        <f>SUM(AW286:AZ286)</f>
        <v>0</v>
      </c>
      <c r="BB286" s="12">
        <f>(BB157-BA157)*-1</f>
        <v>0</v>
      </c>
      <c r="BC286" s="12">
        <f>(BC157-BB157)*-1</f>
        <v>0</v>
      </c>
      <c r="BD286" s="12">
        <f>(BD157-BC157)*-1</f>
        <v>0</v>
      </c>
      <c r="BE286" s="12">
        <f>(BE157-BD157)*-1</f>
        <v>0</v>
      </c>
      <c r="BF286" s="12">
        <f>SUM(BB286:BE286)</f>
        <v>0</v>
      </c>
      <c r="BG286" s="12" t="n"/>
      <c r="BH286" s="12" t="n"/>
      <c r="BI286" s="12" t="n"/>
      <c r="BJ286" s="12" t="n"/>
      <c r="BK286" s="12" t="n"/>
      <c r="BL286" s="12" t="n"/>
      <c r="BM286" s="12" t="n"/>
      <c r="BN286" s="12" t="n"/>
      <c r="BO286" s="12" t="n"/>
      <c r="BP286" s="12" t="n"/>
      <c r="BQ286" s="12" t="n"/>
      <c r="BR286" s="12" t="n"/>
      <c r="BS286" s="12" t="n"/>
      <c r="BT286" s="12" t="n"/>
      <c r="BU286" s="12" t="n"/>
      <c r="BV286" s="12" t="n"/>
      <c r="BW286" s="12" t="n"/>
      <c r="BX286" s="12" t="n"/>
      <c r="BY286" s="12" t="n"/>
      <c r="BZ286" s="12" t="n"/>
      <c r="CA286" s="12" t="n"/>
      <c r="CB286" s="12" t="n"/>
      <c r="CC286" s="12" t="n"/>
      <c r="CD286" s="12" t="n"/>
      <c r="CE286" s="12" t="n"/>
      <c r="CF286" s="12" t="n"/>
      <c r="CG286" s="12" t="n"/>
      <c r="CH286" s="12" t="n"/>
      <c r="CI286" s="12" t="n"/>
      <c r="CJ286" s="12" t="n"/>
      <c r="CK286" s="12" t="n"/>
      <c r="CL286" s="12" t="n"/>
      <c r="CM286" s="12" t="n"/>
      <c r="CN286" s="12" t="n"/>
      <c r="CO286" s="12" t="n"/>
      <c r="CP286" s="12" t="n"/>
      <c r="CQ286" s="12" t="n"/>
      <c r="CR286" s="12" t="n"/>
      <c r="CS286" s="12" t="n"/>
      <c r="CT286" s="12" t="n"/>
      <c r="CU286" s="12" t="n"/>
      <c r="CV286" s="12" t="n"/>
      <c r="CW286" s="12" t="n"/>
      <c r="CX286" s="12" t="n"/>
      <c r="CY286" s="12" t="n"/>
    </row>
    <row r="287">
      <c r="C287" s="10" t="inlineStr">
        <is>
          <t>Dividends received from affiliates</t>
        </is>
      </c>
      <c r="D287" s="12" t="n"/>
      <c r="E287" s="12" t="n"/>
      <c r="F287" s="12" t="n"/>
      <c r="G287" s="12" t="n"/>
      <c r="H287" s="12" t="n"/>
      <c r="I287" s="12" t="n"/>
      <c r="J287" s="12">
        <f>-J160</f>
        <v>0</v>
      </c>
      <c r="K287" s="12">
        <f>-K160</f>
        <v>0</v>
      </c>
      <c r="L287" s="12">
        <f>-L160</f>
        <v>0</v>
      </c>
      <c r="M287" s="12" t="n"/>
      <c r="N287" s="12">
        <f>-N160</f>
        <v>0</v>
      </c>
      <c r="O287" s="12">
        <f>-O160</f>
        <v>0</v>
      </c>
      <c r="P287" s="12">
        <f>-P160</f>
        <v>0</v>
      </c>
      <c r="Q287" s="12">
        <f>-Q160</f>
        <v>0</v>
      </c>
      <c r="R287" s="12">
        <f>SUM(N287:Q287)</f>
        <v>0</v>
      </c>
      <c r="S287" s="12">
        <f>-S160</f>
        <v>0</v>
      </c>
      <c r="T287" s="12">
        <f>-T160</f>
        <v>0</v>
      </c>
      <c r="U287" s="12">
        <f>-U160</f>
        <v>0</v>
      </c>
      <c r="V287" s="12">
        <f>-V160</f>
        <v>0</v>
      </c>
      <c r="W287" s="12">
        <f>SUM(S287:V287)</f>
        <v>0</v>
      </c>
      <c r="X287" s="12">
        <f>-X160</f>
        <v>0</v>
      </c>
      <c r="Y287" s="12">
        <f>-Y160</f>
        <v>0</v>
      </c>
      <c r="Z287" s="12">
        <f>-Z160</f>
        <v>0</v>
      </c>
      <c r="AA287" s="12">
        <f>-AA160</f>
        <v>0</v>
      </c>
      <c r="AB287" s="12">
        <f>SUM(X287:AA287)</f>
        <v>0</v>
      </c>
      <c r="AC287" s="12">
        <f>-AC160</f>
        <v>0</v>
      </c>
      <c r="AD287" s="12">
        <f>-AD160</f>
        <v>0</v>
      </c>
      <c r="AE287" s="12">
        <f>-AE160</f>
        <v>0</v>
      </c>
      <c r="AF287" s="12">
        <f>-AF160</f>
        <v>0</v>
      </c>
      <c r="AG287" s="12">
        <f>SUM(AC287:AF287)</f>
        <v>0</v>
      </c>
      <c r="AH287" s="12">
        <f>-AH160</f>
        <v>0</v>
      </c>
      <c r="AI287" s="12">
        <f>-AI160</f>
        <v>0</v>
      </c>
      <c r="AJ287" s="12">
        <f>-AJ160</f>
        <v>0</v>
      </c>
      <c r="AK287" s="12">
        <f>-AK160</f>
        <v>0</v>
      </c>
      <c r="AL287" s="12">
        <f>SUM(AH287:AK287)</f>
        <v>0</v>
      </c>
      <c r="AM287" s="12">
        <f>-AM160</f>
        <v>0</v>
      </c>
      <c r="AN287" s="12">
        <f>-AN160</f>
        <v>0</v>
      </c>
      <c r="AO287" s="12">
        <f>-AO160</f>
        <v>0</v>
      </c>
      <c r="AP287" s="12">
        <f>-AP160</f>
        <v>0</v>
      </c>
      <c r="AQ287" s="12">
        <f>SUM(AM287:AP287)</f>
        <v>0</v>
      </c>
      <c r="AR287" s="12">
        <f>-AR160</f>
        <v>0</v>
      </c>
      <c r="AS287" s="12">
        <f>-AS160</f>
        <v>0</v>
      </c>
      <c r="AT287" s="12">
        <f>-AT160</f>
        <v>0</v>
      </c>
      <c r="AU287" s="12">
        <f>-AU160</f>
        <v>0</v>
      </c>
      <c r="AV287" s="12">
        <f>SUM(AR287:AU287)</f>
        <v>0</v>
      </c>
      <c r="AW287" s="12">
        <f>-AW160</f>
        <v>0</v>
      </c>
      <c r="AX287" s="12">
        <f>-AX160</f>
        <v>0</v>
      </c>
      <c r="AY287" s="12">
        <f>-AY160</f>
        <v>0</v>
      </c>
      <c r="AZ287" s="12">
        <f>-AZ160</f>
        <v>0</v>
      </c>
      <c r="BA287" s="12">
        <f>SUM(AW287:AZ287)</f>
        <v>0</v>
      </c>
      <c r="BB287" s="12">
        <f>-BB160</f>
        <v>0</v>
      </c>
      <c r="BC287" s="12">
        <f>-BC160</f>
        <v>0</v>
      </c>
      <c r="BD287" s="12">
        <f>-BD160</f>
        <v>0</v>
      </c>
      <c r="BE287" s="12">
        <f>-BE160</f>
        <v>0</v>
      </c>
      <c r="BF287" s="12">
        <f>SUM(BB287:BE287)</f>
        <v>0</v>
      </c>
      <c r="BG287" s="12" t="n"/>
      <c r="BH287" s="12" t="n"/>
      <c r="BI287" s="12" t="n"/>
      <c r="BJ287" s="12" t="n"/>
      <c r="BK287" s="12" t="n"/>
      <c r="BL287" s="12" t="n"/>
      <c r="BM287" s="12" t="n"/>
      <c r="BN287" s="12" t="n"/>
      <c r="BO287" s="12" t="n"/>
      <c r="BP287" s="12" t="n"/>
      <c r="BQ287" s="12" t="n"/>
      <c r="BR287" s="12" t="n"/>
      <c r="BS287" s="12" t="n"/>
      <c r="BT287" s="12" t="n"/>
      <c r="BU287" s="12" t="n"/>
      <c r="BV287" s="12" t="n"/>
      <c r="BW287" s="12" t="n"/>
      <c r="BX287" s="12" t="n"/>
      <c r="BY287" s="12" t="n"/>
      <c r="BZ287" s="12" t="n"/>
      <c r="CA287" s="12" t="n"/>
      <c r="CB287" s="12" t="n"/>
      <c r="CC287" s="12" t="n"/>
      <c r="CD287" s="12" t="n"/>
      <c r="CE287" s="12" t="n"/>
      <c r="CF287" s="12" t="n"/>
      <c r="CG287" s="12" t="n"/>
      <c r="CH287" s="12" t="n"/>
      <c r="CI287" s="12" t="n"/>
      <c r="CJ287" s="12" t="n"/>
      <c r="CK287" s="12" t="n"/>
      <c r="CL287" s="12" t="n"/>
      <c r="CM287" s="12" t="n"/>
      <c r="CN287" s="12" t="n"/>
      <c r="CO287" s="12" t="n"/>
      <c r="CP287" s="12" t="n"/>
      <c r="CQ287" s="12" t="n"/>
      <c r="CR287" s="12" t="n"/>
      <c r="CS287" s="12" t="n"/>
      <c r="CT287" s="12" t="n"/>
      <c r="CU287" s="12" t="n"/>
      <c r="CV287" s="12" t="n"/>
      <c r="CW287" s="12" t="n"/>
      <c r="CX287" s="12" t="n"/>
      <c r="CY287" s="12" t="n"/>
    </row>
    <row r="288">
      <c r="C288" s="71" t="inlineStr">
        <is>
          <t>Minority interest expense</t>
        </is>
      </c>
      <c r="D288" s="12" t="n"/>
      <c r="E288" s="12" t="n"/>
      <c r="F288" s="12" t="n"/>
      <c r="G288" s="12" t="n"/>
      <c r="H288" s="12" t="n"/>
      <c r="I288" s="12" t="n"/>
      <c r="J288" s="12">
        <f>-J132</f>
        <v>0</v>
      </c>
      <c r="K288" s="12">
        <f>-K132</f>
        <v>0</v>
      </c>
      <c r="L288" s="12">
        <f>-L132</f>
        <v>0</v>
      </c>
      <c r="M288" s="12" t="n"/>
      <c r="N288" s="12">
        <f>-N132</f>
        <v>0</v>
      </c>
      <c r="O288" s="12">
        <f>-O132</f>
        <v>0</v>
      </c>
      <c r="P288" s="12">
        <f>-P132</f>
        <v>0</v>
      </c>
      <c r="Q288" s="12">
        <f>-Q132</f>
        <v>0</v>
      </c>
      <c r="R288" s="12">
        <f>SUM(N288:Q288)</f>
        <v>0</v>
      </c>
      <c r="S288" s="12">
        <f>-S132</f>
        <v>0</v>
      </c>
      <c r="T288" s="12">
        <f>-T132</f>
        <v>0</v>
      </c>
      <c r="U288" s="12">
        <f>-U132</f>
        <v>0</v>
      </c>
      <c r="V288" s="12">
        <f>-V132</f>
        <v>0</v>
      </c>
      <c r="W288" s="12">
        <f>SUM(S288:V288)</f>
        <v>0</v>
      </c>
      <c r="X288" s="12">
        <f>-X132</f>
        <v>0</v>
      </c>
      <c r="Y288" s="12">
        <f>-Y132</f>
        <v>0</v>
      </c>
      <c r="Z288" s="12">
        <f>-Z132</f>
        <v>0</v>
      </c>
      <c r="AA288" s="12">
        <f>-AA132</f>
        <v>0</v>
      </c>
      <c r="AB288" s="12">
        <f>SUM(X288:AA288)</f>
        <v>0</v>
      </c>
      <c r="AC288" s="12">
        <f>-AC132</f>
        <v>0</v>
      </c>
      <c r="AD288" s="12">
        <f>-AD132</f>
        <v>0</v>
      </c>
      <c r="AE288" s="12">
        <f>-AE132</f>
        <v>0</v>
      </c>
      <c r="AF288" s="12">
        <f>-AF132</f>
        <v>0</v>
      </c>
      <c r="AG288" s="12">
        <f>SUM(AC288:AF288)</f>
        <v>0</v>
      </c>
      <c r="AH288" s="12">
        <f>-AH132</f>
        <v>0</v>
      </c>
      <c r="AI288" s="12">
        <f>-AI132</f>
        <v>0</v>
      </c>
      <c r="AJ288" s="12">
        <f>-AJ132</f>
        <v>0</v>
      </c>
      <c r="AK288" s="12">
        <f>-AK132</f>
        <v>0</v>
      </c>
      <c r="AL288" s="12">
        <f>SUM(AH288:AK288)</f>
        <v>0</v>
      </c>
      <c r="AM288" s="12">
        <f>-AM132</f>
        <v>0</v>
      </c>
      <c r="AN288" s="12">
        <f>-AN132</f>
        <v>0</v>
      </c>
      <c r="AO288" s="12">
        <f>-AO132</f>
        <v>0</v>
      </c>
      <c r="AP288" s="12">
        <f>-AP132</f>
        <v>0</v>
      </c>
      <c r="AQ288" s="12">
        <f>SUM(AM288:AP288)</f>
        <v>0</v>
      </c>
      <c r="AR288" s="12">
        <f>-AR132</f>
        <v>0</v>
      </c>
      <c r="AS288" s="12">
        <f>-AS132</f>
        <v>0</v>
      </c>
      <c r="AT288" s="12">
        <f>-AT132</f>
        <v>0</v>
      </c>
      <c r="AU288" s="12">
        <f>-AU132</f>
        <v>0</v>
      </c>
      <c r="AV288" s="12">
        <f>SUM(AR288:AU288)</f>
        <v>0</v>
      </c>
      <c r="AW288" s="12">
        <f>-AW132</f>
        <v>0</v>
      </c>
      <c r="AX288" s="12">
        <f>-AX132</f>
        <v>0</v>
      </c>
      <c r="AY288" s="12">
        <f>-AY132</f>
        <v>0</v>
      </c>
      <c r="AZ288" s="12">
        <f>-AZ132</f>
        <v>0</v>
      </c>
      <c r="BA288" s="12">
        <f>SUM(AW288:AZ288)</f>
        <v>0</v>
      </c>
      <c r="BB288" s="12">
        <f>-BB132</f>
        <v>0</v>
      </c>
      <c r="BC288" s="12">
        <f>-BC132</f>
        <v>0</v>
      </c>
      <c r="BD288" s="12">
        <f>-BD132</f>
        <v>0</v>
      </c>
      <c r="BE288" s="12">
        <f>-BE132</f>
        <v>0</v>
      </c>
      <c r="BF288" s="12">
        <f>SUM(BB288:BE288)</f>
        <v>0</v>
      </c>
      <c r="BG288" s="12" t="n"/>
      <c r="BH288" s="12" t="n"/>
      <c r="BI288" s="12" t="n"/>
      <c r="BJ288" s="12" t="n"/>
      <c r="BK288" s="12" t="n"/>
      <c r="BL288" s="12" t="n"/>
      <c r="BM288" s="12" t="n"/>
      <c r="BN288" s="12" t="n"/>
      <c r="BO288" s="12" t="n"/>
      <c r="BP288" s="12" t="n"/>
      <c r="BQ288" s="12" t="n"/>
      <c r="BR288" s="12" t="n"/>
      <c r="BS288" s="12" t="n"/>
      <c r="BT288" s="12" t="n"/>
      <c r="BU288" s="12" t="n"/>
      <c r="BV288" s="12" t="n"/>
      <c r="BW288" s="12" t="n"/>
      <c r="BX288" s="12" t="n"/>
      <c r="BY288" s="12" t="n"/>
      <c r="BZ288" s="12" t="n"/>
      <c r="CA288" s="12" t="n"/>
      <c r="CB288" s="12" t="n"/>
      <c r="CC288" s="12" t="n"/>
      <c r="CD288" s="12" t="n"/>
      <c r="CE288" s="12" t="n"/>
      <c r="CF288" s="12" t="n"/>
      <c r="CG288" s="12" t="n"/>
      <c r="CH288" s="12" t="n"/>
      <c r="CI288" s="12" t="n"/>
      <c r="CJ288" s="12" t="n"/>
      <c r="CK288" s="12" t="n"/>
      <c r="CL288" s="12" t="n"/>
      <c r="CM288" s="12" t="n"/>
      <c r="CN288" s="12" t="n"/>
      <c r="CO288" s="12" t="n"/>
      <c r="CP288" s="12" t="n"/>
      <c r="CQ288" s="12" t="n"/>
      <c r="CR288" s="12" t="n"/>
      <c r="CS288" s="12" t="n"/>
      <c r="CT288" s="12" t="n"/>
      <c r="CU288" s="12" t="n"/>
      <c r="CV288" s="12" t="n"/>
      <c r="CW288" s="12" t="n"/>
      <c r="CX288" s="12" t="n"/>
      <c r="CY288" s="12" t="n"/>
    </row>
    <row r="289">
      <c r="C289" s="14" t="inlineStr">
        <is>
          <t>Cash from operations</t>
        </is>
      </c>
      <c r="D289" s="12" t="n"/>
      <c r="E289" s="12" t="n"/>
      <c r="F289" s="12" t="n"/>
      <c r="G289" s="12" t="n"/>
      <c r="H289" s="12" t="n"/>
      <c r="I289" s="12" t="n"/>
      <c r="J289" s="12">
        <f>SUM(J273,J274,J275,J286,J287,J288)</f>
        <v>19015</v>
      </c>
      <c r="K289" s="12">
        <f>SUM(K273,K274,K275,K286,K287,K288)</f>
        <v>24595</v>
      </c>
      <c r="L289" s="12">
        <f>SUM(L273,L274,L275,L286,L287,L288)</f>
        <v>21559</v>
      </c>
      <c r="M289" s="12" t="n"/>
      <c r="N289" s="12">
        <f>SUM(N273,N274,N275,N286,N287,N288)</f>
        <v>19814</v>
      </c>
      <c r="O289" s="12">
        <f>SUM(O273,O274,O275,O286,O287,O288)</f>
        <v>13594</v>
      </c>
      <c r="P289" s="12">
        <f>SUM(P273,P274,P275,P286,P287,P288)</f>
        <v>18043</v>
      </c>
      <c r="Q289" s="12">
        <f>SUM(Q273,Q274,Q275,Q286,Q287,Q288)</f>
        <v>17595</v>
      </c>
      <c r="R289" s="12">
        <f>SUM(R273,R274,R275,R286,R287,R288)</f>
        <v>69046</v>
      </c>
      <c r="S289" s="12">
        <f>SUM(S273,S274,S275,S286,S287,S288)</f>
        <v>20219</v>
      </c>
      <c r="T289" s="12">
        <f>SUM(T273,T274,T275,T286,T287,T288)</f>
        <v>24473</v>
      </c>
      <c r="U289" s="12">
        <f>SUM(U273,U274,U275,U286,U287,U288)</f>
        <v>24371</v>
      </c>
      <c r="V289" s="12">
        <f>SUM(V273,V274,V275,V286,V287,V288)</f>
        <v>14054</v>
      </c>
      <c r="W289" s="12">
        <f>SUM(W273,W274,W275,W286,W287,W288)</f>
        <v>83117</v>
      </c>
      <c r="X289" s="12">
        <f>SUM(X273,X274,X275,X286,X287,X288)</f>
        <v>25974</v>
      </c>
      <c r="Y289" s="12">
        <f>SUM(Y273,Y274,Y275,Y286,Y287,Y288)</f>
        <v>21314</v>
      </c>
      <c r="Z289" s="12">
        <f>SUM(Z273,Z274,Z275,Z286,Z287,Z288)</f>
        <v>29167</v>
      </c>
      <c r="AA289" s="12">
        <f>SUM(AA273,AA274,AA275,AA286,AA287,AA288)</f>
        <v>33346</v>
      </c>
      <c r="AB289" s="12">
        <f>SUM(AB273,AB274,AB275,AB286,AB287,AB288)</f>
        <v>109801</v>
      </c>
      <c r="AC289" s="12">
        <f>SUM(AC273,AC274,AC275,AC286,AC287,AC288)</f>
        <v>41683</v>
      </c>
      <c r="AD289" s="12">
        <f>SUM(AD273,AD274,AD275,AD286,AD287,AD288)</f>
        <v>23603</v>
      </c>
      <c r="AE289" s="12">
        <f>SUM(AE273,AE274,AE275,AE286,AE287,AE288)</f>
        <v>57405</v>
      </c>
      <c r="AF289" s="12">
        <f>SUM(AF273,AF274,AF275,AF286,AF287,AF288)</f>
        <v>41164</v>
      </c>
      <c r="AG289" s="12">
        <f>SUM(AG273,AG274,AG275,AG286,AG287,AG288)</f>
        <v>163855</v>
      </c>
      <c r="AH289" s="12">
        <f>SUM(AH273,AH274,AH275,AH286,AH287,AH288)</f>
        <v>76903</v>
      </c>
      <c r="AI289" s="12">
        <f>SUM(AI273,AI274,AI275,AI286,AI287,AI288)</f>
        <v>143449</v>
      </c>
      <c r="AJ289" s="12">
        <f>SUM(AJ273,AJ274,AJ275,AJ286,AJ287,AJ288)</f>
        <v>87280.1411519969</v>
      </c>
      <c r="AK289" s="12">
        <f>SUM(AK273,AK274,AK275,AK286,AK287,AK288)</f>
        <v>87542.8646754548</v>
      </c>
      <c r="AL289" s="12">
        <f>SUM(AL273,AL274,AL275,AL286,AL287,AL288)</f>
        <v>395175.005827452</v>
      </c>
      <c r="AM289" s="12">
        <f>SUM(AM273,AM274,AM275,AM286,AM287,AM288)</f>
        <v>95578.2246145731</v>
      </c>
      <c r="AN289" s="12">
        <f>SUM(AN273,AN274,AN275,AN286,AN287,AN288)</f>
        <v>100689.706303235</v>
      </c>
      <c r="AO289" s="12">
        <f>SUM(AO273,AO274,AO275,AO286,AO287,AO288)</f>
        <v>111158.58997484</v>
      </c>
      <c r="AP289" s="12">
        <f>SUM(AP273,AP274,AP275,AP286,AP287,AP288)</f>
        <v>118095.900587765</v>
      </c>
      <c r="AQ289" s="12">
        <f>SUM(AQ273,AQ274,AQ275,AQ286,AQ287,AQ288)</f>
        <v>425522.421480413</v>
      </c>
      <c r="AR289" s="12">
        <f>SUM(AR273,AR274,AR275,AR286,AR287,AR288)</f>
        <v>129628.995105557</v>
      </c>
      <c r="AS289" s="12">
        <f>SUM(AS273,AS274,AS275,AS286,AS287,AS288)</f>
        <v>136462.758755452</v>
      </c>
      <c r="AT289" s="12">
        <f>SUM(AT273,AT274,AT275,AT286,AT287,AT288)</f>
        <v>152640.74942042</v>
      </c>
      <c r="AU289" s="12">
        <f>SUM(AU273,AU274,AU275,AU286,AU287,AU288)</f>
        <v>164415.627018331</v>
      </c>
      <c r="AV289" s="12">
        <f>SUM(AV273,AV274,AV275,AV286,AV287,AV288)</f>
        <v>583148.13029976</v>
      </c>
      <c r="AW289" s="12">
        <f>SUM(AW273,AW274,AW275,AW286,AW287,AW288)</f>
        <v>180265.307425886</v>
      </c>
      <c r="AX289" s="12">
        <f>SUM(AX273,AX274,AX275,AX286,AX287,AX288)</f>
        <v>194350.596129373</v>
      </c>
      <c r="AY289" s="12">
        <f>SUM(AY273,AY274,AY275,AY286,AY287,AY288)</f>
        <v>217711.908892807</v>
      </c>
      <c r="AZ289" s="12">
        <f>SUM(AZ273,AZ274,AZ275,AZ286,AZ287,AZ288)</f>
        <v>237687.121684263</v>
      </c>
      <c r="BA289" s="12">
        <f>SUM(BA273,BA274,BA275,BA286,BA287,BA288)</f>
        <v>830014.934132329</v>
      </c>
      <c r="BB289" s="12">
        <f>SUM(BB273,BB274,BB275,BB286,BB287,BB288)</f>
        <v>261636.289100773</v>
      </c>
      <c r="BC289" s="12">
        <f>SUM(BC273,BC274,BC275,BC286,BC287,BC288)</f>
        <v>285465.889958634</v>
      </c>
      <c r="BD289" s="12">
        <f>SUM(BD273,BD274,BD275,BD286,BD287,BD288)</f>
        <v>321682.606066743</v>
      </c>
      <c r="BE289" s="12">
        <f>SUM(BE273,BE274,BE275,BE286,BE287,BE288)</f>
        <v>355340.637382624</v>
      </c>
      <c r="BF289" s="12">
        <f>SUM(BF273,BF274,BF275,BF286,BF287,BF288)</f>
        <v>1224125.42250877</v>
      </c>
      <c r="BG289" s="12" t="n"/>
      <c r="BH289" s="12" t="n"/>
      <c r="BI289" s="12" t="n"/>
      <c r="BJ289" s="12" t="n"/>
      <c r="BK289" s="12" t="n"/>
      <c r="BL289" s="12" t="n"/>
      <c r="BM289" s="12" t="n"/>
      <c r="BN289" s="12" t="n"/>
      <c r="BO289" s="12" t="n"/>
      <c r="BP289" s="12" t="n"/>
      <c r="BQ289" s="12" t="n"/>
      <c r="BR289" s="12" t="n"/>
      <c r="BS289" s="12" t="n"/>
      <c r="BT289" s="12" t="n"/>
      <c r="BU289" s="12" t="n"/>
      <c r="BV289" s="12" t="n"/>
      <c r="BW289" s="12" t="n"/>
      <c r="BX289" s="12" t="n"/>
      <c r="BY289" s="12" t="n"/>
      <c r="BZ289" s="12" t="n"/>
      <c r="CA289" s="12" t="n"/>
      <c r="CB289" s="12" t="n"/>
      <c r="CC289" s="12" t="n"/>
      <c r="CD289" s="12" t="n"/>
      <c r="CE289" s="12" t="n"/>
      <c r="CF289" s="12" t="n"/>
      <c r="CG289" s="12" t="n"/>
      <c r="CH289" s="12" t="n"/>
      <c r="CI289" s="12" t="n"/>
      <c r="CJ289" s="12" t="n"/>
      <c r="CK289" s="12" t="n"/>
      <c r="CL289" s="12" t="n"/>
      <c r="CM289" s="12" t="n"/>
      <c r="CN289" s="12" t="n"/>
      <c r="CO289" s="12" t="n"/>
      <c r="CP289" s="12" t="n"/>
      <c r="CQ289" s="12" t="n"/>
      <c r="CR289" s="12" t="n"/>
      <c r="CS289" s="12" t="n"/>
      <c r="CT289" s="12" t="n"/>
      <c r="CU289" s="12" t="n"/>
      <c r="CV289" s="12" t="n"/>
      <c r="CW289" s="12" t="n"/>
      <c r="CX289" s="12" t="n"/>
      <c r="CY289" s="12" t="n"/>
    </row>
    <row r="290">
      <c r="C290" s="14" t="n"/>
      <c r="D290" s="12" t="n"/>
      <c r="E290" s="12" t="n"/>
      <c r="F290" s="12" t="n"/>
      <c r="G290" s="12" t="n"/>
      <c r="H290" s="12" t="n"/>
      <c r="I290" s="12" t="n"/>
      <c r="J290" s="12" t="n"/>
      <c r="K290" s="12" t="n"/>
      <c r="L290" s="12" t="n"/>
      <c r="M290" s="12" t="n"/>
      <c r="N290" s="12" t="n"/>
      <c r="O290" s="12" t="n"/>
      <c r="P290" s="12" t="n"/>
      <c r="Q290" s="12" t="n"/>
      <c r="R290" s="12" t="n"/>
      <c r="S290" s="12" t="n"/>
      <c r="T290" s="12" t="n"/>
      <c r="U290" s="12" t="n"/>
      <c r="V290" s="12" t="n"/>
      <c r="W290" s="12" t="n"/>
      <c r="X290" s="12" t="n"/>
      <c r="Y290" s="12" t="n"/>
      <c r="Z290" s="12" t="n"/>
      <c r="AA290" s="12" t="n"/>
      <c r="AB290" s="12" t="n"/>
      <c r="AC290" s="12" t="n"/>
      <c r="AD290" s="12" t="n"/>
      <c r="AE290" s="12" t="n"/>
      <c r="AF290" s="12" t="n"/>
      <c r="AG290" s="12" t="n"/>
      <c r="AH290" s="12" t="n"/>
      <c r="AI290" s="12" t="n"/>
      <c r="AJ290" s="12" t="n"/>
      <c r="AK290" s="12" t="n"/>
      <c r="AL290" s="12" t="n"/>
      <c r="AM290" s="12" t="n"/>
      <c r="AN290" s="12" t="n"/>
      <c r="AO290" s="12" t="n"/>
      <c r="AP290" s="12" t="n"/>
      <c r="AQ290" s="12" t="n"/>
      <c r="AR290" s="12" t="n"/>
      <c r="AS290" s="12" t="n"/>
      <c r="AT290" s="12" t="n"/>
      <c r="AU290" s="12" t="n"/>
      <c r="AV290" s="12" t="n"/>
      <c r="AW290" s="12" t="n"/>
      <c r="AX290" s="12" t="n"/>
      <c r="AY290" s="12" t="n"/>
      <c r="AZ290" s="12" t="n"/>
      <c r="BA290" s="12" t="n"/>
      <c r="BB290" s="12" t="n"/>
      <c r="BC290" s="12" t="n"/>
      <c r="BD290" s="12" t="n"/>
      <c r="BE290" s="12" t="n"/>
      <c r="BF290" s="12" t="n"/>
      <c r="BG290" s="12" t="n"/>
      <c r="BH290" s="12" t="n"/>
      <c r="BI290" s="12" t="n"/>
      <c r="BJ290" s="12" t="n"/>
      <c r="BK290" s="12" t="n"/>
      <c r="BL290" s="12" t="n"/>
      <c r="BM290" s="12" t="n"/>
      <c r="BN290" s="12" t="n"/>
      <c r="BO290" s="12" t="n"/>
      <c r="BP290" s="12" t="n"/>
      <c r="BQ290" s="12" t="n"/>
      <c r="BR290" s="12" t="n"/>
      <c r="BS290" s="12" t="n"/>
      <c r="BT290" s="12" t="n"/>
      <c r="BU290" s="12" t="n"/>
      <c r="BV290" s="12" t="n"/>
      <c r="BW290" s="12" t="n"/>
      <c r="BX290" s="12" t="n"/>
      <c r="BY290" s="12" t="n"/>
      <c r="BZ290" s="12" t="n"/>
      <c r="CA290" s="12" t="n"/>
      <c r="CB290" s="12" t="n"/>
      <c r="CC290" s="12" t="n"/>
      <c r="CD290" s="12" t="n"/>
      <c r="CE290" s="12" t="n"/>
      <c r="CF290" s="12" t="n"/>
      <c r="CG290" s="12" t="n"/>
      <c r="CH290" s="12" t="n"/>
      <c r="CI290" s="12" t="n"/>
      <c r="CJ290" s="12" t="n"/>
      <c r="CK290" s="12" t="n"/>
      <c r="CL290" s="12" t="n"/>
      <c r="CM290" s="12" t="n"/>
      <c r="CN290" s="12" t="n"/>
      <c r="CO290" s="12" t="n"/>
      <c r="CP290" s="12" t="n"/>
      <c r="CQ290" s="12" t="n"/>
      <c r="CR290" s="12" t="n"/>
      <c r="CS290" s="12" t="n"/>
      <c r="CT290" s="12" t="n"/>
      <c r="CU290" s="12" t="n"/>
      <c r="CV290" s="12" t="n"/>
      <c r="CW290" s="12" t="n"/>
      <c r="CX290" s="12" t="n"/>
      <c r="CY290" s="12" t="n"/>
    </row>
    <row r="291">
      <c r="C291" s="10" t="inlineStr">
        <is>
          <t>Purchase of fixed assets (capital expenditures)</t>
        </is>
      </c>
      <c r="D291" s="12" t="n"/>
      <c r="E291" s="12" t="n"/>
      <c r="F291" s="12" t="n"/>
      <c r="G291" s="12" t="n"/>
      <c r="H291" s="12" t="n"/>
      <c r="I291" s="12" t="n"/>
      <c r="J291" s="12">
        <f>-J164</f>
        <v>-6821</v>
      </c>
      <c r="K291" s="12">
        <f>-K164</f>
        <v>-6019</v>
      </c>
      <c r="L291" s="12">
        <f>-L164</f>
        <v>-6183</v>
      </c>
      <c r="M291" s="12" t="n"/>
      <c r="N291" s="12">
        <f>-N164</f>
        <v>-10210</v>
      </c>
      <c r="O291" s="12">
        <f>-O164</f>
        <v>-5703</v>
      </c>
      <c r="P291" s="12">
        <f>-P164</f>
        <v>-6073</v>
      </c>
      <c r="Q291" s="12">
        <f>-Q164</f>
        <v>-8370</v>
      </c>
      <c r="R291" s="12">
        <f>SUM(N291:Q291)</f>
        <v>-30356</v>
      </c>
      <c r="S291" s="12">
        <f>-S164</f>
        <v>-7952</v>
      </c>
      <c r="T291" s="12">
        <f>-T164</f>
        <v>-6927</v>
      </c>
      <c r="U291" s="12">
        <f>-U164</f>
        <v>-8168</v>
      </c>
      <c r="V291" s="12">
        <f>-V164</f>
        <v>-11956</v>
      </c>
      <c r="W291" s="12">
        <f>SUM(S291:V291)</f>
        <v>-35003</v>
      </c>
      <c r="X291" s="12">
        <f>-X164</f>
        <v>-12250</v>
      </c>
      <c r="Y291" s="12">
        <f>-Y164</f>
        <v>-11681</v>
      </c>
      <c r="Z291" s="12">
        <f>-Z164</f>
        <v>-14100</v>
      </c>
      <c r="AA291" s="12">
        <f>-AA164</f>
        <v>-13971</v>
      </c>
      <c r="AB291" s="12">
        <f>SUM(X291:AA291)</f>
        <v>-52002</v>
      </c>
      <c r="AC291" s="12">
        <f>-AC164</f>
        <v>-18513</v>
      </c>
      <c r="AD291" s="12">
        <f>-AD164</f>
        <v>-23167</v>
      </c>
      <c r="AE291" s="12">
        <f>-AE164</f>
        <v>-26167</v>
      </c>
      <c r="AF291" s="12">
        <f>-AF164</f>
        <v>-28850</v>
      </c>
      <c r="AG291" s="12">
        <f>SUM(AC291:AF291)</f>
        <v>-96697</v>
      </c>
      <c r="AH291" s="12">
        <f>-AH164</f>
        <v>-40905</v>
      </c>
      <c r="AI291" s="12">
        <f>-AI164</f>
        <v>-47296</v>
      </c>
      <c r="AJ291" s="12">
        <f>-AJ164</f>
        <v>-35192.535452491</v>
      </c>
      <c r="AK291" s="12">
        <f>-AK164</f>
        <v>-39141.0618687745</v>
      </c>
      <c r="AL291" s="12">
        <f>SUM(AH291:AK291)</f>
        <v>-162534.597321265</v>
      </c>
      <c r="AM291" s="12">
        <f>-AM164</f>
        <v>-37788.6666414608</v>
      </c>
      <c r="AN291" s="12">
        <f>-AN164</f>
        <v>-41192.8651541497</v>
      </c>
      <c r="AO291" s="12">
        <f>-AO164</f>
        <v>-41397.9149538567</v>
      </c>
      <c r="AP291" s="12">
        <f>-AP164</f>
        <v>-46042.6715385316</v>
      </c>
      <c r="AQ291" s="12">
        <f>SUM(AM291:AP291)</f>
        <v>-166422.118287999</v>
      </c>
      <c r="AR291" s="12">
        <f>-AR164</f>
        <v>-44262.8697495613</v>
      </c>
      <c r="AS291" s="12">
        <f>-AS164</f>
        <v>-48250.2979591473</v>
      </c>
      <c r="AT291" s="12">
        <f>-AT164</f>
        <v>-48490.4782402542</v>
      </c>
      <c r="AU291" s="12">
        <f>-AU164</f>
        <v>-53931.0050965343</v>
      </c>
      <c r="AV291" s="12">
        <f>SUM(AR291:AU291)</f>
        <v>-194934.651045497</v>
      </c>
      <c r="AW291" s="12">
        <f>-AW164</f>
        <v>-51624.9616010112</v>
      </c>
      <c r="AX291" s="12">
        <f>-AX164</f>
        <v>-56275.6051171538</v>
      </c>
      <c r="AY291" s="12">
        <f>-AY164</f>
        <v>-56555.7337635706</v>
      </c>
      <c r="AZ291" s="12">
        <f>-AZ164</f>
        <v>-62901.1648581623</v>
      </c>
      <c r="BA291" s="12">
        <f>SUM(AW291:AZ291)</f>
        <v>-227357.465339898</v>
      </c>
      <c r="BB291" s="12">
        <f>-BB164</f>
        <v>-59953.4402212211</v>
      </c>
      <c r="BC291" s="12">
        <f>-BC164</f>
        <v>-65354.3561616566</v>
      </c>
      <c r="BD291" s="12">
        <f>-BD164</f>
        <v>-65679.6770052244</v>
      </c>
      <c r="BE291" s="12">
        <f>-BE164</f>
        <v>-73048.7948119877</v>
      </c>
      <c r="BF291" s="12">
        <f>SUM(BB291:BE291)</f>
        <v>-264036.26820009</v>
      </c>
      <c r="BG291" s="12" t="n"/>
      <c r="BH291" s="12" t="n"/>
      <c r="BI291" s="12" t="n"/>
      <c r="BJ291" s="12" t="n"/>
      <c r="BK291" s="12" t="n"/>
      <c r="BL291" s="12" t="n"/>
      <c r="BM291" s="12" t="n"/>
      <c r="BN291" s="12" t="n"/>
      <c r="BO291" s="12" t="n"/>
      <c r="BP291" s="12" t="n"/>
      <c r="BQ291" s="12" t="n"/>
      <c r="BR291" s="12" t="n"/>
      <c r="BS291" s="12" t="n"/>
      <c r="BT291" s="12" t="n"/>
      <c r="BU291" s="12" t="n"/>
      <c r="BV291" s="12" t="n"/>
      <c r="BW291" s="12" t="n"/>
      <c r="BX291" s="12" t="n"/>
      <c r="BY291" s="12" t="n"/>
      <c r="BZ291" s="12" t="n"/>
      <c r="CA291" s="12" t="n"/>
      <c r="CB291" s="12" t="n"/>
      <c r="CC291" s="12" t="n"/>
      <c r="CD291" s="12" t="n"/>
      <c r="CE291" s="12" t="n"/>
      <c r="CF291" s="12" t="n"/>
      <c r="CG291" s="12" t="n"/>
      <c r="CH291" s="12" t="n"/>
      <c r="CI291" s="12" t="n"/>
      <c r="CJ291" s="12" t="n"/>
      <c r="CK291" s="12" t="n"/>
      <c r="CL291" s="12" t="n"/>
      <c r="CM291" s="12" t="n"/>
      <c r="CN291" s="12" t="n"/>
      <c r="CO291" s="12" t="n"/>
      <c r="CP291" s="12" t="n"/>
      <c r="CQ291" s="12" t="n"/>
      <c r="CR291" s="12" t="n"/>
      <c r="CS291" s="12" t="n"/>
      <c r="CT291" s="12" t="n"/>
      <c r="CU291" s="12" t="n"/>
      <c r="CV291" s="12" t="n"/>
      <c r="CW291" s="12" t="n"/>
      <c r="CX291" s="12" t="n"/>
      <c r="CY291" s="12" t="n"/>
    </row>
    <row r="292">
      <c r="C292" s="10" t="inlineStr">
        <is>
          <t>Proceeds from sale of fixed assets</t>
        </is>
      </c>
      <c r="D292" s="12" t="n"/>
      <c r="E292" s="12" t="n"/>
      <c r="F292" s="12" t="n"/>
      <c r="G292" s="12" t="n"/>
      <c r="H292" s="12" t="n"/>
      <c r="I292" s="12" t="n"/>
      <c r="J292" s="12">
        <f>-J165</f>
        <v>0</v>
      </c>
      <c r="K292" s="12">
        <f>-K165</f>
        <v>0</v>
      </c>
      <c r="L292" s="12">
        <f>-L165</f>
        <v>0</v>
      </c>
      <c r="M292" s="12" t="n"/>
      <c r="N292" s="12">
        <f>-N165</f>
        <v>0</v>
      </c>
      <c r="O292" s="12">
        <f>-O165</f>
        <v>0</v>
      </c>
      <c r="P292" s="12">
        <f>-P165</f>
        <v>0</v>
      </c>
      <c r="Q292" s="12">
        <f>-Q165</f>
        <v>0</v>
      </c>
      <c r="R292" s="12">
        <f>SUM(N292:Q292)</f>
        <v>0</v>
      </c>
      <c r="S292" s="12">
        <f>-S165</f>
        <v>0</v>
      </c>
      <c r="T292" s="12">
        <f>-T165</f>
        <v>0</v>
      </c>
      <c r="U292" s="12">
        <f>-U165</f>
        <v>0</v>
      </c>
      <c r="V292" s="12">
        <f>-V165</f>
        <v>0</v>
      </c>
      <c r="W292" s="12">
        <f>SUM(S292:V292)</f>
        <v>0</v>
      </c>
      <c r="X292" s="12">
        <f>-X165</f>
        <v>0</v>
      </c>
      <c r="Y292" s="12">
        <f>-Y165</f>
        <v>0</v>
      </c>
      <c r="Z292" s="12">
        <f>-Z165</f>
        <v>0</v>
      </c>
      <c r="AA292" s="12">
        <f>-AA165</f>
        <v>0</v>
      </c>
      <c r="AB292" s="12">
        <f>SUM(X292:AA292)</f>
        <v>0</v>
      </c>
      <c r="AC292" s="12">
        <f>-AC165</f>
        <v>0</v>
      </c>
      <c r="AD292" s="12">
        <f>-AD165</f>
        <v>0</v>
      </c>
      <c r="AE292" s="12">
        <f>-AE165</f>
        <v>0</v>
      </c>
      <c r="AF292" s="12">
        <f>-AF165</f>
        <v>0</v>
      </c>
      <c r="AG292" s="12">
        <f>SUM(AC292:AF292)</f>
        <v>0</v>
      </c>
      <c r="AH292" s="12">
        <f>-AH165</f>
        <v>0</v>
      </c>
      <c r="AI292" s="12">
        <f>-AI165</f>
        <v>0</v>
      </c>
      <c r="AJ292" s="12">
        <f>-AJ165</f>
        <v>0</v>
      </c>
      <c r="AK292" s="12">
        <f>-AK165</f>
        <v>0</v>
      </c>
      <c r="AL292" s="12">
        <f>SUM(AH292:AK292)</f>
        <v>0</v>
      </c>
      <c r="AM292" s="12">
        <f>-AM165</f>
        <v>0</v>
      </c>
      <c r="AN292" s="12">
        <f>-AN165</f>
        <v>0</v>
      </c>
      <c r="AO292" s="12">
        <f>-AO165</f>
        <v>0</v>
      </c>
      <c r="AP292" s="12">
        <f>-AP165</f>
        <v>0</v>
      </c>
      <c r="AQ292" s="12">
        <f>SUM(AM292:AP292)</f>
        <v>0</v>
      </c>
      <c r="AR292" s="12">
        <f>-AR165</f>
        <v>0</v>
      </c>
      <c r="AS292" s="12">
        <f>-AS165</f>
        <v>0</v>
      </c>
      <c r="AT292" s="12">
        <f>-AT165</f>
        <v>0</v>
      </c>
      <c r="AU292" s="12">
        <f>-AU165</f>
        <v>0</v>
      </c>
      <c r="AV292" s="12">
        <f>SUM(AR292:AU292)</f>
        <v>0</v>
      </c>
      <c r="AW292" s="12">
        <f>-AW165</f>
        <v>0</v>
      </c>
      <c r="AX292" s="12">
        <f>-AX165</f>
        <v>0</v>
      </c>
      <c r="AY292" s="12">
        <f>-AY165</f>
        <v>0</v>
      </c>
      <c r="AZ292" s="12">
        <f>-AZ165</f>
        <v>0</v>
      </c>
      <c r="BA292" s="12">
        <f>SUM(AW292:AZ292)</f>
        <v>0</v>
      </c>
      <c r="BB292" s="12">
        <f>-BB165</f>
        <v>0</v>
      </c>
      <c r="BC292" s="12">
        <f>-BC165</f>
        <v>0</v>
      </c>
      <c r="BD292" s="12">
        <f>-BD165</f>
        <v>0</v>
      </c>
      <c r="BE292" s="12">
        <f>-BE165</f>
        <v>0</v>
      </c>
      <c r="BF292" s="12">
        <f>SUM(BB292:BE292)</f>
        <v>0</v>
      </c>
      <c r="BG292" s="12" t="n"/>
      <c r="BH292" s="12" t="n"/>
      <c r="BI292" s="12" t="n"/>
      <c r="BJ292" s="12" t="n"/>
      <c r="BK292" s="12" t="n"/>
      <c r="BL292" s="12" t="n"/>
      <c r="BM292" s="12" t="n"/>
      <c r="BN292" s="12" t="n"/>
      <c r="BO292" s="12" t="n"/>
      <c r="BP292" s="12" t="n"/>
      <c r="BQ292" s="12" t="n"/>
      <c r="BR292" s="12" t="n"/>
      <c r="BS292" s="12" t="n"/>
      <c r="BT292" s="12" t="n"/>
      <c r="BU292" s="12" t="n"/>
      <c r="BV292" s="12" t="n"/>
      <c r="BW292" s="12" t="n"/>
      <c r="BX292" s="12" t="n"/>
      <c r="BY292" s="12" t="n"/>
      <c r="BZ292" s="12" t="n"/>
      <c r="CA292" s="12" t="n"/>
      <c r="CB292" s="12" t="n"/>
      <c r="CC292" s="12" t="n"/>
      <c r="CD292" s="12" t="n"/>
      <c r="CE292" s="12" t="n"/>
      <c r="CF292" s="12" t="n"/>
      <c r="CG292" s="12" t="n"/>
      <c r="CH292" s="12" t="n"/>
      <c r="CI292" s="12" t="n"/>
      <c r="CJ292" s="12" t="n"/>
      <c r="CK292" s="12" t="n"/>
      <c r="CL292" s="12" t="n"/>
      <c r="CM292" s="12" t="n"/>
      <c r="CN292" s="12" t="n"/>
      <c r="CO292" s="12" t="n"/>
      <c r="CP292" s="12" t="n"/>
      <c r="CQ292" s="12" t="n"/>
      <c r="CR292" s="12" t="n"/>
      <c r="CS292" s="12" t="n"/>
      <c r="CT292" s="12" t="n"/>
      <c r="CU292" s="12" t="n"/>
      <c r="CV292" s="12" t="n"/>
      <c r="CW292" s="12" t="n"/>
      <c r="CX292" s="12" t="n"/>
      <c r="CY292" s="12" t="n"/>
    </row>
    <row r="293">
      <c r="C293" s="10" t="inlineStr">
        <is>
          <t>Var.Right-of-use-assets</t>
        </is>
      </c>
      <c r="D293" s="12" t="n"/>
      <c r="E293" s="12" t="n"/>
      <c r="F293" s="12" t="n"/>
      <c r="G293" s="12" t="n"/>
      <c r="H293" s="12" t="n"/>
      <c r="I293" s="12" t="n"/>
      <c r="J293" s="12">
        <f>(J172-I172)*-1</f>
        <v>-380</v>
      </c>
      <c r="K293" s="12">
        <f>(K172-J172)*-1</f>
        <v>60</v>
      </c>
      <c r="L293" s="12">
        <f>(L172-K172)*-1</f>
        <v>-41</v>
      </c>
      <c r="M293" s="12" t="n"/>
      <c r="N293" s="12">
        <f>(N172-M172)*-1</f>
        <v>-33</v>
      </c>
      <c r="O293" s="12">
        <f>(O172-N172)*-1</f>
        <v>-406</v>
      </c>
      <c r="P293" s="12">
        <f>(P172-O172)*-1</f>
        <v>-279</v>
      </c>
      <c r="Q293" s="12">
        <f>(Q172-P172)*-1</f>
        <v>-704</v>
      </c>
      <c r="R293" s="12">
        <f>SUM(N293:Q293)</f>
        <v>-1422</v>
      </c>
      <c r="S293" s="12">
        <f>(S172-R172)*-1</f>
        <v>-66</v>
      </c>
      <c r="T293" s="12">
        <f>(T172-S172)*-1</f>
        <v>-22</v>
      </c>
      <c r="U293" s="12">
        <f>(U172-T172)*-1</f>
        <v>270</v>
      </c>
      <c r="V293" s="12">
        <f>(V172-U172)*-1</f>
        <v>108</v>
      </c>
      <c r="W293" s="12">
        <f>SUM(S293:V293)</f>
        <v>290</v>
      </c>
      <c r="X293" s="12">
        <f>(X172-W172)*-1</f>
        <v>323</v>
      </c>
      <c r="Y293" s="12">
        <f>(Y172-X172)*-1</f>
        <v>162</v>
      </c>
      <c r="Z293" s="12">
        <f>(Z172-Y172)*-1</f>
        <v>45</v>
      </c>
      <c r="AA293" s="12">
        <f>(AA172-Z172)*-1</f>
        <v>-27</v>
      </c>
      <c r="AB293" s="12">
        <f>SUM(X293:AA293)</f>
        <v>503</v>
      </c>
      <c r="AC293" s="12">
        <f>(AC172-AB172)*-1</f>
        <v>-134</v>
      </c>
      <c r="AD293" s="12">
        <f>(AD172-AC172)*-1</f>
        <v>-533</v>
      </c>
      <c r="AE293" s="12">
        <f>(AE172-AD172)*-1</f>
        <v>-269</v>
      </c>
      <c r="AF293" s="12">
        <f>(AF172-AE172)*-1</f>
        <v>-697</v>
      </c>
      <c r="AG293" s="12">
        <f>SUM(AC293:AF293)</f>
        <v>-1633</v>
      </c>
      <c r="AH293" s="12">
        <f>(AH172-AG172)*-1</f>
        <v>-288</v>
      </c>
      <c r="AI293" s="12">
        <f>(AI172-AH172)*-1</f>
        <v>-2185</v>
      </c>
      <c r="AJ293" s="12">
        <f>(AJ172-AI172)*-1</f>
        <v>0</v>
      </c>
      <c r="AK293" s="12">
        <f>(AK172-AJ172)*-1</f>
        <v>0</v>
      </c>
      <c r="AL293" s="12">
        <f>SUM(AH293:AK293)</f>
        <v>-2473</v>
      </c>
      <c r="AM293" s="12">
        <f>(AM172-AL172)*-1</f>
        <v>0</v>
      </c>
      <c r="AN293" s="12">
        <f>(AN172-AM172)*-1</f>
        <v>0</v>
      </c>
      <c r="AO293" s="12">
        <f>(AO172-AN172)*-1</f>
        <v>0</v>
      </c>
      <c r="AP293" s="12">
        <f>(AP172-AO172)*-1</f>
        <v>0</v>
      </c>
      <c r="AQ293" s="12">
        <f>SUM(AM293:AP293)</f>
        <v>0</v>
      </c>
      <c r="AR293" s="12">
        <f>(AR172-AQ172)*-1</f>
        <v>0</v>
      </c>
      <c r="AS293" s="12">
        <f>(AS172-AR172)*-1</f>
        <v>0</v>
      </c>
      <c r="AT293" s="12">
        <f>(AT172-AS172)*-1</f>
        <v>0</v>
      </c>
      <c r="AU293" s="12">
        <f>(AU172-AT172)*-1</f>
        <v>0</v>
      </c>
      <c r="AV293" s="12">
        <f>SUM(AR293:AU293)</f>
        <v>0</v>
      </c>
      <c r="AW293" s="12">
        <f>(AW172-AV172)*-1</f>
        <v>0</v>
      </c>
      <c r="AX293" s="12">
        <f>(AX172-AW172)*-1</f>
        <v>0</v>
      </c>
      <c r="AY293" s="12">
        <f>(AY172-AX172)*-1</f>
        <v>0</v>
      </c>
      <c r="AZ293" s="12">
        <f>(AZ172-AY172)*-1</f>
        <v>0</v>
      </c>
      <c r="BA293" s="12">
        <f>SUM(AW293:AZ293)</f>
        <v>0</v>
      </c>
      <c r="BB293" s="12">
        <f>(BB172-BA172)*-1</f>
        <v>0</v>
      </c>
      <c r="BC293" s="12">
        <f>(BC172-BB172)*-1</f>
        <v>0</v>
      </c>
      <c r="BD293" s="12">
        <f>(BD172-BC172)*-1</f>
        <v>0</v>
      </c>
      <c r="BE293" s="12">
        <f>(BE172-BD172)*-1</f>
        <v>0</v>
      </c>
      <c r="BF293" s="12">
        <f>SUM(BB293:BE293)</f>
        <v>0</v>
      </c>
      <c r="BG293" s="12" t="n"/>
      <c r="BH293" s="12" t="n"/>
      <c r="BI293" s="12" t="n"/>
      <c r="BJ293" s="12" t="n"/>
      <c r="BK293" s="12" t="n"/>
      <c r="BL293" s="12" t="n"/>
      <c r="BM293" s="12" t="n"/>
      <c r="BN293" s="12" t="n"/>
      <c r="BO293" s="12" t="n"/>
      <c r="BP293" s="12" t="n"/>
      <c r="BQ293" s="12" t="n"/>
      <c r="BR293" s="12" t="n"/>
      <c r="BS293" s="12" t="n"/>
      <c r="BT293" s="12" t="n"/>
      <c r="BU293" s="12" t="n"/>
      <c r="BV293" s="12" t="n"/>
      <c r="BW293" s="12" t="n"/>
      <c r="BX293" s="12" t="n"/>
      <c r="BY293" s="12" t="n"/>
      <c r="BZ293" s="12" t="n"/>
      <c r="CA293" s="12" t="n"/>
      <c r="CB293" s="12" t="n"/>
      <c r="CC293" s="12" t="n"/>
      <c r="CD293" s="12" t="n"/>
      <c r="CE293" s="12" t="n"/>
      <c r="CF293" s="12" t="n"/>
      <c r="CG293" s="12" t="n"/>
      <c r="CH293" s="12" t="n"/>
      <c r="CI293" s="12" t="n"/>
      <c r="CJ293" s="12" t="n"/>
      <c r="CK293" s="12" t="n"/>
      <c r="CL293" s="12" t="n"/>
      <c r="CM293" s="12" t="n"/>
      <c r="CN293" s="12" t="n"/>
      <c r="CO293" s="12" t="n"/>
      <c r="CP293" s="12" t="n"/>
      <c r="CQ293" s="12" t="n"/>
      <c r="CR293" s="12" t="n"/>
      <c r="CS293" s="12" t="n"/>
      <c r="CT293" s="12" t="n"/>
      <c r="CU293" s="12" t="n"/>
      <c r="CV293" s="12" t="n"/>
      <c r="CW293" s="12" t="n"/>
      <c r="CX293" s="12" t="n"/>
      <c r="CY293" s="12" t="n"/>
      <c r="CZ293" s="12" t="n"/>
      <c r="DA293" s="12" t="n"/>
      <c r="DB293" s="12" t="n"/>
      <c r="DC293" s="12" t="n"/>
    </row>
    <row r="294">
      <c r="C294" s="10" t="inlineStr">
        <is>
          <t>Purchases of intangible assets</t>
        </is>
      </c>
      <c r="D294" s="12" t="n"/>
      <c r="E294" s="12" t="n"/>
      <c r="F294" s="12" t="n"/>
      <c r="G294" s="12" t="n"/>
      <c r="H294" s="12" t="n"/>
      <c r="I294" s="12" t="n"/>
      <c r="J294" s="12">
        <f>((J176-I176)*-1)+((J175-I175)*-1)</f>
        <v>132</v>
      </c>
      <c r="K294" s="12">
        <f>((K176-J176)*-1)+((K175-J175)*-1)</f>
        <v>-140</v>
      </c>
      <c r="L294" s="12">
        <f>((L176-K176)*-1)+((L175-K175)*-1)</f>
        <v>-201</v>
      </c>
      <c r="M294" s="12" t="n"/>
      <c r="N294" s="12">
        <f>((N176-M176)*-1)+((N175-M175)*-1)</f>
        <v>50</v>
      </c>
      <c r="O294" s="12">
        <f>((O176-N176)*-1)+((O175-N175)*-1)</f>
        <v>-1003</v>
      </c>
      <c r="P294" s="12">
        <f>((P176-O176)*-1)+((P175-O175)*-1)</f>
        <v>-5700</v>
      </c>
      <c r="Q294" s="12">
        <f>((Q176-P176)*-1)+((Q175-P175)*-1)</f>
        <v>-18</v>
      </c>
      <c r="R294" s="12">
        <f>SUM(N294:Q294)</f>
        <v>-6671</v>
      </c>
      <c r="S294" s="12">
        <f>((S176-R176)*-1)+((S175-R175)*-1)</f>
        <v>82</v>
      </c>
      <c r="T294" s="12">
        <f>((T176-S176)*-1)+((T175-S175)*-1)</f>
        <v>-214</v>
      </c>
      <c r="U294" s="12">
        <f>((U176-T176)*-1)+((U175-T175)*-1)</f>
        <v>197</v>
      </c>
      <c r="V294" s="12">
        <f>((V176-U176)*-1)+((V175-U175)*-1)</f>
        <v>1781</v>
      </c>
      <c r="W294" s="12">
        <f>SUM(S294:V294)</f>
        <v>1846</v>
      </c>
      <c r="X294" s="12">
        <f>((X176-W176)*-1)+((X175-W175)*-1)</f>
        <v>15</v>
      </c>
      <c r="Y294" s="12">
        <f>((Y176-X176)*-1)+((Y175-X175)*-1)</f>
        <v>-2</v>
      </c>
      <c r="Z294" s="12">
        <f>((Z176-Y176)*-1)+((Z175-Y175)*-1)</f>
        <v>-2750</v>
      </c>
      <c r="AA294" s="12">
        <f>((AA176-Z176)*-1)+((AA175-Z175)*-1)</f>
        <v>50</v>
      </c>
      <c r="AB294" s="12">
        <f>SUM(X294:AA294)</f>
        <v>-2687</v>
      </c>
      <c r="AC294" s="12">
        <f>((AC176-AB176)*-1)+((AC175-AB175)*-1)</f>
        <v>-288</v>
      </c>
      <c r="AD294" s="12">
        <f>((AD176-AC176)*-1)+((AD175-AC175)*-1)</f>
        <v>-162</v>
      </c>
      <c r="AE294" s="12">
        <f>((AE176-AD176)*-1)+((AE175-AD175)*-1)</f>
        <v>-934</v>
      </c>
      <c r="AF294" s="12">
        <f>((AF176-AE176)*-1)+((AF175-AE175)*-1)</f>
        <v>-111</v>
      </c>
      <c r="AG294" s="12">
        <f>SUM(AC294:AF294)</f>
        <v>-1495</v>
      </c>
      <c r="AH294" s="12">
        <f>((AH176-AG176)*-1)+((AH175-AG175)*-1)</f>
        <v>-33838</v>
      </c>
      <c r="AI294" s="12">
        <f>((AI176-AH176)*-1)+((AI175-AH175)*-1)</f>
        <v>285</v>
      </c>
      <c r="AJ294" s="12">
        <f>((AJ176-AI176)*-1)+((AJ175-AI175)*-1)</f>
        <v>0</v>
      </c>
      <c r="AK294" s="12">
        <f>((AK176-AJ176)*-1)+((AK175-AJ175)*-1)</f>
        <v>0</v>
      </c>
      <c r="AL294" s="12">
        <f>SUM(AH294:AK294)</f>
        <v>-33553</v>
      </c>
      <c r="AM294" s="12">
        <f>((AM176-AL176)*-1)+((AM175-AL175)*-1)</f>
        <v>0</v>
      </c>
      <c r="AN294" s="12">
        <f>((AN176-AM176)*-1)+((AN175-AM175)*-1)</f>
        <v>0</v>
      </c>
      <c r="AO294" s="12">
        <f>((AO176-AN176)*-1)+((AO175-AN175)*-1)</f>
        <v>0</v>
      </c>
      <c r="AP294" s="12">
        <f>((AP176-AO176)*-1)+((AP175-AO175)*-1)</f>
        <v>0</v>
      </c>
      <c r="AQ294" s="12">
        <f>SUM(AM294:AP294)</f>
        <v>0</v>
      </c>
      <c r="AR294" s="12">
        <f>((AR176-AQ176)*-1)+((AR175-AQ175)*-1)</f>
        <v>0</v>
      </c>
      <c r="AS294" s="12">
        <f>((AS176-AR176)*-1)+((AS175-AR175)*-1)</f>
        <v>0</v>
      </c>
      <c r="AT294" s="12">
        <f>((AT176-AS176)*-1)+((AT175-AS175)*-1)</f>
        <v>0</v>
      </c>
      <c r="AU294" s="12">
        <f>((AU176-AT176)*-1)+((AU175-AT175)*-1)</f>
        <v>0</v>
      </c>
      <c r="AV294" s="12">
        <f>SUM(AR294:AU294)</f>
        <v>0</v>
      </c>
      <c r="AW294" s="12">
        <f>((AW176-AV176)*-1)+((AW175-AV175)*-1)</f>
        <v>0</v>
      </c>
      <c r="AX294" s="12">
        <f>((AX176-AW176)*-1)+((AX175-AW175)*-1)</f>
        <v>0</v>
      </c>
      <c r="AY294" s="12">
        <f>((AY176-AX176)*-1)+((AY175-AX175)*-1)</f>
        <v>0</v>
      </c>
      <c r="AZ294" s="12">
        <f>((AZ176-AY176)*-1)+((AZ175-AY175)*-1)</f>
        <v>0</v>
      </c>
      <c r="BA294" s="12">
        <f>SUM(AW294:AZ294)</f>
        <v>0</v>
      </c>
      <c r="BB294" s="12">
        <f>((BB176-BA176)*-1)+((BB175-BA175)*-1)</f>
        <v>0</v>
      </c>
      <c r="BC294" s="12">
        <f>((BC176-BB176)*-1)+((BC175-BB175)*-1)</f>
        <v>0</v>
      </c>
      <c r="BD294" s="12">
        <f>((BD176-BC176)*-1)+((BD175-BC175)*-1)</f>
        <v>0</v>
      </c>
      <c r="BE294" s="12">
        <f>((BE176-BD176)*-1)+((BE175-BD175)*-1)</f>
        <v>0</v>
      </c>
      <c r="BF294" s="12">
        <f>SUM(BB294:BE294)</f>
        <v>0</v>
      </c>
      <c r="BG294" s="12" t="n"/>
      <c r="BH294" s="12" t="n"/>
      <c r="BI294" s="12" t="n"/>
      <c r="BJ294" s="12" t="n"/>
      <c r="BK294" s="12" t="n"/>
      <c r="BL294" s="12" t="n"/>
      <c r="BM294" s="12" t="n"/>
      <c r="BN294" s="12" t="n"/>
      <c r="BO294" s="12" t="n"/>
      <c r="BP294" s="12" t="n"/>
      <c r="BQ294" s="12" t="n"/>
      <c r="BR294" s="12" t="n"/>
      <c r="BS294" s="12" t="n"/>
      <c r="BT294" s="12" t="n"/>
      <c r="BU294" s="12" t="n"/>
      <c r="BV294" s="12" t="n"/>
      <c r="BW294" s="12" t="n"/>
      <c r="BX294" s="12" t="n"/>
      <c r="BY294" s="12" t="n"/>
      <c r="BZ294" s="12" t="n"/>
      <c r="CA294" s="12" t="n"/>
      <c r="CB294" s="12" t="n"/>
      <c r="CC294" s="12" t="n"/>
      <c r="CD294" s="12" t="n"/>
      <c r="CE294" s="12" t="n"/>
      <c r="CF294" s="12" t="n"/>
      <c r="CG294" s="12" t="n"/>
      <c r="CH294" s="12" t="n"/>
      <c r="CI294" s="12" t="n"/>
      <c r="CJ294" s="12" t="n"/>
      <c r="CK294" s="12" t="n"/>
      <c r="CL294" s="12" t="n"/>
      <c r="CM294" s="12" t="n"/>
      <c r="CN294" s="12" t="n"/>
      <c r="CO294" s="12" t="n"/>
      <c r="CP294" s="12" t="n"/>
      <c r="CQ294" s="12" t="n"/>
      <c r="CR294" s="12" t="n"/>
      <c r="CS294" s="12" t="n"/>
      <c r="CT294" s="12" t="n"/>
      <c r="CU294" s="12" t="n"/>
      <c r="CV294" s="12" t="n"/>
      <c r="CW294" s="12" t="n"/>
      <c r="CX294" s="12" t="n"/>
      <c r="CY294" s="12" t="n"/>
      <c r="CZ294" s="12" t="n"/>
      <c r="DA294" s="12" t="n"/>
      <c r="DB294" s="12" t="n"/>
      <c r="DC294" s="12" t="n"/>
    </row>
    <row r="295">
      <c r="C295" s="71" t="inlineStr">
        <is>
          <t>Purchases/Proceeds from other long-term assets</t>
        </is>
      </c>
      <c r="D295" s="12" t="n"/>
      <c r="E295" s="12" t="n"/>
      <c r="F295" s="12" t="n"/>
      <c r="G295" s="12" t="n"/>
      <c r="H295" s="12" t="n"/>
      <c r="I295" s="12" t="n"/>
      <c r="J295" s="12">
        <f>((J185-I185)*-1)+(J236-I236)</f>
        <v>-892</v>
      </c>
      <c r="K295" s="12">
        <f>((K185-J185)*-1)+(K236-J236)</f>
        <v>-234</v>
      </c>
      <c r="L295" s="12">
        <f>((L185-K185)*-1)+(L236-K236)</f>
        <v>-4361</v>
      </c>
      <c r="M295" s="12" t="n"/>
      <c r="N295" s="12">
        <f>((N185-M185)*-1)+(N236-M236)</f>
        <v>-1181</v>
      </c>
      <c r="O295" s="12">
        <f>((O185-N185)*-1)+(O236-N236)</f>
        <v>-1145</v>
      </c>
      <c r="P295" s="12">
        <f>((P185-O185)*-1)+(P236-O236)</f>
        <v>768</v>
      </c>
      <c r="Q295" s="12">
        <f>((Q185-P185)*-1)+(Q236-P236)</f>
        <v>-459</v>
      </c>
      <c r="R295" s="12">
        <f>SUM(N295:Q295)</f>
        <v>-2017</v>
      </c>
      <c r="S295" s="12">
        <f>((S185-R185)*-1)+(S236-R236)</f>
        <v>64</v>
      </c>
      <c r="T295" s="12">
        <f>((T185-S185)*-1)+(T236-S236)</f>
        <v>-1914</v>
      </c>
      <c r="U295" s="12">
        <f>((U185-T185)*-1)+(U236-T236)</f>
        <v>-1319</v>
      </c>
      <c r="V295" s="12">
        <f>((V185-U185)*-1)+(V236-U236)</f>
        <v>-1878</v>
      </c>
      <c r="W295" s="12">
        <f>SUM(S295:V295)</f>
        <v>-5047</v>
      </c>
      <c r="X295" s="12">
        <f>((X185-W185)*-1)+(X236-W236)</f>
        <v>-2163</v>
      </c>
      <c r="Y295" s="12">
        <f>((Y185-X185)*-1)+(Y236-X236)</f>
        <v>-1209</v>
      </c>
      <c r="Z295" s="12">
        <f>((Z185-Y185)*-1)+(Z236-Y236)</f>
        <v>-5927</v>
      </c>
      <c r="AA295" s="12">
        <f>((AA185-Z185)*-1)+(AA236-Z236)</f>
        <v>-23</v>
      </c>
      <c r="AB295" s="12">
        <f>SUM(X295:AA295)</f>
        <v>-9322</v>
      </c>
      <c r="AC295" s="12">
        <f>((AC185-AB185)*-1)+(AC236-AB236)</f>
        <v>-8710</v>
      </c>
      <c r="AD295" s="12">
        <f>((AD185-AC185)*-1)+(AD236-AC236)</f>
        <v>-2369</v>
      </c>
      <c r="AE295" s="12">
        <f>((AE185-AD185)*-1)+(AE236-AD236)</f>
        <v>-13813</v>
      </c>
      <c r="AF295" s="12">
        <f>((AF185-AE185)*-1)+(AF236-AE236)</f>
        <v>-2680</v>
      </c>
      <c r="AG295" s="12">
        <f>SUM(AC295:AF295)</f>
        <v>-27572</v>
      </c>
      <c r="AH295" s="12">
        <f>((AH185-AG185)*-1)+(AH236-AG236)</f>
        <v>-33971</v>
      </c>
      <c r="AI295" s="12">
        <f>((AI185-AH185)*-1)+(AI236-AH236)</f>
        <v>-50432</v>
      </c>
      <c r="AJ295" s="12">
        <f>((AJ185-AI185)*-1)+(AJ236-AI236)</f>
        <v>0</v>
      </c>
      <c r="AK295" s="12">
        <f>((AK185-AJ185)*-1)+(AK236-AJ236)</f>
        <v>0</v>
      </c>
      <c r="AL295" s="12">
        <f>SUM(AH295:AK295)</f>
        <v>-84403</v>
      </c>
      <c r="AM295" s="12">
        <f>((AM185-AL185)*-1)+(AM236-AL236)</f>
        <v>0</v>
      </c>
      <c r="AN295" s="12">
        <f>((AN185-AM185)*-1)+(AN236-AM236)</f>
        <v>0</v>
      </c>
      <c r="AO295" s="12">
        <f>((AO185-AN185)*-1)+(AO236-AN236)</f>
        <v>0</v>
      </c>
      <c r="AP295" s="12">
        <f>((AP185-AO185)*-1)+(AP236-AO236)</f>
        <v>0</v>
      </c>
      <c r="AQ295" s="12">
        <f>SUM(AM295:AP295)</f>
        <v>0</v>
      </c>
      <c r="AR295" s="12">
        <f>((AR185-AQ185)*-1)+(AR236-AQ236)</f>
        <v>0</v>
      </c>
      <c r="AS295" s="12">
        <f>((AS185-AR185)*-1)+(AS236-AR236)</f>
        <v>0</v>
      </c>
      <c r="AT295" s="12">
        <f>((AT185-AS185)*-1)+(AT236-AS236)</f>
        <v>0</v>
      </c>
      <c r="AU295" s="12">
        <f>((AU185-AT185)*-1)+(AU236-AT236)</f>
        <v>0</v>
      </c>
      <c r="AV295" s="12">
        <f>SUM(AR295:AU295)</f>
        <v>0</v>
      </c>
      <c r="AW295" s="12">
        <f>((AW185-AV185)*-1)+(AW236-AV236)</f>
        <v>0</v>
      </c>
      <c r="AX295" s="12">
        <f>((AX185-AW185)*-1)+(AX236-AW236)</f>
        <v>0</v>
      </c>
      <c r="AY295" s="12">
        <f>((AY185-AX185)*-1)+(AY236-AX236)</f>
        <v>0</v>
      </c>
      <c r="AZ295" s="12">
        <f>((AZ185-AY185)*-1)+(AZ236-AY236)</f>
        <v>0</v>
      </c>
      <c r="BA295" s="12">
        <f>SUM(AW295:AZ295)</f>
        <v>0</v>
      </c>
      <c r="BB295" s="12">
        <f>((BB185-BA185)*-1)+(BB236-BA236)</f>
        <v>0</v>
      </c>
      <c r="BC295" s="12">
        <f>((BC185-BB185)*-1)+(BC236-BB236)</f>
        <v>0</v>
      </c>
      <c r="BD295" s="12">
        <f>((BD185-BC185)*-1)+(BD236-BC236)</f>
        <v>0</v>
      </c>
      <c r="BE295" s="12">
        <f>((BE185-BD185)*-1)+(BE236-BD236)</f>
        <v>0</v>
      </c>
      <c r="BF295" s="12">
        <f>SUM(BB295:BE295)</f>
        <v>0</v>
      </c>
      <c r="BG295" s="12" t="n"/>
      <c r="BH295" s="12" t="n"/>
      <c r="BI295" s="12" t="n"/>
      <c r="BJ295" s="12" t="n"/>
      <c r="BK295" s="12" t="n"/>
      <c r="BL295" s="12" t="n"/>
      <c r="BM295" s="12" t="n"/>
      <c r="BN295" s="12" t="n"/>
      <c r="BO295" s="12" t="n"/>
      <c r="BP295" s="12" t="n"/>
      <c r="BQ295" s="12" t="n"/>
      <c r="BR295" s="12" t="n"/>
      <c r="BS295" s="12" t="n"/>
      <c r="BT295" s="12" t="n"/>
      <c r="BU295" s="12" t="n"/>
      <c r="BV295" s="12" t="n"/>
      <c r="BW295" s="12" t="n"/>
      <c r="BX295" s="12" t="n"/>
      <c r="BY295" s="12" t="n"/>
      <c r="BZ295" s="12" t="n"/>
      <c r="CA295" s="12" t="n"/>
      <c r="CB295" s="12" t="n"/>
      <c r="CC295" s="12" t="n"/>
      <c r="CD295" s="12" t="n"/>
      <c r="CE295" s="12" t="n"/>
      <c r="CF295" s="12" t="n"/>
      <c r="CG295" s="12" t="n"/>
      <c r="CH295" s="12" t="n"/>
      <c r="CI295" s="12" t="n"/>
      <c r="CJ295" s="12" t="n"/>
      <c r="CK295" s="12" t="n"/>
      <c r="CL295" s="12" t="n"/>
      <c r="CM295" s="12" t="n"/>
      <c r="CN295" s="12" t="n"/>
      <c r="CO295" s="12" t="n"/>
      <c r="CP295" s="12" t="n"/>
      <c r="CQ295" s="12" t="n"/>
      <c r="CR295" s="12" t="n"/>
      <c r="CS295" s="12" t="n"/>
      <c r="CT295" s="12" t="n"/>
      <c r="CU295" s="12" t="n"/>
      <c r="CV295" s="12" t="n"/>
      <c r="CW295" s="12" t="n"/>
      <c r="CX295" s="12" t="n"/>
      <c r="CY295" s="12" t="n"/>
    </row>
    <row r="296">
      <c r="C296" s="14" t="inlineStr">
        <is>
          <t>Cash from investing</t>
        </is>
      </c>
      <c r="D296" s="12" t="n"/>
      <c r="E296" s="12" t="n"/>
      <c r="F296" s="12" t="n"/>
      <c r="G296" s="12" t="n"/>
      <c r="H296" s="12" t="n"/>
      <c r="I296" s="12" t="n"/>
      <c r="J296" s="12">
        <f>SUM(J291,J292,J294,J295,J293)</f>
        <v>-7961</v>
      </c>
      <c r="K296" s="12">
        <f>SUM(K291,K292,K294,K295,K293)</f>
        <v>-6333</v>
      </c>
      <c r="L296" s="12">
        <f>SUM(L291,L292,L294,L295,L293)</f>
        <v>-10786</v>
      </c>
      <c r="M296" s="12" t="n"/>
      <c r="N296" s="12">
        <f>SUM(N291,N292,N294,N295,N293)</f>
        <v>-11374</v>
      </c>
      <c r="O296" s="12">
        <f>SUM(O291,O292,O294,O295,O293)</f>
        <v>-8257</v>
      </c>
      <c r="P296" s="12">
        <f>SUM(P291,P292,P294,P295,P293)</f>
        <v>-11284</v>
      </c>
      <c r="Q296" s="12">
        <f>SUM(Q291,Q292,Q294,Q295,Q293)</f>
        <v>-9551</v>
      </c>
      <c r="R296" s="12">
        <f>SUM(R291,R292,R294,R295)</f>
        <v>-39044</v>
      </c>
      <c r="S296" s="12">
        <f>SUM(S291,S292,S294,S295,S293)</f>
        <v>-7872</v>
      </c>
      <c r="T296" s="12">
        <f>SUM(T291,T292,T294,T295,T293)</f>
        <v>-9077</v>
      </c>
      <c r="U296" s="12">
        <f>SUM(U291,U292,U294,U295,U293)</f>
        <v>-9020</v>
      </c>
      <c r="V296" s="12">
        <f>SUM(V291,V292,V294,V295,V293)</f>
        <v>-11945</v>
      </c>
      <c r="W296" s="12">
        <f>SUM(W291,W292,W294,W295)</f>
        <v>-38204</v>
      </c>
      <c r="X296" s="12">
        <f>SUM(X291,X292,X294,X295,X293)</f>
        <v>-14075</v>
      </c>
      <c r="Y296" s="12">
        <f>SUM(Y291,Y292,Y294,Y295,Y293)</f>
        <v>-12730</v>
      </c>
      <c r="Z296" s="12">
        <f>SUM(Z291,Z292,Z294,Z295,Z293)</f>
        <v>-22732</v>
      </c>
      <c r="AA296" s="12">
        <f>SUM(AA291,AA292,AA294,AA295,AA293)</f>
        <v>-13971</v>
      </c>
      <c r="AB296" s="12">
        <f>SUM(AB291,AB292,AB294,AB295)</f>
        <v>-64011</v>
      </c>
      <c r="AC296" s="12">
        <f>SUM(AC291,AC292,AC294,AC295,AC293)</f>
        <v>-27645</v>
      </c>
      <c r="AD296" s="12">
        <f>SUM(AD291,AD292,AD294,AD295,AD293)</f>
        <v>-26231</v>
      </c>
      <c r="AE296" s="12">
        <f>SUM(AE291,AE292,AE294,AE295,AE293)</f>
        <v>-41183</v>
      </c>
      <c r="AF296" s="12">
        <f>SUM(AF291,AF292,AF294,AF295,AF293)</f>
        <v>-32338</v>
      </c>
      <c r="AG296" s="12">
        <f>SUM(AG291,AG292,AG294,AG295)</f>
        <v>-125764</v>
      </c>
      <c r="AH296" s="12">
        <f>SUM(AH291,AH292,AH294,AH295,AH293)</f>
        <v>-109002</v>
      </c>
      <c r="AI296" s="12">
        <f>SUM(AI291,AI292,AI294,AI295,AI293)</f>
        <v>-99628</v>
      </c>
      <c r="AJ296" s="12">
        <f>SUM(AJ291,AJ292,AJ294,AJ295,AJ293)</f>
        <v>-35192.535452491</v>
      </c>
      <c r="AK296" s="12">
        <f>SUM(AK291,AK292,AK294,AK295,AK293)</f>
        <v>-39141.0618687745</v>
      </c>
      <c r="AL296" s="12">
        <f>SUM(AL291,AL292,AL294,AL295)</f>
        <v>-280490.597321265</v>
      </c>
      <c r="AM296" s="12">
        <f>SUM(AM291,AM292,AM294,AM295,AM293)</f>
        <v>-37788.6666414608</v>
      </c>
      <c r="AN296" s="12">
        <f>SUM(AN291,AN292,AN294,AN295,AN293)</f>
        <v>-41192.8651541497</v>
      </c>
      <c r="AO296" s="12">
        <f>SUM(AO291,AO292,AO294,AO295,AO293)</f>
        <v>-41397.9149538567</v>
      </c>
      <c r="AP296" s="12">
        <f>SUM(AP291,AP292,AP294,AP295,AP293)</f>
        <v>-46042.6715385316</v>
      </c>
      <c r="AQ296" s="12">
        <f>SUM(AQ291,AQ292,AQ294,AQ295)</f>
        <v>-166422.118287999</v>
      </c>
      <c r="AR296" s="12">
        <f>SUM(AR291,AR292,AR294,AR295,AR293)</f>
        <v>-44262.8697495613</v>
      </c>
      <c r="AS296" s="12">
        <f>SUM(AS291,AS292,AS294,AS295,AS293)</f>
        <v>-48250.2979591473</v>
      </c>
      <c r="AT296" s="12">
        <f>SUM(AT291,AT292,AT294,AT295,AT293)</f>
        <v>-48490.4782402542</v>
      </c>
      <c r="AU296" s="12">
        <f>SUM(AU291,AU292,AU294,AU295,AU293)</f>
        <v>-53931.0050965343</v>
      </c>
      <c r="AV296" s="12">
        <f>SUM(AV291,AV292,AV294,AV295)</f>
        <v>-194934.651045497</v>
      </c>
      <c r="AW296" s="12">
        <f>SUM(AW291,AW292,AW294,AW295,AW293)</f>
        <v>-51624.9616010112</v>
      </c>
      <c r="AX296" s="12">
        <f>SUM(AX291,AX292,AX294,AX295,AX293)</f>
        <v>-56275.6051171538</v>
      </c>
      <c r="AY296" s="12">
        <f>SUM(AY291,AY292,AY294,AY295,AY293)</f>
        <v>-56555.7337635706</v>
      </c>
      <c r="AZ296" s="12">
        <f>SUM(AZ291,AZ292,AZ294,AZ295,AZ293)</f>
        <v>-62901.1648581623</v>
      </c>
      <c r="BA296" s="12">
        <f>SUM(BA291,BA292,BA294,BA295)</f>
        <v>-227357.465339898</v>
      </c>
      <c r="BB296" s="12">
        <f>SUM(BB291,BB292,BB294,BB295,BB293)</f>
        <v>-59953.4402212211</v>
      </c>
      <c r="BC296" s="12">
        <f>SUM(BC291,BC292,BC294,BC295,BC293)</f>
        <v>-65354.3561616566</v>
      </c>
      <c r="BD296" s="12">
        <f>SUM(BD291,BD292,BD294,BD295,BD293)</f>
        <v>-65679.6770052244</v>
      </c>
      <c r="BE296" s="12">
        <f>SUM(BE291,BE292,BE294,BE295,BE293)</f>
        <v>-73048.7948119877</v>
      </c>
      <c r="BF296" s="12">
        <f>SUM(BF291,BF292,BF294,BF295)</f>
        <v>-264036.26820009</v>
      </c>
      <c r="BG296" s="12" t="n"/>
      <c r="BH296" s="12" t="n"/>
      <c r="BI296" s="12" t="n"/>
      <c r="BJ296" s="12" t="n"/>
      <c r="BK296" s="12" t="n"/>
      <c r="BL296" s="12" t="n"/>
      <c r="BM296" s="12" t="n"/>
      <c r="BN296" s="12" t="n"/>
      <c r="BO296" s="12" t="n"/>
      <c r="BP296" s="12" t="n"/>
      <c r="BQ296" s="12" t="n"/>
      <c r="BR296" s="12" t="n"/>
      <c r="BS296" s="12" t="n"/>
      <c r="BT296" s="12" t="n"/>
      <c r="BU296" s="12" t="n"/>
      <c r="BV296" s="12" t="n"/>
      <c r="BW296" s="12" t="n"/>
      <c r="BX296" s="12" t="n"/>
      <c r="BY296" s="12" t="n"/>
      <c r="BZ296" s="12" t="n"/>
      <c r="CA296" s="12" t="n"/>
      <c r="CB296" s="12" t="n"/>
      <c r="CC296" s="12" t="n"/>
      <c r="CD296" s="12" t="n"/>
      <c r="CE296" s="12" t="n"/>
      <c r="CF296" s="12" t="n"/>
      <c r="CG296" s="12" t="n"/>
      <c r="CH296" s="12" t="n"/>
      <c r="CI296" s="12" t="n"/>
      <c r="CJ296" s="12" t="n"/>
      <c r="CK296" s="12" t="n"/>
      <c r="CL296" s="12" t="n"/>
      <c r="CM296" s="12" t="n"/>
      <c r="CN296" s="12" t="n"/>
      <c r="CO296" s="12" t="n"/>
      <c r="CP296" s="12" t="n"/>
      <c r="CQ296" s="12" t="n"/>
      <c r="CR296" s="12" t="n"/>
      <c r="CS296" s="12" t="n"/>
      <c r="CT296" s="12" t="n"/>
      <c r="CU296" s="12" t="n"/>
      <c r="CV296" s="12" t="n"/>
      <c r="CW296" s="12" t="n"/>
      <c r="CX296" s="12" t="n"/>
      <c r="CY296" s="12" t="n"/>
    </row>
    <row r="297">
      <c r="C297" s="14" t="n"/>
      <c r="D297" s="12" t="n"/>
      <c r="E297" s="12" t="n"/>
      <c r="F297" s="12" t="n"/>
      <c r="G297" s="12" t="n"/>
      <c r="H297" s="12" t="n"/>
      <c r="I297" s="12" t="n"/>
      <c r="J297" s="12" t="n"/>
      <c r="K297" s="12" t="n"/>
      <c r="L297" s="12" t="n"/>
      <c r="M297" s="12" t="n"/>
      <c r="N297" s="12" t="n"/>
      <c r="O297" s="12" t="n"/>
      <c r="P297" s="12" t="n"/>
      <c r="Q297" s="12" t="n"/>
      <c r="R297" s="12" t="n"/>
      <c r="S297" s="12" t="n"/>
      <c r="T297" s="12" t="n"/>
      <c r="U297" s="12" t="n"/>
      <c r="V297" s="12" t="n"/>
      <c r="W297" s="12" t="n"/>
      <c r="X297" s="12" t="n"/>
      <c r="Y297" s="12" t="n"/>
      <c r="Z297" s="12" t="n"/>
      <c r="AA297" s="12" t="n"/>
      <c r="AB297" s="12" t="n"/>
      <c r="AC297" s="12" t="n"/>
      <c r="AD297" s="12" t="n"/>
      <c r="AE297" s="12" t="n"/>
      <c r="AF297" s="12" t="n"/>
      <c r="AG297" s="12" t="n"/>
      <c r="AH297" s="12" t="n"/>
      <c r="AI297" s="12" t="n"/>
      <c r="AJ297" s="12" t="n"/>
      <c r="AK297" s="12" t="n"/>
      <c r="AL297" s="12" t="n"/>
      <c r="AM297" s="12" t="n"/>
      <c r="AN297" s="12" t="n"/>
      <c r="AO297" s="12" t="n"/>
      <c r="AP297" s="12" t="n"/>
      <c r="AQ297" s="12" t="n"/>
      <c r="AR297" s="12" t="n"/>
      <c r="AS297" s="12" t="n"/>
      <c r="AT297" s="12" t="n"/>
      <c r="AU297" s="12" t="n"/>
      <c r="AV297" s="12" t="n"/>
      <c r="AW297" s="12" t="n"/>
      <c r="AX297" s="12" t="n"/>
      <c r="AY297" s="12" t="n"/>
      <c r="AZ297" s="12" t="n"/>
      <c r="BA297" s="12" t="n"/>
      <c r="BB297" s="12" t="n"/>
      <c r="BC297" s="12" t="n"/>
      <c r="BD297" s="12" t="n"/>
      <c r="BE297" s="12" t="n"/>
      <c r="BF297" s="12" t="n"/>
      <c r="BG297" s="12" t="n"/>
      <c r="BH297" s="12" t="n"/>
      <c r="BI297" s="12" t="n"/>
      <c r="BJ297" s="12" t="n"/>
      <c r="BK297" s="12" t="n"/>
      <c r="BL297" s="12" t="n"/>
      <c r="BM297" s="12" t="n"/>
      <c r="BN297" s="12" t="n"/>
      <c r="BO297" s="12" t="n"/>
      <c r="BP297" s="12" t="n"/>
      <c r="BQ297" s="12" t="n"/>
      <c r="BR297" s="12" t="n"/>
      <c r="BS297" s="12" t="n"/>
      <c r="BT297" s="12" t="n"/>
      <c r="BU297" s="12" t="n"/>
      <c r="BV297" s="12" t="n"/>
      <c r="BW297" s="12" t="n"/>
      <c r="BX297" s="12" t="n"/>
      <c r="BY297" s="12" t="n"/>
      <c r="BZ297" s="12" t="n"/>
      <c r="CA297" s="12" t="n"/>
      <c r="CB297" s="12" t="n"/>
      <c r="CC297" s="12" t="n"/>
      <c r="CD297" s="12" t="n"/>
      <c r="CE297" s="12" t="n"/>
      <c r="CF297" s="12" t="n"/>
      <c r="CG297" s="12" t="n"/>
      <c r="CH297" s="12" t="n"/>
      <c r="CI297" s="12" t="n"/>
      <c r="CJ297" s="12" t="n"/>
      <c r="CK297" s="12" t="n"/>
      <c r="CL297" s="12" t="n"/>
      <c r="CM297" s="12" t="n"/>
      <c r="CN297" s="12" t="n"/>
      <c r="CO297" s="12" t="n"/>
      <c r="CP297" s="12" t="n"/>
      <c r="CQ297" s="12" t="n"/>
      <c r="CR297" s="12" t="n"/>
      <c r="CS297" s="12" t="n"/>
      <c r="CT297" s="12" t="n"/>
      <c r="CU297" s="12" t="n"/>
      <c r="CV297" s="12" t="n"/>
      <c r="CW297" s="12" t="n"/>
      <c r="CX297" s="12" t="n"/>
      <c r="CY297" s="12" t="n"/>
    </row>
    <row r="298">
      <c r="C298" s="14" t="inlineStr">
        <is>
          <t>Convertible preferred stock</t>
        </is>
      </c>
      <c r="D298" s="12" t="n"/>
      <c r="E298" s="12" t="n"/>
      <c r="F298" s="12" t="n"/>
      <c r="G298" s="12" t="n"/>
      <c r="H298" s="12" t="n"/>
      <c r="I298" s="12" t="n"/>
      <c r="J298" s="12">
        <f>J249-I249</f>
        <v>0</v>
      </c>
      <c r="K298" s="12">
        <f>K249-J249</f>
        <v>0</v>
      </c>
      <c r="L298" s="12">
        <f>L249-K249</f>
        <v>0</v>
      </c>
      <c r="M298" s="12" t="n"/>
      <c r="N298" s="12">
        <f>N249-M249</f>
        <v>0</v>
      </c>
      <c r="O298" s="12">
        <f>O249-N249</f>
        <v>0</v>
      </c>
      <c r="P298" s="12">
        <f>P249-O249</f>
        <v>0</v>
      </c>
      <c r="Q298" s="12">
        <f>Q249-P249</f>
        <v>0</v>
      </c>
      <c r="R298" s="12">
        <f>SUM(N298:Q298)</f>
        <v>0</v>
      </c>
      <c r="S298" s="12">
        <f>S249-R249</f>
        <v>0</v>
      </c>
      <c r="T298" s="12">
        <f>T249-S249</f>
        <v>0</v>
      </c>
      <c r="U298" s="12">
        <f>U249-T249</f>
        <v>0</v>
      </c>
      <c r="V298" s="12">
        <f>V249-U249</f>
        <v>0</v>
      </c>
      <c r="W298" s="12">
        <f>SUM(S298:V298)</f>
        <v>0</v>
      </c>
      <c r="X298" s="12">
        <f>X249-W249</f>
        <v>0</v>
      </c>
      <c r="Y298" s="12">
        <f>Y249-X249</f>
        <v>0</v>
      </c>
      <c r="Z298" s="12">
        <f>Z249-Y249</f>
        <v>0</v>
      </c>
      <c r="AA298" s="12">
        <f>AA249-Z249</f>
        <v>0</v>
      </c>
      <c r="AB298" s="12">
        <f>SUM(X298:AA298)</f>
        <v>0</v>
      </c>
      <c r="AC298" s="12">
        <f>AC249-AB249</f>
        <v>0</v>
      </c>
      <c r="AD298" s="12">
        <f>AD249-AC249</f>
        <v>0</v>
      </c>
      <c r="AE298" s="12">
        <f>AE249-AD249</f>
        <v>0</v>
      </c>
      <c r="AF298" s="12">
        <f>AF249-AE249</f>
        <v>0</v>
      </c>
      <c r="AG298" s="12">
        <f>SUM(AC298:AF298)</f>
        <v>0</v>
      </c>
      <c r="AH298" s="12">
        <f>AH249-AG249</f>
        <v>0</v>
      </c>
      <c r="AI298" s="12">
        <f>AI249-AH249</f>
        <v>0</v>
      </c>
      <c r="AJ298" s="12">
        <f>AJ249-AI249</f>
        <v>0</v>
      </c>
      <c r="AK298" s="12">
        <f>AK249-AJ249</f>
        <v>0</v>
      </c>
      <c r="AL298" s="12">
        <f>SUM(AH298:AK298)</f>
        <v>0</v>
      </c>
      <c r="AM298" s="12">
        <f>AM249-AL249</f>
        <v>0</v>
      </c>
      <c r="AN298" s="12">
        <f>AN249-AM249</f>
        <v>0</v>
      </c>
      <c r="AO298" s="12">
        <f>AO249-AN249</f>
        <v>0</v>
      </c>
      <c r="AP298" s="12">
        <f>AP249-AO249</f>
        <v>0</v>
      </c>
      <c r="AQ298" s="12">
        <f>SUM(AM298:AP298)</f>
        <v>0</v>
      </c>
      <c r="AR298" s="12">
        <f>AR249-AQ249</f>
        <v>0</v>
      </c>
      <c r="AS298" s="12">
        <f>AS249-AR249</f>
        <v>0</v>
      </c>
      <c r="AT298" s="12">
        <f>AT249-AS249</f>
        <v>0</v>
      </c>
      <c r="AU298" s="12">
        <f>AU249-AT249</f>
        <v>0</v>
      </c>
      <c r="AV298" s="12">
        <f>SUM(AR298:AU298)</f>
        <v>0</v>
      </c>
      <c r="AW298" s="12">
        <f>AW249-AV249</f>
        <v>0</v>
      </c>
      <c r="AX298" s="12">
        <f>AX249-AW249</f>
        <v>0</v>
      </c>
      <c r="AY298" s="12">
        <f>AY249-AX249</f>
        <v>0</v>
      </c>
      <c r="AZ298" s="12">
        <f>AZ249-AY249</f>
        <v>0</v>
      </c>
      <c r="BA298" s="12">
        <f>SUM(AW298:AZ298)</f>
        <v>0</v>
      </c>
      <c r="BB298" s="12">
        <f>BB249-BA249</f>
        <v>0</v>
      </c>
      <c r="BC298" s="12">
        <f>BC249-BB249</f>
        <v>0</v>
      </c>
      <c r="BD298" s="12">
        <f>BD249-BC249</f>
        <v>0</v>
      </c>
      <c r="BE298" s="12">
        <f>BE249-BD249</f>
        <v>0</v>
      </c>
      <c r="BF298" s="12">
        <f>SUM(BB298:BE298)</f>
        <v>0</v>
      </c>
      <c r="BG298" s="12" t="n"/>
      <c r="BH298" s="12" t="n"/>
      <c r="BI298" s="12" t="n"/>
      <c r="BJ298" s="12" t="n"/>
      <c r="BK298" s="12" t="n"/>
      <c r="BL298" s="12" t="n"/>
      <c r="BM298" s="12" t="n"/>
      <c r="BN298" s="12" t="n"/>
      <c r="BO298" s="12" t="n"/>
      <c r="BP298" s="12" t="n"/>
      <c r="BQ298" s="12" t="n"/>
      <c r="BR298" s="12" t="n"/>
      <c r="BS298" s="12" t="n"/>
      <c r="BT298" s="12" t="n"/>
      <c r="BU298" s="12" t="n"/>
      <c r="BV298" s="12" t="n"/>
      <c r="BW298" s="12" t="n"/>
      <c r="BX298" s="12" t="n"/>
      <c r="BY298" s="12" t="n"/>
      <c r="BZ298" s="12" t="n"/>
      <c r="CA298" s="12" t="n"/>
      <c r="CB298" s="12" t="n"/>
      <c r="CC298" s="12" t="n"/>
      <c r="CD298" s="12" t="n"/>
      <c r="CE298" s="12" t="n"/>
      <c r="CF298" s="12" t="n"/>
      <c r="CG298" s="12" t="n"/>
      <c r="CH298" s="12" t="n"/>
      <c r="CI298" s="12" t="n"/>
      <c r="CJ298" s="12" t="n"/>
      <c r="CK298" s="12" t="n"/>
      <c r="CL298" s="12" t="n"/>
      <c r="CM298" s="12" t="n"/>
      <c r="CN298" s="12" t="n"/>
      <c r="CO298" s="12" t="n"/>
      <c r="CP298" s="12" t="n"/>
      <c r="CQ298" s="12" t="n"/>
      <c r="CR298" s="12" t="n"/>
      <c r="CS298" s="12" t="n"/>
      <c r="CT298" s="12" t="n"/>
      <c r="CU298" s="12" t="n"/>
      <c r="CV298" s="12" t="n"/>
      <c r="CW298" s="12" t="n"/>
      <c r="CX298" s="12" t="n"/>
      <c r="CY298" s="12" t="n"/>
    </row>
    <row r="299">
      <c r="C299" s="14" t="inlineStr">
        <is>
          <t>Common stock and APIC</t>
        </is>
      </c>
      <c r="D299" s="12" t="n"/>
      <c r="E299" s="12" t="n"/>
      <c r="F299" s="12" t="n"/>
      <c r="G299" s="12" t="n"/>
      <c r="H299" s="12" t="n"/>
      <c r="I299" s="12" t="n"/>
      <c r="J299" s="12">
        <f>J250-I250</f>
        <v>1000</v>
      </c>
      <c r="K299" s="12">
        <f>K250-J250</f>
        <v>757</v>
      </c>
      <c r="L299" s="12">
        <f>L250-K250</f>
        <v>581</v>
      </c>
      <c r="M299" s="12" t="n"/>
      <c r="N299" s="12">
        <f>N250-M250</f>
        <v>1058</v>
      </c>
      <c r="O299" s="12">
        <f>O250-N250</f>
        <v>1570</v>
      </c>
      <c r="P299" s="12">
        <f>P250-O250</f>
        <v>1856</v>
      </c>
      <c r="Q299" s="12">
        <f>Q250-P250</f>
        <v>1926</v>
      </c>
      <c r="R299" s="12">
        <f>SUM(N299:Q299)</f>
        <v>6410</v>
      </c>
      <c r="S299" s="12">
        <f>S250-R250</f>
        <v>2085</v>
      </c>
      <c r="T299" s="12">
        <f>T250-S250</f>
        <v>1979</v>
      </c>
      <c r="U299" s="12">
        <f>U250-T250</f>
        <v>2343</v>
      </c>
      <c r="V299" s="12">
        <f>V250-U250</f>
        <v>1943</v>
      </c>
      <c r="W299" s="12">
        <f>SUM(S299:V299)</f>
        <v>8350</v>
      </c>
      <c r="X299" s="12">
        <f>X250-W250</f>
        <v>1379</v>
      </c>
      <c r="Y299" s="12">
        <f>Y250-X250</f>
        <v>1819</v>
      </c>
      <c r="Z299" s="12">
        <f>Z250-Y250</f>
        <v>2298</v>
      </c>
      <c r="AA299" s="12">
        <f>AA250-Z250</f>
        <v>2770</v>
      </c>
      <c r="AB299" s="12">
        <f>SUM(X299:AA299)</f>
        <v>8266</v>
      </c>
      <c r="AC299" s="12">
        <f>AC250-AB250</f>
        <v>1925</v>
      </c>
      <c r="AD299" s="12">
        <f>AD250-AC250</f>
        <v>2558</v>
      </c>
      <c r="AE299" s="12">
        <f>AE250-AD250</f>
        <v>2412</v>
      </c>
      <c r="AF299" s="12">
        <f>AF250-AE250</f>
        <v>1431</v>
      </c>
      <c r="AG299" s="12">
        <f>SUM(AC299:AF299)</f>
        <v>8326</v>
      </c>
      <c r="AH299" s="12">
        <f>AH250-AG250</f>
        <v>3776</v>
      </c>
      <c r="AI299" s="12">
        <f>AI250-AH250</f>
        <v>34469</v>
      </c>
      <c r="AJ299" s="12">
        <f>AJ250-AI250</f>
        <v>0</v>
      </c>
      <c r="AK299" s="12">
        <f>AK250-AJ250</f>
        <v>0</v>
      </c>
      <c r="AL299" s="12">
        <f>SUM(AH299:AK299)</f>
        <v>38245</v>
      </c>
      <c r="AM299" s="12">
        <f>AM250-AL250</f>
        <v>0</v>
      </c>
      <c r="AN299" s="12">
        <f>AN250-AM250</f>
        <v>0</v>
      </c>
      <c r="AO299" s="12">
        <f>AO250-AN250</f>
        <v>0</v>
      </c>
      <c r="AP299" s="12">
        <f>AP250-AO250</f>
        <v>0</v>
      </c>
      <c r="AQ299" s="12">
        <f>SUM(AM299:AP299)</f>
        <v>0</v>
      </c>
      <c r="AR299" s="12">
        <f>AR250-AQ250</f>
        <v>0</v>
      </c>
      <c r="AS299" s="12">
        <f>AS250-AR250</f>
        <v>0</v>
      </c>
      <c r="AT299" s="12">
        <f>AT250-AS250</f>
        <v>0</v>
      </c>
      <c r="AU299" s="12">
        <f>AU250-AT250</f>
        <v>0</v>
      </c>
      <c r="AV299" s="12">
        <f>SUM(AR299:AU299)</f>
        <v>0</v>
      </c>
      <c r="AW299" s="12">
        <f>AW250-AV250</f>
        <v>0</v>
      </c>
      <c r="AX299" s="12">
        <f>AX250-AW250</f>
        <v>0</v>
      </c>
      <c r="AY299" s="12">
        <f>AY250-AX250</f>
        <v>0</v>
      </c>
      <c r="AZ299" s="12">
        <f>AZ250-AY250</f>
        <v>0</v>
      </c>
      <c r="BA299" s="12">
        <f>SUM(AW299:AZ299)</f>
        <v>0</v>
      </c>
      <c r="BB299" s="12">
        <f>BB250-BA250</f>
        <v>0</v>
      </c>
      <c r="BC299" s="12">
        <f>BC250-BB250</f>
        <v>0</v>
      </c>
      <c r="BD299" s="12">
        <f>BD250-BC250</f>
        <v>0</v>
      </c>
      <c r="BE299" s="12">
        <f>BE250-BD250</f>
        <v>0</v>
      </c>
      <c r="BF299" s="12">
        <f>SUM(BB299:BE299)</f>
        <v>0</v>
      </c>
      <c r="BG299" s="12" t="n"/>
      <c r="BH299" s="12" t="n"/>
      <c r="BI299" s="12" t="n"/>
      <c r="BJ299" s="12" t="n"/>
      <c r="BK299" s="12" t="n"/>
      <c r="BL299" s="12" t="n"/>
      <c r="BM299" s="12" t="n"/>
      <c r="BN299" s="12" t="n"/>
      <c r="BO299" s="12" t="n"/>
      <c r="BP299" s="12" t="n"/>
      <c r="BQ299" s="12" t="n"/>
      <c r="BR299" s="12" t="n"/>
      <c r="BS299" s="12" t="n"/>
      <c r="BT299" s="12" t="n"/>
      <c r="BU299" s="12" t="n"/>
      <c r="BV299" s="12" t="n"/>
      <c r="BW299" s="12" t="n"/>
      <c r="BX299" s="12" t="n"/>
      <c r="BY299" s="12" t="n"/>
      <c r="BZ299" s="12" t="n"/>
      <c r="CA299" s="12" t="n"/>
      <c r="CB299" s="12" t="n"/>
      <c r="CC299" s="12" t="n"/>
      <c r="CD299" s="12" t="n"/>
      <c r="CE299" s="12" t="n"/>
      <c r="CF299" s="12" t="n"/>
      <c r="CG299" s="12" t="n"/>
      <c r="CH299" s="12" t="n"/>
      <c r="CI299" s="12" t="n"/>
      <c r="CJ299" s="12" t="n"/>
      <c r="CK299" s="12" t="n"/>
      <c r="CL299" s="12" t="n"/>
      <c r="CM299" s="12" t="n"/>
      <c r="CN299" s="12" t="n"/>
      <c r="CO299" s="12" t="n"/>
      <c r="CP299" s="12" t="n"/>
      <c r="CQ299" s="12" t="n"/>
      <c r="CR299" s="12" t="n"/>
      <c r="CS299" s="12" t="n"/>
      <c r="CT299" s="12" t="n"/>
      <c r="CU299" s="12" t="n"/>
      <c r="CV299" s="12" t="n"/>
      <c r="CW299" s="12" t="n"/>
      <c r="CX299" s="12" t="n"/>
      <c r="CY299" s="12" t="n"/>
    </row>
    <row r="300">
      <c r="C300" s="14" t="inlineStr">
        <is>
          <t>Treasury stock repurchases</t>
        </is>
      </c>
      <c r="D300" s="12" t="n"/>
      <c r="E300" s="12" t="n"/>
      <c r="F300" s="12" t="n"/>
      <c r="G300" s="12" t="n"/>
      <c r="H300" s="12" t="n"/>
      <c r="I300" s="12" t="n"/>
      <c r="J300" s="12">
        <f>J263-I263</f>
        <v>0</v>
      </c>
      <c r="K300" s="12">
        <f>K263-J263</f>
        <v>0</v>
      </c>
      <c r="L300" s="12">
        <f>L263-K263</f>
        <v>0</v>
      </c>
      <c r="M300" s="12" t="n"/>
      <c r="N300" s="12">
        <f>N263-M263</f>
        <v>0</v>
      </c>
      <c r="O300" s="12">
        <f>O263-N263</f>
        <v>0</v>
      </c>
      <c r="P300" s="12">
        <f>P263-O263</f>
        <v>0</v>
      </c>
      <c r="Q300" s="12">
        <f>Q263-P263</f>
        <v>0</v>
      </c>
      <c r="R300" s="12">
        <f>SUM(N300:Q300)</f>
        <v>0</v>
      </c>
      <c r="S300" s="12">
        <f>S263-R263</f>
        <v>0</v>
      </c>
      <c r="T300" s="12">
        <f>T263-S263</f>
        <v>0</v>
      </c>
      <c r="U300" s="12">
        <f>U263-T263</f>
        <v>0</v>
      </c>
      <c r="V300" s="12">
        <f>V263-U263</f>
        <v>0</v>
      </c>
      <c r="W300" s="12">
        <f>SUM(S300:V300)</f>
        <v>0</v>
      </c>
      <c r="X300" s="12">
        <f>X263-W263</f>
        <v>0</v>
      </c>
      <c r="Y300" s="12">
        <f>Y263-X263</f>
        <v>0</v>
      </c>
      <c r="Z300" s="12">
        <f>Z263-Y263</f>
        <v>0</v>
      </c>
      <c r="AA300" s="12">
        <f>AA263-Z263</f>
        <v>0</v>
      </c>
      <c r="AB300" s="12">
        <f>SUM(X300:AA300)</f>
        <v>0</v>
      </c>
      <c r="AC300" s="12">
        <f>AC263-AB263</f>
        <v>0</v>
      </c>
      <c r="AD300" s="12">
        <f>AD263-AC263</f>
        <v>0</v>
      </c>
      <c r="AE300" s="12">
        <f>AE263-AD263</f>
        <v>0</v>
      </c>
      <c r="AF300" s="12">
        <f>AF263-AE263</f>
        <v>0</v>
      </c>
      <c r="AG300" s="12">
        <f>SUM(AC300:AF300)</f>
        <v>0</v>
      </c>
      <c r="AH300" s="12">
        <f>AH263-AG263</f>
        <v>0</v>
      </c>
      <c r="AI300" s="12">
        <f>AI263-AH263</f>
        <v>0</v>
      </c>
      <c r="AJ300" s="12">
        <f>AJ263-AI263</f>
        <v>0</v>
      </c>
      <c r="AK300" s="12">
        <f>AK263-AJ263</f>
        <v>0</v>
      </c>
      <c r="AL300" s="12">
        <f>SUM(AH300:AK300)</f>
        <v>0</v>
      </c>
      <c r="AM300" s="12">
        <f>AM263-AL263</f>
        <v>0</v>
      </c>
      <c r="AN300" s="12">
        <f>AN263-AM263</f>
        <v>0</v>
      </c>
      <c r="AO300" s="12">
        <f>AO263-AN263</f>
        <v>0</v>
      </c>
      <c r="AP300" s="12">
        <f>AP263-AO263</f>
        <v>0</v>
      </c>
      <c r="AQ300" s="12">
        <f>SUM(AM300:AP300)</f>
        <v>0</v>
      </c>
      <c r="AR300" s="12">
        <f>AR263-AQ263</f>
        <v>0</v>
      </c>
      <c r="AS300" s="12">
        <f>AS263-AR263</f>
        <v>0</v>
      </c>
      <c r="AT300" s="12">
        <f>AT263-AS263</f>
        <v>0</v>
      </c>
      <c r="AU300" s="12">
        <f>AU263-AT263</f>
        <v>0</v>
      </c>
      <c r="AV300" s="12">
        <f>SUM(AR300:AU300)</f>
        <v>0</v>
      </c>
      <c r="AW300" s="12">
        <f>AW263-AV263</f>
        <v>0</v>
      </c>
      <c r="AX300" s="12">
        <f>AX263-AW263</f>
        <v>0</v>
      </c>
      <c r="AY300" s="12">
        <f>AY263-AX263</f>
        <v>0</v>
      </c>
      <c r="AZ300" s="12">
        <f>AZ263-AY263</f>
        <v>0</v>
      </c>
      <c r="BA300" s="12">
        <f>SUM(AW300:AZ300)</f>
        <v>0</v>
      </c>
      <c r="BB300" s="12">
        <f>BB263-BA263</f>
        <v>0</v>
      </c>
      <c r="BC300" s="12">
        <f>BC263-BB263</f>
        <v>0</v>
      </c>
      <c r="BD300" s="12">
        <f>BD263-BC263</f>
        <v>0</v>
      </c>
      <c r="BE300" s="12">
        <f>BE263-BD263</f>
        <v>0</v>
      </c>
      <c r="BF300" s="12">
        <f>SUM(BB300:BE300)</f>
        <v>0</v>
      </c>
      <c r="BG300" s="12" t="n"/>
      <c r="BH300" s="12" t="n"/>
      <c r="BI300" s="12" t="n"/>
      <c r="BJ300" s="12" t="n"/>
      <c r="BK300" s="12" t="n"/>
      <c r="BL300" s="12" t="n"/>
      <c r="BM300" s="12" t="n"/>
      <c r="BN300" s="12" t="n"/>
      <c r="BO300" s="12" t="n"/>
      <c r="BP300" s="12" t="n"/>
      <c r="BQ300" s="12" t="n"/>
      <c r="BR300" s="12" t="n"/>
      <c r="BS300" s="12" t="n"/>
      <c r="BT300" s="12" t="n"/>
      <c r="BU300" s="12" t="n"/>
      <c r="BV300" s="12" t="n"/>
      <c r="BW300" s="12" t="n"/>
      <c r="BX300" s="12" t="n"/>
      <c r="BY300" s="12" t="n"/>
      <c r="BZ300" s="12" t="n"/>
      <c r="CA300" s="12" t="n"/>
      <c r="CB300" s="12" t="n"/>
      <c r="CC300" s="12" t="n"/>
      <c r="CD300" s="12" t="n"/>
      <c r="CE300" s="12" t="n"/>
      <c r="CF300" s="12" t="n"/>
      <c r="CG300" s="12" t="n"/>
      <c r="CH300" s="12" t="n"/>
      <c r="CI300" s="12" t="n"/>
      <c r="CJ300" s="12" t="n"/>
      <c r="CK300" s="12" t="n"/>
      <c r="CL300" s="12" t="n"/>
      <c r="CM300" s="12" t="n"/>
      <c r="CN300" s="12" t="n"/>
      <c r="CO300" s="12" t="n"/>
      <c r="CP300" s="12" t="n"/>
      <c r="CQ300" s="12" t="n"/>
      <c r="CR300" s="12" t="n"/>
      <c r="CS300" s="12" t="n"/>
      <c r="CT300" s="12" t="n"/>
      <c r="CU300" s="12" t="n"/>
      <c r="CV300" s="12" t="n"/>
      <c r="CW300" s="12" t="n"/>
      <c r="CX300" s="12" t="n"/>
      <c r="CY300" s="12" t="n"/>
    </row>
    <row r="301">
      <c r="C301" s="14" t="inlineStr">
        <is>
          <t>Comprehensive accumulated loss</t>
        </is>
      </c>
      <c r="D301" s="12" t="n"/>
      <c r="E301" s="12" t="n"/>
      <c r="F301" s="12" t="n"/>
      <c r="G301" s="12" t="n"/>
      <c r="H301" s="12" t="n"/>
      <c r="I301" s="12" t="n"/>
      <c r="J301" s="12">
        <f>J264-I264</f>
        <v>193</v>
      </c>
      <c r="K301" s="12">
        <f>K264-J264</f>
        <v>-598</v>
      </c>
      <c r="L301" s="12">
        <f>L264-K264</f>
        <v>-1215</v>
      </c>
      <c r="M301" s="12" t="n"/>
      <c r="N301" s="12">
        <f>N264-M264</f>
        <v>-2426</v>
      </c>
      <c r="O301" s="12">
        <f>O264-N264</f>
        <v>-1779</v>
      </c>
      <c r="P301" s="12">
        <f>P264-O264</f>
        <v>-3024</v>
      </c>
      <c r="Q301" s="12">
        <f>Q264-P264</f>
        <v>1249</v>
      </c>
      <c r="R301" s="12">
        <f>SUM(N301:Q301)</f>
        <v>-5980</v>
      </c>
      <c r="S301" s="12">
        <f>S264-R264</f>
        <v>1603</v>
      </c>
      <c r="T301" s="12">
        <f>T264-S264</f>
        <v>9</v>
      </c>
      <c r="U301" s="12">
        <f>U264-T264</f>
        <v>-1045</v>
      </c>
      <c r="V301" s="12">
        <f>V264-U264</f>
        <v>2634</v>
      </c>
      <c r="W301" s="12">
        <f>SUM(S301:V301)</f>
        <v>3201</v>
      </c>
      <c r="X301" s="12">
        <f>X264-W264</f>
        <v>-437</v>
      </c>
      <c r="Y301" s="12">
        <f>Y264-X264</f>
        <v>-173</v>
      </c>
      <c r="Z301" s="12">
        <f>Z264-Y264</f>
        <v>1784</v>
      </c>
      <c r="AA301" s="12">
        <f>AA264-Z264</f>
        <v>-1572</v>
      </c>
      <c r="AB301" s="12">
        <f>SUM(X301:AA301)</f>
        <v>-398</v>
      </c>
      <c r="AC301" s="12">
        <f>AC264-AB264</f>
        <v>714</v>
      </c>
      <c r="AD301" s="12">
        <f>AD264-AC264</f>
        <v>1959</v>
      </c>
      <c r="AE301" s="12">
        <f>AE264-AD264</f>
        <v>73</v>
      </c>
      <c r="AF301" s="12">
        <f>AF264-AE264</f>
        <v>138</v>
      </c>
      <c r="AG301" s="12">
        <f>SUM(AC301:AF301)</f>
        <v>2884</v>
      </c>
      <c r="AH301" s="12">
        <f>AH264-AG264</f>
        <v>-264</v>
      </c>
      <c r="AI301" s="12">
        <f>AI264-AH264</f>
        <v>-105</v>
      </c>
      <c r="AJ301" s="12">
        <f>AJ264-AI264</f>
        <v>0</v>
      </c>
      <c r="AK301" s="12">
        <f>AK264-AJ264</f>
        <v>0</v>
      </c>
      <c r="AL301" s="12">
        <f>SUM(AH301:AK301)</f>
        <v>-369</v>
      </c>
      <c r="AM301" s="12">
        <f>AM264-AL264</f>
        <v>0</v>
      </c>
      <c r="AN301" s="12">
        <f>AN264-AM264</f>
        <v>0</v>
      </c>
      <c r="AO301" s="12">
        <f>AO264-AN264</f>
        <v>0</v>
      </c>
      <c r="AP301" s="12">
        <f>AP264-AO264</f>
        <v>0</v>
      </c>
      <c r="AQ301" s="12">
        <f>SUM(AM301:AP301)</f>
        <v>0</v>
      </c>
      <c r="AR301" s="12">
        <f>AR264-AQ264</f>
        <v>0</v>
      </c>
      <c r="AS301" s="12">
        <f>AS264-AR264</f>
        <v>0</v>
      </c>
      <c r="AT301" s="12">
        <f>AT264-AS264</f>
        <v>0</v>
      </c>
      <c r="AU301" s="12">
        <f>AU264-AT264</f>
        <v>0</v>
      </c>
      <c r="AV301" s="12">
        <f>SUM(AR301:AU301)</f>
        <v>0</v>
      </c>
      <c r="AW301" s="12">
        <f>AW264-AV264</f>
        <v>0</v>
      </c>
      <c r="AX301" s="12">
        <f>AX264-AW264</f>
        <v>0</v>
      </c>
      <c r="AY301" s="12">
        <f>AY264-AX264</f>
        <v>0</v>
      </c>
      <c r="AZ301" s="12">
        <f>AZ264-AY264</f>
        <v>0</v>
      </c>
      <c r="BA301" s="12">
        <f>SUM(AW301:AZ301)</f>
        <v>0</v>
      </c>
      <c r="BB301" s="12">
        <f>BB264-BA264</f>
        <v>0</v>
      </c>
      <c r="BC301" s="12">
        <f>BC264-BB264</f>
        <v>0</v>
      </c>
      <c r="BD301" s="12">
        <f>BD264-BC264</f>
        <v>0</v>
      </c>
      <c r="BE301" s="12">
        <f>BE264-BD264</f>
        <v>0</v>
      </c>
      <c r="BF301" s="12">
        <f>SUM(BB301:BE301)</f>
        <v>0</v>
      </c>
      <c r="BG301" s="12" t="n"/>
      <c r="BH301" s="12" t="n"/>
      <c r="BI301" s="12" t="n"/>
      <c r="BJ301" s="12" t="n"/>
      <c r="BK301" s="12" t="n"/>
      <c r="BL301" s="12" t="n"/>
      <c r="BM301" s="12" t="n"/>
      <c r="BN301" s="12" t="n"/>
      <c r="BO301" s="12" t="n"/>
      <c r="BP301" s="12" t="n"/>
      <c r="BQ301" s="12" t="n"/>
      <c r="BR301" s="12" t="n"/>
      <c r="BS301" s="12" t="n"/>
      <c r="BT301" s="12" t="n"/>
      <c r="BU301" s="12" t="n"/>
      <c r="BV301" s="12" t="n"/>
      <c r="BW301" s="12" t="n"/>
      <c r="BX301" s="12" t="n"/>
      <c r="BY301" s="12" t="n"/>
      <c r="BZ301" s="12" t="n"/>
      <c r="CA301" s="12" t="n"/>
      <c r="CB301" s="12" t="n"/>
      <c r="CC301" s="12" t="n"/>
      <c r="CD301" s="12" t="n"/>
      <c r="CE301" s="12" t="n"/>
      <c r="CF301" s="12" t="n"/>
      <c r="CG301" s="12" t="n"/>
      <c r="CH301" s="12" t="n"/>
      <c r="CI301" s="12" t="n"/>
      <c r="CJ301" s="12" t="n"/>
      <c r="CK301" s="12" t="n"/>
      <c r="CL301" s="12" t="n"/>
      <c r="CM301" s="12" t="n"/>
      <c r="CN301" s="12" t="n"/>
      <c r="CO301" s="12" t="n"/>
      <c r="CP301" s="12" t="n"/>
      <c r="CQ301" s="12" t="n"/>
      <c r="CR301" s="12" t="n"/>
      <c r="CS301" s="12" t="n"/>
      <c r="CT301" s="12" t="n"/>
      <c r="CU301" s="12" t="n"/>
      <c r="CV301" s="12" t="n"/>
      <c r="CW301" s="12" t="n"/>
      <c r="CX301" s="12" t="n"/>
      <c r="CY301" s="12" t="n"/>
    </row>
    <row r="302">
      <c r="C302" s="14" t="inlineStr">
        <is>
          <t>Other equity account</t>
        </is>
      </c>
      <c r="D302" s="12" t="n"/>
      <c r="E302" s="12" t="n"/>
      <c r="F302" s="12" t="n"/>
      <c r="G302" s="12" t="n"/>
      <c r="H302" s="12" t="n"/>
      <c r="I302" s="12" t="n"/>
      <c r="J302" s="12">
        <f>J265-I265</f>
        <v>0</v>
      </c>
      <c r="K302" s="12">
        <f>K265-J265</f>
        <v>0</v>
      </c>
      <c r="L302" s="12">
        <f>L265-K265</f>
        <v>0</v>
      </c>
      <c r="M302" s="12" t="n"/>
      <c r="N302" s="12">
        <f>N265-M265</f>
        <v>0</v>
      </c>
      <c r="O302" s="12">
        <f>O265-N265</f>
        <v>0</v>
      </c>
      <c r="P302" s="12">
        <f>P265-O265</f>
        <v>0</v>
      </c>
      <c r="Q302" s="12">
        <f>Q265-P265</f>
        <v>0</v>
      </c>
      <c r="R302" s="12">
        <f>SUM(N302:Q302)</f>
        <v>0</v>
      </c>
      <c r="S302" s="12">
        <f>S265-R265</f>
        <v>0</v>
      </c>
      <c r="T302" s="12">
        <f>T265-S265</f>
        <v>0</v>
      </c>
      <c r="U302" s="12">
        <f>U265-T265</f>
        <v>0</v>
      </c>
      <c r="V302" s="12">
        <f>V265-U265</f>
        <v>0</v>
      </c>
      <c r="W302" s="12">
        <f>SUM(S302:V302)</f>
        <v>0</v>
      </c>
      <c r="X302" s="12">
        <f>X265-W265</f>
        <v>0</v>
      </c>
      <c r="Y302" s="12">
        <f>Y265-X265</f>
        <v>0</v>
      </c>
      <c r="Z302" s="12">
        <f>Z265-Y265</f>
        <v>0</v>
      </c>
      <c r="AA302" s="12">
        <f>AA265-Z265</f>
        <v>0</v>
      </c>
      <c r="AB302" s="12">
        <f>SUM(X302:AA302)</f>
        <v>0</v>
      </c>
      <c r="AC302" s="12">
        <f>AC265-AB265</f>
        <v>0</v>
      </c>
      <c r="AD302" s="12">
        <f>AD265-AC265</f>
        <v>0</v>
      </c>
      <c r="AE302" s="12">
        <f>AE265-AD265</f>
        <v>0</v>
      </c>
      <c r="AF302" s="12">
        <f>AF265-AE265</f>
        <v>0</v>
      </c>
      <c r="AG302" s="12">
        <f>SUM(AC302:AF302)</f>
        <v>0</v>
      </c>
      <c r="AH302" s="12">
        <f>AH265-AG265</f>
        <v>0</v>
      </c>
      <c r="AI302" s="12">
        <f>AI265-AH265</f>
        <v>18023</v>
      </c>
      <c r="AJ302" s="12">
        <f>AJ265-AI265</f>
        <v>0</v>
      </c>
      <c r="AK302" s="12">
        <f>AK265-AJ265</f>
        <v>0</v>
      </c>
      <c r="AL302" s="12">
        <f>SUM(AH302:AK302)</f>
        <v>18023</v>
      </c>
      <c r="AM302" s="12">
        <f>AM265-AL265</f>
        <v>0</v>
      </c>
      <c r="AN302" s="12">
        <f>AN265-AM265</f>
        <v>0</v>
      </c>
      <c r="AO302" s="12">
        <f>AO265-AN265</f>
        <v>0</v>
      </c>
      <c r="AP302" s="12">
        <f>AP265-AO265</f>
        <v>0</v>
      </c>
      <c r="AQ302" s="12">
        <f>SUM(AM302:AP302)</f>
        <v>0</v>
      </c>
      <c r="AR302" s="12">
        <f>AR265-AQ265</f>
        <v>0</v>
      </c>
      <c r="AS302" s="12">
        <f>AS265-AR265</f>
        <v>0</v>
      </c>
      <c r="AT302" s="12">
        <f>AT265-AS265</f>
        <v>0</v>
      </c>
      <c r="AU302" s="12">
        <f>AU265-AT265</f>
        <v>0</v>
      </c>
      <c r="AV302" s="12">
        <f>SUM(AR302:AU302)</f>
        <v>0</v>
      </c>
      <c r="AW302" s="12">
        <f>AW265-AV265</f>
        <v>0</v>
      </c>
      <c r="AX302" s="12">
        <f>AX265-AW265</f>
        <v>0</v>
      </c>
      <c r="AY302" s="12">
        <f>AY265-AX265</f>
        <v>0</v>
      </c>
      <c r="AZ302" s="12">
        <f>AZ265-AY265</f>
        <v>0</v>
      </c>
      <c r="BA302" s="12">
        <f>SUM(AW302:AZ302)</f>
        <v>0</v>
      </c>
      <c r="BB302" s="12">
        <f>BB265-BA265</f>
        <v>0</v>
      </c>
      <c r="BC302" s="12">
        <f>BC265-BB265</f>
        <v>0</v>
      </c>
      <c r="BD302" s="12">
        <f>BD265-BC265</f>
        <v>0</v>
      </c>
      <c r="BE302" s="12">
        <f>BE265-BD265</f>
        <v>0</v>
      </c>
      <c r="BF302" s="12">
        <f>SUM(BB302:BE302)</f>
        <v>0</v>
      </c>
      <c r="BG302" s="12" t="n"/>
      <c r="BH302" s="12" t="n"/>
      <c r="BI302" s="12" t="n"/>
      <c r="BJ302" s="12" t="n"/>
      <c r="BK302" s="12" t="n"/>
      <c r="BL302" s="12" t="n"/>
      <c r="BM302" s="12" t="n"/>
      <c r="BN302" s="12" t="n"/>
      <c r="BO302" s="12" t="n"/>
      <c r="BP302" s="12" t="n"/>
      <c r="BQ302" s="12" t="n"/>
      <c r="BR302" s="12" t="n"/>
      <c r="BS302" s="12" t="n"/>
      <c r="BT302" s="12" t="n"/>
      <c r="BU302" s="12" t="n"/>
      <c r="BV302" s="12" t="n"/>
      <c r="BW302" s="12" t="n"/>
      <c r="BX302" s="12" t="n"/>
      <c r="BY302" s="12" t="n"/>
      <c r="BZ302" s="12" t="n"/>
      <c r="CA302" s="12" t="n"/>
      <c r="CB302" s="12" t="n"/>
      <c r="CC302" s="12" t="n"/>
      <c r="CD302" s="12" t="n"/>
      <c r="CE302" s="12" t="n"/>
      <c r="CF302" s="12" t="n"/>
      <c r="CG302" s="12" t="n"/>
      <c r="CH302" s="12" t="n"/>
      <c r="CI302" s="12" t="n"/>
      <c r="CJ302" s="12" t="n"/>
      <c r="CK302" s="12" t="n"/>
      <c r="CL302" s="12" t="n"/>
      <c r="CM302" s="12" t="n"/>
      <c r="CN302" s="12" t="n"/>
      <c r="CO302" s="12" t="n"/>
      <c r="CP302" s="12" t="n"/>
      <c r="CQ302" s="12" t="n"/>
      <c r="CR302" s="12" t="n"/>
      <c r="CS302" s="12" t="n"/>
      <c r="CT302" s="12" t="n"/>
      <c r="CU302" s="12" t="n"/>
      <c r="CV302" s="12" t="n"/>
      <c r="CW302" s="12" t="n"/>
      <c r="CX302" s="12" t="n"/>
      <c r="CY302" s="12" t="n"/>
    </row>
    <row r="303">
      <c r="C303" s="10" t="inlineStr">
        <is>
          <t>Common and preferred dividends</t>
        </is>
      </c>
      <c r="D303" s="12" t="n"/>
      <c r="E303" s="12" t="n"/>
      <c r="F303" s="12" t="n"/>
      <c r="G303" s="12" t="n"/>
      <c r="H303" s="12" t="n"/>
      <c r="I303" s="12" t="n"/>
      <c r="J303" s="12">
        <f>(J266-I266)-J273</f>
        <v>-12166</v>
      </c>
      <c r="K303" s="12">
        <f>(K266-J266)-K273</f>
        <v>-12093</v>
      </c>
      <c r="L303" s="12">
        <f>(L266-K266)-L273</f>
        <v>-12940</v>
      </c>
      <c r="M303" s="12" t="n"/>
      <c r="N303" s="12">
        <f>(N266-M266)-N273</f>
        <v>-12699</v>
      </c>
      <c r="O303" s="12">
        <f>(O266-N266)-O273</f>
        <v>-14378</v>
      </c>
      <c r="P303" s="12">
        <f>(P266-O266)-P273</f>
        <v>-14535</v>
      </c>
      <c r="Q303" s="12">
        <f>(Q266-P266)-Q273</f>
        <v>-14281</v>
      </c>
      <c r="R303" s="12">
        <f>SUM(N303:Q303)</f>
        <v>-55893</v>
      </c>
      <c r="S303" s="12">
        <f>(S266-R266)-S273</f>
        <v>-13989</v>
      </c>
      <c r="T303" s="12">
        <f>(T266-S266)-T273</f>
        <v>-14109</v>
      </c>
      <c r="U303" s="12">
        <f>(U266-T266)-U273</f>
        <v>-14926</v>
      </c>
      <c r="V303" s="12">
        <f>(V266-U266)-V273</f>
        <v>-15087</v>
      </c>
      <c r="W303" s="12">
        <f>SUM(S303:V303)</f>
        <v>-58111</v>
      </c>
      <c r="X303" s="12">
        <f>(X266-W266)-X273</f>
        <v>-15139</v>
      </c>
      <c r="Y303" s="12">
        <f>(Y266-X266)-Y273</f>
        <v>-17356</v>
      </c>
      <c r="Z303" s="12">
        <f>(Z266-Y266)-Z273</f>
        <v>-17017</v>
      </c>
      <c r="AA303" s="12">
        <f>(AA266-Z266)-AA273</f>
        <v>-16769</v>
      </c>
      <c r="AB303" s="12">
        <f>SUM(X303:AA303)</f>
        <v>-66281</v>
      </c>
      <c r="AC303" s="12">
        <f>(AC266-AB266)-AC273</f>
        <v>-16996</v>
      </c>
      <c r="AD303" s="12">
        <f>(AD266-AC266)-AD273</f>
        <v>-15064</v>
      </c>
      <c r="AE303" s="12">
        <f>(AE266-AD266)-AE273</f>
        <v>-13513</v>
      </c>
      <c r="AF303" s="12">
        <f>(AF266-AE266)-AF273</f>
        <v>-7626</v>
      </c>
      <c r="AG303" s="12">
        <f>SUM(AC303:AF303)</f>
        <v>-53199</v>
      </c>
      <c r="AH303" s="12">
        <f>(AH266-AG266)-AH273</f>
        <v>-2609</v>
      </c>
      <c r="AI303" s="12">
        <f>(AI266-AH266)-AI273</f>
        <v>-2846</v>
      </c>
      <c r="AJ303" s="12">
        <f>(AJ266-AI266)-AJ273</f>
        <v>0</v>
      </c>
      <c r="AK303" s="12">
        <f>(AK266-AJ266)-AK273</f>
        <v>0</v>
      </c>
      <c r="AL303" s="12">
        <f>SUM(AH303:AK303)</f>
        <v>-5455</v>
      </c>
      <c r="AM303" s="12">
        <f>(AM266-AL266)-AM273</f>
        <v>0</v>
      </c>
      <c r="AN303" s="12">
        <f>(AN266-AM266)-AN273</f>
        <v>0</v>
      </c>
      <c r="AO303" s="12">
        <f>(AO266-AN266)-AO273</f>
        <v>0</v>
      </c>
      <c r="AP303" s="12">
        <f>(AP266-AO266)-AP273</f>
        <v>0</v>
      </c>
      <c r="AQ303" s="12">
        <f>SUM(AM303:AP303)</f>
        <v>0</v>
      </c>
      <c r="AR303" s="12">
        <f>(AR266-AQ266)-AR273</f>
        <v>0</v>
      </c>
      <c r="AS303" s="12">
        <f>(AS266-AR266)-AS273</f>
        <v>0</v>
      </c>
      <c r="AT303" s="12">
        <f>(AT266-AS266)-AT273</f>
        <v>0</v>
      </c>
      <c r="AU303" s="12">
        <f>(AU266-AT266)-AU273</f>
        <v>0</v>
      </c>
      <c r="AV303" s="12">
        <f>SUM(AR303:AU303)</f>
        <v>0</v>
      </c>
      <c r="AW303" s="12">
        <f>(AW266-AV266)-AW273</f>
        <v>0</v>
      </c>
      <c r="AX303" s="12">
        <f>(AX266-AW266)-AX273</f>
        <v>0</v>
      </c>
      <c r="AY303" s="12">
        <f>(AY266-AX266)-AY273</f>
        <v>0</v>
      </c>
      <c r="AZ303" s="12">
        <f>(AZ266-AY266)-AZ273</f>
        <v>0</v>
      </c>
      <c r="BA303" s="12">
        <f>SUM(AW303:AZ303)</f>
        <v>0</v>
      </c>
      <c r="BB303" s="12">
        <f>(BB266-BA266)-BB273</f>
        <v>0</v>
      </c>
      <c r="BC303" s="12">
        <f>(BC266-BB266)-BC273</f>
        <v>0</v>
      </c>
      <c r="BD303" s="12">
        <f>(BD266-BC266)-BD273</f>
        <v>0</v>
      </c>
      <c r="BE303" s="12">
        <f>(BE266-BD266)-BE273</f>
        <v>0</v>
      </c>
      <c r="BF303" s="12">
        <f>SUM(BB303:BE303)</f>
        <v>0</v>
      </c>
      <c r="BG303" s="12" t="n"/>
      <c r="BH303" s="12" t="n"/>
      <c r="BI303" s="12" t="n"/>
      <c r="BJ303" s="12" t="n"/>
      <c r="BK303" s="12" t="n"/>
      <c r="BL303" s="12" t="n"/>
      <c r="BM303" s="12" t="n"/>
      <c r="BN303" s="12" t="n"/>
      <c r="BO303" s="12" t="n"/>
      <c r="BP303" s="12" t="n"/>
      <c r="BQ303" s="12" t="n"/>
      <c r="BR303" s="12" t="n"/>
      <c r="BS303" s="12" t="n"/>
      <c r="BT303" s="12" t="n"/>
      <c r="BU303" s="12" t="n"/>
      <c r="BV303" s="12" t="n"/>
      <c r="BW303" s="12" t="n"/>
      <c r="BX303" s="12" t="n"/>
      <c r="BY303" s="12" t="n"/>
      <c r="BZ303" s="12" t="n"/>
      <c r="CA303" s="12" t="n"/>
      <c r="CB303" s="12" t="n"/>
      <c r="CC303" s="12" t="n"/>
      <c r="CD303" s="12" t="n"/>
      <c r="CE303" s="12" t="n"/>
      <c r="CF303" s="12" t="n"/>
      <c r="CG303" s="12" t="n"/>
      <c r="CH303" s="12" t="n"/>
      <c r="CI303" s="12" t="n"/>
      <c r="CJ303" s="12" t="n"/>
      <c r="CK303" s="12" t="n"/>
      <c r="CL303" s="12" t="n"/>
      <c r="CM303" s="12" t="n"/>
      <c r="CN303" s="12" t="n"/>
      <c r="CO303" s="12" t="n"/>
      <c r="CP303" s="12" t="n"/>
      <c r="CQ303" s="12" t="n"/>
      <c r="CR303" s="12" t="n"/>
      <c r="CS303" s="12" t="n"/>
      <c r="CT303" s="12" t="n"/>
      <c r="CU303" s="12" t="n"/>
      <c r="CV303" s="12" t="n"/>
      <c r="CW303" s="12" t="n"/>
      <c r="CX303" s="12" t="n"/>
      <c r="CY303" s="12" t="n"/>
    </row>
    <row r="304">
      <c r="C304" s="14" t="inlineStr">
        <is>
          <t>Dividends to minority interests</t>
        </is>
      </c>
      <c r="D304" s="12" t="n"/>
      <c r="E304" s="12" t="n"/>
      <c r="F304" s="12" t="n"/>
      <c r="G304" s="12" t="n"/>
      <c r="H304" s="12" t="n"/>
      <c r="I304" s="12" t="n"/>
      <c r="J304" s="12">
        <f>(J244-I244)+J132</f>
        <v>0</v>
      </c>
      <c r="K304" s="12">
        <f>(K244-J244)+K132</f>
        <v>0</v>
      </c>
      <c r="L304" s="12">
        <f>(L244-K244)+L132</f>
        <v>0</v>
      </c>
      <c r="M304" s="12" t="n"/>
      <c r="N304" s="12">
        <f>(N244-M244)+N132</f>
        <v>0</v>
      </c>
      <c r="O304" s="12">
        <f>(O244-N244)+O132</f>
        <v>0</v>
      </c>
      <c r="P304" s="12">
        <f>(P244-O244)+P132</f>
        <v>0</v>
      </c>
      <c r="Q304" s="12">
        <f>(Q244-P244)+Q132</f>
        <v>0</v>
      </c>
      <c r="R304" s="12">
        <f>SUM(N304:Q304)</f>
        <v>0</v>
      </c>
      <c r="S304" s="12">
        <f>(S244-R244)+S132</f>
        <v>0</v>
      </c>
      <c r="T304" s="12">
        <f>(T244-S244)+T132</f>
        <v>0</v>
      </c>
      <c r="U304" s="12">
        <f>(U244-T244)+U132</f>
        <v>0</v>
      </c>
      <c r="V304" s="12">
        <f>(V244-U244)+V132</f>
        <v>0</v>
      </c>
      <c r="W304" s="12">
        <f>SUM(S304:V304)</f>
        <v>0</v>
      </c>
      <c r="X304" s="12">
        <f>(X244-W244)+X132</f>
        <v>0</v>
      </c>
      <c r="Y304" s="12">
        <f>(Y244-X244)+Y132</f>
        <v>0</v>
      </c>
      <c r="Z304" s="12">
        <f>(Z244-Y244)+Z132</f>
        <v>0</v>
      </c>
      <c r="AA304" s="12">
        <f>(AA244-Z244)+AA132</f>
        <v>0</v>
      </c>
      <c r="AB304" s="12">
        <f>SUM(X304:AA304)</f>
        <v>0</v>
      </c>
      <c r="AC304" s="12">
        <f>(AC244-AB244)+AC132</f>
        <v>0</v>
      </c>
      <c r="AD304" s="12">
        <f>(AD244-AC244)+AD132</f>
        <v>0</v>
      </c>
      <c r="AE304" s="12">
        <f>(AE244-AD244)+AE132</f>
        <v>0</v>
      </c>
      <c r="AF304" s="12">
        <f>(AF244-AE244)+AF132</f>
        <v>0</v>
      </c>
      <c r="AG304" s="12">
        <f>SUM(AC304:AF304)</f>
        <v>0</v>
      </c>
      <c r="AH304" s="12">
        <f>(AH244-AG244)+AH132</f>
        <v>0</v>
      </c>
      <c r="AI304" s="12">
        <f>(AI244-AH244)+AI132</f>
        <v>0</v>
      </c>
      <c r="AJ304" s="12">
        <f>(AJ244-AI244)+AJ132</f>
        <v>0</v>
      </c>
      <c r="AK304" s="12">
        <f>(AK244-AJ244)+AK132</f>
        <v>0</v>
      </c>
      <c r="AL304" s="12">
        <f>SUM(AH304:AK304)</f>
        <v>0</v>
      </c>
      <c r="AM304" s="12">
        <f>(AM244-AL244)+AM132</f>
        <v>0</v>
      </c>
      <c r="AN304" s="12">
        <f>(AN244-AM244)+AN132</f>
        <v>0</v>
      </c>
      <c r="AO304" s="12">
        <f>(AO244-AN244)+AO132</f>
        <v>0</v>
      </c>
      <c r="AP304" s="12">
        <f>(AP244-AO244)+AP132</f>
        <v>0</v>
      </c>
      <c r="AQ304" s="12">
        <f>SUM(AM304:AP304)</f>
        <v>0</v>
      </c>
      <c r="AR304" s="12">
        <f>(AR244-AQ244)+AR132</f>
        <v>0</v>
      </c>
      <c r="AS304" s="12">
        <f>(AS244-AR244)+AS132</f>
        <v>0</v>
      </c>
      <c r="AT304" s="12">
        <f>(AT244-AS244)+AT132</f>
        <v>0</v>
      </c>
      <c r="AU304" s="12">
        <f>(AU244-AT244)+AU132</f>
        <v>0</v>
      </c>
      <c r="AV304" s="12">
        <f>SUM(AR304:AU304)</f>
        <v>0</v>
      </c>
      <c r="AW304" s="12">
        <f>(AW244-AV244)+AW132</f>
        <v>0</v>
      </c>
      <c r="AX304" s="12">
        <f>(AX244-AW244)+AX132</f>
        <v>0</v>
      </c>
      <c r="AY304" s="12">
        <f>(AY244-AX244)+AY132</f>
        <v>0</v>
      </c>
      <c r="AZ304" s="12">
        <f>(AZ244-AY244)+AZ132</f>
        <v>0</v>
      </c>
      <c r="BA304" s="12">
        <f>SUM(AW304:AZ304)</f>
        <v>0</v>
      </c>
      <c r="BB304" s="12">
        <f>(BB244-BA244)+BB132</f>
        <v>0</v>
      </c>
      <c r="BC304" s="12">
        <f>(BC244-BB244)+BC132</f>
        <v>0</v>
      </c>
      <c r="BD304" s="12">
        <f>(BD244-BC244)+BD132</f>
        <v>0</v>
      </c>
      <c r="BE304" s="12">
        <f>(BE244-BD244)+BE132</f>
        <v>0</v>
      </c>
      <c r="BF304" s="12">
        <f>SUM(BB304:BE304)</f>
        <v>0</v>
      </c>
      <c r="BG304" s="12" t="n"/>
      <c r="BH304" s="12" t="n"/>
      <c r="BI304" s="12" t="n"/>
      <c r="BJ304" s="12" t="n"/>
      <c r="BK304" s="12" t="n"/>
      <c r="BL304" s="12" t="n"/>
      <c r="BM304" s="12" t="n"/>
      <c r="BN304" s="12" t="n"/>
      <c r="BO304" s="12" t="n"/>
      <c r="BP304" s="12" t="n"/>
      <c r="BQ304" s="12" t="n"/>
      <c r="BR304" s="12" t="n"/>
      <c r="BS304" s="12" t="n"/>
      <c r="BT304" s="12" t="n"/>
      <c r="BU304" s="12" t="n"/>
      <c r="BV304" s="12" t="n"/>
      <c r="BW304" s="12" t="n"/>
      <c r="BX304" s="12" t="n"/>
      <c r="BY304" s="12" t="n"/>
      <c r="BZ304" s="12" t="n"/>
      <c r="CA304" s="12" t="n"/>
      <c r="CB304" s="12" t="n"/>
      <c r="CC304" s="12" t="n"/>
      <c r="CD304" s="12" t="n"/>
      <c r="CE304" s="12" t="n"/>
      <c r="CF304" s="12" t="n"/>
      <c r="CG304" s="12" t="n"/>
      <c r="CH304" s="12" t="n"/>
      <c r="CI304" s="12" t="n"/>
      <c r="CJ304" s="12" t="n"/>
      <c r="CK304" s="12" t="n"/>
      <c r="CL304" s="12" t="n"/>
      <c r="CM304" s="12" t="n"/>
      <c r="CN304" s="12" t="n"/>
      <c r="CO304" s="12" t="n"/>
      <c r="CP304" s="12" t="n"/>
      <c r="CQ304" s="12" t="n"/>
      <c r="CR304" s="12" t="n"/>
      <c r="CS304" s="12" t="n"/>
      <c r="CT304" s="12" t="n"/>
      <c r="CU304" s="12" t="n"/>
      <c r="CV304" s="12" t="n"/>
      <c r="CW304" s="12" t="n"/>
      <c r="CX304" s="12" t="n"/>
      <c r="CY304" s="12" t="n"/>
    </row>
    <row r="305">
      <c r="C305" s="15" t="inlineStr">
        <is>
          <t>Increases / (decreases) in debt</t>
        </is>
      </c>
      <c r="D305" s="12" t="n"/>
      <c r="E305" s="12" t="n"/>
      <c r="F305" s="12" t="n"/>
      <c r="G305" s="12" t="n"/>
      <c r="H305" s="12" t="n"/>
      <c r="I305" s="12" t="n"/>
      <c r="J305" s="12">
        <f>SUM(J208:J210,J213,J234,J231)-SUM(I208:I210,I213,I234,I231)</f>
        <v>678</v>
      </c>
      <c r="K305" s="12">
        <f>SUM(K208:K210,K213,K234,K231)-SUM(J208:J210,J213,J234,J231)</f>
        <v>-188</v>
      </c>
      <c r="L305" s="12">
        <f>SUM(L208:L210,L213,L234,L231)-SUM(K208:K210,K213,K234,K231)</f>
        <v>447</v>
      </c>
      <c r="M305" s="12" t="n"/>
      <c r="N305" s="12">
        <f>SUM(N208:N210,N213,N234,N231)-SUM(M208:M210,M213,M234,M231)</f>
        <v>-52</v>
      </c>
      <c r="O305" s="12">
        <f>SUM(O208:O210,O213,O234,O231)-SUM(N208:N210,N213,N234,N231)</f>
        <v>277</v>
      </c>
      <c r="P305" s="12">
        <f>SUM(P208:P210,P213,P234,P231)-SUM(O208:O210,O213,O234,O231)</f>
        <v>206</v>
      </c>
      <c r="Q305" s="12">
        <f>SUM(Q208:Q210,Q213,Q234,Q231)-SUM(P208:P210,P213,P234,P231)</f>
        <v>565</v>
      </c>
      <c r="R305" s="12">
        <f>SUM(N305:Q305)</f>
        <v>996</v>
      </c>
      <c r="S305" s="12">
        <f>SUM(S208:S210,S213,S234,S231)-SUM(R208:R210,R213,R234,R231)</f>
        <v>-706</v>
      </c>
      <c r="T305" s="12">
        <f>SUM(T208:T210,T213,T234,T231)-SUM(S208:S210,S213,S234,S231)</f>
        <v>-45</v>
      </c>
      <c r="U305" s="12">
        <f>SUM(U208:U210,U213,U234,U231)-SUM(T208:T210,T213,T234,T231)</f>
        <v>-120</v>
      </c>
      <c r="V305" s="12">
        <f>SUM(V208:V210,V213,V234,V231)-SUM(U208:U210,U213,U234,U231)</f>
        <v>-618</v>
      </c>
      <c r="W305" s="12">
        <f>SUM(S305:V305)</f>
        <v>-1489</v>
      </c>
      <c r="X305" s="12">
        <f>SUM(X208:X210,X213,X234,X231)-SUM(W208:W210,W213,W234,W231)</f>
        <v>-528</v>
      </c>
      <c r="Y305" s="12">
        <f>SUM(Y208:Y210,Y213,Y234,Y231)-SUM(X208:X210,X213,X234,X231)</f>
        <v>-239</v>
      </c>
      <c r="Z305" s="12">
        <f>SUM(Z208:Z210,Z213,Z234,Z231)-SUM(Y208:Y210,Y213,Y234,Y231)</f>
        <v>-995</v>
      </c>
      <c r="AA305" s="12">
        <f>SUM(AA208:AA210,AA213,AA234,AA231)-SUM(Z208:Z210,Z213,Z234,Z231)</f>
        <v>-1377</v>
      </c>
      <c r="AB305" s="12">
        <f>SUM(X305:AA305)</f>
        <v>-3139</v>
      </c>
      <c r="AC305" s="12">
        <f>SUM(AC208:AC210,AC213,AC234,AC231)-SUM(AB208:AB210,AB213,AB234,AB231)</f>
        <v>-10</v>
      </c>
      <c r="AD305" s="12">
        <f>SUM(AD208:AD210,AD213,AD234,AD231)-SUM(AC208:AC210,AC213,AC234,AC231)</f>
        <v>12995</v>
      </c>
      <c r="AE305" s="12">
        <f>SUM(AE208:AE210,AE213,AE234,AE231)-SUM(AD208:AD210,AD213,AD234,AD231)</f>
        <v>-1846</v>
      </c>
      <c r="AF305" s="12">
        <f>SUM(AF208:AF210,AF213,AF234,AF231)-SUM(AE208:AE210,AE213,AE234,AE231)</f>
        <v>25578</v>
      </c>
      <c r="AG305" s="12">
        <f>SUM(AC305:AF305)</f>
        <v>36717</v>
      </c>
      <c r="AH305" s="12">
        <f>SUM(AH208:AH210,AH213,AH234,AH231)-SUM(AG208:AG210,AG213,AG234,AG231)</f>
        <v>31193</v>
      </c>
      <c r="AI305" s="12">
        <f>SUM(AI208:AI210,AI213,AI234,AI231)-SUM(AH208:AH210,AH213,AH234,AH231)</f>
        <v>22272</v>
      </c>
      <c r="AJ305" s="12">
        <f>SUM(AJ208:AJ210,AJ213,AJ234,AJ231)-SUM(AI208:AI210,AI213,AI234,AI231)</f>
        <v>0</v>
      </c>
      <c r="AK305" s="12">
        <f>SUM(AK208:AK210,AK213,AK234,AK231)-SUM(AJ208:AJ210,AJ213,AJ234,AJ231)</f>
        <v>0</v>
      </c>
      <c r="AL305" s="12">
        <f>SUM(AH305:AK305)</f>
        <v>53465</v>
      </c>
      <c r="AM305" s="12">
        <f>SUM(AM208:AM210,AM213,AM234,AM231)-SUM(AL208:AL210,AL213,AL234,AL231)</f>
        <v>0</v>
      </c>
      <c r="AN305" s="12">
        <f>SUM(AN208:AN210,AN213,AN234,AN231)-SUM(AM208:AM210,AM213,AM234,AM231)</f>
        <v>0</v>
      </c>
      <c r="AO305" s="12">
        <f>SUM(AO208:AO210,AO213,AO234,AO231)-SUM(AN208:AN210,AN213,AN234,AN231)</f>
        <v>0</v>
      </c>
      <c r="AP305" s="12">
        <f>SUM(AP208:AP210,AP213,AP234,AP231)-SUM(AO208:AO210,AO213,AO234,AO231)</f>
        <v>0</v>
      </c>
      <c r="AQ305" s="12">
        <f>SUM(AM305:AP305)</f>
        <v>0</v>
      </c>
      <c r="AR305" s="12">
        <f>SUM(AR208:AR210,AR213,AR234,AR231)-SUM(AQ208:AQ210,AQ213,AQ234,AQ231)</f>
        <v>0</v>
      </c>
      <c r="AS305" s="12">
        <f>SUM(AS208:AS210,AS213,AS234,AS231)-SUM(AR208:AR210,AR213,AR234,AR231)</f>
        <v>0</v>
      </c>
      <c r="AT305" s="12">
        <f>SUM(AT208:AT210,AT213,AT234,AT231)-SUM(AS208:AS210,AS213,AS234,AS231)</f>
        <v>0</v>
      </c>
      <c r="AU305" s="12">
        <f>SUM(AU208:AU210,AU213,AU234,AU231)-SUM(AT208:AT210,AT213,AT234,AT231)</f>
        <v>0</v>
      </c>
      <c r="AV305" s="12">
        <f>SUM(AR305:AU305)</f>
        <v>0</v>
      </c>
      <c r="AW305" s="12">
        <f>SUM(AW208:AW210,AW213,AW234,AW231)-SUM(AV208:AV210,AV213,AV234,AV231)</f>
        <v>0</v>
      </c>
      <c r="AX305" s="12">
        <f>SUM(AX208:AX210,AX213,AX234,AX231)-SUM(AW208:AW210,AW213,AW234,AW231)</f>
        <v>0</v>
      </c>
      <c r="AY305" s="12">
        <f>SUM(AY208:AY210,AY213,AY234,AY231)-SUM(AX208:AX210,AX213,AX234,AX231)</f>
        <v>0</v>
      </c>
      <c r="AZ305" s="12">
        <f>SUM(AZ208:AZ210,AZ213,AZ234,AZ231)-SUM(AY208:AY210,AY213,AY234,AY231)</f>
        <v>0</v>
      </c>
      <c r="BA305" s="12">
        <f>SUM(AW305:AZ305)</f>
        <v>0</v>
      </c>
      <c r="BB305" s="12">
        <f>SUM(BB208:BB210,BB213,BB234,BB231)-SUM(BA208:BA210,BA213,BA234,BA231)</f>
        <v>0</v>
      </c>
      <c r="BC305" s="12">
        <f>SUM(BC208:BC210,BC213,BC234,BC231)-SUM(BB208:BB210,BB213,BB234,BB231)</f>
        <v>0</v>
      </c>
      <c r="BD305" s="12">
        <f>SUM(BD208:BD210,BD213,BD234,BD231)-SUM(BC208:BC210,BC213,BC234,BC231)</f>
        <v>0</v>
      </c>
      <c r="BE305" s="12">
        <f>SUM(BE208:BE210,BE213,BE234,BE231)-SUM(BD208:BD210,BD213,BD234,BD231)</f>
        <v>0</v>
      </c>
      <c r="BF305" s="12">
        <f>SUM(BB305:BE305)</f>
        <v>0</v>
      </c>
      <c r="BG305" s="12" t="n"/>
      <c r="BH305" s="12" t="n"/>
      <c r="BI305" s="12" t="n"/>
      <c r="BJ305" s="12" t="n"/>
      <c r="BK305" s="12" t="n"/>
      <c r="BL305" s="12" t="n"/>
      <c r="BM305" s="12" t="n"/>
      <c r="BN305" s="12" t="n"/>
      <c r="BO305" s="12" t="n"/>
      <c r="BP305" s="12" t="n"/>
      <c r="BQ305" s="12" t="n"/>
      <c r="BR305" s="12" t="n"/>
      <c r="BS305" s="12" t="n"/>
      <c r="BT305" s="12" t="n"/>
      <c r="BU305" s="12" t="n"/>
      <c r="BV305" s="12" t="n"/>
      <c r="BW305" s="12" t="n"/>
      <c r="BX305" s="12" t="n"/>
      <c r="BY305" s="12" t="n"/>
      <c r="BZ305" s="12" t="n"/>
      <c r="CA305" s="12" t="n"/>
      <c r="CB305" s="12" t="n"/>
      <c r="CC305" s="12" t="n"/>
      <c r="CD305" s="12" t="n"/>
      <c r="CE305" s="12" t="n"/>
      <c r="CF305" s="12" t="n"/>
      <c r="CG305" s="12" t="n"/>
      <c r="CH305" s="12" t="n"/>
      <c r="CI305" s="12" t="n"/>
      <c r="CJ305" s="12" t="n"/>
      <c r="CK305" s="12" t="n"/>
      <c r="CL305" s="12" t="n"/>
      <c r="CM305" s="12" t="n"/>
      <c r="CN305" s="12" t="n"/>
      <c r="CO305" s="12" t="n"/>
      <c r="CP305" s="12" t="n"/>
      <c r="CQ305" s="12" t="n"/>
      <c r="CR305" s="12" t="n"/>
      <c r="CS305" s="12" t="n"/>
      <c r="CT305" s="12" t="n"/>
      <c r="CU305" s="12" t="n"/>
      <c r="CV305" s="12" t="n"/>
      <c r="CW305" s="12" t="n"/>
      <c r="CX305" s="12" t="n"/>
      <c r="CY305" s="12" t="n"/>
      <c r="CZ305" s="12" t="n"/>
      <c r="DA305" s="12" t="n"/>
      <c r="DB305" s="12" t="n"/>
      <c r="DC305" s="12" t="n"/>
    </row>
    <row r="306">
      <c r="C306" s="14" t="inlineStr">
        <is>
          <t>Cash from financing</t>
        </is>
      </c>
      <c r="D306" s="12" t="n"/>
      <c r="E306" s="12" t="n"/>
      <c r="F306" s="12" t="n"/>
      <c r="G306" s="12" t="n"/>
      <c r="H306" s="12" t="n"/>
      <c r="I306" s="12" t="n"/>
      <c r="J306" s="12">
        <f>SUM(J298,J299,J300,J301,J302,J303,J304,J305)</f>
        <v>-10295</v>
      </c>
      <c r="K306" s="12">
        <f>SUM(K298,K299,K300,K301,K302,K303,K304,K305)</f>
        <v>-12122</v>
      </c>
      <c r="L306" s="12">
        <f>SUM(L298,L299,L300,L301,L302,L303,L304,L305)</f>
        <v>-13127</v>
      </c>
      <c r="M306" s="12" t="n"/>
      <c r="N306" s="12">
        <f>SUM(N298,N299,N300,N301,N302,N303,N304,N305)</f>
        <v>-14119</v>
      </c>
      <c r="O306" s="12">
        <f>SUM(O298,O299,O300,O301,O302,O303,O304,O305)</f>
        <v>-14310</v>
      </c>
      <c r="P306" s="12">
        <f>SUM(P298,P299,P300,P301,P302,P303,P304,P305)</f>
        <v>-15497</v>
      </c>
      <c r="Q306" s="12">
        <f>SUM(Q298,Q299,Q300,Q301,Q302,Q303,Q304,Q305)</f>
        <v>-10541</v>
      </c>
      <c r="R306" s="12">
        <f>SUM(R298,R299,R300,R301,R302,R303,R304,R305)</f>
        <v>-54467</v>
      </c>
      <c r="S306" s="12">
        <f>SUM(S298,S299,S300,S301,S302,S303,S304,S305)</f>
        <v>-11007</v>
      </c>
      <c r="T306" s="12">
        <f>SUM(T298,T299,T300,T301,T302,T303,T304,T305)</f>
        <v>-12166</v>
      </c>
      <c r="U306" s="12">
        <f>SUM(U298,U299,U300,U301,U302,U303,U304,U305)</f>
        <v>-13748</v>
      </c>
      <c r="V306" s="12">
        <f>SUM(V298,V299,V300,V301,V302,V303,V304,V305)</f>
        <v>-11128</v>
      </c>
      <c r="W306" s="12">
        <f>SUM(W298,W299,W300,W301,W302,W303,W304,W305)</f>
        <v>-48049</v>
      </c>
      <c r="X306" s="12">
        <f>SUM(X298,X299,X300,X301,X302,X303,X304,X305)</f>
        <v>-14725</v>
      </c>
      <c r="Y306" s="12">
        <f>SUM(Y298,Y299,Y300,Y301,Y302,Y303,Y304,Y305)</f>
        <v>-15949</v>
      </c>
      <c r="Z306" s="12">
        <f>SUM(Z298,Z299,Z300,Z301,Z302,Z303,Z304,Z305)</f>
        <v>-13930</v>
      </c>
      <c r="AA306" s="12">
        <f>SUM(AA298,AA299,AA300,AA301,AA302,AA303,AA304,AA305)</f>
        <v>-16948</v>
      </c>
      <c r="AB306" s="12">
        <f>SUM(AB298,AB299,AB300,AB301,AB302,AB303,AB304,AB305)</f>
        <v>-61552</v>
      </c>
      <c r="AC306" s="12">
        <f>SUM(AC298,AC299,AC300,AC301,AC302,AC303,AC304,AC305)</f>
        <v>-14367</v>
      </c>
      <c r="AD306" s="12">
        <f>SUM(AD298,AD299,AD300,AD301,AD302,AD303,AD304,AD305)</f>
        <v>2448</v>
      </c>
      <c r="AE306" s="12">
        <f>SUM(AE298,AE299,AE300,AE301,AE302,AE303,AE304,AE305)</f>
        <v>-12874</v>
      </c>
      <c r="AF306" s="12">
        <f>SUM(AF298,AF299,AF300,AF301,AF302,AF303,AF304,AF305)</f>
        <v>19521</v>
      </c>
      <c r="AG306" s="12">
        <f>SUM(AG298,AG299,AG300,AG301,AG302,AG303,AG304,AG305)</f>
        <v>-5272</v>
      </c>
      <c r="AH306" s="12">
        <f>SUM(AH298,AH299,AH300,AH301,AH302,AH303,AH304,AH305)</f>
        <v>32096</v>
      </c>
      <c r="AI306" s="12">
        <f>SUM(AI298,AI299,AI300,AI301,AI302,AI303,AI304,AI305)</f>
        <v>71813</v>
      </c>
      <c r="AJ306" s="12">
        <f>SUM(AJ298,AJ299,AJ300,AJ301,AJ302,AJ303,AJ304,AJ305)</f>
        <v>0</v>
      </c>
      <c r="AK306" s="12">
        <f>SUM(AK298,AK299,AK300,AK301,AK302,AK303,AK304,AK305)</f>
        <v>0</v>
      </c>
      <c r="AL306" s="12">
        <f>SUM(AL298,AL299,AL300,AL301,AL302,AL303,AL304,AL305)</f>
        <v>103909</v>
      </c>
      <c r="AM306" s="12">
        <f>SUM(AM298,AM299,AM300,AM301,AM302,AM303,AM304,AM305)</f>
        <v>0</v>
      </c>
      <c r="AN306" s="12">
        <f>SUM(AN298,AN299,AN300,AN301,AN302,AN303,AN304,AN305)</f>
        <v>0</v>
      </c>
      <c r="AO306" s="12">
        <f>SUM(AO298,AO299,AO300,AO301,AO302,AO303,AO304,AO305)</f>
        <v>0</v>
      </c>
      <c r="AP306" s="12">
        <f>SUM(AP298,AP299,AP300,AP301,AP302,AP303,AP304,AP305)</f>
        <v>0</v>
      </c>
      <c r="AQ306" s="12">
        <f>SUM(AQ298,AQ299,AQ300,AQ301,AQ302,AQ303,AQ304,AQ305)</f>
        <v>0</v>
      </c>
      <c r="AR306" s="12">
        <f>SUM(AR298,AR299,AR300,AR301,AR302,AR303,AR304,AR305)</f>
        <v>0</v>
      </c>
      <c r="AS306" s="12">
        <f>SUM(AS298,AS299,AS300,AS301,AS302,AS303,AS304,AS305)</f>
        <v>0</v>
      </c>
      <c r="AT306" s="12">
        <f>SUM(AT298,AT299,AT300,AT301,AT302,AT303,AT304,AT305)</f>
        <v>0</v>
      </c>
      <c r="AU306" s="12">
        <f>SUM(AU298,AU299,AU300,AU301,AU302,AU303,AU304,AU305)</f>
        <v>0</v>
      </c>
      <c r="AV306" s="12">
        <f>SUM(AV298,AV299,AV300,AV301,AV302,AV303,AV304,AV305)</f>
        <v>0</v>
      </c>
      <c r="AW306" s="12">
        <f>SUM(AW298,AW299,AW300,AW301,AW302,AW303,AW304,AW305)</f>
        <v>0</v>
      </c>
      <c r="AX306" s="12">
        <f>SUM(AX298,AX299,AX300,AX301,AX302,AX303,AX304,AX305)</f>
        <v>0</v>
      </c>
      <c r="AY306" s="12">
        <f>SUM(AY298,AY299,AY300,AY301,AY302,AY303,AY304,AY305)</f>
        <v>0</v>
      </c>
      <c r="AZ306" s="12">
        <f>SUM(AZ298,AZ299,AZ300,AZ301,AZ302,AZ303,AZ304,AZ305)</f>
        <v>0</v>
      </c>
      <c r="BA306" s="12">
        <f>SUM(BA298,BA299,BA300,BA301,BA302,BA303,BA304,BA305)</f>
        <v>0</v>
      </c>
      <c r="BB306" s="12">
        <f>SUM(BB298,BB299,BB300,BB301,BB302,BB303,BB304,BB305)</f>
        <v>0</v>
      </c>
      <c r="BC306" s="12">
        <f>SUM(BC298,BC299,BC300,BC301,BC302,BC303,BC304,BC305)</f>
        <v>0</v>
      </c>
      <c r="BD306" s="12">
        <f>SUM(BD298,BD299,BD300,BD301,BD302,BD303,BD304,BD305)</f>
        <v>0</v>
      </c>
      <c r="BE306" s="12">
        <f>SUM(BE298,BE299,BE300,BE301,BE302,BE303,BE304,BE305)</f>
        <v>0</v>
      </c>
      <c r="BF306" s="12">
        <f>SUM(BF298,BF299,BF300,BF301,BF302,BF303,BF304,BF305)</f>
        <v>0</v>
      </c>
      <c r="BG306" s="12" t="n"/>
      <c r="BH306" s="12" t="n"/>
      <c r="BI306" s="12" t="n"/>
      <c r="BJ306" s="12" t="n"/>
      <c r="BK306" s="12" t="n"/>
      <c r="BL306" s="12" t="n"/>
      <c r="BM306" s="12" t="n"/>
      <c r="BN306" s="12" t="n"/>
      <c r="BO306" s="12" t="n"/>
      <c r="BP306" s="12" t="n"/>
      <c r="BQ306" s="12" t="n"/>
      <c r="BR306" s="12" t="n"/>
      <c r="BS306" s="12" t="n"/>
      <c r="BT306" s="12" t="n"/>
      <c r="BU306" s="12" t="n"/>
      <c r="BV306" s="12" t="n"/>
      <c r="BW306" s="12" t="n"/>
      <c r="BX306" s="12" t="n"/>
      <c r="BY306" s="12" t="n"/>
      <c r="BZ306" s="12" t="n"/>
      <c r="CA306" s="12" t="n"/>
      <c r="CB306" s="12" t="n"/>
      <c r="CC306" s="12" t="n"/>
      <c r="CD306" s="12" t="n"/>
      <c r="CE306" s="12" t="n"/>
      <c r="CF306" s="12" t="n"/>
      <c r="CG306" s="12" t="n"/>
      <c r="CH306" s="12" t="n"/>
      <c r="CI306" s="12" t="n"/>
      <c r="CJ306" s="12" t="n"/>
      <c r="CK306" s="12" t="n"/>
      <c r="CL306" s="12" t="n"/>
      <c r="CM306" s="12" t="n"/>
      <c r="CN306" s="12" t="n"/>
      <c r="CO306" s="12" t="n"/>
      <c r="CP306" s="12" t="n"/>
      <c r="CQ306" s="12" t="n"/>
      <c r="CR306" s="12" t="n"/>
      <c r="CS306" s="12" t="n"/>
      <c r="CT306" s="12" t="n"/>
      <c r="CU306" s="12" t="n"/>
      <c r="CV306" s="12" t="n"/>
      <c r="CW306" s="12" t="n"/>
      <c r="CX306" s="12" t="n"/>
      <c r="CY306" s="12" t="n"/>
    </row>
    <row r="307">
      <c r="C307" s="14" t="n"/>
      <c r="D307" s="12" t="n"/>
      <c r="E307" s="12" t="n"/>
      <c r="F307" s="12" t="n"/>
      <c r="G307" s="12" t="n"/>
      <c r="H307" s="12" t="n"/>
      <c r="I307" s="12" t="n"/>
      <c r="J307" s="12" t="n"/>
      <c r="K307" s="12" t="n"/>
      <c r="L307" s="12" t="n"/>
      <c r="M307" s="12" t="n"/>
      <c r="N307" s="12" t="n"/>
      <c r="O307" s="12" t="n"/>
      <c r="P307" s="12" t="n"/>
      <c r="Q307" s="12" t="n"/>
      <c r="R307" s="12" t="n"/>
      <c r="S307" s="12" t="n"/>
      <c r="T307" s="12" t="n"/>
      <c r="U307" s="12" t="n"/>
      <c r="V307" s="12" t="n"/>
      <c r="W307" s="12" t="n"/>
      <c r="X307" s="12" t="n"/>
      <c r="Y307" s="12" t="n"/>
      <c r="Z307" s="12" t="n"/>
      <c r="AA307" s="12" t="n"/>
      <c r="AB307" s="12" t="n"/>
      <c r="AC307" s="12" t="n"/>
      <c r="AD307" s="12" t="n"/>
      <c r="AE307" s="12" t="n"/>
      <c r="AF307" s="12" t="n"/>
      <c r="AG307" s="12" t="n"/>
      <c r="AH307" s="12" t="n"/>
      <c r="AI307" s="12" t="n"/>
      <c r="AJ307" s="12" t="n"/>
      <c r="AK307" s="12" t="n"/>
      <c r="AL307" s="12" t="n"/>
      <c r="AM307" s="12" t="n"/>
      <c r="AN307" s="12" t="n"/>
      <c r="AO307" s="12" t="n"/>
      <c r="AP307" s="12" t="n"/>
      <c r="AQ307" s="12" t="n"/>
      <c r="AR307" s="12" t="n"/>
      <c r="AS307" s="12" t="n"/>
      <c r="AT307" s="12" t="n"/>
      <c r="AU307" s="12" t="n"/>
      <c r="AV307" s="12" t="n"/>
      <c r="AW307" s="12" t="n"/>
      <c r="AX307" s="12" t="n"/>
      <c r="AY307" s="12" t="n"/>
      <c r="AZ307" s="12" t="n"/>
      <c r="BA307" s="12" t="n"/>
      <c r="BB307" s="12" t="n"/>
      <c r="BC307" s="12" t="n"/>
      <c r="BD307" s="12" t="n"/>
      <c r="BE307" s="12" t="n"/>
      <c r="BF307" s="12" t="n"/>
      <c r="BG307" s="12" t="n"/>
      <c r="BH307" s="12" t="n"/>
      <c r="BI307" s="12" t="n"/>
      <c r="BJ307" s="12" t="n"/>
      <c r="BK307" s="12" t="n"/>
      <c r="BL307" s="12" t="n"/>
      <c r="BM307" s="12" t="n"/>
      <c r="BN307" s="12" t="n"/>
      <c r="BO307" s="12" t="n"/>
      <c r="BP307" s="12" t="n"/>
      <c r="BQ307" s="12" t="n"/>
      <c r="BR307" s="12" t="n"/>
      <c r="BS307" s="12" t="n"/>
      <c r="BT307" s="12" t="n"/>
      <c r="BU307" s="12" t="n"/>
      <c r="BV307" s="12" t="n"/>
      <c r="BW307" s="12" t="n"/>
      <c r="BX307" s="12" t="n"/>
      <c r="BY307" s="12" t="n"/>
      <c r="BZ307" s="12" t="n"/>
      <c r="CA307" s="12" t="n"/>
      <c r="CB307" s="12" t="n"/>
      <c r="CC307" s="12" t="n"/>
      <c r="CD307" s="12" t="n"/>
      <c r="CE307" s="12" t="n"/>
      <c r="CF307" s="12" t="n"/>
      <c r="CG307" s="12" t="n"/>
      <c r="CH307" s="12" t="n"/>
      <c r="CI307" s="12" t="n"/>
      <c r="CJ307" s="12" t="n"/>
      <c r="CK307" s="12" t="n"/>
      <c r="CL307" s="12" t="n"/>
      <c r="CM307" s="12" t="n"/>
      <c r="CN307" s="12" t="n"/>
      <c r="CO307" s="12" t="n"/>
      <c r="CP307" s="12" t="n"/>
      <c r="CQ307" s="12" t="n"/>
      <c r="CR307" s="12" t="n"/>
      <c r="CS307" s="12" t="n"/>
      <c r="CT307" s="12" t="n"/>
      <c r="CU307" s="12" t="n"/>
      <c r="CV307" s="12" t="n"/>
      <c r="CW307" s="12" t="n"/>
      <c r="CX307" s="12" t="n"/>
      <c r="CY307" s="12" t="n"/>
    </row>
    <row r="308">
      <c r="C308" s="14" t="inlineStr">
        <is>
          <t>Others / cash reconciliation plug</t>
        </is>
      </c>
      <c r="D308" s="12" t="n"/>
      <c r="E308" s="12" t="n"/>
      <c r="F308" s="12" t="n"/>
      <c r="G308" s="12" t="n"/>
      <c r="H308" s="12" t="n"/>
      <c r="I308" s="12" t="n"/>
      <c r="J308" s="12">
        <f>J140-I140-SUM(J289,J296,J306)</f>
        <v>0</v>
      </c>
      <c r="K308" s="12">
        <f>K140-J140-SUM(K289,K296,K306)</f>
        <v>0</v>
      </c>
      <c r="L308" s="12">
        <f>L140-K140-SUM(L289,L296,L306)</f>
        <v>0</v>
      </c>
      <c r="M308" s="12" t="n"/>
      <c r="N308" s="12">
        <f>N140-M140-SUM(N289,N296,N306)</f>
        <v>0</v>
      </c>
      <c r="O308" s="12">
        <f>O140-N140-SUM(O289,O296,O306)</f>
        <v>0</v>
      </c>
      <c r="P308" s="12">
        <f>P140-O140-SUM(P289,P296,P306)</f>
        <v>0</v>
      </c>
      <c r="Q308" s="12">
        <f>Q140-P140-SUM(Q289,Q296,Q306)</f>
        <v>0</v>
      </c>
      <c r="R308" s="12">
        <f>SUM(N308:Q308)</f>
        <v>0</v>
      </c>
      <c r="S308" s="12">
        <f>S140-R140-SUM(S289,S296,S306)</f>
        <v>0</v>
      </c>
      <c r="T308" s="12">
        <f>T140-S140-SUM(T289,T296,T306)</f>
        <v>0</v>
      </c>
      <c r="U308" s="12">
        <f>U140-T140-SUM(U289,U296,U306)</f>
        <v>0</v>
      </c>
      <c r="V308" s="12">
        <f>V140-U140-SUM(V289,V296,V306)</f>
        <v>0</v>
      </c>
      <c r="W308" s="12">
        <f>SUM(S308:V308)</f>
        <v>0</v>
      </c>
      <c r="X308" s="12">
        <f>X140-W140-SUM(X289,X296,X306)</f>
        <v>0</v>
      </c>
      <c r="Y308" s="12">
        <f>Y140-X140-SUM(Y289,Y296,Y306)</f>
        <v>0</v>
      </c>
      <c r="Z308" s="12">
        <f>Z140-Y140-SUM(Z289,Z296,Z306)</f>
        <v>0</v>
      </c>
      <c r="AA308" s="12">
        <f>AA140-Z140-SUM(AA289,AA296,AA306)</f>
        <v>0</v>
      </c>
      <c r="AB308" s="12">
        <f>SUM(X308:AA308)</f>
        <v>0</v>
      </c>
      <c r="AC308" s="12">
        <f>AC140-AB140-SUM(AC289,AC296,AC306)</f>
        <v>0</v>
      </c>
      <c r="AD308" s="12">
        <f>AD140-AC140-SUM(AD289,AD296,AD306)</f>
        <v>0</v>
      </c>
      <c r="AE308" s="12">
        <f>AE140-AD140-SUM(AE289,AE296,AE306)</f>
        <v>0</v>
      </c>
      <c r="AF308" s="12">
        <f>AF140-AE140-SUM(AF289,AF296,AF306)</f>
        <v>0</v>
      </c>
      <c r="AG308" s="12">
        <f>SUM(AC308:AF308)</f>
        <v>0</v>
      </c>
      <c r="AH308" s="12">
        <f>AH140-AG140-SUM(AH289,AH296,AH306)</f>
        <v>0</v>
      </c>
      <c r="AI308" s="12">
        <f>AI140-AH140-SUM(AI289,AI296,AI306)</f>
        <v>0</v>
      </c>
      <c r="AJ308" s="12">
        <f>AJ140-AI140-SUM(AJ289,AJ296,AJ306)</f>
        <v>0</v>
      </c>
      <c r="AK308" s="12">
        <f>AK140-AJ140-SUM(AK289,AK296,AK306)</f>
        <v>0</v>
      </c>
      <c r="AL308" s="12">
        <f>SUM(AH308:AK308)</f>
        <v>0</v>
      </c>
      <c r="AM308" s="12">
        <f>AM140-AL140-SUM(AM289,AM296,AM306)</f>
        <v>0</v>
      </c>
      <c r="AN308" s="12">
        <f>AN140-AM140-SUM(AN289,AN296,AN306)</f>
        <v>0</v>
      </c>
      <c r="AO308" s="12">
        <f>AO140-AN140-SUM(AO289,AO296,AO306)</f>
        <v>0</v>
      </c>
      <c r="AP308" s="12">
        <f>AP140-AO140-SUM(AP289,AP296,AP306)</f>
        <v>0</v>
      </c>
      <c r="AQ308" s="12">
        <f>SUM(AM308:AP308)</f>
        <v>0</v>
      </c>
      <c r="AR308" s="12">
        <f>AR140-AQ140-SUM(AR289,AR296,AR306)</f>
        <v>0</v>
      </c>
      <c r="AS308" s="12">
        <f>AS140-AR140-SUM(AS289,AS296,AS306)</f>
        <v>0</v>
      </c>
      <c r="AT308" s="12">
        <f>AT140-AS140-SUM(AT289,AT296,AT306)</f>
        <v>0</v>
      </c>
      <c r="AU308" s="12">
        <f>AU140-AT140-SUM(AU289,AU296,AU306)</f>
        <v>0</v>
      </c>
      <c r="AV308" s="12">
        <f>SUM(AR308:AU308)</f>
        <v>0</v>
      </c>
      <c r="AW308" s="12">
        <f>AW140-AV140-SUM(AW289,AW296,AW306)</f>
        <v>0</v>
      </c>
      <c r="AX308" s="12">
        <f>AX140-AW140-SUM(AX289,AX296,AX306)</f>
        <v>0</v>
      </c>
      <c r="AY308" s="12">
        <f>AY140-AX140-SUM(AY289,AY296,AY306)</f>
        <v>0</v>
      </c>
      <c r="AZ308" s="12">
        <f>AZ140-AY140-SUM(AZ289,AZ296,AZ306)</f>
        <v>0</v>
      </c>
      <c r="BA308" s="12">
        <f>SUM(AW308:AZ308)</f>
        <v>0</v>
      </c>
      <c r="BB308" s="12">
        <f>BB140-BA140-SUM(BB289,BB296,BB306)</f>
        <v>0</v>
      </c>
      <c r="BC308" s="12">
        <f>BC140-BB140-SUM(BC289,BC296,BC306)</f>
        <v>0</v>
      </c>
      <c r="BD308" s="12">
        <f>BD140-BC140-SUM(BD289,BD296,BD306)</f>
        <v>0</v>
      </c>
      <c r="BE308" s="12">
        <f>BE140-BD140-SUM(BE289,BE296,BE306)</f>
        <v>0</v>
      </c>
      <c r="BF308" s="12">
        <f>SUM(BB308:BE308)</f>
        <v>0</v>
      </c>
      <c r="BG308" s="12" t="n"/>
      <c r="BH308" s="12" t="n"/>
      <c r="BI308" s="12" t="n"/>
      <c r="BJ308" s="12" t="n"/>
      <c r="BK308" s="12" t="n"/>
      <c r="BL308" s="12" t="n"/>
      <c r="BM308" s="12" t="n"/>
      <c r="BN308" s="12" t="n"/>
      <c r="BO308" s="12" t="n"/>
      <c r="BP308" s="12" t="n"/>
      <c r="BQ308" s="12" t="n"/>
      <c r="BR308" s="12" t="n"/>
      <c r="BS308" s="12" t="n"/>
      <c r="BT308" s="12" t="n"/>
      <c r="BU308" s="12" t="n"/>
      <c r="BV308" s="12" t="n"/>
      <c r="BW308" s="12" t="n"/>
      <c r="BX308" s="12" t="n"/>
      <c r="BY308" s="12" t="n"/>
      <c r="BZ308" s="12" t="n"/>
      <c r="CA308" s="12" t="n"/>
      <c r="CB308" s="12" t="n"/>
      <c r="CC308" s="12" t="n"/>
      <c r="CD308" s="12" t="n"/>
      <c r="CE308" s="12" t="n"/>
      <c r="CF308" s="12" t="n"/>
      <c r="CG308" s="12" t="n"/>
      <c r="CH308" s="12" t="n"/>
      <c r="CI308" s="12" t="n"/>
      <c r="CJ308" s="12" t="n"/>
      <c r="CK308" s="12" t="n"/>
      <c r="CL308" s="12" t="n"/>
      <c r="CM308" s="12" t="n"/>
      <c r="CN308" s="12" t="n"/>
      <c r="CO308" s="12" t="n"/>
      <c r="CP308" s="12" t="n"/>
      <c r="CQ308" s="12" t="n"/>
      <c r="CR308" s="12" t="n"/>
      <c r="CS308" s="12" t="n"/>
      <c r="CT308" s="12" t="n"/>
      <c r="CU308" s="12" t="n"/>
      <c r="CV308" s="12" t="n"/>
      <c r="CW308" s="12" t="n"/>
      <c r="CX308" s="12" t="n"/>
      <c r="CY308" s="12" t="n"/>
    </row>
    <row r="309">
      <c r="C309" s="14" t="n"/>
      <c r="D309" s="12" t="n"/>
      <c r="E309" s="12" t="n"/>
      <c r="F309" s="12" t="n"/>
      <c r="G309" s="12" t="n"/>
      <c r="H309" s="12" t="n"/>
      <c r="I309" s="12" t="n"/>
      <c r="J309" s="12" t="n"/>
      <c r="K309" s="12" t="n"/>
      <c r="L309" s="12" t="n"/>
      <c r="M309" s="12" t="n"/>
      <c r="N309" s="12" t="n"/>
      <c r="O309" s="12" t="n"/>
      <c r="P309" s="12" t="n"/>
      <c r="Q309" s="12" t="n"/>
      <c r="R309" s="12" t="n"/>
      <c r="S309" s="12" t="n"/>
      <c r="T309" s="12" t="n"/>
      <c r="U309" s="12" t="n"/>
      <c r="V309" s="12" t="n"/>
      <c r="W309" s="12" t="n"/>
      <c r="X309" s="12" t="n"/>
      <c r="Y309" s="12" t="n"/>
      <c r="Z309" s="12" t="n"/>
      <c r="AA309" s="12" t="n"/>
      <c r="AB309" s="12" t="n"/>
      <c r="AC309" s="12" t="n"/>
      <c r="AD309" s="12" t="n"/>
      <c r="AE309" s="12" t="n"/>
      <c r="AF309" s="12" t="n"/>
      <c r="AG309" s="12" t="n"/>
      <c r="AH309" s="12" t="n"/>
      <c r="AI309" s="12" t="n"/>
      <c r="AJ309" s="12" t="n"/>
      <c r="AK309" s="12" t="n"/>
      <c r="AL309" s="12" t="n"/>
      <c r="AM309" s="12" t="n"/>
      <c r="AN309" s="12" t="n"/>
      <c r="AO309" s="12" t="n"/>
      <c r="AP309" s="12" t="n"/>
      <c r="AQ309" s="12" t="n"/>
      <c r="AR309" s="12" t="n"/>
      <c r="AS309" s="12" t="n"/>
      <c r="AT309" s="12" t="n"/>
      <c r="AU309" s="12" t="n"/>
      <c r="AV309" s="12" t="n"/>
      <c r="AW309" s="12" t="n"/>
      <c r="AX309" s="12" t="n"/>
      <c r="AY309" s="12" t="n"/>
      <c r="AZ309" s="12" t="n"/>
      <c r="BA309" s="12" t="n"/>
      <c r="BB309" s="12" t="n"/>
      <c r="BC309" s="12" t="n"/>
      <c r="BD309" s="12" t="n"/>
      <c r="BE309" s="12" t="n"/>
      <c r="BF309" s="12" t="n"/>
      <c r="BG309" s="12" t="n"/>
      <c r="BH309" s="12" t="n"/>
      <c r="BI309" s="12" t="n"/>
      <c r="BJ309" s="12" t="n"/>
      <c r="BK309" s="12" t="n"/>
      <c r="BL309" s="12" t="n"/>
      <c r="BM309" s="12" t="n"/>
      <c r="BN309" s="12" t="n"/>
      <c r="BO309" s="12" t="n"/>
      <c r="BP309" s="12" t="n"/>
      <c r="BQ309" s="12" t="n"/>
      <c r="BR309" s="12" t="n"/>
      <c r="BS309" s="12" t="n"/>
      <c r="BT309" s="12" t="n"/>
      <c r="BU309" s="12" t="n"/>
      <c r="BV309" s="12" t="n"/>
      <c r="BW309" s="12" t="n"/>
      <c r="BX309" s="12" t="n"/>
      <c r="BY309" s="12" t="n"/>
      <c r="BZ309" s="12" t="n"/>
      <c r="CA309" s="12" t="n"/>
      <c r="CB309" s="12" t="n"/>
      <c r="CC309" s="12" t="n"/>
      <c r="CD309" s="12" t="n"/>
      <c r="CE309" s="12" t="n"/>
      <c r="CF309" s="12" t="n"/>
      <c r="CG309" s="12" t="n"/>
      <c r="CH309" s="12" t="n"/>
      <c r="CI309" s="12" t="n"/>
      <c r="CJ309" s="12" t="n"/>
      <c r="CK309" s="12" t="n"/>
      <c r="CL309" s="12" t="n"/>
      <c r="CM309" s="12" t="n"/>
      <c r="CN309" s="12" t="n"/>
      <c r="CO309" s="12" t="n"/>
      <c r="CP309" s="12" t="n"/>
      <c r="CQ309" s="12" t="n"/>
      <c r="CR309" s="12" t="n"/>
      <c r="CS309" s="12" t="n"/>
      <c r="CT309" s="12" t="n"/>
      <c r="CU309" s="12" t="n"/>
      <c r="CV309" s="12" t="n"/>
      <c r="CW309" s="12" t="n"/>
      <c r="CX309" s="12" t="n"/>
      <c r="CY309" s="12" t="n"/>
    </row>
    <row r="310">
      <c r="C310" s="14" t="inlineStr">
        <is>
          <t>Total increase/decrease of cash</t>
        </is>
      </c>
      <c r="D310" s="12" t="n"/>
      <c r="E310" s="12" t="n"/>
      <c r="F310" s="12" t="n"/>
      <c r="G310" s="12" t="n"/>
      <c r="H310" s="12" t="n"/>
      <c r="I310" s="12" t="n"/>
      <c r="J310" s="12">
        <f>SUM(J289,J296,J306,J308)</f>
        <v>759</v>
      </c>
      <c r="K310" s="12">
        <f>SUM(K289,K296,K306,K308)</f>
        <v>6140</v>
      </c>
      <c r="L310" s="12">
        <f>SUM(L289,L296,L306,L308)</f>
        <v>-2354</v>
      </c>
      <c r="M310" s="12" t="n"/>
      <c r="N310" s="12">
        <f>SUM(N289,N296,N306,N308)</f>
        <v>-5679</v>
      </c>
      <c r="O310" s="12">
        <f>SUM(O289,O296,O306,O308)</f>
        <v>-8973</v>
      </c>
      <c r="P310" s="12">
        <f>SUM(P289,P296,P306,P308)</f>
        <v>-8738</v>
      </c>
      <c r="Q310" s="12">
        <f>SUM(Q289,Q296,Q306,Q308)</f>
        <v>-2497</v>
      </c>
      <c r="R310" s="12">
        <f>SUM(N310:Q310)</f>
        <v>-25887</v>
      </c>
      <c r="S310" s="12">
        <f>SUM(S289,S296,S306,S308)</f>
        <v>1340</v>
      </c>
      <c r="T310" s="12">
        <f>SUM(T289,T296,T306,T308)</f>
        <v>3230</v>
      </c>
      <c r="U310" s="12">
        <f>SUM(U289,U296,U306,U308)</f>
        <v>1603</v>
      </c>
      <c r="V310" s="12">
        <f>SUM(V289,V296,V306,V308)</f>
        <v>-9019</v>
      </c>
      <c r="W310" s="12">
        <f>SUM(S310:V310)</f>
        <v>-2846</v>
      </c>
      <c r="X310" s="12">
        <f>SUM(X289,X296,X306,X308)</f>
        <v>-2826</v>
      </c>
      <c r="Y310" s="12">
        <f>SUM(Y289,Y296,Y306,Y308)</f>
        <v>-7365</v>
      </c>
      <c r="Z310" s="12">
        <f>SUM(Z289,Z296,Z306,Z308)</f>
        <v>-7495</v>
      </c>
      <c r="AA310" s="12">
        <f>SUM(AA289,AA296,AA306,AA308)</f>
        <v>2427</v>
      </c>
      <c r="AB310" s="12">
        <f>SUM(X310:AA310)</f>
        <v>-15259</v>
      </c>
      <c r="AC310" s="12">
        <f>SUM(AC289,AC296,AC306,AC308)</f>
        <v>-329</v>
      </c>
      <c r="AD310" s="12">
        <f>SUM(AD289,AD296,AD306,AD308)</f>
        <v>-180</v>
      </c>
      <c r="AE310" s="12">
        <f>SUM(AE289,AE296,AE306,AE308)</f>
        <v>3348</v>
      </c>
      <c r="AF310" s="12">
        <f>SUM(AF289,AF296,AF306,AF308)</f>
        <v>28347</v>
      </c>
      <c r="AG310" s="12">
        <f>SUM(AC310:AF310)</f>
        <v>31186</v>
      </c>
      <c r="AH310" s="12">
        <f>SUM(AH289,AH296,AH306,AH308)</f>
        <v>-3</v>
      </c>
      <c r="AI310" s="12">
        <f>SUM(AI289,AI296,AI306,AI308)</f>
        <v>115634</v>
      </c>
      <c r="AJ310" s="12">
        <f>SUM(AJ289,AJ296,AJ306,AJ308)</f>
        <v>52087.605699506</v>
      </c>
      <c r="AK310" s="12">
        <f>SUM(AK289,AK296,AK306,AK308)</f>
        <v>48401.8028066803</v>
      </c>
      <c r="AL310" s="12">
        <f>SUM(AH310:AK310)</f>
        <v>216120.408506186</v>
      </c>
      <c r="AM310" s="12">
        <f>SUM(AM289,AM296,AM306,AM308)</f>
        <v>57789.5579731122</v>
      </c>
      <c r="AN310" s="12">
        <f>SUM(AN289,AN296,AN306,AN308)</f>
        <v>59496.8411490854</v>
      </c>
      <c r="AO310" s="12">
        <f>SUM(AO289,AO296,AO306,AO308)</f>
        <v>69760.6750209831</v>
      </c>
      <c r="AP310" s="12">
        <f>SUM(AP289,AP296,AP306,AP308)</f>
        <v>72053.2290492335</v>
      </c>
      <c r="AQ310" s="12">
        <f>SUM(AM310:AP310)</f>
        <v>259100.303192414</v>
      </c>
      <c r="AR310" s="12">
        <f>SUM(AR289,AR296,AR306,AR308)</f>
        <v>85366.1253559957</v>
      </c>
      <c r="AS310" s="12">
        <f>SUM(AS289,AS296,AS306,AS308)</f>
        <v>88212.460796305</v>
      </c>
      <c r="AT310" s="12">
        <f>SUM(AT289,AT296,AT306,AT308)</f>
        <v>104150.271180166</v>
      </c>
      <c r="AU310" s="12">
        <f>SUM(AU289,AU296,AU306,AU308)</f>
        <v>110484.621921797</v>
      </c>
      <c r="AV310" s="12">
        <f>SUM(AR310:AU310)</f>
        <v>388213.479254263</v>
      </c>
      <c r="AW310" s="12">
        <f>SUM(AW289,AW296,AW306,AW308)</f>
        <v>128640.345824875</v>
      </c>
      <c r="AX310" s="12">
        <f>SUM(AX289,AX296,AX306,AX308)</f>
        <v>138074.991012219</v>
      </c>
      <c r="AY310" s="12">
        <f>SUM(AY289,AY296,AY306,AY308)</f>
        <v>161156.175129236</v>
      </c>
      <c r="AZ310" s="12">
        <f>SUM(AZ289,AZ296,AZ306,AZ308)</f>
        <v>174785.956826101</v>
      </c>
      <c r="BA310" s="12">
        <f>SUM(AW310:AZ310)</f>
        <v>602657.468792431</v>
      </c>
      <c r="BB310" s="12">
        <f>SUM(BB289,BB296,BB306,BB308)</f>
        <v>201682.848879552</v>
      </c>
      <c r="BC310" s="12">
        <f>SUM(BC289,BC296,BC306,BC308)</f>
        <v>220111.533796977</v>
      </c>
      <c r="BD310" s="12">
        <f>SUM(BD289,BD296,BD306,BD308)</f>
        <v>256002.929061518</v>
      </c>
      <c r="BE310" s="12">
        <f>SUM(BE289,BE296,BE306,BE308)</f>
        <v>282291.842570636</v>
      </c>
      <c r="BF310" s="12">
        <f>SUM(BB310:BE310)</f>
        <v>960089.154308684</v>
      </c>
      <c r="BG310" s="12" t="n"/>
      <c r="BH310" s="12" t="n"/>
      <c r="BI310" s="12" t="n"/>
      <c r="BJ310" s="12" t="n"/>
      <c r="BK310" s="12" t="n"/>
      <c r="BL310" s="12" t="n"/>
      <c r="BM310" s="12" t="n"/>
      <c r="BN310" s="12" t="n"/>
      <c r="BO310" s="12" t="n"/>
      <c r="BP310" s="12" t="n"/>
      <c r="BQ310" s="12" t="n"/>
      <c r="BR310" s="12" t="n"/>
      <c r="BS310" s="12" t="n"/>
      <c r="BT310" s="12" t="n"/>
      <c r="BU310" s="12" t="n"/>
      <c r="BV310" s="12" t="n"/>
      <c r="BW310" s="12" t="n"/>
      <c r="BX310" s="12" t="n"/>
      <c r="BY310" s="12" t="n"/>
      <c r="BZ310" s="12" t="n"/>
      <c r="CA310" s="12" t="n"/>
      <c r="CB310" s="12" t="n"/>
      <c r="CC310" s="12" t="n"/>
      <c r="CD310" s="12" t="n"/>
      <c r="CE310" s="12" t="n"/>
      <c r="CF310" s="12" t="n"/>
      <c r="CG310" s="12" t="n"/>
      <c r="CH310" s="12" t="n"/>
      <c r="CI310" s="12" t="n"/>
      <c r="CJ310" s="12" t="n"/>
      <c r="CK310" s="12" t="n"/>
      <c r="CL310" s="12" t="n"/>
      <c r="CM310" s="12" t="n"/>
      <c r="CN310" s="12" t="n"/>
      <c r="CO310" s="12" t="n"/>
      <c r="CP310" s="12" t="n"/>
      <c r="CQ310" s="12" t="n"/>
      <c r="CR310" s="12" t="n"/>
      <c r="CS310" s="12" t="n"/>
      <c r="CT310" s="12" t="n"/>
      <c r="CU310" s="12" t="n"/>
      <c r="CV310" s="12" t="n"/>
      <c r="CW310" s="12" t="n"/>
      <c r="CX310" s="12" t="n"/>
      <c r="CY310" s="12" t="n"/>
    </row>
    <row r="311">
      <c r="C311" s="4" t="inlineStr">
        <is>
          <t>Check</t>
        </is>
      </c>
      <c r="E311" s="72" t="n"/>
      <c r="F311" s="72" t="n"/>
      <c r="G311" s="72" t="n"/>
      <c r="I311" s="72" t="str">
        <f>""</f>
        <v/>
      </c>
      <c r="J311" s="72">
        <f>J140-I140-J310</f>
        <v>0</v>
      </c>
      <c r="K311" s="72">
        <f>K140-J140-K310</f>
        <v>0</v>
      </c>
      <c r="L311" s="72">
        <f>L140-K140-L310</f>
        <v>0</v>
      </c>
      <c r="M311" s="4" t="str">
        <f>""</f>
        <v/>
      </c>
      <c r="N311" s="72">
        <f>N140-M140-N310</f>
        <v>0</v>
      </c>
      <c r="O311" s="72">
        <f>O140-N140-O310</f>
        <v>0</v>
      </c>
      <c r="P311" s="72">
        <f>P140-O140-P310</f>
        <v>0</v>
      </c>
      <c r="Q311" s="72">
        <f>Q140-P140-Q310</f>
        <v>0</v>
      </c>
      <c r="R311" s="4">
        <f>R140-M140-R310</f>
        <v>0</v>
      </c>
      <c r="S311" s="72">
        <f>S140-R140-S310</f>
        <v>0</v>
      </c>
      <c r="T311" s="72">
        <f>T140-S140-T310</f>
        <v>0</v>
      </c>
      <c r="U311" s="72">
        <f>U140-T140-U310</f>
        <v>0</v>
      </c>
      <c r="V311" s="72">
        <f>V140-U140-V310</f>
        <v>0</v>
      </c>
      <c r="W311" s="4">
        <f>W140-R140-W310</f>
        <v>0</v>
      </c>
      <c r="X311" s="72">
        <f>X140-W140-X310</f>
        <v>0</v>
      </c>
      <c r="Y311" s="72">
        <f>Y140-X140-Y310</f>
        <v>0</v>
      </c>
      <c r="Z311" s="72">
        <f>Z140-Y140-Z310</f>
        <v>0</v>
      </c>
      <c r="AA311" s="72">
        <f>AA140-Z140-AA310</f>
        <v>0</v>
      </c>
      <c r="AB311" s="4">
        <f>AB140-W140-AB310</f>
        <v>0</v>
      </c>
      <c r="AC311" s="72">
        <f>AC140-AB140-AC310</f>
        <v>0</v>
      </c>
      <c r="AD311" s="72">
        <f>AD140-AC140-AD310</f>
        <v>0</v>
      </c>
      <c r="AE311" s="72">
        <f>AE140-AD140-AE310</f>
        <v>0</v>
      </c>
      <c r="AF311" s="72">
        <f>AF140-AE140-AF310</f>
        <v>0</v>
      </c>
      <c r="AG311" s="4">
        <f>AG140-AB140-AG310</f>
        <v>0</v>
      </c>
      <c r="AH311" s="72">
        <f>AH140-AG140-AH310</f>
        <v>0</v>
      </c>
      <c r="AI311" s="72">
        <f>AI140-AH140-AI310</f>
        <v>0</v>
      </c>
      <c r="AJ311" s="72">
        <f>AJ140-AI140-AJ310</f>
        <v>0</v>
      </c>
      <c r="AK311" s="72">
        <f>AK140-AJ140-AK310</f>
        <v>0</v>
      </c>
      <c r="AL311" s="4">
        <f>AL140-AG140-AL310</f>
        <v>0</v>
      </c>
      <c r="AM311" s="72">
        <f>AM140-AL140-AM310</f>
        <v>0</v>
      </c>
      <c r="AN311" s="72">
        <f>AN140-AM140-AN310</f>
        <v>0</v>
      </c>
      <c r="AO311" s="72">
        <f>AO140-AN140-AO310</f>
        <v>0</v>
      </c>
      <c r="AP311" s="72">
        <f>AP140-AO140-AP310</f>
        <v>0</v>
      </c>
      <c r="AQ311" s="4">
        <f>AQ140-AL140-AQ310</f>
        <v>0</v>
      </c>
      <c r="AR311" s="72">
        <f>AR140-AQ140-AR310</f>
        <v>0</v>
      </c>
      <c r="AS311" s="72">
        <f>AS140-AR140-AS310</f>
        <v>0</v>
      </c>
      <c r="AT311" s="72">
        <f>AT140-AS140-AT310</f>
        <v>0</v>
      </c>
      <c r="AU311" s="72">
        <f>AU140-AT140-AU310</f>
        <v>0</v>
      </c>
      <c r="AV311" s="4">
        <f>AV140-AQ140-AV310</f>
        <v>0</v>
      </c>
      <c r="AW311" s="72">
        <f>AW140-AV140-AW310</f>
        <v>0</v>
      </c>
      <c r="AX311" s="72">
        <f>AX140-AW140-AX310</f>
        <v>0</v>
      </c>
      <c r="AY311" s="72">
        <f>AY140-AX140-AY310</f>
        <v>0</v>
      </c>
      <c r="AZ311" s="72">
        <f>AZ140-AY140-AZ310</f>
        <v>0</v>
      </c>
      <c r="BA311" s="4">
        <f>BA140-AV140-BA310</f>
        <v>0</v>
      </c>
      <c r="BB311" s="72">
        <f>BB140-BA140-BB310</f>
        <v>0</v>
      </c>
      <c r="BC311" s="72">
        <f>BC140-BB140-BC310</f>
        <v>0</v>
      </c>
      <c r="BD311" s="72">
        <f>BD140-BC140-BD310</f>
        <v>0</v>
      </c>
      <c r="BE311" s="72">
        <f>BE140-BD140-BE310</f>
        <v>0</v>
      </c>
      <c r="BF311" s="4">
        <f>BF140-BA140-BF310</f>
        <v>0</v>
      </c>
      <c r="BG311" s="72" t="n"/>
      <c r="BH311" s="72" t="n"/>
      <c r="BI311" s="72" t="n"/>
      <c r="BJ311" s="72" t="n"/>
      <c r="BL311" s="72" t="n"/>
      <c r="BM311" s="72" t="n"/>
      <c r="BN311" s="72" t="n"/>
      <c r="BO311" s="72" t="n"/>
      <c r="BQ311" s="72" t="n"/>
      <c r="BR311" s="72" t="n"/>
      <c r="BS311" s="72" t="n"/>
      <c r="BT311" s="72" t="n"/>
      <c r="BV311" s="72" t="n"/>
      <c r="BW311" s="72" t="n"/>
      <c r="BX311" s="72" t="n"/>
      <c r="BY311" s="72" t="n"/>
      <c r="CA311" s="72" t="n"/>
      <c r="CB311" s="72" t="n"/>
      <c r="CC311" s="72" t="n"/>
      <c r="CD311" s="72" t="n"/>
      <c r="CF311" s="72" t="n"/>
      <c r="CG311" s="72" t="n"/>
      <c r="CH311" s="72" t="n"/>
      <c r="CI311" s="72" t="n"/>
      <c r="CK311" s="72" t="n"/>
      <c r="CL311" s="72" t="n"/>
      <c r="CM311" s="72" t="n"/>
      <c r="CN311" s="72" t="n"/>
      <c r="CP311" s="72" t="n"/>
      <c r="CQ311" s="72" t="n"/>
      <c r="CR311" s="72" t="n"/>
      <c r="CS311" s="72" t="n"/>
      <c r="CU311" s="72" t="n"/>
      <c r="CV311" s="72" t="n"/>
      <c r="CW311" s="72" t="n"/>
      <c r="CX311" s="72" t="n"/>
    </row>
    <row r="312"/>
    <row r="313">
      <c r="C313" s="73" t="inlineStr">
        <is>
          <t>Ratio Analysis</t>
        </is>
      </c>
      <c r="D313" s="73" t="n"/>
      <c r="E313" s="73" t="n"/>
      <c r="F313" s="73" t="n"/>
      <c r="G313" s="73" t="n"/>
      <c r="H313" s="73" t="n"/>
      <c r="I313" s="73" t="n"/>
      <c r="J313" s="73" t="n"/>
      <c r="K313" s="73" t="n"/>
      <c r="L313" s="73" t="n"/>
      <c r="M313" s="73" t="n"/>
      <c r="N313" s="73" t="n"/>
      <c r="O313" s="73" t="n"/>
      <c r="P313" s="73" t="n"/>
      <c r="Q313" s="73" t="n"/>
      <c r="R313" s="73" t="n"/>
      <c r="S313" s="73" t="n"/>
      <c r="T313" s="73" t="n"/>
      <c r="U313" s="73" t="n"/>
      <c r="V313" s="73" t="n"/>
      <c r="W313" s="73" t="n"/>
      <c r="X313" s="73" t="n"/>
      <c r="Y313" s="73" t="n"/>
      <c r="Z313" s="73" t="n"/>
      <c r="AA313" s="73" t="n"/>
      <c r="AB313" s="73" t="n"/>
      <c r="AC313" s="73" t="n"/>
      <c r="AD313" s="73" t="n"/>
      <c r="AE313" s="73" t="n"/>
      <c r="AF313" s="73" t="n"/>
      <c r="AG313" s="73" t="n"/>
      <c r="AH313" s="73" t="n"/>
      <c r="AI313" s="73" t="n"/>
      <c r="AJ313" s="73" t="n"/>
      <c r="AK313" s="73" t="n"/>
      <c r="AL313" s="73" t="n"/>
      <c r="AM313" s="73" t="n"/>
      <c r="AN313" s="73" t="n"/>
      <c r="AO313" s="73" t="n"/>
      <c r="AP313" s="73" t="n"/>
      <c r="AQ313" s="73" t="n"/>
      <c r="AR313" s="73" t="n"/>
      <c r="AS313" s="73" t="n"/>
      <c r="AT313" s="73" t="n"/>
      <c r="AU313" s="73" t="n"/>
      <c r="AV313" s="73" t="n"/>
      <c r="AW313" s="73" t="n"/>
      <c r="AX313" s="73" t="n"/>
      <c r="AY313" s="73" t="n"/>
      <c r="AZ313" s="73" t="n"/>
      <c r="BA313" s="73" t="n"/>
      <c r="BB313" s="73" t="n"/>
      <c r="BC313" s="73" t="n"/>
      <c r="BD313" s="73" t="n"/>
      <c r="BE313" s="73" t="n"/>
      <c r="BF313" s="73" t="n"/>
      <c r="BG313" s="73" t="n"/>
      <c r="BH313" s="73" t="n"/>
      <c r="BI313" s="73" t="n"/>
      <c r="BJ313" s="73" t="n"/>
      <c r="BK313" s="73" t="n"/>
      <c r="BL313" s="73" t="n"/>
      <c r="BM313" s="73" t="n"/>
      <c r="BN313" s="73" t="n"/>
      <c r="BO313" s="73" t="n"/>
      <c r="BP313" s="73" t="n"/>
      <c r="BQ313" s="73" t="n"/>
      <c r="BR313" s="73" t="n"/>
      <c r="BS313" s="73" t="n"/>
      <c r="BT313" s="73" t="n"/>
      <c r="BU313" s="73" t="n"/>
      <c r="BV313" s="73" t="n"/>
      <c r="BW313" s="73" t="n"/>
      <c r="BX313" s="73" t="n"/>
      <c r="BY313" s="73" t="n"/>
      <c r="BZ313" s="73" t="n"/>
      <c r="CA313" s="73" t="n"/>
      <c r="CB313" s="73" t="n"/>
      <c r="CC313" s="73" t="n"/>
      <c r="CD313" s="73" t="n"/>
      <c r="CE313" s="73" t="n"/>
      <c r="CF313" s="73" t="n"/>
      <c r="CG313" s="73" t="n"/>
      <c r="CH313" s="73" t="n"/>
      <c r="CI313" s="73" t="n"/>
      <c r="CJ313" s="73" t="n"/>
      <c r="CK313" s="73" t="n"/>
      <c r="CL313" s="73" t="n"/>
      <c r="CM313" s="73" t="n"/>
      <c r="CN313" s="73" t="n"/>
      <c r="CO313" s="73" t="n"/>
      <c r="CP313" s="73" t="n"/>
      <c r="CQ313" s="73" t="n"/>
      <c r="CR313" s="73" t="n"/>
      <c r="CS313" s="73" t="n"/>
      <c r="CT313" s="73" t="n"/>
      <c r="CU313" s="73" t="n"/>
      <c r="CV313" s="73" t="n"/>
      <c r="CW313" s="73" t="n"/>
      <c r="CX313" s="73" t="n"/>
      <c r="CY313" s="73" t="n"/>
    </row>
    <row r="314"/>
    <row r="315" customFormat="1" s="74">
      <c r="C315" s="74" t="inlineStr">
        <is>
          <t>YEAR</t>
        </is>
      </c>
      <c r="D315">
        <f>IFERROR(D271,"")</f>
        <v>0</v>
      </c>
      <c r="E315" s="75">
        <f>IFERROR(E271,"")</f>
        <v>0</v>
      </c>
      <c r="F315" s="75">
        <f>IFERROR(F271,"")</f>
        <v>0</v>
      </c>
      <c r="G315" s="75">
        <f>IFERROR(G271,"")</f>
        <v>0</v>
      </c>
      <c r="H315" s="75">
        <f>IFERROR(H271,"")</f>
        <v>0</v>
      </c>
      <c r="I315" s="75" t="str">
        <f>IFERROR(I271,"")</f>
        <v>1Q21</v>
      </c>
      <c r="J315" s="75" t="str">
        <f>IFERROR(J271,"")</f>
        <v>2Q21</v>
      </c>
      <c r="K315" s="75" t="str">
        <f>IFERROR(K271,"")</f>
        <v>3Q21</v>
      </c>
      <c r="L315" s="75" t="str">
        <f>IFERROR(L271,"")</f>
        <v>4Q21</v>
      </c>
      <c r="M315" s="75">
        <f>IFERROR(M271,"")</f>
        <v>2021</v>
      </c>
      <c r="N315" s="75" t="str">
        <f>IFERROR(N271,"")</f>
        <v>1Q22</v>
      </c>
      <c r="O315" s="75" t="str">
        <f>IFERROR(O271,"")</f>
        <v>2Q22</v>
      </c>
      <c r="P315" s="75" t="str">
        <f>IFERROR(P271,"")</f>
        <v>3Q22</v>
      </c>
      <c r="Q315" s="75" t="str">
        <f>IFERROR(Q271,"")</f>
        <v>4Q22</v>
      </c>
      <c r="R315" s="75">
        <f>IFERROR(R271,"")</f>
        <v>2022</v>
      </c>
      <c r="S315" s="75" t="str">
        <f>IFERROR(S271,"")</f>
        <v>1Q23</v>
      </c>
      <c r="T315" s="75" t="str">
        <f>IFERROR(T271,"")</f>
        <v>2Q23</v>
      </c>
      <c r="U315" s="75" t="str">
        <f>IFERROR(U271,"")</f>
        <v>3Q23</v>
      </c>
      <c r="V315" s="75" t="str">
        <f>IFERROR(V271,"")</f>
        <v>4Q23</v>
      </c>
      <c r="W315" s="75">
        <f>IFERROR(W271,"")</f>
        <v>2023</v>
      </c>
      <c r="X315" s="75" t="str">
        <f>IFERROR(X271,"")</f>
        <v>1Q24</v>
      </c>
      <c r="Y315" s="75" t="str">
        <f>IFERROR(Y271,"")</f>
        <v>2Q24</v>
      </c>
      <c r="Z315" s="75" t="str">
        <f>IFERROR(Z271,"")</f>
        <v>3Q24</v>
      </c>
      <c r="AA315" s="75" t="str">
        <f>IFERROR(AA271,"")</f>
        <v>4Q24</v>
      </c>
      <c r="AB315" s="75">
        <f>IFERROR(AB271,"")</f>
        <v>2024</v>
      </c>
      <c r="AC315" s="75" t="str">
        <f>IFERROR(AC271,"")</f>
        <v>1Q25</v>
      </c>
      <c r="AD315" s="75" t="str">
        <f>IFERROR(AD271,"")</f>
        <v>2Q25</v>
      </c>
      <c r="AE315" s="75" t="str">
        <f>IFERROR(AE271,"")</f>
        <v>3Q25</v>
      </c>
      <c r="AF315" s="75" t="str">
        <f>IFERROR(AF271,"")</f>
        <v>4Q25</v>
      </c>
      <c r="AG315" s="75">
        <f>IFERROR(AG271,"")</f>
        <v>2025</v>
      </c>
      <c r="AH315" s="75" t="str">
        <f>IFERROR(AH271,"")</f>
        <v>1Q26</v>
      </c>
      <c r="AI315" s="75" t="str">
        <f>IFERROR(AI271,"")</f>
        <v>2Q26</v>
      </c>
      <c r="AJ315" s="75" t="str">
        <f>IFERROR(AJ271,"")</f>
        <v>3Q26</v>
      </c>
      <c r="AK315" s="75" t="str">
        <f>IFERROR(AK271,"")</f>
        <v>4Q26</v>
      </c>
      <c r="AL315" s="75">
        <f>IFERROR(AL271,"")</f>
        <v>2026</v>
      </c>
      <c r="AM315" s="75" t="str">
        <f>IFERROR(AM271,"")</f>
        <v>1Q27</v>
      </c>
      <c r="AN315" s="75" t="str">
        <f>IFERROR(AN271,"")</f>
        <v>2Q27</v>
      </c>
      <c r="AO315" s="75" t="str">
        <f>IFERROR(AO271,"")</f>
        <v>3Q27</v>
      </c>
      <c r="AP315" s="75" t="str">
        <f>IFERROR(AP271,"")</f>
        <v>4Q27</v>
      </c>
      <c r="AQ315" s="75">
        <f>IFERROR(AQ271,"")</f>
        <v>2027</v>
      </c>
      <c r="AR315" s="75" t="str">
        <f>IFERROR(AR271,"")</f>
        <v>1Q28</v>
      </c>
      <c r="AS315" s="75" t="str">
        <f>IFERROR(AS271,"")</f>
        <v>2Q28</v>
      </c>
      <c r="AT315" s="75" t="str">
        <f>IFERROR(AT271,"")</f>
        <v>3Q28</v>
      </c>
      <c r="AU315" s="75" t="str">
        <f>IFERROR(AU271,"")</f>
        <v>4Q28</v>
      </c>
      <c r="AV315" s="75">
        <f>IFERROR(AV271,"")</f>
        <v>2028</v>
      </c>
      <c r="AW315" s="75" t="str">
        <f>IFERROR(AW271,"")</f>
        <v>1Q29</v>
      </c>
      <c r="AX315" s="75" t="str">
        <f>IFERROR(AX271,"")</f>
        <v>2Q29</v>
      </c>
      <c r="AY315" s="75" t="str">
        <f>IFERROR(AY271,"")</f>
        <v>3Q29</v>
      </c>
      <c r="AZ315" s="75" t="str">
        <f>IFERROR(AZ271,"")</f>
        <v>4Q29</v>
      </c>
      <c r="BA315" s="75">
        <f>IFERROR(BA271,"")</f>
        <v>2029</v>
      </c>
      <c r="BB315" s="75" t="str">
        <f>IFERROR(BB271,"")</f>
        <v>1Q30</v>
      </c>
      <c r="BC315" s="75" t="str">
        <f>IFERROR(BC271,"")</f>
        <v>2Q30</v>
      </c>
      <c r="BD315" s="75" t="str">
        <f>IFERROR(BD271,"")</f>
        <v>3Q30</v>
      </c>
      <c r="BE315" s="75" t="str">
        <f>IFERROR(BE271,"")</f>
        <v>4Q30</v>
      </c>
      <c r="BF315" s="75">
        <f>IFERROR(BF271,"")</f>
        <v>2030</v>
      </c>
      <c r="BG315" s="75" t="n"/>
      <c r="BH315" s="75" t="n"/>
      <c r="BI315" s="75" t="n"/>
      <c r="BJ315" s="75" t="n"/>
      <c r="BK315" s="75" t="n"/>
      <c r="BL315" s="75" t="n"/>
      <c r="BM315" s="75" t="n"/>
      <c r="BN315" s="75" t="n"/>
      <c r="BO315" s="75" t="n"/>
      <c r="BP315" s="75" t="n"/>
      <c r="BQ315" s="75" t="n"/>
      <c r="BR315" s="75" t="n"/>
      <c r="BS315" s="75" t="n"/>
      <c r="BT315" s="75" t="n"/>
      <c r="BU315" s="75" t="n"/>
      <c r="BV315" s="75" t="n"/>
      <c r="BW315" s="75" t="n"/>
      <c r="BX315" s="75" t="n"/>
      <c r="BY315" s="75" t="n"/>
      <c r="BZ315" s="75" t="n"/>
      <c r="CA315" s="75" t="n"/>
      <c r="CB315" s="75" t="n"/>
      <c r="CC315" s="75" t="n"/>
      <c r="CD315" s="75" t="n"/>
      <c r="CE315" s="75" t="n"/>
      <c r="CF315" s="75" t="n"/>
      <c r="CG315" s="75" t="n"/>
      <c r="CH315" s="75" t="n"/>
      <c r="CI315" s="75" t="n"/>
      <c r="CJ315" s="75" t="n"/>
      <c r="CK315" s="75" t="n"/>
      <c r="CL315" s="75" t="n"/>
      <c r="CM315" s="75" t="n"/>
      <c r="CN315" s="75" t="n"/>
      <c r="CO315" s="75" t="n"/>
      <c r="CP315" s="75" t="n"/>
      <c r="CQ315" s="75" t="n"/>
      <c r="CR315" s="75" t="n"/>
      <c r="CS315" s="75" t="n"/>
      <c r="CT315" s="75" t="n"/>
      <c r="CU315" s="75" t="n"/>
      <c r="CV315" s="75" t="n"/>
      <c r="CW315" s="75" t="n"/>
      <c r="CX315" s="75" t="n"/>
      <c r="CY315" s="75" t="n"/>
    </row>
    <row r="316" customFormat="1" s="77">
      <c r="A316" s="76" t="n"/>
      <c r="B316" s="76" t="n"/>
      <c r="C316" s="74" t="inlineStr">
        <is>
          <t>GROWTH &amp; MARGINS</t>
        </is>
      </c>
    </row>
    <row r="317" customFormat="1" s="77">
      <c r="A317" s="76" t="n"/>
      <c r="B317" s="76" t="n"/>
      <c r="C317" s="77" t="inlineStr">
        <is>
          <t>NET REVENUE GROWTH (YoY)</t>
        </is>
      </c>
      <c r="E317" s="78" t="str">
        <f>IFERROR(E15/D15-1,"")</f>
        <v/>
      </c>
      <c r="F317" s="78" t="str">
        <f>IFERROR(F15/E15-1,"")</f>
        <v/>
      </c>
      <c r="G317" s="78" t="str">
        <f>IFERROR(G15/F15-1,"")</f>
        <v/>
      </c>
      <c r="H317" s="257" t="str">
        <f>""</f>
        <v/>
      </c>
      <c r="I317" s="257" t="str">
        <f>""</f>
        <v/>
      </c>
      <c r="J317" s="257" t="str">
        <f>""</f>
        <v/>
      </c>
      <c r="K317" s="257" t="str">
        <f>""</f>
        <v/>
      </c>
      <c r="L317" s="257" t="str">
        <f>""</f>
        <v/>
      </c>
      <c r="M317" s="257" t="str">
        <f>IFERROR(IF(AND(ISNUMBER(M15),ISNUMBER(H15),H15&lt;&gt;0),M15/H15-1,""),"")</f>
        <v/>
      </c>
      <c r="N317" s="257">
        <f>IFERROR(IF(AND(ISNUMBER(N15),ISNUMBER(I15),I15&lt;&gt;0),N15/I15-1,""),"")</f>
        <v>0.229544057562281</v>
      </c>
      <c r="O317" s="257">
        <f>IFERROR(IF(AND(ISNUMBER(O15),ISNUMBER(J15),J15&lt;&gt;0),O15/J15-1,""),"")</f>
        <v>0.126131221719457</v>
      </c>
      <c r="P317" s="257">
        <f>IFERROR(IF(AND(ISNUMBER(P15),ISNUMBER(K15),K15&lt;&gt;0),P15/K15-1,""),"")</f>
        <v>0.0610276728400749</v>
      </c>
      <c r="Q317" s="257">
        <f>IFERROR(IF(AND(ISNUMBER(Q15),ISNUMBER(L15),L15&lt;&gt;0),Q15/L15-1,""),"")</f>
        <v>0.00959840690341851</v>
      </c>
      <c r="R317" s="257">
        <f>IFERROR(IF(AND(ISNUMBER(R15),ISNUMBER(M15),M15&lt;&gt;0),R15/M15-1,""),"")</f>
        <v>0.0978081564371578</v>
      </c>
      <c r="S317" s="257">
        <f>IFERROR(IF(AND(ISNUMBER(S15),ISNUMBER(N15),N15&lt;&gt;0),S15/N15-1,""),"")</f>
        <v>0.0261134228286601</v>
      </c>
      <c r="T317" s="257">
        <f>IFERROR(IF(AND(ISNUMBER(T15),ISNUMBER(O15),O15&lt;&gt;0),T15/O15-1,""),"")</f>
        <v>0.0705890794288584</v>
      </c>
      <c r="U317" s="257">
        <f>IFERROR(IF(AND(ISNUMBER(U15),ISNUMBER(P15),P15&lt;&gt;0),U15/P15-1,""),"")</f>
        <v>0.110012736641</v>
      </c>
      <c r="V317" s="257">
        <f>IFERROR(IF(AND(ISNUMBER(V15),ISNUMBER(Q15),Q15&lt;&gt;0),V15/Q15-1,""),"")</f>
        <v>0.134941089837997</v>
      </c>
      <c r="W317" s="257">
        <f>IFERROR(IF(AND(ISNUMBER(W15),ISNUMBER(R15),R15&lt;&gt;0),W15/R15-1,""),"")</f>
        <v>0.0868277022726951</v>
      </c>
      <c r="X317" s="257">
        <f>IFERROR(IF(AND(ISNUMBER(X15),ISNUMBER(S15),S15&lt;&gt;0),X15/S15-1,""),"")</f>
        <v>0.154068809377105</v>
      </c>
      <c r="Y317" s="257">
        <f>IFERROR(IF(AND(ISNUMBER(Y15),ISNUMBER(T15),T15&lt;&gt;0),Y15/T15-1,""),"")</f>
        <v>0.135890836952442</v>
      </c>
      <c r="Z317" s="257">
        <f>IFERROR(IF(AND(ISNUMBER(Z15),ISNUMBER(U15),U15&lt;&gt;0),Z15/U15-1,""),"")</f>
        <v>0.150926420924987</v>
      </c>
      <c r="AA317" s="257">
        <f>IFERROR(IF(AND(ISNUMBER(AA15),ISNUMBER(V15),V15&lt;&gt;0),AA15/V15-1,""),"")</f>
        <v>0.11770362646275</v>
      </c>
      <c r="AB317" s="257">
        <f>IFERROR(IF(AND(ISNUMBER(AB15),ISNUMBER(W15),W15&lt;&gt;0),AB15/W15-1,""),"")</f>
        <v>0.138662433229016</v>
      </c>
      <c r="AC317" s="257">
        <f>IFERROR(IF(AND(ISNUMBER(AC15),ISNUMBER(X15),X15&lt;&gt;0),AC15/X15-1,""),"")</f>
        <v>0.120376463576652</v>
      </c>
      <c r="AD317" s="257">
        <f>IFERROR(IF(AND(ISNUMBER(AD15),ISNUMBER(Y15),Y15&lt;&gt;0),AD15/Y15-1,""),"")</f>
        <v>0.137900922800972</v>
      </c>
      <c r="AE317" s="257">
        <f>IFERROR(IF(AND(ISNUMBER(AE15),ISNUMBER(Z15),Z15&lt;&gt;0),AE15/Z15-1,""),"")</f>
        <v>0.159491548466035</v>
      </c>
      <c r="AF317" s="257">
        <f>IFERROR(IF(AND(ISNUMBER(AF15),ISNUMBER(AA15),AA15&lt;&gt;0),AF15/AA15-1,""),"")</f>
        <v>0.179954182172511</v>
      </c>
      <c r="AG317" s="257">
        <f>IFERROR(IF(AND(ISNUMBER(AG15),ISNUMBER(AB15),AB15&lt;&gt;0),AG15/AB15-1,""),"")</f>
        <v>0.15090366781137</v>
      </c>
      <c r="AH317" s="257">
        <f>IFERROR(IF(AND(ISNUMBER(AH15),ISNUMBER(AC15),AC15&lt;&gt;0),AH15/AC15-1,""),"")</f>
        <v>0.217900126338187</v>
      </c>
      <c r="AI317" s="257">
        <f>IFERROR(IF(AND(ISNUMBER(AI15),ISNUMBER(AD15),AD15&lt;&gt;0),AI15/AD15-1,""),"")</f>
        <v>0.242336250881487</v>
      </c>
      <c r="AJ317" s="257">
        <f>IFERROR(IF(AND(ISNUMBER(AJ15),ISNUMBER(AE15),AE15&lt;&gt;0),AJ15/AE15-1,""),"")</f>
        <v>0.176326582372641</v>
      </c>
      <c r="AK317" s="257">
        <f>IFERROR(IF(AND(ISNUMBER(AK15),ISNUMBER(AF15),AF15&lt;&gt;0),AK15/AF15-1,""),"")</f>
        <v>0.176326582372641</v>
      </c>
      <c r="AL317" s="257">
        <f>IFERROR(IF(AND(ISNUMBER(AL15),ISNUMBER(AG15),AG15&lt;&gt;0),AL15/AG15-1,""),"")</f>
        <v>0.201439785681071</v>
      </c>
      <c r="AM317" s="257">
        <f>IFERROR(IF(AND(ISNUMBER(AM15),ISNUMBER(AH15),AH15&lt;&gt;0),AM15/AH15-1,""),"")</f>
        <v>0.176326582372641</v>
      </c>
      <c r="AN317" s="257">
        <f>IFERROR(IF(AND(ISNUMBER(AN15),ISNUMBER(AI15),AI15&lt;&gt;0),AN15/AI15-1,""),"")</f>
        <v>0.176326582372641</v>
      </c>
      <c r="AO317" s="257">
        <f>IFERROR(IF(AND(ISNUMBER(AO15),ISNUMBER(AJ15),AJ15&lt;&gt;0),AO15/AJ15-1,""),"")</f>
        <v>0.176326582372641</v>
      </c>
      <c r="AP317" s="257">
        <f>IFERROR(IF(AND(ISNUMBER(AP15),ISNUMBER(AK15),AK15&lt;&gt;0),AP15/AK15-1,""),"")</f>
        <v>0.176326582372641</v>
      </c>
      <c r="AQ317" s="257">
        <f>IFERROR(IF(AND(ISNUMBER(AQ15),ISNUMBER(AL15),AL15&lt;&gt;0),AQ15/AL15-1,""),"")</f>
        <v>0.176326582372641</v>
      </c>
      <c r="AR317" s="257">
        <f>IFERROR(IF(AND(ISNUMBER(AR15),ISNUMBER(AM15),AM15&lt;&gt;0),AR15/AM15-1,""),"")</f>
        <v>0.171326582372641</v>
      </c>
      <c r="AS317" s="257">
        <f>IFERROR(IF(AND(ISNUMBER(AS15),ISNUMBER(AN15),AN15&lt;&gt;0),AS15/AN15-1,""),"")</f>
        <v>0.171326582372641</v>
      </c>
      <c r="AT317" s="257">
        <f>IFERROR(IF(AND(ISNUMBER(AT15),ISNUMBER(AO15),AO15&lt;&gt;0),AT15/AO15-1,""),"")</f>
        <v>0.171326582372641</v>
      </c>
      <c r="AU317" s="257">
        <f>IFERROR(IF(AND(ISNUMBER(AU15),ISNUMBER(AP15),AP15&lt;&gt;0),AU15/AP15-1,""),"")</f>
        <v>0.171326582372641</v>
      </c>
      <c r="AV317" s="257">
        <f>IFERROR(IF(AND(ISNUMBER(AV15),ISNUMBER(AQ15),AQ15&lt;&gt;0),AV15/AQ15-1,""),"")</f>
        <v>0.171326582372641</v>
      </c>
      <c r="AW317" s="257">
        <f>IFERROR(IF(AND(ISNUMBER(AW15),ISNUMBER(AR15),AR15&lt;&gt;0),AW15/AR15-1,""),"")</f>
        <v>0.166326582372641</v>
      </c>
      <c r="AX317" s="257">
        <f>IFERROR(IF(AND(ISNUMBER(AX15),ISNUMBER(AS15),AS15&lt;&gt;0),AX15/AS15-1,""),"")</f>
        <v>0.166326582372641</v>
      </c>
      <c r="AY317" s="257">
        <f>IFERROR(IF(AND(ISNUMBER(AY15),ISNUMBER(AT15),AT15&lt;&gt;0),AY15/AT15-1,""),"")</f>
        <v>0.166326582372641</v>
      </c>
      <c r="AZ317" s="257">
        <f>IFERROR(IF(AND(ISNUMBER(AZ15),ISNUMBER(AU15),AU15&lt;&gt;0),AZ15/AU15-1,""),"")</f>
        <v>0.166326582372641</v>
      </c>
      <c r="BA317" s="257">
        <f>IFERROR(IF(AND(ISNUMBER(BA15),ISNUMBER(AV15),AV15&lt;&gt;0),BA15/AV15-1,""),"")</f>
        <v>0.166326582372641</v>
      </c>
      <c r="BB317" s="257">
        <f>IFERROR(IF(AND(ISNUMBER(BB15),ISNUMBER(AW15),AW15&lt;&gt;0),BB15/AW15-1,""),"")</f>
        <v>0.161326582372641</v>
      </c>
      <c r="BC317" s="257">
        <f>IFERROR(IF(AND(ISNUMBER(BC15),ISNUMBER(AX15),AX15&lt;&gt;0),BC15/AX15-1,""),"")</f>
        <v>0.161326582372641</v>
      </c>
      <c r="BD317" s="257">
        <f>IFERROR(IF(AND(ISNUMBER(BD15),ISNUMBER(AY15),AY15&lt;&gt;0),BD15/AY15-1,""),"")</f>
        <v>0.161326582372641</v>
      </c>
      <c r="BE317" s="257">
        <f>IFERROR(IF(AND(ISNUMBER(BE15),ISNUMBER(AZ15),AZ15&lt;&gt;0),BE15/AZ15-1,""),"")</f>
        <v>0.161326582372641</v>
      </c>
      <c r="BF317" s="257">
        <f>IFERROR(IF(AND(ISNUMBER(BF15),ISNUMBER(BA15),BA15&lt;&gt;0),BF15/BA15-1,""),"")</f>
        <v>0.161326582372641</v>
      </c>
      <c r="BG317" s="79" t="n"/>
      <c r="BH317" s="79" t="n"/>
      <c r="BI317" s="79" t="n"/>
      <c r="BJ317" s="79" t="n"/>
      <c r="BK317" s="78" t="n"/>
      <c r="BL317" s="79" t="n"/>
      <c r="BM317" s="79" t="n"/>
      <c r="BN317" s="79" t="n"/>
      <c r="BO317" s="79" t="n"/>
      <c r="BP317" s="78" t="n"/>
      <c r="BQ317" s="79" t="n"/>
      <c r="BR317" s="79" t="n"/>
      <c r="BS317" s="79" t="n"/>
      <c r="BT317" s="79" t="n"/>
      <c r="BU317" s="78" t="n"/>
      <c r="BV317" s="79" t="n"/>
      <c r="BW317" s="79" t="n"/>
      <c r="BX317" s="79" t="n"/>
      <c r="BY317" s="79" t="n"/>
      <c r="BZ317" s="78" t="n"/>
      <c r="CA317" s="79" t="n"/>
      <c r="CB317" s="79" t="n"/>
      <c r="CC317" s="79" t="n"/>
      <c r="CD317" s="79" t="n"/>
      <c r="CE317" s="78" t="n"/>
      <c r="CF317" s="79" t="n"/>
      <c r="CG317" s="79" t="n"/>
      <c r="CH317" s="79" t="n"/>
      <c r="CI317" s="79" t="n"/>
      <c r="CJ317" s="78" t="n"/>
      <c r="CK317" s="79" t="n"/>
      <c r="CL317" s="79" t="n"/>
      <c r="CM317" s="79" t="n"/>
      <c r="CN317" s="79" t="n"/>
      <c r="CO317" s="78" t="n"/>
      <c r="CP317" s="79" t="n"/>
      <c r="CQ317" s="79" t="n"/>
      <c r="CR317" s="79" t="n"/>
      <c r="CS317" s="79" t="n"/>
      <c r="CT317" s="78" t="n"/>
      <c r="CU317" s="79" t="n"/>
      <c r="CV317" s="79" t="n"/>
      <c r="CW317" s="79" t="n"/>
      <c r="CX317" s="79" t="n"/>
      <c r="CY317" s="78" t="n"/>
    </row>
    <row r="318" customFormat="1" s="77">
      <c r="A318" s="76" t="n"/>
      <c r="B318" s="76" t="n"/>
      <c r="C318" s="77" t="inlineStr">
        <is>
          <t>GROSS MARGIN</t>
        </is>
      </c>
      <c r="D318" s="79" t="str">
        <f>IFERROR(SUM(D15,D50)/D15,"")</f>
        <v/>
      </c>
      <c r="E318" s="79" t="str">
        <f>IFERROR(SUM(E15,E50)/E15,"")</f>
        <v/>
      </c>
      <c r="F318" s="79" t="str">
        <f>IFERROR(SUM(F15,F50)/F15,"")</f>
        <v/>
      </c>
      <c r="G318" s="79" t="str">
        <f>IFERROR(SUM(G15,G50)/G15,"")</f>
        <v/>
      </c>
      <c r="H318" s="258" t="str">
        <f>IFERROR(IF(N(H15)&lt;&gt;0,(H15+H50)/H15,""),"")</f>
        <v/>
      </c>
      <c r="I318" s="258">
        <f>IFERROR(IF(N(I15)&lt;&gt;0,(I15+I50)/I15,""),"")</f>
        <v>0.564251364934736</v>
      </c>
      <c r="J318" s="258">
        <f>IFERROR(IF(N(J15)&lt;&gt;0,(J15+J50)/J15,""),"")</f>
        <v>0.576163542340013</v>
      </c>
      <c r="K318" s="258">
        <f>IFERROR(IF(N(K15)&lt;&gt;0,(K15+K50)/K15,""),"")</f>
        <v>0.575831567308578</v>
      </c>
      <c r="L318" s="258">
        <f>IFERROR(IF(N(L15)&lt;&gt;0,(L15+L50)/L15,""),"")</f>
        <v>0.562057749751079</v>
      </c>
      <c r="M318" s="258">
        <f>IFERROR(IF(N(M15)&lt;&gt;0,(M15+M50)/M15,""),"")</f>
        <v>0.569398029009808</v>
      </c>
      <c r="N318" s="258">
        <f>IFERROR(IF(N(N15)&lt;&gt;0,(N15+N50)/N15,""),"")</f>
        <v>0.564790989692844</v>
      </c>
      <c r="O318" s="258">
        <f>IFERROR(IF(N(O15)&lt;&gt;0,(O15+O50)/O15,""),"")</f>
        <v>0.567998851976753</v>
      </c>
      <c r="P318" s="258">
        <f>IFERROR(IF(N(P15)&lt;&gt;0,(P15+P50)/P15,""),"")</f>
        <v>0.54903606785156</v>
      </c>
      <c r="Q318" s="258">
        <f>IFERROR(IF(N(Q15)&lt;&gt;0,(Q15+Q50)/Q15,""),"")</f>
        <v>0.535267199663371</v>
      </c>
      <c r="R318" s="258">
        <f>IFERROR(IF(N(R15)&lt;&gt;0,(R15+R50)/R15,""),"")</f>
        <v>0.553794425037831</v>
      </c>
      <c r="S318" s="258">
        <f>IFERROR(IF(N(S15)&lt;&gt;0,(S15+S50)/S15,""),"")</f>
        <v>0.561350967945319</v>
      </c>
      <c r="T318" s="258">
        <f>IFERROR(IF(N(T15)&lt;&gt;0,(T15+T50)/T15,""),"")</f>
        <v>0.572194520401051</v>
      </c>
      <c r="U318" s="258">
        <f>IFERROR(IF(N(U15)&lt;&gt;0,(U15+U50)/U15,""),"")</f>
        <v>0.566727080698369</v>
      </c>
      <c r="V318" s="258">
        <f>IFERROR(IF(N(V15)&lt;&gt;0,(V15+V50)/V15,""),"")</f>
        <v>0.564650677789364</v>
      </c>
      <c r="W318" s="258">
        <f>IFERROR(IF(N(W15)&lt;&gt;0,(W15+W50)/W15,""),"")</f>
        <v>0.566250479840205</v>
      </c>
      <c r="X318" s="258">
        <f>IFERROR(IF(N(X15)&lt;&gt;0,(X15+X50)/X15,""),"")</f>
        <v>0.581420181526962</v>
      </c>
      <c r="Y318" s="258">
        <f>IFERROR(IF(N(Y15)&lt;&gt;0,(Y15+Y50)/Y15,""),"")</f>
        <v>0.580998796346558</v>
      </c>
      <c r="Z318" s="258">
        <f>IFERROR(IF(N(Z15)&lt;&gt;0,(Z15+Z50)/Z15,""),"")</f>
        <v>0.586781166447637</v>
      </c>
      <c r="AA318" s="258">
        <f>IFERROR(IF(N(AA15)&lt;&gt;0,(AA15+AA50)/AA15,""),"")</f>
        <v>0.579004654344919</v>
      </c>
      <c r="AB318" s="258">
        <f>IFERROR(IF(N(AB15)&lt;&gt;0,(AB15+AB50)/AB15,""),"")</f>
        <v>0.582004354061791</v>
      </c>
      <c r="AC318" s="258">
        <f>IFERROR(IF(N(AC15)&lt;&gt;0,(AC15+AC50)/AC15,""),"")</f>
        <v>0.597036593745152</v>
      </c>
      <c r="AD318" s="258">
        <f>IFERROR(IF(N(AD15)&lt;&gt;0,(AD15+AD50)/AD15,""),"")</f>
        <v>0.595148711992367</v>
      </c>
      <c r="AE318" s="258">
        <f>IFERROR(IF(N(AE15)&lt;&gt;0,(AE15+AE50)/AE15,""),"")</f>
        <v>0.595792703183319</v>
      </c>
      <c r="AF318" s="258">
        <f>IFERROR(IF(N(AF15)&lt;&gt;0,(AF15+AF50)/AF15,""),"")</f>
        <v>0.597931985697845</v>
      </c>
      <c r="AG318" s="258">
        <f>IFERROR(IF(N(AG15)&lt;&gt;0,(AG15+AG50)/AG15,""),"")</f>
        <v>0.596521670055134</v>
      </c>
      <c r="AH318" s="258">
        <f>IFERROR(IF(N(AH15)&lt;&gt;0,(AH15+AH50)/AH15,""),"")</f>
        <v>0.624454029264032</v>
      </c>
      <c r="AI318" s="258">
        <f>IFERROR(IF(N(AI15)&lt;&gt;0,(AI15+AI50)/AI15,""),"")</f>
        <v>0.616489699155231</v>
      </c>
      <c r="AJ318" s="258">
        <f>IFERROR(IF(N(AJ15)&lt;&gt;0,(AJ15+AJ50)/AJ15,""),"")</f>
        <v>0.604475620506324</v>
      </c>
      <c r="AK318" s="258">
        <f>IFERROR(IF(N(AK15)&lt;&gt;0,(AK15+AK50)/AK15,""),"")</f>
        <v>0.604475620506324</v>
      </c>
      <c r="AL318" s="258">
        <f>IFERROR(IF(N(AL15)&lt;&gt;0,(AL15+AL50)/AL15,""),"")</f>
        <v>0.611985750548923</v>
      </c>
      <c r="AM318" s="258">
        <f>IFERROR(IF(N(AM15)&lt;&gt;0,(AM15+AM50)/AM15,""),"")</f>
        <v>0.604475620506324</v>
      </c>
      <c r="AN318" s="258">
        <f>IFERROR(IF(N(AN15)&lt;&gt;0,(AN15+AN50)/AN15,""),"")</f>
        <v>0.604475620506324</v>
      </c>
      <c r="AO318" s="258">
        <f>IFERROR(IF(N(AO15)&lt;&gt;0,(AO15+AO50)/AO15,""),"")</f>
        <v>0.604475620506324</v>
      </c>
      <c r="AP318" s="258">
        <f>IFERROR(IF(N(AP15)&lt;&gt;0,(AP15+AP50)/AP15,""),"")</f>
        <v>0.604475620506324</v>
      </c>
      <c r="AQ318" s="258">
        <f>IFERROR(IF(N(AQ15)&lt;&gt;0,(AQ15+AQ50)/AQ15,""),"")</f>
        <v>0.604475620506324</v>
      </c>
      <c r="AR318" s="258">
        <f>IFERROR(IF(N(AR15)&lt;&gt;0,(AR15+AR50)/AR15,""),"")</f>
        <v>0.604475620506324</v>
      </c>
      <c r="AS318" s="258">
        <f>IFERROR(IF(N(AS15)&lt;&gt;0,(AS15+AS50)/AS15,""),"")</f>
        <v>0.604475620506324</v>
      </c>
      <c r="AT318" s="258">
        <f>IFERROR(IF(N(AT15)&lt;&gt;0,(AT15+AT50)/AT15,""),"")</f>
        <v>0.604475620506324</v>
      </c>
      <c r="AU318" s="258">
        <f>IFERROR(IF(N(AU15)&lt;&gt;0,(AU15+AU50)/AU15,""),"")</f>
        <v>0.604475620506324</v>
      </c>
      <c r="AV318" s="258">
        <f>IFERROR(IF(N(AV15)&lt;&gt;0,(AV15+AV50)/AV15,""),"")</f>
        <v>0.604475620506324</v>
      </c>
      <c r="AW318" s="258">
        <f>IFERROR(IF(N(AW15)&lt;&gt;0,(AW15+AW50)/AW15,""),"")</f>
        <v>0.604475620506324</v>
      </c>
      <c r="AX318" s="258">
        <f>IFERROR(IF(N(AX15)&lt;&gt;0,(AX15+AX50)/AX15,""),"")</f>
        <v>0.604475620506324</v>
      </c>
      <c r="AY318" s="258">
        <f>IFERROR(IF(N(AY15)&lt;&gt;0,(AY15+AY50)/AY15,""),"")</f>
        <v>0.604475620506324</v>
      </c>
      <c r="AZ318" s="258">
        <f>IFERROR(IF(N(AZ15)&lt;&gt;0,(AZ15+AZ50)/AZ15,""),"")</f>
        <v>0.604475620506324</v>
      </c>
      <c r="BA318" s="258">
        <f>IFERROR(IF(N(BA15)&lt;&gt;0,(BA15+BA50)/BA15,""),"")</f>
        <v>0.604475620506324</v>
      </c>
      <c r="BB318" s="258">
        <f>IFERROR(IF(N(BB15)&lt;&gt;0,(BB15+BB50)/BB15,""),"")</f>
        <v>0.604475620506324</v>
      </c>
      <c r="BC318" s="258">
        <f>IFERROR(IF(N(BC15)&lt;&gt;0,(BC15+BC50)/BC15,""),"")</f>
        <v>0.604475620506324</v>
      </c>
      <c r="BD318" s="258">
        <f>IFERROR(IF(N(BD15)&lt;&gt;0,(BD15+BD50)/BD15,""),"")</f>
        <v>0.604475620506324</v>
      </c>
      <c r="BE318" s="258">
        <f>IFERROR(IF(N(BE15)&lt;&gt;0,(BE15+BE50)/BE15,""),"")</f>
        <v>0.604475620506324</v>
      </c>
      <c r="BF318" s="258">
        <f>IFERROR(IF(N(BF15)&lt;&gt;0,(BF15+BF50)/BF15,""),"")</f>
        <v>0.604475620506324</v>
      </c>
      <c r="BG318" s="80" t="n"/>
      <c r="BH318" s="80" t="n"/>
      <c r="BI318" s="80" t="n"/>
      <c r="BJ318" s="80" t="n"/>
      <c r="BL318" s="80" t="n"/>
      <c r="BM318" s="80" t="n"/>
      <c r="BN318" s="80" t="n"/>
      <c r="BO318" s="80" t="n"/>
      <c r="BQ318" s="80" t="n"/>
      <c r="BR318" s="80" t="n"/>
      <c r="BS318" s="80" t="n"/>
      <c r="BT318" s="80" t="n"/>
      <c r="BV318" s="80" t="n"/>
      <c r="BW318" s="80" t="n"/>
      <c r="BX318" s="80" t="n"/>
      <c r="BY318" s="80" t="n"/>
      <c r="CA318" s="80" t="n"/>
      <c r="CB318" s="80" t="n"/>
      <c r="CC318" s="80" t="n"/>
      <c r="CD318" s="80" t="n"/>
      <c r="CF318" s="80" t="n"/>
      <c r="CG318" s="80" t="n"/>
      <c r="CH318" s="80" t="n"/>
      <c r="CI318" s="80" t="n"/>
      <c r="CK318" s="80" t="n"/>
      <c r="CL318" s="80" t="n"/>
      <c r="CM318" s="80" t="n"/>
      <c r="CN318" s="80" t="n"/>
      <c r="CP318" s="80" t="n"/>
      <c r="CQ318" s="80" t="n"/>
      <c r="CR318" s="80" t="n"/>
      <c r="CS318" s="80" t="n"/>
      <c r="CU318" s="80" t="n"/>
      <c r="CV318" s="80" t="n"/>
      <c r="CW318" s="80" t="n"/>
      <c r="CX318" s="80" t="n"/>
    </row>
    <row r="319" customFormat="1" s="77">
      <c r="A319" s="76" t="n"/>
      <c r="B319" s="76" t="n"/>
      <c r="C319" s="77" t="inlineStr">
        <is>
          <t>EBIT MARGIN</t>
        </is>
      </c>
      <c r="D319" s="78" t="str">
        <f>IFERROR((D69/D15),"")</f>
        <v/>
      </c>
      <c r="E319" s="78" t="str">
        <f>IFERROR((E69/E15),"")</f>
        <v/>
      </c>
      <c r="F319" s="78" t="str">
        <f>IFERROR((F69/F15),"")</f>
        <v/>
      </c>
      <c r="G319" s="78" t="str">
        <f>IFERROR((G69/G15),"")</f>
        <v/>
      </c>
      <c r="H319" s="258" t="str">
        <f>IFERROR(IF(N(H15)&lt;&gt;0,H69/H15,""),"")</f>
        <v/>
      </c>
      <c r="I319" s="257">
        <f>IFERROR(IF(N(I15)&lt;&gt;0,I69/I15,""),"")</f>
        <v>0.297158043171711</v>
      </c>
      <c r="J319" s="257">
        <f>IFERROR(IF(N(J15)&lt;&gt;0,J69/J15,""),"")</f>
        <v>0.312879767291532</v>
      </c>
      <c r="K319" s="257">
        <f>IFERROR(IF(N(K15)&lt;&gt;0,K69/K15,""),"")</f>
        <v>0.322967535857981</v>
      </c>
      <c r="L319" s="257">
        <f>IFERROR(IF(N(L15)&lt;&gt;0,L69/L15,""),"")</f>
        <v>0.290540989047461</v>
      </c>
      <c r="M319" s="258">
        <f>IFERROR(IF(N(M15)&lt;&gt;0,M69/M15,""),"")</f>
        <v>0.305522886852432</v>
      </c>
      <c r="N319" s="257">
        <f>IFERROR(IF(N(N15)&lt;&gt;0,N69/N15,""),"")</f>
        <v>0.295452206260752</v>
      </c>
      <c r="O319" s="257">
        <f>IFERROR(IF(N(O15)&lt;&gt;0,O69/O15,""),"")</f>
        <v>0.279156202913109</v>
      </c>
      <c r="P319" s="257">
        <f>IFERROR(IF(N(P15)&lt;&gt;0,P69/P15,""),"")</f>
        <v>0.248002663115846</v>
      </c>
      <c r="Q319" s="257">
        <f>IFERROR(IF(N(Q15)&lt;&gt;0,Q69/Q15,""),"")</f>
        <v>0.238796549547654</v>
      </c>
      <c r="R319" s="258">
        <f>IFERROR(IF(N(R15)&lt;&gt;0,R69/R15,""),"")</f>
        <v>0.26461270842467</v>
      </c>
      <c r="S319" s="257">
        <f>IFERROR(IF(N(S15)&lt;&gt;0,S69/S15,""),"")</f>
        <v>0.249545044205941</v>
      </c>
      <c r="T319" s="257">
        <f>IFERROR(IF(N(T15)&lt;&gt;0,T69/T15,""),"")</f>
        <v>0.29271888906761</v>
      </c>
      <c r="U319" s="257">
        <f>IFERROR(IF(N(U15)&lt;&gt;0,U69/U15,""),"")</f>
        <v>0.278291369486133</v>
      </c>
      <c r="V319" s="257">
        <f>IFERROR(IF(N(V15)&lt;&gt;0,V69/V15,""),"")</f>
        <v>0.274556830031283</v>
      </c>
      <c r="W319" s="258">
        <f>IFERROR(IF(N(W15)&lt;&gt;0,W69/W15,""),"")</f>
        <v>0.274218104452266</v>
      </c>
      <c r="X319" s="257">
        <f>IFERROR(IF(N(X15)&lt;&gt;0,X69/X15,""),"")</f>
        <v>0.316269136691541</v>
      </c>
      <c r="Y319" s="257">
        <f>IFERROR(IF(N(Y15)&lt;&gt;0,Y69/Y15,""),"")</f>
        <v>0.32362936914399</v>
      </c>
      <c r="Z319" s="257">
        <f>IFERROR(IF(N(Z15)&lt;&gt;0,Z69/Z15,""),"")</f>
        <v>0.323118230842434</v>
      </c>
      <c r="AA319" s="257">
        <f>IFERROR(IF(N(AA15)&lt;&gt;0,AA69/AA15,""),"")</f>
        <v>0.321056505198561</v>
      </c>
      <c r="AB319" s="258">
        <f>IFERROR(IF(N(AB15)&lt;&gt;0,AB69/AB15,""),"")</f>
        <v>0.321097772114577</v>
      </c>
      <c r="AC319" s="257">
        <f>IFERROR(IF(N(AC15)&lt;&gt;0,AC69/AC15,""),"")</f>
        <v>0.339184786222488</v>
      </c>
      <c r="AD319" s="257">
        <f>IFERROR(IF(N(AD15)&lt;&gt;0,AD69/AD15,""),"")</f>
        <v>0.324293773592732</v>
      </c>
      <c r="AE319" s="257">
        <f>IFERROR(IF(N(AE15)&lt;&gt;0,AE69/AE15,""),"")</f>
        <v>0.305121841596154</v>
      </c>
      <c r="AF319" s="257">
        <f>IFERROR(IF(N(AF15)&lt;&gt;0,AF69/AF15,""),"")</f>
        <v>0.315684052394381</v>
      </c>
      <c r="AG319" s="258">
        <f>IFERROR(IF(N(AG15)&lt;&gt;0,AG69/AG15,""),"")</f>
        <v>0.320325590747623</v>
      </c>
      <c r="AH319" s="257">
        <f>IFERROR(IF(N(AH15)&lt;&gt;0,AH69/AH15,""),"")</f>
        <v>0.361214238916794</v>
      </c>
      <c r="AI319" s="257">
        <f>IFERROR(IF(N(AI15)&lt;&gt;0,AI69/AI15,""),"")</f>
        <v>0.340328558549534</v>
      </c>
      <c r="AJ319" s="257">
        <f>IFERROR(IF(N(AJ15)&lt;&gt;0,AJ69/AJ15,""),"")</f>
        <v>0.330971208545347</v>
      </c>
      <c r="AK319" s="257">
        <f>IFERROR(IF(N(AK15)&lt;&gt;0,AK69/AK15,""),"")</f>
        <v>0.330971208545347</v>
      </c>
      <c r="AL319" s="258">
        <f>IFERROR(IF(N(AL15)&lt;&gt;0,AL69/AL15,""),"")</f>
        <v>0.340154482172547</v>
      </c>
      <c r="AM319" s="257">
        <f>IFERROR(IF(N(AM15)&lt;&gt;0,AM69/AM15,""),"")</f>
        <v>0.330971208545347</v>
      </c>
      <c r="AN319" s="257">
        <f>IFERROR(IF(N(AN15)&lt;&gt;0,AN69/AN15,""),"")</f>
        <v>0.330971208545347</v>
      </c>
      <c r="AO319" s="257">
        <f>IFERROR(IF(N(AO15)&lt;&gt;0,AO69/AO15,""),"")</f>
        <v>0.330971208545347</v>
      </c>
      <c r="AP319" s="257">
        <f>IFERROR(IF(N(AP15)&lt;&gt;0,AP69/AP15,""),"")</f>
        <v>0.330971208545347</v>
      </c>
      <c r="AQ319" s="258">
        <f>IFERROR(IF(N(AQ15)&lt;&gt;0,AQ69/AQ15,""),"")</f>
        <v>0.330971208545347</v>
      </c>
      <c r="AR319" s="257">
        <f>IFERROR(IF(N(AR15)&lt;&gt;0,AR69/AR15,""),"")</f>
        <v>0.330971208545347</v>
      </c>
      <c r="AS319" s="257">
        <f>IFERROR(IF(N(AS15)&lt;&gt;0,AS69/AS15,""),"")</f>
        <v>0.330971208545347</v>
      </c>
      <c r="AT319" s="257">
        <f>IFERROR(IF(N(AT15)&lt;&gt;0,AT69/AT15,""),"")</f>
        <v>0.330971208545347</v>
      </c>
      <c r="AU319" s="257">
        <f>IFERROR(IF(N(AU15)&lt;&gt;0,AU69/AU15,""),"")</f>
        <v>0.330971208545347</v>
      </c>
      <c r="AV319" s="258">
        <f>IFERROR(IF(N(AV15)&lt;&gt;0,AV69/AV15,""),"")</f>
        <v>0.330971208545347</v>
      </c>
      <c r="AW319" s="257">
        <f>IFERROR(IF(N(AW15)&lt;&gt;0,AW69/AW15,""),"")</f>
        <v>0.330971208545347</v>
      </c>
      <c r="AX319" s="257">
        <f>IFERROR(IF(N(AX15)&lt;&gt;0,AX69/AX15,""),"")</f>
        <v>0.330971208545347</v>
      </c>
      <c r="AY319" s="257">
        <f>IFERROR(IF(N(AY15)&lt;&gt;0,AY69/AY15,""),"")</f>
        <v>0.330971208545347</v>
      </c>
      <c r="AZ319" s="257">
        <f>IFERROR(IF(N(AZ15)&lt;&gt;0,AZ69/AZ15,""),"")</f>
        <v>0.330971208545347</v>
      </c>
      <c r="BA319" s="258">
        <f>IFERROR(IF(N(BA15)&lt;&gt;0,BA69/BA15,""),"")</f>
        <v>0.330971208545347</v>
      </c>
      <c r="BB319" s="257">
        <f>IFERROR(IF(N(BB15)&lt;&gt;0,BB69/BB15,""),"")</f>
        <v>0.330971208545347</v>
      </c>
      <c r="BC319" s="257">
        <f>IFERROR(IF(N(BC15)&lt;&gt;0,BC69/BC15,""),"")</f>
        <v>0.330971208545347</v>
      </c>
      <c r="BD319" s="257">
        <f>IFERROR(IF(N(BD15)&lt;&gt;0,BD69/BD15,""),"")</f>
        <v>0.330971208545347</v>
      </c>
      <c r="BE319" s="257">
        <f>IFERROR(IF(N(BE15)&lt;&gt;0,BE69/BE15,""),"")</f>
        <v>0.330971208545347</v>
      </c>
      <c r="BF319" s="258">
        <f>IFERROR(IF(N(BF15)&lt;&gt;0,BF69/BF15,""),"")</f>
        <v>0.330971208545347</v>
      </c>
      <c r="BG319" s="81" t="n"/>
      <c r="BH319" s="81" t="n"/>
      <c r="BI319" s="81" t="n"/>
      <c r="BJ319" s="81" t="n"/>
      <c r="BL319" s="81" t="n"/>
      <c r="BM319" s="81" t="n"/>
      <c r="BN319" s="81" t="n"/>
      <c r="BO319" s="81" t="n"/>
      <c r="BQ319" s="81" t="n"/>
      <c r="BR319" s="81" t="n"/>
      <c r="BS319" s="81" t="n"/>
      <c r="BT319" s="81" t="n"/>
      <c r="BV319" s="81" t="n"/>
      <c r="BW319" s="81" t="n"/>
      <c r="BX319" s="81" t="n"/>
      <c r="BY319" s="81" t="n"/>
      <c r="CA319" s="81" t="n"/>
      <c r="CB319" s="81" t="n"/>
      <c r="CC319" s="81" t="n"/>
      <c r="CD319" s="81" t="n"/>
      <c r="CF319" s="81" t="n"/>
      <c r="CG319" s="81" t="n"/>
      <c r="CH319" s="81" t="n"/>
      <c r="CI319" s="81" t="n"/>
      <c r="CK319" s="81" t="n"/>
      <c r="CL319" s="81" t="n"/>
      <c r="CM319" s="81" t="n"/>
      <c r="CN319" s="81" t="n"/>
      <c r="CP319" s="81" t="n"/>
      <c r="CQ319" s="81" t="n"/>
      <c r="CR319" s="81" t="n"/>
      <c r="CS319" s="81" t="n"/>
      <c r="CU319" s="81" t="n"/>
      <c r="CV319" s="81" t="n"/>
      <c r="CW319" s="81" t="n"/>
      <c r="CX319" s="81" t="n"/>
    </row>
    <row r="320" customFormat="1" s="77">
      <c r="A320" s="76" t="n"/>
      <c r="B320" s="76" t="n"/>
      <c r="C320" s="77" t="inlineStr">
        <is>
          <t>EBITDA MARGIN</t>
        </is>
      </c>
      <c r="D320" s="78" t="str">
        <f>IFERROR(D65/D15,"")</f>
        <v/>
      </c>
      <c r="E320" s="78" t="str">
        <f>IFERROR(E65/E15,"")</f>
        <v/>
      </c>
      <c r="F320" s="78" t="str">
        <f>IFERROR(F65/F15,"")</f>
        <v/>
      </c>
      <c r="G320" s="78" t="str">
        <f>IFERROR(G65/G15,"")</f>
        <v/>
      </c>
      <c r="H320" s="258" t="str">
        <f>IFERROR(IF(N(H15)&lt;&gt;0,H65/H15,""),"")</f>
        <v/>
      </c>
      <c r="I320" s="257">
        <f>IFERROR(IF(N(I15)&lt;&gt;0,I65/I15,""),"")</f>
        <v>0.342806522760965</v>
      </c>
      <c r="J320" s="257">
        <f>IFERROR(IF(N(J15)&lt;&gt;0,J65/J15,""),"")</f>
        <v>0.356997414350356</v>
      </c>
      <c r="K320" s="257">
        <f>IFERROR(IF(N(K15)&lt;&gt;0,K65/K15,""),"")</f>
        <v>0.370343069504592</v>
      </c>
      <c r="L320" s="257">
        <f>IFERROR(IF(N(L15)&lt;&gt;0,L65/L15,""),"")</f>
        <v>0.333222701626286</v>
      </c>
      <c r="M320" s="258">
        <f>IFERROR(IF(N(M15)&lt;&gt;0,M65/M15,""),"")</f>
        <v>0.350372811358617</v>
      </c>
      <c r="N320" s="257">
        <f>IFERROR(IF(N(N15)&lt;&gt;0,N65/N15,""),"")</f>
        <v>0.348252488568026</v>
      </c>
      <c r="O320" s="257">
        <f>IFERROR(IF(N(O15)&lt;&gt;0,O65/O15,""),"")</f>
        <v>0.332223577527445</v>
      </c>
      <c r="P320" s="257">
        <f>IFERROR(IF(N(P15)&lt;&gt;0,P65/P15,""),"")</f>
        <v>0.304926764314248</v>
      </c>
      <c r="Q320" s="257">
        <f>IFERROR(IF(N(Q15)&lt;&gt;0,Q65/Q15,""),"")</f>
        <v>0.292249631811488</v>
      </c>
      <c r="R320" s="258">
        <f>IFERROR(IF(N(R15)&lt;&gt;0,R65/R15,""),"")</f>
        <v>0.318661697945099</v>
      </c>
      <c r="S320" s="257">
        <f>IFERROR(IF(N(S15)&lt;&gt;0,S65/S15,""),"")</f>
        <v>0.293392752231791</v>
      </c>
      <c r="T320" s="257">
        <f>IFERROR(IF(N(T15)&lt;&gt;0,T65/T15,""),"")</f>
        <v>0.336670955980913</v>
      </c>
      <c r="U320" s="257">
        <f>IFERROR(IF(N(U15)&lt;&gt;0,U65/U15,""),"")</f>
        <v>0.326157537193747</v>
      </c>
      <c r="V320" s="257">
        <f>IFERROR(IF(N(V15)&lt;&gt;0,V65/V15,""),"")</f>
        <v>0.312976480129765</v>
      </c>
      <c r="W320" s="258">
        <f>IFERROR(IF(N(W15)&lt;&gt;0,W65/W15,""),"")</f>
        <v>0.31756963375993</v>
      </c>
      <c r="X320" s="257">
        <f>IFERROR(IF(N(X15)&lt;&gt;0,X65/X15,""),"")</f>
        <v>0.358646121754678</v>
      </c>
      <c r="Y320" s="257">
        <f>IFERROR(IF(N(Y15)&lt;&gt;0,Y65/Y15,""),"")</f>
        <v>0.36738571192561</v>
      </c>
      <c r="Z320" s="257">
        <f>IFERROR(IF(N(Z15)&lt;&gt;0,Z65/Z15,""),"")</f>
        <v>0.368264829836407</v>
      </c>
      <c r="AA320" s="257">
        <f>IFERROR(IF(N(AA15)&lt;&gt;0,AA65/AA15,""),"")</f>
        <v>0.364645637458665</v>
      </c>
      <c r="AB320" s="258">
        <f>IFERROR(IF(N(AB15)&lt;&gt;0,AB65/AB15,""),"")</f>
        <v>0.364841236736396</v>
      </c>
      <c r="AC320" s="257">
        <f>IFERROR(IF(N(AC15)&lt;&gt;0,AC65/AC15,""),"")</f>
        <v>0.388911053483166</v>
      </c>
      <c r="AD320" s="257">
        <f>IFERROR(IF(N(AD15)&lt;&gt;0,AD65/AD15,""),"")</f>
        <v>0.376125191852989</v>
      </c>
      <c r="AE320" s="257">
        <f>IFERROR(IF(N(AE15)&lt;&gt;0,AE65/AE15,""),"")</f>
        <v>0.359945674476775</v>
      </c>
      <c r="AF320" s="257">
        <f>IFERROR(IF(N(AF15)&lt;&gt;0,AF65/AF15,""),"")</f>
        <v>0.368746101608553</v>
      </c>
      <c r="AG320" s="258">
        <f>IFERROR(IF(N(AG15)&lt;&gt;0,AG65/AG15,""),"")</f>
        <v>0.372793462368154</v>
      </c>
      <c r="AH320" s="257">
        <f>IFERROR(IF(N(AH15)&lt;&gt;0,AH65/AH15,""),"")</f>
        <v>0.42019727742593</v>
      </c>
      <c r="AI320" s="257">
        <f>IFERROR(IF(N(AI15)&lt;&gt;0,AI65/AI15,""),"")</f>
        <v>0.399629369928879</v>
      </c>
      <c r="AJ320" s="257">
        <f>IFERROR(IF(N(AJ15)&lt;&gt;0,AJ65/AJ15,""),"")</f>
        <v>0.385592444796049</v>
      </c>
      <c r="AK320" s="257">
        <f>IFERROR(IF(N(AK15)&lt;&gt;0,AK65/AK15,""),"")</f>
        <v>0.385592444796049</v>
      </c>
      <c r="AL320" s="258">
        <f>IFERROR(IF(N(AL15)&lt;&gt;0,AL65/AL15,""),"")</f>
        <v>0.396924421987603</v>
      </c>
      <c r="AM320" s="257">
        <f>IFERROR(IF(N(AM15)&lt;&gt;0,AM65/AM15,""),"")</f>
        <v>0.385592444796049</v>
      </c>
      <c r="AN320" s="257">
        <f>IFERROR(IF(N(AN15)&lt;&gt;0,AN65/AN15,""),"")</f>
        <v>0.385592444796049</v>
      </c>
      <c r="AO320" s="257">
        <f>IFERROR(IF(N(AO15)&lt;&gt;0,AO65/AO15,""),"")</f>
        <v>0.385592444796049</v>
      </c>
      <c r="AP320" s="257">
        <f>IFERROR(IF(N(AP15)&lt;&gt;0,AP65/AP15,""),"")</f>
        <v>0.385592444796049</v>
      </c>
      <c r="AQ320" s="258">
        <f>IFERROR(IF(N(AQ15)&lt;&gt;0,AQ65/AQ15,""),"")</f>
        <v>0.385592444796049</v>
      </c>
      <c r="AR320" s="257">
        <f>IFERROR(IF(N(AR15)&lt;&gt;0,AR65/AR15,""),"")</f>
        <v>0.385592444796049</v>
      </c>
      <c r="AS320" s="257">
        <f>IFERROR(IF(N(AS15)&lt;&gt;0,AS65/AS15,""),"")</f>
        <v>0.385592444796049</v>
      </c>
      <c r="AT320" s="257">
        <f>IFERROR(IF(N(AT15)&lt;&gt;0,AT65/AT15,""),"")</f>
        <v>0.385592444796049</v>
      </c>
      <c r="AU320" s="257">
        <f>IFERROR(IF(N(AU15)&lt;&gt;0,AU65/AU15,""),"")</f>
        <v>0.385592444796049</v>
      </c>
      <c r="AV320" s="258">
        <f>IFERROR(IF(N(AV15)&lt;&gt;0,AV65/AV15,""),"")</f>
        <v>0.385592444796049</v>
      </c>
      <c r="AW320" s="257">
        <f>IFERROR(IF(N(AW15)&lt;&gt;0,AW65/AW15,""),"")</f>
        <v>0.385592444796049</v>
      </c>
      <c r="AX320" s="257">
        <f>IFERROR(IF(N(AX15)&lt;&gt;0,AX65/AX15,""),"")</f>
        <v>0.385592444796049</v>
      </c>
      <c r="AY320" s="257">
        <f>IFERROR(IF(N(AY15)&lt;&gt;0,AY65/AY15,""),"")</f>
        <v>0.385592444796049</v>
      </c>
      <c r="AZ320" s="257">
        <f>IFERROR(IF(N(AZ15)&lt;&gt;0,AZ65/AZ15,""),"")</f>
        <v>0.385592444796049</v>
      </c>
      <c r="BA320" s="258">
        <f>IFERROR(IF(N(BA15)&lt;&gt;0,BA65/BA15,""),"")</f>
        <v>0.385592444796049</v>
      </c>
      <c r="BB320" s="257">
        <f>IFERROR(IF(N(BB15)&lt;&gt;0,BB65/BB15,""),"")</f>
        <v>0.385592444796049</v>
      </c>
      <c r="BC320" s="257">
        <f>IFERROR(IF(N(BC15)&lt;&gt;0,BC65/BC15,""),"")</f>
        <v>0.385592444796049</v>
      </c>
      <c r="BD320" s="257">
        <f>IFERROR(IF(N(BD15)&lt;&gt;0,BD65/BD15,""),"")</f>
        <v>0.385592444796049</v>
      </c>
      <c r="BE320" s="257">
        <f>IFERROR(IF(N(BE15)&lt;&gt;0,BE65/BE15,""),"")</f>
        <v>0.385592444796049</v>
      </c>
      <c r="BF320" s="258">
        <f>IFERROR(IF(N(BF15)&lt;&gt;0,BF65/BF15,""),"")</f>
        <v>0.385592444796049</v>
      </c>
      <c r="BG320" s="81" t="n"/>
      <c r="BH320" s="81" t="n"/>
      <c r="BI320" s="81" t="n"/>
      <c r="BJ320" s="81" t="n"/>
      <c r="BL320" s="81" t="n"/>
      <c r="BM320" s="81" t="n"/>
      <c r="BN320" s="81" t="n"/>
      <c r="BO320" s="81" t="n"/>
      <c r="BQ320" s="81" t="n"/>
      <c r="BR320" s="81" t="n"/>
      <c r="BS320" s="81" t="n"/>
      <c r="BT320" s="81" t="n"/>
      <c r="BV320" s="81" t="n"/>
      <c r="BW320" s="81" t="n"/>
      <c r="BX320" s="81" t="n"/>
      <c r="BY320" s="81" t="n"/>
      <c r="CA320" s="81" t="n"/>
      <c r="CB320" s="81" t="n"/>
      <c r="CC320" s="81" t="n"/>
      <c r="CD320" s="81" t="n"/>
      <c r="CF320" s="81" t="n"/>
      <c r="CG320" s="81" t="n"/>
      <c r="CH320" s="81" t="n"/>
      <c r="CI320" s="81" t="n"/>
      <c r="CK320" s="81" t="n"/>
      <c r="CL320" s="81" t="n"/>
      <c r="CM320" s="81" t="n"/>
      <c r="CN320" s="81" t="n"/>
      <c r="CP320" s="81" t="n"/>
      <c r="CQ320" s="81" t="n"/>
      <c r="CR320" s="81" t="n"/>
      <c r="CS320" s="81" t="n"/>
      <c r="CU320" s="81" t="n"/>
      <c r="CV320" s="81" t="n"/>
      <c r="CW320" s="81" t="n"/>
      <c r="CX320" s="81" t="n"/>
    </row>
    <row r="321" customFormat="1" s="77">
      <c r="A321" s="76" t="n"/>
      <c r="B321" s="76" t="n"/>
      <c r="C321" s="77" t="inlineStr">
        <is>
          <t>ETR</t>
        </is>
      </c>
      <c r="D321" s="78" t="str">
        <f>IFERROR(-D127/D126,"")</f>
        <v/>
      </c>
      <c r="E321" s="78" t="str">
        <f>IFERROR(-E127/E126,"")</f>
        <v/>
      </c>
      <c r="F321" s="78" t="str">
        <f>IFERROR(-F127/F126,"")</f>
        <v/>
      </c>
      <c r="G321" s="78" t="str">
        <f>IFERROR(-G127/G126,"")</f>
        <v/>
      </c>
      <c r="H321" s="258" t="str">
        <f>IFERROR(IF(N(H126)&lt;&gt;0,-H127/H126,""),"")</f>
        <v/>
      </c>
      <c r="I321" s="257">
        <f>IFERROR(IF(N(I126)&lt;&gt;0,-I127/I126,""),"")</f>
        <v>0.157543579382606</v>
      </c>
      <c r="J321" s="257">
        <f>IFERROR(IF(N(J126)&lt;&gt;0,-J127/J126,""),"")</f>
        <v>0.157380031839891</v>
      </c>
      <c r="K321" s="257">
        <f>IFERROR(IF(N(K126)&lt;&gt;0,-K127/K126,""),"")</f>
        <v>0.1789802289282</v>
      </c>
      <c r="L321" s="257">
        <f>IFERROR(IF(N(L126)&lt;&gt;0,-L127/L126,""),"")</f>
        <v>0.154085730677813</v>
      </c>
      <c r="M321" s="258">
        <f>IFERROR(IF(N(M126)&lt;&gt;0,-M127/M126,""),"")</f>
        <v>0.162023056406639</v>
      </c>
      <c r="N321" s="257">
        <f>IFERROR(IF(N(N126)&lt;&gt;0,-N127/N126,""),"")</f>
        <v>0.13193197422626</v>
      </c>
      <c r="O321" s="257">
        <f>IFERROR(IF(N(O126)&lt;&gt;0,-O127/O126,""),"")</f>
        <v>0.158409592931524</v>
      </c>
      <c r="P321" s="257">
        <f>IFERROR(IF(N(P126)&lt;&gt;0,-P127/P126,""),"")</f>
        <v>0.143103554487772</v>
      </c>
      <c r="Q321" s="257">
        <f>IFERROR(IF(N(Q126)&lt;&gt;0,-Q127/Q126,""),"")</f>
        <v>0.205458680818802</v>
      </c>
      <c r="R321" s="258">
        <f>IFERROR(IF(N(R126)&lt;&gt;0,-R127/R126,""),"")</f>
        <v>0.159208165096456</v>
      </c>
      <c r="S321" s="257">
        <f>IFERROR(IF(N(S126)&lt;&gt;0,-S127/S126,""),"")</f>
        <v>0.17324910738808</v>
      </c>
      <c r="T321" s="257">
        <f>IFERROR(IF(N(T126)&lt;&gt;0,-T127/T126,""),"")</f>
        <v>0.161393416426973</v>
      </c>
      <c r="U321" s="257">
        <f>IFERROR(IF(N(U126)&lt;&gt;0,-U127/U126,""),"")</f>
        <v>0.0711421427560504</v>
      </c>
      <c r="V321" s="257">
        <f>IFERROR(IF(N(V126)&lt;&gt;0,-V127/V126,""),"")</f>
        <v>0.152588890709487</v>
      </c>
      <c r="W321" s="258">
        <f>IFERROR(IF(N(W126)&lt;&gt;0,-W127/W126,""),"")</f>
        <v>0.139085595622805</v>
      </c>
      <c r="X321" s="257">
        <f>IFERROR(IF(N(X126)&lt;&gt;0,-X127/X126,""),"")</f>
        <v>0.164329860497969</v>
      </c>
      <c r="Y321" s="257">
        <f>IFERROR(IF(N(Y126)&lt;&gt;0,-Y127/Y126,""),"")</f>
        <v>0.142717142753439</v>
      </c>
      <c r="Z321" s="257">
        <f>IFERROR(IF(N(Z126)&lt;&gt;0,-Z127/Z126,""),"")</f>
        <v>0.170472465779348</v>
      </c>
      <c r="AA321" s="257">
        <f>IFERROR(IF(N(AA126)&lt;&gt;0,-AA127/AA126,""),"")</f>
        <v>0.176999658840679</v>
      </c>
      <c r="AB321" s="258">
        <f>IFERROR(IF(N(AB126)&lt;&gt;0,-AB127/AB126,""),"")</f>
        <v>0.16439510912657</v>
      </c>
      <c r="AC321" s="257">
        <f>IFERROR(IF(N(AC126)&lt;&gt;0,-AC127/AC126,""),"")</f>
        <v>0.173466701763622</v>
      </c>
      <c r="AD321" s="257">
        <f>IFERROR(IF(N(AD126)&lt;&gt;0,-AD127/AD126,""),"")</f>
        <v>0.169068458432794</v>
      </c>
      <c r="AE321" s="257">
        <f>IFERROR(IF(N(AE126)&lt;&gt;0,-AE127/AE126,""),"")</f>
        <v>0.204787778207198</v>
      </c>
      <c r="AF321" s="257">
        <f>IFERROR(IF(N(AF126)&lt;&gt;0,-AF127/AF126,""),"")</f>
        <v>0.119180918782115</v>
      </c>
      <c r="AG321" s="258">
        <f>IFERROR(IF(N(AG126)&lt;&gt;0,-AG127/AG126,""),"")</f>
        <v>0.167831463362422</v>
      </c>
      <c r="AH321" s="257">
        <f>IFERROR(IF(N(AH126)&lt;&gt;0,-AH127/AH126,""),"")</f>
        <v>0.191624037616907</v>
      </c>
      <c r="AI321" s="257">
        <f>IFERROR(IF(N(AI126)&lt;&gt;0,-AI127/AI126,""),"")</f>
        <v>0.19141928462808</v>
      </c>
      <c r="AJ321" s="257">
        <f>IFERROR(IF(N(AJ126)&lt;&gt;0,-AJ127/AJ126,""),"")</f>
        <v>0.174924529905119</v>
      </c>
      <c r="AK321" s="257">
        <f>IFERROR(IF(N(AK126)&lt;&gt;0,-AK127/AK126,""),"")</f>
        <v>0.174924529905119</v>
      </c>
      <c r="AL321" s="258">
        <f>IFERROR(IF(N(AL126)&lt;&gt;0,-AL127/AL126,""),"")</f>
        <v>0.184659825100417</v>
      </c>
      <c r="AM321" s="257">
        <f>IFERROR(IF(N(AM126)&lt;&gt;0,-AM127/AM126,""),"")</f>
        <v>0.174924529905119</v>
      </c>
      <c r="AN321" s="257">
        <f>IFERROR(IF(N(AN126)&lt;&gt;0,-AN127/AN126,""),"")</f>
        <v>0.174924529905119</v>
      </c>
      <c r="AO321" s="257">
        <f>IFERROR(IF(N(AO126)&lt;&gt;0,-AO127/AO126,""),"")</f>
        <v>0.174924529905119</v>
      </c>
      <c r="AP321" s="257">
        <f>IFERROR(IF(N(AP126)&lt;&gt;0,-AP127/AP126,""),"")</f>
        <v>0.174924529905119</v>
      </c>
      <c r="AQ321" s="258">
        <f>IFERROR(IF(N(AQ126)&lt;&gt;0,-AQ127/AQ126,""),"")</f>
        <v>0.174924529905119</v>
      </c>
      <c r="AR321" s="257">
        <f>IFERROR(IF(N(AR126)&lt;&gt;0,-AR127/AR126,""),"")</f>
        <v>0.174924529905119</v>
      </c>
      <c r="AS321" s="257">
        <f>IFERROR(IF(N(AS126)&lt;&gt;0,-AS127/AS126,""),"")</f>
        <v>0.174924529905119</v>
      </c>
      <c r="AT321" s="257">
        <f>IFERROR(IF(N(AT126)&lt;&gt;0,-AT127/AT126,""),"")</f>
        <v>0.174924529905119</v>
      </c>
      <c r="AU321" s="257">
        <f>IFERROR(IF(N(AU126)&lt;&gt;0,-AU127/AU126,""),"")</f>
        <v>0.174924529905119</v>
      </c>
      <c r="AV321" s="258">
        <f>IFERROR(IF(N(AV126)&lt;&gt;0,-AV127/AV126,""),"")</f>
        <v>0.174924529905119</v>
      </c>
      <c r="AW321" s="257">
        <f>IFERROR(IF(N(AW126)&lt;&gt;0,-AW127/AW126,""),"")</f>
        <v>0.174924529905119</v>
      </c>
      <c r="AX321" s="257">
        <f>IFERROR(IF(N(AX126)&lt;&gt;0,-AX127/AX126,""),"")</f>
        <v>0.174924529905119</v>
      </c>
      <c r="AY321" s="257">
        <f>IFERROR(IF(N(AY126)&lt;&gt;0,-AY127/AY126,""),"")</f>
        <v>0.174924529905119</v>
      </c>
      <c r="AZ321" s="257">
        <f>IFERROR(IF(N(AZ126)&lt;&gt;0,-AZ127/AZ126,""),"")</f>
        <v>0.174924529905119</v>
      </c>
      <c r="BA321" s="258">
        <f>IFERROR(IF(N(BA126)&lt;&gt;0,-BA127/BA126,""),"")</f>
        <v>0.174924529905119</v>
      </c>
      <c r="BB321" s="257">
        <f>IFERROR(IF(N(BB126)&lt;&gt;0,-BB127/BB126,""),"")</f>
        <v>0.174924529905119</v>
      </c>
      <c r="BC321" s="257">
        <f>IFERROR(IF(N(BC126)&lt;&gt;0,-BC127/BC126,""),"")</f>
        <v>0.174924529905119</v>
      </c>
      <c r="BD321" s="257">
        <f>IFERROR(IF(N(BD126)&lt;&gt;0,-BD127/BD126,""),"")</f>
        <v>0.174924529905119</v>
      </c>
      <c r="BE321" s="257">
        <f>IFERROR(IF(N(BE126)&lt;&gt;0,-BE127/BE126,""),"")</f>
        <v>0.174924529905119</v>
      </c>
      <c r="BF321" s="258">
        <f>IFERROR(IF(N(BF126)&lt;&gt;0,-BF127/BF126,""),"")</f>
        <v>0.174924529905119</v>
      </c>
      <c r="BG321" s="81" t="n"/>
      <c r="BH321" s="81" t="n"/>
      <c r="BI321" s="81" t="n"/>
      <c r="BJ321" s="81" t="n"/>
      <c r="BL321" s="81" t="n"/>
      <c r="BM321" s="81" t="n"/>
      <c r="BN321" s="81" t="n"/>
      <c r="BO321" s="81" t="n"/>
      <c r="BQ321" s="81" t="n"/>
      <c r="BR321" s="81" t="n"/>
      <c r="BS321" s="81" t="n"/>
      <c r="BT321" s="81" t="n"/>
      <c r="BV321" s="81" t="n"/>
      <c r="BW321" s="81" t="n"/>
      <c r="BX321" s="81" t="n"/>
      <c r="BY321" s="81" t="n"/>
      <c r="CA321" s="81" t="n"/>
      <c r="CB321" s="81" t="n"/>
      <c r="CC321" s="81" t="n"/>
      <c r="CD321" s="81" t="n"/>
      <c r="CF321" s="81" t="n"/>
      <c r="CG321" s="81" t="n"/>
      <c r="CH321" s="81" t="n"/>
      <c r="CI321" s="81" t="n"/>
      <c r="CK321" s="81" t="n"/>
      <c r="CL321" s="81" t="n"/>
      <c r="CM321" s="81" t="n"/>
      <c r="CN321" s="81" t="n"/>
      <c r="CP321" s="81" t="n"/>
      <c r="CQ321" s="81" t="n"/>
      <c r="CR321" s="81" t="n"/>
      <c r="CS321" s="81" t="n"/>
      <c r="CU321" s="81" t="n"/>
      <c r="CV321" s="81" t="n"/>
      <c r="CW321" s="81" t="n"/>
      <c r="CX321" s="81" t="n"/>
    </row>
    <row r="322" customFormat="1" s="77">
      <c r="A322" s="76" t="n"/>
      <c r="B322" s="76" t="n"/>
    </row>
    <row r="323" customFormat="1" s="77">
      <c r="A323" s="76" t="n"/>
      <c r="B323" s="76" t="n"/>
      <c r="C323" s="74" t="inlineStr">
        <is>
          <t>CAPITAL STRUCTURE</t>
        </is>
      </c>
    </row>
    <row r="324" customFormat="1" s="77">
      <c r="A324" s="76" t="n"/>
      <c r="B324" s="76" t="n"/>
      <c r="C324" s="77" t="inlineStr">
        <is>
          <t>TOTAL DEBT / EQUITY (BOOK VALUE)</t>
        </is>
      </c>
      <c r="H324" s="262" t="str">
        <f>IFERROR(IF(N(H267)&lt;&gt;0,(N(H208)+N(H209)+N(H210)+N(H213)+N(H231)+N(H234))/H267,""),"")</f>
        <v/>
      </c>
      <c r="I324" s="262">
        <f>IFERROR(IF(N(I267)&lt;&gt;0,(N(I208)+N(I209)+N(I210)+N(I213)+N(I231)+N(I234))/I267,""),"")</f>
        <v>0.109859007969115</v>
      </c>
      <c r="J324" s="262">
        <f>IFERROR(IF(N(J267)&lt;&gt;0,(N(J208)+N(J209)+N(J210)+N(J213)+N(J231)+N(J234))/J267,""),"")</f>
        <v>0.109220634352703</v>
      </c>
      <c r="K324" s="262">
        <f>IFERROR(IF(N(K267)&lt;&gt;0,(N(K208)+N(K209)+N(K210)+N(K213)+N(K231)+N(K234))/K267,""),"")</f>
        <v>0.105324921187241</v>
      </c>
      <c r="L324" s="262">
        <f>IFERROR(IF(N(L267)&lt;&gt;0,(N(L208)+N(L209)+N(L210)+N(L213)+N(L231)+N(L234))/L267,""),"")</f>
        <v>0.104142905398693</v>
      </c>
      <c r="M324" s="262">
        <f>IFERROR(IF(N(M267)&lt;&gt;0,(N(M208)+N(M209)+N(M210)+N(M213)+N(M231)+N(M234))/M267,""),"")</f>
        <v>0.104142905398693</v>
      </c>
      <c r="N324" s="262">
        <f>IFERROR(IF(N(N267)&lt;&gt;0,(N(N208)+N(N209)+N(N210)+N(N213)+N(N231)+N(N234))/N267,""),"")</f>
        <v>0.102966882411301</v>
      </c>
      <c r="O324" s="262">
        <f>IFERROR(IF(N(O267)&lt;&gt;0,(N(O208)+N(O209)+N(O210)+N(O213)+N(O231)+N(O234))/O267,""),"")</f>
        <v>0.10348094699298</v>
      </c>
      <c r="P324" s="262">
        <f>IFERROR(IF(N(P267)&lt;&gt;0,(N(P208)+N(P209)+N(P210)+N(P213)+N(P231)+N(P234))/P267,""),"")</f>
        <v>0.105024721440231</v>
      </c>
      <c r="Q324" s="262">
        <f>IFERROR(IF(N(Q267)&lt;&gt;0,(N(Q208)+N(Q209)+N(Q210)+N(Q213)+N(Q231)+N(Q234))/Q267,""),"")</f>
        <v>0.106198076082204</v>
      </c>
      <c r="R324" s="262">
        <f>IFERROR(IF(N(R267)&lt;&gt;0,(N(R208)+N(R209)+N(R210)+N(R213)+N(R231)+N(R234))/R267,""),"")</f>
        <v>0.106198076082204</v>
      </c>
      <c r="S324" s="262">
        <f>IFERROR(IF(N(S267)&lt;&gt;0,(N(S208)+N(S209)+N(S210)+N(S213)+N(S231)+N(S234))/S267,""),"")</f>
        <v>0.101558487355018</v>
      </c>
      <c r="T324" s="262">
        <f>IFERROR(IF(N(T267)&lt;&gt;0,(N(T208)+N(T209)+N(T210)+N(T213)+N(T231)+N(T234))/T267,""),"")</f>
        <v>0.0990151268431278</v>
      </c>
      <c r="U324" s="262">
        <f>IFERROR(IF(N(U267)&lt;&gt;0,(N(U208)+N(U209)+N(U210)+N(U213)+N(U231)+N(U234))/U267,""),"")</f>
        <v>0.0963792358767505</v>
      </c>
      <c r="V324" s="262">
        <f>IFERROR(IF(N(V267)&lt;&gt;0,(N(V208)+N(V209)+N(V210)+N(V213)+N(V231)+N(V234))/V267,""),"")</f>
        <v>0.0907371400139036</v>
      </c>
      <c r="W324" s="262">
        <f>IFERROR(IF(N(W267)&lt;&gt;0,(N(W208)+N(W209)+N(W210)+N(W213)+N(W231)+N(W234))/W267,""),"")</f>
        <v>0.0907371400139036</v>
      </c>
      <c r="X324" s="262">
        <f>IFERROR(IF(N(X267)&lt;&gt;0,(N(X208)+N(X209)+N(X210)+N(X213)+N(X231)+N(X234))/X267,""),"")</f>
        <v>0.0860014205515565</v>
      </c>
      <c r="Y324" s="262">
        <f>IFERROR(IF(N(Y267)&lt;&gt;0,(N(Y208)+N(Y209)+N(Y210)+N(Y213)+N(Y231)+N(Y234))/Y267,""),"")</f>
        <v>0.0829451410293497</v>
      </c>
      <c r="Z324" s="262">
        <f>IFERROR(IF(N(Z267)&lt;&gt;0,(N(Z208)+N(Z209)+N(Z210)+N(Z213)+N(Z231)+N(Z234))/Z267,""),"")</f>
        <v>0.0762481734629233</v>
      </c>
      <c r="AA324" s="262">
        <f>IFERROR(IF(N(AA267)&lt;&gt;0,(N(AA208)+N(AA209)+N(AA210)+N(AA213)+N(AA231)+N(AA234))/AA267,""),"")</f>
        <v>0.0694405138364238</v>
      </c>
      <c r="AB324" s="262">
        <f>IFERROR(IF(N(AB267)&lt;&gt;0,(N(AB208)+N(AB209)+N(AB210)+N(AB213)+N(AB231)+N(AB234))/AB267,""),"")</f>
        <v>0.0694405138364238</v>
      </c>
      <c r="AC324" s="262">
        <f>IFERROR(IF(N(AC267)&lt;&gt;0,(N(AC208)+N(AC209)+N(AC210)+N(AC213)+N(AC231)+N(AC234))/AC267,""),"")</f>
        <v>0.0653523215366658</v>
      </c>
      <c r="AD324" s="262">
        <f>IFERROR(IF(N(AD267)&lt;&gt;0,(N(AD208)+N(AD209)+N(AD210)+N(AD213)+N(AD231)+N(AD234))/AD267,""),"")</f>
        <v>0.0979813510564428</v>
      </c>
      <c r="AE324" s="262">
        <f>IFERROR(IF(N(AE267)&lt;&gt;0,(N(AE208)+N(AE209)+N(AE210)+N(AE213)+N(AE231)+N(AE234))/AE267,""),"")</f>
        <v>0.0871436436811617</v>
      </c>
      <c r="AF324" s="262">
        <f>IFERROR(IF(N(AF267)&lt;&gt;0,(N(AF208)+N(AF209)+N(AF210)+N(AF213)+N(AF231)+N(AF234))/AF267,""),"")</f>
        <v>0.142778707572273</v>
      </c>
      <c r="AG324" s="262">
        <f>IFERROR(IF(N(AG267)&lt;&gt;0,(N(AG208)+N(AG209)+N(AG210)+N(AG213)+N(AG231)+N(AG234))/AG267,""),"")</f>
        <v>0.142778707572273</v>
      </c>
      <c r="AH324" s="262">
        <f>IFERROR(IF(N(AH267)&lt;&gt;0,(N(AH208)+N(AH209)+N(AH210)+N(AH213)+N(AH231)+N(AH234))/AH267,""),"")</f>
        <v>0.18900210132304</v>
      </c>
      <c r="AI324" s="262">
        <f>IFERROR(IF(N(AI267)&lt;&gt;0,(N(AI208)+N(AI209)+N(AI210)+N(AI213)+N(AI231)+N(AI234))/AI267,""),"")</f>
        <v>0.176049213090182</v>
      </c>
      <c r="AJ324" s="262">
        <f>IFERROR(IF(N(AJ267)&lt;&gt;0,(N(AJ208)+N(AJ209)+N(AJ210)+N(AJ213)+N(AJ231)+N(AJ234))/AJ267,""),"")</f>
        <v>0.161138864487581</v>
      </c>
      <c r="AK324" s="262">
        <f>IFERROR(IF(N(AK267)&lt;&gt;0,(N(AK208)+N(AK209)+N(AK210)+N(AK213)+N(AK231)+N(AK234))/AK267,""),"")</f>
        <v>0.147266814394387</v>
      </c>
      <c r="AL324" s="262">
        <f>IFERROR(IF(N(AL267)&lt;&gt;0,(N(AL208)+N(AL209)+N(AL210)+N(AL213)+N(AL231)+N(AL234))/AL267,""),"")</f>
        <v>0.147266814394387</v>
      </c>
      <c r="AM324" s="262">
        <f>IFERROR(IF(N(AM267)&lt;&gt;0,(N(AM208)+N(AM209)+N(AM210)+N(AM213)+N(AM231)+N(AM234))/AM267,""),"")</f>
        <v>0.135966242805066</v>
      </c>
      <c r="AN324" s="262">
        <f>IFERROR(IF(N(AN267)&lt;&gt;0,(N(AN208)+N(AN209)+N(AN210)+N(AN213)+N(AN231)+N(AN234))/AN267,""),"")</f>
        <v>0.125470847922407</v>
      </c>
      <c r="AO324" s="262">
        <f>IFERROR(IF(N(AO267)&lt;&gt;0,(N(AO208)+N(AO209)+N(AO210)+N(AO213)+N(AO231)+N(AO234))/AO267,""),"")</f>
        <v>0.11643811208261</v>
      </c>
      <c r="AP324" s="262">
        <f>IFERROR(IF(N(AP267)&lt;&gt;0,(N(AP208)+N(AP209)+N(AP210)+N(AP213)+N(AP231)+N(AP234))/AP267,""),"")</f>
        <v>0.107806287351301</v>
      </c>
      <c r="AQ324" s="262">
        <f>IFERROR(IF(N(AQ267)&lt;&gt;0,(N(AQ208)+N(AQ209)+N(AQ210)+N(AQ213)+N(AQ231)+N(AQ234))/AQ267,""),"")</f>
        <v>0.107806287351301</v>
      </c>
      <c r="AR324" s="262">
        <f>IFERROR(IF(N(AR267)&lt;&gt;0,(N(AR208)+N(AR209)+N(AR210)+N(AR213)+N(AR231)+N(AR234))/AR267,""),"")</f>
        <v>0.100634407504212</v>
      </c>
      <c r="AS324" s="262">
        <f>IFERROR(IF(N(AS267)&lt;&gt;0,(N(AS208)+N(AS209)+N(AS210)+N(AS213)+N(AS231)+N(AS234))/AS267,""),"")</f>
        <v>0.0938299890663599</v>
      </c>
      <c r="AT324" s="262">
        <f>IFERROR(IF(N(AT267)&lt;&gt;0,(N(AT208)+N(AT209)+N(AT210)+N(AT213)+N(AT231)+N(AT234))/AT267,""),"")</f>
        <v>0.087859759940325</v>
      </c>
      <c r="AU324" s="262">
        <f>IFERROR(IF(N(AU267)&lt;&gt;0,(N(AU208)+N(AU209)+N(AU210)+N(AU213)+N(AU231)+N(AU234))/AU267,""),"")</f>
        <v>0.0820531002426222</v>
      </c>
      <c r="AV324" s="262">
        <f>IFERROR(IF(N(AV267)&lt;&gt;0,(N(AV208)+N(AV209)+N(AV210)+N(AV213)+N(AV231)+N(AV234))/AV267,""),"")</f>
        <v>0.0820531002426222</v>
      </c>
      <c r="AW324" s="262">
        <f>IFERROR(IF(N(AW267)&lt;&gt;0,(N(AW208)+N(AW209)+N(AW210)+N(AW213)+N(AW231)+N(AW234))/AW267,""),"")</f>
        <v>0.0771709468677748</v>
      </c>
      <c r="AX324" s="262">
        <f>IFERROR(IF(N(AX267)&lt;&gt;0,(N(AX208)+N(AX209)+N(AX210)+N(AX213)+N(AX231)+N(AX234))/AX267,""),"")</f>
        <v>0.0724705105125785</v>
      </c>
      <c r="AY324" s="262">
        <f>IFERROR(IF(N(AY267)&lt;&gt;0,(N(AY208)+N(AY209)+N(AY210)+N(AY213)+N(AY231)+N(AY234))/AY267,""),"")</f>
        <v>0.0682902847353983</v>
      </c>
      <c r="AZ324" s="262">
        <f>IFERROR(IF(N(AZ267)&lt;&gt;0,(N(AZ208)+N(AZ209)+N(AZ210)+N(AZ213)+N(AZ231)+N(AZ234))/AZ267,""),"")</f>
        <v>0.0641733393648754</v>
      </c>
      <c r="BA324" s="262">
        <f>IFERROR(IF(N(BA267)&lt;&gt;0,(N(BA208)+N(BA209)+N(BA210)+N(BA213)+N(BA231)+N(BA234))/BA267,""),"")</f>
        <v>0.0641733393648754</v>
      </c>
      <c r="BB324" s="262">
        <f>IFERROR(IF(N(BB267)&lt;&gt;0,(N(BB208)+N(BB209)+N(BB210)+N(BB213)+N(BB231)+N(BB234))/BB267,""),"")</f>
        <v>0.0606862589165367</v>
      </c>
      <c r="BC324" s="262">
        <f>IFERROR(IF(N(BC267)&lt;&gt;0,(N(BC208)+N(BC209)+N(BC210)+N(BC213)+N(BC231)+N(BC234))/BC267,""),"")</f>
        <v>0.0572926140153429</v>
      </c>
      <c r="BD324" s="262">
        <f>IFERROR(IF(N(BD267)&lt;&gt;0,(N(BD208)+N(BD209)+N(BD210)+N(BD213)+N(BD231)+N(BD234))/BD267,""),"")</f>
        <v>0.0542441211911438</v>
      </c>
      <c r="BE324" s="262">
        <f>IFERROR(IF(N(BE267)&lt;&gt;0,(N(BE208)+N(BE209)+N(BE210)+N(BE213)+N(BE231)+N(BE234))/BE267,""),"")</f>
        <v>0.0512133590867153</v>
      </c>
      <c r="BF324" s="262">
        <f>IFERROR(IF(N(BF267)&lt;&gt;0,(N(BF208)+N(BF209)+N(BF210)+N(BF213)+N(BF231)+N(BF234))/BF267,""),"")</f>
        <v>0.0512133590867153</v>
      </c>
    </row>
    <row r="325" customFormat="1" s="77">
      <c r="A325" s="76" t="n"/>
      <c r="B325" s="76" t="n"/>
      <c r="C325" s="77" t="inlineStr">
        <is>
          <t>NET DEBT / (NET DEBT + EQUITY) (BOOK VALUE)</t>
        </is>
      </c>
      <c r="H325" s="258" t="str">
        <f>IFERROR(IF(((N(H208)+N(H209)+N(H210)+N(H213)+N(H231)+N(H234))-N(H140)+N(H267))&lt;&gt;0,((N(H208)+N(H209)+N(H210)+N(H213)+N(H231)+N(H234))-N(H140))/((N(H208)+N(H209)+N(H210)+N(H213)+N(H231)+N(H234))-N(H140)+H267),""),"")</f>
        <v/>
      </c>
      <c r="I325" s="258">
        <f>IFERROR(IF(((N(I208)+N(I209)+N(I210)+N(I213)+N(I231)+N(I234))-N(I140)+N(I267))&lt;&gt;0,((N(I208)+N(I209)+N(I210)+N(I213)+N(I231)+N(I234))-N(I140))/((N(I208)+N(I209)+N(I210)+N(I213)+N(I231)+N(I234))-N(I140)+I267),""),"")</f>
        <v>-0.913935994940838</v>
      </c>
      <c r="J325" s="258">
        <f>IFERROR(IF(((N(J208)+N(J209)+N(J210)+N(J213)+N(J231)+N(J234))-N(J140)+N(J267))&lt;&gt;0,((N(J208)+N(J209)+N(J210)+N(J213)+N(J231)+N(J234))-N(J140))/((N(J208)+N(J209)+N(J210)+N(J213)+N(J231)+N(J234))-N(J140)+J267),""),"")</f>
        <v>-0.861079992792736</v>
      </c>
      <c r="K325" s="258">
        <f>IFERROR(IF(((N(K208)+N(K209)+N(K210)+N(K213)+N(K231)+N(K234))-N(K140)+N(K267))&lt;&gt;0,((N(K208)+N(K209)+N(K210)+N(K213)+N(K231)+N(K234))-N(K140))/((N(K208)+N(K209)+N(K210)+N(K213)+N(K231)+N(K234))-N(K140)+K267),""),"")</f>
        <v>-0.905870342806823</v>
      </c>
      <c r="L325" s="258">
        <f>IFERROR(IF(((N(L208)+N(L209)+N(L210)+N(L213)+N(L231)+N(L234))-N(L140)+N(L267))&lt;&gt;0,((N(L208)+N(L209)+N(L210)+N(L213)+N(L231)+N(L234))-N(L140))/((N(L208)+N(L209)+N(L210)+N(L213)+N(L231)+N(L234))-N(L140)+L267),""),"")</f>
        <v>-0.82090859094593</v>
      </c>
      <c r="M325" s="258">
        <f>IFERROR(IF(((N(M208)+N(M209)+N(M210)+N(M213)+N(M231)+N(M234))-N(M140)+N(M267))&lt;&gt;0,((N(M208)+N(M209)+N(M210)+N(M213)+N(M231)+N(M234))-N(M140))/((N(M208)+N(M209)+N(M210)+N(M213)+N(M231)+N(M234))-N(M140)+M267),""),"")</f>
        <v>-0.82090859094593</v>
      </c>
      <c r="N325" s="258">
        <f>IFERROR(IF(((N(N208)+N(N209)+N(N210)+N(N213)+N(N231)+N(N234))-N(N140)+N(N267))&lt;&gt;0,((N(N208)+N(N209)+N(N210)+N(N213)+N(N231)+N(N234))-N(N140))/((N(N208)+N(N209)+N(N210)+N(N213)+N(N231)+N(N234))-N(N140)+N267),""),"")</f>
        <v>-0.73751607519085</v>
      </c>
      <c r="O325" s="258">
        <f>IFERROR(IF(((N(O208)+N(O209)+N(O210)+N(O213)+N(O231)+N(O234))-N(O140)+N(O267))&lt;&gt;0,((N(O208)+N(O209)+N(O210)+N(O213)+N(O231)+N(O234))-N(O140))/((N(O208)+N(O209)+N(O210)+N(O213)+N(O231)+N(O234))-N(O140)+O267),""),"")</f>
        <v>-0.62839728918159</v>
      </c>
      <c r="P325" s="258">
        <f>IFERROR(IF(((N(P208)+N(P209)+N(P210)+N(P213)+N(P231)+N(P234))-N(P140)+N(P267))&lt;&gt;0,((N(P208)+N(P209)+N(P210)+N(P213)+N(P231)+N(P234))-N(P140))/((N(P208)+N(P209)+N(P210)+N(P213)+N(P231)+N(P234))-N(P140)+P267),""),"")</f>
        <v>-0.546462281407771</v>
      </c>
      <c r="Q325" s="258">
        <f>IFERROR(IF(((N(Q208)+N(Q209)+N(Q210)+N(Q213)+N(Q231)+N(Q234))-N(Q140)+N(Q267))&lt;&gt;0,((N(Q208)+N(Q209)+N(Q210)+N(Q213)+N(Q231)+N(Q234))-N(Q140))/((N(Q208)+N(Q209)+N(Q210)+N(Q213)+N(Q231)+N(Q234))-N(Q140)+Q267),""),"")</f>
        <v>-0.51042551184074</v>
      </c>
      <c r="R325" s="258">
        <f>IFERROR(IF(((N(R208)+N(R209)+N(R210)+N(R213)+N(R231)+N(R234))-N(R140)+N(R267))&lt;&gt;0,((N(R208)+N(R209)+N(R210)+N(R213)+N(R231)+N(R234))-N(R140))/((N(R208)+N(R209)+N(R210)+N(R213)+N(R231)+N(R234))-N(R140)+R267),""),"")</f>
        <v>-0.51042551184074</v>
      </c>
      <c r="S325" s="258">
        <f>IFERROR(IF(((N(S208)+N(S209)+N(S210)+N(S213)+N(S231)+N(S234))-N(S140)+N(S267))&lt;&gt;0,((N(S208)+N(S209)+N(S210)+N(S213)+N(S231)+N(S234))-N(S140))/((N(S208)+N(S209)+N(S210)+N(S213)+N(S231)+N(S234))-N(S140)+S267),""),"")</f>
        <v>-0.514290026002972</v>
      </c>
      <c r="T325" s="258">
        <f>IFERROR(IF(((N(T208)+N(T209)+N(T210)+N(T213)+N(T231)+N(T234))-N(T140)+N(T267))&lt;&gt;0,((N(T208)+N(T209)+N(T210)+N(T213)+N(T231)+N(T234))-N(T140))/((N(T208)+N(T209)+N(T210)+N(T213)+N(T231)+N(T234))-N(T140)+T267),""),"")</f>
        <v>-0.524255391989045</v>
      </c>
      <c r="U325" s="258">
        <f>IFERROR(IF(((N(U208)+N(U209)+N(U210)+N(U213)+N(U231)+N(U234))-N(U140)+N(U267))&lt;&gt;0,((N(U208)+N(U209)+N(U210)+N(U213)+N(U231)+N(U234))-N(U140))/((N(U208)+N(U209)+N(U210)+N(U213)+N(U231)+N(U234))-N(U140)+U267),""),"")</f>
        <v>-0.521186204746155</v>
      </c>
      <c r="V325" s="258">
        <f>IFERROR(IF(((N(V208)+N(V209)+N(V210)+N(V213)+N(V231)+N(V234))-N(V140)+N(V267))&lt;&gt;0,((N(V208)+N(V209)+N(V210)+N(V213)+N(V231)+N(V234))-N(V140))/((N(V208)+N(V209)+N(V210)+N(V213)+N(V231)+N(V234))-N(V140)+V267),""),"")</f>
        <v>-0.429936016470208</v>
      </c>
      <c r="W325" s="258">
        <f>IFERROR(IF(((N(W208)+N(W209)+N(W210)+N(W213)+N(W231)+N(W234))-N(W140)+N(W267))&lt;&gt;0,((N(W208)+N(W209)+N(W210)+N(W213)+N(W231)+N(W234))-N(W140))/((N(W208)+N(W209)+N(W210)+N(W213)+N(W231)+N(W234))-N(W140)+W267),""),"")</f>
        <v>-0.429936016470208</v>
      </c>
      <c r="X325" s="258">
        <f>IFERROR(IF(((N(X208)+N(X209)+N(X210)+N(X213)+N(X231)+N(X234))-N(X140)+N(X267))&lt;&gt;0,((N(X208)+N(X209)+N(X210)+N(X213)+N(X231)+N(X234))-N(X140))/((N(X208)+N(X209)+N(X210)+N(X213)+N(X231)+N(X234))-N(X140)+X267),""),"")</f>
        <v>-0.394900423456337</v>
      </c>
      <c r="Y325" s="258">
        <f>IFERROR(IF(((N(Y208)+N(Y209)+N(Y210)+N(Y213)+N(Y231)+N(Y234))-N(Y140)+N(Y267))&lt;&gt;0,((N(Y208)+N(Y209)+N(Y210)+N(Y213)+N(Y231)+N(Y234))-N(Y140))/((N(Y208)+N(Y209)+N(Y210)+N(Y213)+N(Y231)+N(Y234))-N(Y140)+Y267),""),"")</f>
        <v>-0.336834478650866</v>
      </c>
      <c r="Z325" s="258">
        <f>IFERROR(IF(((N(Z208)+N(Z209)+N(Z210)+N(Z213)+N(Z231)+N(Z234))-N(Z140)+N(Z267))&lt;&gt;0,((N(Z208)+N(Z209)+N(Z210)+N(Z213)+N(Z231)+N(Z234))-N(Z140))/((N(Z208)+N(Z209)+N(Z210)+N(Z213)+N(Z231)+N(Z234))-N(Z140)+Z267),""),"")</f>
        <v>-0.282956216304525</v>
      </c>
      <c r="AA325" s="258">
        <f>IFERROR(IF(((N(AA208)+N(AA209)+N(AA210)+N(AA213)+N(AA231)+N(AA234))-N(AA140)+N(AA267))&lt;&gt;0,((N(AA208)+N(AA209)+N(AA210)+N(AA213)+N(AA231)+N(AA234))-N(AA140))/((N(AA208)+N(AA209)+N(AA210)+N(AA213)+N(AA231)+N(AA234))-N(AA140)+AA267),""),"")</f>
        <v>-0.29001075392558</v>
      </c>
      <c r="AB325" s="258">
        <f>IFERROR(IF(((N(AB208)+N(AB209)+N(AB210)+N(AB213)+N(AB231)+N(AB234))-N(AB140)+N(AB267))&lt;&gt;0,((N(AB208)+N(AB209)+N(AB210)+N(AB213)+N(AB231)+N(AB234))-N(AB140))/((N(AB208)+N(AB209)+N(AB210)+N(AB213)+N(AB231)+N(AB234))-N(AB140)+AB267),""),"")</f>
        <v>-0.29001075392558</v>
      </c>
      <c r="AC325" s="258">
        <f>IFERROR(IF(((N(AC208)+N(AC209)+N(AC210)+N(AC213)+N(AC231)+N(AC234))-N(AC140)+N(AC267))&lt;&gt;0,((N(AC208)+N(AC209)+N(AC210)+N(AC213)+N(AC231)+N(AC234))-N(AC140))/((N(AC208)+N(AC209)+N(AC210)+N(AC213)+N(AC231)+N(AC234))-N(AC140)+AC267),""),"")</f>
        <v>-0.267020913531227</v>
      </c>
      <c r="AD325" s="258">
        <f>IFERROR(IF(((N(AD208)+N(AD209)+N(AD210)+N(AD213)+N(AD231)+N(AD234))-N(AD140)+N(AD267))&lt;&gt;0,((N(AD208)+N(AD209)+N(AD210)+N(AD213)+N(AD231)+N(AD234))-N(AD140))/((N(AD208)+N(AD209)+N(AD210)+N(AD213)+N(AD231)+N(AD234))-N(AD140)+AD267),""),"")</f>
        <v>-0.19645135447883</v>
      </c>
      <c r="AE325" s="258">
        <f>IFERROR(IF(((N(AE208)+N(AE209)+N(AE210)+N(AE213)+N(AE231)+N(AE234))-N(AE140)+N(AE267))&lt;&gt;0,((N(AE208)+N(AE209)+N(AE210)+N(AE213)+N(AE231)+N(AE234))-N(AE140))/((N(AE208)+N(AE209)+N(AE210)+N(AE213)+N(AE231)+N(AE234))-N(AE140)+AE267),""),"")</f>
        <v>-0.201136970479751</v>
      </c>
      <c r="AF325" s="258">
        <f>IFERROR(IF(((N(AF208)+N(AF209)+N(AF210)+N(AF213)+N(AF231)+N(AF234))-N(AF140)+N(AF267))&lt;&gt;0,((N(AF208)+N(AF209)+N(AF210)+N(AF213)+N(AF231)+N(AF234))-N(AF140))/((N(AF208)+N(AF209)+N(AF210)+N(AF213)+N(AF231)+N(AF234))-N(AF140)+AF267),""),"")</f>
        <v>-0.194275163712602</v>
      </c>
      <c r="AG325" s="258">
        <f>IFERROR(IF(((N(AG208)+N(AG209)+N(AG210)+N(AG213)+N(AG231)+N(AG234))-N(AG140)+N(AG267))&lt;&gt;0,((N(AG208)+N(AG209)+N(AG210)+N(AG213)+N(AG231)+N(AG234))-N(AG140))/((N(AG208)+N(AG209)+N(AG210)+N(AG213)+N(AG231)+N(AG234))-N(AG140)+AG267),""),"")</f>
        <v>-0.194275163712602</v>
      </c>
      <c r="AH325" s="258">
        <f>IFERROR(IF(((N(AH208)+N(AH209)+N(AH210)+N(AH213)+N(AH231)+N(AH234))-N(AH140)+N(AH267))&lt;&gt;0,((N(AH208)+N(AH209)+N(AH210)+N(AH213)+N(AH231)+N(AH234))-N(AH140))/((N(AH208)+N(AH209)+N(AH210)+N(AH213)+N(AH231)+N(AH234))-N(AH140)+AH267),""),"")</f>
        <v>-0.082180881122991</v>
      </c>
      <c r="AI325" s="258">
        <f>IFERROR(IF(((N(AI208)+N(AI209)+N(AI210)+N(AI213)+N(AI231)+N(AI234))-N(AI140)+N(AI267))&lt;&gt;0,((N(AI208)+N(AI209)+N(AI210)+N(AI213)+N(AI231)+N(AI234))-N(AI140))/((N(AI208)+N(AI209)+N(AI210)+N(AI213)+N(AI231)+N(AI234))-N(AI140)+AI267),""),"")</f>
        <v>-0.253969559207615</v>
      </c>
      <c r="AJ325" s="258">
        <f>IFERROR(IF(((N(AJ208)+N(AJ209)+N(AJ210)+N(AJ213)+N(AJ231)+N(AJ234))-N(AJ140)+N(AJ267))&lt;&gt;0,((N(AJ208)+N(AJ209)+N(AJ210)+N(AJ213)+N(AJ231)+N(AJ234))-N(AJ140))/((N(AJ208)+N(AJ209)+N(AJ210)+N(AJ213)+N(AJ231)+N(AJ234))-N(AJ140)+AJ267),""),"")</f>
        <v>-0.351017624117147</v>
      </c>
      <c r="AK325" s="258">
        <f>IFERROR(IF(((N(AK208)+N(AK209)+N(AK210)+N(AK213)+N(AK231)+N(AK234))-N(AK140)+N(AK267))&lt;&gt;0,((N(AK208)+N(AK209)+N(AK210)+N(AK213)+N(AK231)+N(AK234))-N(AK140))/((N(AK208)+N(AK209)+N(AK210)+N(AK213)+N(AK231)+N(AK234))-N(AK140)+AK267),""),"")</f>
        <v>-0.429932200496844</v>
      </c>
      <c r="AL325" s="258">
        <f>IFERROR(IF(((N(AL208)+N(AL209)+N(AL210)+N(AL213)+N(AL231)+N(AL234))-N(AL140)+N(AL267))&lt;&gt;0,((N(AL208)+N(AL209)+N(AL210)+N(AL213)+N(AL231)+N(AL234))-N(AL140))/((N(AL208)+N(AL209)+N(AL210)+N(AL213)+N(AL231)+N(AL234))-N(AL140)+AL267),""),"")</f>
        <v>-0.429932200496844</v>
      </c>
      <c r="AM325" s="258">
        <f>IFERROR(IF(((N(AM208)+N(AM209)+N(AM210)+N(AM213)+N(AM231)+N(AM234))-N(AM140)+N(AM267))&lt;&gt;0,((N(AM208)+N(AM209)+N(AM210)+N(AM213)+N(AM231)+N(AM234))-N(AM140))/((N(AM208)+N(AM209)+N(AM210)+N(AM213)+N(AM231)+N(AM234))-N(AM140)+AM267),""),"")</f>
        <v>-0.532049701018644</v>
      </c>
      <c r="AN325" s="258">
        <f>IFERROR(IF(((N(AN208)+N(AN209)+N(AN210)+N(AN213)+N(AN231)+N(AN234))-N(AN140)+N(AN267))&lt;&gt;0,((N(AN208)+N(AN209)+N(AN210)+N(AN213)+N(AN231)+N(AN234))-N(AN140))/((N(AN208)+N(AN209)+N(AN210)+N(AN213)+N(AN231)+N(AN234))-N(AN140)+AN267),""),"")</f>
        <v>-0.630466752648359</v>
      </c>
      <c r="AO325" s="258">
        <f>IFERROR(IF(((N(AO208)+N(AO209)+N(AO210)+N(AO213)+N(AO231)+N(AO234))-N(AO140)+N(AO267))&lt;&gt;0,((N(AO208)+N(AO209)+N(AO210)+N(AO213)+N(AO231)+N(AO234))-N(AO140))/((N(AO208)+N(AO209)+N(AO210)+N(AO213)+N(AO231)+N(AO234))-N(AO140)+AO267),""),"")</f>
        <v>-0.757099197199053</v>
      </c>
      <c r="AP325" s="258">
        <f>IFERROR(IF(((N(AP208)+N(AP209)+N(AP210)+N(AP213)+N(AP231)+N(AP234))-N(AP140)+N(AP267))&lt;&gt;0,((N(AP208)+N(AP209)+N(AP210)+N(AP213)+N(AP231)+N(AP234))-N(AP140))/((N(AP208)+N(AP209)+N(AP210)+N(AP213)+N(AP231)+N(AP234))-N(AP140)+AP267),""),"")</f>
        <v>-0.879092780763206</v>
      </c>
      <c r="AQ325" s="258">
        <f>IFERROR(IF(((N(AQ208)+N(AQ209)+N(AQ210)+N(AQ213)+N(AQ231)+N(AQ234))-N(AQ140)+N(AQ267))&lt;&gt;0,((N(AQ208)+N(AQ209)+N(AQ210)+N(AQ213)+N(AQ231)+N(AQ234))-N(AQ140))/((N(AQ208)+N(AQ209)+N(AQ210)+N(AQ213)+N(AQ231)+N(AQ234))-N(AQ140)+AQ267),""),"")</f>
        <v>-0.879092780763206</v>
      </c>
      <c r="AR325" s="258">
        <f>IFERROR(IF(((N(AR208)+N(AR209)+N(AR210)+N(AR213)+N(AR231)+N(AR234))-N(AR140)+N(AR267))&lt;&gt;0,((N(AR208)+N(AR209)+N(AR210)+N(AR213)+N(AR231)+N(AR234))-N(AR140))/((N(AR208)+N(AR209)+N(AR210)+N(AR213)+N(AR231)+N(AR234))-N(AR140)+AR267),""),"")</f>
        <v>-1.05294443486986</v>
      </c>
      <c r="AS325" s="258">
        <f>IFERROR(IF(((N(AS208)+N(AS209)+N(AS210)+N(AS213)+N(AS231)+N(AS234))-N(AS140)+N(AS267))&lt;&gt;0,((N(AS208)+N(AS209)+N(AS210)+N(AS213)+N(AS231)+N(AS234))-N(AS140))/((N(AS208)+N(AS209)+N(AS210)+N(AS213)+N(AS231)+N(AS234))-N(AS140)+AS267),""),"")</f>
        <v>-1.23025771501529</v>
      </c>
      <c r="AT325" s="258">
        <f>IFERROR(IF(((N(AT208)+N(AT209)+N(AT210)+N(AT213)+N(AT231)+N(AT234))-N(AT140)+N(AT267))&lt;&gt;0,((N(AT208)+N(AT209)+N(AT210)+N(AT213)+N(AT231)+N(AT234))-N(AT140))/((N(AT208)+N(AT209)+N(AT210)+N(AT213)+N(AT231)+N(AT234))-N(AT140)+AT267),""),"")</f>
        <v>-1.48556404022822</v>
      </c>
      <c r="AU325" s="258">
        <f>IFERROR(IF(((N(AU208)+N(AU209)+N(AU210)+N(AU213)+N(AU231)+N(AU234))-N(AU140)+N(AU267))&lt;&gt;0,((N(AU208)+N(AU209)+N(AU210)+N(AU213)+N(AU231)+N(AU234))-N(AU140))/((N(AU208)+N(AU209)+N(AU210)+N(AU213)+N(AU231)+N(AU234))-N(AU140)+AU267),""),"")</f>
        <v>-1.76683740596058</v>
      </c>
      <c r="AV325" s="258">
        <f>IFERROR(IF(((N(AV208)+N(AV209)+N(AV210)+N(AV213)+N(AV231)+N(AV234))-N(AV140)+N(AV267))&lt;&gt;0,((N(AV208)+N(AV209)+N(AV210)+N(AV213)+N(AV231)+N(AV234))-N(AV140))/((N(AV208)+N(AV209)+N(AV210)+N(AV213)+N(AV231)+N(AV234))-N(AV140)+AV267),""),"")</f>
        <v>-1.76683740596058</v>
      </c>
      <c r="AW325" s="258">
        <f>IFERROR(IF(((N(AW208)+N(AW209)+N(AW210)+N(AW213)+N(AW231)+N(AW234))-N(AW140)+N(AW267))&lt;&gt;0,((N(AW208)+N(AW209)+N(AW210)+N(AW213)+N(AW231)+N(AW234))-N(AW140))/((N(AW208)+N(AW209)+N(AW210)+N(AW213)+N(AW231)+N(AW234))-N(AW140)+AW267),""),"")</f>
        <v>-2.21154680283257</v>
      </c>
      <c r="AX325" s="258">
        <f>IFERROR(IF(((N(AX208)+N(AX209)+N(AX210)+N(AX213)+N(AX231)+N(AX234))-N(AX140)+N(AX267))&lt;&gt;0,((N(AX208)+N(AX209)+N(AX210)+N(AX213)+N(AX231)+N(AX234))-N(AX140))/((N(AX208)+N(AX209)+N(AX210)+N(AX213)+N(AX231)+N(AX234))-N(AX140)+AX267),""),"")</f>
        <v>-2.77962430672417</v>
      </c>
      <c r="AY325" s="258">
        <f>IFERROR(IF(((N(AY208)+N(AY209)+N(AY210)+N(AY213)+N(AY231)+N(AY234))-N(AY140)+N(AY267))&lt;&gt;0,((N(AY208)+N(AY209)+N(AY210)+N(AY213)+N(AY231)+N(AY234))-N(AY140))/((N(AY208)+N(AY209)+N(AY210)+N(AY213)+N(AY231)+N(AY234))-N(AY140)+AY267),""),"")</f>
        <v>-3.77570003209427</v>
      </c>
      <c r="AZ325" s="258">
        <f>IFERROR(IF(((N(AZ208)+N(AZ209)+N(AZ210)+N(AZ213)+N(AZ231)+N(AZ234))-N(AZ140)+N(AZ267))&lt;&gt;0,((N(AZ208)+N(AZ209)+N(AZ210)+N(AZ213)+N(AZ231)+N(AZ234))-N(AZ140))/((N(AZ208)+N(AZ209)+N(AZ210)+N(AZ213)+N(AZ231)+N(AZ234))-N(AZ140)+AZ267),""),"")</f>
        <v>-5.34601797014742</v>
      </c>
      <c r="BA325" s="258">
        <f>IFERROR(IF(((N(BA208)+N(BA209)+N(BA210)+N(BA213)+N(BA231)+N(BA234))-N(BA140)+N(BA267))&lt;&gt;0,((N(BA208)+N(BA209)+N(BA210)+N(BA213)+N(BA231)+N(BA234))-N(BA140))/((N(BA208)+N(BA209)+N(BA210)+N(BA213)+N(BA231)+N(BA234))-N(BA140)+BA267),""),"")</f>
        <v>-5.34601797014742</v>
      </c>
      <c r="BB325" s="258">
        <f>IFERROR(IF(((N(BB208)+N(BB209)+N(BB210)+N(BB213)+N(BB231)+N(BB234))-N(BB140)+N(BB267))&lt;&gt;0,((N(BB208)+N(BB209)+N(BB210)+N(BB213)+N(BB231)+N(BB234))-N(BB140))/((N(BB208)+N(BB209)+N(BB210)+N(BB213)+N(BB231)+N(BB234))-N(BB140)+BB267),""),"")</f>
        <v>-9.54768621592215</v>
      </c>
      <c r="BC325" s="258">
        <f>IFERROR(IF(((N(BC208)+N(BC209)+N(BC210)+N(BC213)+N(BC231)+N(BC234))-N(BC140)+N(BC267))&lt;&gt;0,((N(BC208)+N(BC209)+N(BC210)+N(BC213)+N(BC231)+N(BC234))-N(BC140))/((N(BC208)+N(BC209)+N(BC210)+N(BC213)+N(BC231)+N(BC234))-N(BC140)+BC267),""),"")</f>
        <v>-28.7745497613987</v>
      </c>
      <c r="BD325" s="258">
        <f>IFERROR(IF(((N(BD208)+N(BD209)+N(BD210)+N(BD213)+N(BD231)+N(BD234))-N(BD140)+N(BD267))&lt;&gt;0,((N(BD208)+N(BD209)+N(BD210)+N(BD213)+N(BD231)+N(BD234))-N(BD140))/((N(BD208)+N(BD209)+N(BD210)+N(BD213)+N(BD231)+N(BD234))-N(BD140)+BD267),""),"")</f>
        <v>27.2131197488172</v>
      </c>
      <c r="BE325" s="258">
        <f>IFERROR(IF(((N(BE208)+N(BE209)+N(BE210)+N(BE213)+N(BE231)+N(BE234))-N(BE140)+N(BE267))&lt;&gt;0,((N(BE208)+N(BE209)+N(BE210)+N(BE213)+N(BE231)+N(BE234))-N(BE140))/((N(BE208)+N(BE209)+N(BE210)+N(BE213)+N(BE231)+N(BE234))-N(BE140)+BE267),""),"")</f>
        <v>10.2284434690311</v>
      </c>
      <c r="BF325" s="258">
        <f>IFERROR(IF(((N(BF208)+N(BF209)+N(BF210)+N(BF213)+N(BF231)+N(BF234))-N(BF140)+N(BF267))&lt;&gt;0,((N(BF208)+N(BF209)+N(BF210)+N(BF213)+N(BF231)+N(BF234))-N(BF140))/((N(BF208)+N(BF209)+N(BF210)+N(BF213)+N(BF231)+N(BF234))-N(BF140)+BF267),""),"")</f>
        <v>10.2284434690311</v>
      </c>
    </row>
    <row r="326" customFormat="1" s="77">
      <c r="A326" s="76" t="n"/>
      <c r="B326" s="76" t="n"/>
    </row>
    <row r="327" customFormat="1" s="77">
      <c r="A327" s="76" t="n"/>
      <c r="B327" s="76" t="n"/>
      <c r="C327" s="74" t="inlineStr">
        <is>
          <t>FINANCIAL RISK RATIOS</t>
        </is>
      </c>
    </row>
    <row r="328" customFormat="1" s="77">
      <c r="A328" s="76" t="n"/>
      <c r="B328" s="76" t="n"/>
      <c r="C328" s="77" t="inlineStr">
        <is>
          <t>EBITDA / TOTAL INTEREST (LTM)</t>
        </is>
      </c>
      <c r="D328" s="82" t="str">
        <f>IFERROR(D65/-D70,"")</f>
        <v/>
      </c>
      <c r="E328" s="82" t="str">
        <f>IFERROR(E65/-E70,"")</f>
        <v/>
      </c>
      <c r="F328" s="82" t="str">
        <f>IFERROR(F65/-F70,"")</f>
        <v/>
      </c>
      <c r="G328" s="82" t="str">
        <f>IFERROR(G65/-G70,"")</f>
        <v/>
      </c>
      <c r="H328" s="262" t="str">
        <f>IFERROR(IF(AND(COUNT(H65)=1,(H70)&lt;&gt;0),(H65)/-(H70),""),"")</f>
        <v/>
      </c>
      <c r="I328" s="262" t="str">
        <f>""</f>
        <v/>
      </c>
      <c r="J328" s="262" t="str">
        <f>""</f>
        <v/>
      </c>
      <c r="K328" s="262" t="str">
        <f>""</f>
        <v/>
      </c>
      <c r="L328" s="262">
        <f>IFERROR(IF(AND(COUNT(I65,J65,K65,L65)=4,(I70+J70+K70+L70)&lt;&gt;0),(I65+J65+K65+L65)/-(I70+J70+K70+L70),""),"")</f>
        <v>260.893063583815</v>
      </c>
      <c r="M328" s="262">
        <f>IFERROR(IF(AND(COUNT(I65,J65,K65,L65)=4,(I70+J70+K70+L70)&lt;&gt;0),(I65+J65+K65+L65)/-(I70+J70+K70+L70),""),"")</f>
        <v>260.893063583815</v>
      </c>
      <c r="N328" s="262">
        <f>IFERROR(IF(AND(COUNT(J65,K65,L65,N65)=4,(J70+K70+L70+N70)&lt;&gt;0),(J65+K65+L65+N65)/-(J70+K70+L70+N70),""),"")</f>
        <v>269.099150141643</v>
      </c>
      <c r="O328" s="262">
        <f>IFERROR(IF(AND(COUNT(K65,L65,N65,O65)=4,(K70+L70+N70+O70)&lt;&gt;0),(K65+L65+N65+O65)/-(K70+L70+N70+O70),""),"")</f>
        <v>266.811111111111</v>
      </c>
      <c r="P328" s="262">
        <f>IFERROR(IF(AND(COUNT(L65,N65,O65,P65)=4,(L70+N70+O70+P70)&lt;&gt;0),(L65+N65+O65+P65)/-(L70+N70+O70+P70),""),"")</f>
        <v>242.197916666667</v>
      </c>
      <c r="Q328" s="262">
        <f>IFERROR(IF(AND(COUNT(N65,O65,P65,Q65)=4,(N70+O70+P70+Q70)&lt;&gt;0),(N65+O65+P65+Q65)/-(N70+O70+P70+Q70),""),"")</f>
        <v>252.46218487395</v>
      </c>
      <c r="R328" s="262">
        <f>IFERROR(IF(AND(COUNT(N65,O65,P65,Q65)=4,(N70+O70+P70+Q70)&lt;&gt;0),(N65+O65+P65+Q65)/-(N70+O70+P70+Q70),""),"")</f>
        <v>252.46218487395</v>
      </c>
      <c r="S328" s="262">
        <f>IFERROR(IF(AND(COUNT(O65,P65,Q65,S65)=4,(O70+P70+Q70+S70)&lt;&gt;0),(O65+P65+Q65+S65)/-(O70+P70+Q70+S70),""),"")</f>
        <v>245.533898305085</v>
      </c>
      <c r="T328" s="262">
        <f>IFERROR(IF(AND(COUNT(P65,Q65,S65,T65)=4,(P70+Q70+S70+T70)&lt;&gt;0),(P65+Q65+S65+T65)/-(P70+Q70+S70+T70),""),"")</f>
        <v>283.073248407643</v>
      </c>
      <c r="U328" s="262">
        <f>IFERROR(IF(AND(COUNT(Q65,S65,T65,U65)=4,(Q70+S70+T70+U70)&lt;&gt;0),(Q65+S65+T65+U65)/-(Q70+S70+T70+U70),""),"")</f>
        <v>282.161094224924</v>
      </c>
      <c r="V328" s="262">
        <f>IFERROR(IF(AND(COUNT(S65,T65,U65,V65)=4,(S70+T70+U70+V70)&lt;&gt;0),(S65+T65+U65+V65)/-(S70+T70+U70+V70),""),"")</f>
        <v>316.944805194805</v>
      </c>
      <c r="W328" s="262">
        <f>IFERROR(IF(AND(COUNT(S65,T65,U65,V65)=4,(S70+T70+U70+V70)&lt;&gt;0),(S65+T65+U65+V65)/-(S70+T70+U70+V70),""),"")</f>
        <v>316.944805194805</v>
      </c>
      <c r="X328" s="262">
        <f>IFERROR(IF(AND(COUNT(T65,U65,V65,X65)=4,(T70+U70+V70+X70)&lt;&gt;0),(T65+U65+V65+X65)/-(T70+U70+V70+X70),""),"")</f>
        <v>329.282608695652</v>
      </c>
      <c r="Y328" s="262">
        <f>IFERROR(IF(AND(COUNT(U65,V65,X65,Y65)=4,(U70+V70+X70+Y70)&lt;&gt;0),(U65+V65+X65+Y65)/-(U70+V70+X70+Y70),""),"")</f>
        <v>323.829479768786</v>
      </c>
      <c r="Z328" s="262">
        <f>IFERROR(IF(AND(COUNT(V65,X65,Y65,Z65)=4,(V70+X70+Y70+Z70)&lt;&gt;0),(V65+X65+Y65+Z65)/-(V70+X70+Y70+Z70),""),"")</f>
        <v>420.904929577465</v>
      </c>
      <c r="AA328" s="262">
        <f>IFERROR(IF(AND(COUNT(X65,Y65,Z65,AA65)=4,(X70+Y70+Z70+AA70)&lt;&gt;0),(X65+Y65+Z65+AA65)/-(X70+Y70+Z70+AA70),""),"")</f>
        <v>476.496268656716</v>
      </c>
      <c r="AB328" s="262">
        <f>IFERROR(IF(AND(COUNT(X65,Y65,Z65,AA65)=4,(X70+Y70+Z70+AA70)&lt;&gt;0),(X65+Y65+Z65+AA65)/-(X70+Y70+Z70+AA70),""),"")</f>
        <v>476.496268656716</v>
      </c>
      <c r="AC328" s="262">
        <f>IFERROR(IF(AND(COUNT(Y65,Z65,AA65,AC65)=4,(Y70+Z70+AA70+AC70)&lt;&gt;0),(Y65+Z65+AA65+AC65)/-(Y70+Z70+AA70+AC70),""),"")</f>
        <v>643.793269230769</v>
      </c>
      <c r="AD328" s="262">
        <f>IFERROR(IF(AND(COUNT(Z65,AA65,AC65,AD65)=4,(Z70+AA70+AC70+AD70)&lt;&gt;0),(Z65+AA65+AC65+AD65)/-(Z70+AA70+AC70+AD70),""),"")</f>
        <v>345.883084577114</v>
      </c>
      <c r="AE328" s="262">
        <f>IFERROR(IF(AND(COUNT(AA65,AC65,AD65,AE65)=4,(AA70+AC70+AD70+AE70)&lt;&gt;0),(AA65+AC65+AD65+AE65)/-(AA70+AC70+AD70+AE70),""),"")</f>
        <v>292.012219959267</v>
      </c>
      <c r="AF328" s="262">
        <f>IFERROR(IF(AND(COUNT(AB65,AD65,AE65,AF65)=4,(AB70+AD70+AE70+AF70)&lt;&gt;0),(AB65+AD65+AE65+AF65)/-(AB70+AD70+AE70+AF70),""),"")</f>
        <v>250.29175257732</v>
      </c>
      <c r="AG328" s="262">
        <f>IFERROR(IF(AND(COUNT(AC65,AD65,AE65,AF65)=4,(AC70+AD70+AE70+AF70)&lt;&gt;0),(AC65+AD65+AE65+AF65)/-(AC70+AD70+AE70+AF70),""),"")</f>
        <v>204.042119565217</v>
      </c>
      <c r="AH328" s="262">
        <f>IFERROR(IF(AND(COUNT(AD65,AF65,AG65,AH65)=4,(AD70+AF70+AG70+AH70)&lt;&gt;0),(AD65+AF65+AG65+AH65)/-(AD70+AF70+AG70+AH70),""),"")</f>
        <v>150.216630196937</v>
      </c>
      <c r="AI328" s="262">
        <f>IFERROR(IF(AND(COUNT(AE65,AG65,AH65,AI65)=4,(AE70+AG70+AH70+AI70)&lt;&gt;0),(AE65+AG65+AH65+AI65)/-(AE70+AG70+AH70+AI70),""),"")</f>
        <v>104.485501858736</v>
      </c>
      <c r="AJ328" s="262" t="str">
        <f>IFERROR(IF(AND(COUNT(AF65,AH65,AI65,AJ65)=4,(AF70+AH70+AI70+AJ70)&lt;&gt;0),(AF65+AH65+AI65+AJ65)/-(AF70+AH70+AI70+AJ70),""),"")</f>
        <v/>
      </c>
      <c r="AK328" s="262" t="str">
        <f>IFERROR(IF(AND(COUNT(AH65,AI65,AJ65,AK65)=4,(AH70+AI70+AJ70+AK70)&lt;&gt;0),(AH65+AI65+AJ65+AK65)/-(AH70+AI70+AJ70+AK70),""),"")</f>
        <v/>
      </c>
      <c r="AL328" s="262" t="str">
        <f>IFERROR(IF(AND(COUNT(AH65,AI65,AJ65,AK65)=4,(AH70+AI70+AJ70+AK70)&lt;&gt;0),(AH65+AI65+AJ65+AK65)/-(AH70+AI70+AJ70+AK70),""),"")</f>
        <v/>
      </c>
      <c r="AM328" s="262" t="str">
        <f>IFERROR(IF(AND(COUNT(AI65,AJ65,AK65,AM65)=4,(AI70+AJ70+AK70+AM70)&lt;&gt;0),(AI65+AJ65+AK65+AM65)/-(AI70+AJ70+AK70+AM70),""),"")</f>
        <v/>
      </c>
      <c r="AN328" s="262" t="str">
        <f>IFERROR(IF(AND(COUNT(AJ65,AK65,AM65,AN65)=4,(AJ70+AK70+AM70+AN70)&lt;&gt;0),(AJ65+AK65+AM65+AN65)/-(AJ70+AK70+AM70+AN70),""),"")</f>
        <v/>
      </c>
      <c r="AO328" s="262" t="str">
        <f>IFERROR(IF(AND(COUNT(AK65,AM65,AN65,AO65)=4,(AK70+AM70+AN70+AO70)&lt;&gt;0),(AK65+AM65+AN65+AO65)/-(AK70+AM70+AN70+AO70),""),"")</f>
        <v/>
      </c>
      <c r="AP328" s="262" t="str">
        <f>IFERROR(IF(AND(COUNT(AM65,AN65,AO65,AP65)=4,(AM70+AN70+AO70+AP70)&lt;&gt;0),(AM65+AN65+AO65+AP65)/-(AM70+AN70+AO70+AP70),""),"")</f>
        <v/>
      </c>
      <c r="AQ328" s="262" t="str">
        <f>IFERROR(IF(AND(COUNT(AM65,AN65,AO65,AP65)=4,(AM70+AN70+AO70+AP70)&lt;&gt;0),(AM65+AN65+AO65+AP65)/-(AM70+AN70+AO70+AP70),""),"")</f>
        <v/>
      </c>
      <c r="AR328" s="262" t="str">
        <f>IFERROR(IF(AND(COUNT(AN65,AO65,AP65,AR65)=4,(AN70+AO70+AP70+AR70)&lt;&gt;0),(AN65+AO65+AP65+AR65)/-(AN70+AO70+AP70+AR70),""),"")</f>
        <v/>
      </c>
      <c r="AS328" s="262" t="str">
        <f>IFERROR(IF(AND(COUNT(AO65,AP65,AR65,AS65)=4,(AO70+AP70+AR70+AS70)&lt;&gt;0),(AO65+AP65+AR65+AS65)/-(AO70+AP70+AR70+AS70),""),"")</f>
        <v/>
      </c>
      <c r="AT328" s="262" t="str">
        <f>IFERROR(IF(AND(COUNT(AP65,AR65,AS65,AT65)=4,(AP70+AR70+AS70+AT70)&lt;&gt;0),(AP65+AR65+AS65+AT65)/-(AP70+AR70+AS70+AT70),""),"")</f>
        <v/>
      </c>
      <c r="AU328" s="262" t="str">
        <f>IFERROR(IF(AND(COUNT(AR65,AS65,AT65,AU65)=4,(AR70+AS70+AT70+AU70)&lt;&gt;0),(AR65+AS65+AT65+AU65)/-(AR70+AS70+AT70+AU70),""),"")</f>
        <v/>
      </c>
      <c r="AV328" s="262" t="str">
        <f>IFERROR(IF(AND(COUNT(AR65,AS65,AT65,AU65)=4,(AR70+AS70+AT70+AU70)&lt;&gt;0),(AR65+AS65+AT65+AU65)/-(AR70+AS70+AT70+AU70),""),"")</f>
        <v/>
      </c>
      <c r="AW328" s="262" t="str">
        <f>IFERROR(IF(AND(COUNT(AS65,AT65,AU65,AW65)=4,(AS70+AT70+AU70+AW70)&lt;&gt;0),(AS65+AT65+AU65+AW65)/-(AS70+AT70+AU70+AW70),""),"")</f>
        <v/>
      </c>
      <c r="AX328" s="262" t="str">
        <f>IFERROR(IF(AND(COUNT(AT65,AU65,AW65,AX65)=4,(AT70+AU70+AW70+AX70)&lt;&gt;0),(AT65+AU65+AW65+AX65)/-(AT70+AU70+AW70+AX70),""),"")</f>
        <v/>
      </c>
      <c r="AY328" s="262" t="str">
        <f>IFERROR(IF(AND(COUNT(AU65,AW65,AX65,AY65)=4,(AU70+AW70+AX70+AY70)&lt;&gt;0),(AU65+AW65+AX65+AY65)/-(AU70+AW70+AX70+AY70),""),"")</f>
        <v/>
      </c>
      <c r="AZ328" s="262" t="str">
        <f>IFERROR(IF(AND(COUNT(AW65,AX65,AY65,AZ65)=4,(AW70+AX70+AY70+AZ70)&lt;&gt;0),(AW65+AX65+AY65+AZ65)/-(AW70+AX70+AY70+AZ70),""),"")</f>
        <v/>
      </c>
      <c r="BA328" s="262" t="str">
        <f>IFERROR(IF(AND(COUNT(AW65,AX65,AY65,AZ65)=4,(AW70+AX70+AY70+AZ70)&lt;&gt;0),(AW65+AX65+AY65+AZ65)/-(AW70+AX70+AY70+AZ70),""),"")</f>
        <v/>
      </c>
      <c r="BB328" s="262" t="str">
        <f>IFERROR(IF(AND(COUNT(AX65,AY65,AZ65,BB65)=4,(AX70+AY70+AZ70+BB70)&lt;&gt;0),(AX65+AY65+AZ65+BB65)/-(AX70+AY70+AZ70+BB70),""),"")</f>
        <v/>
      </c>
      <c r="BC328" s="262" t="str">
        <f>IFERROR(IF(AND(COUNT(AY65,AZ65,BB65,BC65)=4,(AY70+AZ70+BB70+BC70)&lt;&gt;0),(AY65+AZ65+BB65+BC65)/-(AY70+AZ70+BB70+BC70),""),"")</f>
        <v/>
      </c>
      <c r="BD328" s="262" t="str">
        <f>IFERROR(IF(AND(COUNT(AZ65,BB65,BC65,BD65)=4,(AZ70+BB70+BC70+BD70)&lt;&gt;0),(AZ65+BB65+BC65+BD65)/-(AZ70+BB70+BC70+BD70),""),"")</f>
        <v/>
      </c>
      <c r="BE328" s="262" t="str">
        <f>IFERROR(IF(AND(COUNT(BB65,BC65,BD65,BE65)=4,(BB70+BC70+BD70+BE70)&lt;&gt;0),(BB65+BC65+BD65+BE65)/-(BB70+BC70+BD70+BE70),""),"")</f>
        <v/>
      </c>
      <c r="BF328" s="262" t="str">
        <f>IFERROR(IF(AND(COUNT(BB65,BC65,BD65,BE65)=4,(BB70+BC70+BD70+BE70)&lt;&gt;0),(BB65+BC65+BD65+BE65)/-(BB70+BC70+BD70+BE70),""),"")</f>
        <v/>
      </c>
      <c r="BG328" s="82" t="n"/>
      <c r="BH328" s="82" t="n"/>
      <c r="BI328" s="82" t="n"/>
      <c r="BJ328" s="82" t="n"/>
      <c r="BL328" s="82" t="n"/>
      <c r="BM328" s="82" t="n"/>
      <c r="BN328" s="82" t="n"/>
      <c r="BO328" s="82" t="n"/>
      <c r="BQ328" s="82" t="n"/>
      <c r="BR328" s="82" t="n"/>
      <c r="BS328" s="82" t="n"/>
      <c r="BT328" s="82" t="n"/>
      <c r="BV328" s="82" t="n"/>
      <c r="BW328" s="82" t="n"/>
      <c r="BX328" s="82" t="n"/>
      <c r="BY328" s="82" t="n"/>
      <c r="CA328" s="82" t="n"/>
      <c r="CB328" s="82" t="n"/>
      <c r="CC328" s="82" t="n"/>
      <c r="CD328" s="82" t="n"/>
      <c r="CF328" s="82" t="n"/>
      <c r="CG328" s="82" t="n"/>
      <c r="CH328" s="82" t="n"/>
      <c r="CI328" s="82" t="n"/>
      <c r="CK328" s="82" t="n"/>
      <c r="CL328" s="82" t="n"/>
      <c r="CM328" s="82" t="n"/>
      <c r="CN328" s="82" t="n"/>
      <c r="CP328" s="82" t="n"/>
      <c r="CQ328" s="82" t="n"/>
      <c r="CR328" s="82" t="n"/>
      <c r="CS328" s="82" t="n"/>
      <c r="CU328" s="82" t="n"/>
      <c r="CV328" s="82" t="n"/>
      <c r="CW328" s="82" t="n"/>
      <c r="CX328" s="82" t="n"/>
    </row>
    <row r="329" customFormat="1" s="77">
      <c r="A329" s="76" t="n"/>
      <c r="B329" s="76" t="n"/>
      <c r="C329" s="77" t="inlineStr">
        <is>
          <t>(EBITDA - CAPEX) / TOTAL INTEREST (LTM)</t>
        </is>
      </c>
      <c r="D329" s="82" t="str">
        <f>IFERROR((D65-D164)/-D70,"")</f>
        <v/>
      </c>
      <c r="E329" s="82" t="str">
        <f>IFERROR((E65-E164)/-E70,"")</f>
        <v/>
      </c>
      <c r="F329" s="82" t="str">
        <f>IFERROR((F65-F164)/-F70,"")</f>
        <v/>
      </c>
      <c r="G329" s="82" t="str">
        <f>IFERROR((G65-G164)/-G70,"")</f>
        <v/>
      </c>
      <c r="H329" s="262" t="str">
        <f>IFERROR(IF(AND(COUNT(H65)=1,(H70)&lt;&gt;0),((H65)-(H164))/-(H70),""),"")</f>
        <v/>
      </c>
      <c r="I329" s="262" t="str">
        <f>""</f>
        <v/>
      </c>
      <c r="J329" s="262" t="str">
        <f>""</f>
        <v/>
      </c>
      <c r="K329" s="262" t="str">
        <f>""</f>
        <v/>
      </c>
      <c r="L329" s="262">
        <f>IFERROR(IF(AND(COUNT(I65,J65,K65,L65)=4,(I70+J70+K70+L70)&lt;&gt;0),((I65+J65+K65+L65)-(I164+J164+K164+L164))/-(I70+J70+K70+L70),""),"")</f>
        <v>205.913294797688</v>
      </c>
      <c r="M329" s="262">
        <f>IFERROR(IF(AND(COUNT(I65,J65,K65,L65)=4,(I70+J70+K70+L70)&lt;&gt;0),((I65+J65+K65+L65)-(I164+J164+K164+L164))/-(I70+J70+K70+L70),""),"")</f>
        <v>205.913294797688</v>
      </c>
      <c r="N329" s="262">
        <f>IFERROR(IF(AND(COUNT(J65,K65,L65,N65)=4,(J70+K70+L70+N70)&lt;&gt;0),((J65+K65+L65+N65)-(J164+K164+L164+N164))/-(J70+K70+L70+N70),""),"")</f>
        <v>186.28611898017</v>
      </c>
      <c r="O329" s="262">
        <f>IFERROR(IF(AND(COUNT(K65,L65,N65,O65)=4,(K70+L70+N70+O70)&lt;&gt;0),((K65+L65+N65+O65)-(K164+L164+N164+O164))/-(K70+L70+N70+O70),""),"")</f>
        <v>188.713888888889</v>
      </c>
      <c r="P329" s="262">
        <f>IFERROR(IF(AND(COUNT(L65,N65,O65,P65)=4,(L70+N70+O70+P70)&lt;&gt;0),((L65+N65+O65+P65)-(L164+N164+O164+P164))/-(L70+N70+O70+P70),""),"")</f>
        <v>168.841145833333</v>
      </c>
      <c r="Q329" s="262">
        <f>IFERROR(IF(AND(COUNT(N65,O65,P65,Q65)=4,(N70+O70+P70+Q70)&lt;&gt;0),((N65+O65+P65+Q65)-(N164+O164+P164+Q164))/-(N70+O70+P70+Q70),""),"")</f>
        <v>167.43137254902</v>
      </c>
      <c r="R329" s="262">
        <f>IFERROR(IF(AND(COUNT(N65,O65,P65,Q65)=4,(N70+O70+P70+Q70)&lt;&gt;0),((N65+O65+P65+Q65)-(N164+O164+P164+Q164))/-(N70+O70+P70+Q70),""),"")</f>
        <v>167.43137254902</v>
      </c>
      <c r="S329" s="262">
        <f>IFERROR(IF(AND(COUNT(O65,P65,Q65,S65)=4,(O70+P70+Q70+S70)&lt;&gt;0),((O65+P65+Q65+S65)-(O164+P164+Q164+S164))/-(O70+P70+Q70+S70),""),"")</f>
        <v>166.161016949153</v>
      </c>
      <c r="T329" s="262">
        <f>IFERROR(IF(AND(COUNT(P65,Q65,S65,T65)=4,(P70+Q70+S70+T70)&lt;&gt;0),((P65+Q65+S65+T65)-(P164+Q164+S164+T164))/-(P70+Q70+S70+T70),""),"")</f>
        <v>189.691082802548</v>
      </c>
      <c r="U329" s="262">
        <f>IFERROR(IF(AND(COUNT(Q65,S65,T65,U65)=4,(Q70+S70+T70+U70)&lt;&gt;0),((Q65+S65+T65+U65)-(Q164+S164+T164+U164))/-(Q70+S70+T70+U70),""),"")</f>
        <v>186.668693009119</v>
      </c>
      <c r="V329" s="262">
        <f>IFERROR(IF(AND(COUNT(S65,T65,U65,V65)=4,(S70+T70+U70+V70)&lt;&gt;0),((S65+T65+U65+V65)-(S164+T164+U164+V164))/-(S70+T70+U70+V70),""),"")</f>
        <v>203.298701298701</v>
      </c>
      <c r="W329" s="262">
        <f>IFERROR(IF(AND(COUNT(S65,T65,U65,V65)=4,(S70+T70+U70+V70)&lt;&gt;0),((S65+T65+U65+V65)-(S164+T164+U164+V164))/-(S70+T70+U70+V70),""),"")</f>
        <v>203.298701298701</v>
      </c>
      <c r="X329" s="262">
        <f>IFERROR(IF(AND(COUNT(T65,U65,V65,X65)=4,(T70+U70+V70+X70)&lt;&gt;0),((T65+U65+V65+X65)-(T164+U164+V164+X164))/-(T70+U70+V70+X70),""),"")</f>
        <v>207.229813664596</v>
      </c>
      <c r="Y329" s="262">
        <f>IFERROR(IF(AND(COUNT(U65,V65,X65,Y65)=4,(U70+V70+X70+Y70)&lt;&gt;0),((U65+V65+X65+Y65)-(U164+V164+X164+Y164))/-(U70+V70+X70+Y70),""),"")</f>
        <v>196.50289017341</v>
      </c>
      <c r="Z329" s="262">
        <f>IFERROR(IF(AND(COUNT(V65,X65,Y65,Z65)=4,(V70+X70+Y70+Z70)&lt;&gt;0),((V65+X65+Y65+Z65)-(V164+X164+Y164+Z164))/-(V70+X70+Y70+Z70),""),"")</f>
        <v>244.894366197183</v>
      </c>
      <c r="AA329" s="262">
        <f>IFERROR(IF(AND(COUNT(X65,Y65,Z65,AA65)=4,(X70+Y70+Z70+AA70)&lt;&gt;0),((X65+Y65+Z65+AA65)-(X164+Y164+Z164+AA164))/-(X70+Y70+Z70+AA70),""),"")</f>
        <v>282.458955223881</v>
      </c>
      <c r="AB329" s="262">
        <f>IFERROR(IF(AND(COUNT(X65,Y65,Z65,AA65)=4,(X70+Y70+Z70+AA70)&lt;&gt;0),((X65+Y65+Z65+AA65)-(X164+Y164+Z164+AA164))/-(X70+Y70+Z70+AA70),""),"")</f>
        <v>282.458955223881</v>
      </c>
      <c r="AC329" s="262">
        <f>IFERROR(IF(AND(COUNT(Y65,Z65,AA65,AC65)=4,(Y70+Z70+AA70+AC70)&lt;&gt;0),((Y65+Z65+AA65+AC65)-(Y164+Z164+AA164+AC164))/-(Y70+Z70+AA70+AC70),""),"")</f>
        <v>363.673076923077</v>
      </c>
      <c r="AD329" s="262">
        <f>IFERROR(IF(AND(COUNT(Z65,AA65,AC65,AD65)=4,(Z70+AA70+AC70+AD70)&lt;&gt;0),((Z65+AA65+AC65+AD65)-(Z164+AA164+AC164+AD164))/-(Z70+AA70+AC70+AD70),""),"")</f>
        <v>172.373134328358</v>
      </c>
      <c r="AE329" s="262">
        <f>IFERROR(IF(AND(COUNT(AA65,AC65,AD65,AE65)=4,(AA70+AC70+AD70+AE70)&lt;&gt;0),((AA65+AC65+AD65+AE65)-(AA164+AC164+AD164+AE164))/-(AA70+AC70+AD70+AE70),""),"")</f>
        <v>125.376782077393</v>
      </c>
      <c r="AF329" s="262">
        <f>IFERROR(IF(AND(COUNT(AB65,AD65,AE65,AF65)=4,(AB70+AD70+AE70+AF70)&lt;&gt;0),((AB65+AD65+AE65+AF65)-(AB164+AD164+AE164+AF164))/-(AB70+AD70+AE70+AF70),""),"")</f>
        <v>169.68969072165</v>
      </c>
      <c r="AG329" s="262">
        <f>IFERROR(IF(AND(COUNT(AC65,AD65,AE65,AF65)=4,(AC70+AD70+AE70+AF70)&lt;&gt;0),((AC65+AD65+AE65+AF65)-(AC164+AD164+AE164+AF164))/-(AC70+AD70+AE70+AF70),""),"")</f>
        <v>72.6603260869565</v>
      </c>
      <c r="AH329" s="262">
        <f>IFERROR(IF(AND(COUNT(AD65,AF65,AG65,AH65)=4,(AD70+AF70+AG70+AH70)&lt;&gt;0),((AD65+AF65+AG65+AH65)-(AD164+AF164+AG164+AH164))/-(AD70+AF70+AG70+AH70),""),"")</f>
        <v>46.4863238512035</v>
      </c>
      <c r="AI329" s="262">
        <f>IFERROR(IF(AND(COUNT(AE65,AG65,AH65,AI65)=4,(AE70+AG70+AH70+AI70)&lt;&gt;0),((AE65+AG65+AH65+AI65)-(AE164+AG164+AH164+AI164))/-(AE70+AG70+AH70+AI70),""),"")</f>
        <v>26.0226765799257</v>
      </c>
      <c r="AJ329" s="262" t="str">
        <f>IFERROR(IF(AND(COUNT(AF65,AH65,AI65,AJ65)=4,(AF70+AH70+AI70+AJ70)&lt;&gt;0),((AF65+AH65+AI65+AJ65)-(AF164+AH164+AI164+AJ164))/-(AF70+AH70+AI70+AJ70),""),"")</f>
        <v/>
      </c>
      <c r="AK329" s="262" t="str">
        <f>IFERROR(IF(AND(COUNT(AH65,AI65,AJ65,AK65)=4,(AH70+AI70+AJ70+AK70)&lt;&gt;0),((AH65+AI65+AJ65+AK65)-(AH164+AI164+AJ164+AK164))/-(AH70+AI70+AJ70+AK70),""),"")</f>
        <v/>
      </c>
      <c r="AL329" s="262" t="str">
        <f>IFERROR(IF(AND(COUNT(AH65,AI65,AJ65,AK65)=4,(AH70+AI70+AJ70+AK70)&lt;&gt;0),((AH65+AI65+AJ65+AK65)-(AH164+AI164+AJ164+AK164))/-(AH70+AI70+AJ70+AK70),""),"")</f>
        <v/>
      </c>
      <c r="AM329" s="262" t="str">
        <f>IFERROR(IF(AND(COUNT(AI65,AJ65,AK65,AM65)=4,(AI70+AJ70+AK70+AM70)&lt;&gt;0),((AI65+AJ65+AK65+AM65)-(AI164+AJ164+AK164+AM164))/-(AI70+AJ70+AK70+AM70),""),"")</f>
        <v/>
      </c>
      <c r="AN329" s="262" t="str">
        <f>IFERROR(IF(AND(COUNT(AJ65,AK65,AM65,AN65)=4,(AJ70+AK70+AM70+AN70)&lt;&gt;0),((AJ65+AK65+AM65+AN65)-(AJ164+AK164+AM164+AN164))/-(AJ70+AK70+AM70+AN70),""),"")</f>
        <v/>
      </c>
      <c r="AO329" s="262" t="str">
        <f>IFERROR(IF(AND(COUNT(AK65,AM65,AN65,AO65)=4,(AK70+AM70+AN70+AO70)&lt;&gt;0),((AK65+AM65+AN65+AO65)-(AK164+AM164+AN164+AO164))/-(AK70+AM70+AN70+AO70),""),"")</f>
        <v/>
      </c>
      <c r="AP329" s="262" t="str">
        <f>IFERROR(IF(AND(COUNT(AM65,AN65,AO65,AP65)=4,(AM70+AN70+AO70+AP70)&lt;&gt;0),((AM65+AN65+AO65+AP65)-(AM164+AN164+AO164+AP164))/-(AM70+AN70+AO70+AP70),""),"")</f>
        <v/>
      </c>
      <c r="AQ329" s="262" t="str">
        <f>IFERROR(IF(AND(COUNT(AM65,AN65,AO65,AP65)=4,(AM70+AN70+AO70+AP70)&lt;&gt;0),((AM65+AN65+AO65+AP65)-(AM164+AN164+AO164+AP164))/-(AM70+AN70+AO70+AP70),""),"")</f>
        <v/>
      </c>
      <c r="AR329" s="262" t="str">
        <f>IFERROR(IF(AND(COUNT(AN65,AO65,AP65,AR65)=4,(AN70+AO70+AP70+AR70)&lt;&gt;0),((AN65+AO65+AP65+AR65)-(AN164+AO164+AP164+AR164))/-(AN70+AO70+AP70+AR70),""),"")</f>
        <v/>
      </c>
      <c r="AS329" s="262" t="str">
        <f>IFERROR(IF(AND(COUNT(AO65,AP65,AR65,AS65)=4,(AO70+AP70+AR70+AS70)&lt;&gt;0),((AO65+AP65+AR65+AS65)-(AO164+AP164+AR164+AS164))/-(AO70+AP70+AR70+AS70),""),"")</f>
        <v/>
      </c>
      <c r="AT329" s="262" t="str">
        <f>IFERROR(IF(AND(COUNT(AP65,AR65,AS65,AT65)=4,(AP70+AR70+AS70+AT70)&lt;&gt;0),((AP65+AR65+AS65+AT65)-(AP164+AR164+AS164+AT164))/-(AP70+AR70+AS70+AT70),""),"")</f>
        <v/>
      </c>
      <c r="AU329" s="262" t="str">
        <f>IFERROR(IF(AND(COUNT(AR65,AS65,AT65,AU65)=4,(AR70+AS70+AT70+AU70)&lt;&gt;0),((AR65+AS65+AT65+AU65)-(AR164+AS164+AT164+AU164))/-(AR70+AS70+AT70+AU70),""),"")</f>
        <v/>
      </c>
      <c r="AV329" s="262" t="str">
        <f>IFERROR(IF(AND(COUNT(AR65,AS65,AT65,AU65)=4,(AR70+AS70+AT70+AU70)&lt;&gt;0),((AR65+AS65+AT65+AU65)-(AR164+AS164+AT164+AU164))/-(AR70+AS70+AT70+AU70),""),"")</f>
        <v/>
      </c>
      <c r="AW329" s="262" t="str">
        <f>IFERROR(IF(AND(COUNT(AS65,AT65,AU65,AW65)=4,(AS70+AT70+AU70+AW70)&lt;&gt;0),((AS65+AT65+AU65+AW65)-(AS164+AT164+AU164+AW164))/-(AS70+AT70+AU70+AW70),""),"")</f>
        <v/>
      </c>
      <c r="AX329" s="262" t="str">
        <f>IFERROR(IF(AND(COUNT(AT65,AU65,AW65,AX65)=4,(AT70+AU70+AW70+AX70)&lt;&gt;0),((AT65+AU65+AW65+AX65)-(AT164+AU164+AW164+AX164))/-(AT70+AU70+AW70+AX70),""),"")</f>
        <v/>
      </c>
      <c r="AY329" s="262" t="str">
        <f>IFERROR(IF(AND(COUNT(AU65,AW65,AX65,AY65)=4,(AU70+AW70+AX70+AY70)&lt;&gt;0),((AU65+AW65+AX65+AY65)-(AU164+AW164+AX164+AY164))/-(AU70+AW70+AX70+AY70),""),"")</f>
        <v/>
      </c>
      <c r="AZ329" s="262" t="str">
        <f>IFERROR(IF(AND(COUNT(AW65,AX65,AY65,AZ65)=4,(AW70+AX70+AY70+AZ70)&lt;&gt;0),((AW65+AX65+AY65+AZ65)-(AW164+AX164+AY164+AZ164))/-(AW70+AX70+AY70+AZ70),""),"")</f>
        <v/>
      </c>
      <c r="BA329" s="262" t="str">
        <f>IFERROR(IF(AND(COUNT(AW65,AX65,AY65,AZ65)=4,(AW70+AX70+AY70+AZ70)&lt;&gt;0),((AW65+AX65+AY65+AZ65)-(AW164+AX164+AY164+AZ164))/-(AW70+AX70+AY70+AZ70),""),"")</f>
        <v/>
      </c>
      <c r="BB329" s="262" t="str">
        <f>IFERROR(IF(AND(COUNT(AX65,AY65,AZ65,BB65)=4,(AX70+AY70+AZ70+BB70)&lt;&gt;0),((AX65+AY65+AZ65+BB65)-(AX164+AY164+AZ164+BB164))/-(AX70+AY70+AZ70+BB70),""),"")</f>
        <v/>
      </c>
      <c r="BC329" s="262" t="str">
        <f>IFERROR(IF(AND(COUNT(AY65,AZ65,BB65,BC65)=4,(AY70+AZ70+BB70+BC70)&lt;&gt;0),((AY65+AZ65+BB65+BC65)-(AY164+AZ164+BB164+BC164))/-(AY70+AZ70+BB70+BC70),""),"")</f>
        <v/>
      </c>
      <c r="BD329" s="262" t="str">
        <f>IFERROR(IF(AND(COUNT(AZ65,BB65,BC65,BD65)=4,(AZ70+BB70+BC70+BD70)&lt;&gt;0),((AZ65+BB65+BC65+BD65)-(AZ164+BB164+BC164+BD164))/-(AZ70+BB70+BC70+BD70),""),"")</f>
        <v/>
      </c>
      <c r="BE329" s="262" t="str">
        <f>IFERROR(IF(AND(COUNT(BB65,BC65,BD65,BE65)=4,(BB70+BC70+BD70+BE70)&lt;&gt;0),((BB65+BC65+BD65+BE65)-(BB164+BC164+BD164+BE164))/-(BB70+BC70+BD70+BE70),""),"")</f>
        <v/>
      </c>
      <c r="BF329" s="262" t="str">
        <f>IFERROR(IF(AND(COUNT(BB65,BC65,BD65,BE65)=4,(BB70+BC70+BD70+BE70)&lt;&gt;0),((BB65+BC65+BD65+BE65)-(BB164+BC164+BD164+BE164))/-(BB70+BC70+BD70+BE70),""),"")</f>
        <v/>
      </c>
      <c r="BG329" s="82" t="n"/>
      <c r="BH329" s="82" t="n"/>
      <c r="BI329" s="82" t="n"/>
      <c r="BJ329" s="82" t="n"/>
      <c r="BL329" s="82" t="n"/>
      <c r="BM329" s="82" t="n"/>
      <c r="BN329" s="82" t="n"/>
      <c r="BO329" s="82" t="n"/>
      <c r="BQ329" s="82" t="n"/>
      <c r="BR329" s="82" t="n"/>
      <c r="BS329" s="82" t="n"/>
      <c r="BT329" s="82" t="n"/>
      <c r="BV329" s="82" t="n"/>
      <c r="BW329" s="82" t="n"/>
      <c r="BX329" s="82" t="n"/>
      <c r="BY329" s="82" t="n"/>
      <c r="CA329" s="82" t="n"/>
      <c r="CB329" s="82" t="n"/>
      <c r="CC329" s="82" t="n"/>
      <c r="CD329" s="82" t="n"/>
      <c r="CF329" s="82" t="n"/>
      <c r="CG329" s="82" t="n"/>
      <c r="CH329" s="82" t="n"/>
      <c r="CI329" s="82" t="n"/>
      <c r="CK329" s="82" t="n"/>
      <c r="CL329" s="82" t="n"/>
      <c r="CM329" s="82" t="n"/>
      <c r="CN329" s="82" t="n"/>
      <c r="CP329" s="82" t="n"/>
      <c r="CQ329" s="82" t="n"/>
      <c r="CR329" s="82" t="n"/>
      <c r="CS329" s="82" t="n"/>
      <c r="CU329" s="82" t="n"/>
      <c r="CV329" s="82" t="n"/>
      <c r="CW329" s="82" t="n"/>
      <c r="CX329" s="82" t="n"/>
    </row>
    <row r="330" customFormat="1" s="77">
      <c r="A330" s="76" t="n"/>
      <c r="B330" s="76" t="n"/>
      <c r="C330" s="77" t="inlineStr">
        <is>
          <t>TOTAL DEBT / EBITDA (LTM)</t>
        </is>
      </c>
      <c r="D330" s="82" t="str">
        <f>IFERROR(SUM(D208,D209,D210,D213,D231,D234)/D65,"")</f>
        <v/>
      </c>
      <c r="E330" s="82" t="str">
        <f>IFERROR(SUM(E208,E209,E210,E213,E231,E234)/E65,"")</f>
        <v/>
      </c>
      <c r="F330" s="82" t="str">
        <f>IFERROR(SUM(F208,F209,F210,F213,F231,F234)/F65,"")</f>
        <v/>
      </c>
      <c r="G330" s="82" t="str">
        <f>IFERROR(SUM(G208,G209,G210,G213,G231,G234)/G65,"")</f>
        <v/>
      </c>
      <c r="H330" s="262" t="str">
        <f>IFERROR(IF(AND(COUNT(H65)=1,(H65)&lt;&gt;0),(N(H208)+N(H209)+N(H210)+N(H213)+N(H231)+N(H234))/(H65),""),"")</f>
        <v/>
      </c>
      <c r="I330" s="262" t="str">
        <f>""</f>
        <v/>
      </c>
      <c r="J330" s="262" t="str">
        <f>""</f>
        <v/>
      </c>
      <c r="K330" s="262" t="str">
        <f>""</f>
        <v/>
      </c>
      <c r="L330" s="262">
        <f>IFERROR(IF(AND(COUNT(I65,J65,K65,L65)=4,(I65+J65+K65+L65)&lt;&gt;0),(N(L208)+N(L209)+N(L210)+N(L213)+N(L231)+N(L234))/(I65+J65+K65+L65),""),"")</f>
        <v>0.290310073225581</v>
      </c>
      <c r="M330" s="262">
        <f>IFERROR(IF(AND(COUNT(I65,J65,K65,L65)=4,(I65+J65+K65+L65)&lt;&gt;0),(N(M208)+N(M209)+N(M210)+N(M213)+N(M231)+N(M234))/(I65+J65+K65+L65),""),"")</f>
        <v>0.290310073225581</v>
      </c>
      <c r="N330" s="262">
        <f>IFERROR(IF(AND(COUNT(J65,K65,L65,N65)=4,(J65+K65+L65+N65)&lt;&gt;0),(N(N208)+N(N209)+N(N210)+N(N213)+N(N231)+N(N234))/(J65+K65+L65+N65),""),"")</f>
        <v>0.27532844871147</v>
      </c>
      <c r="O330" s="262">
        <f>IFERROR(IF(AND(COUNT(K65,L65,N65,O65)=4,(K65+L65+N65+O65)&lt;&gt;0),(N(O208)+N(O209)+N(O210)+N(O213)+N(O231)+N(O234))/(K65+L65+N65+O65),""),"")</f>
        <v>0.275173864156915</v>
      </c>
      <c r="P330" s="262">
        <f>IFERROR(IF(AND(COUNT(L65,N65,O65,P65)=4,(L65+N65+O65+P65)&lt;&gt;0),(N(P208)+N(P209)+N(P210)+N(P213)+N(P231)+N(P234))/(L65+N65+O65+P65),""),"")</f>
        <v>0.286407036256505</v>
      </c>
      <c r="Q330" s="262">
        <f>IFERROR(IF(AND(COUNT(N65,O65,P65,Q65)=4,(N65+O65+P65+Q65)&lt;&gt;0),(N(Q208)+N(Q209)+N(Q210)+N(Q213)+N(Q231)+N(Q234))/(N65+O65+P65+Q65),""),"")</f>
        <v>0.301811847463081</v>
      </c>
      <c r="R330" s="262">
        <f>IFERROR(IF(AND(COUNT(N65,O65,P65,Q65)=4,(N65+O65+P65+Q65)&lt;&gt;0),(N(R208)+N(R209)+N(R210)+N(R213)+N(R231)+N(R234))/(N65+O65+P65+Q65),""),"")</f>
        <v>0.301811847463081</v>
      </c>
      <c r="S330" s="262">
        <f>IFERROR(IF(AND(COUNT(O65,P65,Q65,S65)=4,(O65+P65+Q65+S65)&lt;&gt;0),(N(S208)+N(S209)+N(S210)+N(S213)+N(S231)+N(S234))/(O65+P65+Q65+S65),""),"")</f>
        <v>0.304835536534014</v>
      </c>
      <c r="T330" s="262">
        <f>IFERROR(IF(AND(COUNT(P65,Q65,S65,T65)=4,(P65+Q65+S65+T65)&lt;&gt;0),(N(T208)+N(T209)+N(T210)+N(T213)+N(T231)+N(T234))/(P65+Q65+S65+T65),""),"")</f>
        <v>0.297586769421162</v>
      </c>
      <c r="U330" s="262">
        <f>IFERROR(IF(AND(COUNT(Q65,S65,T65,U65)=4,(Q65+S65+T65+U65)&lt;&gt;0),(N(U208)+N(U209)+N(U210)+N(U213)+N(U231)+N(U234))/(Q65+S65+T65+U65),""),"")</f>
        <v>0.283644472212946</v>
      </c>
      <c r="V330" s="262">
        <f>IFERROR(IF(AND(COUNT(S65,T65,U65,V65)=4,(S65+T65+U65+V65)&lt;&gt;0),(N(V208)+N(V209)+N(V210)+N(V213)+N(V231)+N(V234))/(S65+T65+U65+V65),""),"")</f>
        <v>0.263401591903216</v>
      </c>
      <c r="W330" s="262">
        <f>IFERROR(IF(AND(COUNT(S65,T65,U65,V65)=4,(S65+T65+U65+V65)&lt;&gt;0),(N(W208)+N(W209)+N(W210)+N(W213)+N(W231)+N(W234))/(S65+T65+U65+V65),""),"")</f>
        <v>0.263401591903216</v>
      </c>
      <c r="X330" s="262">
        <f>IFERROR(IF(AND(COUNT(T65,U65,V65,X65)=4,(T65+U65+V65+X65)&lt;&gt;0),(N(X208)+N(X209)+N(X210)+N(X213)+N(X231)+N(X234))/(T65+U65+V65+X65),""),"")</f>
        <v>0.237529355176414</v>
      </c>
      <c r="Y330" s="262">
        <f>IFERROR(IF(AND(COUNT(U65,V65,X65,Y65)=4,(U65+V65+X65+Y65)&lt;&gt;0),(N(Y208)+N(Y209)+N(Y210)+N(Y213)+N(Y231)+N(Y234))/(U65+V65+X65+Y65),""),"")</f>
        <v>0.222642688205632</v>
      </c>
      <c r="Z330" s="262">
        <f>IFERROR(IF(AND(COUNT(V65,X65,Y65,Z65)=4,(V65+X65+Y65+Z65)&lt;&gt;0),(N(Z208)+N(Z209)+N(Z210)+N(Z213)+N(Z231)+N(Z234))/(V65+X65+Y65+Z65),""),"")</f>
        <v>0.200364740624242</v>
      </c>
      <c r="AA330" s="262">
        <f>IFERROR(IF(AND(COUNT(X65,Y65,Z65,AA65)=4,(X65+Y65+Z65+AA65)&lt;&gt;0),(N(AA208)+N(AA209)+N(AA210)+N(AA213)+N(AA231)+N(AA234))/(X65+Y65+Z65+AA65),""),"")</f>
        <v>0.176772304054001</v>
      </c>
      <c r="AB330" s="262">
        <f>IFERROR(IF(AND(COUNT(X65,Y65,Z65,AA65)=4,(X65+Y65+Z65+AA65)&lt;&gt;0),(N(AB208)+N(AB209)+N(AB210)+N(AB213)+N(AB231)+N(AB234))/(X65+Y65+Z65+AA65),""),"")</f>
        <v>0.176772304054001</v>
      </c>
      <c r="AC330" s="262">
        <f>IFERROR(IF(AND(COUNT(Y65,Z65,AA65,AC65)=4,(Y65+Z65+AA65+AC65)&lt;&gt;0),(N(AC208)+N(AC209)+N(AC210)+N(AC213)+N(AC231)+N(AC234))/(Y65+Z65+AA65+AC65),""),"")</f>
        <v>0.168502490497278</v>
      </c>
      <c r="AD330" s="262">
        <f>IFERROR(IF(AND(COUNT(Z65,AA65,AC65,AD65)=4,(Z65+AA65+AC65+AD65)&lt;&gt;0),(N(AD208)+N(AD209)+N(AD210)+N(AD213)+N(AD231)+N(AD234))/(Z65+AA65+AC65+AD65),""),"")</f>
        <v>0.255737351217232</v>
      </c>
      <c r="AE330" s="262">
        <f>IFERROR(IF(AND(COUNT(AA65,AC65,AD65,AE65)=4,(AA65+AC65+AD65+AE65)&lt;&gt;0),(N(AE208)+N(AE209)+N(AE210)+N(AE213)+N(AE231)+N(AE234))/(AA65+AC65+AD65+AE65),""),"")</f>
        <v>0.23513370252061</v>
      </c>
      <c r="AF330" s="262">
        <f>IFERROR(IF(AND(COUNT(AB65,AD65,AE65,AF65)=4,(AB65+AD65+AE65+AF65)&lt;&gt;0),(N(AF208)+N(AF209)+N(AF210)+N(AF213)+N(AF231)+N(AF234))/(AB65+AD65+AE65+AF65),""),"")</f>
        <v>0.244213968852844</v>
      </c>
      <c r="AG330" s="262">
        <f>IFERROR(IF(AND(COUNT(AC65,AD65,AE65,AF65)=4,(AC65+AD65+AE65+AF65)&lt;&gt;0),(N(AG208)+N(AG209)+N(AG210)+N(AG213)+N(AG231)+N(AG234))/(AC65+AD65+AE65+AF65),""),"")</f>
        <v>0.394812718495089</v>
      </c>
      <c r="AH330" s="262">
        <f>IFERROR(IF(AND(COUNT(AD65,AF65,AG65,AH65)=4,(AD65+AF65+AG65+AH65)&lt;&gt;0),(N(AH208)+N(AH209)+N(AH210)+N(AH213)+N(AH231)+N(AH234))/(AD65+AF65+AG65+AH65),""),"")</f>
        <v>0.329516817433612</v>
      </c>
      <c r="AI330" s="262">
        <f>IFERROR(IF(AND(COUNT(AE65,AG65,AH65,AI65)=4,(AE65+AG65+AH65+AI65)&lt;&gt;0),(N(AI208)+N(AI209)+N(AI210)+N(AI213)+N(AI231)+N(AI234))/(AE65+AG65+AH65+AI65),""),"")</f>
        <v>0.401172678303317</v>
      </c>
      <c r="AJ330" s="262">
        <f>IFERROR(IF(AND(COUNT(AF65,AH65,AI65,AJ65)=4,(AF65+AH65+AI65+AJ65)&lt;&gt;0),(N(AJ208)+N(AJ209)+N(AJ210)+N(AJ213)+N(AJ231)+N(AJ234))/(AF65+AH65+AI65+AJ65),""),"")</f>
        <v>0.618015937992037</v>
      </c>
      <c r="AK330" s="262">
        <f>IFERROR(IF(AND(COUNT(AH65,AI65,AJ65,AK65)=4,(AH65+AI65+AJ65+AK65)&lt;&gt;0),(N(AK208)+N(AK209)+N(AK210)+N(AK213)+N(AK231)+N(AK234))/(AH65+AI65+AJ65+AK65),""),"")</f>
        <v>0.586949149120507</v>
      </c>
      <c r="AL330" s="262">
        <f>IFERROR(IF(AND(COUNT(AH65,AI65,AJ65,AK65)=4,(AH65+AI65+AJ65+AK65)&lt;&gt;0),(N(AL208)+N(AL209)+N(AL210)+N(AL213)+N(AL231)+N(AL234))/(AH65+AI65+AJ65+AK65),""),"")</f>
        <v>0.586949149120507</v>
      </c>
      <c r="AM330" s="262">
        <f>IFERROR(IF(AND(COUNT(AI65,AJ65,AK65,AM65)=4,(AI65+AJ65+AK65+AM65)&lt;&gt;0),(N(AM208)+N(AM209)+N(AM210)+N(AM213)+N(AM231)+N(AM234))/(AI65+AJ65+AK65+AM65),""),"")</f>
        <v>0.575949390428687</v>
      </c>
      <c r="AN330" s="262">
        <f>IFERROR(IF(AND(COUNT(AJ65,AK65,AM65,AN65)=4,(AJ65+AK65+AM65+AN65)&lt;&gt;0),(N(AN208)+N(AN209)+N(AN210)+N(AN213)+N(AN231)+N(AN234))/(AJ65+AK65+AM65+AN65),""),"")</f>
        <v>0.557542404621742</v>
      </c>
      <c r="AO330" s="262">
        <f>IFERROR(IF(AND(COUNT(AK65,AM65,AN65,AO65)=4,(AK65+AM65+AN65+AO65)&lt;&gt;0),(N(AO208)+N(AO209)+N(AO210)+N(AO213)+N(AO231)+N(AO234))/(AK65+AM65+AN65+AO65),""),"")</f>
        <v>0.535853894230507</v>
      </c>
      <c r="AP330" s="262">
        <f>IFERROR(IF(AND(COUNT(AM65,AN65,AO65,AP65)=4,(AM65+AN65+AO65+AP65)&lt;&gt;0),(N(AP208)+N(AP209)+N(AP210)+N(AP213)+N(AP231)+N(AP234))/(AM65+AN65+AO65+AP65),""),"")</f>
        <v>0.513631761403196</v>
      </c>
      <c r="AQ330" s="262">
        <f>IFERROR(IF(AND(COUNT(AM65,AN65,AO65,AP65)=4,(AM65+AN65+AO65+AP65)&lt;&gt;0),(N(AQ208)+N(AQ209)+N(AQ210)+N(AQ213)+N(AQ231)+N(AQ234))/(AM65+AN65+AO65+AP65),""),"")</f>
        <v>0.513631761403196</v>
      </c>
      <c r="AR330" s="262">
        <f>IFERROR(IF(AND(COUNT(AN65,AO65,AP65,AR65)=4,(AN65+AO65+AP65+AR65)&lt;&gt;0),(N(AR208)+N(AR209)+N(AR210)+N(AR213)+N(AR231)+N(AR234))/(AN65+AO65+AP65+AR65),""),"")</f>
        <v>0.494398521972512</v>
      </c>
      <c r="AS330" s="262">
        <f>IFERROR(IF(AND(COUNT(AO65,AP65,AR65,AS65)=4,(AO65+AP65+AR65+AS65)&lt;&gt;0),(N(AS208)+N(AS209)+N(AS210)+N(AS213)+N(AS231)+N(AS234))/(AO65+AP65+AR65+AS65),""),"")</f>
        <v>0.475009182954822</v>
      </c>
      <c r="AT330" s="262">
        <f>IFERROR(IF(AND(COUNT(AP65,AR65,AS65,AT65)=4,(AP65+AR65+AS65+AT65)&lt;&gt;0),(N(AT208)+N(AT209)+N(AT210)+N(AT213)+N(AT231)+N(AT234))/(AP65+AR65+AS65+AT65),""),"")</f>
        <v>0.456997426631674</v>
      </c>
      <c r="AU330" s="262">
        <f>IFERROR(IF(AND(COUNT(AR65,AS65,AT65,AU65)=4,(AR65+AS65+AT65+AU65)&lt;&gt;0),(N(AU208)+N(AU209)+N(AU210)+N(AU213)+N(AU231)+N(AU234))/(AR65+AS65+AT65+AU65),""),"")</f>
        <v>0.438504315647634</v>
      </c>
      <c r="AV330" s="262">
        <f>IFERROR(IF(AND(COUNT(AR65,AS65,AT65,AU65)=4,(AR65+AS65+AT65+AU65)&lt;&gt;0),(N(AV208)+N(AV209)+N(AV210)+N(AV213)+N(AV231)+N(AV234))/(AR65+AS65+AT65+AU65),""),"")</f>
        <v>0.438504315647634</v>
      </c>
      <c r="AW330" s="262">
        <f>IFERROR(IF(AND(COUNT(AS65,AT65,AU65,AW65)=4,(AS65+AT65+AU65+AW65)&lt;&gt;0),(N(AW208)+N(AW209)+N(AW210)+N(AW213)+N(AW231)+N(AW234))/(AS65+AT65+AU65+AW65),""),"")</f>
        <v>0.422546030789337</v>
      </c>
      <c r="AX330" s="262">
        <f>IFERROR(IF(AND(COUNT(AT65,AU65,AW65,AX65)=4,(AT65+AU65+AW65+AX65)&lt;&gt;0),(N(AX208)+N(AX209)+N(AX210)+N(AX213)+N(AX231)+N(AX234))/(AT65+AU65+AW65+AX65),""),"")</f>
        <v>0.406422844064051</v>
      </c>
      <c r="AY330" s="262">
        <f>IFERROR(IF(AND(COUNT(AU65,AW65,AX65,AY65)=4,(AU65+AW65+AX65+AY65)&lt;&gt;0),(N(AY208)+N(AY209)+N(AY210)+N(AY213)+N(AY231)+N(AY234))/(AU65+AW65+AX65+AY65),""),"")</f>
        <v>0.391413253285824</v>
      </c>
      <c r="AZ330" s="262">
        <f>IFERROR(IF(AND(COUNT(AW65,AX65,AY65,AZ65)=4,(AW65+AX65+AY65+AZ65)&lt;&gt;0),(N(AZ208)+N(AZ209)+N(AZ210)+N(AZ213)+N(AZ231)+N(AZ234))/(AW65+AX65+AY65+AZ65),""),"")</f>
        <v>0.375970437675861</v>
      </c>
      <c r="BA330" s="262">
        <f>IFERROR(IF(AND(COUNT(AW65,AX65,AY65,AZ65)=4,(AW65+AX65+AY65+AZ65)&lt;&gt;0),(N(BA208)+N(BA209)+N(BA210)+N(BA213)+N(BA231)+N(BA234))/(AW65+AX65+AY65+AZ65),""),"")</f>
        <v>0.375970437675861</v>
      </c>
      <c r="BB330" s="262">
        <f>IFERROR(IF(AND(COUNT(AX65,AY65,AZ65,BB65)=4,(AX65+AY65+AZ65+BB65)&lt;&gt;0),(N(BB208)+N(BB209)+N(BB210)+N(BB213)+N(BB231)+N(BB234))/(AX65+AY65+AZ65+BB65),""),"")</f>
        <v>0.362684699462536</v>
      </c>
      <c r="BC330" s="262">
        <f>IFERROR(IF(AND(COUNT(AY65,AZ65,BB65,BC65)=4,(AY65+AZ65+BB65+BC65)&lt;&gt;0),(N(BC208)+N(BC209)+N(BC210)+N(BC213)+N(BC231)+N(BC234))/(AY65+AZ65+BB65+BC65),""),"")</f>
        <v>0.349232089011472</v>
      </c>
      <c r="BD330" s="262">
        <f>IFERROR(IF(AND(COUNT(AZ65,BB65,BC65,BD65)=4,(AZ65+BB65+BC65+BD65)&lt;&gt;0),(N(BD208)+N(BD209)+N(BD210)+N(BD213)+N(BD231)+N(BD234))/(AZ65+BB65+BC65+BD65),""),"")</f>
        <v>0.336681807989388</v>
      </c>
      <c r="BE330" s="262">
        <f>IFERROR(IF(AND(COUNT(BB65,BC65,BD65,BE65)=4,(BB65+BC65+BD65+BE65)&lt;&gt;0),(N(BE208)+N(BE209)+N(BE210)+N(BE213)+N(BE231)+N(BE234))/(BB65+BC65+BD65+BE65),""),"")</f>
        <v>0.323742212899095</v>
      </c>
      <c r="BF330" s="262">
        <f>IFERROR(IF(AND(COUNT(BB65,BC65,BD65,BE65)=4,(BB65+BC65+BD65+BE65)&lt;&gt;0),(N(BF208)+N(BF209)+N(BF210)+N(BF213)+N(BF231)+N(BF234))/(BB65+BC65+BD65+BE65),""),"")</f>
        <v>0.323742212899095</v>
      </c>
      <c r="BG330" s="82" t="n"/>
      <c r="BH330" s="82" t="n"/>
      <c r="BI330" s="82" t="n"/>
      <c r="BJ330" s="82" t="n"/>
      <c r="BL330" s="82" t="n"/>
      <c r="BM330" s="82" t="n"/>
      <c r="BN330" s="82" t="n"/>
      <c r="BO330" s="82" t="n"/>
      <c r="BQ330" s="82" t="n"/>
      <c r="BR330" s="82" t="n"/>
      <c r="BS330" s="82" t="n"/>
      <c r="BT330" s="82" t="n"/>
      <c r="BV330" s="82" t="n"/>
      <c r="BW330" s="82" t="n"/>
      <c r="BX330" s="82" t="n"/>
      <c r="BY330" s="82" t="n"/>
      <c r="CA330" s="82" t="n"/>
      <c r="CB330" s="82" t="n"/>
      <c r="CC330" s="82" t="n"/>
      <c r="CD330" s="82" t="n"/>
      <c r="CF330" s="82" t="n"/>
      <c r="CG330" s="82" t="n"/>
      <c r="CH330" s="82" t="n"/>
      <c r="CI330" s="82" t="n"/>
      <c r="CK330" s="82" t="n"/>
      <c r="CL330" s="82" t="n"/>
      <c r="CM330" s="82" t="n"/>
      <c r="CN330" s="82" t="n"/>
      <c r="CP330" s="82" t="n"/>
      <c r="CQ330" s="82" t="n"/>
      <c r="CR330" s="82" t="n"/>
      <c r="CS330" s="82" t="n"/>
      <c r="CU330" s="82" t="n"/>
      <c r="CV330" s="82" t="n"/>
      <c r="CW330" s="82" t="n"/>
      <c r="CX330" s="82" t="n"/>
    </row>
    <row r="331" customFormat="1" s="77">
      <c r="A331" s="76" t="n"/>
      <c r="B331" s="76" t="n"/>
      <c r="C331" s="77" t="inlineStr">
        <is>
          <t>TOTAL DEBT / TOTAL CAPITALIZATION</t>
        </is>
      </c>
      <c r="D331" s="80" t="str">
        <f>IFERROR(SUM(D208+D209+D210+D213+D231+D234)/(SUM(D208+D209+D210+D213+D231+D234)+D267),"")</f>
        <v/>
      </c>
      <c r="E331" s="80" t="str">
        <f>IFERROR(SUM(E208+E209+E210+E213+E231+E234)/(SUM(E208+E209+E210+E213+E231+E234)+E267),"")</f>
        <v/>
      </c>
      <c r="F331" s="80" t="str">
        <f>IFERROR(SUM(F208+F209+F210+F213+F231+F234)/(SUM(F208+F209+F210+F213+F231+F234)+F267),"")</f>
        <v/>
      </c>
      <c r="G331" s="80" t="str">
        <f>IFERROR(SUM(G208+G209+G210+G213+G231+G234)/(SUM(G208+G209+G210+G213+G231+G234)+G267),"")</f>
        <v/>
      </c>
      <c r="H331" s="258" t="str">
        <f>IFERROR(IF(((N(H208)+N(H209)+N(H210)+N(H213)+N(H231)+N(H234))+N(H267))&lt;&gt;0,(N(H208)+N(H209)+N(H210)+N(H213)+N(H231)+N(H234))/((N(H208)+N(H209)+N(H210)+N(H213)+N(H231)+N(H234))+H267),""),"")</f>
        <v/>
      </c>
      <c r="I331" s="258">
        <f>IFERROR(IF(((N(I208)+N(I209)+N(I210)+N(I213)+N(I231)+N(I234))+N(I267))&lt;&gt;0,(N(I208)+N(I209)+N(I210)+N(I213)+N(I231)+N(I234))/((N(I208)+N(I209)+N(I210)+N(I213)+N(I231)+N(I234))+I267),""),"")</f>
        <v>0.0989846522669048</v>
      </c>
      <c r="J331" s="258">
        <f>IFERROR(IF(((N(J208)+N(J209)+N(J210)+N(J213)+N(J231)+N(J234))+N(J267))&lt;&gt;0,(N(J208)+N(J209)+N(J210)+N(J213)+N(J231)+N(J234))/((N(J208)+N(J209)+N(J210)+N(J213)+N(J231)+N(J234))+J267),""),"")</f>
        <v>0.0984661040104436</v>
      </c>
      <c r="K331" s="258">
        <f>IFERROR(IF(((N(K208)+N(K209)+N(K210)+N(K213)+N(K231)+N(K234))+N(K267))&lt;&gt;0,(N(K208)+N(K209)+N(K210)+N(K213)+N(K231)+N(K234))/((N(K208)+N(K209)+N(K210)+N(K213)+N(K231)+N(K234))+K267),""),"")</f>
        <v>0.0952886514800648</v>
      </c>
      <c r="L331" s="258">
        <f>IFERROR(IF(((N(L208)+N(L209)+N(L210)+N(L213)+N(L231)+N(L234))+N(L267))&lt;&gt;0,(N(L208)+N(L209)+N(L210)+N(L213)+N(L231)+N(L234))/((N(L208)+N(L209)+N(L210)+N(L213)+N(L231)+N(L234))+L267),""),"")</f>
        <v>0.0943201327377889</v>
      </c>
      <c r="M331" s="258">
        <f>IFERROR(IF(((N(M208)+N(M209)+N(M210)+N(M213)+N(M231)+N(M234))+N(M267))&lt;&gt;0,(N(M208)+N(M209)+N(M210)+N(M213)+N(M231)+N(M234))/((N(M208)+N(M209)+N(M210)+N(M213)+N(M231)+N(M234))+M267),""),"")</f>
        <v>0.0943201327377889</v>
      </c>
      <c r="N331" s="258">
        <f>IFERROR(IF(((N(N208)+N(N209)+N(N210)+N(N213)+N(N231)+N(N234))+N(N267))&lt;&gt;0,(N(N208)+N(N209)+N(N210)+N(N213)+N(N231)+N(N234))/((N(N208)+N(N209)+N(N210)+N(N213)+N(N231)+N(N234))+N267),""),"")</f>
        <v>0.0933544642665924</v>
      </c>
      <c r="O331" s="258">
        <f>IFERROR(IF(((N(O208)+N(O209)+N(O210)+N(O213)+N(O231)+N(O234))+N(O267))&lt;&gt;0,(N(O208)+N(O209)+N(O210)+N(O213)+N(O231)+N(O234))/((N(O208)+N(O209)+N(O210)+N(O213)+N(O231)+N(O234))+O267),""),"")</f>
        <v>0.0937768316480397</v>
      </c>
      <c r="P331" s="258">
        <f>IFERROR(IF(((N(P208)+N(P209)+N(P210)+N(P213)+N(P231)+N(P234))+N(P267))&lt;&gt;0,(N(P208)+N(P209)+N(P210)+N(P213)+N(P231)+N(P234))/((N(P208)+N(P209)+N(P210)+N(P213)+N(P231)+N(P234))+P267),""),"")</f>
        <v>0.0950428704466876</v>
      </c>
      <c r="Q331" s="258">
        <f>IFERROR(IF(((N(Q208)+N(Q209)+N(Q210)+N(Q213)+N(Q231)+N(Q234))+N(Q267))&lt;&gt;0,(N(Q208)+N(Q209)+N(Q210)+N(Q213)+N(Q231)+N(Q234))/((N(Q208)+N(Q209)+N(Q210)+N(Q213)+N(Q231)+N(Q234))+Q267),""),"")</f>
        <v>0.0960027669351253</v>
      </c>
      <c r="R331" s="258">
        <f>IFERROR(IF(((N(R208)+N(R209)+N(R210)+N(R213)+N(R231)+N(R234))+N(R267))&lt;&gt;0,(N(R208)+N(R209)+N(R210)+N(R213)+N(R231)+N(R234))/((N(R208)+N(R209)+N(R210)+N(R213)+N(R231)+N(R234))+R267),""),"")</f>
        <v>0.0960027669351253</v>
      </c>
      <c r="S331" s="258">
        <f>IFERROR(IF(((N(S208)+N(S209)+N(S210)+N(S213)+N(S231)+N(S234))+N(S267))&lt;&gt;0,(N(S208)+N(S209)+N(S210)+N(S213)+N(S231)+N(S234))/((N(S208)+N(S209)+N(S210)+N(S213)+N(S231)+N(S234))+S267),""),"")</f>
        <v>0.0921952747138035</v>
      </c>
      <c r="T331" s="258">
        <f>IFERROR(IF(((N(T208)+N(T209)+N(T210)+N(T213)+N(T231)+N(T234))+N(T267))&lt;&gt;0,(N(T208)+N(T209)+N(T210)+N(T213)+N(T231)+N(T234))/((N(T208)+N(T209)+N(T210)+N(T213)+N(T231)+N(T234))+T267),""),"")</f>
        <v>0.0900944167416006</v>
      </c>
      <c r="U331" s="258">
        <f>IFERROR(IF(((N(U208)+N(U209)+N(U210)+N(U213)+N(U231)+N(U234))+N(U267))&lt;&gt;0,(N(U208)+N(U209)+N(U210)+N(U213)+N(U231)+N(U234))/((N(U208)+N(U209)+N(U210)+N(U213)+N(U231)+N(U234))+U267),""),"")</f>
        <v>0.0879068416501688</v>
      </c>
      <c r="V331" s="258">
        <f>IFERROR(IF(((N(V208)+N(V209)+N(V210)+N(V213)+N(V231)+N(V234))+N(V267))&lt;&gt;0,(N(V208)+N(V209)+N(V210)+N(V213)+N(V231)+N(V234))/((N(V208)+N(V209)+N(V210)+N(V213)+N(V231)+N(V234))+V267),""),"")</f>
        <v>0.0831888240394446</v>
      </c>
      <c r="W331" s="258">
        <f>IFERROR(IF(((N(W208)+N(W209)+N(W210)+N(W213)+N(W231)+N(W234))+N(W267))&lt;&gt;0,(N(W208)+N(W209)+N(W210)+N(W213)+N(W231)+N(W234))/((N(W208)+N(W209)+N(W210)+N(W213)+N(W231)+N(W234))+W267),""),"")</f>
        <v>0.0831888240394446</v>
      </c>
      <c r="X331" s="258">
        <f>IFERROR(IF(((N(X208)+N(X209)+N(X210)+N(X213)+N(X231)+N(X234))+N(X267))&lt;&gt;0,(N(X208)+N(X209)+N(X210)+N(X213)+N(X231)+N(X234))/((N(X208)+N(X209)+N(X210)+N(X213)+N(X231)+N(X234))+X267),""),"")</f>
        <v>0.0791908913966965</v>
      </c>
      <c r="Y331" s="258">
        <f>IFERROR(IF(((N(Y208)+N(Y209)+N(Y210)+N(Y213)+N(Y231)+N(Y234))+N(Y267))&lt;&gt;0,(N(Y208)+N(Y209)+N(Y210)+N(Y213)+N(Y231)+N(Y234))/((N(Y208)+N(Y209)+N(Y210)+N(Y213)+N(Y231)+N(Y234))+Y267),""),"")</f>
        <v>0.0765921909493121</v>
      </c>
      <c r="Z331" s="258">
        <f>IFERROR(IF(((N(Z208)+N(Z209)+N(Z210)+N(Z213)+N(Z231)+N(Z234))+N(Z267))&lt;&gt;0,(N(Z208)+N(Z209)+N(Z210)+N(Z213)+N(Z231)+N(Z234))/((N(Z208)+N(Z209)+N(Z210)+N(Z213)+N(Z231)+N(Z234))+Z267),""),"")</f>
        <v>0.0708462744402047</v>
      </c>
      <c r="AA331" s="258">
        <f>IFERROR(IF(((N(AA208)+N(AA209)+N(AA210)+N(AA213)+N(AA231)+N(AA234))+N(AA267))&lt;&gt;0,(N(AA208)+N(AA209)+N(AA210)+N(AA213)+N(AA231)+N(AA234))/((N(AA208)+N(AA209)+N(AA210)+N(AA213)+N(AA231)+N(AA234))+AA267),""),"")</f>
        <v>0.0649316282093322</v>
      </c>
      <c r="AB331" s="258">
        <f>IFERROR(IF(((N(AB208)+N(AB209)+N(AB210)+N(AB213)+N(AB231)+N(AB234))+N(AB267))&lt;&gt;0,(N(AB208)+N(AB209)+N(AB210)+N(AB213)+N(AB231)+N(AB234))/((N(AB208)+N(AB209)+N(AB210)+N(AB213)+N(AB231)+N(AB234))+AB267),""),"")</f>
        <v>0.0649316282093322</v>
      </c>
      <c r="AC331" s="258">
        <f>IFERROR(IF(((N(AC208)+N(AC209)+N(AC210)+N(AC213)+N(AC231)+N(AC234))+N(AC267))&lt;&gt;0,(N(AC208)+N(AC209)+N(AC210)+N(AC213)+N(AC231)+N(AC234))/((N(AC208)+N(AC209)+N(AC210)+N(AC213)+N(AC231)+N(AC234))+AC267),""),"")</f>
        <v>0.0613433886757777</v>
      </c>
      <c r="AD331" s="258">
        <f>IFERROR(IF(((N(AD208)+N(AD209)+N(AD210)+N(AD213)+N(AD231)+N(AD234))+N(AD267))&lt;&gt;0,(N(AD208)+N(AD209)+N(AD210)+N(AD213)+N(AD231)+N(AD234))/((N(AD208)+N(AD209)+N(AD210)+N(AD213)+N(AD231)+N(AD234))+AD267),""),"")</f>
        <v>0.0892377188029362</v>
      </c>
      <c r="AE331" s="258">
        <f>IFERROR(IF(((N(AE208)+N(AE209)+N(AE210)+N(AE213)+N(AE231)+N(AE234))+N(AE267))&lt;&gt;0,(N(AE208)+N(AE209)+N(AE210)+N(AE213)+N(AE231)+N(AE234))/((N(AE208)+N(AE209)+N(AE210)+N(AE213)+N(AE231)+N(AE234))+AE267),""),"")</f>
        <v>0.080158352750963</v>
      </c>
      <c r="AF331" s="258">
        <f>IFERROR(IF(((N(AF208)+N(AF209)+N(AF210)+N(AF213)+N(AF231)+N(AF234))+N(AF267))&lt;&gt;0,(N(AF208)+N(AF209)+N(AF210)+N(AF213)+N(AF231)+N(AF234))/((N(AF208)+N(AF209)+N(AF210)+N(AF213)+N(AF231)+N(AF234))+AF267),""),"")</f>
        <v>0.124939943863316</v>
      </c>
      <c r="AG331" s="258">
        <f>IFERROR(IF(((N(AG208)+N(AG209)+N(AG210)+N(AG213)+N(AG231)+N(AG234))+N(AG267))&lt;&gt;0,(N(AG208)+N(AG209)+N(AG210)+N(AG213)+N(AG231)+N(AG234))/((N(AG208)+N(AG209)+N(AG210)+N(AG213)+N(AG231)+N(AG234))+AG267),""),"")</f>
        <v>0.124939943863316</v>
      </c>
      <c r="AH331" s="258">
        <f>IFERROR(IF(((N(AH208)+N(AH209)+N(AH210)+N(AH213)+N(AH231)+N(AH234))+N(AH267))&lt;&gt;0,(N(AH208)+N(AH209)+N(AH210)+N(AH213)+N(AH231)+N(AH234))/((N(AH208)+N(AH209)+N(AH210)+N(AH213)+N(AH231)+N(AH234))+AH267),""),"")</f>
        <v>0.158958593187288</v>
      </c>
      <c r="AI331" s="258">
        <f>IFERROR(IF(((N(AI208)+N(AI209)+N(AI210)+N(AI213)+N(AI231)+N(AI234))+N(AI267))&lt;&gt;0,(N(AI208)+N(AI209)+N(AI210)+N(AI213)+N(AI231)+N(AI234))/((N(AI208)+N(AI209)+N(AI210)+N(AI213)+N(AI231)+N(AI234))+AI267),""),"")</f>
        <v>0.149695447376387</v>
      </c>
      <c r="AJ331" s="258">
        <f>IFERROR(IF(((N(AJ208)+N(AJ209)+N(AJ210)+N(AJ213)+N(AJ231)+N(AJ234))+N(AJ267))&lt;&gt;0,(N(AJ208)+N(AJ209)+N(AJ210)+N(AJ213)+N(AJ231)+N(AJ234))/((N(AJ208)+N(AJ209)+N(AJ210)+N(AJ213)+N(AJ231)+N(AJ234))+AJ267),""),"")</f>
        <v>0.13877656619365</v>
      </c>
      <c r="AK331" s="258">
        <f>IFERROR(IF(((N(AK208)+N(AK209)+N(AK210)+N(AK213)+N(AK231)+N(AK234))+N(AK267))&lt;&gt;0,(N(AK208)+N(AK209)+N(AK210)+N(AK213)+N(AK231)+N(AK234))/((N(AK208)+N(AK209)+N(AK210)+N(AK213)+N(AK231)+N(AK234))+AK267),""),"")</f>
        <v>0.128363178073904</v>
      </c>
      <c r="AL331" s="258">
        <f>IFERROR(IF(((N(AL208)+N(AL209)+N(AL210)+N(AL213)+N(AL231)+N(AL234))+N(AL267))&lt;&gt;0,(N(AL208)+N(AL209)+N(AL210)+N(AL213)+N(AL231)+N(AL234))/((N(AL208)+N(AL209)+N(AL210)+N(AL213)+N(AL231)+N(AL234))+AL267),""),"")</f>
        <v>0.128363178073904</v>
      </c>
      <c r="AM331" s="258">
        <f>IFERROR(IF(((N(AM208)+N(AM209)+N(AM210)+N(AM213)+N(AM231)+N(AM234))+N(AM267))&lt;&gt;0,(N(AM208)+N(AM209)+N(AM210)+N(AM213)+N(AM231)+N(AM234))/((N(AM208)+N(AM209)+N(AM210)+N(AM213)+N(AM231)+N(AM234))+AM267),""),"")</f>
        <v>0.119692150771419</v>
      </c>
      <c r="AN331" s="258">
        <f>IFERROR(IF(((N(AN208)+N(AN209)+N(AN210)+N(AN213)+N(AN231)+N(AN234))+N(AN267))&lt;&gt;0,(N(AN208)+N(AN209)+N(AN210)+N(AN213)+N(AN231)+N(AN234))/((N(AN208)+N(AN209)+N(AN210)+N(AN213)+N(AN231)+N(AN234))+AN267),""),"")</f>
        <v>0.111482983458899</v>
      </c>
      <c r="AO331" s="258">
        <f>IFERROR(IF(((N(AO208)+N(AO209)+N(AO210)+N(AO213)+N(AO231)+N(AO234))+N(AO267))&lt;&gt;0,(N(AO208)+N(AO209)+N(AO210)+N(AO213)+N(AO231)+N(AO234))/((N(AO208)+N(AO209)+N(AO210)+N(AO213)+N(AO231)+N(AO234))+AO267),""),"")</f>
        <v>0.104294282703593</v>
      </c>
      <c r="AP331" s="258">
        <f>IFERROR(IF(((N(AP208)+N(AP209)+N(AP210)+N(AP213)+N(AP231)+N(AP234))+N(AP267))&lt;&gt;0,(N(AP208)+N(AP209)+N(AP210)+N(AP213)+N(AP231)+N(AP234))/((N(AP208)+N(AP209)+N(AP210)+N(AP213)+N(AP231)+N(AP234))+AP267),""),"")</f>
        <v>0.0973151069660916</v>
      </c>
      <c r="AQ331" s="258">
        <f>IFERROR(IF(((N(AQ208)+N(AQ209)+N(AQ210)+N(AQ213)+N(AQ231)+N(AQ234))+N(AQ267))&lt;&gt;0,(N(AQ208)+N(AQ209)+N(AQ210)+N(AQ213)+N(AQ231)+N(AQ234))/((N(AQ208)+N(AQ209)+N(AQ210)+N(AQ213)+N(AQ231)+N(AQ234))+AQ267),""),"")</f>
        <v>0.0973151069660916</v>
      </c>
      <c r="AR331" s="258">
        <f>IFERROR(IF(((N(AR208)+N(AR209)+N(AR210)+N(AR213)+N(AR231)+N(AR234))+N(AR267))&lt;&gt;0,(N(AR208)+N(AR209)+N(AR210)+N(AR213)+N(AR231)+N(AR234))/((N(AR208)+N(AR209)+N(AR210)+N(AR213)+N(AR231)+N(AR234))+AR267),""),"")</f>
        <v>0.0914330924220417</v>
      </c>
      <c r="AS331" s="258">
        <f>IFERROR(IF(((N(AS208)+N(AS209)+N(AS210)+N(AS213)+N(AS231)+N(AS234))+N(AS267))&lt;&gt;0,(N(AS208)+N(AS209)+N(AS210)+N(AS213)+N(AS231)+N(AS234))/((N(AS208)+N(AS209)+N(AS210)+N(AS213)+N(AS231)+N(AS234))+AS267),""),"")</f>
        <v>0.0857811451544208</v>
      </c>
      <c r="AT331" s="258">
        <f>IFERROR(IF(((N(AT208)+N(AT209)+N(AT210)+N(AT213)+N(AT231)+N(AT234))+N(AT267))&lt;&gt;0,(N(AT208)+N(AT209)+N(AT210)+N(AT213)+N(AT231)+N(AT234))/((N(AT208)+N(AT209)+N(AT210)+N(AT213)+N(AT231)+N(AT234))+AT267),""),"")</f>
        <v>0.0807638660567283</v>
      </c>
      <c r="AU331" s="258">
        <f>IFERROR(IF(((N(AU208)+N(AU209)+N(AU210)+N(AU213)+N(AU231)+N(AU234))+N(AU267))&lt;&gt;0,(N(AU208)+N(AU209)+N(AU210)+N(AU213)+N(AU231)+N(AU234))/((N(AU208)+N(AU209)+N(AU210)+N(AU213)+N(AU231)+N(AU234))+AU267),""),"")</f>
        <v>0.0758309367851022</v>
      </c>
      <c r="AV331" s="258">
        <f>IFERROR(IF(((N(AV208)+N(AV209)+N(AV210)+N(AV213)+N(AV231)+N(AV234))+N(AV267))&lt;&gt;0,(N(AV208)+N(AV209)+N(AV210)+N(AV213)+N(AV231)+N(AV234))/((N(AV208)+N(AV209)+N(AV210)+N(AV213)+N(AV231)+N(AV234))+AV267),""),"")</f>
        <v>0.0758309367851022</v>
      </c>
      <c r="AW331" s="258">
        <f>IFERROR(IF(((N(AW208)+N(AW209)+N(AW210)+N(AW213)+N(AW231)+N(AW234))+N(AW267))&lt;&gt;0,(N(AW208)+N(AW209)+N(AW210)+N(AW213)+N(AW231)+N(AW234))/((N(AW208)+N(AW209)+N(AW210)+N(AW213)+N(AW231)+N(AW234))+AW267),""),"")</f>
        <v>0.0716422468431538</v>
      </c>
      <c r="AX331" s="258">
        <f>IFERROR(IF(((N(AX208)+N(AX209)+N(AX210)+N(AX213)+N(AX231)+N(AX234))+N(AX267))&lt;&gt;0,(N(AX208)+N(AX209)+N(AX210)+N(AX213)+N(AX231)+N(AX234))/((N(AX208)+N(AX209)+N(AX210)+N(AX213)+N(AX231)+N(AX234))+AX267),""),"")</f>
        <v>0.0675734295742471</v>
      </c>
      <c r="AY331" s="258">
        <f>IFERROR(IF(((N(AY208)+N(AY209)+N(AY210)+N(AY213)+N(AY231)+N(AY234))+N(AY267))&lt;&gt;0,(N(AY208)+N(AY209)+N(AY210)+N(AY213)+N(AY231)+N(AY234))/((N(AY208)+N(AY209)+N(AY210)+N(AY213)+N(AY231)+N(AY234))+AY267),""),"")</f>
        <v>0.0639248392606256</v>
      </c>
      <c r="AZ331" s="258">
        <f>IFERROR(IF(((N(AZ208)+N(AZ209)+N(AZ210)+N(AZ213)+N(AZ231)+N(AZ234))+N(AZ267))&lt;&gt;0,(N(AZ208)+N(AZ209)+N(AZ210)+N(AZ213)+N(AZ231)+N(AZ234))/((N(AZ208)+N(AZ209)+N(AZ210)+N(AZ213)+N(AZ231)+N(AZ234))+AZ267),""),"")</f>
        <v>0.0603034646622284</v>
      </c>
      <c r="BA331" s="258">
        <f>IFERROR(IF(((N(BA208)+N(BA209)+N(BA210)+N(BA213)+N(BA231)+N(BA234))+N(BA267))&lt;&gt;0,(N(BA208)+N(BA209)+N(BA210)+N(BA213)+N(BA231)+N(BA234))/((N(BA208)+N(BA209)+N(BA210)+N(BA213)+N(BA231)+N(BA234))+BA267),""),"")</f>
        <v>0.0603034646622284</v>
      </c>
      <c r="BB331" s="258">
        <f>IFERROR(IF(((N(BB208)+N(BB209)+N(BB210)+N(BB213)+N(BB231)+N(BB234))+N(BB267))&lt;&gt;0,(N(BB208)+N(BB209)+N(BB210)+N(BB213)+N(BB231)+N(BB234))/((N(BB208)+N(BB209)+N(BB210)+N(BB213)+N(BB231)+N(BB234))+BB267),""),"")</f>
        <v>0.0572141464135928</v>
      </c>
      <c r="BC331" s="258">
        <f>IFERROR(IF(((N(BC208)+N(BC209)+N(BC210)+N(BC213)+N(BC231)+N(BC234))+N(BC267))&lt;&gt;0,(N(BC208)+N(BC209)+N(BC210)+N(BC213)+N(BC231)+N(BC234))/((N(BC208)+N(BC209)+N(BC210)+N(BC213)+N(BC231)+N(BC234))+BC267),""),"")</f>
        <v>0.0541880395794683</v>
      </c>
      <c r="BD331" s="258">
        <f>IFERROR(IF(((N(BD208)+N(BD209)+N(BD210)+N(BD213)+N(BD231)+N(BD234))+N(BD267))&lt;&gt;0,(N(BD208)+N(BD209)+N(BD210)+N(BD213)+N(BD231)+N(BD234))/((N(BD208)+N(BD209)+N(BD210)+N(BD213)+N(BD231)+N(BD234))+BD267),""),"")</f>
        <v>0.0514530933593025</v>
      </c>
      <c r="BE331" s="258">
        <f>IFERROR(IF(((N(BE208)+N(BE209)+N(BE210)+N(BE213)+N(BE231)+N(BE234))+N(BE267))&lt;&gt;0,(N(BE208)+N(BE209)+N(BE210)+N(BE213)+N(BE231)+N(BE234))/((N(BE208)+N(BE209)+N(BE210)+N(BE213)+N(BE231)+N(BE234))+BE267),""),"")</f>
        <v>0.0487183297700945</v>
      </c>
      <c r="BF331" s="258">
        <f>IFERROR(IF(((N(BF208)+N(BF209)+N(BF210)+N(BF213)+N(BF231)+N(BF234))+N(BF267))&lt;&gt;0,(N(BF208)+N(BF209)+N(BF210)+N(BF213)+N(BF231)+N(BF234))/((N(BF208)+N(BF209)+N(BF210)+N(BF213)+N(BF231)+N(BF234))+BF267),""),"")</f>
        <v>0.0487183297700945</v>
      </c>
      <c r="BG331" s="80" t="n"/>
      <c r="BH331" s="80" t="n"/>
      <c r="BI331" s="80" t="n"/>
      <c r="BJ331" s="80" t="n"/>
      <c r="BL331" s="80" t="n"/>
      <c r="BM331" s="80" t="n"/>
      <c r="BN331" s="80" t="n"/>
      <c r="BO331" s="80" t="n"/>
      <c r="BQ331" s="80" t="n"/>
      <c r="BR331" s="80" t="n"/>
      <c r="BS331" s="80" t="n"/>
      <c r="BT331" s="80" t="n"/>
      <c r="BV331" s="80" t="n"/>
      <c r="BW331" s="80" t="n"/>
      <c r="BX331" s="80" t="n"/>
      <c r="BY331" s="80" t="n"/>
      <c r="CA331" s="80" t="n"/>
      <c r="CB331" s="80" t="n"/>
      <c r="CC331" s="80" t="n"/>
      <c r="CD331" s="80" t="n"/>
      <c r="CF331" s="80" t="n"/>
      <c r="CG331" s="80" t="n"/>
      <c r="CH331" s="80" t="n"/>
      <c r="CI331" s="80" t="n"/>
      <c r="CK331" s="80" t="n"/>
      <c r="CL331" s="80" t="n"/>
      <c r="CM331" s="80" t="n"/>
      <c r="CN331" s="80" t="n"/>
      <c r="CP331" s="80" t="n"/>
      <c r="CQ331" s="80" t="n"/>
      <c r="CR331" s="80" t="n"/>
      <c r="CS331" s="80" t="n"/>
      <c r="CU331" s="80" t="n"/>
      <c r="CV331" s="80" t="n"/>
      <c r="CW331" s="80" t="n"/>
      <c r="CX331" s="80" t="n"/>
    </row>
    <row r="332" customFormat="1" s="77">
      <c r="A332" s="76" t="n"/>
      <c r="B332" s="76" t="n"/>
      <c r="C332" s="77" t="inlineStr">
        <is>
          <t>NET DEBT / EBITDA (LTM)</t>
        </is>
      </c>
      <c r="D332" s="82" t="str">
        <f>IFERROR(SUM((D208+D209+D210+D213+D231)-D140)/(D65*4),"")</f>
        <v/>
      </c>
      <c r="E332" s="82" t="str">
        <f>IFERROR(SUM((E208+E209+E210+E213+E231)-E140)/(E65*4),"")</f>
        <v/>
      </c>
      <c r="F332" s="82" t="str">
        <f>IFERROR(SUM((F208+F209+F210+F213+F231)-F140)/(F65*4),"")</f>
        <v/>
      </c>
      <c r="G332" s="82" t="str">
        <f>IFERROR(SUM((G208+G209+G210+G213+G231)-G140)/(G65*4),"")</f>
        <v/>
      </c>
      <c r="H332" s="262" t="str">
        <f>IFERROR(IF(AND(COUNT(H65)=1,(H65)&lt;&gt;0),((N(H208)+N(H209)+N(H210)+N(H213)+N(H231)+N(H234))-N(H140))/(H65),""),"")</f>
        <v/>
      </c>
      <c r="I332" s="262" t="str">
        <f>""</f>
        <v/>
      </c>
      <c r="J332" s="262" t="str">
        <f>""</f>
        <v/>
      </c>
      <c r="K332" s="262" t="str">
        <f>""</f>
        <v/>
      </c>
      <c r="L332" s="262">
        <f>IFERROR(IF(AND(COUNT(I65,J65,K65,L65)=4,(I65+J65+K65+L65)&lt;&gt;0),((N(L208)+N(L209)+N(L210)+N(L213)+N(L231)+N(L234))-N(L140))/(I65+J65+K65+L65),""),"")</f>
        <v>-1.25672157662099</v>
      </c>
      <c r="M332" s="262">
        <f>IFERROR(IF(AND(COUNT(I65,J65,K65,L65)=4,(I65+J65+K65+L65)&lt;&gt;0),((N(M208)+N(M209)+N(M210)+N(M213)+N(M231)+N(M234))-N(M140))/(I65+J65+K65+L65),""),"")</f>
        <v>-1.25672157662099</v>
      </c>
      <c r="N332" s="262">
        <f>IFERROR(IF(AND(COUNT(J65,K65,L65,N65)=4,(J65+K65+L65+N65)&lt;&gt;0),((N(N208)+N(N209)+N(N210)+N(N213)+N(N231)+N(N234))-N(N140))/(J65+K65+L65+N65),""),"")</f>
        <v>-1.13500084217618</v>
      </c>
      <c r="O332" s="262">
        <f>IFERROR(IF(AND(COUNT(K65,L65,N65,O65)=4,(K65+L65+N65+O65)&lt;&gt;0),((N(O208)+N(O209)+N(O210)+N(O213)+N(O231)+N(O234))-N(O140))/(K65+L65+N65+O65),""),"")</f>
        <v>-1.02617332278349</v>
      </c>
      <c r="P332" s="262">
        <f>IFERROR(IF(AND(COUNT(L65,N65,O65,P65)=4,(L65+N65+O65+P65)&lt;&gt;0),((N(P208)+N(P209)+N(P210)+N(P213)+N(P231)+N(P234))-N(P140))/(L65+N65+O65+P65),""),"")</f>
        <v>-0.963635972646338</v>
      </c>
      <c r="Q332" s="262">
        <f>IFERROR(IF(AND(COUNT(N65,O65,P65,Q65)=4,(N65+O65+P65+Q65)&lt;&gt;0),((N(Q208)+N(Q209)+N(Q210)+N(Q213)+N(Q231)+N(Q234))-N(Q140))/(N65+O65+P65+Q65),""),"")</f>
        <v>-0.960401202720545</v>
      </c>
      <c r="R332" s="262">
        <f>IFERROR(IF(AND(COUNT(N65,O65,P65,Q65)=4,(N65+O65+P65+Q65)&lt;&gt;0),((N(R208)+N(R209)+N(R210)+N(R213)+N(R231)+N(R234))-N(R140))/(N65+O65+P65+Q65),""),"")</f>
        <v>-0.960401202720545</v>
      </c>
      <c r="S332" s="262">
        <f>IFERROR(IF(AND(COUNT(O65,P65,Q65,S65)=4,(O65+P65+Q65+S65)&lt;&gt;0),((N(S208)+N(S209)+N(S210)+N(S213)+N(S231)+N(S234))-N(S140))/(O65+P65+Q65+S65),""),"")</f>
        <v>-1.01940887492953</v>
      </c>
      <c r="T332" s="262">
        <f>IFERROR(IF(AND(COUNT(P65,Q65,S65,T65)=4,(P65+Q65+S65+T65)&lt;&gt;0),((N(T208)+N(T209)+N(T210)+N(T213)+N(T231)+N(T234))-N(T140))/(P65+Q65+S65+T65),""),"")</f>
        <v>-1.03370647465827</v>
      </c>
      <c r="U332" s="262">
        <f>IFERROR(IF(AND(COUNT(Q65,S65,T65,U65)=4,(Q65+S65+T65+U65)&lt;&gt;0),((N(U208)+N(U209)+N(U210)+N(U213)+N(U231)+N(U234))-N(U140))/(Q65+S65+T65+U65),""),"")</f>
        <v>-1.00832695974405</v>
      </c>
      <c r="V332" s="262">
        <f>IFERROR(IF(AND(COUNT(S65,T65,U65,V65)=4,(S65+T65+U65+V65)&lt;&gt;0),((N(V208)+N(V209)+N(V210)+N(V213)+N(V231)+N(V234))-N(V140))/(S65+T65+U65+V65),""),"")</f>
        <v>-0.872811645273973</v>
      </c>
      <c r="W332" s="262">
        <f>IFERROR(IF(AND(COUNT(S65,T65,U65,V65)=4,(S65+T65+U65+V65)&lt;&gt;0),((N(W208)+N(W209)+N(W210)+N(W213)+N(W231)+N(W234))-N(W140))/(S65+T65+U65+V65),""),"")</f>
        <v>-0.872811645273973</v>
      </c>
      <c r="X332" s="262">
        <f>IFERROR(IF(AND(COUNT(T65,U65,V65,X65)=4,(T65+U65+V65+X65)&lt;&gt;0),((N(X208)+N(X209)+N(X210)+N(X213)+N(X231)+N(X234))-N(X140))/(T65+U65+V65+X65),""),"")</f>
        <v>-0.781908723085194</v>
      </c>
      <c r="Y332" s="262">
        <f>IFERROR(IF(AND(COUNT(U65,V65,X65,Y65)=4,(U65+V65+X65+Y65)&lt;&gt;0),((N(Y208)+N(Y209)+N(Y210)+N(Y213)+N(Y231)+N(Y234))-N(Y140))/(U65+V65+X65+Y65),""),"")</f>
        <v>-0.676326475969477</v>
      </c>
      <c r="Z332" s="262">
        <f>IFERROR(IF(AND(COUNT(V65,X65,Y65,Z65)=4,(V65+X65+Y65+Z65)&lt;&gt;0),((N(Z208)+N(Z209)+N(Z210)+N(Z213)+N(Z231)+N(Z234))-N(Z140))/(V65+X65+Y65+Z65),""),"")</f>
        <v>-0.579561140065419</v>
      </c>
      <c r="AA332" s="262">
        <f>IFERROR(IF(AND(COUNT(X65,Y65,Z65,AA65)=4,(X65+Y65+Z65+AA65)&lt;&gt;0),((N(AA208)+N(AA209)+N(AA210)+N(AA213)+N(AA231)+N(AA234))-N(AA140))/(X65+Y65+Z65+AA65),""),"")</f>
        <v>-0.57229778936735</v>
      </c>
      <c r="AB332" s="262">
        <f>IFERROR(IF(AND(COUNT(X65,Y65,Z65,AA65)=4,(X65+Y65+Z65+AA65)&lt;&gt;0),((N(AB208)+N(AB209)+N(AB210)+N(AB213)+N(AB231)+N(AB234))-N(AB140))/(X65+Y65+Z65+AA65),""),"")</f>
        <v>-0.57229778936735</v>
      </c>
      <c r="AC332" s="262">
        <f>IFERROR(IF(AND(COUNT(Y65,Z65,AA65,AC65)=4,(Y65+Z65+AA65+AC65)&lt;&gt;0),((N(AC208)+N(AC209)+N(AC210)+N(AC213)+N(AC231)+N(AC234))-N(AC140))/(Y65+Z65+AA65+AC65),""),"")</f>
        <v>-0.543383939839742</v>
      </c>
      <c r="AD332" s="262">
        <f>IFERROR(IF(AND(COUNT(Z65,AA65,AC65,AD65)=4,(Z65+AA65+AC65+AD65)&lt;&gt;0),((N(AD208)+N(AD209)+N(AD210)+N(AD213)+N(AD231)+N(AD234))-N(AD140))/(Z65+AA65+AC65+AD65),""),"")</f>
        <v>-0.428559099572081</v>
      </c>
      <c r="AE332" s="262">
        <f>IFERROR(IF(AND(COUNT(AA65,AC65,AD65,AE65)=4,(AA65+AC65+AD65+AE65)&lt;&gt;0),((N(AE208)+N(AE209)+N(AE210)+N(AE213)+N(AE231)+N(AE234))-N(AE140))/(AA65+AC65+AD65+AE65),""),"")</f>
        <v>-0.451833614641019</v>
      </c>
      <c r="AF332" s="262">
        <f>IFERROR(IF(AND(COUNT(AB65,AD65,AE65,AF65)=4,(AB65+AD65+AE65+AF65)&lt;&gt;0),((N(AF208)+N(AF209)+N(AF210)+N(AF213)+N(AF231)+N(AF234))-N(AF140))/(AB65+AD65+AE65+AF65),""),"")</f>
        <v>-0.278240239225975</v>
      </c>
      <c r="AG332" s="262">
        <f>IFERROR(IF(AND(COUNT(AC65,AD65,AE65,AF65)=4,(AC65+AD65+AE65+AF65)&lt;&gt;0),((N(AG208)+N(AG209)+N(AG210)+N(AG213)+N(AG231)+N(AG234))-N(AG140))/(AC65+AD65+AE65+AF65),""),"")</f>
        <v>-0.449821874479774</v>
      </c>
      <c r="AH332" s="262">
        <f>IFERROR(IF(AND(COUNT(AD65,AF65,AG65,AH65)=4,(AD65+AF65+AG65+AH65)&lt;&gt;0),((N(AH208)+N(AH209)+N(AH210)+N(AH213)+N(AH231)+N(AH234))-N(AH140))/(AD65+AF65+AG65+AH65),""),"")</f>
        <v>-0.132398141269356</v>
      </c>
      <c r="AI332" s="262">
        <f>IFERROR(IF(AND(COUNT(AE65,AG65,AH65,AI65)=4,(AE65+AG65+AH65+AI65)&lt;&gt;0),((N(AI208)+N(AI209)+N(AI210)+N(AI213)+N(AI231)+N(AI234))-N(AI140))/(AE65+AG65+AH65+AI65),""),"")</f>
        <v>-0.461521493172422</v>
      </c>
      <c r="AJ332" s="262">
        <f>IFERROR(IF(AND(COUNT(AF65,AH65,AI65,AJ65)=4,(AF65+AH65+AI65+AJ65)&lt;&gt;0),((N(AJ208)+N(AJ209)+N(AJ210)+N(AJ213)+N(AJ231)+N(AJ234))-N(AJ140))/(AF65+AH65+AI65+AJ65),""),"")</f>
        <v>-0.996477011765145</v>
      </c>
      <c r="AK332" s="262">
        <f>IFERROR(IF(AND(COUNT(AH65,AI65,AJ65,AK65)=4,(AH65+AI65+AJ65+AK65)&lt;&gt;0),((N(AK208)+N(AK209)+N(AK210)+N(AK213)+N(AK231)+N(AK234))-N(AK140))/(AH65+AI65+AJ65+AK65),""),"")</f>
        <v>-1.19834015523735</v>
      </c>
      <c r="AL332" s="262">
        <f>IFERROR(IF(AND(COUNT(AH65,AI65,AJ65,AK65)=4,(AH65+AI65+AJ65+AK65)&lt;&gt;0),((N(AL208)+N(AL209)+N(AL210)+N(AL213)+N(AL231)+N(AL234))-N(AL140))/(AH65+AI65+AJ65+AK65),""),"")</f>
        <v>-1.19834015523735</v>
      </c>
      <c r="AM332" s="262">
        <f>IFERROR(IF(AND(COUNT(AI65,AJ65,AK65,AM65)=4,(AI65+AJ65+AK65+AM65)&lt;&gt;0),((N(AM208)+N(AM209)+N(AM210)+N(AM213)+N(AM231)+N(AM234))-N(AM140))/(AI65+AJ65+AK65+AM65),""),"")</f>
        <v>-1.47106741361048</v>
      </c>
      <c r="AN332" s="262">
        <f>IFERROR(IF(AND(COUNT(AJ65,AK65,AM65,AN65)=4,(AJ65+AK65+AM65+AN65)&lt;&gt;0),((N(AN208)+N(AN209)+N(AN210)+N(AN213)+N(AN231)+N(AN234))-N(AN140))/(AJ65+AK65+AM65+AN65),""),"")</f>
        <v>-1.71824588577366</v>
      </c>
      <c r="AO332" s="262">
        <f>IFERROR(IF(AND(COUNT(AK65,AM65,AN65,AO65)=4,(AK65+AM65+AN65+AO65)&lt;&gt;0),((N(AO208)+N(AO209)+N(AO210)+N(AO213)+N(AO231)+N(AO234))-N(AO140))/(AK65+AM65+AN65+AO65),""),"")</f>
        <v>-1.9829316347937</v>
      </c>
      <c r="AP332" s="262">
        <f>IFERROR(IF(AND(COUNT(AM65,AN65,AO65,AP65)=4,(AM65+AN65+AO65+AP65)&lt;&gt;0),((N(AP208)+N(AP209)+N(AP210)+N(AP213)+N(AP231)+N(AP234))-N(AP140))/(AM65+AN65+AO65+AP65),""),"")</f>
        <v>-2.22891892074852</v>
      </c>
      <c r="AQ332" s="262">
        <f>IFERROR(IF(AND(COUNT(AM65,AN65,AO65,AP65)=4,(AM65+AN65+AO65+AP65)&lt;&gt;0),((N(AQ208)+N(AQ209)+N(AQ210)+N(AQ213)+N(AQ231)+N(AQ234))-N(AQ140))/(AM65+AN65+AO65+AP65),""),"")</f>
        <v>-2.22891892074852</v>
      </c>
      <c r="AR332" s="262">
        <f>IFERROR(IF(AND(COUNT(AN65,AO65,AP65,AR65)=4,(AN65+AO65+AP65+AR65)&lt;&gt;0),((N(AR208)+N(AR209)+N(AR210)+N(AR213)+N(AR231)+N(AR234))-N(AR140))/(AN65+AO65+AP65+AR65),""),"")</f>
        <v>-2.51975855525262</v>
      </c>
      <c r="AS332" s="262">
        <f>IFERROR(IF(AND(COUNT(AO65,AP65,AR65,AS65)=4,(AO65+AP65+AR65+AS65)&lt;&gt;0),((N(AS208)+N(AS209)+N(AS210)+N(AS213)+N(AS231)+N(AS234))-N(AS140))/(AO65+AP65+AR65+AS65),""),"")</f>
        <v>-2.79255275758366</v>
      </c>
      <c r="AT332" s="262">
        <f>IFERROR(IF(AND(COUNT(AP65,AR65,AS65,AT65)=4,(AP65+AR65+AS65+AT65)&lt;&gt;0),((N(AT208)+N(AT209)+N(AT210)+N(AT213)+N(AT231)+N(AT234))-N(AT140))/(AP65+AR65+AS65+AT65),""),"")</f>
        <v>-3.10878124604975</v>
      </c>
      <c r="AU332" s="262">
        <f>IFERROR(IF(AND(COUNT(AR65,AS65,AT65,AU65)=4,(AR65+AS65+AT65+AU65)&lt;&gt;0),((N(AU208)+N(AU209)+N(AU210)+N(AU213)+N(AU231)+N(AU234))-N(AU140))/(AR65+AS65+AT65+AU65),""),"")</f>
        <v>-3.4126505844929</v>
      </c>
      <c r="AV332" s="262">
        <f>IFERROR(IF(AND(COUNT(AR65,AS65,AT65,AU65)=4,(AR65+AS65+AT65+AU65)&lt;&gt;0),((N(AV208)+N(AV209)+N(AV210)+N(AV213)+N(AV231)+N(AV234))-N(AV140))/(AR65+AS65+AT65+AU65),""),"")</f>
        <v>-3.4126505844929</v>
      </c>
      <c r="AW332" s="262">
        <f>IFERROR(IF(AND(COUNT(AS65,AT65,AU65,AW65)=4,(AS65+AT65+AU65+AW65)&lt;&gt;0),((N(AW208)+N(AW209)+N(AW210)+N(AW213)+N(AW231)+N(AW234))-N(AW140))/(AS65+AT65+AU65+AW65),""),"")</f>
        <v>-3.77052718878227</v>
      </c>
      <c r="AX332" s="262">
        <f>IFERROR(IF(AND(COUNT(AT65,AU65,AW65,AX65)=4,(AT65+AU65+AW65+AX65)&lt;&gt;0),((N(AX208)+N(AX209)+N(AX210)+N(AX213)+N(AX231)+N(AX234))-N(AX140))/(AT65+AU65+AW65+AX65),""),"")</f>
        <v>-4.12433807430531</v>
      </c>
      <c r="AY332" s="262">
        <f>IFERROR(IF(AND(COUNT(AU65,AW65,AX65,AY65)=4,(AU65+AW65+AX65+AY65)&lt;&gt;0),((N(AY208)+N(AY209)+N(AY210)+N(AY213)+N(AY231)+N(AY234))-N(AY140))/(AU65+AW65+AX65+AY65),""),"")</f>
        <v>-4.5314484787078</v>
      </c>
      <c r="AZ332" s="262">
        <f>IFERROR(IF(AND(COUNT(AW65,AX65,AY65,AZ65)=4,(AW65+AX65+AY65+AZ65)&lt;&gt;0),((N(AZ208)+N(AZ209)+N(AZ210)+N(AZ213)+N(AZ231)+N(AZ234))-N(AZ140))/(AW65+AX65+AY65+AZ65),""),"")</f>
        <v>-4.93546612635167</v>
      </c>
      <c r="BA332" s="262">
        <f>IFERROR(IF(AND(COUNT(AW65,AX65,AY65,AZ65)=4,(AW65+AX65+AY65+AZ65)&lt;&gt;0),((N(BA208)+N(BA209)+N(BA210)+N(BA213)+N(BA231)+N(BA234))-N(BA140))/(AW65+AX65+AY65+AZ65),""),"")</f>
        <v>-4.93546612635167</v>
      </c>
      <c r="BB332" s="262">
        <f>IFERROR(IF(AND(COUNT(AX65,AY65,AZ65,BB65)=4,(AX65+AY65+AZ65+BB65)&lt;&gt;0),((N(BB208)+N(BB209)+N(BB210)+N(BB213)+N(BB231)+N(BB234))-N(BB140))/(AX65+AY65+AZ65+BB65),""),"")</f>
        <v>-5.40978250197959</v>
      </c>
      <c r="BC332" s="262">
        <f>IFERROR(IF(AND(COUNT(AY65,AZ65,BB65,BC65)=4,(AY65+AZ65+BB65+BC65)&lt;&gt;0),((N(BC208)+N(BC209)+N(BC210)+N(BC213)+N(BC231)+N(BC234))-N(BC140))/(AY65+AZ65+BB65+BC65),""),"")</f>
        <v>-5.8908618507971</v>
      </c>
      <c r="BD332" s="262">
        <f>IFERROR(IF(AND(COUNT(AZ65,BB65,BC65,BD65)=4,(AZ65+BB65+BC65+BD65)&lt;&gt;0),((N(BD208)+N(BD209)+N(BD210)+N(BD213)+N(BD231)+N(BD234))-N(BD140))/(AZ65+BB65+BC65+BD65),""),"")</f>
        <v>-6.44357064525761</v>
      </c>
      <c r="BE332" s="262">
        <f>IFERROR(IF(AND(COUNT(BB65,BC65,BD65,BE65)=4,(BB65+BC65+BD65+BE65)&lt;&gt;0),((N(BE208)+N(BE209)+N(BE210)+N(BE213)+N(BE231)+N(BE234))-N(BE140))/(BB65+BC65+BD65+BE65),""),"")</f>
        <v>-7.00643604055014</v>
      </c>
      <c r="BF332" s="262">
        <f>IFERROR(IF(AND(COUNT(BB65,BC65,BD65,BE65)=4,(BB65+BC65+BD65+BE65)&lt;&gt;0),((N(BF208)+N(BF209)+N(BF210)+N(BF213)+N(BF231)+N(BF234))-N(BF140))/(BB65+BC65+BD65+BE65),""),"")</f>
        <v>-7.00643604055014</v>
      </c>
      <c r="BG332" s="82" t="n"/>
      <c r="BH332" s="82" t="n"/>
      <c r="BI332" s="82" t="n"/>
      <c r="BJ332" s="82" t="n"/>
      <c r="BL332" s="82" t="n"/>
      <c r="BM332" s="82" t="n"/>
      <c r="BN332" s="82" t="n"/>
      <c r="BO332" s="82" t="n"/>
      <c r="BQ332" s="82" t="n"/>
      <c r="BR332" s="82" t="n"/>
      <c r="BS332" s="82" t="n"/>
      <c r="BT332" s="82" t="n"/>
      <c r="BV332" s="82" t="n"/>
      <c r="BW332" s="82" t="n"/>
      <c r="BX332" s="82" t="n"/>
      <c r="BY332" s="82" t="n"/>
      <c r="CA332" s="82" t="n"/>
      <c r="CB332" s="82" t="n"/>
      <c r="CC332" s="82" t="n"/>
      <c r="CD332" s="82" t="n"/>
      <c r="CF332" s="82" t="n"/>
      <c r="CG332" s="82" t="n"/>
      <c r="CH332" s="82" t="n"/>
      <c r="CI332" s="82" t="n"/>
      <c r="CK332" s="82" t="n"/>
      <c r="CL332" s="82" t="n"/>
      <c r="CM332" s="82" t="n"/>
      <c r="CN332" s="82" t="n"/>
      <c r="CP332" s="82" t="n"/>
      <c r="CQ332" s="82" t="n"/>
      <c r="CR332" s="82" t="n"/>
      <c r="CS332" s="82" t="n"/>
      <c r="CU332" s="82" t="n"/>
      <c r="CV332" s="82" t="n"/>
      <c r="CW332" s="82" t="n"/>
      <c r="CX332" s="82" t="n"/>
    </row>
    <row r="333" customFormat="1" s="77">
      <c r="A333" s="76" t="n"/>
      <c r="B333" s="76" t="n"/>
      <c r="C333" s="83" t="inlineStr">
        <is>
          <t>NET DEBT (EX IFRS 16.) / EBITDA (LTM)</t>
        </is>
      </c>
      <c r="D333" s="82" t="str">
        <f>IFERROR(SUM((D208+D209+D213)-D140)/(D65*4),"")</f>
        <v/>
      </c>
      <c r="E333" s="82" t="str">
        <f>IFERROR(SUM((E208+E209+E213)-E140)/(E65*4),"")</f>
        <v/>
      </c>
      <c r="F333" s="82" t="str">
        <f>IFERROR(SUM((F208+F209+F213)-F140)/(F65*4),"")</f>
        <v/>
      </c>
      <c r="G333" s="82" t="str">
        <f>IFERROR(SUM((G208+G209+G213)-G140)/(G65*4),"")</f>
        <v/>
      </c>
      <c r="H333" s="262" t="str">
        <f>IFERROR(IF(AND(COUNT(H65)=1,(H65)&lt;&gt;0),((N(H208)+N(H209)+N(H213)+N(H234))-N(H140))/(H65),""),"")</f>
        <v/>
      </c>
      <c r="I333" s="262" t="str">
        <f>""</f>
        <v/>
      </c>
      <c r="J333" s="262" t="str">
        <f>""</f>
        <v/>
      </c>
      <c r="K333" s="262" t="str">
        <f>""</f>
        <v/>
      </c>
      <c r="L333" s="262">
        <f>IFERROR(IF(AND(COUNT(I65,J65,K65,L65)=4,(I65+J65+K65+L65)&lt;&gt;0),((N(L208)+N(L209)+N(L213)+N(L234))-N(L140))/(I65+J65+K65+L65),""),"")</f>
        <v>-1.382888920892</v>
      </c>
      <c r="M333" s="262">
        <f>IFERROR(IF(AND(COUNT(I65,J65,K65,L65)=4,(I65+J65+K65+L65)&lt;&gt;0),((N(M208)+N(M209)+N(M213)+N(M234))-N(M140))/(I65+J65+K65+L65),""),"")</f>
        <v>-1.382888920892</v>
      </c>
      <c r="N333" s="262">
        <f>IFERROR(IF(AND(COUNT(J65,K65,L65,N65)=4,(J65+K65+L65+N65)&lt;&gt;0),((N(N208)+N(N209)+N(N213)+N(N234))-N(N140))/(J65+K65+L65+N65),""),"")</f>
        <v>-1.25462144180563</v>
      </c>
      <c r="O333" s="262">
        <f>IFERROR(IF(AND(COUNT(K65,L65,N65,O65)=4,(K65+L65+N65+O65)&lt;&gt;0),((N(O208)+N(O209)+N(O213)+N(O234))-N(O140))/(K65+L65+N65+O65),""),"")</f>
        <v>-1.14795110981552</v>
      </c>
      <c r="P333" s="262">
        <f>IFERROR(IF(AND(COUNT(L65,N65,O65,P65)=4,(L65+N65+O65+P65)&lt;&gt;0),((N(P208)+N(P209)+N(P213)+N(P234))-N(P140))/(L65+N65+O65+P65),""),"")</f>
        <v>-1.09249064556363</v>
      </c>
      <c r="Q333" s="262">
        <f>IFERROR(IF(AND(COUNT(N65,O65,P65,Q65)=4,(N65+O65+P65+Q65)&lt;&gt;0),((N(Q208)+N(Q209)+N(Q213)+N(Q234))-N(Q140))/(N65+O65+P65+Q65),""),"")</f>
        <v>-1.09910239767444</v>
      </c>
      <c r="R333" s="262">
        <f>IFERROR(IF(AND(COUNT(N65,O65,P65,Q65)=4,(N65+O65+P65+Q65)&lt;&gt;0),((N(R208)+N(R209)+N(R213)+N(R234))-N(R140))/(N65+O65+P65+Q65),""),"")</f>
        <v>-1.09910239767444</v>
      </c>
      <c r="S333" s="262">
        <f>IFERROR(IF(AND(COUNT(O65,P65,Q65,S65)=4,(O65+P65+Q65+S65)&lt;&gt;0),((N(S208)+N(S209)+N(S213)+N(S234))-N(S140))/(O65+P65+Q65+S65),""),"")</f>
        <v>-1.16666091418447</v>
      </c>
      <c r="T333" s="262">
        <f>IFERROR(IF(AND(COUNT(P65,Q65,S65,T65)=4,(P65+Q65+S65+T65)&lt;&gt;0),((N(T208)+N(T209)+N(T213)+N(T234))-N(T140))/(P65+Q65+S65+T65),""),"")</f>
        <v>-1.17710524835462</v>
      </c>
      <c r="U333" s="262">
        <f>IFERROR(IF(AND(COUNT(Q65,S65,T65,U65)=4,(Q65+S65+T65+U65)&lt;&gt;0),((N(U208)+N(U209)+N(U213)+N(U234))-N(U140))/(Q65+S65+T65+U65),""),"")</f>
        <v>-1.14351886761965</v>
      </c>
      <c r="V333" s="262">
        <f>IFERROR(IF(AND(COUNT(S65,T65,U65,V65)=4,(S65+T65+U65+V65)&lt;&gt;0),((N(V208)+N(V209)+N(V213)+N(V234))-N(V140))/(S65+T65+U65+V65),""),"")</f>
        <v>-1.00045073192719</v>
      </c>
      <c r="W333" s="262">
        <f>IFERROR(IF(AND(COUNT(S65,T65,U65,V65)=4,(S65+T65+U65+V65)&lt;&gt;0),((N(W208)+N(W209)+N(W213)+N(W234))-N(W140))/(S65+T65+U65+V65),""),"")</f>
        <v>-1.00045073192719</v>
      </c>
      <c r="X333" s="262">
        <f>IFERROR(IF(AND(COUNT(T65,U65,V65,X65)=4,(T65+U65+V65+X65)&lt;&gt;0),((N(X208)+N(X209)+N(X213)+N(X234))-N(X140))/(T65+U65+V65+X65),""),"")</f>
        <v>-0.894679757424856</v>
      </c>
      <c r="Y333" s="262">
        <f>IFERROR(IF(AND(COUNT(U65,V65,X65,Y65)=4,(U65+V65+X65+Y65)&lt;&gt;0),((N(Y208)+N(Y209)+N(Y213)+N(Y234))-N(Y140))/(U65+V65+X65+Y65),""),"")</f>
        <v>-0.780820206167165</v>
      </c>
      <c r="Z333" s="262">
        <f>IFERROR(IF(AND(COUNT(V65,X65,Y65,Z65)=4,(V65+X65+Y65+Z65)&lt;&gt;0),((N(Z208)+N(Z209)+N(Z213)+N(Z234))-N(Z140))/(V65+X65+Y65+Z65),""),"")</f>
        <v>-0.677053966554289</v>
      </c>
      <c r="AA333" s="262">
        <f>IFERROR(IF(AND(COUNT(X65,Y65,Z65,AA65)=4,(X65+Y65+Z65+AA65)&lt;&gt;0),((N(AA208)+N(AA209)+N(AA213)+N(AA234))-N(AA140))/(X65+Y65+Z65+AA65),""),"")</f>
        <v>-0.663847581459816</v>
      </c>
      <c r="AB333" s="262">
        <f>IFERROR(IF(AND(COUNT(X65,Y65,Z65,AA65)=4,(X65+Y65+Z65+AA65)&lt;&gt;0),((N(AB208)+N(AB209)+N(AB213)+N(AB234))-N(AB140))/(X65+Y65+Z65+AA65),""),"")</f>
        <v>-0.663847581459816</v>
      </c>
      <c r="AC333" s="262">
        <f>IFERROR(IF(AND(COUNT(Y65,Z65,AA65,AC65)=4,(Y65+Z65+AA65+AC65)&lt;&gt;0),((N(AC208)+N(AC209)+N(AC213)+N(AC234))-N(AC140))/(Y65+Z65+AA65+AC65),""),"")</f>
        <v>-0.630592417238573</v>
      </c>
      <c r="AD333" s="262">
        <f>IFERROR(IF(AND(COUNT(Z65,AA65,AC65,AD65)=4,(Z65+AA65+AC65+AD65)&lt;&gt;0),((N(AD208)+N(AD209)+N(AD213)+N(AD234))-N(AD140))/(Z65+AA65+AC65+AD65),""),"")</f>
        <v>-0.514516883023482</v>
      </c>
      <c r="AE333" s="262">
        <f>IFERROR(IF(AND(COUNT(AA65,AC65,AD65,AE65)=4,(AA65+AC65+AD65+AE65)&lt;&gt;0),((N(AE208)+N(AE209)+N(AE213)+N(AE234))-N(AE140))/(AA65+AC65+AD65+AE65),""),"")</f>
        <v>-0.536267767718897</v>
      </c>
      <c r="AF333" s="262">
        <f>IFERROR(IF(AND(COUNT(AB65,AD65,AE65,AF65)=4,(AB65+AD65+AE65+AF65)&lt;&gt;0),((N(AF208)+N(AF209)+N(AF213)+N(AF234))-N(AF140))/(AB65+AD65+AE65+AF65),""),"")</f>
        <v>-0.330731558634666</v>
      </c>
      <c r="AG333" s="262">
        <f>IFERROR(IF(AND(COUNT(AC65,AD65,AE65,AF65)=4,(AC65+AD65+AE65+AF65)&lt;&gt;0),((N(AG208)+N(AG209)+N(AG213)+N(AG234))-N(AG140))/(AC65+AD65+AE65+AF65),""),"")</f>
        <v>-0.534682869985018</v>
      </c>
      <c r="AH333" s="262">
        <f>IFERROR(IF(AND(COUNT(AD65,AF65,AG65,AH65)=4,(AD65+AF65+AG65+AH65)&lt;&gt;0),((N(AH208)+N(AH209)+N(AH213)+N(AH234))-N(AH140))/(AD65+AF65+AG65+AH65),""),"")</f>
        <v>-0.179678509519439</v>
      </c>
      <c r="AI333" s="262">
        <f>IFERROR(IF(AND(COUNT(AE65,AG65,AH65,AI65)=4,(AE65+AG65+AH65+AI65)&lt;&gt;0),((N(AI208)+N(AI209)+N(AI213)+N(AI234))-N(AI140))/(AE65+AG65+AH65+AI65),""),"")</f>
        <v>-0.513434566970036</v>
      </c>
      <c r="AJ333" s="262">
        <f>IFERROR(IF(AND(COUNT(AF65,AH65,AI65,AJ65)=4,(AF65+AH65+AI65+AJ65)&lt;&gt;0),((N(AJ208)+N(AJ209)+N(AJ213)+N(AJ234))-N(AJ140))/(AF65+AH65+AI65+AJ65),""),"")</f>
        <v>-1.07645032184391</v>
      </c>
      <c r="AK333" s="262">
        <f>IFERROR(IF(AND(COUNT(AH65,AI65,AJ65,AK65)=4,(AH65+AI65+AJ65+AK65)&lt;&gt;0),((N(AK208)+N(AK209)+N(AK213)+N(AK234))-N(AK140))/(AH65+AI65+AJ65+AK65),""),"")</f>
        <v>-1.27429331990103</v>
      </c>
      <c r="AL333" s="262">
        <f>IFERROR(IF(AND(COUNT(AH65,AI65,AJ65,AK65)=4,(AH65+AI65+AJ65+AK65)&lt;&gt;0),((N(AL208)+N(AL209)+N(AL213)+N(AL234))-N(AL140))/(AH65+AI65+AJ65+AK65),""),"")</f>
        <v>-1.27429331990103</v>
      </c>
      <c r="AM333" s="262">
        <f>IFERROR(IF(AND(COUNT(AI65,AJ65,AK65,AM65)=4,(AI65+AJ65+AK65+AM65)&lt;&gt;0),((N(AM208)+N(AM209)+N(AM213)+N(AM234))-N(AM140))/(AI65+AJ65+AK65+AM65),""),"")</f>
        <v>-1.54559717305339</v>
      </c>
      <c r="AN333" s="262">
        <f>IFERROR(IF(AND(COUNT(AJ65,AK65,AM65,AN65)=4,(AJ65+AK65+AM65+AN65)&lt;&gt;0),((N(AN208)+N(AN209)+N(AN213)+N(AN234))-N(AN140))/(AJ65+AK65+AM65+AN65),""),"")</f>
        <v>-1.79039372026438</v>
      </c>
      <c r="AO333" s="262">
        <f>IFERROR(IF(AND(COUNT(AK65,AM65,AN65,AO65)=4,(AK65+AM65+AN65+AO65)&lt;&gt;0),((N(AO208)+N(AO209)+N(AO213)+N(AO234))-N(AO140))/(AK65+AM65+AN65+AO65),""),"")</f>
        <v>-2.05227290417819</v>
      </c>
      <c r="AP333" s="262">
        <f>IFERROR(IF(AND(COUNT(AM65,AN65,AO65,AP65)=4,(AM65+AN65+AO65+AP65)&lt;&gt;0),((N(AP208)+N(AP209)+N(AP213)+N(AP234))-N(AP140))/(AM65+AN65+AO65+AP65),""),"")</f>
        <v>-2.29538457251546</v>
      </c>
      <c r="AQ333" s="262">
        <f>IFERROR(IF(AND(COUNT(AM65,AN65,AO65,AP65)=4,(AM65+AN65+AO65+AP65)&lt;&gt;0),((N(AQ208)+N(AQ209)+N(AQ213)+N(AQ234))-N(AQ140))/(AM65+AN65+AO65+AP65),""),"")</f>
        <v>-2.29538457251546</v>
      </c>
      <c r="AR333" s="262">
        <f>IFERROR(IF(AND(COUNT(AN65,AO65,AP65,AR65)=4,(AN65+AO65+AP65+AR65)&lt;&gt;0),((N(AR208)+N(AR209)+N(AR213)+N(AR234))-N(AR140))/(AN65+AO65+AP65+AR65),""),"")</f>
        <v>-2.5837353621108</v>
      </c>
      <c r="AS333" s="262">
        <f>IFERROR(IF(AND(COUNT(AO65,AP65,AR65,AS65)=4,(AO65+AP65+AR65+AS65)&lt;&gt;0),((N(AS208)+N(AS209)+N(AS213)+N(AS234))-N(AS140))/(AO65+AP65+AR65+AS65),""),"")</f>
        <v>-2.8540205197293</v>
      </c>
      <c r="AT333" s="262">
        <f>IFERROR(IF(AND(COUNT(AP65,AR65,AS65,AT65)=4,(AP65+AR65+AS65+AT65)&lt;&gt;0),((N(AT208)+N(AT209)+N(AT213)+N(AT234))-N(AT140))/(AP65+AR65+AS65+AT65),""),"")</f>
        <v>-3.16791822724794</v>
      </c>
      <c r="AU333" s="262">
        <f>IFERROR(IF(AND(COUNT(AR65,AS65,AT65,AU65)=4,(AR65+AS65+AT65+AU65)&lt;&gt;0),((N(AU208)+N(AU209)+N(AU213)+N(AU234))-N(AU140))/(AR65+AS65+AT65+AU65),""),"")</f>
        <v>-3.46939449585562</v>
      </c>
      <c r="AV333" s="262">
        <f>IFERROR(IF(AND(COUNT(AR65,AS65,AT65,AU65)=4,(AR65+AS65+AT65+AU65)&lt;&gt;0),((N(AV208)+N(AV209)+N(AV213)+N(AV234))-N(AV140))/(AR65+AS65+AT65+AU65),""),"")</f>
        <v>-3.46939449585562</v>
      </c>
      <c r="AW333" s="262">
        <f>IFERROR(IF(AND(COUNT(AS65,AT65,AU65,AW65)=4,(AS65+AT65+AU65+AW65)&lt;&gt;0),((N(AW208)+N(AW209)+N(AW213)+N(AW234))-N(AW140))/(AS65+AT65+AU65+AW65),""),"")</f>
        <v>-3.82520604520895</v>
      </c>
      <c r="AX333" s="262">
        <f>IFERROR(IF(AND(COUNT(AT65,AU65,AW65,AX65)=4,(AT65+AU65+AW65+AX65)&lt;&gt;0),((N(AX208)+N(AX209)+N(AX213)+N(AX234))-N(AX140))/(AT65+AU65+AW65+AX65),""),"")</f>
        <v>-4.17693053694799</v>
      </c>
      <c r="AY333" s="262">
        <f>IFERROR(IF(AND(COUNT(AU65,AW65,AX65,AY65)=4,(AU65+AW65+AX65+AY65)&lt;&gt;0),((N(AY208)+N(AY209)+N(AY213)+N(AY234))-N(AY140))/(AU65+AW65+AX65+AY65),""),"")</f>
        <v>-4.58209865057177</v>
      </c>
      <c r="AZ333" s="262">
        <f>IFERROR(IF(AND(COUNT(AW65,AX65,AY65,AZ65)=4,(AW65+AX65+AY65+AZ65)&lt;&gt;0),((N(AZ208)+N(AZ209)+N(AZ213)+N(AZ234))-N(AZ140))/(AW65+AX65+AY65+AZ65),""),"")</f>
        <v>-4.98411794670826</v>
      </c>
      <c r="BA333" s="262">
        <f>IFERROR(IF(AND(COUNT(AW65,AX65,AY65,AZ65)=4,(AW65+AX65+AY65+AZ65)&lt;&gt;0),((N(BA208)+N(BA209)+N(BA213)+N(BA234))-N(BA140))/(AW65+AX65+AY65+AZ65),""),"")</f>
        <v>-4.98411794670826</v>
      </c>
      <c r="BB333" s="262">
        <f>IFERROR(IF(AND(COUNT(AX65,AY65,AZ65,BB65)=4,(AX65+AY65+AZ65+BB65)&lt;&gt;0),((N(BB208)+N(BB209)+N(BB213)+N(BB234))-N(BB140))/(AX65+AY65+AZ65+BB65),""),"")</f>
        <v>-5.4567151037911</v>
      </c>
      <c r="BC333" s="262">
        <f>IFERROR(IF(AND(COUNT(AY65,AZ65,BB65,BC65)=4,(AY65+AZ65+BB65+BC65)&lt;&gt;0),((N(BC208)+N(BC209)+N(BC213)+N(BC234))-N(BC140))/(AY65+AZ65+BB65+BC65),""),"")</f>
        <v>-5.93605364024304</v>
      </c>
      <c r="BD333" s="262">
        <f>IFERROR(IF(AND(COUNT(AZ65,BB65,BC65,BD65)=4,(AZ65+BB65+BC65+BD65)&lt;&gt;0),((N(BD208)+N(BD209)+N(BD213)+N(BD234))-N(BD140))/(AZ65+BB65+BC65+BD65),""),"")</f>
        <v>-6.48713838675583</v>
      </c>
      <c r="BE333" s="262">
        <f>IFERROR(IF(AND(COUNT(BB65,BC65,BD65,BE65)=4,(BB65+BC65+BD65+BE65)&lt;&gt;0),((N(BE208)+N(BE209)+N(BE213)+N(BE234))-N(BE140))/(BB65+BC65+BD65+BE65),""),"")</f>
        <v>-7.04832935557028</v>
      </c>
      <c r="BF333" s="262">
        <f>IFERROR(IF(AND(COUNT(BB65,BC65,BD65,BE65)=4,(BB65+BC65+BD65+BE65)&lt;&gt;0),((N(BF208)+N(BF209)+N(BF213)+N(BF234))-N(BF140))/(BB65+BC65+BD65+BE65),""),"")</f>
        <v>-7.04832935557028</v>
      </c>
      <c r="BG333" s="82" t="n"/>
      <c r="BH333" s="82" t="n"/>
      <c r="BI333" s="82" t="n"/>
      <c r="BJ333" s="82" t="n"/>
      <c r="BL333" s="82" t="n"/>
      <c r="BM333" s="82" t="n"/>
      <c r="BN333" s="82" t="n"/>
      <c r="BO333" s="82" t="n"/>
      <c r="BQ333" s="82" t="n"/>
      <c r="BR333" s="82" t="n"/>
      <c r="BS333" s="82" t="n"/>
      <c r="BT333" s="82" t="n"/>
      <c r="BV333" s="82" t="n"/>
      <c r="BW333" s="82" t="n"/>
      <c r="BX333" s="82" t="n"/>
      <c r="BY333" s="82" t="n"/>
      <c r="CA333" s="82" t="n"/>
      <c r="CB333" s="82" t="n"/>
      <c r="CC333" s="82" t="n"/>
      <c r="CD333" s="82" t="n"/>
      <c r="CF333" s="82" t="n"/>
      <c r="CG333" s="82" t="n"/>
      <c r="CH333" s="82" t="n"/>
      <c r="CI333" s="82" t="n"/>
      <c r="CK333" s="82" t="n"/>
      <c r="CL333" s="82" t="n"/>
      <c r="CM333" s="82" t="n"/>
      <c r="CN333" s="82" t="n"/>
      <c r="CP333" s="82" t="n"/>
      <c r="CQ333" s="82" t="n"/>
      <c r="CR333" s="82" t="n"/>
      <c r="CS333" s="82" t="n"/>
      <c r="CU333" s="82" t="n"/>
      <c r="CV333" s="82" t="n"/>
      <c r="CW333" s="82" t="n"/>
      <c r="CX333" s="82" t="n"/>
    </row>
    <row r="334" customFormat="1" s="77">
      <c r="A334" s="76" t="n"/>
      <c r="B334" s="76" t="n"/>
      <c r="C334" s="77" t="inlineStr">
        <is>
          <t>INTEREST COVERAGE (EBIT / INTEREST, LTM)</t>
        </is>
      </c>
      <c r="D334" s="82" t="str">
        <f>IFERROR(D69/-D70,"")</f>
        <v/>
      </c>
      <c r="E334" s="82" t="str">
        <f>IFERROR(E69/-E70,"")</f>
        <v/>
      </c>
      <c r="F334" s="82" t="str">
        <f>IFERROR(F69/-F70,"")</f>
        <v/>
      </c>
      <c r="G334" s="82" t="str">
        <f>IFERROR(G69/-G70,"")</f>
        <v/>
      </c>
      <c r="H334" s="262" t="str">
        <f>IFERROR(IF(AND(COUNT(H69)=1,(H70)&lt;&gt;0),(H69)/-(H70),""),"")</f>
        <v/>
      </c>
      <c r="I334" s="262" t="str">
        <f>""</f>
        <v/>
      </c>
      <c r="J334" s="262" t="str">
        <f>""</f>
        <v/>
      </c>
      <c r="K334" s="262" t="str">
        <f>""</f>
        <v/>
      </c>
      <c r="L334" s="262">
        <f>IFERROR(IF(AND(COUNT(I69,J69,K69,L69)=4,(I70+J70+K70+L70)&lt;&gt;0),(I69+J69+K69+L69)/-(I70+J70+K70+L70),""),"")</f>
        <v>227.49710982659</v>
      </c>
      <c r="M334" s="262">
        <f>IFERROR(IF(AND(COUNT(I69,J69,K69,L69)=4,(I70+J70+K70+L70)&lt;&gt;0),(I69+J69+K69+L69)/-(I70+J70+K70+L70),""),"")</f>
        <v>227.49710982659</v>
      </c>
      <c r="N334" s="262">
        <f>IFERROR(IF(AND(COUNT(J69,K69,L69,N69)=4,(J70+K70+L70+N70)&lt;&gt;0),(J69+K69+L69+N69)/-(J70+K70+L70+N70),""),"")</f>
        <v>233.345609065156</v>
      </c>
      <c r="O334" s="262">
        <f>IFERROR(IF(AND(COUNT(K69,L69,N69,O69)=4,(K70+L70+N70+O70)&lt;&gt;0),(K69+L69+N69+O69)/-(K70+L70+N70+O70),""),"")</f>
        <v>229.063888888889</v>
      </c>
      <c r="P334" s="262">
        <f>IFERROR(IF(AND(COUNT(L69,N69,O69,P69)=4,(L70+N70+O70+P70)&lt;&gt;0),(L69+N69+O69+P69)/-(L70+N70+O70+P70),""),"")</f>
        <v>204.6015625</v>
      </c>
      <c r="Q334" s="262">
        <f>IFERROR(IF(AND(COUNT(N69,O69,P69,Q69)=4,(N70+O70+P70+Q70)&lt;&gt;0),(N69+O69+P69+Q69)/-(N70+O70+P70+Q70),""),"")</f>
        <v>209.641456582633</v>
      </c>
      <c r="R334" s="262">
        <f>IFERROR(IF(AND(COUNT(N69,O69,P69,Q69)=4,(N70+O70+P70+Q70)&lt;&gt;0),(N69+O69+P69+Q69)/-(N70+O70+P70+Q70),""),"")</f>
        <v>209.641456582633</v>
      </c>
      <c r="S334" s="262">
        <f>IFERROR(IF(AND(COUNT(O69,P69,Q69,S69)=4,(O70+P70+Q70+S70)&lt;&gt;0),(O69+P69+Q69+S69)/-(O70+P70+Q70+S70),""),"")</f>
        <v>203.850282485876</v>
      </c>
      <c r="T334" s="262">
        <f>IFERROR(IF(AND(COUNT(P69,Q69,S69,T69)=4,(P70+Q70+S70+T70)&lt;&gt;0),(P69+Q69+S69+T69)/-(P70+Q70+S70+T70),""),"")</f>
        <v>237.414012738854</v>
      </c>
      <c r="U334" s="262">
        <f>IFERROR(IF(AND(COUNT(Q69,S69,T69,U69)=4,(Q70+S70+T70+U70)&lt;&gt;0),(Q69+S69+T69+U69)/-(Q70+S70+T70+U70),""),"")</f>
        <v>239.379939209726</v>
      </c>
      <c r="V334" s="262">
        <f>IFERROR(IF(AND(COUNT(S69,T69,U69,V69)=4,(S70+T70+U70+V70)&lt;&gt;0),(S69+T69+U69+V69)/-(S70+T70+U70+V70),""),"")</f>
        <v>273.678571428571</v>
      </c>
      <c r="W334" s="262">
        <f>IFERROR(IF(AND(COUNT(S69,T69,U69,V69)=4,(S70+T70+U70+V70)&lt;&gt;0),(S69+T69+U69+V69)/-(S70+T70+U70+V70),""),"")</f>
        <v>273.678571428571</v>
      </c>
      <c r="X334" s="262">
        <f>IFERROR(IF(AND(COUNT(T69,U69,V69,X69)=4,(T70+U70+V70+X70)&lt;&gt;0),(T69+U69+V69+X69)/-(T70+U70+V70+X70),""),"")</f>
        <v>286.801242236025</v>
      </c>
      <c r="Y334" s="262">
        <f>IFERROR(IF(AND(COUNT(U69,V69,X69,Y69)=4,(U70+V70+X70+Y70)&lt;&gt;0),(U69+V69+X69+Y69)/-(U70+V70+X70+Y70),""),"")</f>
        <v>283.054913294798</v>
      </c>
      <c r="Z334" s="262">
        <f>IFERROR(IF(AND(COUNT(V69,X69,Y69,Z69)=4,(V70+X70+Y70+Z70)&lt;&gt;0),(V69+X69+Y69+Z69)/-(V70+X70+Y70+Z70),""),"")</f>
        <v>370.12323943662</v>
      </c>
      <c r="AA334" s="262">
        <f>IFERROR(IF(AND(COUNT(X69,Y69,Z69,AA69)=4,(X70+Y70+Z70+AA70)&lt;&gt;0),(X69+Y69+Z69+AA69)/-(X70+Y70+Z70+AA70),""),"")</f>
        <v>419.365671641791</v>
      </c>
      <c r="AB334" s="262">
        <f>IFERROR(IF(AND(COUNT(X69,Y69,Z69,AA69)=4,(X70+Y70+Z70+AA70)&lt;&gt;0),(X69+Y69+Z69+AA69)/-(X70+Y70+Z70+AA70),""),"")</f>
        <v>419.365671641791</v>
      </c>
      <c r="AC334" s="262">
        <f>IFERROR(IF(AND(COUNT(Y69,Z69,AA69,AC69)=4,(Y70+Z70+AA70+AC70)&lt;&gt;0),(Y69+Z69+AA69+AC69)/-(Y70+Z70+AA70+AC70),""),"")</f>
        <v>565.019230769231</v>
      </c>
      <c r="AD334" s="262">
        <f>IFERROR(IF(AND(COUNT(Z69,AA69,AC69,AD69)=4,(Z70+AA70+AC70+AD70)&lt;&gt;0),(Z69+AA69+AC69+AD69)/-(Z70+AA70+AC70+AD70),""),"")</f>
        <v>301.915422885572</v>
      </c>
      <c r="AE334" s="262">
        <f>IFERROR(IF(AND(COUNT(AA69,AC69,AD69,AE69)=4,(AA70+AC70+AD70+AE70)&lt;&gt;0),(AA69+AC69+AD69+AE69)/-(AA70+AC70+AD70+AE70),""),"")</f>
        <v>252.702647657841</v>
      </c>
      <c r="AF334" s="262">
        <f>IFERROR(IF(AND(COUNT(AB69,AD69,AE69,AF69)=4,(AB70+AD70+AE70+AF70)&lt;&gt;0),(AB69+AD69+AE69+AF69)/-(AB70+AD70+AE70+AF70),""),"")</f>
        <v>217.343298969072</v>
      </c>
      <c r="AG334" s="262">
        <f>IFERROR(IF(AND(COUNT(AC69,AD69,AE69,AF69)=4,(AC70+AD70+AE70+AF70)&lt;&gt;0),(AC69+AD69+AE69+AF69)/-(AC70+AD70+AE70+AF70),""),"")</f>
        <v>175.32472826087</v>
      </c>
      <c r="AH334" s="262">
        <f>IFERROR(IF(AND(COUNT(AD69,AF69,AG69,AH69)=4,(AD70+AF70+AG70+AH70)&lt;&gt;0),(AD69+AF69+AG69+AH69)/-(AD70+AF70+AG70+AH70),""),"")</f>
        <v>129.070021881838</v>
      </c>
      <c r="AI334" s="262">
        <f>IFERROR(IF(AND(COUNT(AE69,AG69,AH69,AI69)=4,(AE70+AG70+AH70+AI70)&lt;&gt;0),(AE69+AG69+AH69+AI69)/-(AE70+AG70+AH70+AI70),""),"")</f>
        <v>89.4918215613383</v>
      </c>
      <c r="AJ334" s="262" t="str">
        <f>IFERROR(IF(AND(COUNT(AF69,AH69,AI69,AJ69)=4,(AF70+AH70+AI70+AJ70)&lt;&gt;0),(AF69+AH69+AI69+AJ69)/-(AF70+AH70+AI70+AJ70),""),"")</f>
        <v/>
      </c>
      <c r="AK334" s="262" t="str">
        <f>IFERROR(IF(AND(COUNT(AH69,AI69,AJ69,AK69)=4,(AH70+AI70+AJ70+AK70)&lt;&gt;0),(AH69+AI69+AJ69+AK69)/-(AH70+AI70+AJ70+AK70),""),"")</f>
        <v/>
      </c>
      <c r="AL334" s="262" t="str">
        <f>IFERROR(IF(AND(COUNT(AH69,AI69,AJ69,AK69)=4,(AH70+AI70+AJ70+AK70)&lt;&gt;0),(AH69+AI69+AJ69+AK69)/-(AH70+AI70+AJ70+AK70),""),"")</f>
        <v/>
      </c>
      <c r="AM334" s="262" t="str">
        <f>IFERROR(IF(AND(COUNT(AI69,AJ69,AK69,AM69)=4,(AI70+AJ70+AK70+AM70)&lt;&gt;0),(AI69+AJ69+AK69+AM69)/-(AI70+AJ70+AK70+AM70),""),"")</f>
        <v/>
      </c>
      <c r="AN334" s="262" t="str">
        <f>IFERROR(IF(AND(COUNT(AJ69,AK69,AM69,AN69)=4,(AJ70+AK70+AM70+AN70)&lt;&gt;0),(AJ69+AK69+AM69+AN69)/-(AJ70+AK70+AM70+AN70),""),"")</f>
        <v/>
      </c>
      <c r="AO334" s="262" t="str">
        <f>IFERROR(IF(AND(COUNT(AK69,AM69,AN69,AO69)=4,(AK70+AM70+AN70+AO70)&lt;&gt;0),(AK69+AM69+AN69+AO69)/-(AK70+AM70+AN70+AO70),""),"")</f>
        <v/>
      </c>
      <c r="AP334" s="262" t="str">
        <f>IFERROR(IF(AND(COUNT(AM69,AN69,AO69,AP69)=4,(AM70+AN70+AO70+AP70)&lt;&gt;0),(AM69+AN69+AO69+AP69)/-(AM70+AN70+AO70+AP70),""),"")</f>
        <v/>
      </c>
      <c r="AQ334" s="262" t="str">
        <f>IFERROR(IF(AND(COUNT(AM69,AN69,AO69,AP69)=4,(AM70+AN70+AO70+AP70)&lt;&gt;0),(AM69+AN69+AO69+AP69)/-(AM70+AN70+AO70+AP70),""),"")</f>
        <v/>
      </c>
      <c r="AR334" s="262" t="str">
        <f>IFERROR(IF(AND(COUNT(AN69,AO69,AP69,AR69)=4,(AN70+AO70+AP70+AR70)&lt;&gt;0),(AN69+AO69+AP69+AR69)/-(AN70+AO70+AP70+AR70),""),"")</f>
        <v/>
      </c>
      <c r="AS334" s="262" t="str">
        <f>IFERROR(IF(AND(COUNT(AO69,AP69,AR69,AS69)=4,(AO70+AP70+AR70+AS70)&lt;&gt;0),(AO69+AP69+AR69+AS69)/-(AO70+AP70+AR70+AS70),""),"")</f>
        <v/>
      </c>
      <c r="AT334" s="262" t="str">
        <f>IFERROR(IF(AND(COUNT(AP69,AR69,AS69,AT69)=4,(AP70+AR70+AS70+AT70)&lt;&gt;0),(AP69+AR69+AS69+AT69)/-(AP70+AR70+AS70+AT70),""),"")</f>
        <v/>
      </c>
      <c r="AU334" s="262" t="str">
        <f>IFERROR(IF(AND(COUNT(AR69,AS69,AT69,AU69)=4,(AR70+AS70+AT70+AU70)&lt;&gt;0),(AR69+AS69+AT69+AU69)/-(AR70+AS70+AT70+AU70),""),"")</f>
        <v/>
      </c>
      <c r="AV334" s="262" t="str">
        <f>IFERROR(IF(AND(COUNT(AR69,AS69,AT69,AU69)=4,(AR70+AS70+AT70+AU70)&lt;&gt;0),(AR69+AS69+AT69+AU69)/-(AR70+AS70+AT70+AU70),""),"")</f>
        <v/>
      </c>
      <c r="AW334" s="262" t="str">
        <f>IFERROR(IF(AND(COUNT(AS69,AT69,AU69,AW69)=4,(AS70+AT70+AU70+AW70)&lt;&gt;0),(AS69+AT69+AU69+AW69)/-(AS70+AT70+AU70+AW70),""),"")</f>
        <v/>
      </c>
      <c r="AX334" s="262" t="str">
        <f>IFERROR(IF(AND(COUNT(AT69,AU69,AW69,AX69)=4,(AT70+AU70+AW70+AX70)&lt;&gt;0),(AT69+AU69+AW69+AX69)/-(AT70+AU70+AW70+AX70),""),"")</f>
        <v/>
      </c>
      <c r="AY334" s="262" t="str">
        <f>IFERROR(IF(AND(COUNT(AU69,AW69,AX69,AY69)=4,(AU70+AW70+AX70+AY70)&lt;&gt;0),(AU69+AW69+AX69+AY69)/-(AU70+AW70+AX70+AY70),""),"")</f>
        <v/>
      </c>
      <c r="AZ334" s="262" t="str">
        <f>IFERROR(IF(AND(COUNT(AW69,AX69,AY69,AZ69)=4,(AW70+AX70+AY70+AZ70)&lt;&gt;0),(AW69+AX69+AY69+AZ69)/-(AW70+AX70+AY70+AZ70),""),"")</f>
        <v/>
      </c>
      <c r="BA334" s="262" t="str">
        <f>IFERROR(IF(AND(COUNT(AW69,AX69,AY69,AZ69)=4,(AW70+AX70+AY70+AZ70)&lt;&gt;0),(AW69+AX69+AY69+AZ69)/-(AW70+AX70+AY70+AZ70),""),"")</f>
        <v/>
      </c>
      <c r="BB334" s="262" t="str">
        <f>IFERROR(IF(AND(COUNT(AX69,AY69,AZ69,BB69)=4,(AX70+AY70+AZ70+BB70)&lt;&gt;0),(AX69+AY69+AZ69+BB69)/-(AX70+AY70+AZ70+BB70),""),"")</f>
        <v/>
      </c>
      <c r="BC334" s="262" t="str">
        <f>IFERROR(IF(AND(COUNT(AY69,AZ69,BB69,BC69)=4,(AY70+AZ70+BB70+BC70)&lt;&gt;0),(AY69+AZ69+BB69+BC69)/-(AY70+AZ70+BB70+BC70),""),"")</f>
        <v/>
      </c>
      <c r="BD334" s="262" t="str">
        <f>IFERROR(IF(AND(COUNT(AZ69,BB69,BC69,BD69)=4,(AZ70+BB70+BC70+BD70)&lt;&gt;0),(AZ69+BB69+BC69+BD69)/-(AZ70+BB70+BC70+BD70),""),"")</f>
        <v/>
      </c>
      <c r="BE334" s="262" t="str">
        <f>IFERROR(IF(AND(COUNT(BB69,BC69,BD69,BE69)=4,(BB70+BC70+BD70+BE70)&lt;&gt;0),(BB69+BC69+BD69+BE69)/-(BB70+BC70+BD70+BE70),""),"")</f>
        <v/>
      </c>
      <c r="BF334" s="262" t="str">
        <f>IFERROR(IF(AND(COUNT(BB69,BC69,BD69,BE69)=4,(BB70+BC70+BD70+BE70)&lt;&gt;0),(BB69+BC69+BD69+BE69)/-(BB70+BC70+BD70+BE70),""),"")</f>
        <v/>
      </c>
      <c r="BG334" s="82" t="n"/>
      <c r="BH334" s="82" t="n"/>
      <c r="BI334" s="82" t="n"/>
      <c r="BJ334" s="82" t="n"/>
      <c r="BL334" s="82" t="n"/>
      <c r="BM334" s="82" t="n"/>
      <c r="BN334" s="82" t="n"/>
      <c r="BO334" s="82" t="n"/>
      <c r="BQ334" s="82" t="n"/>
      <c r="BR334" s="82" t="n"/>
      <c r="BS334" s="82" t="n"/>
      <c r="BT334" s="82" t="n"/>
      <c r="BV334" s="82" t="n"/>
      <c r="BW334" s="82" t="n"/>
      <c r="BX334" s="82" t="n"/>
      <c r="BY334" s="82" t="n"/>
      <c r="CA334" s="82" t="n"/>
      <c r="CB334" s="82" t="n"/>
      <c r="CC334" s="82" t="n"/>
      <c r="CD334" s="82" t="n"/>
      <c r="CF334" s="82" t="n"/>
      <c r="CG334" s="82" t="n"/>
      <c r="CH334" s="82" t="n"/>
      <c r="CI334" s="82" t="n"/>
      <c r="CK334" s="82" t="n"/>
      <c r="CL334" s="82" t="n"/>
      <c r="CM334" s="82" t="n"/>
      <c r="CN334" s="82" t="n"/>
      <c r="CP334" s="82" t="n"/>
      <c r="CQ334" s="82" t="n"/>
      <c r="CR334" s="82" t="n"/>
      <c r="CS334" s="82" t="n"/>
      <c r="CU334" s="82" t="n"/>
      <c r="CV334" s="82" t="n"/>
      <c r="CW334" s="82" t="n"/>
      <c r="CX334" s="82" t="n"/>
    </row>
    <row r="335" customFormat="1" s="77">
      <c r="A335" s="76" t="n"/>
      <c r="B335" s="76" t="n"/>
    </row>
    <row r="336" customFormat="1" s="77">
      <c r="A336" s="76" t="n"/>
      <c r="B336" s="76" t="n"/>
      <c r="C336" s="74" t="inlineStr">
        <is>
          <t>INTERNAL LIQUIDITY</t>
        </is>
      </c>
    </row>
    <row r="337" customFormat="1" s="77">
      <c r="A337" s="76" t="n"/>
      <c r="B337" s="76" t="n"/>
      <c r="C337" s="77" t="inlineStr">
        <is>
          <t>CURRENT RATIO</t>
        </is>
      </c>
      <c r="D337" s="82" t="str">
        <f>IFERROR(SUM(D140,D141,D145,D149,D150,D151)/SUM(D194,D198,D200,D201),"")</f>
        <v/>
      </c>
      <c r="E337" s="82" t="str">
        <f>IFERROR(SUM(E140,E141,E145,E149,E150,E151)/SUM(E194,E198,E200,E201),"")</f>
        <v/>
      </c>
      <c r="F337" s="82" t="str">
        <f>IFERROR(SUM(F140,F141,F145,F149,F150,F151)/SUM(F194,F198,F200,F201),"")</f>
        <v/>
      </c>
      <c r="G337" s="82" t="str">
        <f>IFERROR(SUM(G140,G141,G145,G149,G150,G151)/SUM(G194,G198,G200,G201),"")</f>
        <v/>
      </c>
      <c r="H337" s="262" t="str">
        <f>IFERROR(IF((N(H194)+N(H198)+N(H200)+N(H201)+N(H208)+N(H209)+N(H210))&lt;&gt;0,(N(H140)+(N(H141)+N(H145)+N(H149)+N(H150)+N(H151)))/(N(H194)+N(H198)+N(H200)+N(H201)+N(H208)+N(H209)+N(H210)),""),"")</f>
        <v/>
      </c>
      <c r="I337" s="262">
        <f>IFERROR(IF((N(I194)+N(I198)+N(I200)+N(I201)+N(I208)+N(I209)+N(I210))&lt;&gt;0,(N(I140)+(N(I141)+N(I145)+N(I149)+N(I150)+N(I151)))/(N(I194)+N(I198)+N(I200)+N(I201)+N(I208)+N(I209)+N(I210)),""),"")</f>
        <v>3.12455593024724</v>
      </c>
      <c r="J337" s="262">
        <f>IFERROR(IF((N(J194)+N(J198)+N(J200)+N(J201)+N(J208)+N(J209)+N(J210))&lt;&gt;0,(N(J140)+(N(J141)+N(J145)+N(J149)+N(J150)+N(J151)))/(N(J194)+N(J198)+N(J200)+N(J201)+N(J208)+N(J209)+N(J210)),""),"")</f>
        <v>3.17270949570334</v>
      </c>
      <c r="K337" s="262">
        <f>IFERROR(IF((N(K194)+N(K198)+N(K200)+N(K201)+N(K208)+N(K209)+N(K210))&lt;&gt;0,(N(K140)+(N(K141)+N(K145)+N(K149)+N(K150)+N(K151)))/(N(K194)+N(K198)+N(K200)+N(K201)+N(K208)+N(K209)+N(K210)),""),"")</f>
        <v>2.99933637629083</v>
      </c>
      <c r="L337" s="262">
        <f>IFERROR(IF((N(L194)+N(L198)+N(L200)+N(L201)+N(L208)+N(L209)+N(L210))&lt;&gt;0,(N(L140)+(N(L141)+N(L145)+N(L149)+N(L150)+N(L151)))/(N(L194)+N(L198)+N(L200)+N(L201)+N(L208)+N(L209)+N(L210)),""),"")</f>
        <v>2.94809661655306</v>
      </c>
      <c r="M337" s="262">
        <f>IFERROR(IF((N(M194)+N(M198)+N(M200)+N(M201)+N(M208)+N(M209)+N(M210))&lt;&gt;0,(N(M140)+(N(M141)+N(M145)+N(M149)+N(M150)+N(M151)))/(N(M194)+N(M198)+N(M200)+N(M201)+N(M208)+N(M209)+N(M210)),""),"")</f>
        <v>2.94809661655306</v>
      </c>
      <c r="N337" s="262">
        <f>IFERROR(IF((N(N194)+N(N198)+N(N200)+N(N201)+N(N208)+N(N209)+N(N210))&lt;&gt;0,(N(N140)+(N(N141)+N(N145)+N(N149)+N(N150)+N(N151)))/(N(N194)+N(N198)+N(N200)+N(N201)+N(N208)+N(N209)+N(N210)),""),"")</f>
        <v>2.89341060244076</v>
      </c>
      <c r="O337" s="262">
        <f>IFERROR(IF((N(O194)+N(O198)+N(O200)+N(O201)+N(O208)+N(O209)+N(O210))&lt;&gt;0,(N(O140)+(N(O141)+N(O145)+N(O149)+N(O150)+N(O151)))/(N(O194)+N(O198)+N(O200)+N(O201)+N(O208)+N(O209)+N(O210)),""),"")</f>
        <v>2.8337353717769</v>
      </c>
      <c r="P337" s="262">
        <f>IFERROR(IF((N(P194)+N(P198)+N(P200)+N(P201)+N(P208)+N(P209)+N(P210))&lt;&gt;0,(N(P140)+(N(P141)+N(P145)+N(P149)+N(P150)+N(P151)))/(N(P194)+N(P198)+N(P200)+N(P201)+N(P208)+N(P209)+N(P210)),""),"")</f>
        <v>2.56293669197775</v>
      </c>
      <c r="Q337" s="262">
        <f>IFERROR(IF((N(Q194)+N(Q198)+N(Q200)+N(Q201)+N(Q208)+N(Q209)+N(Q210))&lt;&gt;0,(N(Q140)+(N(Q141)+N(Q145)+N(Q149)+N(Q150)+N(Q151)))/(N(Q194)+N(Q198)+N(Q200)+N(Q201)+N(Q208)+N(Q209)+N(Q210)),""),"")</f>
        <v>2.45391053391053</v>
      </c>
      <c r="R337" s="262">
        <f>IFERROR(IF((N(R194)+N(R198)+N(R200)+N(R201)+N(R208)+N(R209)+N(R210))&lt;&gt;0,(N(R140)+(N(R141)+N(R145)+N(R149)+N(R150)+N(R151)))/(N(R194)+N(R198)+N(R200)+N(R201)+N(R208)+N(R209)+N(R210)),""),"")</f>
        <v>2.45391053391053</v>
      </c>
      <c r="S337" s="262">
        <f>IFERROR(IF((N(S194)+N(S198)+N(S200)+N(S201)+N(S208)+N(S209)+N(S210))&lt;&gt;0,(N(S140)+(N(S141)+N(S145)+N(S149)+N(S150)+N(S151)))/(N(S194)+N(S198)+N(S200)+N(S201)+N(S208)+N(S209)+N(S210)),""),"")</f>
        <v>2.4525808231911</v>
      </c>
      <c r="T337" s="262">
        <f>IFERROR(IF((N(T194)+N(T198)+N(T200)+N(T201)+N(T208)+N(T209)+N(T210))&lt;&gt;0,(N(T140)+(N(T141)+N(T145)+N(T149)+N(T150)+N(T151)))/(N(T194)+N(T198)+N(T200)+N(T201)+N(T208)+N(T209)+N(T210)),""),"")</f>
        <v>2.29246290648445</v>
      </c>
      <c r="U337" s="262">
        <f>IFERROR(IF((N(U194)+N(U198)+N(U200)+N(U201)+N(U208)+N(U209)+N(U210))&lt;&gt;0,(N(U140)+(N(U141)+N(U145)+N(U149)+N(U150)+N(U151)))/(N(U194)+N(U198)+N(U200)+N(U201)+N(U208)+N(U209)+N(U210)),""),"")</f>
        <v>2.17038067095428</v>
      </c>
      <c r="V337" s="262">
        <f>IFERROR(IF((N(V194)+N(V198)+N(V200)+N(V201)+N(V208)+N(V209)+N(V210))&lt;&gt;0,(N(V140)+(N(V141)+N(V145)+N(V149)+N(V150)+N(V151)))/(N(V194)+N(V198)+N(V200)+N(V201)+N(V208)+N(V209)+N(V210)),""),"")</f>
        <v>2.24532476104334</v>
      </c>
      <c r="W337" s="262">
        <f>IFERROR(IF((N(W194)+N(W198)+N(W200)+N(W201)+N(W208)+N(W209)+N(W210))&lt;&gt;0,(N(W140)+(N(W141)+N(W145)+N(W149)+N(W150)+N(W151)))/(N(W194)+N(W198)+N(W200)+N(W201)+N(W208)+N(W209)+N(W210)),""),"")</f>
        <v>2.24532476104334</v>
      </c>
      <c r="X337" s="262">
        <f>IFERROR(IF((N(X194)+N(X198)+N(X200)+N(X201)+N(X208)+N(X209)+N(X210))&lt;&gt;0,(N(X140)+(N(X141)+N(X145)+N(X149)+N(X150)+N(X151)))/(N(X194)+N(X198)+N(X200)+N(X201)+N(X208)+N(X209)+N(X210)),""),"")</f>
        <v>2.30084288998273</v>
      </c>
      <c r="Y337" s="262">
        <f>IFERROR(IF((N(Y194)+N(Y198)+N(Y200)+N(Y201)+N(Y208)+N(Y209)+N(Y210))&lt;&gt;0,(N(Y140)+(N(Y141)+N(Y145)+N(Y149)+N(Y150)+N(Y151)))/(N(Y194)+N(Y198)+N(Y200)+N(Y201)+N(Y208)+N(Y209)+N(Y210)),""),"")</f>
        <v>2.27116142363919</v>
      </c>
      <c r="Z337" s="262">
        <f>IFERROR(IF((N(Z194)+N(Z198)+N(Z200)+N(Z201)+N(Z208)+N(Z209)+N(Z210))&lt;&gt;0,(N(Z140)+(N(Z141)+N(Z145)+N(Z149)+N(Z150)+N(Z151)))/(N(Z194)+N(Z198)+N(Z200)+N(Z201)+N(Z208)+N(Z209)+N(Z210)),""),"")</f>
        <v>2.14665297080554</v>
      </c>
      <c r="AA337" s="262">
        <f>IFERROR(IF((N(AA194)+N(AA198)+N(AA200)+N(AA201)+N(AA208)+N(AA209)+N(AA210))&lt;&gt;0,(N(AA140)+(N(AA141)+N(AA145)+N(AA149)+N(AA150)+N(AA151)))/(N(AA194)+N(AA198)+N(AA200)+N(AA201)+N(AA208)+N(AA209)+N(AA210)),""),"")</f>
        <v>2.02970085949597</v>
      </c>
      <c r="AB337" s="262">
        <f>IFERROR(IF((N(AB194)+N(AB198)+N(AB200)+N(AB201)+N(AB208)+N(AB209)+N(AB210))&lt;&gt;0,(N(AB140)+(N(AB141)+N(AB145)+N(AB149)+N(AB150)+N(AB151)))/(N(AB194)+N(AB198)+N(AB200)+N(AB201)+N(AB208)+N(AB209)+N(AB210)),""),"")</f>
        <v>2.02970085949597</v>
      </c>
      <c r="AC337" s="262">
        <f>IFERROR(IF((N(AC194)+N(AC198)+N(AC200)+N(AC201)+N(AC208)+N(AC209)+N(AC210))&lt;&gt;0,(N(AC140)+(N(AC141)+N(AC145)+N(AC149)+N(AC150)+N(AC151)))/(N(AC194)+N(AC198)+N(AC200)+N(AC201)+N(AC208)+N(AC209)+N(AC210)),""),"")</f>
        <v>1.9686865821459</v>
      </c>
      <c r="AD337" s="262">
        <f>IFERROR(IF((N(AD194)+N(AD198)+N(AD200)+N(AD201)+N(AD208)+N(AD209)+N(AD210))&lt;&gt;0,(N(AD140)+(N(AD141)+N(AD145)+N(AD149)+N(AD150)+N(AD151)))/(N(AD194)+N(AD198)+N(AD200)+N(AD201)+N(AD208)+N(AD209)+N(AD210)),""),"")</f>
        <v>2.12467071354942</v>
      </c>
      <c r="AE337" s="262">
        <f>IFERROR(IF((N(AE194)+N(AE198)+N(AE200)+N(AE201)+N(AE208)+N(AE209)+N(AE210))&lt;&gt;0,(N(AE140)+(N(AE141)+N(AE145)+N(AE149)+N(AE150)+N(AE151)))/(N(AE194)+N(AE198)+N(AE200)+N(AE201)+N(AE208)+N(AE209)+N(AE210)),""),"")</f>
        <v>1.8511099949774</v>
      </c>
      <c r="AF337" s="262">
        <f>IFERROR(IF((N(AF194)+N(AF198)+N(AF200)+N(AF201)+N(AF208)+N(AF209)+N(AF210))&lt;&gt;0,(N(AF140)+(N(AF141)+N(AF145)+N(AF149)+N(AF150)+N(AF151)))/(N(AF194)+N(AF198)+N(AF200)+N(AF201)+N(AF208)+N(AF209)+N(AF210)),""),"")</f>
        <v>2.09402890651613</v>
      </c>
      <c r="AG337" s="262">
        <f>IFERROR(IF((N(AG194)+N(AG198)+N(AG200)+N(AG201)+N(AG208)+N(AG209)+N(AG210))&lt;&gt;0,(N(AG140)+(N(AG141)+N(AG145)+N(AG149)+N(AG150)+N(AG151)))/(N(AG194)+N(AG198)+N(AG200)+N(AG201)+N(AG208)+N(AG209)+N(AG210)),""),"")</f>
        <v>2.09402890651613</v>
      </c>
      <c r="AH337" s="262">
        <f>IFERROR(IF((N(AH194)+N(AH198)+N(AH200)+N(AH201)+N(AH208)+N(AH209)+N(AH210))&lt;&gt;0,(N(AH140)+(N(AH141)+N(AH145)+N(AH149)+N(AH150)+N(AH151)))/(N(AH194)+N(AH198)+N(AH200)+N(AH201)+N(AH208)+N(AH209)+N(AH210)),""),"")</f>
        <v>1.94038925063856</v>
      </c>
      <c r="AI337" s="262">
        <f>IFERROR(IF((N(AI194)+N(AI198)+N(AI200)+N(AI201)+N(AI208)+N(AI209)+N(AI210))&lt;&gt;0,(N(AI140)+(N(AI141)+N(AI145)+N(AI149)+N(AI150)+N(AI151)))/(N(AI194)+N(AI198)+N(AI200)+N(AI201)+N(AI208)+N(AI209)+N(AI210)),""),"")</f>
        <v>2.73546320305128</v>
      </c>
      <c r="AJ337" s="262">
        <f>IFERROR(IF((N(AJ194)+N(AJ198)+N(AJ200)+N(AJ201)+N(AJ208)+N(AJ209)+N(AJ210))&lt;&gt;0,(N(AJ140)+(N(AJ141)+N(AJ145)+N(AJ149)+N(AJ150)+N(AJ151)))/(N(AJ194)+N(AJ198)+N(AJ200)+N(AJ201)+N(AJ208)+N(AJ209)+N(AJ210)),""),"")</f>
        <v>2.81435433686273</v>
      </c>
      <c r="AK337" s="262">
        <f>IFERROR(IF((N(AK194)+N(AK198)+N(AK200)+N(AK201)+N(AK208)+N(AK209)+N(AK210))&lt;&gt;0,(N(AK140)+(N(AK141)+N(AK145)+N(AK149)+N(AK150)+N(AK151)))/(N(AK194)+N(AK198)+N(AK200)+N(AK201)+N(AK208)+N(AK209)+N(AK210)),""),"")</f>
        <v>2.77700619251485</v>
      </c>
      <c r="AL337" s="262">
        <f>IFERROR(IF((N(AL194)+N(AL198)+N(AL200)+N(AL201)+N(AL208)+N(AL209)+N(AL210))&lt;&gt;0,(N(AL140)+(N(AL141)+N(AL145)+N(AL149)+N(AL150)+N(AL151)))/(N(AL194)+N(AL198)+N(AL200)+N(AL201)+N(AL208)+N(AL209)+N(AL210)),""),"")</f>
        <v>2.77700619251485</v>
      </c>
      <c r="AM337" s="262">
        <f>IFERROR(IF((N(AM194)+N(AM198)+N(AM200)+N(AM201)+N(AM208)+N(AM209)+N(AM210))&lt;&gt;0,(N(AM140)+(N(AM141)+N(AM145)+N(AM149)+N(AM150)+N(AM151)))/(N(AM194)+N(AM198)+N(AM200)+N(AM201)+N(AM208)+N(AM209)+N(AM210)),""),"")</f>
        <v>2.72514107404849</v>
      </c>
      <c r="AN337" s="262">
        <f>IFERROR(IF((N(AN194)+N(AN198)+N(AN200)+N(AN201)+N(AN208)+N(AN209)+N(AN210))&lt;&gt;0,(N(AN140)+(N(AN141)+N(AN145)+N(AN149)+N(AN150)+N(AN151)))/(N(AN194)+N(AN198)+N(AN200)+N(AN201)+N(AN208)+N(AN209)+N(AN210)),""),"")</f>
        <v>2.65422652989631</v>
      </c>
      <c r="AO337" s="262">
        <f>IFERROR(IF((N(AO194)+N(AO198)+N(AO200)+N(AO201)+N(AO208)+N(AO209)+N(AO210))&lt;&gt;0,(N(AO140)+(N(AO141)+N(AO145)+N(AO149)+N(AO150)+N(AO151)))/(N(AO194)+N(AO198)+N(AO200)+N(AO201)+N(AO208)+N(AO209)+N(AO210)),""),"")</f>
        <v>2.57744815493031</v>
      </c>
      <c r="AP337" s="262">
        <f>IFERROR(IF((N(AP194)+N(AP198)+N(AP200)+N(AP201)+N(AP208)+N(AP209)+N(AP210))&lt;&gt;0,(N(AP140)+(N(AP141)+N(AP145)+N(AP149)+N(AP150)+N(AP151)))/(N(AP194)+N(AP198)+N(AP200)+N(AP201)+N(AP208)+N(AP209)+N(AP210)),""),"")</f>
        <v>2.49145853468429</v>
      </c>
      <c r="AQ337" s="262">
        <f>IFERROR(IF((N(AQ194)+N(AQ198)+N(AQ200)+N(AQ201)+N(AQ208)+N(AQ209)+N(AQ210))&lt;&gt;0,(N(AQ140)+(N(AQ141)+N(AQ145)+N(AQ149)+N(AQ150)+N(AQ151)))/(N(AQ194)+N(AQ198)+N(AQ200)+N(AQ201)+N(AQ208)+N(AQ209)+N(AQ210)),""),"")</f>
        <v>2.49145853468429</v>
      </c>
      <c r="AR337" s="262">
        <f>IFERROR(IF((N(AR194)+N(AR198)+N(AR200)+N(AR201)+N(AR208)+N(AR209)+N(AR210))&lt;&gt;0,(N(AR140)+(N(AR141)+N(AR145)+N(AR149)+N(AR150)+N(AR151)))/(N(AR194)+N(AR198)+N(AR200)+N(AR201)+N(AR208)+N(AR209)+N(AR210)),""),"")</f>
        <v>2.40854805256356</v>
      </c>
      <c r="AS337" s="262">
        <f>IFERROR(IF((N(AS194)+N(AS198)+N(AS200)+N(AS201)+N(AS208)+N(AS209)+N(AS210))&lt;&gt;0,(N(AS140)+(N(AS141)+N(AS145)+N(AS149)+N(AS150)+N(AS151)))/(N(AS194)+N(AS198)+N(AS200)+N(AS201)+N(AS208)+N(AS209)+N(AS210)),""),"")</f>
        <v>2.31987834241091</v>
      </c>
      <c r="AT337" s="262">
        <f>IFERROR(IF((N(AT194)+N(AT198)+N(AT200)+N(AT201)+N(AT208)+N(AT209)+N(AT210))&lt;&gt;0,(N(AT140)+(N(AT141)+N(AT145)+N(AT149)+N(AT150)+N(AT151)))/(N(AT194)+N(AT198)+N(AT200)+N(AT201)+N(AT208)+N(AT209)+N(AT210)),""),"")</f>
        <v>2.23320373954044</v>
      </c>
      <c r="AU337" s="262">
        <f>IFERROR(IF((N(AU194)+N(AU198)+N(AU200)+N(AU201)+N(AU208)+N(AU209)+N(AU210))&lt;&gt;0,(N(AU140)+(N(AU141)+N(AU145)+N(AU149)+N(AU150)+N(AU151)))/(N(AU194)+N(AU198)+N(AU200)+N(AU201)+N(AU208)+N(AU209)+N(AU210)),""),"")</f>
        <v>2.14774902984267</v>
      </c>
      <c r="AV337" s="262">
        <f>IFERROR(IF((N(AV194)+N(AV198)+N(AV200)+N(AV201)+N(AV208)+N(AV209)+N(AV210))&lt;&gt;0,(N(AV140)+(N(AV141)+N(AV145)+N(AV149)+N(AV150)+N(AV151)))/(N(AV194)+N(AV198)+N(AV200)+N(AV201)+N(AV208)+N(AV209)+N(AV210)),""),"")</f>
        <v>2.14774902984267</v>
      </c>
      <c r="AW337" s="262">
        <f>IFERROR(IF((N(AW194)+N(AW198)+N(AW200)+N(AW201)+N(AW208)+N(AW209)+N(AW210))&lt;&gt;0,(N(AW140)+(N(AW141)+N(AW145)+N(AW149)+N(AW150)+N(AW151)))/(N(AW194)+N(AW198)+N(AW200)+N(AW201)+N(AW208)+N(AW209)+N(AW210)),""),"")</f>
        <v>2.06731523693832</v>
      </c>
      <c r="AX337" s="262">
        <f>IFERROR(IF((N(AX194)+N(AX198)+N(AX200)+N(AX201)+N(AX208)+N(AX209)+N(AX210))&lt;&gt;0,(N(AX140)+(N(AX141)+N(AX145)+N(AX149)+N(AX150)+N(AX151)))/(N(AX194)+N(AX198)+N(AX200)+N(AX201)+N(AX208)+N(AX209)+N(AX210)),""),"")</f>
        <v>1.98915924484185</v>
      </c>
      <c r="AY337" s="262">
        <f>IFERROR(IF((N(AY194)+N(AY198)+N(AY200)+N(AY201)+N(AY208)+N(AY209)+N(AY210))&lt;&gt;0,(N(AY140)+(N(AY141)+N(AY145)+N(AY149)+N(AY150)+N(AY151)))/(N(AY194)+N(AY198)+N(AY200)+N(AY201)+N(AY208)+N(AY209)+N(AY210)),""),"")</f>
        <v>1.91422001028132</v>
      </c>
      <c r="AZ337" s="262">
        <f>IFERROR(IF((N(AZ194)+N(AZ198)+N(AZ200)+N(AZ201)+N(AZ208)+N(AZ209)+N(AZ210))&lt;&gt;0,(N(AZ140)+(N(AZ141)+N(AZ145)+N(AZ149)+N(AZ150)+N(AZ151)))/(N(AZ194)+N(AZ198)+N(AZ200)+N(AZ201)+N(AZ208)+N(AZ209)+N(AZ210)),""),"")</f>
        <v>1.84391999286346</v>
      </c>
      <c r="BA337" s="262">
        <f>IFERROR(IF((N(BA194)+N(BA198)+N(BA200)+N(BA201)+N(BA208)+N(BA209)+N(BA210))&lt;&gt;0,(N(BA140)+(N(BA141)+N(BA145)+N(BA149)+N(BA150)+N(BA151)))/(N(BA194)+N(BA198)+N(BA200)+N(BA201)+N(BA208)+N(BA209)+N(BA210)),""),"")</f>
        <v>1.84391999286346</v>
      </c>
      <c r="BB337" s="262">
        <f>IFERROR(IF((N(BB194)+N(BB198)+N(BB200)+N(BB201)+N(BB208)+N(BB209)+N(BB210))&lt;&gt;0,(N(BB140)+(N(BB141)+N(BB145)+N(BB149)+N(BB150)+N(BB151)))/(N(BB194)+N(BB198)+N(BB200)+N(BB201)+N(BB208)+N(BB209)+N(BB210)),""),"")</f>
        <v>1.77854110527179</v>
      </c>
      <c r="BC337" s="262">
        <f>IFERROR(IF((N(BC194)+N(BC198)+N(BC200)+N(BC201)+N(BC208)+N(BC209)+N(BC210))&lt;&gt;0,(N(BC140)+(N(BC141)+N(BC145)+N(BC149)+N(BC150)+N(BC151)))/(N(BC194)+N(BC198)+N(BC200)+N(BC201)+N(BC208)+N(BC209)+N(BC210)),""),"")</f>
        <v>1.71718247200081</v>
      </c>
      <c r="BD337" s="262">
        <f>IFERROR(IF((N(BD194)+N(BD198)+N(BD200)+N(BD201)+N(BD208)+N(BD209)+N(BD210))&lt;&gt;0,(N(BD140)+(N(BD141)+N(BD145)+N(BD149)+N(BD150)+N(BD151)))/(N(BD194)+N(BD198)+N(BD200)+N(BD201)+N(BD208)+N(BD209)+N(BD210)),""),"")</f>
        <v>1.65910009177989</v>
      </c>
      <c r="BE337" s="262">
        <f>IFERROR(IF((N(BE194)+N(BE198)+N(BE200)+N(BE201)+N(BE208)+N(BE209)+N(BE210))&lt;&gt;0,(N(BE140)+(N(BE141)+N(BE145)+N(BE149)+N(BE150)+N(BE151)))/(N(BE194)+N(BE198)+N(BE200)+N(BE201)+N(BE208)+N(BE209)+N(BE210)),""),"")</f>
        <v>1.60592696192059</v>
      </c>
      <c r="BF337" s="262">
        <f>IFERROR(IF((N(BF194)+N(BF198)+N(BF200)+N(BF201)+N(BF208)+N(BF209)+N(BF210))&lt;&gt;0,(N(BF140)+(N(BF141)+N(BF145)+N(BF149)+N(BF150)+N(BF151)))/(N(BF194)+N(BF198)+N(BF200)+N(BF201)+N(BF208)+N(BF209)+N(BF210)),""),"")</f>
        <v>1.60592696192059</v>
      </c>
      <c r="BG337" s="82" t="n"/>
      <c r="BH337" s="82" t="n"/>
      <c r="BI337" s="82" t="n"/>
      <c r="BJ337" s="82" t="n"/>
      <c r="BL337" s="82" t="n"/>
      <c r="BM337" s="82" t="n"/>
      <c r="BN337" s="82" t="n"/>
      <c r="BO337" s="82" t="n"/>
      <c r="BQ337" s="82" t="n"/>
      <c r="BR337" s="82" t="n"/>
      <c r="BS337" s="82" t="n"/>
      <c r="BT337" s="82" t="n"/>
      <c r="BV337" s="82" t="n"/>
      <c r="BW337" s="82" t="n"/>
      <c r="BX337" s="82" t="n"/>
      <c r="BY337" s="82" t="n"/>
      <c r="CA337" s="82" t="n"/>
      <c r="CB337" s="82" t="n"/>
      <c r="CC337" s="82" t="n"/>
      <c r="CD337" s="82" t="n"/>
      <c r="CF337" s="82" t="n"/>
      <c r="CG337" s="82" t="n"/>
      <c r="CH337" s="82" t="n"/>
      <c r="CI337" s="82" t="n"/>
      <c r="CK337" s="82" t="n"/>
      <c r="CL337" s="82" t="n"/>
      <c r="CM337" s="82" t="n"/>
      <c r="CN337" s="82" t="n"/>
      <c r="CP337" s="82" t="n"/>
      <c r="CQ337" s="82" t="n"/>
      <c r="CR337" s="82" t="n"/>
      <c r="CS337" s="82" t="n"/>
      <c r="CU337" s="82" t="n"/>
      <c r="CV337" s="82" t="n"/>
      <c r="CW337" s="82" t="n"/>
      <c r="CX337" s="82" t="n"/>
    </row>
    <row r="338" customFormat="1" s="77">
      <c r="A338" s="76" t="n"/>
      <c r="B338" s="76" t="n"/>
      <c r="C338" s="77" t="inlineStr">
        <is>
          <t>CASH RATIO</t>
        </is>
      </c>
      <c r="D338" s="82" t="str">
        <f>IFERROR(SUM(D140)/SUM(D194,D198,D200,D201),"")</f>
        <v/>
      </c>
      <c r="E338" s="82" t="str">
        <f>IFERROR(SUM(E140)/SUM(E194,E198,E200,E201),"")</f>
        <v/>
      </c>
      <c r="F338" s="82" t="str">
        <f>IFERROR(SUM(F140)/SUM(F194,F198,F200,F201),"")</f>
        <v/>
      </c>
      <c r="G338" s="82" t="str">
        <f>IFERROR(SUM(G140)/SUM(G194,G198,G200,G201),"")</f>
        <v/>
      </c>
      <c r="H338" s="262" t="str">
        <f>IFERROR(IF((N(H194)+N(H198)+N(H200)+N(H201)+N(H208)+N(H209)+N(H210))&lt;&gt;0,N(H140)/(N(H194)+N(H198)+N(H200)+N(H201)+N(H208)+N(H209)+N(H210)),""),"")</f>
        <v/>
      </c>
      <c r="I338" s="262">
        <f>IFERROR(IF((N(I194)+N(I198)+N(I200)+N(I201)+N(I208)+N(I209)+N(I210))&lt;&gt;0,N(I140)/(N(I194)+N(I198)+N(I200)+N(I201)+N(I208)+N(I209)+N(I210)),""),"")</f>
        <v>2.43636953816746</v>
      </c>
      <c r="J338" s="262">
        <f>IFERROR(IF((N(J194)+N(J198)+N(J200)+N(J201)+N(J208)+N(J209)+N(J210))&lt;&gt;0,N(J140)/(N(J194)+N(J198)+N(J200)+N(J201)+N(J208)+N(J209)+N(J210)),""),"")</f>
        <v>2.43739796559086</v>
      </c>
      <c r="K338" s="262">
        <f>IFERROR(IF((N(K194)+N(K198)+N(K200)+N(K201)+N(K208)+N(K209)+N(K210))&lt;&gt;0,N(K140)/(N(K194)+N(K198)+N(K200)+N(K201)+N(K208)+N(K209)+N(K210)),""),"")</f>
        <v>2.29845262374154</v>
      </c>
      <c r="L338" s="262">
        <f>IFERROR(IF((N(L194)+N(L198)+N(L200)+N(L201)+N(L208)+N(L209)+N(L210))&lt;&gt;0,N(L140)/(N(L194)+N(L198)+N(L200)+N(L201)+N(L208)+N(L209)+N(L210)),""),"")</f>
        <v>2.17338998350297</v>
      </c>
      <c r="M338" s="262">
        <f>IFERROR(IF((N(M194)+N(M198)+N(M200)+N(M201)+N(M208)+N(M209)+N(M210))&lt;&gt;0,N(M140)/(N(M194)+N(M198)+N(M200)+N(M201)+N(M208)+N(M209)+N(M210)),""),"")</f>
        <v>2.17338998350297</v>
      </c>
      <c r="N338" s="262">
        <f>IFERROR(IF((N(N194)+N(N198)+N(N200)+N(N201)+N(N208)+N(N209)+N(N210))&lt;&gt;0,N(N140)/(N(N194)+N(N198)+N(N200)+N(N201)+N(N208)+N(N209)+N(N210)),""),"")</f>
        <v>2.16262026215536</v>
      </c>
      <c r="O338" s="262">
        <f>IFERROR(IF((N(O194)+N(O198)+N(O200)+N(O201)+N(O208)+N(O209)+N(O210))&lt;&gt;0,N(O140)/(N(O194)+N(O198)+N(O200)+N(O201)+N(O208)+N(O209)+N(O210)),""),"")</f>
        <v>2.03730808097272</v>
      </c>
      <c r="P338" s="262">
        <f>IFERROR(IF((N(P194)+N(P198)+N(P200)+N(P201)+N(P208)+N(P209)+N(P210))&lt;&gt;0,N(P140)/(N(P194)+N(P198)+N(P200)+N(P201)+N(P208)+N(P209)+N(P210)),""),"")</f>
        <v>1.76206065566317</v>
      </c>
      <c r="Q338" s="262">
        <f>IFERROR(IF((N(Q194)+N(Q198)+N(Q200)+N(Q201)+N(Q208)+N(Q209)+N(Q210))&lt;&gt;0,N(Q140)/(N(Q194)+N(Q198)+N(Q200)+N(Q201)+N(Q208)+N(Q209)+N(Q210)),""),"")</f>
        <v>1.6415873015873</v>
      </c>
      <c r="R338" s="262">
        <f>IFERROR(IF((N(R194)+N(R198)+N(R200)+N(R201)+N(R208)+N(R209)+N(R210))&lt;&gt;0,N(R140)/(N(R194)+N(R198)+N(R200)+N(R201)+N(R208)+N(R209)+N(R210)),""),"")</f>
        <v>1.6415873015873</v>
      </c>
      <c r="S338" s="262">
        <f>IFERROR(IF((N(S194)+N(S198)+N(S200)+N(S201)+N(S208)+N(S209)+N(S210))&lt;&gt;0,N(S140)/(N(S194)+N(S198)+N(S200)+N(S201)+N(S208)+N(S209)+N(S210)),""),"")</f>
        <v>1.67168210997182</v>
      </c>
      <c r="T338" s="262">
        <f>IFERROR(IF((N(T194)+N(T198)+N(T200)+N(T201)+N(T208)+N(T209)+N(T210))&lt;&gt;0,N(T140)/(N(T194)+N(T198)+N(T200)+N(T201)+N(T208)+N(T209)+N(T210)),""),"")</f>
        <v>1.52275798170096</v>
      </c>
      <c r="U338" s="262">
        <f>IFERROR(IF((N(U194)+N(U198)+N(U200)+N(U201)+N(U208)+N(U209)+N(U210))&lt;&gt;0,N(U140)/(N(U194)+N(U198)+N(U200)+N(U201)+N(U208)+N(U209)+N(U210)),""),"")</f>
        <v>1.3898255982386</v>
      </c>
      <c r="V338" s="262">
        <f>IFERROR(IF((N(V194)+N(V198)+N(V200)+N(V201)+N(V208)+N(V209)+N(V210))&lt;&gt;0,N(V140)/(N(V194)+N(V198)+N(V200)+N(V201)+N(V208)+N(V209)+N(V210)),""),"")</f>
        <v>1.35570929180825</v>
      </c>
      <c r="W338" s="262">
        <f>IFERROR(IF((N(W194)+N(W198)+N(W200)+N(W201)+N(W208)+N(W209)+N(W210))&lt;&gt;0,N(W140)/(N(W194)+N(W198)+N(W200)+N(W201)+N(W208)+N(W209)+N(W210)),""),"")</f>
        <v>1.35570929180825</v>
      </c>
      <c r="X338" s="262">
        <f>IFERROR(IF((N(X194)+N(X198)+N(X200)+N(X201)+N(X208)+N(X209)+N(X210))&lt;&gt;0,N(X140)/(N(X194)+N(X198)+N(X200)+N(X201)+N(X208)+N(X209)+N(X210)),""),"")</f>
        <v>1.40382092808811</v>
      </c>
      <c r="Y338" s="262">
        <f>IFERROR(IF((N(Y194)+N(Y198)+N(Y200)+N(Y201)+N(Y208)+N(Y209)+N(Y210))&lt;&gt;0,N(Y140)/(N(Y194)+N(Y198)+N(Y200)+N(Y201)+N(Y208)+N(Y209)+N(Y210)),""),"")</f>
        <v>1.29278810981479</v>
      </c>
      <c r="Z338" s="262">
        <f>IFERROR(IF((N(Z194)+N(Z198)+N(Z200)+N(Z201)+N(Z208)+N(Z209)+N(Z210))&lt;&gt;0,N(Z140)/(N(Z194)+N(Z198)+N(Z200)+N(Z201)+N(Z208)+N(Z209)+N(Z210)),""),"")</f>
        <v>1.15379379478485</v>
      </c>
      <c r="AA338" s="262">
        <f>IFERROR(IF((N(AA194)+N(AA198)+N(AA200)+N(AA201)+N(AA208)+N(AA209)+N(AA210))&lt;&gt;0,N(AA140)/(N(AA194)+N(AA198)+N(AA200)+N(AA201)+N(AA208)+N(AA209)+N(AA210)),""),"")</f>
        <v>1.07332645138125</v>
      </c>
      <c r="AB338" s="262">
        <f>IFERROR(IF((N(AB194)+N(AB198)+N(AB200)+N(AB201)+N(AB208)+N(AB209)+N(AB210))&lt;&gt;0,N(AB140)/(N(AB194)+N(AB198)+N(AB200)+N(AB201)+N(AB208)+N(AB209)+N(AB210)),""),"")</f>
        <v>1.07332645138125</v>
      </c>
      <c r="AC338" s="262">
        <f>IFERROR(IF((N(AC194)+N(AC198)+N(AC200)+N(AC201)+N(AC208)+N(AC209)+N(AC210))&lt;&gt;0,N(AC140)/(N(AC194)+N(AC198)+N(AC200)+N(AC201)+N(AC208)+N(AC209)+N(AC210)),""),"")</f>
        <v>1.04008553909267</v>
      </c>
      <c r="AD338" s="262">
        <f>IFERROR(IF((N(AD194)+N(AD198)+N(AD200)+N(AD201)+N(AD208)+N(AD209)+N(AD210))&lt;&gt;0,N(AD140)/(N(AD194)+N(AD198)+N(AD200)+N(AD201)+N(AD208)+N(AD209)+N(AD210)),""),"")</f>
        <v>1.08977207650899</v>
      </c>
      <c r="AE338" s="262">
        <f>IFERROR(IF((N(AE194)+N(AE198)+N(AE200)+N(AE201)+N(AE208)+N(AE209)+N(AE210))&lt;&gt;0,N(AE140)/(N(AE194)+N(AE198)+N(AE200)+N(AE201)+N(AE208)+N(AE209)+N(AE210)),""),"")</f>
        <v>0.989412355600201</v>
      </c>
      <c r="AF338" s="262">
        <f>IFERROR(IF((N(AF194)+N(AF198)+N(AF200)+N(AF201)+N(AF208)+N(AF209)+N(AF210))&lt;&gt;0,N(AF140)/(N(AF194)+N(AF198)+N(AF200)+N(AF201)+N(AF208)+N(AF209)+N(AF210)),""),"")</f>
        <v>1.23454182685289</v>
      </c>
      <c r="AG338" s="262">
        <f>IFERROR(IF((N(AG194)+N(AG198)+N(AG200)+N(AG201)+N(AG208)+N(AG209)+N(AG210))&lt;&gt;0,N(AG140)/(N(AG194)+N(AG198)+N(AG200)+N(AG201)+N(AG208)+N(AG209)+N(AG210)),""),"")</f>
        <v>1.23454182685289</v>
      </c>
      <c r="AH338" s="262">
        <f>IFERROR(IF((N(AH194)+N(AH198)+N(AH200)+N(AH201)+N(AH208)+N(AH209)+N(AH210))&lt;&gt;0,N(AH140)/(N(AH194)+N(AH198)+N(AH200)+N(AH201)+N(AH208)+N(AH209)+N(AH210)),""),"")</f>
        <v>1.14077058675397</v>
      </c>
      <c r="AI338" s="262">
        <f>IFERROR(IF((N(AI194)+N(AI198)+N(AI200)+N(AI201)+N(AI208)+N(AI209)+N(AI210))&lt;&gt;0,N(AI140)/(N(AI194)+N(AI198)+N(AI200)+N(AI201)+N(AI208)+N(AI209)+N(AI210)),""),"")</f>
        <v>1.92270301559737</v>
      </c>
      <c r="AJ338" s="262">
        <f>IFERROR(IF((N(AJ194)+N(AJ198)+N(AJ200)+N(AJ201)+N(AJ208)+N(AJ209)+N(AJ210))&lt;&gt;0,N(AJ140)/(N(AJ194)+N(AJ198)+N(AJ200)+N(AJ201)+N(AJ208)+N(AJ209)+N(AJ210)),""),"")</f>
        <v>2.14196564160034</v>
      </c>
      <c r="AK338" s="262">
        <f>IFERROR(IF((N(AK194)+N(AK198)+N(AK200)+N(AK201)+N(AK208)+N(AK209)+N(AK210))&lt;&gt;0,N(AK140)/(N(AK194)+N(AK198)+N(AK200)+N(AK201)+N(AK208)+N(AK209)+N(AK210)),""),"")</f>
        <v>2.14900810185517</v>
      </c>
      <c r="AL338" s="262">
        <f>IFERROR(IF((N(AL194)+N(AL198)+N(AL200)+N(AL201)+N(AL208)+N(AL209)+N(AL210))&lt;&gt;0,N(AL140)/(N(AL194)+N(AL198)+N(AL200)+N(AL201)+N(AL208)+N(AL209)+N(AL210)),""),"")</f>
        <v>2.14900810185517</v>
      </c>
      <c r="AM338" s="262">
        <f>IFERROR(IF((N(AM194)+N(AM198)+N(AM200)+N(AM201)+N(AM208)+N(AM209)+N(AM210))&lt;&gt;0,N(AM140)/(N(AM194)+N(AM198)+N(AM200)+N(AM201)+N(AM208)+N(AM209)+N(AM210)),""),"")</f>
        <v>2.18435198316556</v>
      </c>
      <c r="AN338" s="262">
        <f>IFERROR(IF((N(AN194)+N(AN198)+N(AN200)+N(AN201)+N(AN208)+N(AN209)+N(AN210))&lt;&gt;0,N(AN140)/(N(AN194)+N(AN198)+N(AN200)+N(AN201)+N(AN208)+N(AN209)+N(AN210)),""),"")</f>
        <v>2.16063421838035</v>
      </c>
      <c r="AO338" s="262">
        <f>IFERROR(IF((N(AO194)+N(AO198)+N(AO200)+N(AO201)+N(AO208)+N(AO209)+N(AO210))&lt;&gt;0,N(AO140)/(N(AO194)+N(AO198)+N(AO200)+N(AO201)+N(AO208)+N(AO209)+N(AO210)),""),"")</f>
        <v>2.15242677378285</v>
      </c>
      <c r="AP338" s="262">
        <f>IFERROR(IF((N(AP194)+N(AP198)+N(AP200)+N(AP201)+N(AP208)+N(AP209)+N(AP210))&lt;&gt;0,N(AP140)/(N(AP194)+N(AP198)+N(AP200)+N(AP201)+N(AP208)+N(AP209)+N(AP210)),""),"")</f>
        <v>2.09544965008355</v>
      </c>
      <c r="AQ338" s="262">
        <f>IFERROR(IF((N(AQ194)+N(AQ198)+N(AQ200)+N(AQ201)+N(AQ208)+N(AQ209)+N(AQ210))&lt;&gt;0,N(AQ140)/(N(AQ194)+N(AQ198)+N(AQ200)+N(AQ201)+N(AQ208)+N(AQ209)+N(AQ210)),""),"")</f>
        <v>2.09544965008355</v>
      </c>
      <c r="AR338" s="262">
        <f>IFERROR(IF((N(AR194)+N(AR198)+N(AR200)+N(AR201)+N(AR208)+N(AR209)+N(AR210))&lt;&gt;0,N(AR140)/(N(AR194)+N(AR198)+N(AR200)+N(AR201)+N(AR208)+N(AR209)+N(AR210)),""),"")</f>
        <v>2.07308094620879</v>
      </c>
      <c r="AS338" s="262">
        <f>IFERROR(IF((N(AS194)+N(AS198)+N(AS200)+N(AS201)+N(AS208)+N(AS209)+N(AS210))&lt;&gt;0,N(AS140)/(N(AS194)+N(AS198)+N(AS200)+N(AS201)+N(AS208)+N(AS209)+N(AS210)),""),"")</f>
        <v>2.01094337821106</v>
      </c>
      <c r="AT338" s="262">
        <f>IFERROR(IF((N(AT194)+N(AT198)+N(AT200)+N(AT201)+N(AT208)+N(AT209)+N(AT210))&lt;&gt;0,N(AT140)/(N(AT194)+N(AT198)+N(AT200)+N(AT201)+N(AT208)+N(AT209)+N(AT210)),""),"")</f>
        <v>1.96793959140442</v>
      </c>
      <c r="AU338" s="262">
        <f>IFERROR(IF((N(AU194)+N(AU198)+N(AU200)+N(AU201)+N(AU208)+N(AU209)+N(AU210))&lt;&gt;0,N(AU140)/(N(AU194)+N(AU198)+N(AU200)+N(AU201)+N(AU208)+N(AU209)+N(AU210)),""),"")</f>
        <v>1.89974371322197</v>
      </c>
      <c r="AV338" s="262">
        <f>IFERROR(IF((N(AV194)+N(AV198)+N(AV200)+N(AV201)+N(AV208)+N(AV209)+N(AV210))&lt;&gt;0,N(AV140)/(N(AV194)+N(AV198)+N(AV200)+N(AV201)+N(AV208)+N(AV209)+N(AV210)),""),"")</f>
        <v>1.89974371322197</v>
      </c>
      <c r="AW338" s="262">
        <f>IFERROR(IF((N(AW194)+N(AW198)+N(AW200)+N(AW201)+N(AW208)+N(AW209)+N(AW210))&lt;&gt;0,N(AW140)/(N(AW194)+N(AW198)+N(AW200)+N(AW201)+N(AW208)+N(AW209)+N(AW210)),""),"")</f>
        <v>1.85658631947615</v>
      </c>
      <c r="AX338" s="262">
        <f>IFERROR(IF((N(AX194)+N(AX198)+N(AX200)+N(AX201)+N(AX208)+N(AX209)+N(AX210))&lt;&gt;0,N(AX140)/(N(AX194)+N(AX198)+N(AX200)+N(AX201)+N(AX208)+N(AX209)+N(AX210)),""),"")</f>
        <v>1.79611738621472</v>
      </c>
      <c r="AY338" s="262">
        <f>IFERROR(IF((N(AY194)+N(AY198)+N(AY200)+N(AY201)+N(AY208)+N(AY209)+N(AY210))&lt;&gt;0,N(AY140)/(N(AY194)+N(AY198)+N(AY200)+N(AY201)+N(AY208)+N(AY209)+N(AY210)),""),"")</f>
        <v>1.74847322316814</v>
      </c>
      <c r="AZ338" s="262">
        <f>IFERROR(IF((N(AZ194)+N(AZ198)+N(AZ200)+N(AZ201)+N(AZ208)+N(AZ209)+N(AZ210))&lt;&gt;0,N(AZ140)/(N(AZ194)+N(AZ198)+N(AZ200)+N(AZ201)+N(AZ208)+N(AZ209)+N(AZ210)),""),"")</f>
        <v>1.68823270788748</v>
      </c>
      <c r="BA338" s="262">
        <f>IFERROR(IF((N(BA194)+N(BA198)+N(BA200)+N(BA201)+N(BA208)+N(BA209)+N(BA210))&lt;&gt;0,N(BA140)/(N(BA194)+N(BA198)+N(BA200)+N(BA201)+N(BA208)+N(BA209)+N(BA210)),""),"")</f>
        <v>1.68823270788748</v>
      </c>
      <c r="BB338" s="262">
        <f>IFERROR(IF((N(BB194)+N(BB198)+N(BB200)+N(BB201)+N(BB208)+N(BB209)+N(BB210))&lt;&gt;0,N(BB140)/(N(BB194)+N(BB198)+N(BB200)+N(BB201)+N(BB208)+N(BB209)+N(BB210)),""),"")</f>
        <v>1.64666466377038</v>
      </c>
      <c r="BC338" s="262">
        <f>IFERROR(IF((N(BC194)+N(BC198)+N(BC200)+N(BC201)+N(BC208)+N(BC209)+N(BC210))&lt;&gt;0,N(BC140)/(N(BC194)+N(BC198)+N(BC200)+N(BC201)+N(BC208)+N(BC209)+N(BC210)),""),"")</f>
        <v>1.59588741014672</v>
      </c>
      <c r="BD338" s="262">
        <f>IFERROR(IF((N(BD194)+N(BD198)+N(BD200)+N(BD201)+N(BD208)+N(BD209)+N(BD210))&lt;&gt;0,N(BD140)/(N(BD194)+N(BD198)+N(BD200)+N(BD201)+N(BD208)+N(BD209)+N(BD210)),""),"")</f>
        <v>1.55478038514448</v>
      </c>
      <c r="BE338" s="262">
        <f>IFERROR(IF((N(BE194)+N(BE198)+N(BE200)+N(BE201)+N(BE208)+N(BE209)+N(BE210))&lt;&gt;0,N(BE140)/(N(BE194)+N(BE198)+N(BE200)+N(BE201)+N(BE208)+N(BE209)+N(BE210)),""),"")</f>
        <v>1.50742083696911</v>
      </c>
      <c r="BF338" s="262">
        <f>IFERROR(IF((N(BF194)+N(BF198)+N(BF200)+N(BF201)+N(BF208)+N(BF209)+N(BF210))&lt;&gt;0,N(BF140)/(N(BF194)+N(BF198)+N(BF200)+N(BF201)+N(BF208)+N(BF209)+N(BF210)),""),"")</f>
        <v>1.50742083696911</v>
      </c>
      <c r="BG338" s="82" t="n"/>
      <c r="BH338" s="82" t="n"/>
      <c r="BI338" s="82" t="n"/>
      <c r="BJ338" s="82" t="n"/>
      <c r="BL338" s="82" t="n"/>
      <c r="BM338" s="82" t="n"/>
      <c r="BN338" s="82" t="n"/>
      <c r="BO338" s="82" t="n"/>
      <c r="BQ338" s="82" t="n"/>
      <c r="BR338" s="82" t="n"/>
      <c r="BS338" s="82" t="n"/>
      <c r="BT338" s="82" t="n"/>
      <c r="BV338" s="82" t="n"/>
      <c r="BW338" s="82" t="n"/>
      <c r="BX338" s="82" t="n"/>
      <c r="BY338" s="82" t="n"/>
      <c r="CA338" s="82" t="n"/>
      <c r="CB338" s="82" t="n"/>
      <c r="CC338" s="82" t="n"/>
      <c r="CD338" s="82" t="n"/>
      <c r="CF338" s="82" t="n"/>
      <c r="CG338" s="82" t="n"/>
      <c r="CH338" s="82" t="n"/>
      <c r="CI338" s="82" t="n"/>
      <c r="CK338" s="82" t="n"/>
      <c r="CL338" s="82" t="n"/>
      <c r="CM338" s="82" t="n"/>
      <c r="CN338" s="82" t="n"/>
      <c r="CP338" s="82" t="n"/>
      <c r="CQ338" s="82" t="n"/>
      <c r="CR338" s="82" t="n"/>
      <c r="CS338" s="82" t="n"/>
      <c r="CU338" s="82" t="n"/>
      <c r="CV338" s="82" t="n"/>
      <c r="CW338" s="82" t="n"/>
      <c r="CX338" s="82" t="n"/>
    </row>
    <row r="339" customFormat="1" s="77">
      <c r="A339" s="76" t="n"/>
      <c r="B339" s="76" t="n"/>
    </row>
    <row r="340" customFormat="1" s="77">
      <c r="A340" s="76" t="n"/>
      <c r="B340" s="76" t="n"/>
      <c r="C340" s="74" t="inlineStr">
        <is>
          <t>OPERATING EFFICIENCY</t>
        </is>
      </c>
    </row>
    <row r="341" customFormat="1" s="84">
      <c r="A341" s="81" t="n"/>
      <c r="B341" s="81" t="n"/>
      <c r="C341" s="84" t="inlineStr">
        <is>
          <t>RETURN ON CAPITAL (ROIC) - LTM</t>
        </is>
      </c>
      <c r="D341" t="str">
        <f>IFERROR(D343/D346,"")</f>
        <v/>
      </c>
      <c r="E341" t="str">
        <f>IFERROR(E343/E346,"")</f>
        <v/>
      </c>
      <c r="F341" t="str">
        <f>IFERROR(F343/F346,"")</f>
        <v/>
      </c>
      <c r="G341" t="str">
        <f>IFERROR(G343/G346,"")</f>
        <v/>
      </c>
      <c r="H341" s="257" t="str">
        <f>IFERROR(IF(AND(COUNT(H343)=1,N(H346)&lt;&gt;0),(H343)/H346,""),"")</f>
        <v/>
      </c>
      <c r="I341" s="257" t="str">
        <f>""</f>
        <v/>
      </c>
      <c r="J341" s="257" t="str">
        <f>""</f>
        <v/>
      </c>
      <c r="K341" s="257" t="str">
        <f>""</f>
        <v/>
      </c>
      <c r="L341" s="257">
        <f>IFERROR(IF(AND(COUNT(I343,J343,K343,L343)=4,N(L346)&lt;&gt;0),(I343+J343+K343+L343)/L346,""),"")</f>
        <v>0.459683385584863</v>
      </c>
      <c r="M341" s="257">
        <f>IFERROR(IF(AND(COUNT(I343,J343,K343,L343)=4,N(M346)&lt;&gt;0),(I343+J343+K343+L343)/M346,""),"")</f>
        <v>0.459683385584863</v>
      </c>
      <c r="N341" s="257">
        <f>IFERROR(IF(AND(COUNT(J343,K343,L343,N343)=4,N(N346)&lt;&gt;0),(J343+K343+L343+N343)/N346,""),"")</f>
        <v>0.466591680274389</v>
      </c>
      <c r="O341" s="257">
        <f>IFERROR(IF(AND(COUNT(K343,L343,N343,O343)=4,N(O346)&lt;&gt;0),(K343+L343+N343+O343)/O346,""),"")</f>
        <v>0.441091652700506</v>
      </c>
      <c r="P341" s="257">
        <f>IFERROR(IF(AND(COUNT(L343,N343,O343,P343)=4,N(P346)&lt;&gt;0),(L343+N343+O343+P343)/P346,""),"")</f>
        <v>0.407406198179528</v>
      </c>
      <c r="Q341" s="257">
        <f>IFERROR(IF(AND(COUNT(N343,O343,P343,Q343)=4,N(Q346)&lt;&gt;0),(N343+O343+P343+Q343)/Q346,""),"")</f>
        <v>0.369940904941758</v>
      </c>
      <c r="R341" s="257">
        <f>IFERROR(IF(AND(COUNT(N343,O343,P343,Q343)=4,N(R346)&lt;&gt;0),(N343+O343+P343+Q343)/R346,""),"")</f>
        <v>0.369940904941758</v>
      </c>
      <c r="S341" s="257">
        <f>IFERROR(IF(AND(COUNT(O343,P343,Q343,S343)=4,N(S346)&lt;&gt;0),(O343+P343+Q343+S343)/S346,""),"")</f>
        <v>0.346474083976869</v>
      </c>
      <c r="T341" s="257">
        <f>IFERROR(IF(AND(COUNT(P343,Q343,S343,T343)=4,N(T346)&lt;&gt;0),(P343+Q343+S343+T343)/T346,""),"")</f>
        <v>0.351631507110119</v>
      </c>
      <c r="U341" s="257">
        <f>IFERROR(IF(AND(COUNT(Q343,S343,T343,U343)=4,N(U346)&lt;&gt;0),(Q343+S343+T343+U343)/U346,""),"")</f>
        <v>0.371766657619625</v>
      </c>
      <c r="V341" s="257">
        <f>IFERROR(IF(AND(COUNT(S343,T343,U343,V343)=4,N(V346)&lt;&gt;0),(S343+T343+U343+V343)/V346,""),"")</f>
        <v>0.365532599105608</v>
      </c>
      <c r="W341" s="257">
        <f>IFERROR(IF(AND(COUNT(S343,T343,U343,V343)=4,N(W346)&lt;&gt;0),(S343+T343+U343+V343)/W346,""),"")</f>
        <v>0.365532599105608</v>
      </c>
      <c r="X341" s="257">
        <f>IFERROR(IF(AND(COUNT(T343,U343,V343,X343)=4,N(X346)&lt;&gt;0),(T343+U343+V343+X343)/X346,""),"")</f>
        <v>0.377832456549737</v>
      </c>
      <c r="Y341" s="257">
        <f>IFERROR(IF(AND(COUNT(U343,V343,X343,Y343)=4,N(Y346)&lt;&gt;0),(U343+V343+X343+Y343)/Y346,""),"")</f>
        <v>0.375304670799445</v>
      </c>
      <c r="Z341" s="257">
        <f>IFERROR(IF(AND(COUNT(V343,X343,Y343,Z343)=4,N(Z346)&lt;&gt;0),(V343+X343+Y343+Z343)/Z346,""),"")</f>
        <v>0.360572878457589</v>
      </c>
      <c r="AA341" s="257">
        <f>IFERROR(IF(AND(COUNT(X343,Y343,Z343,AA343)=4,N(AA346)&lt;&gt;0),(X343+Y343+Z343+AA343)/AA346,""),"")</f>
        <v>0.37280047905872</v>
      </c>
      <c r="AB341" s="257">
        <f>IFERROR(IF(AND(COUNT(X343,Y343,Z343,AA343)=4,N(AB346)&lt;&gt;0),(X343+Y343+Z343+AA343)/AB346,""),"")</f>
        <v>0.37280047905872</v>
      </c>
      <c r="AC341" s="257">
        <f>IFERROR(IF(AND(COUNT(Y343,Z343,AA343,AC343)=4,N(AC346)&lt;&gt;0),(Y343+Z343+AA343+AC343)/AC346,""),"")</f>
        <v>0.35947047135519</v>
      </c>
      <c r="AD341" s="257">
        <f>IFERROR(IF(AND(COUNT(Z343,AA343,AC343,AD343)=4,N(AD346)&lt;&gt;0),(Z343+AA343+AC343+AD343)/AD346,""),"")</f>
        <v>0.331094362625366</v>
      </c>
      <c r="AE341" s="257">
        <f>IFERROR(IF(AND(COUNT(AA343,AC343,AD343,AE343)=4,N(AE346)&lt;&gt;0),(AA343+AC343+AD343+AE343)/AE346,""),"")</f>
        <v>0.315457434056652</v>
      </c>
      <c r="AF341" s="257">
        <f>IFERROR(IF(AND(COUNT(AB343,AD343,AE343,AF343)=4,N(AF346)&lt;&gt;0),(AB343+AD343+AE343+AF343)/AF346,""),"")</f>
        <v>0.507262984266455</v>
      </c>
      <c r="AG341" s="257">
        <f>IFERROR(IF(AND(COUNT(AC343,AD343,AE343,AF343)=4,N(AG346)&lt;&gt;0),(AC343+AD343+AE343+AF343)/AG346,""),"")</f>
        <v>0.309925652733144</v>
      </c>
      <c r="AH341" s="257">
        <f>IFERROR(IF(AND(COUNT(AD343,AF343,AG343,AH343)=4,N(AH346)&lt;&gt;0),(AD343+AF343+AG343+AH343)/AH346,""),"")</f>
        <v>0.445550082738686</v>
      </c>
      <c r="AI341" s="257">
        <f>IFERROR(IF(AND(COUNT(AE343,AG343,AH343,AI343)=4,N(AI346)&lt;&gt;0),(AE343+AG343+AH343+AI343)/AI346,""),"")</f>
        <v>0.369709961617439</v>
      </c>
      <c r="AJ341" s="257">
        <f>IFERROR(IF(AND(COUNT(AF343,AH343,AI343,AJ343)=4,N(AJ346)&lt;&gt;0),(AF343+AH343+AI343+AJ343)/AJ346,""),"")</f>
        <v>0.239631845289664</v>
      </c>
      <c r="AK341" s="257">
        <f>IFERROR(IF(AND(COUNT(AH343,AI343,AJ343,AK343)=4,N(AK346)&lt;&gt;0),(AH343+AI343+AJ343+AK343)/AK346,""),"")</f>
        <v>0.240916507604573</v>
      </c>
      <c r="AL341" s="257">
        <f>IFERROR(IF(AND(COUNT(AH343,AI343,AJ343,AK343)=4,N(AL346)&lt;&gt;0),(AH343+AI343+AJ343+AK343)/AL346,""),"")</f>
        <v>0.240916507604573</v>
      </c>
      <c r="AM341" s="257">
        <f>IFERROR(IF(AND(COUNT(AI343,AJ343,AK343,AM343)=4,N(AM346)&lt;&gt;0),(AI343+AJ343+AK343+AM343)/AM346,""),"")</f>
        <v>0.244113905469886</v>
      </c>
      <c r="AN341" s="257">
        <f>IFERROR(IF(AND(COUNT(AJ343,AK343,AM343,AN343)=4,N(AN346)&lt;&gt;0),(AJ343+AK343+AM343+AN343)/AN346,""),"")</f>
        <v>0.249525092901846</v>
      </c>
      <c r="AO341" s="257">
        <f>IFERROR(IF(AND(COUNT(AK343,AM343,AN343,AO343)=4,N(AO346)&lt;&gt;0),(AK343+AM343+AN343+AO343)/AO346,""),"")</f>
        <v>0.25964558152191</v>
      </c>
      <c r="AP341" s="257">
        <f>IFERROR(IF(AND(COUNT(AM343,AN343,AO343,AP343)=4,N(AP346)&lt;&gt;0),(AM343+AN343+AO343+AP343)/AP346,""),"")</f>
        <v>0.268315925996982</v>
      </c>
      <c r="AQ341" s="257">
        <f>IFERROR(IF(AND(COUNT(AM343,AN343,AO343,AP343)=4,N(AQ346)&lt;&gt;0),(AM343+AN343+AO343+AP343)/AQ346,""),"")</f>
        <v>0.268315925996982</v>
      </c>
      <c r="AR341" s="257">
        <f>IFERROR(IF(AND(COUNT(AN343,AO343,AP343,AR343)=4,N(AR346)&lt;&gt;0),(AN343+AO343+AP343+AR343)/AR346,""),"")</f>
        <v>0.284062143591854</v>
      </c>
      <c r="AS341" s="257">
        <f>IFERROR(IF(AND(COUNT(AO343,AP343,AR343,AS343)=4,N(AS346)&lt;&gt;0),(AO343+AP343+AR343+AS343)/AS346,""),"")</f>
        <v>0.29932052972134</v>
      </c>
      <c r="AT341" s="257">
        <f>IFERROR(IF(AND(COUNT(AP343,AR343,AS343,AT343)=4,N(AT346)&lt;&gt;0),(AP343+AR343+AS343+AT343)/AT346,""),"")</f>
        <v>0.324097016220612</v>
      </c>
      <c r="AU341" s="257">
        <f>IFERROR(IF(AND(COUNT(AR343,AS343,AT343,AU343)=4,N(AU346)&lt;&gt;0),(AR343+AS343+AT343+AU343)/AU346,""),"")</f>
        <v>0.350551158009297</v>
      </c>
      <c r="AV341" s="257">
        <f>IFERROR(IF(AND(COUNT(AR343,AS343,AT343,AU343)=4,N(AV346)&lt;&gt;0),(AR343+AS343+AT343+AU343)/AV346,""),"")</f>
        <v>0.350551158009297</v>
      </c>
      <c r="AW341" s="257">
        <f>IFERROR(IF(AND(COUNT(AS343,AT343,AU343,AW343)=4,N(AW346)&lt;&gt;0),(AS343+AT343+AU343+AW343)/AW346,""),"")</f>
        <v>0.395544648636801</v>
      </c>
      <c r="AX341" s="257">
        <f>IFERROR(IF(AND(COUNT(AT343,AU343,AW343,AX343)=4,N(AX346)&lt;&gt;0),(AT343+AU343+AW343+AX343)/AX346,""),"")</f>
        <v>0.452227145171658</v>
      </c>
      <c r="AY341" s="257">
        <f>IFERROR(IF(AND(COUNT(AU343,AW343,AX343,AY343)=4,N(AY346)&lt;&gt;0),(AU343+AW343+AX343+AY343)/AY346,""),"")</f>
        <v>0.55355152568812</v>
      </c>
      <c r="AZ341" s="257">
        <f>IFERROR(IF(AND(COUNT(AW343,AX343,AY343,AZ343)=4,N(AZ346)&lt;&gt;0),(AW343+AX343+AY343+AZ343)/AZ346,""),"")</f>
        <v>0.708701428223841</v>
      </c>
      <c r="BA341" s="257">
        <f>IFERROR(IF(AND(COUNT(AW343,AX343,AY343,AZ343)=4,N(BA346)&lt;&gt;0),(AW343+AX343+AY343+AZ343)/BA346,""),"")</f>
        <v>0.708701428223841</v>
      </c>
      <c r="BB341" s="257">
        <f>IFERROR(IF(AND(COUNT(AX343,AY343,AZ343,BB343)=4,N(BB346)&lt;&gt;0),(AX343+AY343+AZ343+BB343)/BB346,""),"")</f>
        <v>1.10655249507926</v>
      </c>
      <c r="BC341" s="257">
        <f>IFERROR(IF(AND(COUNT(AY343,AZ343,BB343,BC343)=4,N(BC346)&lt;&gt;0),(AY343+AZ343+BB343+BC343)/BC346,""),"")</f>
        <v>2.5715236139241</v>
      </c>
      <c r="BD341" s="257">
        <f>IFERROR(IF(AND(COUNT(AZ343,BB343,BC343,BD343)=4,N(BD346)&lt;&gt;0),(AZ343+BB343+BC343+BD343)/BD346,""),"")</f>
        <v>-4.19932908322797</v>
      </c>
      <c r="BE341" s="257">
        <f>IFERROR(IF(AND(COUNT(BB343,BC343,BD343,BE343)=4,N(BE346)&lt;&gt;0),(BB343+BC343+BD343+BE343)/BE346,""),"")</f>
        <v>-1.1432191615145</v>
      </c>
      <c r="BF341" s="257">
        <f>IFERROR(IF(AND(COUNT(BB343,BC343,BD343,BE343)=4,N(BF346)&lt;&gt;0),(BB343+BC343+BD343+BE343)/BF346,""),"")</f>
        <v>-1.1432191615145</v>
      </c>
      <c r="BG341" s="81" t="n"/>
      <c r="BH341" s="81" t="n"/>
      <c r="BI341" s="81" t="n"/>
      <c r="BJ341" s="81" t="n"/>
      <c r="BL341" s="81" t="n"/>
      <c r="BM341" s="81" t="n"/>
      <c r="BN341" s="81" t="n"/>
      <c r="BO341" s="81" t="n"/>
      <c r="BQ341" s="81" t="n"/>
      <c r="BR341" s="81" t="n"/>
      <c r="BS341" s="81" t="n"/>
      <c r="BT341" s="81" t="n"/>
      <c r="BV341" s="81" t="n"/>
      <c r="BW341" s="81" t="n"/>
      <c r="BX341" s="81" t="n"/>
      <c r="BY341" s="81" t="n"/>
      <c r="CA341" s="81" t="n"/>
      <c r="CB341" s="81" t="n"/>
      <c r="CC341" s="81" t="n"/>
      <c r="CD341" s="81" t="n"/>
      <c r="CF341" s="81" t="n"/>
      <c r="CG341" s="81" t="n"/>
      <c r="CH341" s="81" t="n"/>
      <c r="CI341" s="81" t="n"/>
      <c r="CK341" s="81" t="n"/>
      <c r="CL341" s="81" t="n"/>
      <c r="CM341" s="81" t="n"/>
      <c r="CN341" s="81" t="n"/>
      <c r="CP341" s="81" t="n"/>
      <c r="CQ341" s="81" t="n"/>
      <c r="CR341" s="81" t="n"/>
      <c r="CS341" s="81" t="n"/>
      <c r="CU341" s="81" t="n"/>
      <c r="CV341" s="81" t="n"/>
      <c r="CW341" s="81" t="n"/>
      <c r="CX341" s="81" t="n"/>
    </row>
    <row r="342" customFormat="1" s="84">
      <c r="A342" s="81" t="n"/>
      <c r="B342" s="81" t="n"/>
      <c r="C342" s="84" t="inlineStr">
        <is>
          <t>RETURN ON CAPITAL (ROIC) - EX GOODWILL - LTM</t>
        </is>
      </c>
      <c r="D342" t="str">
        <f>IFERROR(D343/D347,"")</f>
        <v/>
      </c>
      <c r="E342" t="str">
        <f>IFERROR(E343/E347,"")</f>
        <v/>
      </c>
      <c r="F342" t="str">
        <f>IFERROR(F343/F347,"")</f>
        <v/>
      </c>
      <c r="G342" t="str">
        <f>IFERROR(G343/G347,"")</f>
        <v/>
      </c>
      <c r="H342" s="257" t="str">
        <f>IFERROR(IF(AND(COUNT(H343)=1,N(H347)&lt;&gt;0),(H343)/H347,""),"")</f>
        <v/>
      </c>
      <c r="I342" s="257" t="str">
        <f>""</f>
        <v/>
      </c>
      <c r="J342" s="257" t="str">
        <f>""</f>
        <v/>
      </c>
      <c r="K342" s="257" t="str">
        <f>""</f>
        <v/>
      </c>
      <c r="L342" s="257">
        <f>IFERROR(IF(AND(COUNT(I343,J343,K343,L343)=4,N(L347)&lt;&gt;0),(I343+J343+K343+L343)/L347,""),"")</f>
        <v>0.547261019136075</v>
      </c>
      <c r="M342" s="257">
        <f>IFERROR(IF(AND(COUNT(I343,J343,K343,L343)=4,N(M347)&lt;&gt;0),(I343+J343+K343+L343)/M347,""),"")</f>
        <v>0.547261019136075</v>
      </c>
      <c r="N342" s="257">
        <f>IFERROR(IF(AND(COUNT(J343,K343,L343,N343)=4,N(N347)&lt;&gt;0),(J343+K343+L343+N343)/N347,""),"")</f>
        <v>0.551786009498199</v>
      </c>
      <c r="O342" s="257">
        <f>IFERROR(IF(AND(COUNT(K343,L343,N343,O343)=4,N(O347)&lt;&gt;0),(K343+L343+N343+O343)/O347,""),"")</f>
        <v>0.520026584034191</v>
      </c>
      <c r="P342" s="257">
        <f>IFERROR(IF(AND(COUNT(L343,N343,O343,P343)=4,N(P347)&lt;&gt;0),(L343+N343+O343+P343)/P347,""),"")</f>
        <v>0.494007722133854</v>
      </c>
      <c r="Q342" s="257">
        <f>IFERROR(IF(AND(COUNT(N343,O343,P343,Q343)=4,N(Q347)&lt;&gt;0),(N343+O343+P343+Q343)/Q347,""),"")</f>
        <v>0.445848800810435</v>
      </c>
      <c r="R342" s="257">
        <f>IFERROR(IF(AND(COUNT(N343,O343,P343,Q343)=4,N(R347)&lt;&gt;0),(N343+O343+P343+Q343)/R347,""),"")</f>
        <v>0.445848800810435</v>
      </c>
      <c r="S342" s="257">
        <f>IFERROR(IF(AND(COUNT(O343,P343,Q343,S343)=4,N(S347)&lt;&gt;0),(O343+P343+Q343+S343)/S347,""),"")</f>
        <v>0.416315219651007</v>
      </c>
      <c r="T342" s="257">
        <f>IFERROR(IF(AND(COUNT(P343,Q343,S343,T343)=4,N(T347)&lt;&gt;0),(P343+Q343+S343+T343)/T347,""),"")</f>
        <v>0.421690141855062</v>
      </c>
      <c r="U342" s="257">
        <f>IFERROR(IF(AND(COUNT(Q343,S343,T343,U343)=4,N(U347)&lt;&gt;0),(Q343+S343+T343+U343)/U347,""),"")</f>
        <v>0.44353451430913</v>
      </c>
      <c r="V342" s="257">
        <f>IFERROR(IF(AND(COUNT(S343,T343,U343,V343)=4,N(V347)&lt;&gt;0),(S343+T343+U343+V343)/V347,""),"")</f>
        <v>0.42851284156966</v>
      </c>
      <c r="W342" s="257">
        <f>IFERROR(IF(AND(COUNT(S343,T343,U343,V343)=4,N(W347)&lt;&gt;0),(S343+T343+U343+V343)/W347,""),"")</f>
        <v>0.42851284156966</v>
      </c>
      <c r="X342" s="257">
        <f>IFERROR(IF(AND(COUNT(T343,U343,V343,X343)=4,N(X347)&lt;&gt;0),(T343+U343+V343+X343)/X347,""),"")</f>
        <v>0.438669815326902</v>
      </c>
      <c r="Y342" s="257">
        <f>IFERROR(IF(AND(COUNT(U343,V343,X343,Y343)=4,N(Y347)&lt;&gt;0),(U343+V343+X343+Y343)/Y347,""),"")</f>
        <v>0.431044784675265</v>
      </c>
      <c r="Z342" s="257">
        <f>IFERROR(IF(AND(COUNT(V343,X343,Y343,Z343)=4,N(Z347)&lt;&gt;0),(V343+X343+Y343+Z343)/Z347,""),"")</f>
        <v>0.414478786269186</v>
      </c>
      <c r="AA342" s="257">
        <f>IFERROR(IF(AND(COUNT(X343,Y343,Z343,AA343)=4,N(AA347)&lt;&gt;0),(X343+Y343+Z343+AA343)/AA347,""),"")</f>
        <v>0.42680265643241</v>
      </c>
      <c r="AB342" s="257">
        <f>IFERROR(IF(AND(COUNT(X343,Y343,Z343,AA343)=4,N(AB347)&lt;&gt;0),(X343+Y343+Z343+AA343)/AB347,""),"")</f>
        <v>0.42680265643241</v>
      </c>
      <c r="AC342" s="257">
        <f>IFERROR(IF(AND(COUNT(Y343,Z343,AA343,AC343)=4,N(AC347)&lt;&gt;0),(Y343+Z343+AA343+AC343)/AC347,""),"")</f>
        <v>0.407592817607886</v>
      </c>
      <c r="AD342" s="257">
        <f>IFERROR(IF(AND(COUNT(Z343,AA343,AC343,AD343)=4,N(AD347)&lt;&gt;0),(Z343+AA343+AC343+AD343)/AD347,""),"")</f>
        <v>0.370600828556062</v>
      </c>
      <c r="AE342" s="257">
        <f>IFERROR(IF(AND(COUNT(AA343,AC343,AD343,AE343)=4,N(AE347)&lt;&gt;0),(AA343+AC343+AD343+AE343)/AE347,""),"")</f>
        <v>0.351795412948437</v>
      </c>
      <c r="AF342" s="257">
        <f>IFERROR(IF(AND(COUNT(AB343,AD343,AE343,AF343)=4,N(AF347)&lt;&gt;0),(AB343+AD343+AE343+AF343)/AF347,""),"")</f>
        <v>0.561130820016486</v>
      </c>
      <c r="AG342" s="257">
        <f>IFERROR(IF(AND(COUNT(AC343,AD343,AE343,AF343)=4,N(AG347)&lt;&gt;0),(AC343+AD343+AE343+AF343)/AG347,""),"")</f>
        <v>0.342837622803841</v>
      </c>
      <c r="AH342" s="257">
        <f>IFERROR(IF(AND(COUNT(AD343,AF343,AG343,AH343)=4,N(AH347)&lt;&gt;0),(AD343+AF343+AG343+AH343)/AH347,""),"")</f>
        <v>0.512477122903798</v>
      </c>
      <c r="AI342" s="257">
        <f>IFERROR(IF(AND(COUNT(AE343,AG343,AH343,AI343)=4,N(AI347)&lt;&gt;0),(AE343+AG343+AH343+AI343)/AI347,""),"")</f>
        <v>0.414648380629853</v>
      </c>
      <c r="AJ342" s="257">
        <f>IFERROR(IF(AND(COUNT(AF343,AH343,AI343,AJ343)=4,N(AJ347)&lt;&gt;0),(AF343+AH343+AI343+AJ343)/AJ347,""),"")</f>
        <v>0.268326354774766</v>
      </c>
      <c r="AK342" s="257">
        <f>IFERROR(IF(AND(COUNT(AH343,AI343,AJ343,AK343)=4,N(AK347)&lt;&gt;0),(AH343+AI343+AJ343+AK343)/AK347,""),"")</f>
        <v>0.268755365912678</v>
      </c>
      <c r="AL342" s="257">
        <f>IFERROR(IF(AND(COUNT(AH343,AI343,AJ343,AK343)=4,N(AL347)&lt;&gt;0),(AH343+AI343+AJ343+AK343)/AL347,""),"")</f>
        <v>0.268755365912678</v>
      </c>
      <c r="AM342" s="257">
        <f>IFERROR(IF(AND(COUNT(AI343,AJ343,AK343,AM343)=4,N(AM347)&lt;&gt;0),(AI343+AJ343+AK343+AM343)/AM347,""),"")</f>
        <v>0.27199648575835</v>
      </c>
      <c r="AN342" s="257">
        <f>IFERROR(IF(AND(COUNT(AJ343,AK343,AM343,AN343)=4,N(AN347)&lt;&gt;0),(AJ343+AK343+AM343+AN343)/AN347,""),"")</f>
        <v>0.277480636942542</v>
      </c>
      <c r="AO342" s="257">
        <f>IFERROR(IF(AND(COUNT(AK343,AM343,AN343,AO343)=4,N(AO347)&lt;&gt;0),(AK343+AM343+AN343+AO343)/AO347,""),"")</f>
        <v>0.288737596361852</v>
      </c>
      <c r="AP342" s="257">
        <f>IFERROR(IF(AND(COUNT(AM343,AN343,AO343,AP343)=4,N(AP347)&lt;&gt;0),(AM343+AN343+AO343+AP343)/AP347,""),"")</f>
        <v>0.298063401209758</v>
      </c>
      <c r="AQ342" s="257">
        <f>IFERROR(IF(AND(COUNT(AM343,AN343,AO343,AP343)=4,N(AQ347)&lt;&gt;0),(AM343+AN343+AO343+AP343)/AQ347,""),"")</f>
        <v>0.298063401209758</v>
      </c>
      <c r="AR342" s="257">
        <f>IFERROR(IF(AND(COUNT(AN343,AO343,AP343,AR343)=4,N(AR347)&lt;&gt;0),(AN343+AO343+AP343+AR343)/AR347,""),"")</f>
        <v>0.316222959537368</v>
      </c>
      <c r="AS342" s="257">
        <f>IFERROR(IF(AND(COUNT(AO343,AP343,AR343,AS343)=4,N(AS347)&lt;&gt;0),(AO343+AP343+AR343+AS343)/AS347,""),"")</f>
        <v>0.333676945327799</v>
      </c>
      <c r="AT342" s="257">
        <f>IFERROR(IF(AND(COUNT(AP343,AR343,AS343,AT343)=4,N(AT347)&lt;&gt;0),(AP343+AR343+AS343+AT343)/AT347,""),"")</f>
        <v>0.363035699050481</v>
      </c>
      <c r="AU342" s="257">
        <f>IFERROR(IF(AND(COUNT(AR343,AS343,AT343,AU343)=4,N(AU347)&lt;&gt;0),(AR343+AS343+AT343+AU343)/AU347,""),"")</f>
        <v>0.394462207244651</v>
      </c>
      <c r="AV342" s="257">
        <f>IFERROR(IF(AND(COUNT(AR343,AS343,AT343,AU343)=4,N(AV347)&lt;&gt;0),(AR343+AS343+AT343+AU343)/AV347,""),"")</f>
        <v>0.394462207244651</v>
      </c>
      <c r="AW342" s="257">
        <f>IFERROR(IF(AND(COUNT(AS343,AT343,AU343,AW343)=4,N(AW347)&lt;&gt;0),(AS343+AT343+AU343+AW343)/AW347,""),"")</f>
        <v>0.45001207328273</v>
      </c>
      <c r="AX342" s="257">
        <f>IFERROR(IF(AND(COUNT(AT343,AU343,AW343,AX343)=4,N(AX347)&lt;&gt;0),(AT343+AU343+AW343+AX343)/AX347,""),"")</f>
        <v>0.521660071723981</v>
      </c>
      <c r="AY342" s="257">
        <f>IFERROR(IF(AND(COUNT(AU343,AW343,AX343,AY343)=4,N(AY347)&lt;&gt;0),(AU343+AW343+AX343+AY343)/AY347,""),"")</f>
        <v>0.656570741701807</v>
      </c>
      <c r="AZ342" s="257">
        <f>IFERROR(IF(AND(COUNT(AW343,AX343,AY343,AZ343)=4,N(AZ347)&lt;&gt;0),(AW343+AX343+AY343+AZ343)/AZ347,""),"")</f>
        <v>0.87814561746483</v>
      </c>
      <c r="BA342" s="257">
        <f>IFERROR(IF(AND(COUNT(AW343,AX343,AY343,AZ343)=4,N(BA347)&lt;&gt;0),(AW343+AX343+AY343+AZ343)/BA347,""),"")</f>
        <v>0.87814561746483</v>
      </c>
      <c r="BB342" s="257">
        <f>IFERROR(IF(AND(COUNT(AX343,AY343,AZ343,BB343)=4,N(BB347)&lt;&gt;0),(AX343+AY343+AZ343+BB343)/BB347,""),"")</f>
        <v>1.55991459851727</v>
      </c>
      <c r="BC342" s="257">
        <f>IFERROR(IF(AND(COUNT(AY343,AZ343,BB343,BC343)=4,N(BC347)&lt;&gt;0),(AY343+AZ343+BB343+BC343)/BC347,""),"")</f>
        <v>7.35458536115533</v>
      </c>
      <c r="BD342" s="257">
        <f>IFERROR(IF(AND(COUNT(AZ343,BB343,BC343,BD343)=4,N(BD347)&lt;&gt;0),(AZ343+BB343+BC343+BD343)/BD347,""),"")</f>
        <v>-2.07490573109381</v>
      </c>
      <c r="BE342" s="257">
        <f>IFERROR(IF(AND(COUNT(BB343,BC343,BD343,BE343)=4,N(BE347)&lt;&gt;0),(BB343+BC343+BD343+BE343)/BE347,""),"")</f>
        <v>-0.901576089921363</v>
      </c>
      <c r="BF342" s="257">
        <f>IFERROR(IF(AND(COUNT(BB343,BC343,BD343,BE343)=4,N(BF347)&lt;&gt;0),(BB343+BC343+BD343+BE343)/BF347,""),"")</f>
        <v>-0.901576089921363</v>
      </c>
      <c r="BG342" s="81" t="n"/>
      <c r="BH342" s="81" t="n"/>
      <c r="BI342" s="81" t="n"/>
      <c r="BJ342" s="81" t="n"/>
      <c r="BL342" s="81" t="n"/>
      <c r="BM342" s="81" t="n"/>
      <c r="BN342" s="81" t="n"/>
      <c r="BO342" s="81" t="n"/>
      <c r="BQ342" s="81" t="n"/>
      <c r="BR342" s="81" t="n"/>
      <c r="BS342" s="81" t="n"/>
      <c r="BT342" s="81" t="n"/>
      <c r="BV342" s="81" t="n"/>
      <c r="BW342" s="81" t="n"/>
      <c r="BX342" s="81" t="n"/>
      <c r="BY342" s="81" t="n"/>
      <c r="CA342" s="81" t="n"/>
      <c r="CB342" s="81" t="n"/>
      <c r="CC342" s="81" t="n"/>
      <c r="CD342" s="81" t="n"/>
      <c r="CF342" s="81" t="n"/>
      <c r="CG342" s="81" t="n"/>
      <c r="CH342" s="81" t="n"/>
      <c r="CI342" s="81" t="n"/>
      <c r="CK342" s="81" t="n"/>
      <c r="CL342" s="81" t="n"/>
      <c r="CM342" s="81" t="n"/>
      <c r="CN342" s="81" t="n"/>
      <c r="CP342" s="81" t="n"/>
      <c r="CQ342" s="81" t="n"/>
      <c r="CR342" s="81" t="n"/>
      <c r="CS342" s="81" t="n"/>
      <c r="CU342" s="81" t="n"/>
      <c r="CV342" s="81" t="n"/>
      <c r="CW342" s="81" t="n"/>
      <c r="CX342" s="81" t="n"/>
    </row>
    <row r="343" customFormat="1" s="77">
      <c r="A343" s="76" t="n"/>
      <c r="B343" s="76" t="n"/>
      <c r="C343" s="77" t="inlineStr">
        <is>
          <t>NOPLAT</t>
        </is>
      </c>
      <c r="D343">
        <f>IFERROR(D344*(1-D345),"")</f>
        <v>0</v>
      </c>
      <c r="E343">
        <f>IFERROR(E344*(1-E345),"")</f>
        <v>0</v>
      </c>
      <c r="F343">
        <f>IFERROR(F344*(1-F345),"")</f>
        <v>0</v>
      </c>
      <c r="G343">
        <f>IFERROR(G344*(1-G345),"")</f>
        <v>0</v>
      </c>
      <c r="H343" s="263">
        <f>IFERROR(H344*(1-N(H345)),0)</f>
        <v>0</v>
      </c>
      <c r="I343" s="263">
        <f>IFERROR(I344*(1-N(I345)),0)</f>
        <v>13847.4561856881</v>
      </c>
      <c r="J343" s="263">
        <f>IFERROR(J344*(1-N(J345)),0)</f>
        <v>16313.9652035479</v>
      </c>
      <c r="K343" s="263">
        <f>IFERROR(K344*(1-N(K345)),0)</f>
        <v>17266.866805411</v>
      </c>
      <c r="L343" s="263">
        <f>IFERROR(L344*(1-N(L345)),0)</f>
        <v>18512.8337841161</v>
      </c>
      <c r="M343" s="263">
        <f>IFERROR(M344*(1-N(M345)),0)</f>
        <v>65960.5171380078</v>
      </c>
      <c r="N343" s="263">
        <f>IFERROR(N344*(1-N(N345)),0)</f>
        <v>17442.9589098975</v>
      </c>
      <c r="O343" s="263">
        <f>IFERROR(O344*(1-N(O345)),0)</f>
        <v>16371.4581887031</v>
      </c>
      <c r="P343" s="263">
        <f>IFERROR(P344*(1-N(P345)),0)</f>
        <v>14682.920593852</v>
      </c>
      <c r="Q343" s="263">
        <f>IFERROR(Q344*(1-N(Q345)),0)</f>
        <v>14428.8703563306</v>
      </c>
      <c r="R343" s="263">
        <f>IFERROR(R344*(1-N(R345)),0)</f>
        <v>62926.5425078511</v>
      </c>
      <c r="S343" s="263">
        <f>IFERROR(S344*(1-N(S345)),0)</f>
        <v>14397.8667948366</v>
      </c>
      <c r="T343" s="263">
        <f>IFERROR(T344*(1-N(T345)),0)</f>
        <v>18313.4905720678</v>
      </c>
      <c r="U343" s="263">
        <f>IFERROR(U344*(1-N(U345)),0)</f>
        <v>19824.6132471576</v>
      </c>
      <c r="V343" s="263">
        <f>IFERROR(V344*(1-N(V345)),0)</f>
        <v>20081.1010568573</v>
      </c>
      <c r="W343" s="263">
        <f>IFERROR(W344*(1-N(W345)),0)</f>
        <v>72569.0578881669</v>
      </c>
      <c r="X343" s="263">
        <f>IFERROR(X344*(1-N(X345)),0)</f>
        <v>21286.1897933957</v>
      </c>
      <c r="Y343" s="263">
        <f>IFERROR(Y344*(1-N(Y345)),0)</f>
        <v>23510.9823599869</v>
      </c>
      <c r="Z343" s="263">
        <f>IFERROR(Z344*(1-N(Z345)),0)</f>
        <v>23658.9548035072</v>
      </c>
      <c r="AA343" s="263">
        <f>IFERROR(AA344*(1-N(AA345)),0)</f>
        <v>25489.9665663865</v>
      </c>
      <c r="AB343" s="263">
        <f>IFERROR(AB344*(1-N(AB345)),0)</f>
        <v>93913.6336852648</v>
      </c>
      <c r="AC343" s="263">
        <f>IFERROR(AC344*(1-N(AC345)),0)</f>
        <v>25296.8781258226</v>
      </c>
      <c r="AD343" s="263">
        <f>IFERROR(AD344*(1-N(AD345)),0)</f>
        <v>25984.0602363481</v>
      </c>
      <c r="AE343" s="263">
        <f>IFERROR(AE344*(1-N(AE345)),0)</f>
        <v>24832.8872621456</v>
      </c>
      <c r="AF343" s="263">
        <f>IFERROR(AF344*(1-N(AF345)),0)</f>
        <v>31651.3528644835</v>
      </c>
      <c r="AG343" s="263">
        <f>IFERROR(AG344*(1-N(AG345)),0)</f>
        <v>107382.195799176</v>
      </c>
      <c r="AH343" s="263">
        <f>IFERROR(AH344*(1-N(AH345)),0)</f>
        <v>32089.2922027593</v>
      </c>
      <c r="AI343" s="263">
        <f>IFERROR(AI344*(1-N(AI345)),0)</f>
        <v>32965.8357657132</v>
      </c>
      <c r="AJ343" s="263">
        <f>IFERROR(AJ344*(1-N(AJ345)),0)</f>
        <v>32876.2804312873</v>
      </c>
      <c r="AK343" s="263">
        <f>IFERROR(AK344*(1-N(AK345)),0)</f>
        <v>36564.9280403044</v>
      </c>
      <c r="AL343" s="263">
        <f>IFERROR(AL344*(1-N(AL345)),0)</f>
        <v>134229.014831968</v>
      </c>
      <c r="AM343" s="263">
        <f>IFERROR(AM344*(1-N(AM345)),0)</f>
        <v>35301.5429452714</v>
      </c>
      <c r="AN343" s="263">
        <f>IFERROR(AN344*(1-N(AN345)),0)</f>
        <v>38481.6884934095</v>
      </c>
      <c r="AO343" s="263">
        <f>IFERROR(AO344*(1-N(AO345)),0)</f>
        <v>38673.2426008607</v>
      </c>
      <c r="AP343" s="263">
        <f>IFERROR(AP344*(1-N(AP345)),0)</f>
        <v>43012.2968363528</v>
      </c>
      <c r="AQ343" s="263">
        <f>IFERROR(AQ344*(1-N(AQ345)),0)</f>
        <v>155468.770875894</v>
      </c>
      <c r="AR343" s="263">
        <f>IFERROR(AR344*(1-N(AR345)),0)</f>
        <v>41349.6356505657</v>
      </c>
      <c r="AS343" s="263">
        <f>IFERROR(AS344*(1-N(AS345)),0)</f>
        <v>45074.6246669139</v>
      </c>
      <c r="AT343" s="263">
        <f>IFERROR(AT344*(1-N(AT345)),0)</f>
        <v>45298.9970849342</v>
      </c>
      <c r="AU343" s="263">
        <f>IFERROR(AU344*(1-N(AU345)),0)</f>
        <v>50381.4466533227</v>
      </c>
      <c r="AV343" s="263">
        <f>IFERROR(AV344*(1-N(AV345)),0)</f>
        <v>182104.704055737</v>
      </c>
      <c r="AW343" s="263">
        <f>IFERROR(AW344*(1-N(AW345)),0)</f>
        <v>48227.1792306782</v>
      </c>
      <c r="AX343" s="263">
        <f>IFERROR(AX344*(1-N(AX345)),0)</f>
        <v>52571.7329394913</v>
      </c>
      <c r="AY343" s="263">
        <f>IFERROR(AY344*(1-N(AY345)),0)</f>
        <v>52833.4244549795</v>
      </c>
      <c r="AZ343" s="263">
        <f>IFERROR(AZ344*(1-N(AZ345)),0)</f>
        <v>58761.2204901594</v>
      </c>
      <c r="BA343" s="263">
        <f>IFERROR(BA344*(1-N(BA345)),0)</f>
        <v>212393.557115308</v>
      </c>
      <c r="BB343" s="263">
        <f>IFERROR(BB344*(1-N(BB345)),0)</f>
        <v>56007.5052334364</v>
      </c>
      <c r="BC343" s="263">
        <f>IFERROR(BC344*(1-N(BC345)),0)</f>
        <v>61052.9509440266</v>
      </c>
      <c r="BD343" s="263">
        <f>IFERROR(BD344*(1-N(BD345)),0)</f>
        <v>61356.8602573444</v>
      </c>
      <c r="BE343" s="263">
        <f>IFERROR(BE344*(1-N(BE345)),0)</f>
        <v>68240.9673678821</v>
      </c>
      <c r="BF343" s="263">
        <f>IFERROR(BF344*(1-N(BF345)),0)</f>
        <v>246658.283802689</v>
      </c>
      <c r="BG343" s="85" t="n"/>
      <c r="BH343" s="76" t="n"/>
      <c r="BI343" s="76" t="n"/>
      <c r="BJ343" s="76" t="n"/>
      <c r="BL343" s="85" t="n"/>
      <c r="BM343" s="76" t="n"/>
      <c r="BN343" s="76" t="n"/>
      <c r="BO343" s="76" t="n"/>
      <c r="BQ343" s="85" t="n"/>
      <c r="BR343" s="76" t="n"/>
      <c r="BS343" s="76" t="n"/>
      <c r="BT343" s="76" t="n"/>
      <c r="BV343" s="85" t="n"/>
      <c r="BW343" s="76" t="n"/>
      <c r="BX343" s="76" t="n"/>
      <c r="BY343" s="76" t="n"/>
      <c r="CA343" s="85" t="n"/>
      <c r="CB343" s="76" t="n"/>
      <c r="CC343" s="76" t="n"/>
      <c r="CD343" s="76" t="n"/>
      <c r="CF343" s="85" t="n"/>
      <c r="CG343" s="76" t="n"/>
      <c r="CH343" s="76" t="n"/>
      <c r="CI343" s="76" t="n"/>
      <c r="CK343" s="85" t="n"/>
      <c r="CL343" s="76" t="n"/>
      <c r="CM343" s="76" t="n"/>
      <c r="CN343" s="76" t="n"/>
      <c r="CP343" s="85" t="n"/>
      <c r="CQ343" s="76" t="n"/>
      <c r="CR343" s="76" t="n"/>
      <c r="CS343" s="76" t="n"/>
      <c r="CU343" s="85" t="n"/>
      <c r="CV343" s="76" t="n"/>
      <c r="CW343" s="76" t="n"/>
      <c r="CX343" s="76" t="n"/>
    </row>
    <row r="344" customFormat="1" s="77">
      <c r="A344" s="76" t="n"/>
      <c r="B344" s="76" t="n"/>
      <c r="C344" s="77" t="inlineStr">
        <is>
          <t>EBIT</t>
        </is>
      </c>
      <c r="D344" s="86">
        <f>IFERROR(D126,"")</f>
        <v>0</v>
      </c>
      <c r="E344" s="86">
        <f>IFERROR(E126,"")</f>
        <v>0</v>
      </c>
      <c r="F344" s="86">
        <f>IFERROR(F126,"")</f>
        <v>0</v>
      </c>
      <c r="G344" s="86">
        <f>IFERROR(G126,"")</f>
        <v>0</v>
      </c>
      <c r="H344" s="263">
        <f>IFERROR(H69,0)</f>
        <v>0</v>
      </c>
      <c r="I344" s="263">
        <f>IFERROR(I69,0)</f>
        <v>16437</v>
      </c>
      <c r="J344" s="263">
        <f>IFERROR(J69,0)</f>
        <v>19361</v>
      </c>
      <c r="K344" s="263">
        <f>IFERROR(K69,0)</f>
        <v>21031</v>
      </c>
      <c r="L344" s="263">
        <f>IFERROR(L69,0)</f>
        <v>21885</v>
      </c>
      <c r="M344" s="263">
        <f>IFERROR(M69,0)</f>
        <v>78714</v>
      </c>
      <c r="N344" s="263">
        <f>IFERROR(N69,0)</f>
        <v>20094</v>
      </c>
      <c r="O344" s="263">
        <f>IFERROR(O69,0)</f>
        <v>19453</v>
      </c>
      <c r="P344" s="263">
        <f>IFERROR(P69,0)</f>
        <v>17135</v>
      </c>
      <c r="Q344" s="263">
        <f>IFERROR(Q69,0)</f>
        <v>18160</v>
      </c>
      <c r="R344" s="263">
        <f>IFERROR(R69,0)</f>
        <v>74842</v>
      </c>
      <c r="S344" s="263">
        <f>IFERROR(S69,0)</f>
        <v>17415</v>
      </c>
      <c r="T344" s="263">
        <f>IFERROR(T69,0)</f>
        <v>21838</v>
      </c>
      <c r="U344" s="263">
        <f>IFERROR(U69,0)</f>
        <v>21343</v>
      </c>
      <c r="V344" s="263">
        <f>IFERROR(V69,0)</f>
        <v>23697</v>
      </c>
      <c r="W344" s="263">
        <f>IFERROR(W69,0)</f>
        <v>84293</v>
      </c>
      <c r="X344" s="263">
        <f>IFERROR(X69,0)</f>
        <v>25472</v>
      </c>
      <c r="Y344" s="263">
        <f>IFERROR(Y69,0)</f>
        <v>27425</v>
      </c>
      <c r="Z344" s="263">
        <f>IFERROR(Z69,0)</f>
        <v>28521</v>
      </c>
      <c r="AA344" s="263">
        <f>IFERROR(AA69,0)</f>
        <v>30972</v>
      </c>
      <c r="AB344" s="263">
        <f>IFERROR(AB69,0)</f>
        <v>112390</v>
      </c>
      <c r="AC344" s="263">
        <f>IFERROR(AC69,0)</f>
        <v>30606</v>
      </c>
      <c r="AD344" s="263">
        <f>IFERROR(AD69,0)</f>
        <v>31271</v>
      </c>
      <c r="AE344" s="263">
        <f>IFERROR(AE69,0)</f>
        <v>31228</v>
      </c>
      <c r="AF344" s="263">
        <f>IFERROR(AF69,0)</f>
        <v>35934</v>
      </c>
      <c r="AG344" s="263">
        <f>IFERROR(AG69,0)</f>
        <v>129039</v>
      </c>
      <c r="AH344" s="263">
        <f>IFERROR(AH69,0)</f>
        <v>39696</v>
      </c>
      <c r="AI344" s="263">
        <f>IFERROR(AI69,0)</f>
        <v>40770</v>
      </c>
      <c r="AJ344" s="263">
        <f>IFERROR(AJ69,0)</f>
        <v>39846.3917822046</v>
      </c>
      <c r="AK344" s="263">
        <f>IFERROR(AK69,0)</f>
        <v>44317.070820321</v>
      </c>
      <c r="AL344" s="263">
        <f>IFERROR(AL69,0)</f>
        <v>164629.462602526</v>
      </c>
      <c r="AM344" s="263">
        <f>IFERROR(AM69,0)</f>
        <v>42785.8350233244</v>
      </c>
      <c r="AN344" s="263">
        <f>IFERROR(AN69,0)</f>
        <v>46640.2043063821</v>
      </c>
      <c r="AO344" s="263">
        <f>IFERROR(AO69,0)</f>
        <v>46872.369865042</v>
      </c>
      <c r="AP344" s="263">
        <f>IFERROR(AP69,0)</f>
        <v>52131.3484588344</v>
      </c>
      <c r="AQ344" s="263">
        <f>IFERROR(AQ69,0)</f>
        <v>188429.757653583</v>
      </c>
      <c r="AR344" s="263">
        <f>IFERROR(AR69,0)</f>
        <v>50116.1859118302</v>
      </c>
      <c r="AS344" s="263">
        <f>IFERROR(AS69,0)</f>
        <v>54630.9111113563</v>
      </c>
      <c r="AT344" s="263">
        <f>IFERROR(AT69,0)</f>
        <v>54902.8528017261</v>
      </c>
      <c r="AU344" s="263">
        <f>IFERROR(AU69,0)</f>
        <v>61062.8342247638</v>
      </c>
      <c r="AV344" s="263">
        <f>IFERROR(AV69,0)</f>
        <v>220712.784049676</v>
      </c>
      <c r="AW344" s="263">
        <f>IFERROR(AW69,0)</f>
        <v>58451.8398360968</v>
      </c>
      <c r="AX344" s="263">
        <f>IFERROR(AX69,0)</f>
        <v>63717.4838484117</v>
      </c>
      <c r="AY344" s="263">
        <f>IFERROR(AY69,0)</f>
        <v>64034.6566707453</v>
      </c>
      <c r="AZ344" s="263">
        <f>IFERROR(AZ69,0)</f>
        <v>71219.2067513559</v>
      </c>
      <c r="BA344" s="263">
        <f>IFERROR(BA69,0)</f>
        <v>257423.18710661</v>
      </c>
      <c r="BB344" s="263">
        <f>IFERROR(BB69,0)</f>
        <v>67881.6753902473</v>
      </c>
      <c r="BC344" s="263">
        <f>IFERROR(BC69,0)</f>
        <v>73996.8077550599</v>
      </c>
      <c r="BD344" s="263">
        <f>IFERROR(BD69,0)</f>
        <v>74365.1489848421</v>
      </c>
      <c r="BE344" s="263">
        <f>IFERROR(BE69,0)</f>
        <v>82708.7579758426</v>
      </c>
      <c r="BF344" s="263">
        <f>IFERROR(BF69,0)</f>
        <v>298952.390105992</v>
      </c>
      <c r="BG344" s="63" t="n"/>
      <c r="BH344" s="63" t="n"/>
      <c r="BI344" s="63" t="n"/>
      <c r="BJ344" s="63" t="n"/>
      <c r="BL344" s="63" t="n"/>
      <c r="BM344" s="63" t="n"/>
      <c r="BN344" s="63" t="n"/>
      <c r="BO344" s="63" t="n"/>
      <c r="BQ344" s="63" t="n"/>
      <c r="BR344" s="63" t="n"/>
      <c r="BS344" s="63" t="n"/>
      <c r="BT344" s="63" t="n"/>
      <c r="BV344" s="63" t="n"/>
      <c r="BW344" s="63" t="n"/>
      <c r="BX344" s="63" t="n"/>
      <c r="BY344" s="63" t="n"/>
      <c r="CA344" s="63" t="n"/>
      <c r="CB344" s="63" t="n"/>
      <c r="CC344" s="63" t="n"/>
      <c r="CD344" s="63" t="n"/>
      <c r="CF344" s="63" t="n"/>
      <c r="CG344" s="63" t="n"/>
      <c r="CH344" s="63" t="n"/>
      <c r="CI344" s="63" t="n"/>
      <c r="CK344" s="63" t="n"/>
      <c r="CL344" s="63" t="n"/>
      <c r="CM344" s="63" t="n"/>
      <c r="CN344" s="63" t="n"/>
      <c r="CP344" s="63" t="n"/>
      <c r="CQ344" s="63" t="n"/>
      <c r="CR344" s="63" t="n"/>
      <c r="CS344" s="63" t="n"/>
      <c r="CU344" s="63" t="n"/>
      <c r="CV344" s="63" t="n"/>
      <c r="CW344" s="63" t="n"/>
      <c r="CX344" s="63" t="n"/>
    </row>
    <row r="345" customFormat="1" s="77">
      <c r="A345" s="76" t="n"/>
      <c r="B345" s="76" t="n"/>
      <c r="C345" s="77" t="inlineStr">
        <is>
          <t>ETR (LIMITED TO 0%-100%)</t>
        </is>
      </c>
      <c r="D345" s="87">
        <f>IFERROR(D128,"")</f>
        <v>0</v>
      </c>
      <c r="E345" s="87">
        <f>IFERROR(E128,"")</f>
        <v>0</v>
      </c>
      <c r="F345" s="87">
        <f>IFERROR(F128,"")</f>
        <v>0</v>
      </c>
      <c r="G345" s="87">
        <f>IFERROR(G128,"")</f>
        <v>0</v>
      </c>
      <c r="H345" s="258" t="str">
        <f>IFERROR(IF(N(H126)&lt;&gt;0,MAX(0,MIN(1,-H127/H126)),""),"")</f>
        <v/>
      </c>
      <c r="I345" s="258">
        <f>IFERROR(IF(N(I126)&lt;&gt;0,MAX(0,MIN(1,-I127/I126)),""),"")</f>
        <v>0.157543579382606</v>
      </c>
      <c r="J345" s="258">
        <f>IFERROR(IF(N(J126)&lt;&gt;0,MAX(0,MIN(1,-J127/J126)),""),"")</f>
        <v>0.157380031839891</v>
      </c>
      <c r="K345" s="258">
        <f>IFERROR(IF(N(K126)&lt;&gt;0,MAX(0,MIN(1,-K127/K126)),""),"")</f>
        <v>0.1789802289282</v>
      </c>
      <c r="L345" s="258">
        <f>IFERROR(IF(N(L126)&lt;&gt;0,MAX(0,MIN(1,-L127/L126)),""),"")</f>
        <v>0.154085730677813</v>
      </c>
      <c r="M345" s="258">
        <f>IFERROR(IF(N(M126)&lt;&gt;0,MAX(0,MIN(1,-M127/M126)),""),"")</f>
        <v>0.162023056406639</v>
      </c>
      <c r="N345" s="258">
        <f>IFERROR(IF(N(N126)&lt;&gt;0,MAX(0,MIN(1,-N127/N126)),""),"")</f>
        <v>0.13193197422626</v>
      </c>
      <c r="O345" s="258">
        <f>IFERROR(IF(N(O126)&lt;&gt;0,MAX(0,MIN(1,-O127/O126)),""),"")</f>
        <v>0.158409592931524</v>
      </c>
      <c r="P345" s="258">
        <f>IFERROR(IF(N(P126)&lt;&gt;0,MAX(0,MIN(1,-P127/P126)),""),"")</f>
        <v>0.143103554487772</v>
      </c>
      <c r="Q345" s="258">
        <f>IFERROR(IF(N(Q126)&lt;&gt;0,MAX(0,MIN(1,-Q127/Q126)),""),"")</f>
        <v>0.205458680818802</v>
      </c>
      <c r="R345" s="258">
        <f>IFERROR(IF(N(R126)&lt;&gt;0,MAX(0,MIN(1,-R127/R126)),""),"")</f>
        <v>0.159208165096456</v>
      </c>
      <c r="S345" s="258">
        <f>IFERROR(IF(N(S126)&lt;&gt;0,MAX(0,MIN(1,-S127/S126)),""),"")</f>
        <v>0.17324910738808</v>
      </c>
      <c r="T345" s="258">
        <f>IFERROR(IF(N(T126)&lt;&gt;0,MAX(0,MIN(1,-T127/T126)),""),"")</f>
        <v>0.161393416426973</v>
      </c>
      <c r="U345" s="258">
        <f>IFERROR(IF(N(U126)&lt;&gt;0,MAX(0,MIN(1,-U127/U126)),""),"")</f>
        <v>0.0711421427560504</v>
      </c>
      <c r="V345" s="258">
        <f>IFERROR(IF(N(V126)&lt;&gt;0,MAX(0,MIN(1,-V127/V126)),""),"")</f>
        <v>0.152588890709487</v>
      </c>
      <c r="W345" s="258">
        <f>IFERROR(IF(N(W126)&lt;&gt;0,MAX(0,MIN(1,-W127/W126)),""),"")</f>
        <v>0.139085595622805</v>
      </c>
      <c r="X345" s="258">
        <f>IFERROR(IF(N(X126)&lt;&gt;0,MAX(0,MIN(1,-X127/X126)),""),"")</f>
        <v>0.164329860497969</v>
      </c>
      <c r="Y345" s="258">
        <f>IFERROR(IF(N(Y126)&lt;&gt;0,MAX(0,MIN(1,-Y127/Y126)),""),"")</f>
        <v>0.142717142753439</v>
      </c>
      <c r="Z345" s="258">
        <f>IFERROR(IF(N(Z126)&lt;&gt;0,MAX(0,MIN(1,-Z127/Z126)),""),"")</f>
        <v>0.170472465779348</v>
      </c>
      <c r="AA345" s="258">
        <f>IFERROR(IF(N(AA126)&lt;&gt;0,MAX(0,MIN(1,-AA127/AA126)),""),"")</f>
        <v>0.176999658840679</v>
      </c>
      <c r="AB345" s="258">
        <f>IFERROR(IF(N(AB126)&lt;&gt;0,MAX(0,MIN(1,-AB127/AB126)),""),"")</f>
        <v>0.16439510912657</v>
      </c>
      <c r="AC345" s="258">
        <f>IFERROR(IF(N(AC126)&lt;&gt;0,MAX(0,MIN(1,-AC127/AC126)),""),"")</f>
        <v>0.173466701763622</v>
      </c>
      <c r="AD345" s="258">
        <f>IFERROR(IF(N(AD126)&lt;&gt;0,MAX(0,MIN(1,-AD127/AD126)),""),"")</f>
        <v>0.169068458432794</v>
      </c>
      <c r="AE345" s="258">
        <f>IFERROR(IF(N(AE126)&lt;&gt;0,MAX(0,MIN(1,-AE127/AE126)),""),"")</f>
        <v>0.204787778207198</v>
      </c>
      <c r="AF345" s="258">
        <f>IFERROR(IF(N(AF126)&lt;&gt;0,MAX(0,MIN(1,-AF127/AF126)),""),"")</f>
        <v>0.119180918782115</v>
      </c>
      <c r="AG345" s="258">
        <f>IFERROR(IF(N(AG126)&lt;&gt;0,MAX(0,MIN(1,-AG127/AG126)),""),"")</f>
        <v>0.167831463362422</v>
      </c>
      <c r="AH345" s="258">
        <f>IFERROR(IF(N(AH126)&lt;&gt;0,MAX(0,MIN(1,-AH127/AH126)),""),"")</f>
        <v>0.191624037616907</v>
      </c>
      <c r="AI345" s="258">
        <f>IFERROR(IF(N(AI126)&lt;&gt;0,MAX(0,MIN(1,-AI127/AI126)),""),"")</f>
        <v>0.19141928462808</v>
      </c>
      <c r="AJ345" s="258">
        <f>IFERROR(IF(N(AJ126)&lt;&gt;0,MAX(0,MIN(1,-AJ127/AJ126)),""),"")</f>
        <v>0.174924529905119</v>
      </c>
      <c r="AK345" s="258">
        <f>IFERROR(IF(N(AK126)&lt;&gt;0,MAX(0,MIN(1,-AK127/AK126)),""),"")</f>
        <v>0.174924529905119</v>
      </c>
      <c r="AL345" s="258">
        <f>IFERROR(IF(N(AL126)&lt;&gt;0,MAX(0,MIN(1,-AL127/AL126)),""),"")</f>
        <v>0.184659825100417</v>
      </c>
      <c r="AM345" s="258">
        <f>IFERROR(IF(N(AM126)&lt;&gt;0,MAX(0,MIN(1,-AM127/AM126)),""),"")</f>
        <v>0.174924529905119</v>
      </c>
      <c r="AN345" s="258">
        <f>IFERROR(IF(N(AN126)&lt;&gt;0,MAX(0,MIN(1,-AN127/AN126)),""),"")</f>
        <v>0.174924529905119</v>
      </c>
      <c r="AO345" s="258">
        <f>IFERROR(IF(N(AO126)&lt;&gt;0,MAX(0,MIN(1,-AO127/AO126)),""),"")</f>
        <v>0.174924529905119</v>
      </c>
      <c r="AP345" s="258">
        <f>IFERROR(IF(N(AP126)&lt;&gt;0,MAX(0,MIN(1,-AP127/AP126)),""),"")</f>
        <v>0.174924529905119</v>
      </c>
      <c r="AQ345" s="258">
        <f>IFERROR(IF(N(AQ126)&lt;&gt;0,MAX(0,MIN(1,-AQ127/AQ126)),""),"")</f>
        <v>0.174924529905119</v>
      </c>
      <c r="AR345" s="258">
        <f>IFERROR(IF(N(AR126)&lt;&gt;0,MAX(0,MIN(1,-AR127/AR126)),""),"")</f>
        <v>0.174924529905119</v>
      </c>
      <c r="AS345" s="258">
        <f>IFERROR(IF(N(AS126)&lt;&gt;0,MAX(0,MIN(1,-AS127/AS126)),""),"")</f>
        <v>0.174924529905119</v>
      </c>
      <c r="AT345" s="258">
        <f>IFERROR(IF(N(AT126)&lt;&gt;0,MAX(0,MIN(1,-AT127/AT126)),""),"")</f>
        <v>0.174924529905119</v>
      </c>
      <c r="AU345" s="258">
        <f>IFERROR(IF(N(AU126)&lt;&gt;0,MAX(0,MIN(1,-AU127/AU126)),""),"")</f>
        <v>0.174924529905119</v>
      </c>
      <c r="AV345" s="258">
        <f>IFERROR(IF(N(AV126)&lt;&gt;0,MAX(0,MIN(1,-AV127/AV126)),""),"")</f>
        <v>0.174924529905119</v>
      </c>
      <c r="AW345" s="258">
        <f>IFERROR(IF(N(AW126)&lt;&gt;0,MAX(0,MIN(1,-AW127/AW126)),""),"")</f>
        <v>0.174924529905119</v>
      </c>
      <c r="AX345" s="258">
        <f>IFERROR(IF(N(AX126)&lt;&gt;0,MAX(0,MIN(1,-AX127/AX126)),""),"")</f>
        <v>0.174924529905119</v>
      </c>
      <c r="AY345" s="258">
        <f>IFERROR(IF(N(AY126)&lt;&gt;0,MAX(0,MIN(1,-AY127/AY126)),""),"")</f>
        <v>0.174924529905119</v>
      </c>
      <c r="AZ345" s="258">
        <f>IFERROR(IF(N(AZ126)&lt;&gt;0,MAX(0,MIN(1,-AZ127/AZ126)),""),"")</f>
        <v>0.174924529905119</v>
      </c>
      <c r="BA345" s="258">
        <f>IFERROR(IF(N(BA126)&lt;&gt;0,MAX(0,MIN(1,-BA127/BA126)),""),"")</f>
        <v>0.174924529905119</v>
      </c>
      <c r="BB345" s="258">
        <f>IFERROR(IF(N(BB126)&lt;&gt;0,MAX(0,MIN(1,-BB127/BB126)),""),"")</f>
        <v>0.174924529905119</v>
      </c>
      <c r="BC345" s="258">
        <f>IFERROR(IF(N(BC126)&lt;&gt;0,MAX(0,MIN(1,-BC127/BC126)),""),"")</f>
        <v>0.174924529905119</v>
      </c>
      <c r="BD345" s="258">
        <f>IFERROR(IF(N(BD126)&lt;&gt;0,MAX(0,MIN(1,-BD127/BD126)),""),"")</f>
        <v>0.174924529905119</v>
      </c>
      <c r="BE345" s="258">
        <f>IFERROR(IF(N(BE126)&lt;&gt;0,MAX(0,MIN(1,-BE127/BE126)),""),"")</f>
        <v>0.174924529905119</v>
      </c>
      <c r="BF345" s="258">
        <f>IFERROR(IF(N(BF126)&lt;&gt;0,MAX(0,MIN(1,-BF127/BF126)),""),"")</f>
        <v>0.174924529905119</v>
      </c>
      <c r="BG345" s="88" t="n"/>
      <c r="BH345" s="88" t="n"/>
      <c r="BI345" s="88" t="n"/>
      <c r="BJ345" s="88" t="n"/>
      <c r="BL345" s="88" t="n"/>
      <c r="BM345" s="88" t="n"/>
      <c r="BN345" s="88" t="n"/>
      <c r="BO345" s="88" t="n"/>
      <c r="BQ345" s="88" t="n"/>
      <c r="BR345" s="88" t="n"/>
      <c r="BS345" s="88" t="n"/>
      <c r="BT345" s="88" t="n"/>
      <c r="BV345" s="88" t="n"/>
      <c r="BW345" s="88" t="n"/>
      <c r="BX345" s="88" t="n"/>
      <c r="BY345" s="88" t="n"/>
      <c r="CA345" s="88" t="n"/>
      <c r="CB345" s="88" t="n"/>
      <c r="CC345" s="88" t="n"/>
      <c r="CD345" s="88" t="n"/>
      <c r="CF345" s="88" t="n"/>
      <c r="CG345" s="88" t="n"/>
      <c r="CH345" s="88" t="n"/>
      <c r="CI345" s="88" t="n"/>
      <c r="CK345" s="88" t="n"/>
      <c r="CL345" s="88" t="n"/>
      <c r="CM345" s="88" t="n"/>
      <c r="CN345" s="88" t="n"/>
      <c r="CP345" s="88" t="n"/>
      <c r="CQ345" s="88" t="n"/>
      <c r="CR345" s="88" t="n"/>
      <c r="CS345" s="88" t="n"/>
      <c r="CU345" s="88" t="n"/>
      <c r="CV345" s="88" t="n"/>
      <c r="CW345" s="88" t="n"/>
      <c r="CX345" s="88" t="n"/>
    </row>
    <row r="346" customFormat="1" s="77">
      <c r="A346" s="76" t="n"/>
      <c r="B346" s="76" t="n"/>
      <c r="C346" s="77" t="inlineStr">
        <is>
          <t>INVESTED CAPITAL</t>
        </is>
      </c>
      <c r="D346" s="86">
        <f>IFERROR(D349-D350+D351,"")</f>
        <v>0</v>
      </c>
      <c r="E346" s="86">
        <f>IFERROR(E349-E350+E351,"")</f>
        <v>0</v>
      </c>
      <c r="F346" s="86">
        <f>IFERROR(F349-F350+F351,"")</f>
        <v>0</v>
      </c>
      <c r="G346" s="86">
        <f>IFERROR(G349-G350+G351,"")</f>
        <v>0</v>
      </c>
      <c r="H346" s="263">
        <f>IFERROR(H348+H351,0)</f>
        <v>0</v>
      </c>
      <c r="I346" s="263">
        <f>IFERROR(I348+I351,0)</f>
        <v>124584</v>
      </c>
      <c r="J346" s="263">
        <f>IFERROR(J348+J351,0)</f>
        <v>132352</v>
      </c>
      <c r="K346" s="263">
        <f>IFERROR(K348+K351,0)</f>
        <v>131874</v>
      </c>
      <c r="L346" s="263">
        <f>IFERROR(L348+L351,0)</f>
        <v>143449</v>
      </c>
      <c r="M346" s="263">
        <f>IFERROR(M348+M351,0)</f>
        <v>143449</v>
      </c>
      <c r="N346" s="263">
        <f>IFERROR(N348+N351,0)</f>
        <v>149031</v>
      </c>
      <c r="O346" s="263">
        <f>IFERROR(O348+O351,0)</f>
        <v>157777</v>
      </c>
      <c r="P346" s="263">
        <f>IFERROR(P348+P351,0)</f>
        <v>164480</v>
      </c>
      <c r="Q346" s="263">
        <f>IFERROR(Q348+Q351,0)</f>
        <v>170098</v>
      </c>
      <c r="R346" s="263">
        <f>IFERROR(R348+R351,0)</f>
        <v>170098</v>
      </c>
      <c r="S346" s="263">
        <f>IFERROR(S348+S351,0)</f>
        <v>172830</v>
      </c>
      <c r="T346" s="263">
        <f>IFERROR(T348+T351,0)</f>
        <v>175818</v>
      </c>
      <c r="U346" s="263">
        <f>IFERROR(U348+U351,0)</f>
        <v>180126</v>
      </c>
      <c r="V346" s="263">
        <f>IFERROR(V348+V351,0)</f>
        <v>198661</v>
      </c>
      <c r="W346" s="263">
        <f>IFERROR(W348+W351,0)</f>
        <v>198661</v>
      </c>
      <c r="X346" s="263">
        <f>IFERROR(X348+X351,0)</f>
        <v>210425</v>
      </c>
      <c r="Y346" s="263">
        <f>IFERROR(Y348+Y351,0)</f>
        <v>225691</v>
      </c>
      <c r="Z346" s="263">
        <f>IFERROR(Z348+Z351,0)</f>
        <v>245546</v>
      </c>
      <c r="AA346" s="263">
        <f>IFERROR(AA348+AA351,0)</f>
        <v>252001</v>
      </c>
      <c r="AB346" s="263">
        <f>IFERROR(AB348+AB351,0)</f>
        <v>252001</v>
      </c>
      <c r="AC346" s="263">
        <f>IFERROR(AC348+AC351,0)</f>
        <v>272503</v>
      </c>
      <c r="AD346" s="263">
        <f>IFERROR(AD348+AD351,0)</f>
        <v>303327</v>
      </c>
      <c r="AE346" s="263">
        <f>IFERROR(AE348+AE351,0)</f>
        <v>322084</v>
      </c>
      <c r="AF346" s="263">
        <f>IFERROR(AF348+AF351,0)</f>
        <v>347713</v>
      </c>
      <c r="AG346" s="263">
        <f>IFERROR(AG348+AG351,0)</f>
        <v>347713</v>
      </c>
      <c r="AH346" s="263">
        <f>IFERROR(AH348+AH351,0)</f>
        <v>442390</v>
      </c>
      <c r="AI346" s="263">
        <f>IFERROR(AI348+AI351,0)</f>
        <v>533581</v>
      </c>
      <c r="AJ346" s="263">
        <f>IFERROR(AJ348+AJ351,0)</f>
        <v>540757.682300553</v>
      </c>
      <c r="AK346" s="263">
        <f>IFERROR(AK348+AK351,0)</f>
        <v>558269.492519869</v>
      </c>
      <c r="AL346" s="263">
        <f>IFERROR(AL348+AL351,0)</f>
        <v>558269.492519869</v>
      </c>
      <c r="AM346" s="263">
        <f>IFERROR(AM348+AM351,0)</f>
        <v>564116.111769652</v>
      </c>
      <c r="AN346" s="263">
        <f>IFERROR(AN348+AN351,0)</f>
        <v>573988.123778042</v>
      </c>
      <c r="AO346" s="263">
        <f>IFERROR(AO348+AO351,0)</f>
        <v>573941.606116916</v>
      </c>
      <c r="AP346" s="263">
        <f>IFERROR(AP348+AP351,0)</f>
        <v>579424.312210386</v>
      </c>
      <c r="AQ346" s="263">
        <f>IFERROR(AQ348+AQ351,0)</f>
        <v>579424.312210386</v>
      </c>
      <c r="AR346" s="263">
        <f>IFERROR(AR348+AR351,0)</f>
        <v>568596.932836144</v>
      </c>
      <c r="AS346" s="263">
        <f>IFERROR(AS348+AS351,0)</f>
        <v>561638.053731895</v>
      </c>
      <c r="AT346" s="263">
        <f>IFERROR(AT348+AT351,0)</f>
        <v>539145.828235039</v>
      </c>
      <c r="AU346" s="263">
        <f>IFERROR(AU348+AU351,0)</f>
        <v>519481.108235012</v>
      </c>
      <c r="AV346" s="263">
        <f>IFERROR(AV348+AV351,0)</f>
        <v>519481.108235012</v>
      </c>
      <c r="AW346" s="263">
        <f>IFERROR(AW348+AW351,0)</f>
        <v>477777.283265378</v>
      </c>
      <c r="AX346" s="263">
        <f>IFERROR(AX348+AX351,0)</f>
        <v>434470.504493591</v>
      </c>
      <c r="AY346" s="263">
        <f>IFERROR(AY348+AY351,0)</f>
        <v>368554.278709398</v>
      </c>
      <c r="AZ346" s="263">
        <f>IFERROR(AZ348+AZ351,0)</f>
        <v>299693.987703133</v>
      </c>
      <c r="BA346" s="263">
        <f>IFERROR(BA348+BA351,0)</f>
        <v>299693.987703133</v>
      </c>
      <c r="BB346" s="263">
        <f>IFERROR(BB348+BB351,0)</f>
        <v>198972.831471766</v>
      </c>
      <c r="BC346" s="263">
        <f>IFERROR(BC348+BC351,0)</f>
        <v>88918.141713534</v>
      </c>
      <c r="BD346" s="263">
        <f>IFERROR(BD348+BD351,0)</f>
        <v>-56480.1024697619</v>
      </c>
      <c r="BE346" s="263">
        <f>IFERROR(BE348+BE351,0)</f>
        <v>-215757.653568301</v>
      </c>
      <c r="BF346" s="263">
        <f>IFERROR(BF348+BF351,0)</f>
        <v>-215757.653568301</v>
      </c>
      <c r="BG346" s="63" t="n"/>
      <c r="BH346" s="63" t="n"/>
      <c r="BI346" s="63" t="n"/>
      <c r="BJ346" s="63" t="n"/>
      <c r="BL346" s="63" t="n"/>
      <c r="BM346" s="63" t="n"/>
      <c r="BN346" s="63" t="n"/>
      <c r="BO346" s="63" t="n"/>
      <c r="BQ346" s="63" t="n"/>
      <c r="BR346" s="63" t="n"/>
      <c r="BS346" s="63" t="n"/>
      <c r="BT346" s="63" t="n"/>
      <c r="BV346" s="63" t="n"/>
      <c r="BW346" s="63" t="n"/>
      <c r="BX346" s="63" t="n"/>
      <c r="BY346" s="63" t="n"/>
      <c r="CA346" s="63" t="n"/>
      <c r="CB346" s="63" t="n"/>
      <c r="CC346" s="63" t="n"/>
      <c r="CD346" s="63" t="n"/>
      <c r="CF346" s="63" t="n"/>
      <c r="CG346" s="63" t="n"/>
      <c r="CH346" s="63" t="n"/>
      <c r="CI346" s="63" t="n"/>
      <c r="CK346" s="63" t="n"/>
      <c r="CL346" s="63" t="n"/>
      <c r="CM346" s="63" t="n"/>
      <c r="CN346" s="63" t="n"/>
      <c r="CP346" s="63" t="n"/>
      <c r="CQ346" s="63" t="n"/>
      <c r="CR346" s="63" t="n"/>
      <c r="CS346" s="63" t="n"/>
      <c r="CU346" s="63" t="n"/>
      <c r="CV346" s="63" t="n"/>
      <c r="CW346" s="63" t="n"/>
      <c r="CX346" s="63" t="n"/>
    </row>
    <row r="347" customFormat="1" s="77">
      <c r="A347" s="76" t="n"/>
      <c r="B347" s="76" t="n"/>
      <c r="C347" s="77" t="inlineStr">
        <is>
          <t>INVESTED CAPITAL - EX GOODWILL</t>
        </is>
      </c>
      <c r="D347" s="89">
        <f>IFERROR(D346-D175,"")</f>
        <v>0</v>
      </c>
      <c r="E347" s="89">
        <f>IFERROR(E346-E175,"")</f>
        <v>0</v>
      </c>
      <c r="F347" s="89">
        <f>IFERROR(F346-F175,"")</f>
        <v>0</v>
      </c>
      <c r="G347" s="89">
        <f>IFERROR(G346-G175,"")</f>
        <v>0</v>
      </c>
      <c r="H347" s="263">
        <f>IFERROR(H346-N(H175),0)</f>
        <v>0</v>
      </c>
      <c r="I347" s="263">
        <f>IFERROR(I346-N(I175),0)</f>
        <v>102243</v>
      </c>
      <c r="J347" s="263">
        <f>IFERROR(J346-N(J175),0)</f>
        <v>109946</v>
      </c>
      <c r="K347" s="263">
        <f>IFERROR(K346-N(K175),0)</f>
        <v>109251</v>
      </c>
      <c r="L347" s="263">
        <f>IFERROR(L346-N(L175),0)</f>
        <v>120493</v>
      </c>
      <c r="M347" s="263">
        <f>IFERROR(M346-N(M175),0)</f>
        <v>120493</v>
      </c>
      <c r="N347" s="263">
        <f>IFERROR(N346-N(N175),0)</f>
        <v>126021</v>
      </c>
      <c r="O347" s="263">
        <f>IFERROR(O346-N(O175),0)</f>
        <v>133828</v>
      </c>
      <c r="P347" s="263">
        <f>IFERROR(P346-N(P175),0)</f>
        <v>135646</v>
      </c>
      <c r="Q347" s="263">
        <f>IFERROR(Q346-N(Q175),0)</f>
        <v>141138</v>
      </c>
      <c r="R347" s="263">
        <f>IFERROR(R346-N(R175),0)</f>
        <v>141138</v>
      </c>
      <c r="S347" s="263">
        <f>IFERROR(S346-N(S175),0)</f>
        <v>143836</v>
      </c>
      <c r="T347" s="263">
        <f>IFERROR(T346-N(T175),0)</f>
        <v>146608</v>
      </c>
      <c r="U347" s="263">
        <f>IFERROR(U346-N(U175),0)</f>
        <v>150980</v>
      </c>
      <c r="V347" s="263">
        <f>IFERROR(V346-N(V175),0)</f>
        <v>169463</v>
      </c>
      <c r="W347" s="263">
        <f>IFERROR(W346-N(W175),0)</f>
        <v>169463</v>
      </c>
      <c r="X347" s="263">
        <f>IFERROR(X346-N(X175),0)</f>
        <v>181242</v>
      </c>
      <c r="Y347" s="263">
        <f>IFERROR(Y346-N(Y175),0)</f>
        <v>196506</v>
      </c>
      <c r="Z347" s="263">
        <f>IFERROR(Z346-N(Z175),0)</f>
        <v>213611</v>
      </c>
      <c r="AA347" s="263">
        <f>IFERROR(AA346-N(AA175),0)</f>
        <v>220116</v>
      </c>
      <c r="AB347" s="263">
        <f>IFERROR(AB346-N(AB175),0)</f>
        <v>220116</v>
      </c>
      <c r="AC347" s="263">
        <f>IFERROR(AC346-N(AC175),0)</f>
        <v>240330</v>
      </c>
      <c r="AD347" s="263">
        <f>IFERROR(AD346-N(AD175),0)</f>
        <v>270992</v>
      </c>
      <c r="AE347" s="263">
        <f>IFERROR(AE346-N(AE175),0)</f>
        <v>288815</v>
      </c>
      <c r="AF347" s="263">
        <f>IFERROR(AF346-N(AF175),0)</f>
        <v>314333</v>
      </c>
      <c r="AG347" s="263">
        <f>IFERROR(AG346-N(AG175),0)</f>
        <v>314333</v>
      </c>
      <c r="AH347" s="263">
        <f>IFERROR(AH346-N(AH175),0)</f>
        <v>384616</v>
      </c>
      <c r="AI347" s="263">
        <f>IFERROR(AI346-N(AI175),0)</f>
        <v>475753</v>
      </c>
      <c r="AJ347" s="263">
        <f>IFERROR(AJ346-N(AJ175),0)</f>
        <v>482929.682300553</v>
      </c>
      <c r="AK347" s="263">
        <f>IFERROR(AK346-N(AK175),0)</f>
        <v>500441.492519869</v>
      </c>
      <c r="AL347" s="263">
        <f>IFERROR(AL346-N(AL175),0)</f>
        <v>500441.492519869</v>
      </c>
      <c r="AM347" s="263">
        <f>IFERROR(AM346-N(AM175),0)</f>
        <v>506288.111769652</v>
      </c>
      <c r="AN347" s="263">
        <f>IFERROR(AN346-N(AN175),0)</f>
        <v>516160.123778042</v>
      </c>
      <c r="AO347" s="263">
        <f>IFERROR(AO346-N(AO175),0)</f>
        <v>516113.606116916</v>
      </c>
      <c r="AP347" s="263">
        <f>IFERROR(AP346-N(AP175),0)</f>
        <v>521596.312210386</v>
      </c>
      <c r="AQ347" s="263">
        <f>IFERROR(AQ346-N(AQ175),0)</f>
        <v>521596.312210386</v>
      </c>
      <c r="AR347" s="263">
        <f>IFERROR(AR346-N(AR175),0)</f>
        <v>510768.932836144</v>
      </c>
      <c r="AS347" s="263">
        <f>IFERROR(AS346-N(AS175),0)</f>
        <v>503810.053731895</v>
      </c>
      <c r="AT347" s="263">
        <f>IFERROR(AT346-N(AT175),0)</f>
        <v>481317.828235039</v>
      </c>
      <c r="AU347" s="263">
        <f>IFERROR(AU346-N(AU175),0)</f>
        <v>461653.108235012</v>
      </c>
      <c r="AV347" s="263">
        <f>IFERROR(AV346-N(AV175),0)</f>
        <v>461653.108235012</v>
      </c>
      <c r="AW347" s="263">
        <f>IFERROR(AW346-N(AW175),0)</f>
        <v>419949.283265378</v>
      </c>
      <c r="AX347" s="263">
        <f>IFERROR(AX346-N(AX175),0)</f>
        <v>376642.504493591</v>
      </c>
      <c r="AY347" s="263">
        <f>IFERROR(AY346-N(AY175),0)</f>
        <v>310726.278709398</v>
      </c>
      <c r="AZ347" s="263">
        <f>IFERROR(AZ346-N(AZ175),0)</f>
        <v>241865.987703133</v>
      </c>
      <c r="BA347" s="263">
        <f>IFERROR(BA346-N(BA175),0)</f>
        <v>241865.987703133</v>
      </c>
      <c r="BB347" s="263">
        <f>IFERROR(BB346-N(BB175),0)</f>
        <v>141144.831471766</v>
      </c>
      <c r="BC347" s="263">
        <f>IFERROR(BC346-N(BC175),0)</f>
        <v>31090.141713534</v>
      </c>
      <c r="BD347" s="263">
        <f>IFERROR(BD346-N(BD175),0)</f>
        <v>-114308.102469762</v>
      </c>
      <c r="BE347" s="263">
        <f>IFERROR(BE346-N(BE175),0)</f>
        <v>-273585.653568301</v>
      </c>
      <c r="BF347" s="263">
        <f>IFERROR(BF346-N(BF175),0)</f>
        <v>-273585.653568301</v>
      </c>
      <c r="BG347" s="90" t="n"/>
      <c r="BH347" s="90" t="n"/>
      <c r="BI347" s="90" t="n"/>
      <c r="BJ347" s="90" t="n"/>
      <c r="BL347" s="90" t="n"/>
      <c r="BM347" s="90" t="n"/>
      <c r="BN347" s="90" t="n"/>
      <c r="BO347" s="90" t="n"/>
      <c r="BQ347" s="90" t="n"/>
      <c r="BR347" s="90" t="n"/>
      <c r="BS347" s="90" t="n"/>
      <c r="BT347" s="90" t="n"/>
      <c r="BV347" s="90" t="n"/>
      <c r="BW347" s="90" t="n"/>
      <c r="BX347" s="90" t="n"/>
      <c r="BY347" s="90" t="n"/>
      <c r="CA347" s="90" t="n"/>
      <c r="CB347" s="90" t="n"/>
      <c r="CC347" s="90" t="n"/>
      <c r="CD347" s="90" t="n"/>
      <c r="CF347" s="90" t="n"/>
      <c r="CG347" s="90" t="n"/>
      <c r="CH347" s="90" t="n"/>
      <c r="CI347" s="90" t="n"/>
      <c r="CK347" s="90" t="n"/>
      <c r="CL347" s="90" t="n"/>
      <c r="CM347" s="90" t="n"/>
      <c r="CN347" s="90" t="n"/>
      <c r="CP347" s="90" t="n"/>
      <c r="CQ347" s="90" t="n"/>
      <c r="CR347" s="90" t="n"/>
      <c r="CS347" s="90" t="n"/>
      <c r="CU347" s="90" t="n"/>
      <c r="CV347" s="90" t="n"/>
      <c r="CW347" s="90" t="n"/>
      <c r="CX347" s="90" t="n"/>
    </row>
    <row r="348" customFormat="1" s="77">
      <c r="A348" s="76" t="n"/>
      <c r="B348" s="76" t="n"/>
      <c r="C348" s="77" t="inlineStr">
        <is>
          <t>OPERATING WORKING CAPITAL</t>
        </is>
      </c>
      <c r="D348" s="91">
        <f>IFERROR(D349-D350,"")</f>
        <v>0</v>
      </c>
      <c r="E348" s="91">
        <f>IFERROR(E349-E350,"")</f>
        <v>0</v>
      </c>
      <c r="F348" s="91">
        <f>IFERROR(F349-F350,"")</f>
        <v>0</v>
      </c>
      <c r="G348" s="91">
        <f>IFERROR(G349-G350,"")</f>
        <v>0</v>
      </c>
      <c r="H348" s="263">
        <f>IFERROR(H349-H350,0)</f>
        <v>0</v>
      </c>
      <c r="I348" s="263">
        <f>IFERROR(I349-I350,0)</f>
        <v>-17291</v>
      </c>
      <c r="J348" s="263">
        <f>IFERROR(J349-J350,0)</f>
        <v>-14754</v>
      </c>
      <c r="K348" s="263">
        <f>IFERROR(K349-K350,0)</f>
        <v>-18480</v>
      </c>
      <c r="L348" s="263">
        <f>IFERROR(L349-L350,0)</f>
        <v>-14476</v>
      </c>
      <c r="M348" s="263">
        <f>IFERROR(M349-M350,0)</f>
        <v>-14476</v>
      </c>
      <c r="N348" s="263">
        <f>IFERROR(N349-N350,0)</f>
        <v>-16677</v>
      </c>
      <c r="O348" s="263">
        <f>IFERROR(O349-O350,0)</f>
        <v>-12490</v>
      </c>
      <c r="P348" s="263">
        <f>IFERROR(P349-P350,0)</f>
        <v>-13138</v>
      </c>
      <c r="Q348" s="263">
        <f>IFERROR(Q349-Q350,0)</f>
        <v>-13006</v>
      </c>
      <c r="R348" s="263">
        <f>IFERROR(R349-R350,0)</f>
        <v>-13006</v>
      </c>
      <c r="S348" s="263">
        <f>IFERROR(S349-S350,0)</f>
        <v>-15086</v>
      </c>
      <c r="T348" s="263">
        <f>IFERROR(T349-T350,0)</f>
        <v>-17896</v>
      </c>
      <c r="U348" s="263">
        <f>IFERROR(U349-U350,0)</f>
        <v>-18937</v>
      </c>
      <c r="V348" s="263">
        <f>IFERROR(V349-V350,0)</f>
        <v>-9031</v>
      </c>
      <c r="W348" s="263">
        <f>IFERROR(W349-W350,0)</f>
        <v>-9031</v>
      </c>
      <c r="X348" s="263">
        <f>IFERROR(X349-X350,0)</f>
        <v>-7929</v>
      </c>
      <c r="Y348" s="263">
        <f>IFERROR(Y349-Y350,0)</f>
        <v>-1685</v>
      </c>
      <c r="Z348" s="263">
        <f>IFERROR(Z349-Z350,0)</f>
        <v>-577</v>
      </c>
      <c r="AA348" s="263">
        <f>IFERROR(AA349-AA350,0)</f>
        <v>-3888</v>
      </c>
      <c r="AB348" s="263">
        <f>IFERROR(AB349-AB350,0)</f>
        <v>-3888</v>
      </c>
      <c r="AC348" s="263">
        <f>IFERROR(AC349-AC350,0)</f>
        <v>-6544</v>
      </c>
      <c r="AD348" s="263">
        <f>IFERROR(AD349-AD350,0)</f>
        <v>3047</v>
      </c>
      <c r="AE348" s="263">
        <f>IFERROR(AE349-AE350,0)</f>
        <v>-13768</v>
      </c>
      <c r="AF348" s="263">
        <f>IFERROR(AF349-AF350,0)</f>
        <v>-14437</v>
      </c>
      <c r="AG348" s="263">
        <f>IFERROR(AG349-AG350,0)</f>
        <v>-14437</v>
      </c>
      <c r="AH348" s="263">
        <f>IFERROR(AH349-AH350,0)</f>
        <v>-22280</v>
      </c>
      <c r="AI348" s="263">
        <f>IFERROR(AI349-AI350,0)</f>
        <v>-23613</v>
      </c>
      <c r="AJ348" s="263">
        <f>IFERROR(AJ349-AJ350,0)</f>
        <v>-45052.8757766266</v>
      </c>
      <c r="AK348" s="263">
        <f>IFERROR(AK349-AK350,0)</f>
        <v>-59368.3396018964</v>
      </c>
      <c r="AL348" s="263">
        <f>IFERROR(AL349-AL350,0)</f>
        <v>-59368.3396018964</v>
      </c>
      <c r="AM348" s="263">
        <f>IFERROR(AM349-AM350,0)</f>
        <v>-84249.303906426</v>
      </c>
      <c r="AN348" s="263">
        <f>IFERROR(AN349-AN350,0)</f>
        <v>-107872.975084616</v>
      </c>
      <c r="AO348" s="263">
        <f>IFERROR(AO349-AO350,0)</f>
        <v>-141581.910707939</v>
      </c>
      <c r="AP348" s="263">
        <f>IFERROR(AP349-AP350,0)</f>
        <v>-173538.473117574</v>
      </c>
      <c r="AQ348" s="263">
        <f>IFERROR(AQ349-AQ350,0)</f>
        <v>-173538.473117574</v>
      </c>
      <c r="AR348" s="263">
        <f>IFERROR(AR349-AR350,0)</f>
        <v>-220357.887921059</v>
      </c>
      <c r="AS348" s="263">
        <f>IFERROR(AS349-AS350,0)</f>
        <v>-266551.151136483</v>
      </c>
      <c r="AT348" s="263">
        <f>IFERROR(AT349-AT350,0)</f>
        <v>-328473.061619398</v>
      </c>
      <c r="AU348" s="263">
        <f>IFERROR(AU349-AU350,0)</f>
        <v>-391991.392041699</v>
      </c>
      <c r="AV348" s="263">
        <f>IFERROR(AV349-AV350,0)</f>
        <v>-391991.392041699</v>
      </c>
      <c r="AW348" s="263">
        <f>IFERROR(AW349-AW350,0)</f>
        <v>-475673.684686157</v>
      </c>
      <c r="AX348" s="263">
        <f>IFERROR(AX349-AX350,0)</f>
        <v>-564740.568589825</v>
      </c>
      <c r="AY348" s="263">
        <f>IFERROR(AY349-AY350,0)</f>
        <v>-676644.684107838</v>
      </c>
      <c r="AZ348" s="263">
        <f>IFERROR(AZ349-AZ350,0)</f>
        <v>-796652.606682615</v>
      </c>
      <c r="BA348" s="263">
        <f>IFERROR(BA349-BA350,0)</f>
        <v>-796652.606682615</v>
      </c>
      <c r="BB348" s="263">
        <f>IFERROR(BB349-BB350,0)</f>
        <v>-946124.473312026</v>
      </c>
      <c r="BC348" s="263">
        <f>IFERROR(BC349-BC350,0)</f>
        <v>-1109321.58957208</v>
      </c>
      <c r="BD348" s="263">
        <f>IFERROR(BD349-BD350,0)</f>
        <v>-1308126.79257048</v>
      </c>
      <c r="BE348" s="263">
        <f>IFERROR(BE349-BE350,0)</f>
        <v>-1526803.44783494</v>
      </c>
      <c r="BF348" s="263">
        <f>IFERROR(BF349-BF350,0)</f>
        <v>-1526803.44783494</v>
      </c>
      <c r="BG348" s="63" t="n"/>
      <c r="BH348" s="63" t="n"/>
      <c r="BI348" s="63" t="n"/>
      <c r="BJ348" s="63" t="n"/>
      <c r="BL348" s="63" t="n"/>
      <c r="BM348" s="63" t="n"/>
      <c r="BN348" s="63" t="n"/>
      <c r="BO348" s="63" t="n"/>
      <c r="BQ348" s="63" t="n"/>
      <c r="BR348" s="63" t="n"/>
      <c r="BS348" s="63" t="n"/>
      <c r="BT348" s="63" t="n"/>
      <c r="BV348" s="63" t="n"/>
      <c r="BW348" s="63" t="n"/>
      <c r="BX348" s="63" t="n"/>
      <c r="BY348" s="63" t="n"/>
      <c r="CA348" s="63" t="n"/>
      <c r="CB348" s="63" t="n"/>
      <c r="CC348" s="63" t="n"/>
      <c r="CD348" s="63" t="n"/>
      <c r="CF348" s="63" t="n"/>
      <c r="CG348" s="63" t="n"/>
      <c r="CH348" s="63" t="n"/>
      <c r="CI348" s="63" t="n"/>
      <c r="CK348" s="63" t="n"/>
      <c r="CL348" s="63" t="n"/>
      <c r="CM348" s="63" t="n"/>
      <c r="CN348" s="63" t="n"/>
      <c r="CP348" s="63" t="n"/>
      <c r="CQ348" s="63" t="n"/>
      <c r="CR348" s="63" t="n"/>
      <c r="CS348" s="63" t="n"/>
      <c r="CU348" s="63" t="n"/>
      <c r="CV348" s="63" t="n"/>
      <c r="CW348" s="63" t="n"/>
      <c r="CX348" s="63" t="n"/>
    </row>
    <row r="349" customFormat="1" s="77">
      <c r="A349" s="76" t="n"/>
      <c r="B349" s="76" t="n"/>
      <c r="C349" s="77" t="inlineStr">
        <is>
          <t>CURRENT ASSETS (OPERATING, EX CASH)</t>
        </is>
      </c>
      <c r="D349" s="89">
        <f>IFERROR(D141+D145+D149+D150+D151,"")</f>
        <v>0</v>
      </c>
      <c r="E349" s="89">
        <f>IFERROR(E141+E145+E149+E150+E151,"")</f>
        <v>0</v>
      </c>
      <c r="F349" s="89">
        <f>IFERROR(F141+F145+F149+F150+F151,"")</f>
        <v>0</v>
      </c>
      <c r="G349" s="89">
        <f>IFERROR(G141+G145+G149+G150+G151,"")</f>
        <v>0</v>
      </c>
      <c r="H349" s="263">
        <f>IFERROR((N(H141)+N(H145)+N(H149)+N(H150)+N(H151)),0)</f>
        <v>0</v>
      </c>
      <c r="I349" s="263">
        <f>IFERROR((N(I141)+N(I145)+N(I149)+N(I150)+N(I151)),0)</f>
        <v>38162</v>
      </c>
      <c r="J349" s="263">
        <f>IFERROR((N(J141)+N(J145)+N(J149)+N(J150)+N(J151)),0)</f>
        <v>40987</v>
      </c>
      <c r="K349" s="263">
        <f>IFERROR((N(K141)+N(K145)+N(K149)+N(K150)+N(K151)),0)</f>
        <v>43302</v>
      </c>
      <c r="L349" s="263">
        <f>IFERROR((N(L141)+N(L145)+N(L149)+N(L150)+N(L151)),0)</f>
        <v>49778</v>
      </c>
      <c r="M349" s="263">
        <f>IFERROR((N(M141)+N(M145)+N(M149)+N(M150)+N(M151)),0)</f>
        <v>49778</v>
      </c>
      <c r="N349" s="263">
        <f>IFERROR((N(N141)+N(N145)+N(N149)+N(N150)+N(N151)),0)</f>
        <v>45271</v>
      </c>
      <c r="O349" s="263">
        <f>IFERROR((N(O141)+N(O145)+N(O149)+N(O150)+N(O151)),0)</f>
        <v>48864</v>
      </c>
      <c r="P349" s="263">
        <f>IFERROR((N(P141)+N(P145)+N(P149)+N(P150)+N(P151)),0)</f>
        <v>52841</v>
      </c>
      <c r="Q349" s="263">
        <f>IFERROR((N(Q141)+N(Q145)+N(Q149)+N(Q150)+N(Q151)),0)</f>
        <v>56294</v>
      </c>
      <c r="R349" s="263">
        <f>IFERROR((N(R141)+N(R145)+N(R149)+N(R150)+N(R151)),0)</f>
        <v>56294</v>
      </c>
      <c r="S349" s="263">
        <f>IFERROR((N(S141)+N(S145)+N(S149)+N(S150)+N(S151)),0)</f>
        <v>53768</v>
      </c>
      <c r="T349" s="263">
        <f>IFERROR((N(T141)+N(T145)+N(T149)+N(T150)+N(T151)),0)</f>
        <v>59813</v>
      </c>
      <c r="U349" s="263">
        <f>IFERROR((N(U141)+N(U145)+N(U149)+N(U150)+N(U151)),0)</f>
        <v>67358</v>
      </c>
      <c r="V349" s="263">
        <f>IFERROR((N(V141)+N(V145)+N(V149)+N(V150)+N(V151)),0)</f>
        <v>72783</v>
      </c>
      <c r="W349" s="263">
        <f>IFERROR((N(W141)+N(W145)+N(W149)+N(W150)+N(W151)),0)</f>
        <v>72783</v>
      </c>
      <c r="X349" s="263">
        <f>IFERROR((N(X141)+N(X145)+N(X149)+N(X150)+N(X151)),0)</f>
        <v>69068</v>
      </c>
      <c r="Y349" s="263">
        <f>IFERROR((N(Y141)+N(Y145)+N(Y149)+N(Y150)+N(Y151)),0)</f>
        <v>76228</v>
      </c>
      <c r="Z349" s="263">
        <f>IFERROR((N(Z141)+N(Z145)+N(Z149)+N(Z150)+N(Z151)),0)</f>
        <v>80226</v>
      </c>
      <c r="AA349" s="263">
        <f>IFERROR((N(AA141)+N(AA145)+N(AA149)+N(AA150)+N(AA151)),0)</f>
        <v>85234</v>
      </c>
      <c r="AB349" s="263">
        <f>IFERROR((N(AB141)+N(AB145)+N(AB149)+N(AB150)+N(AB151)),0)</f>
        <v>85234</v>
      </c>
      <c r="AC349" s="263">
        <f>IFERROR((N(AC141)+N(AC145)+N(AC149)+N(AC150)+N(AC151)),0)</f>
        <v>85110</v>
      </c>
      <c r="AD349" s="263">
        <f>IFERROR((N(AD141)+N(AD145)+N(AD149)+N(AD150)+N(AD151)),0)</f>
        <v>90357</v>
      </c>
      <c r="AE349" s="263">
        <f>IFERROR((N(AE141)+N(AE145)+N(AE149)+N(AE150)+N(AE151)),0)</f>
        <v>85782</v>
      </c>
      <c r="AF349" s="263">
        <f>IFERROR((N(AF141)+N(AF145)+N(AF149)+N(AF150)+N(AF151)),0)</f>
        <v>88308</v>
      </c>
      <c r="AG349" s="263">
        <f>IFERROR((N(AG141)+N(AG145)+N(AG149)+N(AG150)+N(AG151)),0)</f>
        <v>88308</v>
      </c>
      <c r="AH349" s="263">
        <f>IFERROR((N(AH141)+N(AH145)+N(AH149)+N(AH150)+N(AH151)),0)</f>
        <v>88908</v>
      </c>
      <c r="AI349" s="263">
        <f>IFERROR((N(AI141)+N(AI145)+N(AI149)+N(AI150)+N(AI151)),0)</f>
        <v>102498</v>
      </c>
      <c r="AJ349" s="263">
        <f>IFERROR((N(AJ141)+N(AJ145)+N(AJ149)+N(AJ150)+N(AJ151)),0)</f>
        <v>92466.4195746415</v>
      </c>
      <c r="AK349" s="263">
        <f>IFERROR((N(AK141)+N(AK145)+N(AK149)+N(AK150)+N(AK151)),0)</f>
        <v>100223.152030972</v>
      </c>
      <c r="AL349" s="263">
        <f>IFERROR((N(AL141)+N(AL145)+N(AL149)+N(AL150)+N(AL151)),0)</f>
        <v>100223.152030972</v>
      </c>
      <c r="AM349" s="263">
        <f>IFERROR((N(AM141)+N(AM145)+N(AM149)+N(AM150)+N(AM151)),0)</f>
        <v>99216.0760176137</v>
      </c>
      <c r="AN349" s="263">
        <f>IFERROR((N(AN141)+N(AN145)+N(AN149)+N(AN150)+N(AN151)),0)</f>
        <v>105143.093860823</v>
      </c>
      <c r="AO349" s="263">
        <f>IFERROR((N(AO141)+N(AO145)+N(AO149)+N(AO150)+N(AO151)),0)</f>
        <v>104656.655502554</v>
      </c>
      <c r="AP349" s="263">
        <f>IFERROR((N(AP141)+N(AP145)+N(AP149)+N(AP150)+N(AP151)),0)</f>
        <v>113781.106083289</v>
      </c>
      <c r="AQ349" s="263">
        <f>IFERROR((N(AQ141)+N(AQ145)+N(AQ149)+N(AQ150)+N(AQ151)),0)</f>
        <v>113781.106083289</v>
      </c>
      <c r="AR349" s="263">
        <f>IFERROR((N(AR141)+N(AR145)+N(AR149)+N(AR150)+N(AR151)),0)</f>
        <v>111240.276787248</v>
      </c>
      <c r="AS349" s="263">
        <f>IFERROR((N(AS141)+N(AS145)+N(AS149)+N(AS150)+N(AS151)),0)</f>
        <v>119159.508972166</v>
      </c>
      <c r="AT349" s="263">
        <f>IFERROR((N(AT141)+N(AT145)+N(AT149)+N(AT150)+N(AT151)),0)</f>
        <v>118589.730792439</v>
      </c>
      <c r="AU349" s="263">
        <f>IFERROR((N(AU141)+N(AU145)+N(AU149)+N(AU150)+N(AU151)),0)</f>
        <v>129277.442307199</v>
      </c>
      <c r="AV349" s="263">
        <f>IFERROR((N(AV141)+N(AV145)+N(AV149)+N(AV150)+N(AV151)),0)</f>
        <v>129277.442307199</v>
      </c>
      <c r="AW349" s="263">
        <f>IFERROR((N(AW141)+N(AW145)+N(AW149)+N(AW150)+N(AW151)),0)</f>
        <v>127000.9795834</v>
      </c>
      <c r="AX349" s="263">
        <f>IFERROR((N(AX141)+N(AX145)+N(AX149)+N(AX150)+N(AX151)),0)</f>
        <v>135098.17103679</v>
      </c>
      <c r="AY349" s="263">
        <f>IFERROR((N(AY141)+N(AY145)+N(AY149)+N(AY150)+N(AY151)),0)</f>
        <v>134433.623599719</v>
      </c>
      <c r="AZ349" s="263">
        <f>IFERROR((N(AZ141)+N(AZ145)+N(AZ149)+N(AZ150)+N(AZ151)),0)</f>
        <v>146898.985644113</v>
      </c>
      <c r="BA349" s="263">
        <f>IFERROR((N(BA141)+N(BA145)+N(BA149)+N(BA150)+N(BA151)),0)</f>
        <v>146898.985644113</v>
      </c>
      <c r="BB349" s="263">
        <f>IFERROR((N(BB141)+N(BB145)+N(BB149)+N(BB150)+N(BB151)),0)</f>
        <v>143725.541757649</v>
      </c>
      <c r="BC349" s="263">
        <f>IFERROR((N(BC141)+N(BC145)+N(BC149)+N(BC150)+N(BC151)),0)</f>
        <v>153129.025435031</v>
      </c>
      <c r="BD349" s="263">
        <f>IFERROR((N(BD141)+N(BD145)+N(BD149)+N(BD150)+N(BD151)),0)</f>
        <v>152357.268831113</v>
      </c>
      <c r="BE349" s="263">
        <f>IFERROR((N(BE141)+N(BE145)+N(BE149)+N(BE150)+N(BE151)),0)</f>
        <v>166833.625132167</v>
      </c>
      <c r="BF349" s="263">
        <f>IFERROR((N(BF141)+N(BF145)+N(BF149)+N(BF150)+N(BF151)),0)</f>
        <v>166833.625132167</v>
      </c>
      <c r="BG349" s="90" t="n"/>
      <c r="BH349" s="90" t="n"/>
      <c r="BI349" s="90" t="n"/>
      <c r="BJ349" s="90" t="n"/>
      <c r="BL349" s="90" t="n"/>
      <c r="BM349" s="90" t="n"/>
      <c r="BN349" s="90" t="n"/>
      <c r="BO349" s="90" t="n"/>
      <c r="BQ349" s="90" t="n"/>
      <c r="BR349" s="90" t="n"/>
      <c r="BS349" s="90" t="n"/>
      <c r="BT349" s="90" t="n"/>
      <c r="BV349" s="90" t="n"/>
      <c r="BW349" s="90" t="n"/>
      <c r="BX349" s="90" t="n"/>
      <c r="BY349" s="90" t="n"/>
      <c r="CA349" s="90" t="n"/>
      <c r="CB349" s="90" t="n"/>
      <c r="CC349" s="90" t="n"/>
      <c r="CD349" s="90" t="n"/>
      <c r="CF349" s="90" t="n"/>
      <c r="CG349" s="90" t="n"/>
      <c r="CH349" s="90" t="n"/>
      <c r="CI349" s="90" t="n"/>
      <c r="CK349" s="90" t="n"/>
      <c r="CL349" s="90" t="n"/>
      <c r="CM349" s="90" t="n"/>
      <c r="CN349" s="90" t="n"/>
      <c r="CP349" s="90" t="n"/>
      <c r="CQ349" s="90" t="n"/>
      <c r="CR349" s="90" t="n"/>
      <c r="CS349" s="90" t="n"/>
      <c r="CU349" s="90" t="n"/>
      <c r="CV349" s="90" t="n"/>
      <c r="CW349" s="90" t="n"/>
      <c r="CX349" s="90" t="n"/>
    </row>
    <row r="350" customFormat="1" s="77">
      <c r="A350" s="76" t="n"/>
      <c r="B350" s="76" t="n"/>
      <c r="C350" s="77" t="inlineStr">
        <is>
          <t>CURRENT LIABILITIES (OPERATING, EX DEBT)</t>
        </is>
      </c>
      <c r="D350" s="89">
        <f>IFERROR(D194+D198+D200+D201,"")</f>
        <v>0</v>
      </c>
      <c r="E350" s="89">
        <f>IFERROR(E194+E198+E200+E201,"")</f>
        <v>0</v>
      </c>
      <c r="F350" s="89">
        <f>IFERROR(F194+F198+F200+F201,"")</f>
        <v>0</v>
      </c>
      <c r="G350" s="89">
        <f>IFERROR(G194+G198+G200+G201,"")</f>
        <v>0</v>
      </c>
      <c r="H350" s="263">
        <f>IFERROR((N(H194)+N(H198)+N(H200)+N(H201)),0)</f>
        <v>0</v>
      </c>
      <c r="I350" s="263">
        <f>IFERROR((N(I194)+N(I198)+N(I200)+N(I201)),0)</f>
        <v>55453</v>
      </c>
      <c r="J350" s="263">
        <f>IFERROR((N(J194)+N(J198)+N(J200)+N(J201)),0)</f>
        <v>55741</v>
      </c>
      <c r="K350" s="263">
        <f>IFERROR((N(K194)+N(K198)+N(K200)+N(K201)),0)</f>
        <v>61782</v>
      </c>
      <c r="L350" s="263">
        <f>IFERROR((N(L194)+N(L198)+N(L200)+N(L201)),0)</f>
        <v>64254</v>
      </c>
      <c r="M350" s="263">
        <f>IFERROR((N(M194)+N(M198)+N(M200)+N(M201)),0)</f>
        <v>64254</v>
      </c>
      <c r="N350" s="263">
        <f>IFERROR((N(N194)+N(N198)+N(N200)+N(N201)),0)</f>
        <v>61948</v>
      </c>
      <c r="O350" s="263">
        <f>IFERROR((N(O194)+N(O198)+N(O200)+N(O201)),0)</f>
        <v>61354</v>
      </c>
      <c r="P350" s="263">
        <f>IFERROR((N(P194)+N(P198)+N(P200)+N(P201)),0)</f>
        <v>65979</v>
      </c>
      <c r="Q350" s="263">
        <f>IFERROR((N(Q194)+N(Q198)+N(Q200)+N(Q201)),0)</f>
        <v>69300</v>
      </c>
      <c r="R350" s="263">
        <f>IFERROR((N(R194)+N(R198)+N(R200)+N(R201)),0)</f>
        <v>69300</v>
      </c>
      <c r="S350" s="263">
        <f>IFERROR((N(S194)+N(S198)+N(S200)+N(S201)),0)</f>
        <v>68854</v>
      </c>
      <c r="T350" s="263">
        <f>IFERROR((N(T194)+N(T198)+N(T200)+N(T201)),0)</f>
        <v>77709</v>
      </c>
      <c r="U350" s="263">
        <f>IFERROR((N(U194)+N(U198)+N(U200)+N(U201)),0)</f>
        <v>86295</v>
      </c>
      <c r="V350" s="263">
        <f>IFERROR((N(V194)+N(V198)+N(V200)+N(V201)),0)</f>
        <v>81814</v>
      </c>
      <c r="W350" s="263">
        <f>IFERROR((N(W194)+N(W198)+N(W200)+N(W201)),0)</f>
        <v>81814</v>
      </c>
      <c r="X350" s="263">
        <f>IFERROR((N(X194)+N(X198)+N(X200)+N(X201)),0)</f>
        <v>76997</v>
      </c>
      <c r="Y350" s="263">
        <f>IFERROR((N(Y194)+N(Y198)+N(Y200)+N(Y201)),0)</f>
        <v>77913</v>
      </c>
      <c r="Z350" s="263">
        <f>IFERROR((N(Z194)+N(Z198)+N(Z200)+N(Z201)),0)</f>
        <v>80803</v>
      </c>
      <c r="AA350" s="263">
        <f>IFERROR((N(AA194)+N(AA198)+N(AA200)+N(AA201)),0)</f>
        <v>89122</v>
      </c>
      <c r="AB350" s="263">
        <f>IFERROR((N(AB194)+N(AB198)+N(AB200)+N(AB201)),0)</f>
        <v>89122</v>
      </c>
      <c r="AC350" s="263">
        <f>IFERROR((N(AC194)+N(AC198)+N(AC200)+N(AC201)),0)</f>
        <v>91654</v>
      </c>
      <c r="AD350" s="263">
        <f>IFERROR((N(AD194)+N(AD198)+N(AD200)+N(AD201)),0)</f>
        <v>87310</v>
      </c>
      <c r="AE350" s="263">
        <f>IFERROR((N(AE194)+N(AE198)+N(AE200)+N(AE201)),0)</f>
        <v>99550</v>
      </c>
      <c r="AF350" s="263">
        <f>IFERROR((N(AF194)+N(AF198)+N(AF200)+N(AF201)),0)</f>
        <v>102745</v>
      </c>
      <c r="AG350" s="263">
        <f>IFERROR((N(AG194)+N(AG198)+N(AG200)+N(AG201)),0)</f>
        <v>102745</v>
      </c>
      <c r="AH350" s="263">
        <f>IFERROR((N(AH194)+N(AH198)+N(AH200)+N(AH201)),0)</f>
        <v>111188</v>
      </c>
      <c r="AI350" s="263">
        <f>IFERROR((N(AI194)+N(AI198)+N(AI200)+N(AI201)),0)</f>
        <v>126111</v>
      </c>
      <c r="AJ350" s="263">
        <f>IFERROR((N(AJ194)+N(AJ198)+N(AJ200)+N(AJ201)),0)</f>
        <v>137519.295351268</v>
      </c>
      <c r="AK350" s="263">
        <f>IFERROR((N(AK194)+N(AK198)+N(AK200)+N(AK201)),0)</f>
        <v>159591.491632868</v>
      </c>
      <c r="AL350" s="263">
        <f>IFERROR((N(AL194)+N(AL198)+N(AL200)+N(AL201)),0)</f>
        <v>159591.491632868</v>
      </c>
      <c r="AM350" s="263">
        <f>IFERROR((N(AM194)+N(AM198)+N(AM200)+N(AM201)),0)</f>
        <v>183465.37992404</v>
      </c>
      <c r="AN350" s="263">
        <f>IFERROR((N(AN194)+N(AN198)+N(AN200)+N(AN201)),0)</f>
        <v>213016.06894544</v>
      </c>
      <c r="AO350" s="263">
        <f>IFERROR((N(AO194)+N(AO198)+N(AO200)+N(AO201)),0)</f>
        <v>246238.566210493</v>
      </c>
      <c r="AP350" s="263">
        <f>IFERROR((N(AP194)+N(AP198)+N(AP200)+N(AP201)),0)</f>
        <v>287319.579200863</v>
      </c>
      <c r="AQ350" s="263">
        <f>IFERROR((N(AQ194)+N(AQ198)+N(AQ200)+N(AQ201)),0)</f>
        <v>287319.579200863</v>
      </c>
      <c r="AR350" s="263">
        <f>IFERROR((N(AR194)+N(AR198)+N(AR200)+N(AR201)),0)</f>
        <v>331598.164708307</v>
      </c>
      <c r="AS350" s="263">
        <f>IFERROR((N(AS194)+N(AS198)+N(AS200)+N(AS201)),0)</f>
        <v>385710.660108648</v>
      </c>
      <c r="AT350" s="263">
        <f>IFERROR((N(AT194)+N(AT198)+N(AT200)+N(AT201)),0)</f>
        <v>447062.792411837</v>
      </c>
      <c r="AU350" s="263">
        <f>IFERROR((N(AU194)+N(AU198)+N(AU200)+N(AU201)),0)</f>
        <v>521268.834348898</v>
      </c>
      <c r="AV350" s="263">
        <f>IFERROR((N(AV194)+N(AV198)+N(AV200)+N(AV201)),0)</f>
        <v>521268.834348898</v>
      </c>
      <c r="AW350" s="263">
        <f>IFERROR((N(AW194)+N(AW198)+N(AW200)+N(AW201)),0)</f>
        <v>602674.664269557</v>
      </c>
      <c r="AX350" s="263">
        <f>IFERROR((N(AX194)+N(AX198)+N(AX200)+N(AX201)),0)</f>
        <v>699838.739626615</v>
      </c>
      <c r="AY350" s="263">
        <f>IFERROR((N(AY194)+N(AY198)+N(AY200)+N(AY201)),0)</f>
        <v>811078.307707557</v>
      </c>
      <c r="AZ350" s="263">
        <f>IFERROR((N(AZ194)+N(AZ198)+N(AZ200)+N(AZ201)),0)</f>
        <v>943551.592326728</v>
      </c>
      <c r="BA350" s="263">
        <f>IFERROR((N(BA194)+N(BA198)+N(BA200)+N(BA201)),0)</f>
        <v>943551.592326728</v>
      </c>
      <c r="BB350" s="263">
        <f>IFERROR((N(BB194)+N(BB198)+N(BB200)+N(BB201)),0)</f>
        <v>1089850.01506968</v>
      </c>
      <c r="BC350" s="263">
        <f>IFERROR((N(BC194)+N(BC198)+N(BC200)+N(BC201)),0)</f>
        <v>1262450.61500711</v>
      </c>
      <c r="BD350" s="263">
        <f>IFERROR((N(BD194)+N(BD198)+N(BD200)+N(BD201)),0)</f>
        <v>1460484.06140159</v>
      </c>
      <c r="BE350" s="263">
        <f>IFERROR((N(BE194)+N(BE198)+N(BE200)+N(BE201)),0)</f>
        <v>1693637.0729671</v>
      </c>
      <c r="BF350" s="263">
        <f>IFERROR((N(BF194)+N(BF198)+N(BF200)+N(BF201)),0)</f>
        <v>1693637.0729671</v>
      </c>
      <c r="BG350" s="90" t="n"/>
      <c r="BH350" s="90" t="n"/>
      <c r="BI350" s="90" t="n"/>
      <c r="BJ350" s="90" t="n"/>
      <c r="BL350" s="90" t="n"/>
      <c r="BM350" s="90" t="n"/>
      <c r="BN350" s="90" t="n"/>
      <c r="BO350" s="90" t="n"/>
      <c r="BQ350" s="90" t="n"/>
      <c r="BR350" s="90" t="n"/>
      <c r="BS350" s="90" t="n"/>
      <c r="BT350" s="90" t="n"/>
      <c r="BV350" s="90" t="n"/>
      <c r="BW350" s="90" t="n"/>
      <c r="BX350" s="90" t="n"/>
      <c r="BY350" s="90" t="n"/>
      <c r="CA350" s="90" t="n"/>
      <c r="CB350" s="90" t="n"/>
      <c r="CC350" s="90" t="n"/>
      <c r="CD350" s="90" t="n"/>
      <c r="CF350" s="90" t="n"/>
      <c r="CG350" s="90" t="n"/>
      <c r="CH350" s="90" t="n"/>
      <c r="CI350" s="90" t="n"/>
      <c r="CK350" s="90" t="n"/>
      <c r="CL350" s="90" t="n"/>
      <c r="CM350" s="90" t="n"/>
      <c r="CN350" s="90" t="n"/>
      <c r="CP350" s="90" t="n"/>
      <c r="CQ350" s="90" t="n"/>
      <c r="CR350" s="90" t="n"/>
      <c r="CS350" s="90" t="n"/>
      <c r="CU350" s="90" t="n"/>
      <c r="CV350" s="90" t="n"/>
      <c r="CW350" s="90" t="n"/>
      <c r="CX350" s="90" t="n"/>
    </row>
    <row r="351" customFormat="1" s="77">
      <c r="A351" s="76" t="n"/>
      <c r="B351" s="76" t="n"/>
      <c r="C351" s="77" t="inlineStr">
        <is>
          <t>FIXED ASSETS</t>
        </is>
      </c>
      <c r="D351" s="89">
        <f>IFERROR(D162+D172+D175+D176+D185-D236,"")</f>
        <v>0</v>
      </c>
      <c r="E351" s="89">
        <f>IFERROR(E162+E172+E175+E176+E185-E236,"")</f>
        <v>0</v>
      </c>
      <c r="F351" s="89">
        <f>IFERROR(F162+F172+F175+F176+F185-F236,"")</f>
        <v>0</v>
      </c>
      <c r="G351" s="89">
        <f>IFERROR(G162+G172+G175+G176+G185-G236,"")</f>
        <v>0</v>
      </c>
      <c r="H351" s="263">
        <f>IFERROR((N(H162)+N(H172)+N(H175)+N(H176)+N(H185))-N(H236),0)</f>
        <v>0</v>
      </c>
      <c r="I351" s="263">
        <f>IFERROR((N(I162)+N(I172)+N(I175)+N(I176)+N(I185))-N(I236),0)</f>
        <v>141875</v>
      </c>
      <c r="J351" s="263">
        <f>IFERROR((N(J162)+N(J172)+N(J175)+N(J176)+N(J185))-N(J236),0)</f>
        <v>147106</v>
      </c>
      <c r="K351" s="263">
        <f>IFERROR((N(K162)+N(K172)+N(K175)+N(K176)+N(K185))-N(K236),0)</f>
        <v>150354</v>
      </c>
      <c r="L351" s="263">
        <f>IFERROR((N(L162)+N(L172)+N(L175)+N(L176)+N(L185))-N(L236),0)</f>
        <v>157925</v>
      </c>
      <c r="M351" s="263">
        <f>IFERROR((N(M162)+N(M172)+N(M175)+N(M176)+N(M185))-N(M236),0)</f>
        <v>157925</v>
      </c>
      <c r="N351" s="263">
        <f>IFERROR((N(N162)+N(N172)+N(N175)+N(N176)+N(N185))-N(N236),0)</f>
        <v>165708</v>
      </c>
      <c r="O351" s="263">
        <f>IFERROR((N(O162)+N(O172)+N(O175)+N(O176)+N(O185))-N(O236),0)</f>
        <v>170267</v>
      </c>
      <c r="P351" s="263">
        <f>IFERROR((N(P162)+N(P172)+N(P175)+N(P176)+N(P185))-N(P236),0)</f>
        <v>177618</v>
      </c>
      <c r="Q351" s="263">
        <f>IFERROR((N(Q162)+N(Q172)+N(Q175)+N(Q176)+N(Q185))-N(Q236),0)</f>
        <v>183104</v>
      </c>
      <c r="R351" s="263">
        <f>IFERROR((N(R162)+N(R172)+N(R175)+N(R176)+N(R185))-N(R236),0)</f>
        <v>183104</v>
      </c>
      <c r="S351" s="263">
        <f>IFERROR((N(S162)+N(S172)+N(S175)+N(S176)+N(S185))-N(S236),0)</f>
        <v>187916</v>
      </c>
      <c r="T351" s="263">
        <f>IFERROR((N(T162)+N(T172)+N(T175)+N(T176)+N(T185))-N(T236),0)</f>
        <v>193714</v>
      </c>
      <c r="U351" s="263">
        <f>IFERROR((N(U162)+N(U172)+N(U175)+N(U176)+N(U185))-N(U236),0)</f>
        <v>199063</v>
      </c>
      <c r="V351" s="263">
        <f>IFERROR((N(V162)+N(V172)+N(V175)+N(V176)+N(V185))-N(V236),0)</f>
        <v>207692</v>
      </c>
      <c r="W351" s="263">
        <f>IFERROR((N(W162)+N(W172)+N(W175)+N(W176)+N(W185))-N(W236),0)</f>
        <v>207692</v>
      </c>
      <c r="X351" s="263">
        <f>IFERROR((N(X162)+N(X172)+N(X175)+N(X176)+N(X185))-N(X236),0)</f>
        <v>218354</v>
      </c>
      <c r="Y351" s="263">
        <f>IFERROR((N(Y162)+N(Y172)+N(Y175)+N(Y176)+N(Y185))-N(Y236),0)</f>
        <v>227376</v>
      </c>
      <c r="Z351" s="263">
        <f>IFERROR((N(Z162)+N(Z172)+N(Z175)+N(Z176)+N(Z185))-N(Z236),0)</f>
        <v>246123</v>
      </c>
      <c r="AA351" s="263">
        <f>IFERROR((N(AA162)+N(AA172)+N(AA175)+N(AA176)+N(AA185))-N(AA236),0)</f>
        <v>255889</v>
      </c>
      <c r="AB351" s="263">
        <f>IFERROR((N(AB162)+N(AB172)+N(AB175)+N(AB176)+N(AB185))-N(AB236),0)</f>
        <v>255889</v>
      </c>
      <c r="AC351" s="263">
        <f>IFERROR((N(AC162)+N(AC172)+N(AC175)+N(AC176)+N(AC185))-N(AC236),0)</f>
        <v>279047</v>
      </c>
      <c r="AD351" s="263">
        <f>IFERROR((N(AD162)+N(AD172)+N(AD175)+N(AD176)+N(AD185))-N(AD236),0)</f>
        <v>300280</v>
      </c>
      <c r="AE351" s="263">
        <f>IFERROR((N(AE162)+N(AE172)+N(AE175)+N(AE176)+N(AE185))-N(AE236),0)</f>
        <v>335852</v>
      </c>
      <c r="AF351" s="263">
        <f>IFERROR((N(AF162)+N(AF172)+N(AF175)+N(AF176)+N(AF185))-N(AF236),0)</f>
        <v>362150</v>
      </c>
      <c r="AG351" s="263">
        <f>IFERROR((N(AG162)+N(AG172)+N(AG175)+N(AG176)+N(AG185))-N(AG236),0)</f>
        <v>362150</v>
      </c>
      <c r="AH351" s="263">
        <f>IFERROR((N(AH162)+N(AH172)+N(AH175)+N(AH176)+N(AH185))-N(AH236),0)</f>
        <v>464670</v>
      </c>
      <c r="AI351" s="263">
        <f>IFERROR((N(AI162)+N(AI172)+N(AI175)+N(AI176)+N(AI185))-N(AI236),0)</f>
        <v>557194</v>
      </c>
      <c r="AJ351" s="263">
        <f>IFERROR((N(AJ162)+N(AJ172)+N(AJ175)+N(AJ176)+N(AJ185))-N(AJ236),0)</f>
        <v>585810.558077179</v>
      </c>
      <c r="AK351" s="263">
        <f>IFERROR((N(AK162)+N(AK172)+N(AK175)+N(AK176)+N(AK185))-N(AK236),0)</f>
        <v>617637.832121766</v>
      </c>
      <c r="AL351" s="263">
        <f>IFERROR((N(AL162)+N(AL172)+N(AL175)+N(AL176)+N(AL185))-N(AL236),0)</f>
        <v>617637.832121766</v>
      </c>
      <c r="AM351" s="263">
        <f>IFERROR((N(AM162)+N(AM172)+N(AM175)+N(AM176)+N(AM185))-N(AM236),0)</f>
        <v>648365.415676078</v>
      </c>
      <c r="AN351" s="263">
        <f>IFERROR((N(AN162)+N(AN172)+N(AN175)+N(AN176)+N(AN185))-N(AN236),0)</f>
        <v>681861.098862659</v>
      </c>
      <c r="AO351" s="263">
        <f>IFERROR((N(AO162)+N(AO172)+N(AO175)+N(AO176)+N(AO185))-N(AO236),0)</f>
        <v>715523.516824855</v>
      </c>
      <c r="AP351" s="263">
        <f>IFERROR((N(AP162)+N(AP172)+N(AP175)+N(AP176)+N(AP185))-N(AP236),0)</f>
        <v>752962.785327961</v>
      </c>
      <c r="AQ351" s="263">
        <f>IFERROR((N(AQ162)+N(AQ172)+N(AQ175)+N(AQ176)+N(AQ185))-N(AQ236),0)</f>
        <v>752962.785327961</v>
      </c>
      <c r="AR351" s="263">
        <f>IFERROR((N(AR162)+N(AR172)+N(AR175)+N(AR176)+N(AR185))-N(AR236),0)</f>
        <v>788954.820757204</v>
      </c>
      <c r="AS351" s="263">
        <f>IFERROR((N(AS162)+N(AS172)+N(AS175)+N(AS176)+N(AS185))-N(AS236),0)</f>
        <v>828189.204868377</v>
      </c>
      <c r="AT351" s="263">
        <f>IFERROR((N(AT162)+N(AT172)+N(AT175)+N(AT176)+N(AT185))-N(AT236),0)</f>
        <v>867618.889854436</v>
      </c>
      <c r="AU351" s="263">
        <f>IFERROR((N(AU162)+N(AU172)+N(AU175)+N(AU176)+N(AU185))-N(AU236),0)</f>
        <v>911472.500276711</v>
      </c>
      <c r="AV351" s="263">
        <f>IFERROR((N(AV162)+N(AV172)+N(AV175)+N(AV176)+N(AV185))-N(AV236),0)</f>
        <v>911472.500276711</v>
      </c>
      <c r="AW351" s="263">
        <f>IFERROR((N(AW162)+N(AW172)+N(AW175)+N(AW176)+N(AW185))-N(AW236),0)</f>
        <v>953450.967951535</v>
      </c>
      <c r="AX351" s="263">
        <f>IFERROR((N(AX162)+N(AX172)+N(AX175)+N(AX176)+N(AX185))-N(AX236),0)</f>
        <v>999211.073083416</v>
      </c>
      <c r="AY351" s="263">
        <f>IFERROR((N(AY162)+N(AY172)+N(AY175)+N(AY176)+N(AY185))-N(AY236),0)</f>
        <v>1045198.96281724</v>
      </c>
      <c r="AZ351" s="263">
        <f>IFERROR((N(AZ162)+N(AZ172)+N(AZ175)+N(AZ176)+N(AZ185))-N(AZ236),0)</f>
        <v>1096346.59438575</v>
      </c>
      <c r="BA351" s="263">
        <f>IFERROR((N(BA162)+N(BA172)+N(BA175)+N(BA176)+N(BA185))-N(BA236),0)</f>
        <v>1096346.59438575</v>
      </c>
      <c r="BB351" s="263">
        <f>IFERROR((N(BB162)+N(BB172)+N(BB175)+N(BB176)+N(BB185))-N(BB236),0)</f>
        <v>1145097.30478379</v>
      </c>
      <c r="BC351" s="263">
        <f>IFERROR((N(BC162)+N(BC172)+N(BC175)+N(BC176)+N(BC185))-N(BC236),0)</f>
        <v>1198239.73128561</v>
      </c>
      <c r="BD351" s="263">
        <f>IFERROR((N(BD162)+N(BD172)+N(BD175)+N(BD176)+N(BD185))-N(BD236),0)</f>
        <v>1251646.69010072</v>
      </c>
      <c r="BE351" s="263">
        <f>IFERROR((N(BE162)+N(BE172)+N(BE175)+N(BE176)+N(BE185))-N(BE236),0)</f>
        <v>1311045.79426663</v>
      </c>
      <c r="BF351" s="263">
        <f>IFERROR((N(BF162)+N(BF172)+N(BF175)+N(BF176)+N(BF185))-N(BF236),0)</f>
        <v>1311045.79426663</v>
      </c>
      <c r="BG351" s="90" t="n"/>
      <c r="BH351" s="90" t="n"/>
      <c r="BI351" s="90" t="n"/>
      <c r="BJ351" s="90" t="n"/>
      <c r="BL351" s="90" t="n"/>
      <c r="BM351" s="90" t="n"/>
      <c r="BN351" s="90" t="n"/>
      <c r="BO351" s="90" t="n"/>
      <c r="BQ351" s="90" t="n"/>
      <c r="BR351" s="90" t="n"/>
      <c r="BS351" s="90" t="n"/>
      <c r="BT351" s="90" t="n"/>
      <c r="BV351" s="90" t="n"/>
      <c r="BW351" s="90" t="n"/>
      <c r="BX351" s="90" t="n"/>
      <c r="BY351" s="90" t="n"/>
      <c r="CA351" s="90" t="n"/>
      <c r="CB351" s="90" t="n"/>
      <c r="CC351" s="90" t="n"/>
      <c r="CD351" s="90" t="n"/>
      <c r="CF351" s="90" t="n"/>
      <c r="CG351" s="90" t="n"/>
      <c r="CH351" s="90" t="n"/>
      <c r="CI351" s="90" t="n"/>
      <c r="CK351" s="90" t="n"/>
      <c r="CL351" s="90" t="n"/>
      <c r="CM351" s="90" t="n"/>
      <c r="CN351" s="90" t="n"/>
      <c r="CP351" s="90" t="n"/>
      <c r="CQ351" s="90" t="n"/>
      <c r="CR351" s="90" t="n"/>
      <c r="CS351" s="90" t="n"/>
      <c r="CU351" s="90" t="n"/>
      <c r="CV351" s="90" t="n"/>
      <c r="CW351" s="90" t="n"/>
      <c r="CX351" s="90" t="n"/>
    </row>
    <row r="352" customFormat="1" s="77">
      <c r="A352" s="76" t="n"/>
      <c r="B352" s="76" t="n"/>
    </row>
    <row r="353" customFormat="1" s="77">
      <c r="A353" s="76" t="n"/>
      <c r="B353" s="76" t="n"/>
    </row>
    <row r="354" customFormat="1" s="77">
      <c r="A354" s="76" t="n"/>
      <c r="B354" s="76" t="n"/>
    </row>
    <row r="355" customFormat="1" s="77">
      <c r="A355" s="76" t="n"/>
      <c r="B355" s="76" t="n"/>
    </row>
    <row r="356" customFormat="1" s="77">
      <c r="A356" s="76" t="n"/>
      <c r="B356" s="76" t="n"/>
    </row>
    <row r="357" customFormat="1" s="77">
      <c r="A357" s="76" t="n"/>
      <c r="B357" s="76" t="n"/>
    </row>
    <row r="358" customFormat="1" s="77">
      <c r="A358" s="76" t="n"/>
      <c r="B358" s="76" t="n"/>
    </row>
    <row r="359" customFormat="1" s="77">
      <c r="A359" s="76" t="n"/>
      <c r="B359" s="76" t="n"/>
      <c r="C359" s="74" t="inlineStr">
        <is>
          <t>DUPONT ANALYSIS</t>
        </is>
      </c>
    </row>
    <row r="360" customFormat="1" s="77">
      <c r="A360" s="76" t="n"/>
      <c r="B360" s="76" t="n"/>
      <c r="C360" s="77" t="inlineStr">
        <is>
          <t>NET PROFIT MARGIN (LTM)</t>
        </is>
      </c>
      <c r="D360" s="84" t="str">
        <f>IFERROR(D133/D15,"")</f>
        <v/>
      </c>
      <c r="E360" s="84" t="str">
        <f>IFERROR(E133/E15,"")</f>
        <v/>
      </c>
      <c r="F360" s="84" t="str">
        <f>IFERROR(F133/F15,"")</f>
        <v/>
      </c>
      <c r="G360" s="84" t="str">
        <f>IFERROR(G133/G15,"")</f>
        <v/>
      </c>
      <c r="H360" s="258" t="str">
        <f>IFERROR(IF(AND(COUNT(H133)=1,(H15)&lt;&gt;0),(H133)/(H15),""),"")</f>
        <v/>
      </c>
      <c r="I360" s="257" t="str">
        <f>""</f>
        <v/>
      </c>
      <c r="J360" s="257" t="str">
        <f>""</f>
        <v/>
      </c>
      <c r="K360" s="257" t="str">
        <f>""</f>
        <v/>
      </c>
      <c r="L360" s="257">
        <f>IFERROR(IF(AND(COUNT(I133,J133,K133,L133)=4,(I15+J15+K15+L15)&lt;&gt;0),(I133+J133+K133+L133)/(I15+J15+K15+L15),""),"")</f>
        <v>0.295116772823779</v>
      </c>
      <c r="M360" s="258">
        <f>IFERROR(IF(AND(COUNT(I133,J133,K133,L133)=4,(I15+J15+K15+L15)&lt;&gt;0),(I133+J133+K133+L133)/(I15+J15+K15+L15),""),"")</f>
        <v>0.295116772823779</v>
      </c>
      <c r="N360" s="257">
        <f>IFERROR(IF(AND(COUNT(J133,K133,L133,N133)=4,(J15+K15+L15+N15)&lt;&gt;0),(J133+K133+L133+N133)/(J15+K15+L15+N15),""),"")</f>
        <v>0.27572928303506</v>
      </c>
      <c r="O360" s="257">
        <f>IFERROR(IF(AND(COUNT(K133,L133,N133,O133)=4,(K15+L15+N15+O15)&lt;&gt;0),(K133+L133+N133+O133)/(K15+L15+N15+O15),""),"")</f>
        <v>0.258920899262599</v>
      </c>
      <c r="P360" s="257">
        <f>IFERROR(IF(AND(COUNT(L133,N133,O133,P133)=4,(L15+N15+O15+P15)&lt;&gt;0),(L133+N133+O133+P133)/(L15+N15+O15+P15),""),"")</f>
        <v>0.237458039863459</v>
      </c>
      <c r="Q360" s="257">
        <f>IFERROR(IF(AND(COUNT(N133,O133,P133,Q133)=4,(N15+O15+P15+Q15)&lt;&gt;0),(N133+O133+P133+Q133)/(N15+O15+P15+Q15),""),"")</f>
        <v>0.21203807153262</v>
      </c>
      <c r="R360" s="258">
        <f>IFERROR(IF(AND(COUNT(N133,O133,P133,Q133)=4,(N15+O15+P15+Q15)&lt;&gt;0),(N133+O133+P133+Q133)/(N15+O15+P15+Q15),""),"")</f>
        <v>0.21203807153262</v>
      </c>
      <c r="S360" s="257">
        <f>IFERROR(IF(AND(COUNT(O133,P133,Q133,S133)=4,(O15+P15+Q15+S15)&lt;&gt;0),(O133+P133+Q133+S133)/(O15+P15+Q15+S15),""),"")</f>
        <v>0.205848664146276</v>
      </c>
      <c r="T360" s="257">
        <f>IFERROR(IF(AND(COUNT(P133,Q133,S133,T133)=4,(P15+Q15+S15+T15)&lt;&gt;0),(P133+Q133+S133+T133)/(P15+Q15+S15+T15),""),"")</f>
        <v>0.210523225492262</v>
      </c>
      <c r="U360" s="257">
        <f>IFERROR(IF(AND(COUNT(Q133,S133,T133,U133)=4,(Q15+S15+T15+U15)&lt;&gt;0),(Q133+S133+T133+U133)/(Q15+S15+T15+U15),""),"")</f>
        <v>0.224587052219216</v>
      </c>
      <c r="V360" s="257">
        <f>IFERROR(IF(AND(COUNT(S133,T133,U133,V133)=4,(S15+T15+U15+V15)&lt;&gt;0),(S133+T133+U133+V133)/(S15+T15+U15+V15),""),"")</f>
        <v>0.240066494466385</v>
      </c>
      <c r="W360" s="258">
        <f>IFERROR(IF(AND(COUNT(S133,T133,U133,V133)=4,(S15+T15+U15+V15)&lt;&gt;0),(S133+T133+U133+V133)/(S15+T15+U15+V15),""),"")</f>
        <v>0.240066494466385</v>
      </c>
      <c r="X360" s="257">
        <f>IFERROR(IF(AND(COUNT(T133,U133,V133,X133)=4,(T15+U15+V15+X15)&lt;&gt;0),(T133+U133+V133+X133)/(T15+U15+V15+X15),""),"")</f>
        <v>0.259019443903114</v>
      </c>
      <c r="Y360" s="257">
        <f>IFERROR(IF(AND(COUNT(U133,V133,X133,Y133)=4,(U15+V15+X15+Y15)&lt;&gt;0),(U133+V133+X133+Y133)/(U15+V15+X15+Y15),""),"")</f>
        <v>0.26701575465146</v>
      </c>
      <c r="Z360" s="257">
        <f>IFERROR(IF(AND(COUNT(V133,X133,Y133,Z133)=4,(V15+X15+Y15+Z15)&lt;&gt;0),(V133+X133+Y133+Z133)/(V15+X15+Y15+Z15),""),"")</f>
        <v>0.277376794494187</v>
      </c>
      <c r="AA360" s="257">
        <f>IFERROR(IF(AND(COUNT(X133,Y133,Z133,AA133)=4,(X15+Y15+Z15+AA15)&lt;&gt;0),(X133+Y133+Z133+AA133)/(X15+Y15+Z15+AA15),""),"")</f>
        <v>0.28603671811164</v>
      </c>
      <c r="AB360" s="258">
        <f>IFERROR(IF(AND(COUNT(X133,Y133,Z133,AA133)=4,(X15+Y15+Z15+AA15)&lt;&gt;0),(X133+Y133+Z133+AA133)/(X15+Y15+Z15+AA15),""),"")</f>
        <v>0.28603671811164</v>
      </c>
      <c r="AC360" s="257">
        <f>IFERROR(IF(AND(COUNT(Y133,Z133,AA133,AC133)=4,(Y15+Z15+AA15+AC15)&lt;&gt;0),(Y133+Z133+AA133+AC133)/(Y15+Z15+AA15+AC15),""),"")</f>
        <v>0.30856821966401</v>
      </c>
      <c r="AD360" s="257">
        <f>IFERROR(IF(AND(COUNT(Z133,AA133,AC133,AD133)=4,(Z15+AA15+AC15+AD15)&lt;&gt;0),(Z133+AA133+AC133+AD133)/(Z15+AA15+AC15+AD15),""),"")</f>
        <v>0.311182851865514</v>
      </c>
      <c r="AE360" s="257">
        <f>IFERROR(IF(AND(COUNT(AA133,AC133,AD133,AE133)=4,(AA15+AC15+AD15+AE15)&lt;&gt;0),(AA133+AC133+AD133+AE133)/(AA15+AC15+AD15+AE15),""),"")</f>
        <v>0.322330515179894</v>
      </c>
      <c r="AF360" s="257">
        <f>IFERROR(IF(AND(COUNT(AB133,AD133,AE133,AF133)=4,(AB15+AD15+AE15+AF15)&lt;&gt;0),(AB133+AD133+AE133+AF133)/(AB15+AD15+AE15+AF15),""),"")</f>
        <v>0.298433040908755</v>
      </c>
      <c r="AG360" s="258">
        <f>IFERROR(IF(AND(COUNT(AC133,AD133,AE133,AF133)=4,(AC15+AD15+AE15+AF15)&lt;&gt;0),(AC133+AD133+AE133+AF133)/(AC15+AD15+AE15+AF15),""),"")</f>
        <v>0.328097965181947</v>
      </c>
      <c r="AH360" s="257">
        <f>IFERROR(IF(AND(COUNT(AD133,AF133,AG133,AH133)=4,(AD15+AF15+AG15+AH15)&lt;&gt;0),(AD133+AF133+AG133+AH133)/(AD15+AF15+AG15+AH15),""),"")</f>
        <v>0.356020138591129</v>
      </c>
      <c r="AI360" s="257">
        <f>IFERROR(IF(AND(COUNT(AE133,AG133,AH133,AI133)=4,(AE15+AG15+AH15+AI15)&lt;&gt;0),(AE133+AG133+AH133+AI133)/(AE15+AG15+AH15+AI15),""),"")</f>
        <v>0.465276407552305</v>
      </c>
      <c r="AJ360" s="257">
        <f>IFERROR(IF(AND(COUNT(AF133,AH133,AI133,AJ133)=4,(AF15+AH15+AI15+AJ15)&lt;&gt;0),(AF133+AH133+AI133+AJ133)/(AF15+AH15+AI15+AJ15),""),"")</f>
        <v>0.578750978240594</v>
      </c>
      <c r="AK360" s="257">
        <f>IFERROR(IF(AND(COUNT(AH133,AI133,AJ133,AK133)=4,(AH15+AI15+AJ15+AK15)&lt;&gt;0),(AH133+AI133+AJ133+AK133)/(AH15+AI15+AJ15+AK15),""),"")</f>
        <v>0.619749111087587</v>
      </c>
      <c r="AL360" s="258">
        <f>IFERROR(IF(AND(COUNT(AH133,AI133,AJ133,AK133)=4,(AH15+AI15+AJ15+AK15)&lt;&gt;0),(AH133+AI133+AJ133+AK133)/(AH15+AI15+AJ15+AK15),""),"")</f>
        <v>0.619749111087587</v>
      </c>
      <c r="AM360" s="257">
        <f>IFERROR(IF(AND(COUNT(AI133,AJ133,AK133,AM133)=4,(AI15+AJ15+AK15+AM15)&lt;&gt;0),(AI133+AJ133+AK133+AM133)/(AI15+AJ15+AK15+AM15),""),"")</f>
        <v>0.597993267657141</v>
      </c>
      <c r="AN360" s="257">
        <f>IFERROR(IF(AND(COUNT(AJ133,AK133,AM133,AN133)=4,(AJ15+AK15+AM15+AN15)&lt;&gt;0),(AJ133+AK133+AM133+AN133)/(AJ15+AK15+AM15+AN15),""),"")</f>
        <v>0.492259703969454</v>
      </c>
      <c r="AO360" s="257">
        <f>IFERROR(IF(AND(COUNT(AK133,AM133,AN133,AO133)=4,(AK15+AM15+AN15+AO15)&lt;&gt;0),(AK133+AM133+AN133+AO133)/(AK15+AM15+AN15+AO15),""),"")</f>
        <v>0.492259703969454</v>
      </c>
      <c r="AP360" s="257">
        <f>IFERROR(IF(AND(COUNT(AM133,AN133,AO133,AP133)=4,(AM15+AN15+AO15+AP15)&lt;&gt;0),(AM133+AN133+AO133+AP133)/(AM15+AN15+AO15+AP15),""),"")</f>
        <v>0.492259703969454</v>
      </c>
      <c r="AQ360" s="258">
        <f>IFERROR(IF(AND(COUNT(AM133,AN133,AO133,AP133)=4,(AM15+AN15+AO15+AP15)&lt;&gt;0),(AM133+AN133+AO133+AP133)/(AM15+AN15+AO15+AP15),""),"")</f>
        <v>0.492259703969454</v>
      </c>
      <c r="AR360" s="257">
        <f>IFERROR(IF(AND(COUNT(AN133,AO133,AP133,AR133)=4,(AN15+AO15+AP15+AR15)&lt;&gt;0),(AN133+AO133+AP133+AR133)/(AN15+AO15+AP15+AR15),""),"")</f>
        <v>0.492259703969454</v>
      </c>
      <c r="AS360" s="257">
        <f>IFERROR(IF(AND(COUNT(AO133,AP133,AR133,AS133)=4,(AO15+AP15+AR15+AS15)&lt;&gt;0),(AO133+AP133+AR133+AS133)/(AO15+AP15+AR15+AS15),""),"")</f>
        <v>0.492259703969454</v>
      </c>
      <c r="AT360" s="257">
        <f>IFERROR(IF(AND(COUNT(AP133,AR133,AS133,AT133)=4,(AP15+AR15+AS15+AT15)&lt;&gt;0),(AP133+AR133+AS133+AT133)/(AP15+AR15+AS15+AT15),""),"")</f>
        <v>0.492259703969454</v>
      </c>
      <c r="AU360" s="257">
        <f>IFERROR(IF(AND(COUNT(AR133,AS133,AT133,AU133)=4,(AR15+AS15+AT15+AU15)&lt;&gt;0),(AR133+AS133+AT133+AU133)/(AR15+AS15+AT15+AU15),""),"")</f>
        <v>0.492259703969454</v>
      </c>
      <c r="AV360" s="258">
        <f>IFERROR(IF(AND(COUNT(AR133,AS133,AT133,AU133)=4,(AR15+AS15+AT15+AU15)&lt;&gt;0),(AR133+AS133+AT133+AU133)/(AR15+AS15+AT15+AU15),""),"")</f>
        <v>0.492259703969454</v>
      </c>
      <c r="AW360" s="257">
        <f>IFERROR(IF(AND(COUNT(AS133,AT133,AU133,AW133)=4,(AS15+AT15+AU15+AW15)&lt;&gt;0),(AS133+AT133+AU133+AW133)/(AS15+AT15+AU15+AW15),""),"")</f>
        <v>0.492259703969454</v>
      </c>
      <c r="AX360" s="257">
        <f>IFERROR(IF(AND(COUNT(AT133,AU133,AW133,AX133)=4,(AT15+AU15+AW15+AX15)&lt;&gt;0),(AT133+AU133+AW133+AX133)/(AT15+AU15+AW15+AX15),""),"")</f>
        <v>0.492259703969454</v>
      </c>
      <c r="AY360" s="257">
        <f>IFERROR(IF(AND(COUNT(AU133,AW133,AX133,AY133)=4,(AU15+AW15+AX15+AY15)&lt;&gt;0),(AU133+AW133+AX133+AY133)/(AU15+AW15+AX15+AY15),""),"")</f>
        <v>0.492259703969454</v>
      </c>
      <c r="AZ360" s="257">
        <f>IFERROR(IF(AND(COUNT(AW133,AX133,AY133,AZ133)=4,(AW15+AX15+AY15+AZ15)&lt;&gt;0),(AW133+AX133+AY133+AZ133)/(AW15+AX15+AY15+AZ15),""),"")</f>
        <v>0.492259703969454</v>
      </c>
      <c r="BA360" s="258">
        <f>IFERROR(IF(AND(COUNT(AW133,AX133,AY133,AZ133)=4,(AW15+AX15+AY15+AZ15)&lt;&gt;0),(AW133+AX133+AY133+AZ133)/(AW15+AX15+AY15+AZ15),""),"")</f>
        <v>0.492259703969454</v>
      </c>
      <c r="BB360" s="257">
        <f>IFERROR(IF(AND(COUNT(AX133,AY133,AZ133,BB133)=4,(AX15+AY15+AZ15+BB15)&lt;&gt;0),(AX133+AY133+AZ133+BB133)/(AX15+AY15+AZ15+BB15),""),"")</f>
        <v>0.492259703969454</v>
      </c>
      <c r="BC360" s="257">
        <f>IFERROR(IF(AND(COUNT(AY133,AZ133,BB133,BC133)=4,(AY15+AZ15+BB15+BC15)&lt;&gt;0),(AY133+AZ133+BB133+BC133)/(AY15+AZ15+BB15+BC15),""),"")</f>
        <v>0.492259703969454</v>
      </c>
      <c r="BD360" s="257">
        <f>IFERROR(IF(AND(COUNT(AZ133,BB133,BC133,BD133)=4,(AZ15+BB15+BC15+BD15)&lt;&gt;0),(AZ133+BB133+BC133+BD133)/(AZ15+BB15+BC15+BD15),""),"")</f>
        <v>0.492259703969454</v>
      </c>
      <c r="BE360" s="257">
        <f>IFERROR(IF(AND(COUNT(BB133,BC133,BD133,BE133)=4,(BB15+BC15+BD15+BE15)&lt;&gt;0),(BB133+BC133+BD133+BE133)/(BB15+BC15+BD15+BE15),""),"")</f>
        <v>0.492259703969454</v>
      </c>
      <c r="BF360" s="258">
        <f>IFERROR(IF(AND(COUNT(BB133,BC133,BD133,BE133)=4,(BB15+BC15+BD15+BE15)&lt;&gt;0),(BB133+BC133+BD133+BE133)/(BB15+BC15+BD15+BE15),""),"")</f>
        <v>0.492259703969454</v>
      </c>
      <c r="BG360" s="81" t="n"/>
      <c r="BH360" s="81" t="n"/>
      <c r="BI360" s="81" t="n"/>
      <c r="BJ360" s="81" t="n"/>
      <c r="BL360" s="81" t="n"/>
      <c r="BM360" s="81" t="n"/>
      <c r="BN360" s="81" t="n"/>
      <c r="BO360" s="81" t="n"/>
      <c r="BQ360" s="81" t="n"/>
      <c r="BR360" s="81" t="n"/>
      <c r="BS360" s="81" t="n"/>
      <c r="BT360" s="81" t="n"/>
      <c r="BV360" s="81" t="n"/>
      <c r="BW360" s="81" t="n"/>
      <c r="BX360" s="81" t="n"/>
      <c r="BY360" s="81" t="n"/>
      <c r="CA360" s="81" t="n"/>
      <c r="CB360" s="81" t="n"/>
      <c r="CC360" s="81" t="n"/>
      <c r="CD360" s="81" t="n"/>
      <c r="CF360" s="81" t="n"/>
      <c r="CG360" s="81" t="n"/>
      <c r="CH360" s="81" t="n"/>
      <c r="CI360" s="81" t="n"/>
      <c r="CK360" s="81" t="n"/>
      <c r="CL360" s="81" t="n"/>
      <c r="CM360" s="81" t="n"/>
      <c r="CN360" s="81" t="n"/>
      <c r="CP360" s="81" t="n"/>
      <c r="CQ360" s="81" t="n"/>
      <c r="CR360" s="81" t="n"/>
      <c r="CS360" s="81" t="n"/>
      <c r="CU360" s="81" t="n"/>
      <c r="CV360" s="81" t="n"/>
      <c r="CW360" s="81" t="n"/>
      <c r="CX360" s="81" t="n"/>
    </row>
    <row r="361" customFormat="1" s="77">
      <c r="A361" s="76" t="n"/>
      <c r="B361" s="76" t="n"/>
      <c r="C361" s="77" t="inlineStr">
        <is>
          <t>ASSET TURNOVER (LTM REVENUE / ASSETS)</t>
        </is>
      </c>
      <c r="D361" s="84" t="str">
        <f>IFERROR(D15/D193,"")</f>
        <v/>
      </c>
      <c r="E361" s="84" t="str">
        <f>IFERROR(E15/E193,"")</f>
        <v/>
      </c>
      <c r="F361" s="84" t="str">
        <f>IFERROR(F15/F193,"")</f>
        <v/>
      </c>
      <c r="G361" s="84" t="str">
        <f>IFERROR(G15/G193,"")</f>
        <v/>
      </c>
      <c r="H361" s="262" t="str">
        <f>IFERROR(IF(AND(COUNT(H15)=1,N(H193)&lt;&gt;0),(H15)/H193,""),"")</f>
        <v/>
      </c>
      <c r="I361" s="264" t="str">
        <f>""</f>
        <v/>
      </c>
      <c r="J361" s="264" t="str">
        <f>""</f>
        <v/>
      </c>
      <c r="K361" s="264" t="str">
        <f>""</f>
        <v/>
      </c>
      <c r="L361" s="264">
        <f>IFERROR(IF(AND(COUNT(I15,J15,K15,L15)=4,N(L193)&lt;&gt;0),(I15+J15+K15+L15)/L193,""),"")</f>
        <v>0.717116470155984</v>
      </c>
      <c r="M361" s="262">
        <f>IFERROR(IF(AND(COUNT(I15,J15,K15,L15)=4,N(M193)&lt;&gt;0),(I15+J15+K15+L15)/M193,""),"")</f>
        <v>0.717116470155984</v>
      </c>
      <c r="N361" s="264">
        <f>IFERROR(IF(AND(COUNT(J15,K15,L15,N15)=4,N(N193)&lt;&gt;0),(J15+K15+L15+N15)/N193,""),"")</f>
        <v>0.757034522929408</v>
      </c>
      <c r="O361" s="264">
        <f>IFERROR(IF(AND(COUNT(K15,L15,N15,O15)=4,N(O193)&lt;&gt;0),(K15+L15+N15+O15)/O193,""),"")</f>
        <v>0.78308205583006</v>
      </c>
      <c r="P361" s="264">
        <f>IFERROR(IF(AND(COUNT(L15,N15,O15,P15)=4,N(P193)&lt;&gt;0),(L15+N15+O15+P15)/P193,""),"")</f>
        <v>0.78746423636795</v>
      </c>
      <c r="Q361" s="264">
        <f>IFERROR(IF(AND(COUNT(N15,O15,P15,Q15)=4,N(Q193)&lt;&gt;0),(N15+O15+P15+Q15)/Q193,""),"")</f>
        <v>0.774333085111043</v>
      </c>
      <c r="R361" s="262">
        <f>IFERROR(IF(AND(COUNT(N15,O15,P15,Q15)=4,N(R193)&lt;&gt;0),(N15+O15+P15+Q15)/R193,""),"")</f>
        <v>0.774333085111043</v>
      </c>
      <c r="S361" s="264">
        <f>IFERROR(IF(AND(COUNT(O15,P15,Q15,S15)=4,N(S193)&lt;&gt;0),(O15+P15+Q15+S15)/S193,""),"")</f>
        <v>0.770281278840351</v>
      </c>
      <c r="T361" s="264">
        <f>IFERROR(IF(AND(COUNT(P15,Q15,S15,T15)=4,N(T193)&lt;&gt;0),(P15+Q15+S15+T15)/T193,""),"")</f>
        <v>0.755868777477261</v>
      </c>
      <c r="U361" s="264">
        <f>IFERROR(IF(AND(COUNT(Q15,S15,T15,U15)=4,N(U193)&lt;&gt;0),(Q15+S15+T15+U15)/U193,""),"")</f>
        <v>0.748988558421622</v>
      </c>
      <c r="V361" s="264">
        <f>IFERROR(IF(AND(COUNT(S15,T15,U15,V15)=4,N(V193)&lt;&gt;0),(S15+T15+U15+V15)/V193,""),"")</f>
        <v>0.763916777669536</v>
      </c>
      <c r="W361" s="262">
        <f>IFERROR(IF(AND(COUNT(S15,T15,U15,V15)=4,N(W193)&lt;&gt;0),(S15+T15+U15+V15)/W193,""),"")</f>
        <v>0.763916777669536</v>
      </c>
      <c r="X361" s="264">
        <f>IFERROR(IF(AND(COUNT(T15,U15,V15,X15)=4,N(X193)&lt;&gt;0),(T15+U15+V15+X15)/X193,""),"")</f>
        <v>0.781013870136247</v>
      </c>
      <c r="Y361" s="264">
        <f>IFERROR(IF(AND(COUNT(U15,V15,X15,Y15)=4,N(Y193)&lt;&gt;0),(U15+V15+X15+Y15)/Y193,""),"")</f>
        <v>0.791484437157943</v>
      </c>
      <c r="Z361" s="264">
        <f>IFERROR(IF(AND(COUNT(V15,X15,Y15,Z15)=4,N(Z193)&lt;&gt;0),(V15+X15+Y15+Z15)/Z193,""),"")</f>
        <v>0.789881143292754</v>
      </c>
      <c r="AA361" s="264">
        <f>IFERROR(IF(AND(COUNT(X15,Y15,Z15,AA15)=4,N(AA193)&lt;&gt;0),(X15+Y15+Z15+AA15)/AA193,""),"")</f>
        <v>0.777375537472016</v>
      </c>
      <c r="AB361" s="262">
        <f>IFERROR(IF(AND(COUNT(X15,Y15,Z15,AA15)=4,N(AB193)&lt;&gt;0),(X15+Y15+Z15+AA15)/AB193,""),"")</f>
        <v>0.777375537472016</v>
      </c>
      <c r="AC361" s="264">
        <f>IFERROR(IF(AND(COUNT(Y15,Z15,AA15,AC15)=4,N(AC193)&lt;&gt;0),(Y15+Z15+AA15+AC15)/AC193,""),"")</f>
        <v>0.75669472878197</v>
      </c>
      <c r="AD361" s="264">
        <f>IFERROR(IF(AND(COUNT(Z15,AA15,AC15,AD15)=4,N(AD193)&lt;&gt;0),(Z15+AA15+AC15+AD15)/AD193,""),"")</f>
        <v>0.739760543209582</v>
      </c>
      <c r="AE361" s="264">
        <f>IFERROR(IF(AND(COUNT(AA15,AC15,AD15,AE15)=4,N(AE193)&lt;&gt;0),(AA15+AC15+AD15+AE15)/AE193,""),"")</f>
        <v>0.718544780779505</v>
      </c>
      <c r="AF361" s="264">
        <f>IFERROR(IF(AND(COUNT(AB15,AD15,AE15,AF15)=4,N(AF193)&lt;&gt;0),(AB15+AD15+AE15+AF15)/AF193,""),"")</f>
        <v>1.11312304609084</v>
      </c>
      <c r="AG361" s="262">
        <f>IFERROR(IF(AND(COUNT(AC15,AD15,AE15,AF15)=4,N(AG193)&lt;&gt;0),(AC15+AD15+AE15+AF15)/AG193,""),"")</f>
        <v>0.67671738221109</v>
      </c>
      <c r="AH361" s="264">
        <f>IFERROR(IF(AND(COUNT(AD15,AF15,AG15,AH15)=4,N(AH193)&lt;&gt;0),(AD15+AF15+AG15+AH15)/AH193,""),"")</f>
        <v>1.02709260582539</v>
      </c>
      <c r="AI361" s="264">
        <f>IFERROR(IF(AND(COUNT(AE15,AG15,AH15,AI15)=4,N(AI193)&lt;&gt;0),(AE15+AG15+AH15+AI15)/AI193,""),"")</f>
        <v>0.797059164865296</v>
      </c>
      <c r="AJ361" s="264">
        <f>IFERROR(IF(AND(COUNT(AF15,AH15,AI15,AJ15)=4,N(AJ193)&lt;&gt;0),(AF15+AH15+AI15+AJ15)/AJ193,""),"")</f>
        <v>0.467345701953624</v>
      </c>
      <c r="AK361" s="264">
        <f>IFERROR(IF(AND(COUNT(AH15,AI15,AJ15,AK15)=4,N(AK193)&lt;&gt;0),(AH15+AI15+AJ15+AK15)/AK193,""),"")</f>
        <v>0.447867722106738</v>
      </c>
      <c r="AL361" s="262">
        <f>IFERROR(IF(AND(COUNT(AH15,AI15,AJ15,AK15)=4,N(AL193)&lt;&gt;0),(AH15+AI15+AJ15+AK15)/AL193,""),"")</f>
        <v>0.447867722106738</v>
      </c>
      <c r="AM361" s="264">
        <f>IFERROR(IF(AND(COUNT(AI15,AJ15,AK15,AM15)=4,N(AM193)&lt;&gt;0),(AI15+AJ15+AK15+AM15)/AM193,""),"")</f>
        <v>0.430904726881989</v>
      </c>
      <c r="AN361" s="264">
        <f>IFERROR(IF(AND(COUNT(AJ15,AK15,AM15,AN15)=4,N(AN193)&lt;&gt;0),(AJ15+AK15+AM15+AN15)/AN193,""),"")</f>
        <v>0.413935133987829</v>
      </c>
      <c r="AO361" s="264">
        <f>IFERROR(IF(AND(COUNT(AK15,AM15,AN15,AO15)=4,N(AO193)&lt;&gt;0),(AK15+AM15+AN15+AO15)/AO193,""),"")</f>
        <v>0.398328847813592</v>
      </c>
      <c r="AP361" s="264">
        <f>IFERROR(IF(AND(COUNT(AM15,AN15,AO15,AP15)=4,N(AP193)&lt;&gt;0),(AM15+AN15+AO15+AP15)/AP193,""),"")</f>
        <v>0.382449485748515</v>
      </c>
      <c r="AQ361" s="262">
        <f>IFERROR(IF(AND(COUNT(AM15,AN15,AO15,AP15)=4,N(AQ193)&lt;&gt;0),(AM15+AN15+AO15+AP15)/AQ193,""),"")</f>
        <v>0.382449485748515</v>
      </c>
      <c r="AR361" s="264">
        <f>IFERROR(IF(AND(COUNT(AN15,AO15,AP15,AR15)=4,N(AR193)&lt;&gt;0),(AN15+AO15+AP15+AR15)/AR193,""),"")</f>
        <v>0.367958370935768</v>
      </c>
      <c r="AS361" s="264">
        <f>IFERROR(IF(AND(COUNT(AO15,AP15,AR15,AS15)=4,N(AS193)&lt;&gt;0),(AO15+AP15+AR15+AS15)/AS193,""),"")</f>
        <v>0.353231635226532</v>
      </c>
      <c r="AT361" s="264">
        <f>IFERROR(IF(AND(COUNT(AP15,AR15,AS15,AT15)=4,N(AT193)&lt;&gt;0),(AP15+AR15+AS15+AT15)/AT193,""),"")</f>
        <v>0.339310711722197</v>
      </c>
      <c r="AU361" s="264">
        <f>IFERROR(IF(AND(COUNT(AR15,AS15,AT15,AU15)=4,N(AU193)&lt;&gt;0),(AR15+AS15+AT15+AU15)/AU193,""),"")</f>
        <v>0.32516561800022</v>
      </c>
      <c r="AV361" s="262">
        <f>IFERROR(IF(AND(COUNT(AR15,AS15,AT15,AU15)=4,N(AV193)&lt;&gt;0),(AR15+AS15+AT15+AU15)/AV193,""),"")</f>
        <v>0.32516561800022</v>
      </c>
      <c r="AW361" s="264">
        <f>IFERROR(IF(AND(COUNT(AS15,AT15,AU15,AW15)=4,N(AW193)&lt;&gt;0),(AS15+AT15+AU15+AW15)/AW193,""),"")</f>
        <v>0.311848256192432</v>
      </c>
      <c r="AX361" s="264">
        <f>IFERROR(IF(AND(COUNT(AT15,AU15,AW15,AX15)=4,N(AX193)&lt;&gt;0),(AT15+AU15+AW15+AX15)/AX193,""),"")</f>
        <v>0.298410726639995</v>
      </c>
      <c r="AY361" s="264">
        <f>IFERROR(IF(AND(COUNT(AU15,AW15,AX15,AY15)=4,N(AY193)&lt;&gt;0),(AU15+AW15+AX15+AY15)/AY193,""),"")</f>
        <v>0.285412257128896</v>
      </c>
      <c r="AZ361" s="264">
        <f>IFERROR(IF(AND(COUNT(AW15,AX15,AY15,AZ15)=4,N(AZ193)&lt;&gt;0),(AW15+AX15+AY15+AZ15)/AZ193,""),"")</f>
        <v>0.272332619694487</v>
      </c>
      <c r="BA361" s="262">
        <f>IFERROR(IF(AND(COUNT(AW15,AX15,AY15,AZ15)=4,N(BA193)&lt;&gt;0),(AW15+AX15+AY15+AZ15)/BA193,""),"")</f>
        <v>0.272332619694487</v>
      </c>
      <c r="BB361" s="264">
        <f>IFERROR(IF(AND(COUNT(AX15,AY15,AZ15,BB15)=4,N(BB193)&lt;&gt;0),(AX15+AY15+AZ15+BB15)/BB193,""),"")</f>
        <v>0.259814938083576</v>
      </c>
      <c r="BC361" s="264">
        <f>IFERROR(IF(AND(COUNT(AY15,AZ15,BB15,BC15)=4,N(BC193)&lt;&gt;0),(AY15+AZ15+BB15+BC15)/BC193,""),"")</f>
        <v>0.247298212751114</v>
      </c>
      <c r="BD361" s="264">
        <f>IFERROR(IF(AND(COUNT(AZ15,BB15,BC15,BD15)=4,N(BD193)&lt;&gt;0),(AZ15+BB15+BC15+BD15)/BD193,""),"")</f>
        <v>0.235087534611335</v>
      </c>
      <c r="BE361" s="264">
        <f>IFERROR(IF(AND(COUNT(BB15,BC15,BD15,BE15)=4,N(BE193)&lt;&gt;0),(BB15+BC15+BD15+BE15)/BE193,""),"")</f>
        <v>0.222987010348313</v>
      </c>
      <c r="BF361" s="262">
        <f>IFERROR(IF(AND(COUNT(BB15,BC15,BD15,BE15)=4,N(BF193)&lt;&gt;0),(BB15+BC15+BD15+BE15)/BF193,""),"")</f>
        <v>0.222987010348313</v>
      </c>
      <c r="BG361" s="81" t="n"/>
      <c r="BH361" s="81" t="n"/>
      <c r="BI361" s="81" t="n"/>
      <c r="BJ361" s="81" t="n"/>
      <c r="BL361" s="81" t="n"/>
      <c r="BM361" s="81" t="n"/>
      <c r="BN361" s="81" t="n"/>
      <c r="BO361" s="81" t="n"/>
      <c r="BQ361" s="81" t="n"/>
      <c r="BR361" s="81" t="n"/>
      <c r="BS361" s="81" t="n"/>
      <c r="BT361" s="81" t="n"/>
      <c r="BV361" s="81" t="n"/>
      <c r="BW361" s="81" t="n"/>
      <c r="BX361" s="81" t="n"/>
      <c r="BY361" s="81" t="n"/>
      <c r="CA361" s="81" t="n"/>
      <c r="CB361" s="81" t="n"/>
      <c r="CC361" s="81" t="n"/>
      <c r="CD361" s="81" t="n"/>
      <c r="CF361" s="81" t="n"/>
      <c r="CG361" s="81" t="n"/>
      <c r="CH361" s="81" t="n"/>
      <c r="CI361" s="81" t="n"/>
      <c r="CK361" s="81" t="n"/>
      <c r="CL361" s="81" t="n"/>
      <c r="CM361" s="81" t="n"/>
      <c r="CN361" s="81" t="n"/>
      <c r="CP361" s="81" t="n"/>
      <c r="CQ361" s="81" t="n"/>
      <c r="CR361" s="81" t="n"/>
      <c r="CS361" s="81" t="n"/>
      <c r="CU361" s="81" t="n"/>
      <c r="CV361" s="81" t="n"/>
      <c r="CW361" s="81" t="n"/>
      <c r="CX361" s="81" t="n"/>
    </row>
    <row r="362" customFormat="1" s="77">
      <c r="A362" s="76" t="n"/>
      <c r="B362" s="76" t="n"/>
      <c r="C362" s="77" t="inlineStr">
        <is>
          <t>EQUITY MULTIPLIER (ASSETS / EQUITY)</t>
        </is>
      </c>
      <c r="D362" s="84" t="str">
        <f>IFERROR(D193/D267,"")</f>
        <v/>
      </c>
      <c r="E362" s="84" t="str">
        <f>IFERROR(E193/E267,"")</f>
        <v/>
      </c>
      <c r="F362" s="84" t="str">
        <f>IFERROR(F193/F267,"")</f>
        <v/>
      </c>
      <c r="G362" s="84" t="str">
        <f>IFERROR(G193/G267,"")</f>
        <v/>
      </c>
      <c r="H362" s="262" t="str">
        <f>IFERROR(IF(N(H267)&lt;&gt;0,H193/H267,""),"")</f>
        <v/>
      </c>
      <c r="I362" s="264">
        <f>IFERROR(IF(N(I267)&lt;&gt;0,I193/I267,""),"")</f>
        <v>1.42207179594197</v>
      </c>
      <c r="J362" s="264">
        <f>IFERROR(IF(N(J267)&lt;&gt;0,J193/J267,""),"")</f>
        <v>1.41176941047713</v>
      </c>
      <c r="K362" s="264">
        <f>IFERROR(IF(N(K267)&lt;&gt;0,K193/K267,""),"")</f>
        <v>1.42048191293183</v>
      </c>
      <c r="L362" s="264">
        <f>IFERROR(IF(N(L267)&lt;&gt;0,L193/L267,""),"")</f>
        <v>1.42773461561389</v>
      </c>
      <c r="M362" s="262">
        <f>IFERROR(IF(N(M267)&lt;&gt;0,M193/M267,""),"")</f>
        <v>1.42773461561389</v>
      </c>
      <c r="N362" s="264">
        <f>IFERROR(IF(N(N267)&lt;&gt;0,N193/N267,""),"")</f>
        <v>1.4058676241319</v>
      </c>
      <c r="O362" s="264">
        <f>IFERROR(IF(N(O267)&lt;&gt;0,O193/O267,""),"")</f>
        <v>1.39059741052937</v>
      </c>
      <c r="P362" s="264">
        <f>IFERROR(IF(N(P267)&lt;&gt;0,P193/P267,""),"")</f>
        <v>1.41253262678117</v>
      </c>
      <c r="Q362" s="264">
        <f>IFERROR(IF(N(Q267)&lt;&gt;0,Q193/Q267,""),"")</f>
        <v>1.42601036916734</v>
      </c>
      <c r="R362" s="262">
        <f>IFERROR(IF(N(R267)&lt;&gt;0,R193/R267,""),"")</f>
        <v>1.42601036916734</v>
      </c>
      <c r="S362" s="264">
        <f>IFERROR(IF(N(S267)&lt;&gt;0,S193/S267,""),"")</f>
        <v>1.41624951129578</v>
      </c>
      <c r="T362" s="264">
        <f>IFERROR(IF(N(T267)&lt;&gt;0,T193/T267,""),"")</f>
        <v>1.43386451349662</v>
      </c>
      <c r="U362" s="264">
        <f>IFERROR(IF(N(U267)&lt;&gt;0,U193/U267,""),"")</f>
        <v>1.4520794137671</v>
      </c>
      <c r="V362" s="264">
        <f>IFERROR(IF(N(V267)&lt;&gt;0,V193/V267,""),"")</f>
        <v>1.41997819175027</v>
      </c>
      <c r="W362" s="262">
        <f>IFERROR(IF(N(W267)&lt;&gt;0,W193/W267,""),"")</f>
        <v>1.41997819175027</v>
      </c>
      <c r="X362" s="264">
        <f>IFERROR(IF(N(X267)&lt;&gt;0,X193/X267,""),"")</f>
        <v>1.39101364549043</v>
      </c>
      <c r="Y362" s="264">
        <f>IFERROR(IF(N(Y267)&lt;&gt;0,Y193/Y267,""),"")</f>
        <v>1.37910511283345</v>
      </c>
      <c r="Z362" s="264">
        <f>IFERROR(IF(N(Z267)&lt;&gt;0,Z193/Z267,""),"")</f>
        <v>1.36975477446445</v>
      </c>
      <c r="AA362" s="264">
        <f>IFERROR(IF(N(AA267)&lt;&gt;0,AA193/AA267,""),"")</f>
        <v>1.38504509603672</v>
      </c>
      <c r="AB362" s="262">
        <f>IFERROR(IF(N(AB267)&lt;&gt;0,AB193/AB267,""),"")</f>
        <v>1.38504509603672</v>
      </c>
      <c r="AC362" s="264">
        <f>IFERROR(IF(N(AC267)&lt;&gt;0,AC193/AC267,""),"")</f>
        <v>1.37683010539669</v>
      </c>
      <c r="AD362" s="264">
        <f>IFERROR(IF(N(AD267)&lt;&gt;0,AD193/AD267,""),"")</f>
        <v>1.38338623813775</v>
      </c>
      <c r="AE362" s="264">
        <f>IFERROR(IF(N(AE267)&lt;&gt;0,AE193/AE267,""),"")</f>
        <v>1.38670137282322</v>
      </c>
      <c r="AF362" s="264">
        <f>IFERROR(IF(N(AF267)&lt;&gt;0,AF193/AF267,""),"")</f>
        <v>1.43349668284108</v>
      </c>
      <c r="AG362" s="262">
        <f>IFERROR(IF(N(AG267)&lt;&gt;0,AG193/AG267,""),"")</f>
        <v>1.43349668284108</v>
      </c>
      <c r="AH362" s="264">
        <f>IFERROR(IF(N(AH267)&lt;&gt;0,AH193/AH267,""),"")</f>
        <v>1.47033917776859</v>
      </c>
      <c r="AI362" s="264">
        <f>IFERROR(IF(N(AI267)&lt;&gt;0,AI193/AI267,""),"")</f>
        <v>1.4395187984012</v>
      </c>
      <c r="AJ362" s="264">
        <f>IFERROR(IF(N(AJ267)&lt;&gt;0,AJ193/AJ267,""),"")</f>
        <v>1.41859762255215</v>
      </c>
      <c r="AK362" s="264">
        <f>IFERROR(IF(N(AK267)&lt;&gt;0,AK193/AK267,""),"")</f>
        <v>1.41138933094109</v>
      </c>
      <c r="AL362" s="262">
        <f>IFERROR(IF(N(AL267)&lt;&gt;0,AL193/AL267,""),"")</f>
        <v>1.41138933094109</v>
      </c>
      <c r="AM362" s="264">
        <f>IFERROR(IF(N(AM267)&lt;&gt;0,AM193/AM267,""),"")</f>
        <v>1.40860942916599</v>
      </c>
      <c r="AN362" s="264">
        <f>IFERROR(IF(N(AN267)&lt;&gt;0,AN193/AN267,""),"")</f>
        <v>1.40995133555678</v>
      </c>
      <c r="AO362" s="264">
        <f>IFERROR(IF(N(AO267)&lt;&gt;0,AO193/AO267,""),"")</f>
        <v>1.41474604352956</v>
      </c>
      <c r="AP362" s="264">
        <f>IFERROR(IF(N(AP267)&lt;&gt;0,AP193/AP267,""),"")</f>
        <v>1.42327762355064</v>
      </c>
      <c r="AQ362" s="262">
        <f>IFERROR(IF(N(AQ267)&lt;&gt;0,AQ193/AQ267,""),"")</f>
        <v>1.42327762355064</v>
      </c>
      <c r="AR362" s="264">
        <f>IFERROR(IF(N(AR267)&lt;&gt;0,AR193/AR267,""),"")</f>
        <v>1.43463732915143</v>
      </c>
      <c r="AS362" s="264">
        <f>IFERROR(IF(N(AS267)&lt;&gt;0,AS193/AS267,""),"")</f>
        <v>1.45027898011434</v>
      </c>
      <c r="AT362" s="264">
        <f>IFERROR(IF(N(AT267)&lt;&gt;0,AT193/AT267,""),"")</f>
        <v>1.46943429561356</v>
      </c>
      <c r="AU362" s="264">
        <f>IFERROR(IF(N(AU267)&lt;&gt;0,AU193/AU267,""),"")</f>
        <v>1.49240944403035</v>
      </c>
      <c r="AV362" s="262">
        <f>IFERROR(IF(N(AV267)&lt;&gt;0,AV193/AV267,""),"")</f>
        <v>1.49240944403035</v>
      </c>
      <c r="AW362" s="264">
        <f>IFERROR(IF(N(AW267)&lt;&gt;0,AW193/AW267,""),"")</f>
        <v>1.51882580324397</v>
      </c>
      <c r="AX362" s="264">
        <f>IFERROR(IF(N(AX267)&lt;&gt;0,AX193/AX267,""),"")</f>
        <v>1.54967370522891</v>
      </c>
      <c r="AY362" s="264">
        <f>IFERROR(IF(N(AY267)&lt;&gt;0,AY193/AY267,""),"")</f>
        <v>1.5853394276283</v>
      </c>
      <c r="AZ362" s="264">
        <f>IFERROR(IF(N(AZ267)&lt;&gt;0,AZ193/AZ267,""),"")</f>
        <v>1.62544680631841</v>
      </c>
      <c r="BA362" s="262">
        <f>IFERROR(IF(N(BA267)&lt;&gt;0,BA193/BA267,""),"")</f>
        <v>1.62544680631841</v>
      </c>
      <c r="BB362" s="264">
        <f>IFERROR(IF(N(BB267)&lt;&gt;0,BB193/BB267,""),"")</f>
        <v>1.67020007219366</v>
      </c>
      <c r="BC362" s="264">
        <f>IFERROR(IF(N(BC267)&lt;&gt;0,BC193/BC267,""),"")</f>
        <v>1.72042205892464</v>
      </c>
      <c r="BD362" s="264">
        <f>IFERROR(IF(N(BD267)&lt;&gt;0,BD193/BD267,""),"")</f>
        <v>1.77735798453773</v>
      </c>
      <c r="BE362" s="264">
        <f>IFERROR(IF(N(BE267)&lt;&gt;0,BE193/BE267,""),"")</f>
        <v>1.83982218130867</v>
      </c>
      <c r="BF362" s="262">
        <f>IFERROR(IF(N(BF267)&lt;&gt;0,BF193/BF267,""),"")</f>
        <v>1.83982218130867</v>
      </c>
      <c r="BG362" s="81" t="n"/>
      <c r="BH362" s="81" t="n"/>
      <c r="BI362" s="81" t="n"/>
      <c r="BJ362" s="81" t="n"/>
      <c r="BL362" s="81" t="n"/>
      <c r="BM362" s="81" t="n"/>
      <c r="BN362" s="81" t="n"/>
      <c r="BO362" s="81" t="n"/>
      <c r="BQ362" s="81" t="n"/>
      <c r="BR362" s="81" t="n"/>
      <c r="BS362" s="81" t="n"/>
      <c r="BT362" s="81" t="n"/>
      <c r="BV362" s="81" t="n"/>
      <c r="BW362" s="81" t="n"/>
      <c r="BX362" s="81" t="n"/>
      <c r="BY362" s="81" t="n"/>
      <c r="CA362" s="81" t="n"/>
      <c r="CB362" s="81" t="n"/>
      <c r="CC362" s="81" t="n"/>
      <c r="CD362" s="81" t="n"/>
      <c r="CF362" s="81" t="n"/>
      <c r="CG362" s="81" t="n"/>
      <c r="CH362" s="81" t="n"/>
      <c r="CI362" s="81" t="n"/>
      <c r="CK362" s="81" t="n"/>
      <c r="CL362" s="81" t="n"/>
      <c r="CM362" s="81" t="n"/>
      <c r="CN362" s="81" t="n"/>
      <c r="CP362" s="81" t="n"/>
      <c r="CQ362" s="81" t="n"/>
      <c r="CR362" s="81" t="n"/>
      <c r="CS362" s="81" t="n"/>
      <c r="CU362" s="81" t="n"/>
      <c r="CV362" s="81" t="n"/>
      <c r="CW362" s="81" t="n"/>
      <c r="CX362" s="81" t="n"/>
    </row>
    <row r="363" customFormat="1" s="77">
      <c r="A363" s="76" t="n"/>
      <c r="B363" s="76" t="n"/>
      <c r="C363" s="77" t="inlineStr">
        <is>
          <t>ROE - DUPONT</t>
        </is>
      </c>
      <c r="D363" s="84">
        <f>IFERROR(PRODUCT(D360:D362),"")</f>
        <v>0</v>
      </c>
      <c r="E363" s="84">
        <f>IFERROR(PRODUCT(E360:E362),"")</f>
        <v>0</v>
      </c>
      <c r="F363" s="84">
        <f>IFERROR(PRODUCT(F360:F362),"")</f>
        <v>0</v>
      </c>
      <c r="G363" s="84">
        <f>IFERROR(PRODUCT(G360:G362),"")</f>
        <v>0</v>
      </c>
      <c r="H363" s="258" t="str">
        <f>IFERROR(IF(COUNT(H360,H361,H362)=3,H360*H361*H362,""),"")</f>
        <v/>
      </c>
      <c r="I363" s="257" t="str">
        <f>IFERROR(IF(COUNT(I360,I361,I362)=3,I360*I361*I362,""),"")</f>
        <v/>
      </c>
      <c r="J363" s="257" t="str">
        <f>IFERROR(IF(COUNT(J360,J361,J362)=3,J360*J361*J362,""),"")</f>
        <v/>
      </c>
      <c r="K363" s="257" t="str">
        <f>IFERROR(IF(COUNT(K360,K361,K362)=3,K360*K361*K362,""),"")</f>
        <v/>
      </c>
      <c r="L363" s="257">
        <f>IFERROR(IF(COUNT(L360,L361,L362)=3,L360*L361*L362,""),"")</f>
        <v>0.30215590041131</v>
      </c>
      <c r="M363" s="258">
        <f>IFERROR(IF(COUNT(M360,M361,M362)=3,M360*M361*M362,""),"")</f>
        <v>0.30215590041131</v>
      </c>
      <c r="N363" s="257">
        <f>IFERROR(IF(COUNT(N360,N361,N362)=3,N360*N361*N362,""),"")</f>
        <v>0.293456008566794</v>
      </c>
      <c r="O363" s="257">
        <f>IFERROR(IF(COUNT(O360,O361,O362)=3,O360*O361*O362,""),"")</f>
        <v>0.281952399782318</v>
      </c>
      <c r="P363" s="257">
        <f>IFERROR(IF(COUNT(P360,P361,P362)=3,P360*P361*P362,""),"")</f>
        <v>0.264129071940574</v>
      </c>
      <c r="Q363" s="257">
        <f>IFERROR(IF(COUNT(Q360,Q361,Q362)=3,Q360*Q361*Q362,""),"")</f>
        <v>0.234133924667375</v>
      </c>
      <c r="R363" s="258">
        <f>IFERROR(IF(COUNT(R360,R361,R362)=3,R360*R361*R362,""),"")</f>
        <v>0.234133924667375</v>
      </c>
      <c r="S363" s="257">
        <f>IFERROR(IF(COUNT(S360,S361,S362)=3,S360*S361*S362,""),"")</f>
        <v>0.224562465982353</v>
      </c>
      <c r="T363" s="257">
        <f>IFERROR(IF(COUNT(T360,T361,T362)=3,T360*T361*T362,""),"")</f>
        <v>0.22816789635436</v>
      </c>
      <c r="U363" s="257">
        <f>IFERROR(IF(COUNT(U360,U361,U362)=3,U360*U361*U362,""),"")</f>
        <v>0.244258826802146</v>
      </c>
      <c r="V363" s="257">
        <f>IFERROR(IF(COUNT(V360,V361,V362)=3,V360*V361*V362,""),"")</f>
        <v>0.260410969055576</v>
      </c>
      <c r="W363" s="258">
        <f>IFERROR(IF(COUNT(W360,W361,W362)=3,W360*W361*W362,""),"")</f>
        <v>0.260410969055576</v>
      </c>
      <c r="X363" s="257">
        <f>IFERROR(IF(COUNT(X360,X361,X362)=3,X360*X361*X362,""),"")</f>
        <v>0.281398970100122</v>
      </c>
      <c r="Y363" s="257">
        <f>IFERROR(IF(COUNT(Y360,Y361,Y362)=3,Y360*Y361*Y362,""),"")</f>
        <v>0.291458439317314</v>
      </c>
      <c r="Z363" s="257">
        <f>IFERROR(IF(COUNT(Z360,Z361,Z362)=3,Z360*Z361*Z362,""),"")</f>
        <v>0.300106010779354</v>
      </c>
      <c r="AA363" s="257">
        <f>IFERROR(IF(COUNT(AA360,AA361,AA362)=3,AA360*AA361*AA362,""),"")</f>
        <v>0.307975784720257</v>
      </c>
      <c r="AB363" s="258">
        <f>IFERROR(IF(COUNT(AB360,AB361,AB362)=3,AB360*AB361*AB362,""),"")</f>
        <v>0.307975784720257</v>
      </c>
      <c r="AC363" s="257">
        <f>IFERROR(IF(COUNT(AC360,AC361,AC362)=3,AC360*AC361*AC362,""),"")</f>
        <v>0.321478739642074</v>
      </c>
      <c r="AD363" s="257">
        <f>IFERROR(IF(COUNT(AD360,AD361,AD362)=3,AD360*AD361*AD362,""),"")</f>
        <v>0.318456612549461</v>
      </c>
      <c r="AE363" s="257">
        <f>IFERROR(IF(COUNT(AE360,AE361,AE362)=3,AE360*AE361*AE362,""),"")</f>
        <v>0.321172392579362</v>
      </c>
      <c r="AF363" s="257">
        <f>IFERROR(IF(COUNT(AF360,AF361,AF362)=3,AF360*AF361*AF362,""),"")</f>
        <v>0.476197127135684</v>
      </c>
      <c r="AG363" s="258">
        <f>IFERROR(IF(COUNT(AG360,AG361,AG362)=3,AG360*AG361*AG362,""),"")</f>
        <v>0.318278689511517</v>
      </c>
      <c r="AH363" s="257">
        <f>IFERROR(IF(COUNT(AH360,AH361,AH362)=3,AH360*AH361*AH362,""),"")</f>
        <v>0.537652533911511</v>
      </c>
      <c r="AI363" s="257">
        <f>IFERROR(IF(COUNT(AI360,AI361,AI362)=3,AI360*AI361*AI362,""),"")</f>
        <v>0.533849612790407</v>
      </c>
      <c r="AJ363" s="257">
        <f>IFERROR(IF(COUNT(AJ360,AJ361,AJ362)=3,AJ360*AJ361*AJ362,""),"")</f>
        <v>0.383697720159219</v>
      </c>
      <c r="AK363" s="257">
        <f>IFERROR(IF(COUNT(AK360,AK361,AK362)=3,AK360*AK361*AK362,""),"")</f>
        <v>0.391753158459013</v>
      </c>
      <c r="AL363" s="258">
        <f>IFERROR(IF(COUNT(AL360,AL361,AL362)=3,AL360*AL361*AL362,""),"")</f>
        <v>0.391753158459013</v>
      </c>
      <c r="AM363" s="257">
        <f>IFERROR(IF(COUNT(AM360,AM361,AM362)=3,AM360*AM361*AM362,""),"")</f>
        <v>0.362967837518538</v>
      </c>
      <c r="AN363" s="257">
        <f>IFERROR(IF(COUNT(AN360,AN361,AN362)=3,AN360*AN361*AN362,""),"")</f>
        <v>0.287296740950875</v>
      </c>
      <c r="AO363" s="257">
        <f>IFERROR(IF(COUNT(AO360,AO361,AO362)=3,AO360*AO361*AO362,""),"")</f>
        <v>0.277405159500897</v>
      </c>
      <c r="AP363" s="257">
        <f>IFERROR(IF(COUNT(AP360,AP361,AP362)=3,AP360*AP361*AP362,""),"")</f>
        <v>0.267952608368436</v>
      </c>
      <c r="AQ363" s="258">
        <f>IFERROR(IF(COUNT(AQ360,AQ361,AQ362)=3,AQ360*AQ361*AQ362,""),"")</f>
        <v>0.267952608368436</v>
      </c>
      <c r="AR363" s="257">
        <f>IFERROR(IF(COUNT(AR360,AR361,AR362)=3,AR360*AR361*AR362,""),"")</f>
        <v>0.259857407044108</v>
      </c>
      <c r="AS363" s="257">
        <f>IFERROR(IF(COUNT(AS360,AS361,AS362)=3,AS360*AS361*AS362,""),"")</f>
        <v>0.252176974811026</v>
      </c>
      <c r="AT363" s="257">
        <f>IFERROR(IF(COUNT(AT360,AT361,AT362)=3,AT360*AT361*AT362,""),"")</f>
        <v>0.245438127011277</v>
      </c>
      <c r="AU363" s="257">
        <f>IFERROR(IF(COUNT(AU360,AU361,AU362)=3,AU360*AU361*AU362,""),"")</f>
        <v>0.238883906879739</v>
      </c>
      <c r="AV363" s="258">
        <f>IFERROR(IF(COUNT(AV360,AV361,AV362)=3,AV360*AV361*AV362,""),"")</f>
        <v>0.238883906879739</v>
      </c>
      <c r="AW363" s="257">
        <f>IFERROR(IF(COUNT(AW360,AW361,AW362)=3,AW360*AW361*AW362,""),"")</f>
        <v>0.233155450688721</v>
      </c>
      <c r="AX363" s="257">
        <f>IFERROR(IF(COUNT(AX360,AX361,AX362)=3,AX360*AX361*AX362,""),"")</f>
        <v>0.227640211475195</v>
      </c>
      <c r="AY363" s="257">
        <f>IFERROR(IF(COUNT(AY360,AY361,AY362)=3,AY360*AY361*AY362,""),"")</f>
        <v>0.222735359375196</v>
      </c>
      <c r="AZ363" s="257">
        <f>IFERROR(IF(COUNT(AZ360,AZ361,AZ362)=3,AZ360*AZ361*AZ362,""),"")</f>
        <v>0.21790475710093</v>
      </c>
      <c r="BA363" s="258">
        <f>IFERROR(IF(COUNT(BA360,BA361,BA362)=3,BA360*BA361*BA362,""),"")</f>
        <v>0.21790475710093</v>
      </c>
      <c r="BB363" s="257">
        <f>IFERROR(IF(COUNT(BB360,BB361,BB362)=3,BB360*BB361*BB362,""),"")</f>
        <v>0.213612617446344</v>
      </c>
      <c r="BC363" s="257">
        <f>IFERROR(IF(COUNT(BC360,BC361,BC362)=3,BC360*BC361*BC362,""),"")</f>
        <v>0.209435484721764</v>
      </c>
      <c r="BD363" s="257">
        <f>IFERROR(IF(COUNT(BD360,BD361,BD362)=3,BD360*BD361*BD362,""),"")</f>
        <v>0.205683189031626</v>
      </c>
      <c r="BE363" s="257">
        <f>IFERROR(IF(COUNT(BE360,BE361,BE362)=3,BE360*BE361*BE362,""),"")</f>
        <v>0.201952717536989</v>
      </c>
      <c r="BF363" s="258">
        <f>IFERROR(IF(COUNT(BF360,BF361,BF362)=3,BF360*BF361*BF362,""),"")</f>
        <v>0.201952717536989</v>
      </c>
      <c r="BG363" s="81" t="n"/>
      <c r="BH363" s="81" t="n"/>
      <c r="BI363" s="81" t="n"/>
      <c r="BJ363" s="81" t="n"/>
      <c r="BL363" s="81" t="n"/>
      <c r="BM363" s="81" t="n"/>
      <c r="BN363" s="81" t="n"/>
      <c r="BO363" s="81" t="n"/>
      <c r="BQ363" s="81" t="n"/>
      <c r="BR363" s="81" t="n"/>
      <c r="BS363" s="81" t="n"/>
      <c r="BT363" s="81" t="n"/>
      <c r="BV363" s="81" t="n"/>
      <c r="BW363" s="81" t="n"/>
      <c r="BX363" s="81" t="n"/>
      <c r="BY363" s="81" t="n"/>
      <c r="CA363" s="81" t="n"/>
      <c r="CB363" s="81" t="n"/>
      <c r="CC363" s="81" t="n"/>
      <c r="CD363" s="81" t="n"/>
      <c r="CF363" s="81" t="n"/>
      <c r="CG363" s="81" t="n"/>
      <c r="CH363" s="81" t="n"/>
      <c r="CI363" s="81" t="n"/>
      <c r="CK363" s="81" t="n"/>
      <c r="CL363" s="81" t="n"/>
      <c r="CM363" s="81" t="n"/>
      <c r="CN363" s="81" t="n"/>
      <c r="CP363" s="81" t="n"/>
      <c r="CQ363" s="81" t="n"/>
      <c r="CR363" s="81" t="n"/>
      <c r="CS363" s="81" t="n"/>
      <c r="CU363" s="81" t="n"/>
      <c r="CV363" s="81" t="n"/>
      <c r="CW363" s="81" t="n"/>
      <c r="CX363" s="81" t="n"/>
    </row>
    <row r="364" customFormat="1" s="77">
      <c r="A364" s="76" t="n"/>
      <c r="B364" s="76" t="n"/>
      <c r="C364" s="77" t="inlineStr">
        <is>
          <t>ROE (LTM)</t>
        </is>
      </c>
      <c r="D364" s="84" t="str">
        <f>IFERROR(D133/D267,"")</f>
        <v/>
      </c>
      <c r="E364" s="84" t="str">
        <f>IFERROR(E133/E267,"")</f>
        <v/>
      </c>
      <c r="F364" s="84" t="str">
        <f>IFERROR(F133/F267,"")</f>
        <v/>
      </c>
      <c r="G364" s="84" t="str">
        <f>IFERROR(G133/G267,"")</f>
        <v/>
      </c>
      <c r="H364" s="258" t="str">
        <f>IFERROR(IF(AND(COUNT(H133)=1,N(H267)&lt;&gt;0),(H133)/H267,""),"")</f>
        <v/>
      </c>
      <c r="I364" s="257" t="str">
        <f>""</f>
        <v/>
      </c>
      <c r="J364" s="257" t="str">
        <f>""</f>
        <v/>
      </c>
      <c r="K364" s="257" t="str">
        <f>""</f>
        <v/>
      </c>
      <c r="L364" s="257">
        <f>IFERROR(IF(AND(COUNT(I133,J133,K133,L133)=4,N(L267)&lt;&gt;0),(I133+J133+K133+L133)/L267,""),"")</f>
        <v>0.30215590041131</v>
      </c>
      <c r="M364" s="258">
        <f>IFERROR(IF(AND(COUNT(I133,J133,K133,L133)=4,N(M267)&lt;&gt;0),(I133+J133+K133+L133)/M267,""),"")</f>
        <v>0.30215590041131</v>
      </c>
      <c r="N364" s="257">
        <f>IFERROR(IF(AND(COUNT(J133,K133,L133,N133)=4,N(N267)&lt;&gt;0),(J133+K133+L133+N133)/N267,""),"")</f>
        <v>0.293456008566794</v>
      </c>
      <c r="O364" s="257">
        <f>IFERROR(IF(AND(COUNT(K133,L133,N133,O133)=4,N(O267)&lt;&gt;0),(K133+L133+N133+O133)/O267,""),"")</f>
        <v>0.281952399782318</v>
      </c>
      <c r="P364" s="257">
        <f>IFERROR(IF(AND(COUNT(L133,N133,O133,P133)=4,N(P267)&lt;&gt;0),(L133+N133+O133+P133)/P267,""),"")</f>
        <v>0.264129071940574</v>
      </c>
      <c r="Q364" s="257">
        <f>IFERROR(IF(AND(COUNT(N133,O133,P133,Q133)=4,N(Q267)&lt;&gt;0),(N133+O133+P133+Q133)/Q267,""),"")</f>
        <v>0.234133924667375</v>
      </c>
      <c r="R364" s="258">
        <f>IFERROR(IF(AND(COUNT(N133,O133,P133,Q133)=4,N(R267)&lt;&gt;0),(N133+O133+P133+Q133)/R267,""),"")</f>
        <v>0.234133924667375</v>
      </c>
      <c r="S364" s="257">
        <f>IFERROR(IF(AND(COUNT(O133,P133,Q133,S133)=4,N(S267)&lt;&gt;0),(O133+P133+Q133+S133)/S267,""),"")</f>
        <v>0.224562465982353</v>
      </c>
      <c r="T364" s="257">
        <f>IFERROR(IF(AND(COUNT(P133,Q133,S133,T133)=4,N(T267)&lt;&gt;0),(P133+Q133+S133+T133)/T267,""),"")</f>
        <v>0.22816789635436</v>
      </c>
      <c r="U364" s="257">
        <f>IFERROR(IF(AND(COUNT(Q133,S133,T133,U133)=4,N(U267)&lt;&gt;0),(Q133+S133+T133+U133)/U267,""),"")</f>
        <v>0.244258826802146</v>
      </c>
      <c r="V364" s="257">
        <f>IFERROR(IF(AND(COUNT(S133,T133,U133,V133)=4,N(V267)&lt;&gt;0),(S133+T133+U133+V133)/V267,""),"")</f>
        <v>0.260410969055576</v>
      </c>
      <c r="W364" s="258">
        <f>IFERROR(IF(AND(COUNT(S133,T133,U133,V133)=4,N(W267)&lt;&gt;0),(S133+T133+U133+V133)/W267,""),"")</f>
        <v>0.260410969055576</v>
      </c>
      <c r="X364" s="257">
        <f>IFERROR(IF(AND(COUNT(T133,U133,V133,X133)=4,N(X267)&lt;&gt;0),(T133+U133+V133+X133)/X267,""),"")</f>
        <v>0.281398970100122</v>
      </c>
      <c r="Y364" s="257">
        <f>IFERROR(IF(AND(COUNT(U133,V133,X133,Y133)=4,N(Y267)&lt;&gt;0),(U133+V133+X133+Y133)/Y267,""),"")</f>
        <v>0.291458439317314</v>
      </c>
      <c r="Z364" s="257">
        <f>IFERROR(IF(AND(COUNT(V133,X133,Y133,Z133)=4,N(Z267)&lt;&gt;0),(V133+X133+Y133+Z133)/Z267,""),"")</f>
        <v>0.300106010779354</v>
      </c>
      <c r="AA364" s="257">
        <f>IFERROR(IF(AND(COUNT(X133,Y133,Z133,AA133)=4,N(AA267)&lt;&gt;0),(X133+Y133+Z133+AA133)/AA267,""),"")</f>
        <v>0.307975784720257</v>
      </c>
      <c r="AB364" s="258">
        <f>IFERROR(IF(AND(COUNT(X133,Y133,Z133,AA133)=4,N(AB267)&lt;&gt;0),(X133+Y133+Z133+AA133)/AB267,""),"")</f>
        <v>0.307975784720257</v>
      </c>
      <c r="AC364" s="257">
        <f>IFERROR(IF(AND(COUNT(Y133,Z133,AA133,AC133)=4,N(AC267)&lt;&gt;0),(Y133+Z133+AA133+AC133)/AC267,""),"")</f>
        <v>0.321478739642074</v>
      </c>
      <c r="AD364" s="257">
        <f>IFERROR(IF(AND(COUNT(Z133,AA133,AC133,AD133)=4,N(AD267)&lt;&gt;0),(Z133+AA133+AC133+AD133)/AD267,""),"")</f>
        <v>0.318456612549461</v>
      </c>
      <c r="AE364" s="257">
        <f>IFERROR(IF(AND(COUNT(AA133,AC133,AD133,AE133)=4,N(AE267)&lt;&gt;0),(AA133+AC133+AD133+AE133)/AE267,""),"")</f>
        <v>0.321172392579362</v>
      </c>
      <c r="AF364" s="257">
        <f>IFERROR(IF(AND(COUNT(AB133,AD133,AE133,AF133)=4,N(AF267)&lt;&gt;0),(AB133+AD133+AE133+AF133)/AF267,""),"")</f>
        <v>0.476197127135684</v>
      </c>
      <c r="AG364" s="258">
        <f>IFERROR(IF(AND(COUNT(AC133,AD133,AE133,AF133)=4,N(AG267)&lt;&gt;0),(AC133+AD133+AE133+AF133)/AG267,""),"")</f>
        <v>0.318278689511517</v>
      </c>
      <c r="AH364" s="257">
        <f>IFERROR(IF(AND(COUNT(AD133,AF133,AG133,AH133)=4,N(AH267)&lt;&gt;0),(AD133+AF133+AG133+AH133)/AH267,""),"")</f>
        <v>0.537652533911511</v>
      </c>
      <c r="AI364" s="257">
        <f>IFERROR(IF(AND(COUNT(AE133,AG133,AH133,AI133)=4,N(AI267)&lt;&gt;0),(AE133+AG133+AH133+AI133)/AI267,""),"")</f>
        <v>0.533849612790407</v>
      </c>
      <c r="AJ364" s="257">
        <f>IFERROR(IF(AND(COUNT(AF133,AH133,AI133,AJ133)=4,N(AJ267)&lt;&gt;0),(AF133+AH133+AI133+AJ133)/AJ267,""),"")</f>
        <v>0.383697720159219</v>
      </c>
      <c r="AK364" s="257">
        <f>IFERROR(IF(AND(COUNT(AH133,AI133,AJ133,AK133)=4,N(AK267)&lt;&gt;0),(AH133+AI133+AJ133+AK133)/AK267,""),"")</f>
        <v>0.391753158459013</v>
      </c>
      <c r="AL364" s="258">
        <f>IFERROR(IF(AND(COUNT(AH133,AI133,AJ133,AK133)=4,N(AL267)&lt;&gt;0),(AH133+AI133+AJ133+AK133)/AL267,""),"")</f>
        <v>0.391753158459013</v>
      </c>
      <c r="AM364" s="257">
        <f>IFERROR(IF(AND(COUNT(AI133,AJ133,AK133,AM133)=4,N(AM267)&lt;&gt;0),(AI133+AJ133+AK133+AM133)/AM267,""),"")</f>
        <v>0.362967837518538</v>
      </c>
      <c r="AN364" s="257">
        <f>IFERROR(IF(AND(COUNT(AJ133,AK133,AM133,AN133)=4,N(AN267)&lt;&gt;0),(AJ133+AK133+AM133+AN133)/AN267,""),"")</f>
        <v>0.287296740950875</v>
      </c>
      <c r="AO364" s="257">
        <f>IFERROR(IF(AND(COUNT(AK133,AM133,AN133,AO133)=4,N(AO267)&lt;&gt;0),(AK133+AM133+AN133+AO133)/AO267,""),"")</f>
        <v>0.277405159500897</v>
      </c>
      <c r="AP364" s="257">
        <f>IFERROR(IF(AND(COUNT(AM133,AN133,AO133,AP133)=4,N(AP267)&lt;&gt;0),(AM133+AN133+AO133+AP133)/AP267,""),"")</f>
        <v>0.267952608368436</v>
      </c>
      <c r="AQ364" s="258">
        <f>IFERROR(IF(AND(COUNT(AM133,AN133,AO133,AP133)=4,N(AQ267)&lt;&gt;0),(AM133+AN133+AO133+AP133)/AQ267,""),"")</f>
        <v>0.267952608368436</v>
      </c>
      <c r="AR364" s="257">
        <f>IFERROR(IF(AND(COUNT(AN133,AO133,AP133,AR133)=4,N(AR267)&lt;&gt;0),(AN133+AO133+AP133+AR133)/AR267,""),"")</f>
        <v>0.259857407044108</v>
      </c>
      <c r="AS364" s="257">
        <f>IFERROR(IF(AND(COUNT(AO133,AP133,AR133,AS133)=4,N(AS267)&lt;&gt;0),(AO133+AP133+AR133+AS133)/AS267,""),"")</f>
        <v>0.252176974811026</v>
      </c>
      <c r="AT364" s="257">
        <f>IFERROR(IF(AND(COUNT(AP133,AR133,AS133,AT133)=4,N(AT267)&lt;&gt;0),(AP133+AR133+AS133+AT133)/AT267,""),"")</f>
        <v>0.245438127011277</v>
      </c>
      <c r="AU364" s="257">
        <f>IFERROR(IF(AND(COUNT(AR133,AS133,AT133,AU133)=4,N(AU267)&lt;&gt;0),(AR133+AS133+AT133+AU133)/AU267,""),"")</f>
        <v>0.238883906879739</v>
      </c>
      <c r="AV364" s="258">
        <f>IFERROR(IF(AND(COUNT(AR133,AS133,AT133,AU133)=4,N(AV267)&lt;&gt;0),(AR133+AS133+AT133+AU133)/AV267,""),"")</f>
        <v>0.238883906879739</v>
      </c>
      <c r="AW364" s="257">
        <f>IFERROR(IF(AND(COUNT(AS133,AT133,AU133,AW133)=4,N(AW267)&lt;&gt;0),(AS133+AT133+AU133+AW133)/AW267,""),"")</f>
        <v>0.233155450688721</v>
      </c>
      <c r="AX364" s="257">
        <f>IFERROR(IF(AND(COUNT(AT133,AU133,AW133,AX133)=4,N(AX267)&lt;&gt;0),(AT133+AU133+AW133+AX133)/AX267,""),"")</f>
        <v>0.227640211475195</v>
      </c>
      <c r="AY364" s="257">
        <f>IFERROR(IF(AND(COUNT(AU133,AW133,AX133,AY133)=4,N(AY267)&lt;&gt;0),(AU133+AW133+AX133+AY133)/AY267,""),"")</f>
        <v>0.222735359375196</v>
      </c>
      <c r="AZ364" s="257">
        <f>IFERROR(IF(AND(COUNT(AW133,AX133,AY133,AZ133)=4,N(AZ267)&lt;&gt;0),(AW133+AX133+AY133+AZ133)/AZ267,""),"")</f>
        <v>0.21790475710093</v>
      </c>
      <c r="BA364" s="258">
        <f>IFERROR(IF(AND(COUNT(AW133,AX133,AY133,AZ133)=4,N(BA267)&lt;&gt;0),(AW133+AX133+AY133+AZ133)/BA267,""),"")</f>
        <v>0.21790475710093</v>
      </c>
      <c r="BB364" s="257">
        <f>IFERROR(IF(AND(COUNT(AX133,AY133,AZ133,BB133)=4,N(BB267)&lt;&gt;0),(AX133+AY133+AZ133+BB133)/BB267,""),"")</f>
        <v>0.213612617446344</v>
      </c>
      <c r="BC364" s="257">
        <f>IFERROR(IF(AND(COUNT(AY133,AZ133,BB133,BC133)=4,N(BC267)&lt;&gt;0),(AY133+AZ133+BB133+BC133)/BC267,""),"")</f>
        <v>0.209435484721764</v>
      </c>
      <c r="BD364" s="257">
        <f>IFERROR(IF(AND(COUNT(AZ133,BB133,BC133,BD133)=4,N(BD267)&lt;&gt;0),(AZ133+BB133+BC133+BD133)/BD267,""),"")</f>
        <v>0.205683189031626</v>
      </c>
      <c r="BE364" s="257">
        <f>IFERROR(IF(AND(COUNT(BB133,BC133,BD133,BE133)=4,N(BE267)&lt;&gt;0),(BB133+BC133+BD133+BE133)/BE267,""),"")</f>
        <v>0.201952717536989</v>
      </c>
      <c r="BF364" s="258">
        <f>IFERROR(IF(AND(COUNT(BB133,BC133,BD133,BE133)=4,N(BF267)&lt;&gt;0),(BB133+BC133+BD133+BE133)/BF267,""),"")</f>
        <v>0.201952717536989</v>
      </c>
      <c r="BG364" s="81" t="n"/>
      <c r="BH364" s="81" t="n"/>
      <c r="BI364" s="81" t="n"/>
      <c r="BJ364" s="81" t="n"/>
      <c r="BL364" s="81" t="n"/>
      <c r="BM364" s="81" t="n"/>
      <c r="BN364" s="81" t="n"/>
      <c r="BO364" s="81" t="n"/>
      <c r="BQ364" s="81" t="n"/>
      <c r="BR364" s="81" t="n"/>
      <c r="BS364" s="81" t="n"/>
      <c r="BT364" s="81" t="n"/>
      <c r="BV364" s="81" t="n"/>
      <c r="BW364" s="81" t="n"/>
      <c r="BX364" s="81" t="n"/>
      <c r="BY364" s="81" t="n"/>
      <c r="CA364" s="81" t="n"/>
      <c r="CB364" s="81" t="n"/>
      <c r="CC364" s="81" t="n"/>
      <c r="CD364" s="81" t="n"/>
      <c r="CF364" s="81" t="n"/>
      <c r="CG364" s="81" t="n"/>
      <c r="CH364" s="81" t="n"/>
      <c r="CI364" s="81" t="n"/>
      <c r="CK364" s="81" t="n"/>
      <c r="CL364" s="81" t="n"/>
      <c r="CM364" s="81" t="n"/>
      <c r="CN364" s="81" t="n"/>
      <c r="CP364" s="81" t="n"/>
      <c r="CQ364" s="81" t="n"/>
      <c r="CR364" s="81" t="n"/>
      <c r="CS364" s="81" t="n"/>
      <c r="CU364" s="81" t="n"/>
      <c r="CV364" s="81" t="n"/>
      <c r="CW364" s="81" t="n"/>
      <c r="CX364" s="81" t="n"/>
    </row>
    <row r="365"/>
    <row r="366">
      <c r="C366" s="73" t="inlineStr">
        <is>
          <t>Scenario Analysis</t>
        </is>
      </c>
      <c r="D366" s="73" t="n"/>
      <c r="E366" s="73" t="n"/>
      <c r="F366" s="73" t="n"/>
      <c r="G366" s="73" t="n"/>
      <c r="H366" s="73" t="n"/>
      <c r="I366" s="73" t="n"/>
      <c r="J366" s="73" t="n"/>
      <c r="K366" s="73" t="n"/>
      <c r="L366" s="73" t="n"/>
      <c r="M366" s="73" t="n"/>
      <c r="N366" s="73" t="n"/>
      <c r="O366" s="73" t="n"/>
      <c r="P366" s="73" t="n"/>
      <c r="Q366" s="73" t="n"/>
      <c r="R366" s="73" t="n"/>
      <c r="S366" s="73" t="n"/>
      <c r="T366" s="73" t="n"/>
      <c r="U366" s="73" t="n"/>
      <c r="V366" s="73" t="n"/>
      <c r="W366" s="73" t="n"/>
      <c r="X366" s="73" t="n"/>
      <c r="Y366" s="73" t="n"/>
      <c r="Z366" s="73" t="n"/>
      <c r="AA366" s="73" t="n"/>
      <c r="AB366" s="73" t="n"/>
      <c r="AC366" s="73" t="n"/>
      <c r="AD366" s="73" t="n"/>
      <c r="AE366" s="73" t="n"/>
      <c r="AF366" s="73" t="n"/>
      <c r="AG366" s="73" t="n"/>
      <c r="AH366" s="73" t="n"/>
      <c r="AI366" s="73" t="n"/>
      <c r="AJ366" s="73" t="n"/>
      <c r="AK366" s="73" t="n"/>
      <c r="AL366" s="73" t="n"/>
      <c r="AM366" s="73" t="n"/>
      <c r="AN366" s="73" t="n"/>
      <c r="AO366" s="73" t="n"/>
      <c r="AP366" s="73" t="n"/>
      <c r="AQ366" s="73" t="n"/>
      <c r="AR366" s="73" t="n"/>
      <c r="AS366" s="73" t="n"/>
      <c r="AT366" s="73" t="n"/>
      <c r="AU366" s="73" t="n"/>
      <c r="AV366" s="73" t="n"/>
      <c r="AW366" s="73" t="n"/>
      <c r="AX366" s="73" t="n"/>
      <c r="AY366" s="73" t="n"/>
      <c r="AZ366" s="73" t="n"/>
      <c r="BA366" s="73" t="n"/>
      <c r="BB366" s="73" t="n"/>
      <c r="BC366" s="73" t="n"/>
      <c r="BD366" s="73" t="n"/>
      <c r="BE366" s="73" t="n"/>
      <c r="BF366" s="73" t="n"/>
      <c r="BG366" s="73" t="n"/>
      <c r="BH366" s="73" t="n"/>
      <c r="BI366" s="73" t="n"/>
      <c r="BJ366" s="73" t="n"/>
      <c r="BK366" s="73" t="n"/>
      <c r="BL366" s="73" t="n"/>
      <c r="BM366" s="73" t="n"/>
      <c r="BN366" s="73" t="n"/>
      <c r="BO366" s="73" t="n"/>
      <c r="BP366" s="73" t="n"/>
      <c r="BQ366" s="73" t="n"/>
      <c r="BR366" s="73" t="n"/>
      <c r="BS366" s="73" t="n"/>
      <c r="BT366" s="73" t="n"/>
      <c r="BU366" s="73" t="n"/>
      <c r="BV366" s="73" t="n"/>
      <c r="BW366" s="73" t="n"/>
      <c r="BX366" s="73" t="n"/>
      <c r="BY366" s="73" t="n"/>
      <c r="BZ366" s="73" t="n"/>
      <c r="CA366" s="73" t="n"/>
      <c r="CB366" s="73" t="n"/>
      <c r="CC366" s="73" t="n"/>
      <c r="CD366" s="73" t="n"/>
      <c r="CE366" s="73" t="n"/>
      <c r="CF366" s="73" t="n"/>
      <c r="CG366" s="73" t="n"/>
      <c r="CH366" s="73" t="n"/>
      <c r="CI366" s="73" t="n"/>
      <c r="CJ366" s="73" t="n"/>
      <c r="CK366" s="73" t="n"/>
      <c r="CL366" s="73" t="n"/>
      <c r="CM366" s="73" t="n"/>
      <c r="CN366" s="73" t="n"/>
      <c r="CO366" s="73" t="n"/>
      <c r="CP366" s="73" t="n"/>
      <c r="CQ366" s="73" t="n"/>
      <c r="CR366" s="73" t="n"/>
      <c r="CS366" s="73" t="n"/>
      <c r="CT366" s="73" t="n"/>
      <c r="CU366" s="73" t="n"/>
      <c r="CV366" s="73" t="n"/>
      <c r="CW366" s="73" t="n"/>
      <c r="CX366" s="73" t="n"/>
      <c r="CY366" s="73" t="n"/>
    </row>
    <row r="367"/>
    <row r="368"/>
    <row r="369">
      <c r="C369" s="4" t="inlineStr">
        <is>
          <t>Bull case</t>
        </is>
      </c>
    </row>
    <row r="370">
      <c r="C370" s="4" t="inlineStr">
        <is>
          <t>Base case</t>
        </is>
      </c>
    </row>
    <row r="371">
      <c r="C371" s="4" t="inlineStr">
        <is>
          <t>Bear case</t>
        </is>
      </c>
    </row>
    <row r="372"/>
    <row r="373"/>
    <row r="374">
      <c r="C374" s="4" t="inlineStr">
        <is>
          <t>Bull case</t>
        </is>
      </c>
    </row>
    <row r="375">
      <c r="C375" s="4" t="inlineStr">
        <is>
          <t>Base case</t>
        </is>
      </c>
    </row>
    <row r="376">
      <c r="C376" s="4" t="inlineStr">
        <is>
          <t>Bear case</t>
        </is>
      </c>
    </row>
    <row r="377"/>
    <row r="378"/>
    <row r="379">
      <c r="C379" s="4" t="inlineStr">
        <is>
          <t>% Gross Margin</t>
        </is>
      </c>
    </row>
    <row r="380">
      <c r="C380" s="4" t="inlineStr">
        <is>
          <t>Bull case</t>
        </is>
      </c>
    </row>
    <row r="381">
      <c r="C381" s="4" t="inlineStr">
        <is>
          <t>Base case</t>
        </is>
      </c>
    </row>
    <row r="382">
      <c r="C382" s="4" t="inlineStr">
        <is>
          <t>Bear case</t>
        </is>
      </c>
    </row>
    <row r="383"/>
    <row r="384"/>
    <row r="385">
      <c r="C385" s="4" t="inlineStr">
        <is>
          <t>Capital expenditures</t>
        </is>
      </c>
    </row>
    <row r="386">
      <c r="C386" s="4" t="inlineStr">
        <is>
          <t>Bull case</t>
        </is>
      </c>
    </row>
    <row r="387">
      <c r="C387" s="4" t="inlineStr">
        <is>
          <t>Base case</t>
        </is>
      </c>
    </row>
    <row r="388">
      <c r="C388" s="4" t="inlineStr">
        <is>
          <t>Bear case</t>
        </is>
      </c>
    </row>
  </sheetData>
  <conditionalFormatting sqref="B1:B4 B13:B1048576">
    <cfRule type="expression" priority="25" dxfId="23">
      <formula>B1&lt;&gt;""</formula>
    </cfRule>
  </conditionalFormatting>
  <conditionalFormatting sqref="D1:CY3">
    <cfRule type="cellIs" priority="18" operator="greaterThan" dxfId="22">
      <formula>1</formula>
    </cfRule>
  </conditionalFormatting>
  <conditionalFormatting sqref="E311:G311">
    <cfRule type="cellIs" priority="16" operator="notEqual" dxfId="0">
      <formula>0</formula>
    </cfRule>
  </conditionalFormatting>
  <conditionalFormatting sqref="E5:H5">
    <cfRule type="cellIs" priority="17" operator="greaterThan" dxfId="18">
      <formula>$B$5</formula>
    </cfRule>
  </conditionalFormatting>
  <conditionalFormatting sqref="I311:L311">
    <cfRule type="cellIs" priority="23" operator="notEqual" dxfId="0">
      <formula>0</formula>
    </cfRule>
  </conditionalFormatting>
  <conditionalFormatting sqref="J5:CY5">
    <cfRule type="cellIs" priority="24" operator="greaterThan" dxfId="18">
      <formula>$B$5</formula>
    </cfRule>
  </conditionalFormatting>
  <conditionalFormatting sqref="N311:Q311">
    <cfRule type="cellIs" priority="22" operator="notEqual" dxfId="0">
      <formula>0</formula>
    </cfRule>
  </conditionalFormatting>
  <conditionalFormatting sqref="S311:V311">
    <cfRule type="cellIs" priority="21" operator="notEqual" dxfId="0">
      <formula>0</formula>
    </cfRule>
  </conditionalFormatting>
  <conditionalFormatting sqref="X311:AA311">
    <cfRule type="cellIs" priority="20" operator="notEqual" dxfId="0">
      <formula>0</formula>
    </cfRule>
  </conditionalFormatting>
  <conditionalFormatting sqref="AC311:AF311">
    <cfRule type="cellIs" priority="19" operator="notEqual" dxfId="0">
      <formula>0</formula>
    </cfRule>
  </conditionalFormatting>
  <conditionalFormatting sqref="AH311:AK311">
    <cfRule type="cellIs" priority="15" operator="notEqual" dxfId="0">
      <formula>0</formula>
    </cfRule>
  </conditionalFormatting>
  <conditionalFormatting sqref="AM311:AP311">
    <cfRule type="cellIs" priority="14" operator="notEqual" dxfId="0">
      <formula>0</formula>
    </cfRule>
  </conditionalFormatting>
  <conditionalFormatting sqref="AR311:AU311">
    <cfRule type="cellIs" priority="13" operator="notEqual" dxfId="0">
      <formula>0</formula>
    </cfRule>
  </conditionalFormatting>
  <conditionalFormatting sqref="AW311:AZ311">
    <cfRule type="cellIs" priority="12" operator="notEqual" dxfId="0">
      <formula>0</formula>
    </cfRule>
  </conditionalFormatting>
  <conditionalFormatting sqref="BB311:BE311">
    <cfRule type="cellIs" priority="11" operator="notEqual" dxfId="0">
      <formula>0</formula>
    </cfRule>
  </conditionalFormatting>
  <conditionalFormatting sqref="BG311:BJ311">
    <cfRule type="cellIs" priority="10" operator="notEqual" dxfId="0">
      <formula>0</formula>
    </cfRule>
  </conditionalFormatting>
  <conditionalFormatting sqref="BL311:BO311">
    <cfRule type="cellIs" priority="9" operator="notEqual" dxfId="0">
      <formula>0</formula>
    </cfRule>
  </conditionalFormatting>
  <conditionalFormatting sqref="BQ311:BT311">
    <cfRule type="cellIs" priority="8" operator="notEqual" dxfId="0">
      <formula>0</formula>
    </cfRule>
  </conditionalFormatting>
  <conditionalFormatting sqref="BV311:BY311">
    <cfRule type="cellIs" priority="7" operator="notEqual" dxfId="0">
      <formula>0</formula>
    </cfRule>
  </conditionalFormatting>
  <conditionalFormatting sqref="CA311:CD311">
    <cfRule type="cellIs" priority="6" operator="notEqual" dxfId="0">
      <formula>0</formula>
    </cfRule>
  </conditionalFormatting>
  <conditionalFormatting sqref="CF311:CI311">
    <cfRule type="cellIs" priority="5" operator="notEqual" dxfId="0">
      <formula>0</formula>
    </cfRule>
  </conditionalFormatting>
  <conditionalFormatting sqref="CK311:CN311">
    <cfRule type="cellIs" priority="4" operator="notEqual" dxfId="0">
      <formula>0</formula>
    </cfRule>
  </conditionalFormatting>
  <conditionalFormatting sqref="CP311:CS311">
    <cfRule type="cellIs" priority="3" operator="notEqual" dxfId="0">
      <formula>0</formula>
    </cfRule>
  </conditionalFormatting>
  <conditionalFormatting sqref="CU311:CX311">
    <cfRule type="cellIs" priority="2" operator="notEqual" dxfId="0">
      <formula>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102"/>
  <sheetViews>
    <sheetView zoomScaleNormal="100" workbookViewId="0">
      <selection activeCell="A1" sqref="A1"/>
    </sheetView>
  </sheetViews>
  <sheetFormatPr baseColWidth="8" defaultColWidth="10.42578125" defaultRowHeight="12.75"/>
  <cols>
    <col width="2.28515625" customWidth="1" style="251" min="1" max="1"/>
    <col width="4.85546875" customWidth="1" style="251" min="2" max="2"/>
    <col width="62" customWidth="1" style="251" min="3" max="3"/>
    <col width="14.5703125" customWidth="1" style="251" min="4" max="4"/>
    <col width="12.85546875" customWidth="1" style="251" min="5" max="6"/>
    <col width="13.42578125" customWidth="1" style="251" min="7" max="7"/>
    <col width="16" customWidth="1" style="251" min="8" max="8"/>
    <col width="15.5703125" customWidth="1" style="251" min="9" max="9"/>
    <col width="12.85546875" customWidth="1" style="251" min="10" max="12"/>
    <col width="13.28515625" customWidth="1" style="251" min="13" max="13"/>
    <col width="13.140625" customWidth="1" style="251" min="14" max="14"/>
    <col width="13.28515625" customWidth="1" style="251" min="15" max="15"/>
    <col width="12.28515625" customWidth="1" style="251" min="16" max="20"/>
    <col width="13.28515625" customWidth="1" style="251" min="21" max="22"/>
    <col width="10.5703125" customWidth="1" style="251" min="23" max="23"/>
    <col width="13" customWidth="1" style="251" min="24" max="25"/>
    <col width="11.28515625" customWidth="1" style="251" min="26" max="26"/>
    <col width="10.42578125" customWidth="1" style="251" min="27" max="27"/>
    <col width="21.5703125" customWidth="1" style="251" min="28" max="28"/>
    <col width="10.42578125" customWidth="1" style="251" min="29" max="31"/>
    <col width="9.140625" customWidth="1" style="251" min="32" max="32"/>
    <col width="10.42578125" customWidth="1" style="251" min="33" max="261"/>
    <col width="2.28515625" customWidth="1" style="251" min="262" max="263"/>
    <col width="35.42578125" customWidth="1" style="251" min="264" max="264"/>
    <col width="14.7109375" customWidth="1" style="251" min="265" max="265"/>
    <col width="12.85546875" customWidth="1" style="251" min="266" max="268"/>
    <col width="15.5703125" customWidth="1" style="251" min="269" max="269"/>
    <col width="12.85546875" customWidth="1" style="251" min="270" max="273"/>
    <col width="10.42578125" customWidth="1" style="251" min="274" max="275"/>
    <col width="12.28515625" customWidth="1" style="251" min="276" max="276"/>
    <col width="10.42578125" customWidth="1" style="251" min="277" max="517"/>
    <col width="2.28515625" customWidth="1" style="251" min="518" max="519"/>
    <col width="35.42578125" customWidth="1" style="251" min="520" max="520"/>
    <col width="14.7109375" customWidth="1" style="251" min="521" max="521"/>
    <col width="12.85546875" customWidth="1" style="251" min="522" max="524"/>
    <col width="15.5703125" customWidth="1" style="251" min="525" max="525"/>
    <col width="12.85546875" customWidth="1" style="251" min="526" max="529"/>
    <col width="10.42578125" customWidth="1" style="251" min="530" max="531"/>
    <col width="12.28515625" customWidth="1" style="251" min="532" max="532"/>
    <col width="10.42578125" customWidth="1" style="251" min="533" max="773"/>
    <col width="2.28515625" customWidth="1" style="251" min="774" max="775"/>
    <col width="35.42578125" customWidth="1" style="251" min="776" max="776"/>
    <col width="14.7109375" customWidth="1" style="251" min="777" max="777"/>
    <col width="12.85546875" customWidth="1" style="251" min="778" max="780"/>
    <col width="15.5703125" customWidth="1" style="251" min="781" max="781"/>
    <col width="12.85546875" customWidth="1" style="251" min="782" max="785"/>
    <col width="10.42578125" customWidth="1" style="251" min="786" max="787"/>
    <col width="12.28515625" customWidth="1" style="251" min="788" max="788"/>
    <col width="10.42578125" customWidth="1" style="251" min="789" max="1029"/>
    <col width="2.28515625" customWidth="1" style="251" min="1030" max="1031"/>
    <col width="35.42578125" customWidth="1" style="251" min="1032" max="1032"/>
    <col width="14.7109375" customWidth="1" style="251" min="1033" max="1033"/>
    <col width="12.85546875" customWidth="1" style="251" min="1034" max="1036"/>
    <col width="15.5703125" customWidth="1" style="251" min="1037" max="1037"/>
    <col width="12.85546875" customWidth="1" style="251" min="1038" max="1041"/>
    <col width="10.42578125" customWidth="1" style="251" min="1042" max="1043"/>
    <col width="12.28515625" customWidth="1" style="251" min="1044" max="1044"/>
    <col width="10.42578125" customWidth="1" style="251" min="1045" max="1285"/>
    <col width="2.28515625" customWidth="1" style="251" min="1286" max="1287"/>
    <col width="35.42578125" customWidth="1" style="251" min="1288" max="1288"/>
    <col width="14.7109375" customWidth="1" style="251" min="1289" max="1289"/>
    <col width="12.85546875" customWidth="1" style="251" min="1290" max="1292"/>
    <col width="15.5703125" customWidth="1" style="251" min="1293" max="1293"/>
    <col width="12.85546875" customWidth="1" style="251" min="1294" max="1297"/>
    <col width="10.42578125" customWidth="1" style="251" min="1298" max="1299"/>
    <col width="12.28515625" customWidth="1" style="251" min="1300" max="1300"/>
    <col width="10.42578125" customWidth="1" style="251" min="1301" max="1541"/>
    <col width="2.28515625" customWidth="1" style="251" min="1542" max="1543"/>
    <col width="35.42578125" customWidth="1" style="251" min="1544" max="1544"/>
    <col width="14.7109375" customWidth="1" style="251" min="1545" max="1545"/>
    <col width="12.85546875" customWidth="1" style="251" min="1546" max="1548"/>
    <col width="15.5703125" customWidth="1" style="251" min="1549" max="1549"/>
    <col width="12.85546875" customWidth="1" style="251" min="1550" max="1553"/>
    <col width="10.42578125" customWidth="1" style="251" min="1554" max="1555"/>
    <col width="12.28515625" customWidth="1" style="251" min="1556" max="1556"/>
    <col width="10.42578125" customWidth="1" style="251" min="1557" max="1797"/>
    <col width="2.28515625" customWidth="1" style="251" min="1798" max="1799"/>
    <col width="35.42578125" customWidth="1" style="251" min="1800" max="1800"/>
    <col width="14.7109375" customWidth="1" style="251" min="1801" max="1801"/>
    <col width="12.85546875" customWidth="1" style="251" min="1802" max="1804"/>
    <col width="15.5703125" customWidth="1" style="251" min="1805" max="1805"/>
    <col width="12.85546875" customWidth="1" style="251" min="1806" max="1809"/>
    <col width="10.42578125" customWidth="1" style="251" min="1810" max="1811"/>
    <col width="12.28515625" customWidth="1" style="251" min="1812" max="1812"/>
    <col width="10.42578125" customWidth="1" style="251" min="1813" max="2053"/>
    <col width="2.28515625" customWidth="1" style="251" min="2054" max="2055"/>
    <col width="35.42578125" customWidth="1" style="251" min="2056" max="2056"/>
    <col width="14.7109375" customWidth="1" style="251" min="2057" max="2057"/>
    <col width="12.85546875" customWidth="1" style="251" min="2058" max="2060"/>
    <col width="15.5703125" customWidth="1" style="251" min="2061" max="2061"/>
    <col width="12.85546875" customWidth="1" style="251" min="2062" max="2065"/>
    <col width="10.42578125" customWidth="1" style="251" min="2066" max="2067"/>
    <col width="12.28515625" customWidth="1" style="251" min="2068" max="2068"/>
    <col width="10.42578125" customWidth="1" style="251" min="2069" max="2309"/>
    <col width="2.28515625" customWidth="1" style="251" min="2310" max="2311"/>
    <col width="35.42578125" customWidth="1" style="251" min="2312" max="2312"/>
    <col width="14.7109375" customWidth="1" style="251" min="2313" max="2313"/>
    <col width="12.85546875" customWidth="1" style="251" min="2314" max="2316"/>
    <col width="15.5703125" customWidth="1" style="251" min="2317" max="2317"/>
    <col width="12.85546875" customWidth="1" style="251" min="2318" max="2321"/>
    <col width="10.42578125" customWidth="1" style="251" min="2322" max="2323"/>
    <col width="12.28515625" customWidth="1" style="251" min="2324" max="2324"/>
    <col width="10.42578125" customWidth="1" style="251" min="2325" max="2565"/>
    <col width="2.28515625" customWidth="1" style="251" min="2566" max="2567"/>
    <col width="35.42578125" customWidth="1" style="251" min="2568" max="2568"/>
    <col width="14.7109375" customWidth="1" style="251" min="2569" max="2569"/>
    <col width="12.85546875" customWidth="1" style="251" min="2570" max="2572"/>
    <col width="15.5703125" customWidth="1" style="251" min="2573" max="2573"/>
    <col width="12.85546875" customWidth="1" style="251" min="2574" max="2577"/>
    <col width="10.42578125" customWidth="1" style="251" min="2578" max="2579"/>
    <col width="12.28515625" customWidth="1" style="251" min="2580" max="2580"/>
    <col width="10.42578125" customWidth="1" style="251" min="2581" max="2821"/>
    <col width="2.28515625" customWidth="1" style="251" min="2822" max="2823"/>
    <col width="35.42578125" customWidth="1" style="251" min="2824" max="2824"/>
    <col width="14.7109375" customWidth="1" style="251" min="2825" max="2825"/>
    <col width="12.85546875" customWidth="1" style="251" min="2826" max="2828"/>
    <col width="15.5703125" customWidth="1" style="251" min="2829" max="2829"/>
    <col width="12.85546875" customWidth="1" style="251" min="2830" max="2833"/>
    <col width="10.42578125" customWidth="1" style="251" min="2834" max="2835"/>
    <col width="12.28515625" customWidth="1" style="251" min="2836" max="2836"/>
    <col width="10.42578125" customWidth="1" style="251" min="2837" max="3077"/>
    <col width="2.28515625" customWidth="1" style="251" min="3078" max="3079"/>
    <col width="35.42578125" customWidth="1" style="251" min="3080" max="3080"/>
    <col width="14.7109375" customWidth="1" style="251" min="3081" max="3081"/>
    <col width="12.85546875" customWidth="1" style="251" min="3082" max="3084"/>
    <col width="15.5703125" customWidth="1" style="251" min="3085" max="3085"/>
    <col width="12.85546875" customWidth="1" style="251" min="3086" max="3089"/>
    <col width="10.42578125" customWidth="1" style="251" min="3090" max="3091"/>
    <col width="12.28515625" customWidth="1" style="251" min="3092" max="3092"/>
    <col width="10.42578125" customWidth="1" style="251" min="3093" max="3333"/>
    <col width="2.28515625" customWidth="1" style="251" min="3334" max="3335"/>
    <col width="35.42578125" customWidth="1" style="251" min="3336" max="3336"/>
    <col width="14.7109375" customWidth="1" style="251" min="3337" max="3337"/>
    <col width="12.85546875" customWidth="1" style="251" min="3338" max="3340"/>
    <col width="15.5703125" customWidth="1" style="251" min="3341" max="3341"/>
    <col width="12.85546875" customWidth="1" style="251" min="3342" max="3345"/>
    <col width="10.42578125" customWidth="1" style="251" min="3346" max="3347"/>
    <col width="12.28515625" customWidth="1" style="251" min="3348" max="3348"/>
    <col width="10.42578125" customWidth="1" style="251" min="3349" max="3589"/>
    <col width="2.28515625" customWidth="1" style="251" min="3590" max="3591"/>
    <col width="35.42578125" customWidth="1" style="251" min="3592" max="3592"/>
    <col width="14.7109375" customWidth="1" style="251" min="3593" max="3593"/>
    <col width="12.85546875" customWidth="1" style="251" min="3594" max="3596"/>
    <col width="15.5703125" customWidth="1" style="251" min="3597" max="3597"/>
    <col width="12.85546875" customWidth="1" style="251" min="3598" max="3601"/>
    <col width="10.42578125" customWidth="1" style="251" min="3602" max="3603"/>
    <col width="12.28515625" customWidth="1" style="251" min="3604" max="3604"/>
    <col width="10.42578125" customWidth="1" style="251" min="3605" max="3845"/>
    <col width="2.28515625" customWidth="1" style="251" min="3846" max="3847"/>
    <col width="35.42578125" customWidth="1" style="251" min="3848" max="3848"/>
    <col width="14.7109375" customWidth="1" style="251" min="3849" max="3849"/>
    <col width="12.85546875" customWidth="1" style="251" min="3850" max="3852"/>
    <col width="15.5703125" customWidth="1" style="251" min="3853" max="3853"/>
    <col width="12.85546875" customWidth="1" style="251" min="3854" max="3857"/>
    <col width="10.42578125" customWidth="1" style="251" min="3858" max="3859"/>
    <col width="12.28515625" customWidth="1" style="251" min="3860" max="3860"/>
    <col width="10.42578125" customWidth="1" style="251" min="3861" max="4101"/>
    <col width="2.28515625" customWidth="1" style="251" min="4102" max="4103"/>
    <col width="35.42578125" customWidth="1" style="251" min="4104" max="4104"/>
    <col width="14.7109375" customWidth="1" style="251" min="4105" max="4105"/>
    <col width="12.85546875" customWidth="1" style="251" min="4106" max="4108"/>
    <col width="15.5703125" customWidth="1" style="251" min="4109" max="4109"/>
    <col width="12.85546875" customWidth="1" style="251" min="4110" max="4113"/>
    <col width="10.42578125" customWidth="1" style="251" min="4114" max="4115"/>
    <col width="12.28515625" customWidth="1" style="251" min="4116" max="4116"/>
    <col width="10.42578125" customWidth="1" style="251" min="4117" max="4357"/>
    <col width="2.28515625" customWidth="1" style="251" min="4358" max="4359"/>
    <col width="35.42578125" customWidth="1" style="251" min="4360" max="4360"/>
    <col width="14.7109375" customWidth="1" style="251" min="4361" max="4361"/>
    <col width="12.85546875" customWidth="1" style="251" min="4362" max="4364"/>
    <col width="15.5703125" customWidth="1" style="251" min="4365" max="4365"/>
    <col width="12.85546875" customWidth="1" style="251" min="4366" max="4369"/>
    <col width="10.42578125" customWidth="1" style="251" min="4370" max="4371"/>
    <col width="12.28515625" customWidth="1" style="251" min="4372" max="4372"/>
    <col width="10.42578125" customWidth="1" style="251" min="4373" max="4613"/>
    <col width="2.28515625" customWidth="1" style="251" min="4614" max="4615"/>
    <col width="35.42578125" customWidth="1" style="251" min="4616" max="4616"/>
    <col width="14.7109375" customWidth="1" style="251" min="4617" max="4617"/>
    <col width="12.85546875" customWidth="1" style="251" min="4618" max="4620"/>
    <col width="15.5703125" customWidth="1" style="251" min="4621" max="4621"/>
    <col width="12.85546875" customWidth="1" style="251" min="4622" max="4625"/>
    <col width="10.42578125" customWidth="1" style="251" min="4626" max="4627"/>
    <col width="12.28515625" customWidth="1" style="251" min="4628" max="4628"/>
    <col width="10.42578125" customWidth="1" style="251" min="4629" max="4869"/>
    <col width="2.28515625" customWidth="1" style="251" min="4870" max="4871"/>
    <col width="35.42578125" customWidth="1" style="251" min="4872" max="4872"/>
    <col width="14.7109375" customWidth="1" style="251" min="4873" max="4873"/>
    <col width="12.85546875" customWidth="1" style="251" min="4874" max="4876"/>
    <col width="15.5703125" customWidth="1" style="251" min="4877" max="4877"/>
    <col width="12.85546875" customWidth="1" style="251" min="4878" max="4881"/>
    <col width="10.42578125" customWidth="1" style="251" min="4882" max="4883"/>
    <col width="12.28515625" customWidth="1" style="251" min="4884" max="4884"/>
    <col width="10.42578125" customWidth="1" style="251" min="4885" max="5125"/>
    <col width="2.28515625" customWidth="1" style="251" min="5126" max="5127"/>
    <col width="35.42578125" customWidth="1" style="251" min="5128" max="5128"/>
    <col width="14.7109375" customWidth="1" style="251" min="5129" max="5129"/>
    <col width="12.85546875" customWidth="1" style="251" min="5130" max="5132"/>
    <col width="15.5703125" customWidth="1" style="251" min="5133" max="5133"/>
    <col width="12.85546875" customWidth="1" style="251" min="5134" max="5137"/>
    <col width="10.42578125" customWidth="1" style="251" min="5138" max="5139"/>
    <col width="12.28515625" customWidth="1" style="251" min="5140" max="5140"/>
    <col width="10.42578125" customWidth="1" style="251" min="5141" max="5381"/>
    <col width="2.28515625" customWidth="1" style="251" min="5382" max="5383"/>
    <col width="35.42578125" customWidth="1" style="251" min="5384" max="5384"/>
    <col width="14.7109375" customWidth="1" style="251" min="5385" max="5385"/>
    <col width="12.85546875" customWidth="1" style="251" min="5386" max="5388"/>
    <col width="15.5703125" customWidth="1" style="251" min="5389" max="5389"/>
    <col width="12.85546875" customWidth="1" style="251" min="5390" max="5393"/>
    <col width="10.42578125" customWidth="1" style="251" min="5394" max="5395"/>
    <col width="12.28515625" customWidth="1" style="251" min="5396" max="5396"/>
    <col width="10.42578125" customWidth="1" style="251" min="5397" max="5637"/>
    <col width="2.28515625" customWidth="1" style="251" min="5638" max="5639"/>
    <col width="35.42578125" customWidth="1" style="251" min="5640" max="5640"/>
    <col width="14.7109375" customWidth="1" style="251" min="5641" max="5641"/>
    <col width="12.85546875" customWidth="1" style="251" min="5642" max="5644"/>
    <col width="15.5703125" customWidth="1" style="251" min="5645" max="5645"/>
    <col width="12.85546875" customWidth="1" style="251" min="5646" max="5649"/>
    <col width="10.42578125" customWidth="1" style="251" min="5650" max="5651"/>
    <col width="12.28515625" customWidth="1" style="251" min="5652" max="5652"/>
    <col width="10.42578125" customWidth="1" style="251" min="5653" max="5893"/>
    <col width="2.28515625" customWidth="1" style="251" min="5894" max="5895"/>
    <col width="35.42578125" customWidth="1" style="251" min="5896" max="5896"/>
    <col width="14.7109375" customWidth="1" style="251" min="5897" max="5897"/>
    <col width="12.85546875" customWidth="1" style="251" min="5898" max="5900"/>
    <col width="15.5703125" customWidth="1" style="251" min="5901" max="5901"/>
    <col width="12.85546875" customWidth="1" style="251" min="5902" max="5905"/>
    <col width="10.42578125" customWidth="1" style="251" min="5906" max="5907"/>
    <col width="12.28515625" customWidth="1" style="251" min="5908" max="5908"/>
    <col width="10.42578125" customWidth="1" style="251" min="5909" max="6149"/>
    <col width="2.28515625" customWidth="1" style="251" min="6150" max="6151"/>
    <col width="35.42578125" customWidth="1" style="251" min="6152" max="6152"/>
    <col width="14.7109375" customWidth="1" style="251" min="6153" max="6153"/>
    <col width="12.85546875" customWidth="1" style="251" min="6154" max="6156"/>
    <col width="15.5703125" customWidth="1" style="251" min="6157" max="6157"/>
    <col width="12.85546875" customWidth="1" style="251" min="6158" max="6161"/>
    <col width="10.42578125" customWidth="1" style="251" min="6162" max="6163"/>
    <col width="12.28515625" customWidth="1" style="251" min="6164" max="6164"/>
    <col width="10.42578125" customWidth="1" style="251" min="6165" max="6405"/>
    <col width="2.28515625" customWidth="1" style="251" min="6406" max="6407"/>
    <col width="35.42578125" customWidth="1" style="251" min="6408" max="6408"/>
    <col width="14.7109375" customWidth="1" style="251" min="6409" max="6409"/>
    <col width="12.85546875" customWidth="1" style="251" min="6410" max="6412"/>
    <col width="15.5703125" customWidth="1" style="251" min="6413" max="6413"/>
    <col width="12.85546875" customWidth="1" style="251" min="6414" max="6417"/>
    <col width="10.42578125" customWidth="1" style="251" min="6418" max="6419"/>
    <col width="12.28515625" customWidth="1" style="251" min="6420" max="6420"/>
    <col width="10.42578125" customWidth="1" style="251" min="6421" max="6661"/>
    <col width="2.28515625" customWidth="1" style="251" min="6662" max="6663"/>
    <col width="35.42578125" customWidth="1" style="251" min="6664" max="6664"/>
    <col width="14.7109375" customWidth="1" style="251" min="6665" max="6665"/>
    <col width="12.85546875" customWidth="1" style="251" min="6666" max="6668"/>
    <col width="15.5703125" customWidth="1" style="251" min="6669" max="6669"/>
    <col width="12.85546875" customWidth="1" style="251" min="6670" max="6673"/>
    <col width="10.42578125" customWidth="1" style="251" min="6674" max="6675"/>
    <col width="12.28515625" customWidth="1" style="251" min="6676" max="6676"/>
    <col width="10.42578125" customWidth="1" style="251" min="6677" max="6917"/>
    <col width="2.28515625" customWidth="1" style="251" min="6918" max="6919"/>
    <col width="35.42578125" customWidth="1" style="251" min="6920" max="6920"/>
    <col width="14.7109375" customWidth="1" style="251" min="6921" max="6921"/>
    <col width="12.85546875" customWidth="1" style="251" min="6922" max="6924"/>
    <col width="15.5703125" customWidth="1" style="251" min="6925" max="6925"/>
    <col width="12.85546875" customWidth="1" style="251" min="6926" max="6929"/>
    <col width="10.42578125" customWidth="1" style="251" min="6930" max="6931"/>
    <col width="12.28515625" customWidth="1" style="251" min="6932" max="6932"/>
    <col width="10.42578125" customWidth="1" style="251" min="6933" max="7173"/>
    <col width="2.28515625" customWidth="1" style="251" min="7174" max="7175"/>
    <col width="35.42578125" customWidth="1" style="251" min="7176" max="7176"/>
    <col width="14.7109375" customWidth="1" style="251" min="7177" max="7177"/>
    <col width="12.85546875" customWidth="1" style="251" min="7178" max="7180"/>
    <col width="15.5703125" customWidth="1" style="251" min="7181" max="7181"/>
    <col width="12.85546875" customWidth="1" style="251" min="7182" max="7185"/>
    <col width="10.42578125" customWidth="1" style="251" min="7186" max="7187"/>
    <col width="12.28515625" customWidth="1" style="251" min="7188" max="7188"/>
    <col width="10.42578125" customWidth="1" style="251" min="7189" max="7429"/>
    <col width="2.28515625" customWidth="1" style="251" min="7430" max="7431"/>
    <col width="35.42578125" customWidth="1" style="251" min="7432" max="7432"/>
    <col width="14.7109375" customWidth="1" style="251" min="7433" max="7433"/>
    <col width="12.85546875" customWidth="1" style="251" min="7434" max="7436"/>
    <col width="15.5703125" customWidth="1" style="251" min="7437" max="7437"/>
    <col width="12.85546875" customWidth="1" style="251" min="7438" max="7441"/>
    <col width="10.42578125" customWidth="1" style="251" min="7442" max="7443"/>
    <col width="12.28515625" customWidth="1" style="251" min="7444" max="7444"/>
    <col width="10.42578125" customWidth="1" style="251" min="7445" max="7685"/>
    <col width="2.28515625" customWidth="1" style="251" min="7686" max="7687"/>
    <col width="35.42578125" customWidth="1" style="251" min="7688" max="7688"/>
    <col width="14.7109375" customWidth="1" style="251" min="7689" max="7689"/>
    <col width="12.85546875" customWidth="1" style="251" min="7690" max="7692"/>
    <col width="15.5703125" customWidth="1" style="251" min="7693" max="7693"/>
    <col width="12.85546875" customWidth="1" style="251" min="7694" max="7697"/>
    <col width="10.42578125" customWidth="1" style="251" min="7698" max="7699"/>
    <col width="12.28515625" customWidth="1" style="251" min="7700" max="7700"/>
    <col width="10.42578125" customWidth="1" style="251" min="7701" max="7941"/>
    <col width="2.28515625" customWidth="1" style="251" min="7942" max="7943"/>
    <col width="35.42578125" customWidth="1" style="251" min="7944" max="7944"/>
    <col width="14.7109375" customWidth="1" style="251" min="7945" max="7945"/>
    <col width="12.85546875" customWidth="1" style="251" min="7946" max="7948"/>
    <col width="15.5703125" customWidth="1" style="251" min="7949" max="7949"/>
    <col width="12.85546875" customWidth="1" style="251" min="7950" max="7953"/>
    <col width="10.42578125" customWidth="1" style="251" min="7954" max="7955"/>
    <col width="12.28515625" customWidth="1" style="251" min="7956" max="7956"/>
    <col width="10.42578125" customWidth="1" style="251" min="7957" max="8197"/>
    <col width="2.28515625" customWidth="1" style="251" min="8198" max="8199"/>
    <col width="35.42578125" customWidth="1" style="251" min="8200" max="8200"/>
    <col width="14.7109375" customWidth="1" style="251" min="8201" max="8201"/>
    <col width="12.85546875" customWidth="1" style="251" min="8202" max="8204"/>
    <col width="15.5703125" customWidth="1" style="251" min="8205" max="8205"/>
    <col width="12.85546875" customWidth="1" style="251" min="8206" max="8209"/>
    <col width="10.42578125" customWidth="1" style="251" min="8210" max="8211"/>
    <col width="12.28515625" customWidth="1" style="251" min="8212" max="8212"/>
    <col width="10.42578125" customWidth="1" style="251" min="8213" max="8453"/>
    <col width="2.28515625" customWidth="1" style="251" min="8454" max="8455"/>
    <col width="35.42578125" customWidth="1" style="251" min="8456" max="8456"/>
    <col width="14.7109375" customWidth="1" style="251" min="8457" max="8457"/>
    <col width="12.85546875" customWidth="1" style="251" min="8458" max="8460"/>
    <col width="15.5703125" customWidth="1" style="251" min="8461" max="8461"/>
    <col width="12.85546875" customWidth="1" style="251" min="8462" max="8465"/>
    <col width="10.42578125" customWidth="1" style="251" min="8466" max="8467"/>
    <col width="12.28515625" customWidth="1" style="251" min="8468" max="8468"/>
    <col width="10.42578125" customWidth="1" style="251" min="8469" max="8709"/>
    <col width="2.28515625" customWidth="1" style="251" min="8710" max="8711"/>
    <col width="35.42578125" customWidth="1" style="251" min="8712" max="8712"/>
    <col width="14.7109375" customWidth="1" style="251" min="8713" max="8713"/>
    <col width="12.85546875" customWidth="1" style="251" min="8714" max="8716"/>
    <col width="15.5703125" customWidth="1" style="251" min="8717" max="8717"/>
    <col width="12.85546875" customWidth="1" style="251" min="8718" max="8721"/>
    <col width="10.42578125" customWidth="1" style="251" min="8722" max="8723"/>
    <col width="12.28515625" customWidth="1" style="251" min="8724" max="8724"/>
    <col width="10.42578125" customWidth="1" style="251" min="8725" max="8965"/>
    <col width="2.28515625" customWidth="1" style="251" min="8966" max="8967"/>
    <col width="35.42578125" customWidth="1" style="251" min="8968" max="8968"/>
    <col width="14.7109375" customWidth="1" style="251" min="8969" max="8969"/>
    <col width="12.85546875" customWidth="1" style="251" min="8970" max="8972"/>
    <col width="15.5703125" customWidth="1" style="251" min="8973" max="8973"/>
    <col width="12.85546875" customWidth="1" style="251" min="8974" max="8977"/>
    <col width="10.42578125" customWidth="1" style="251" min="8978" max="8979"/>
    <col width="12.28515625" customWidth="1" style="251" min="8980" max="8980"/>
    <col width="10.42578125" customWidth="1" style="251" min="8981" max="9221"/>
    <col width="2.28515625" customWidth="1" style="251" min="9222" max="9223"/>
    <col width="35.42578125" customWidth="1" style="251" min="9224" max="9224"/>
    <col width="14.7109375" customWidth="1" style="251" min="9225" max="9225"/>
    <col width="12.85546875" customWidth="1" style="251" min="9226" max="9228"/>
    <col width="15.5703125" customWidth="1" style="251" min="9229" max="9229"/>
    <col width="12.85546875" customWidth="1" style="251" min="9230" max="9233"/>
    <col width="10.42578125" customWidth="1" style="251" min="9234" max="9235"/>
    <col width="12.28515625" customWidth="1" style="251" min="9236" max="9236"/>
    <col width="10.42578125" customWidth="1" style="251" min="9237" max="9477"/>
    <col width="2.28515625" customWidth="1" style="251" min="9478" max="9479"/>
    <col width="35.42578125" customWidth="1" style="251" min="9480" max="9480"/>
    <col width="14.7109375" customWidth="1" style="251" min="9481" max="9481"/>
    <col width="12.85546875" customWidth="1" style="251" min="9482" max="9484"/>
    <col width="15.5703125" customWidth="1" style="251" min="9485" max="9485"/>
    <col width="12.85546875" customWidth="1" style="251" min="9486" max="9489"/>
    <col width="10.42578125" customWidth="1" style="251" min="9490" max="9491"/>
    <col width="12.28515625" customWidth="1" style="251" min="9492" max="9492"/>
    <col width="10.42578125" customWidth="1" style="251" min="9493" max="9733"/>
    <col width="2.28515625" customWidth="1" style="251" min="9734" max="9735"/>
    <col width="35.42578125" customWidth="1" style="251" min="9736" max="9736"/>
    <col width="14.7109375" customWidth="1" style="251" min="9737" max="9737"/>
    <col width="12.85546875" customWidth="1" style="251" min="9738" max="9740"/>
    <col width="15.5703125" customWidth="1" style="251" min="9741" max="9741"/>
    <col width="12.85546875" customWidth="1" style="251" min="9742" max="9745"/>
    <col width="10.42578125" customWidth="1" style="251" min="9746" max="9747"/>
    <col width="12.28515625" customWidth="1" style="251" min="9748" max="9748"/>
    <col width="10.42578125" customWidth="1" style="251" min="9749" max="9989"/>
    <col width="2.28515625" customWidth="1" style="251" min="9990" max="9991"/>
    <col width="35.42578125" customWidth="1" style="251" min="9992" max="9992"/>
    <col width="14.7109375" customWidth="1" style="251" min="9993" max="9993"/>
    <col width="12.85546875" customWidth="1" style="251" min="9994" max="9996"/>
    <col width="15.5703125" customWidth="1" style="251" min="9997" max="9997"/>
    <col width="12.85546875" customWidth="1" style="251" min="9998" max="10001"/>
    <col width="10.42578125" customWidth="1" style="251" min="10002" max="10003"/>
    <col width="12.28515625" customWidth="1" style="251" min="10004" max="10004"/>
    <col width="10.42578125" customWidth="1" style="251" min="10005" max="10245"/>
    <col width="2.28515625" customWidth="1" style="251" min="10246" max="10247"/>
    <col width="35.42578125" customWidth="1" style="251" min="10248" max="10248"/>
    <col width="14.7109375" customWidth="1" style="251" min="10249" max="10249"/>
    <col width="12.85546875" customWidth="1" style="251" min="10250" max="10252"/>
    <col width="15.5703125" customWidth="1" style="251" min="10253" max="10253"/>
    <col width="12.85546875" customWidth="1" style="251" min="10254" max="10257"/>
    <col width="10.42578125" customWidth="1" style="251" min="10258" max="10259"/>
    <col width="12.28515625" customWidth="1" style="251" min="10260" max="10260"/>
    <col width="10.42578125" customWidth="1" style="251" min="10261" max="10501"/>
    <col width="2.28515625" customWidth="1" style="251" min="10502" max="10503"/>
    <col width="35.42578125" customWidth="1" style="251" min="10504" max="10504"/>
    <col width="14.7109375" customWidth="1" style="251" min="10505" max="10505"/>
    <col width="12.85546875" customWidth="1" style="251" min="10506" max="10508"/>
    <col width="15.5703125" customWidth="1" style="251" min="10509" max="10509"/>
    <col width="12.85546875" customWidth="1" style="251" min="10510" max="10513"/>
    <col width="10.42578125" customWidth="1" style="251" min="10514" max="10515"/>
    <col width="12.28515625" customWidth="1" style="251" min="10516" max="10516"/>
    <col width="10.42578125" customWidth="1" style="251" min="10517" max="10757"/>
    <col width="2.28515625" customWidth="1" style="251" min="10758" max="10759"/>
    <col width="35.42578125" customWidth="1" style="251" min="10760" max="10760"/>
    <col width="14.7109375" customWidth="1" style="251" min="10761" max="10761"/>
    <col width="12.85546875" customWidth="1" style="251" min="10762" max="10764"/>
    <col width="15.5703125" customWidth="1" style="251" min="10765" max="10765"/>
    <col width="12.85546875" customWidth="1" style="251" min="10766" max="10769"/>
    <col width="10.42578125" customWidth="1" style="251" min="10770" max="10771"/>
    <col width="12.28515625" customWidth="1" style="251" min="10772" max="10772"/>
    <col width="10.42578125" customWidth="1" style="251" min="10773" max="11013"/>
    <col width="2.28515625" customWidth="1" style="251" min="11014" max="11015"/>
    <col width="35.42578125" customWidth="1" style="251" min="11016" max="11016"/>
    <col width="14.7109375" customWidth="1" style="251" min="11017" max="11017"/>
    <col width="12.85546875" customWidth="1" style="251" min="11018" max="11020"/>
    <col width="15.5703125" customWidth="1" style="251" min="11021" max="11021"/>
    <col width="12.85546875" customWidth="1" style="251" min="11022" max="11025"/>
    <col width="10.42578125" customWidth="1" style="251" min="11026" max="11027"/>
    <col width="12.28515625" customWidth="1" style="251" min="11028" max="11028"/>
    <col width="10.42578125" customWidth="1" style="251" min="11029" max="11269"/>
    <col width="2.28515625" customWidth="1" style="251" min="11270" max="11271"/>
    <col width="35.42578125" customWidth="1" style="251" min="11272" max="11272"/>
    <col width="14.7109375" customWidth="1" style="251" min="11273" max="11273"/>
    <col width="12.85546875" customWidth="1" style="251" min="11274" max="11276"/>
    <col width="15.5703125" customWidth="1" style="251" min="11277" max="11277"/>
    <col width="12.85546875" customWidth="1" style="251" min="11278" max="11281"/>
    <col width="10.42578125" customWidth="1" style="251" min="11282" max="11283"/>
    <col width="12.28515625" customWidth="1" style="251" min="11284" max="11284"/>
    <col width="10.42578125" customWidth="1" style="251" min="11285" max="11525"/>
    <col width="2.28515625" customWidth="1" style="251" min="11526" max="11527"/>
    <col width="35.42578125" customWidth="1" style="251" min="11528" max="11528"/>
    <col width="14.7109375" customWidth="1" style="251" min="11529" max="11529"/>
    <col width="12.85546875" customWidth="1" style="251" min="11530" max="11532"/>
    <col width="15.5703125" customWidth="1" style="251" min="11533" max="11533"/>
    <col width="12.85546875" customWidth="1" style="251" min="11534" max="11537"/>
    <col width="10.42578125" customWidth="1" style="251" min="11538" max="11539"/>
    <col width="12.28515625" customWidth="1" style="251" min="11540" max="11540"/>
    <col width="10.42578125" customWidth="1" style="251" min="11541" max="11781"/>
    <col width="2.28515625" customWidth="1" style="251" min="11782" max="11783"/>
    <col width="35.42578125" customWidth="1" style="251" min="11784" max="11784"/>
    <col width="14.7109375" customWidth="1" style="251" min="11785" max="11785"/>
    <col width="12.85546875" customWidth="1" style="251" min="11786" max="11788"/>
    <col width="15.5703125" customWidth="1" style="251" min="11789" max="11789"/>
    <col width="12.85546875" customWidth="1" style="251" min="11790" max="11793"/>
    <col width="10.42578125" customWidth="1" style="251" min="11794" max="11795"/>
    <col width="12.28515625" customWidth="1" style="251" min="11796" max="11796"/>
    <col width="10.42578125" customWidth="1" style="251" min="11797" max="12037"/>
    <col width="2.28515625" customWidth="1" style="251" min="12038" max="12039"/>
    <col width="35.42578125" customWidth="1" style="251" min="12040" max="12040"/>
    <col width="14.7109375" customWidth="1" style="251" min="12041" max="12041"/>
    <col width="12.85546875" customWidth="1" style="251" min="12042" max="12044"/>
    <col width="15.5703125" customWidth="1" style="251" min="12045" max="12045"/>
    <col width="12.85546875" customWidth="1" style="251" min="12046" max="12049"/>
    <col width="10.42578125" customWidth="1" style="251" min="12050" max="12051"/>
    <col width="12.28515625" customWidth="1" style="251" min="12052" max="12052"/>
    <col width="10.42578125" customWidth="1" style="251" min="12053" max="12293"/>
    <col width="2.28515625" customWidth="1" style="251" min="12294" max="12295"/>
    <col width="35.42578125" customWidth="1" style="251" min="12296" max="12296"/>
    <col width="14.7109375" customWidth="1" style="251" min="12297" max="12297"/>
    <col width="12.85546875" customWidth="1" style="251" min="12298" max="12300"/>
    <col width="15.5703125" customWidth="1" style="251" min="12301" max="12301"/>
    <col width="12.85546875" customWidth="1" style="251" min="12302" max="12305"/>
    <col width="10.42578125" customWidth="1" style="251" min="12306" max="12307"/>
    <col width="12.28515625" customWidth="1" style="251" min="12308" max="12308"/>
    <col width="10.42578125" customWidth="1" style="251" min="12309" max="12549"/>
    <col width="2.28515625" customWidth="1" style="251" min="12550" max="12551"/>
    <col width="35.42578125" customWidth="1" style="251" min="12552" max="12552"/>
    <col width="14.7109375" customWidth="1" style="251" min="12553" max="12553"/>
    <col width="12.85546875" customWidth="1" style="251" min="12554" max="12556"/>
    <col width="15.5703125" customWidth="1" style="251" min="12557" max="12557"/>
    <col width="12.85546875" customWidth="1" style="251" min="12558" max="12561"/>
    <col width="10.42578125" customWidth="1" style="251" min="12562" max="12563"/>
    <col width="12.28515625" customWidth="1" style="251" min="12564" max="12564"/>
    <col width="10.42578125" customWidth="1" style="251" min="12565" max="12805"/>
    <col width="2.28515625" customWidth="1" style="251" min="12806" max="12807"/>
    <col width="35.42578125" customWidth="1" style="251" min="12808" max="12808"/>
    <col width="14.7109375" customWidth="1" style="251" min="12809" max="12809"/>
    <col width="12.85546875" customWidth="1" style="251" min="12810" max="12812"/>
    <col width="15.5703125" customWidth="1" style="251" min="12813" max="12813"/>
    <col width="12.85546875" customWidth="1" style="251" min="12814" max="12817"/>
    <col width="10.42578125" customWidth="1" style="251" min="12818" max="12819"/>
    <col width="12.28515625" customWidth="1" style="251" min="12820" max="12820"/>
    <col width="10.42578125" customWidth="1" style="251" min="12821" max="13061"/>
    <col width="2.28515625" customWidth="1" style="251" min="13062" max="13063"/>
    <col width="35.42578125" customWidth="1" style="251" min="13064" max="13064"/>
    <col width="14.7109375" customWidth="1" style="251" min="13065" max="13065"/>
    <col width="12.85546875" customWidth="1" style="251" min="13066" max="13068"/>
    <col width="15.5703125" customWidth="1" style="251" min="13069" max="13069"/>
    <col width="12.85546875" customWidth="1" style="251" min="13070" max="13073"/>
    <col width="10.42578125" customWidth="1" style="251" min="13074" max="13075"/>
    <col width="12.28515625" customWidth="1" style="251" min="13076" max="13076"/>
    <col width="10.42578125" customWidth="1" style="251" min="13077" max="13317"/>
    <col width="2.28515625" customWidth="1" style="251" min="13318" max="13319"/>
    <col width="35.42578125" customWidth="1" style="251" min="13320" max="13320"/>
    <col width="14.7109375" customWidth="1" style="251" min="13321" max="13321"/>
    <col width="12.85546875" customWidth="1" style="251" min="13322" max="13324"/>
    <col width="15.5703125" customWidth="1" style="251" min="13325" max="13325"/>
    <col width="12.85546875" customWidth="1" style="251" min="13326" max="13329"/>
    <col width="10.42578125" customWidth="1" style="251" min="13330" max="13331"/>
    <col width="12.28515625" customWidth="1" style="251" min="13332" max="13332"/>
    <col width="10.42578125" customWidth="1" style="251" min="13333" max="13573"/>
    <col width="2.28515625" customWidth="1" style="251" min="13574" max="13575"/>
    <col width="35.42578125" customWidth="1" style="251" min="13576" max="13576"/>
    <col width="14.7109375" customWidth="1" style="251" min="13577" max="13577"/>
    <col width="12.85546875" customWidth="1" style="251" min="13578" max="13580"/>
    <col width="15.5703125" customWidth="1" style="251" min="13581" max="13581"/>
    <col width="12.85546875" customWidth="1" style="251" min="13582" max="13585"/>
    <col width="10.42578125" customWidth="1" style="251" min="13586" max="13587"/>
    <col width="12.28515625" customWidth="1" style="251" min="13588" max="13588"/>
    <col width="10.42578125" customWidth="1" style="251" min="13589" max="13829"/>
    <col width="2.28515625" customWidth="1" style="251" min="13830" max="13831"/>
    <col width="35.42578125" customWidth="1" style="251" min="13832" max="13832"/>
    <col width="14.7109375" customWidth="1" style="251" min="13833" max="13833"/>
    <col width="12.85546875" customWidth="1" style="251" min="13834" max="13836"/>
    <col width="15.5703125" customWidth="1" style="251" min="13837" max="13837"/>
    <col width="12.85546875" customWidth="1" style="251" min="13838" max="13841"/>
    <col width="10.42578125" customWidth="1" style="251" min="13842" max="13843"/>
    <col width="12.28515625" customWidth="1" style="251" min="13844" max="13844"/>
    <col width="10.42578125" customWidth="1" style="251" min="13845" max="14085"/>
    <col width="2.28515625" customWidth="1" style="251" min="14086" max="14087"/>
    <col width="35.42578125" customWidth="1" style="251" min="14088" max="14088"/>
    <col width="14.7109375" customWidth="1" style="251" min="14089" max="14089"/>
    <col width="12.85546875" customWidth="1" style="251" min="14090" max="14092"/>
    <col width="15.5703125" customWidth="1" style="251" min="14093" max="14093"/>
    <col width="12.85546875" customWidth="1" style="251" min="14094" max="14097"/>
    <col width="10.42578125" customWidth="1" style="251" min="14098" max="14099"/>
    <col width="12.28515625" customWidth="1" style="251" min="14100" max="14100"/>
    <col width="10.42578125" customWidth="1" style="251" min="14101" max="14341"/>
    <col width="2.28515625" customWidth="1" style="251" min="14342" max="14343"/>
    <col width="35.42578125" customWidth="1" style="251" min="14344" max="14344"/>
    <col width="14.7109375" customWidth="1" style="251" min="14345" max="14345"/>
    <col width="12.85546875" customWidth="1" style="251" min="14346" max="14348"/>
    <col width="15.5703125" customWidth="1" style="251" min="14349" max="14349"/>
    <col width="12.85546875" customWidth="1" style="251" min="14350" max="14353"/>
    <col width="10.42578125" customWidth="1" style="251" min="14354" max="14355"/>
    <col width="12.28515625" customWidth="1" style="251" min="14356" max="14356"/>
    <col width="10.42578125" customWidth="1" style="251" min="14357" max="14597"/>
    <col width="2.28515625" customWidth="1" style="251" min="14598" max="14599"/>
    <col width="35.42578125" customWidth="1" style="251" min="14600" max="14600"/>
    <col width="14.7109375" customWidth="1" style="251" min="14601" max="14601"/>
    <col width="12.85546875" customWidth="1" style="251" min="14602" max="14604"/>
    <col width="15.5703125" customWidth="1" style="251" min="14605" max="14605"/>
    <col width="12.85546875" customWidth="1" style="251" min="14606" max="14609"/>
    <col width="10.42578125" customWidth="1" style="251" min="14610" max="14611"/>
    <col width="12.28515625" customWidth="1" style="251" min="14612" max="14612"/>
    <col width="10.42578125" customWidth="1" style="251" min="14613" max="14853"/>
    <col width="2.28515625" customWidth="1" style="251" min="14854" max="14855"/>
    <col width="35.42578125" customWidth="1" style="251" min="14856" max="14856"/>
    <col width="14.7109375" customWidth="1" style="251" min="14857" max="14857"/>
    <col width="12.85546875" customWidth="1" style="251" min="14858" max="14860"/>
    <col width="15.5703125" customWidth="1" style="251" min="14861" max="14861"/>
    <col width="12.85546875" customWidth="1" style="251" min="14862" max="14865"/>
    <col width="10.42578125" customWidth="1" style="251" min="14866" max="14867"/>
    <col width="12.28515625" customWidth="1" style="251" min="14868" max="14868"/>
    <col width="10.42578125" customWidth="1" style="251" min="14869" max="15109"/>
    <col width="2.28515625" customWidth="1" style="251" min="15110" max="15111"/>
    <col width="35.42578125" customWidth="1" style="251" min="15112" max="15112"/>
    <col width="14.7109375" customWidth="1" style="251" min="15113" max="15113"/>
    <col width="12.85546875" customWidth="1" style="251" min="15114" max="15116"/>
    <col width="15.5703125" customWidth="1" style="251" min="15117" max="15117"/>
    <col width="12.85546875" customWidth="1" style="251" min="15118" max="15121"/>
    <col width="10.42578125" customWidth="1" style="251" min="15122" max="15123"/>
    <col width="12.28515625" customWidth="1" style="251" min="15124" max="15124"/>
    <col width="10.42578125" customWidth="1" style="251" min="15125" max="15365"/>
    <col width="2.28515625" customWidth="1" style="251" min="15366" max="15367"/>
    <col width="35.42578125" customWidth="1" style="251" min="15368" max="15368"/>
    <col width="14.7109375" customWidth="1" style="251" min="15369" max="15369"/>
    <col width="12.85546875" customWidth="1" style="251" min="15370" max="15372"/>
    <col width="15.5703125" customWidth="1" style="251" min="15373" max="15373"/>
    <col width="12.85546875" customWidth="1" style="251" min="15374" max="15377"/>
    <col width="10.42578125" customWidth="1" style="251" min="15378" max="15379"/>
    <col width="12.28515625" customWidth="1" style="251" min="15380" max="15380"/>
    <col width="10.42578125" customWidth="1" style="251" min="15381" max="15621"/>
    <col width="2.28515625" customWidth="1" style="251" min="15622" max="15623"/>
    <col width="35.42578125" customWidth="1" style="251" min="15624" max="15624"/>
    <col width="14.7109375" customWidth="1" style="251" min="15625" max="15625"/>
    <col width="12.85546875" customWidth="1" style="251" min="15626" max="15628"/>
    <col width="15.5703125" customWidth="1" style="251" min="15629" max="15629"/>
    <col width="12.85546875" customWidth="1" style="251" min="15630" max="15633"/>
    <col width="10.42578125" customWidth="1" style="251" min="15634" max="15635"/>
    <col width="12.28515625" customWidth="1" style="251" min="15636" max="15636"/>
    <col width="10.42578125" customWidth="1" style="251" min="15637" max="15877"/>
    <col width="2.28515625" customWidth="1" style="251" min="15878" max="15879"/>
    <col width="35.42578125" customWidth="1" style="251" min="15880" max="15880"/>
    <col width="14.7109375" customWidth="1" style="251" min="15881" max="15881"/>
    <col width="12.85546875" customWidth="1" style="251" min="15882" max="15884"/>
    <col width="15.5703125" customWidth="1" style="251" min="15885" max="15885"/>
    <col width="12.85546875" customWidth="1" style="251" min="15886" max="15889"/>
    <col width="10.42578125" customWidth="1" style="251" min="15890" max="15891"/>
    <col width="12.28515625" customWidth="1" style="251" min="15892" max="15892"/>
    <col width="10.42578125" customWidth="1" style="251" min="15893" max="16133"/>
    <col width="2.28515625" customWidth="1" style="251" min="16134" max="16135"/>
    <col width="35.42578125" customWidth="1" style="251" min="16136" max="16136"/>
    <col width="14.7109375" customWidth="1" style="251" min="16137" max="16137"/>
    <col width="12.85546875" customWidth="1" style="251" min="16138" max="16140"/>
    <col width="15.5703125" customWidth="1" style="251" min="16141" max="16141"/>
    <col width="12.85546875" customWidth="1" style="251" min="16142" max="16145"/>
    <col width="10.42578125" customWidth="1" style="251" min="16146" max="16147"/>
    <col width="12.28515625" customWidth="1" style="251" min="16148" max="16148"/>
    <col width="10.42578125" customWidth="1" style="251" min="16149" max="16384"/>
  </cols>
  <sheetData>
    <row r="1" ht="6.75" customFormat="1" customHeight="1" s="93"/>
    <row r="2" ht="6.75" customFormat="1" customHeight="1" s="93"/>
    <row r="3">
      <c r="C3" s="251" t="inlineStr">
        <is>
          <t>Discounted Cash Flow Model</t>
        </is>
      </c>
    </row>
    <row r="4" ht="13.5" customHeight="1">
      <c r="C4" s="94" t="inlineStr">
        <is>
          <t>All figures in millions, except per share data</t>
        </is>
      </c>
      <c r="D4" s="94" t="n"/>
      <c r="E4" s="94" t="n"/>
      <c r="F4" s="94" t="n"/>
      <c r="G4" s="94" t="n"/>
      <c r="H4" s="94" t="n"/>
      <c r="I4" s="94" t="n"/>
      <c r="J4" s="94" t="n"/>
      <c r="K4" s="94" t="n"/>
      <c r="L4" s="94" t="n"/>
      <c r="M4" s="94" t="n"/>
      <c r="N4" s="94" t="n"/>
      <c r="O4" s="94" t="n"/>
      <c r="P4" s="94" t="n"/>
      <c r="Q4" s="94" t="n"/>
      <c r="R4" s="94" t="n"/>
      <c r="S4" s="94" t="n"/>
      <c r="T4" s="94" t="n"/>
      <c r="U4" s="94" t="n"/>
      <c r="V4" s="94" t="n"/>
    </row>
    <row r="5"/>
    <row r="6"/>
    <row r="7">
      <c r="C7" s="251" t="inlineStr">
        <is>
          <t>Ticker</t>
        </is>
      </c>
      <c r="D7" s="95" t="str">
        <f>IFERROR(IF(Control!B4="","",Control!B4),"")</f>
        <v>GOOGL</v>
      </c>
      <c r="F7" s="251" t="inlineStr">
        <is>
          <t>Last close</t>
        </is>
      </c>
      <c r="G7" s="96" t="str">
        <f>IFERROR(IF(Control!E4="","",Control!E4),"")</f>
        <v/>
      </c>
    </row>
    <row r="8">
      <c r="C8" s="251" t="inlineStr">
        <is>
          <t>Operating scenario:</t>
        </is>
      </c>
      <c r="D8" s="97" t="str">
        <f>IFERROR(IF(Control!B10=1,"Bull Case",IF(Control!B10=2,"Base Case","Bear Case")),"")</f>
        <v>Base Case</v>
      </c>
    </row>
    <row r="9">
      <c r="C9" s="251" t="inlineStr">
        <is>
          <t>Last fiscal year end date:</t>
        </is>
      </c>
      <c r="D9" s="98" t="str">
        <f>IFERROR(IF(Control!B12="","",DATE(YEAR(Control!B12)-1,12,31)),"")</f>
        <v/>
      </c>
    </row>
    <row r="10">
      <c r="C10" s="251" t="inlineStr">
        <is>
          <t>Valuation / deal date:</t>
        </is>
      </c>
      <c r="D10" s="98" t="str">
        <f>IFERROR(IF(Control!B12="","",Control!B12),"")</f>
        <v/>
      </c>
    </row>
    <row r="11">
      <c r="C11" s="251" t="inlineStr">
        <is>
          <t>Stub year fraction:</t>
        </is>
      </c>
      <c r="D11" s="99" t="str">
        <f>IFERROR(IF(Control!B12="","",Control!B13),"")</f>
        <v/>
      </c>
      <c r="E11" s="100" t="n"/>
      <c r="I11" s="101" t="n"/>
      <c r="O11" s="102" t="n"/>
      <c r="Z11" s="103" t="n"/>
    </row>
    <row r="12">
      <c r="C12" s="251" t="inlineStr">
        <is>
          <t>Weighted average cost of capital:</t>
        </is>
      </c>
      <c r="D12" s="99" t="str">
        <f>IFERROR(IF(Control!E12="","",Control!E12),"")</f>
        <v/>
      </c>
      <c r="I12" s="101" t="n"/>
    </row>
    <row r="13">
      <c r="D13" s="99" t="n"/>
      <c r="E13" s="99" t="n"/>
    </row>
    <row r="14" ht="14.85" customHeight="1">
      <c r="C14" s="104" t="inlineStr">
        <is>
          <t>Historicals</t>
        </is>
      </c>
      <c r="D14" s="104" t="n"/>
      <c r="E14" s="104" t="n"/>
      <c r="F14" s="104" t="n"/>
      <c r="G14" s="250" t="inlineStr">
        <is>
          <t>Projected Annual Forecast</t>
        </is>
      </c>
    </row>
    <row r="15">
      <c r="C15" s="105" t="n"/>
      <c r="D15" s="105" t="n"/>
      <c r="E15" s="105" t="n"/>
      <c r="F15" s="105" t="n"/>
      <c r="G15" s="256" t="inlineStr">
        <is>
          <t>Granular</t>
        </is>
      </c>
      <c r="H15" s="253" t="n"/>
      <c r="I15" s="253" t="n"/>
      <c r="J15" s="253" t="n"/>
      <c r="K15" s="253" t="n"/>
      <c r="L15" s="253" t="n"/>
      <c r="M15" s="253" t="n"/>
      <c r="N15" s="253" t="n"/>
      <c r="O15" s="253" t="n"/>
      <c r="P15" s="253" t="n"/>
      <c r="Q15" s="253" t="n"/>
      <c r="R15" s="253" t="n"/>
      <c r="S15" s="253" t="n"/>
      <c r="T15" s="253" t="n"/>
      <c r="U15" s="253" t="n"/>
      <c r="V15" s="253" t="n"/>
      <c r="X15" s="106" t="n"/>
      <c r="Y15" s="107" t="n"/>
      <c r="Z15" s="107" t="n"/>
    </row>
    <row r="16">
      <c r="D16" s="108" t="n">
        <v>2023</v>
      </c>
      <c r="E16" s="108" t="n">
        <v>2024</v>
      </c>
      <c r="F16" s="108" t="n">
        <v>2025</v>
      </c>
      <c r="G16" s="108" t="n">
        <v>2026</v>
      </c>
      <c r="H16" s="108" t="n">
        <v>2027</v>
      </c>
      <c r="I16" s="108" t="n">
        <v>2028</v>
      </c>
      <c r="J16" s="108" t="n">
        <v>2029</v>
      </c>
      <c r="K16" s="108" t="n">
        <v>2030</v>
      </c>
      <c r="L16" s="108" t="n"/>
      <c r="M16" s="108" t="n"/>
      <c r="N16" s="108" t="n"/>
      <c r="O16" s="108" t="n"/>
      <c r="P16" s="108" t="n"/>
      <c r="Q16" s="108" t="n"/>
      <c r="R16" s="108" t="n"/>
      <c r="S16" s="108" t="n"/>
      <c r="T16" s="108" t="n"/>
      <c r="U16" s="108" t="n"/>
      <c r="V16" s="108" t="n"/>
      <c r="W16" s="108" t="n"/>
      <c r="X16" s="107" t="n"/>
      <c r="Y16" s="107" t="n"/>
      <c r="Z16" s="107" t="n"/>
    </row>
    <row r="17">
      <c r="C17" s="109" t="n"/>
      <c r="D17" s="110" t="n">
        <v>45291</v>
      </c>
      <c r="E17" s="110" t="n">
        <v>45657</v>
      </c>
      <c r="F17" s="110" t="n">
        <v>46022</v>
      </c>
      <c r="G17" s="110" t="n">
        <v>46387</v>
      </c>
      <c r="H17" s="110" t="n">
        <v>46752</v>
      </c>
      <c r="I17" s="110" t="n">
        <v>47118</v>
      </c>
      <c r="J17" s="110" t="n">
        <v>47483</v>
      </c>
      <c r="K17" s="110" t="n">
        <v>47848</v>
      </c>
      <c r="L17" s="110" t="n"/>
      <c r="M17" s="110" t="n"/>
      <c r="N17" s="110" t="n"/>
      <c r="O17" s="110" t="n"/>
      <c r="P17" s="110" t="n"/>
      <c r="Q17" s="110" t="n"/>
      <c r="R17" s="110" t="n"/>
      <c r="S17" s="110" t="n"/>
      <c r="T17" s="110" t="n"/>
      <c r="U17" s="110" t="n"/>
      <c r="V17" s="110" t="n"/>
      <c r="W17" s="111" t="n"/>
      <c r="X17" s="107" t="n"/>
      <c r="Y17" s="107" t="n"/>
      <c r="Z17" s="107" t="n"/>
    </row>
    <row r="18">
      <c r="C18" s="112" t="inlineStr">
        <is>
          <t>Net Revenues</t>
        </is>
      </c>
      <c r="D18" s="113">
        <f>IFERROR(Model!W15,"")</f>
        <v>307394</v>
      </c>
      <c r="E18" s="113">
        <f>IFERROR(Model!AB15,"")</f>
        <v>350018</v>
      </c>
      <c r="F18" s="113">
        <f>IFERROR(Model!AG15,"")</f>
        <v>402837</v>
      </c>
      <c r="G18" s="113">
        <f>IFERROR(Model!AL15,"")</f>
        <v>483984.398944406</v>
      </c>
      <c r="H18" s="113">
        <f>IFERROR(Model!AQ15,"")</f>
        <v>569323.71393195</v>
      </c>
      <c r="I18" s="113">
        <f>IFERROR(Model!AV15,"")</f>
        <v>666864.00010361</v>
      </c>
      <c r="J18" s="113">
        <f>IFERROR(Model!BA15,"")</f>
        <v>777781.210148191</v>
      </c>
      <c r="K18" s="113">
        <f>IFERROR(Model!BF15,"")</f>
        <v>903257.994615056</v>
      </c>
      <c r="L18" s="113" t="n"/>
      <c r="M18" s="113" t="n"/>
      <c r="N18" s="113" t="n"/>
      <c r="O18" s="113" t="n"/>
      <c r="P18" s="113" t="n"/>
      <c r="Q18" s="113" t="n"/>
      <c r="R18" s="113" t="n"/>
      <c r="S18" s="113" t="n"/>
      <c r="T18" s="113" t="n"/>
      <c r="U18" s="113" t="n"/>
      <c r="V18" s="114" t="n"/>
      <c r="X18" s="115" t="n"/>
      <c r="Y18" s="115" t="n"/>
      <c r="Z18" s="107" t="n"/>
    </row>
    <row r="19">
      <c r="C19" s="116" t="n"/>
      <c r="D19" s="109" t="str">
        <f>IFERROR("","")</f>
        <v/>
      </c>
      <c r="E19" s="117">
        <f>IFERROR(IF(D18=0,"",E18/D18-1),"")</f>
        <v>0.138662433229016</v>
      </c>
      <c r="F19" s="117">
        <f>IFERROR(IF(E18=0,"",F18/E18-1),"")</f>
        <v>0.15090366781137</v>
      </c>
      <c r="G19" s="117">
        <f>IFERROR(IF(F18=0,"",G18/F18-1),"")</f>
        <v>0.201439785681071</v>
      </c>
      <c r="H19" s="117">
        <f>IFERROR(IF(G18=0,"",H18/G18-1),"")</f>
        <v>0.176326582372641</v>
      </c>
      <c r="I19" s="117">
        <f>IFERROR(IF(H18=0,"",I18/H18-1),"")</f>
        <v>0.171326582372641</v>
      </c>
      <c r="J19" s="117">
        <f>IFERROR(IF(I18=0,"",J18/I18-1),"")</f>
        <v>0.166326582372641</v>
      </c>
      <c r="K19" s="117">
        <f>IFERROR(IF(J18=0,"",K18/J18-1),"")</f>
        <v>0.161326582372641</v>
      </c>
      <c r="L19" s="117" t="n"/>
      <c r="M19" s="117" t="n"/>
      <c r="N19" s="117" t="n"/>
      <c r="O19" s="117" t="n"/>
      <c r="P19" s="117" t="n"/>
      <c r="Q19" s="117" t="n"/>
      <c r="R19" s="117" t="n"/>
      <c r="S19" s="117" t="n"/>
      <c r="T19" s="117" t="n"/>
      <c r="U19" s="117" t="n"/>
      <c r="V19" s="118" t="n"/>
      <c r="X19" s="107" t="n"/>
      <c r="Y19" s="107" t="n"/>
      <c r="Z19" s="107" t="n"/>
    </row>
    <row r="20">
      <c r="C20" s="119" t="inlineStr">
        <is>
          <t>EBITDA</t>
        </is>
      </c>
      <c r="D20" s="113">
        <f>IFERROR(Model!W65,"")</f>
        <v>97619</v>
      </c>
      <c r="E20" s="113">
        <f>IFERROR(Model!AB65,"")</f>
        <v>127701</v>
      </c>
      <c r="F20" s="113">
        <f>IFERROR(Model!AG65,"")</f>
        <v>150175</v>
      </c>
      <c r="G20" s="113">
        <f>IFERROR(Model!AL65,"")</f>
        <v>192105.227802026</v>
      </c>
      <c r="H20" s="113">
        <f>IFERROR(Model!AQ65,"")</f>
        <v>219526.922735387</v>
      </c>
      <c r="I20" s="113">
        <f>IFERROR(Model!AV65,"")</f>
        <v>257137.720146423</v>
      </c>
      <c r="J20" s="113">
        <f>IFERROR(Model!BA65,"")</f>
        <v>299906.55833747</v>
      </c>
      <c r="K20" s="113">
        <f>IFERROR(Model!BF65,"")</f>
        <v>348289.458425196</v>
      </c>
      <c r="L20" s="113" t="n"/>
      <c r="M20" s="120" t="n"/>
      <c r="N20" s="120" t="n"/>
      <c r="O20" s="120" t="n"/>
      <c r="P20" s="120" t="n"/>
      <c r="Q20" s="120" t="n"/>
      <c r="R20" s="120" t="n"/>
      <c r="S20" s="120" t="n"/>
      <c r="T20" s="120" t="n"/>
      <c r="U20" s="120" t="n"/>
      <c r="V20" s="121" t="n"/>
      <c r="X20" s="107" t="n"/>
      <c r="Y20" s="107" t="n"/>
      <c r="Z20" s="107" t="n"/>
    </row>
    <row r="21">
      <c r="C21" s="116" t="n"/>
      <c r="D21" s="122">
        <f>IFERROR(IF(D18=0,"",D20/D18),"")</f>
        <v>0.31756963375993</v>
      </c>
      <c r="E21" s="122">
        <f>IFERROR(IF(E18=0,"",E20/E18),"")</f>
        <v>0.364841236736396</v>
      </c>
      <c r="F21" s="122">
        <f>IFERROR(IF(F18=0,"",F20/F18),"")</f>
        <v>0.372793462368154</v>
      </c>
      <c r="G21" s="122">
        <f>IFERROR(IF(G18=0,"",G20/G18),"")</f>
        <v>0.396924421987603</v>
      </c>
      <c r="H21" s="122">
        <f>IFERROR(IF(H18=0,"",H20/H18),"")</f>
        <v>0.385592444796049</v>
      </c>
      <c r="I21" s="122">
        <f>IFERROR(IF(I18=0,"",I20/I18),"")</f>
        <v>0.385592444796049</v>
      </c>
      <c r="J21" s="122">
        <f>IFERROR(IF(J18=0,"",J20/J18),"")</f>
        <v>0.385592444796049</v>
      </c>
      <c r="K21" s="122">
        <f>IFERROR(IF(K18=0,"",K20/K18),"")</f>
        <v>0.385592444796049</v>
      </c>
      <c r="L21" s="122" t="n"/>
      <c r="M21" s="109" t="n"/>
      <c r="N21" s="109" t="n"/>
      <c r="O21" s="109" t="n"/>
      <c r="P21" s="109" t="n"/>
      <c r="Q21" s="109" t="n"/>
      <c r="R21" s="109" t="n"/>
      <c r="S21" s="109" t="n"/>
      <c r="T21" s="109" t="n"/>
      <c r="U21" s="109" t="n"/>
      <c r="V21" s="123" t="n"/>
      <c r="X21" s="115" t="n"/>
      <c r="Y21" s="115" t="n"/>
      <c r="Z21" s="107" t="n"/>
    </row>
    <row r="22">
      <c r="C22" s="112" t="inlineStr">
        <is>
          <t>EBIT</t>
        </is>
      </c>
      <c r="D22" s="113">
        <f>IFERROR(Model!W69,"")</f>
        <v>84293</v>
      </c>
      <c r="E22" s="113">
        <f>IFERROR(Model!AB69,"")</f>
        <v>112390</v>
      </c>
      <c r="F22" s="113">
        <f>IFERROR(Model!AG69,"")</f>
        <v>129039</v>
      </c>
      <c r="G22" s="113">
        <f>IFERROR(Model!AL69,"")</f>
        <v>164629.462602526</v>
      </c>
      <c r="H22" s="113">
        <f>IFERROR(Model!AQ69,"")</f>
        <v>188429.757653583</v>
      </c>
      <c r="I22" s="113">
        <f>IFERROR(Model!AV69,"")</f>
        <v>220712.784049676</v>
      </c>
      <c r="J22" s="113">
        <f>IFERROR(Model!BA69,"")</f>
        <v>257423.18710661</v>
      </c>
      <c r="K22" s="113">
        <f>IFERROR(Model!BF69,"")</f>
        <v>298952.390105992</v>
      </c>
      <c r="L22" s="113" t="n"/>
      <c r="M22" s="113" t="n"/>
      <c r="N22" s="113" t="n"/>
      <c r="O22" s="113" t="n"/>
      <c r="P22" s="113" t="n"/>
      <c r="Q22" s="113" t="n"/>
      <c r="R22" s="113" t="n"/>
      <c r="S22" s="113" t="n"/>
      <c r="T22" s="113" t="n"/>
      <c r="U22" s="113" t="n"/>
      <c r="V22" s="114" t="n"/>
      <c r="X22" s="115" t="n"/>
      <c r="Y22" s="115" t="n"/>
      <c r="Z22" s="107" t="n"/>
    </row>
    <row r="23">
      <c r="C23" s="116" t="n"/>
      <c r="D23" s="122">
        <f>IFERROR(IF(D18=0,"",D22/D18),"")</f>
        <v>0.274218104452266</v>
      </c>
      <c r="E23" s="122">
        <f>IFERROR(IF(E18=0,"",E22/E18),"")</f>
        <v>0.321097772114577</v>
      </c>
      <c r="F23" s="122">
        <f>IFERROR(IF(F18=0,"",F22/F18),"")</f>
        <v>0.320325590747623</v>
      </c>
      <c r="G23" s="122">
        <f>IFERROR(IF(G18=0,"",G22/G18),"")</f>
        <v>0.340154482172547</v>
      </c>
      <c r="H23" s="122">
        <f>IFERROR(IF(H18=0,"",H22/H18),"")</f>
        <v>0.330971208545347</v>
      </c>
      <c r="I23" s="122">
        <f>IFERROR(IF(I18=0,"",I22/I18),"")</f>
        <v>0.330971208545347</v>
      </c>
      <c r="J23" s="122">
        <f>IFERROR(IF(J18=0,"",J22/J18),"")</f>
        <v>0.330971208545347</v>
      </c>
      <c r="K23" s="122">
        <f>IFERROR(IF(K18=0,"",K22/K18),"")</f>
        <v>0.330971208545347</v>
      </c>
      <c r="L23" s="122" t="n"/>
      <c r="M23" s="122" t="n"/>
      <c r="N23" s="122" t="n"/>
      <c r="O23" s="122" t="n"/>
      <c r="P23" s="122" t="n"/>
      <c r="Q23" s="122" t="n"/>
      <c r="R23" s="122" t="n"/>
      <c r="S23" s="122" t="n"/>
      <c r="T23" s="122" t="n"/>
      <c r="U23" s="122" t="n"/>
      <c r="V23" s="124" t="n"/>
      <c r="X23" s="107" t="n"/>
      <c r="Y23" s="107" t="n"/>
      <c r="Z23" s="107" t="n"/>
    </row>
    <row r="24">
      <c r="C24" s="112" t="inlineStr">
        <is>
          <t>Tax rate</t>
        </is>
      </c>
      <c r="D24" s="125">
        <f>IFERROR(Model!W128,"")</f>
        <v>0.139085595622805</v>
      </c>
      <c r="E24" s="125">
        <f>IFERROR(Model!AB128,"")</f>
        <v>0.16439510912657</v>
      </c>
      <c r="F24" s="125">
        <f>IFERROR(Model!AG128,"")</f>
        <v>0.167831463362422</v>
      </c>
      <c r="G24" s="125">
        <f>IFERROR(Model!AL128,"")</f>
        <v>0.184659825100417</v>
      </c>
      <c r="H24" s="125">
        <f>IFERROR(Model!AQ128,"")</f>
        <v>0.174924529905119</v>
      </c>
      <c r="I24" s="125">
        <f>IFERROR(Model!AV128,"")</f>
        <v>0.174924529905119</v>
      </c>
      <c r="J24" s="125">
        <f>IFERROR(Model!BA128,"")</f>
        <v>0.174924529905119</v>
      </c>
      <c r="K24" s="125">
        <f>IFERROR(Model!BF128,"")</f>
        <v>0.174924529905119</v>
      </c>
      <c r="L24" s="125" t="n"/>
      <c r="M24" s="125" t="n"/>
      <c r="N24" s="125" t="n"/>
      <c r="O24" s="125" t="n"/>
      <c r="P24" s="125" t="n"/>
      <c r="Q24" s="125" t="n"/>
      <c r="R24" s="125" t="n"/>
      <c r="S24" s="125" t="n"/>
      <c r="T24" s="125" t="n"/>
      <c r="U24" s="125" t="n"/>
      <c r="V24" s="126" t="n"/>
      <c r="X24" s="107" t="n"/>
      <c r="Y24" s="107" t="n"/>
      <c r="Z24" s="107" t="n"/>
    </row>
    <row r="25">
      <c r="C25" s="116" t="inlineStr">
        <is>
          <t>NOPLAT</t>
        </is>
      </c>
      <c r="D25" s="127">
        <f>IFERROR(D22*(1-D24),"")</f>
        <v>72569.0578881669</v>
      </c>
      <c r="E25" s="127">
        <f>IFERROR(E22*(1-E24),"")</f>
        <v>93913.6336852648</v>
      </c>
      <c r="F25" s="127">
        <f>IFERROR(F22*(1-F24),"")</f>
        <v>107382.195799176</v>
      </c>
      <c r="G25" s="127">
        <f>IFERROR(G22*(1-G24),"")</f>
        <v>134229.014831968</v>
      </c>
      <c r="H25" s="127">
        <f>IFERROR(H22*(1-H24),"")</f>
        <v>155468.770875894</v>
      </c>
      <c r="I25" s="127">
        <f>IFERROR(I22*(1-I24),"")</f>
        <v>182104.704055737</v>
      </c>
      <c r="J25" s="127">
        <f>IFERROR(J22*(1-J24),"")</f>
        <v>212393.557115308</v>
      </c>
      <c r="K25" s="127">
        <f>IFERROR(K22*(1-K24),"")</f>
        <v>246658.283802689</v>
      </c>
      <c r="L25" s="127" t="n"/>
      <c r="M25" s="127" t="n"/>
      <c r="N25" s="127" t="n"/>
      <c r="O25" s="127" t="n"/>
      <c r="P25" s="127" t="n"/>
      <c r="Q25" s="127" t="n"/>
      <c r="R25" s="127" t="n"/>
      <c r="S25" s="127" t="n"/>
      <c r="T25" s="127" t="n"/>
      <c r="U25" s="127" t="n"/>
      <c r="V25" s="128" t="n"/>
      <c r="X25" s="115" t="n"/>
      <c r="Y25" s="115" t="n"/>
      <c r="Z25" s="107" t="n"/>
    </row>
    <row r="26">
      <c r="C26" s="129" t="inlineStr">
        <is>
          <t>Depreciation &amp; Amortization</t>
        </is>
      </c>
      <c r="D26" s="130">
        <f>IFERROR(-Model!W66,"")</f>
        <v>13326</v>
      </c>
      <c r="E26" s="130">
        <f>IFERROR(-Model!AB66,"")</f>
        <v>15311</v>
      </c>
      <c r="F26" s="130">
        <f>IFERROR(-Model!AG66,"")</f>
        <v>21136</v>
      </c>
      <c r="G26" s="130">
        <f>IFERROR(-Model!AL66,"")</f>
        <v>27475.7651995</v>
      </c>
      <c r="H26" s="130">
        <f>IFERROR(-Model!AQ66,"")</f>
        <v>31097.1650818037</v>
      </c>
      <c r="I26" s="130">
        <f>IFERROR(-Model!AV66,"")</f>
        <v>36424.9360967469</v>
      </c>
      <c r="J26" s="130">
        <f>IFERROR(-Model!BA66,"")</f>
        <v>42483.3712308607</v>
      </c>
      <c r="K26" s="130">
        <f>IFERROR(-Model!BF66,"")</f>
        <v>49337.0683192036</v>
      </c>
      <c r="L26" s="131" t="n"/>
      <c r="X26" s="107" t="n"/>
      <c r="Y26" s="107" t="n"/>
      <c r="Z26" s="107" t="n"/>
    </row>
    <row r="27">
      <c r="C27" s="132" t="inlineStr">
        <is>
          <t>Cash from working capital</t>
        </is>
      </c>
      <c r="D27" s="133">
        <f>IFERROR(Model!W275,"")</f>
        <v>-4004</v>
      </c>
      <c r="E27" s="133">
        <f>IFERROR(Model!AB275,"")</f>
        <v>-5628</v>
      </c>
      <c r="F27" s="133">
        <f>IFERROR(Model!AG275,"")</f>
        <v>10549</v>
      </c>
      <c r="G27" s="133">
        <f>IFERROR(Model!AL275,"")</f>
        <v>67750.3396018964</v>
      </c>
      <c r="H27" s="133">
        <f>IFERROR(Model!AQ275,"")</f>
        <v>114170.133515678</v>
      </c>
      <c r="I27" s="133">
        <f>IFERROR(Model!AV275,"")</f>
        <v>218452.918924124</v>
      </c>
      <c r="J27" s="133">
        <f>IFERROR(Model!BA275,"")</f>
        <v>404661.214640916</v>
      </c>
      <c r="K27" s="133">
        <f>IFERROR(Model!BF275,"")</f>
        <v>730150.84115232</v>
      </c>
      <c r="L27" s="134" t="n"/>
      <c r="X27" s="107" t="n"/>
      <c r="Y27" s="107" t="n"/>
      <c r="Z27" s="107" t="n"/>
    </row>
    <row r="28">
      <c r="C28" s="135" t="inlineStr">
        <is>
          <t>Accounts receivable</t>
        </is>
      </c>
      <c r="D28" s="136">
        <f>IFERROR(Model!W276,"")</f>
        <v>-7706</v>
      </c>
      <c r="E28" s="136">
        <f>IFERROR(Model!AB276,"")</f>
        <v>-4376</v>
      </c>
      <c r="F28" s="136">
        <f>IFERROR(Model!AG276,"")</f>
        <v>-10546</v>
      </c>
      <c r="G28" s="136">
        <f>IFERROR(Model!AL276,"")</f>
        <v>-12106.4972258521</v>
      </c>
      <c r="H28" s="136">
        <f>IFERROR(Model!AQ276,"")</f>
        <v>-13223.1707394243</v>
      </c>
      <c r="I28" s="136">
        <f>IFERROR(Model!AV276,"")</f>
        <v>-15113.6889042104</v>
      </c>
      <c r="J28" s="136">
        <f>IFERROR(Model!BA276,"")</f>
        <v>-17186.4187868647</v>
      </c>
      <c r="K28" s="136">
        <f>IFERROR(Model!BF276,"")</f>
        <v>-19442.3982086271</v>
      </c>
      <c r="L28" s="137" t="n"/>
      <c r="X28" s="107" t="n"/>
      <c r="Y28" s="107" t="n"/>
      <c r="Z28" s="107" t="n"/>
    </row>
    <row r="29">
      <c r="C29" s="135" t="inlineStr">
        <is>
          <t>Inventories</t>
        </is>
      </c>
      <c r="D29" s="136">
        <f>IFERROR(Model!W277,"")</f>
        <v>2670</v>
      </c>
      <c r="E29" s="136">
        <f>IFERROR(Model!AB277,"")</f>
        <v>0</v>
      </c>
      <c r="F29" s="136">
        <f>IFERROR(Model!AG277,"")</f>
        <v>0</v>
      </c>
      <c r="G29" s="136">
        <f>IFERROR(Model!AL277,"")</f>
        <v>-1898.65480512003</v>
      </c>
      <c r="H29" s="136">
        <f>IFERROR(Model!AQ277,"")</f>
        <v>-334.783312892207</v>
      </c>
      <c r="I29" s="136">
        <f>IFERROR(Model!AV277,"")</f>
        <v>-382.647319699819</v>
      </c>
      <c r="J29" s="136">
        <f>IFERROR(Model!BA277,"")</f>
        <v>-435.12455004948</v>
      </c>
      <c r="K29" s="136">
        <f>IFERROR(Model!BF277,"")</f>
        <v>-492.241279426835</v>
      </c>
      <c r="L29" s="137" t="n"/>
      <c r="X29" s="107" t="n"/>
      <c r="Y29" s="107" t="n"/>
      <c r="Z29" s="107" t="n"/>
    </row>
    <row r="30">
      <c r="C30" s="135" t="inlineStr">
        <is>
          <t>Deferred income taxes (assets)</t>
        </is>
      </c>
      <c r="D30" s="136">
        <f>IFERROR(Model!W278,"")</f>
        <v>-6908</v>
      </c>
      <c r="E30" s="136">
        <f>IFERROR(Model!AB278,"")</f>
        <v>-5011</v>
      </c>
      <c r="F30" s="136">
        <f>IFERROR(Model!AG278,"")</f>
        <v>8067</v>
      </c>
      <c r="G30" s="136">
        <f>IFERROR(Model!AL278,"")</f>
        <v>7665</v>
      </c>
      <c r="H30" s="136">
        <f>IFERROR(Model!AQ278,"")</f>
        <v>0</v>
      </c>
      <c r="I30" s="136">
        <f>IFERROR(Model!AV278,"")</f>
        <v>0</v>
      </c>
      <c r="J30" s="136">
        <f>IFERROR(Model!BA278,"")</f>
        <v>0</v>
      </c>
      <c r="K30" s="136">
        <f>IFERROR(Model!BF278,"")</f>
        <v>0</v>
      </c>
      <c r="L30" s="137" t="n"/>
      <c r="X30" s="107" t="n"/>
      <c r="Y30" s="107" t="n"/>
      <c r="Z30" s="107" t="n"/>
    </row>
    <row r="31">
      <c r="C31" s="135" t="inlineStr">
        <is>
          <t>Prepaid expenses</t>
        </is>
      </c>
      <c r="D31" s="136">
        <f>IFERROR(Model!W279,"")</f>
        <v>0</v>
      </c>
      <c r="E31" s="136">
        <f>IFERROR(Model!AB279,"")</f>
        <v>0</v>
      </c>
      <c r="F31" s="136">
        <f>IFERROR(Model!AG279,"")</f>
        <v>0</v>
      </c>
      <c r="G31" s="136">
        <f>IFERROR(Model!AL279,"")</f>
        <v>0</v>
      </c>
      <c r="H31" s="136">
        <f>IFERROR(Model!AQ279,"")</f>
        <v>0</v>
      </c>
      <c r="I31" s="136">
        <f>IFERROR(Model!AV279,"")</f>
        <v>0</v>
      </c>
      <c r="J31" s="136">
        <f>IFERROR(Model!BA279,"")</f>
        <v>0</v>
      </c>
      <c r="K31" s="136">
        <f>IFERROR(Model!BF279,"")</f>
        <v>0</v>
      </c>
      <c r="L31" s="137" t="n"/>
      <c r="X31" s="107" t="n"/>
      <c r="Y31" s="107" t="n"/>
      <c r="Z31" s="107" t="n"/>
    </row>
    <row r="32">
      <c r="C32" s="135" t="inlineStr">
        <is>
          <t>Other current assets</t>
        </is>
      </c>
      <c r="D32" s="136">
        <f>IFERROR(Model!W280,"")</f>
        <v>-4545</v>
      </c>
      <c r="E32" s="136">
        <f>IFERROR(Model!AB280,"")</f>
        <v>-3064</v>
      </c>
      <c r="F32" s="136">
        <f>IFERROR(Model!AG280,"")</f>
        <v>-595</v>
      </c>
      <c r="G32" s="136">
        <f>IFERROR(Model!AL280,"")</f>
        <v>-5575</v>
      </c>
      <c r="H32" s="136">
        <f>IFERROR(Model!AQ280,"")</f>
        <v>0</v>
      </c>
      <c r="I32" s="136">
        <f>IFERROR(Model!AV280,"")</f>
        <v>0</v>
      </c>
      <c r="J32" s="136">
        <f>IFERROR(Model!BA280,"")</f>
        <v>0</v>
      </c>
      <c r="K32" s="136">
        <f>IFERROR(Model!BF280,"")</f>
        <v>0</v>
      </c>
      <c r="L32" s="137" t="n"/>
      <c r="X32" s="107" t="n"/>
      <c r="Y32" s="107" t="n"/>
      <c r="Z32" s="107" t="n"/>
    </row>
    <row r="33">
      <c r="C33" s="135" t="inlineStr">
        <is>
          <t>Accounts payable</t>
        </is>
      </c>
      <c r="D33" s="136">
        <f>IFERROR(Model!W281,"")</f>
        <v>2365</v>
      </c>
      <c r="E33" s="136">
        <f>IFERROR(Model!AB281,"")</f>
        <v>494</v>
      </c>
      <c r="F33" s="136">
        <f>IFERROR(Model!AG281,"")</f>
        <v>4213</v>
      </c>
      <c r="G33" s="136">
        <f>IFERROR(Model!AL281,"")</f>
        <v>3663.32003436252</v>
      </c>
      <c r="H33" s="136">
        <f>IFERROR(Model!AQ281,"")</f>
        <v>2797.12500674259</v>
      </c>
      <c r="I33" s="136">
        <f>IFERROR(Model!AV281,"")</f>
        <v>3197.03027444503</v>
      </c>
      <c r="J33" s="136">
        <f>IFERROR(Model!BA281,"")</f>
        <v>3635.47916852982</v>
      </c>
      <c r="K33" s="136">
        <f>IFERROR(Model!BF281,"")</f>
        <v>4112.69122149791</v>
      </c>
      <c r="L33" s="137" t="n"/>
      <c r="X33" s="107" t="n"/>
      <c r="Y33" s="107" t="n"/>
      <c r="Z33" s="107" t="n"/>
    </row>
    <row r="34">
      <c r="C34" s="135" t="inlineStr">
        <is>
          <t>Accrued expenses</t>
        </is>
      </c>
      <c r="D34" s="136">
        <f>IFERROR(Model!W282,"")</f>
        <v>9920</v>
      </c>
      <c r="E34" s="136">
        <f>IFERROR(Model!AB282,"")</f>
        <v>5915</v>
      </c>
      <c r="F34" s="136">
        <f>IFERROR(Model!AG282,"")</f>
        <v>7868</v>
      </c>
      <c r="G34" s="136">
        <f>IFERROR(Model!AL282,"")</f>
        <v>52607.1715985059</v>
      </c>
      <c r="H34" s="136">
        <f>IFERROR(Model!AQ282,"")</f>
        <v>124930.962561252</v>
      </c>
      <c r="I34" s="136">
        <f>IFERROR(Model!AV282,"")</f>
        <v>230752.22487359</v>
      </c>
      <c r="J34" s="136">
        <f>IFERROR(Model!BA282,"")</f>
        <v>418647.278809301</v>
      </c>
      <c r="K34" s="136">
        <f>IFERROR(Model!BF282,"")</f>
        <v>745972.789418876</v>
      </c>
      <c r="L34" s="137" t="n"/>
      <c r="X34" s="107" t="n"/>
      <c r="Y34" s="107" t="n"/>
      <c r="Z34" s="107" t="n"/>
    </row>
    <row r="35">
      <c r="C35" s="135" t="inlineStr">
        <is>
          <t>Taxes payable</t>
        </is>
      </c>
      <c r="D35" s="136">
        <f>IFERROR(Model!W283,"")</f>
        <v>0</v>
      </c>
      <c r="E35" s="136">
        <f>IFERROR(Model!AB283,"")</f>
        <v>0</v>
      </c>
      <c r="F35" s="136">
        <f>IFERROR(Model!AG283,"")</f>
        <v>0</v>
      </c>
      <c r="G35" s="136">
        <f>IFERROR(Model!AL283,"")</f>
        <v>0</v>
      </c>
      <c r="H35" s="136">
        <f>IFERROR(Model!AQ283,"")</f>
        <v>0</v>
      </c>
      <c r="I35" s="136">
        <f>IFERROR(Model!AV283,"")</f>
        <v>0</v>
      </c>
      <c r="J35" s="136">
        <f>IFERROR(Model!BA283,"")</f>
        <v>0</v>
      </c>
      <c r="K35" s="136">
        <f>IFERROR(Model!BF283,"")</f>
        <v>0</v>
      </c>
      <c r="L35" s="137" t="n"/>
      <c r="X35" s="107" t="n"/>
      <c r="Y35" s="107" t="n"/>
      <c r="Z35" s="107" t="n"/>
    </row>
    <row r="36">
      <c r="C36" s="135" t="inlineStr">
        <is>
          <t>Other current liabilities</t>
        </is>
      </c>
      <c r="D36" s="136">
        <f>IFERROR(Model!W284,"")</f>
        <v>229</v>
      </c>
      <c r="E36" s="136">
        <f>IFERROR(Model!AB284,"")</f>
        <v>899</v>
      </c>
      <c r="F36" s="136">
        <f>IFERROR(Model!AG284,"")</f>
        <v>1542</v>
      </c>
      <c r="G36" s="136">
        <f>IFERROR(Model!AL284,"")</f>
        <v>576</v>
      </c>
      <c r="H36" s="136">
        <f>IFERROR(Model!AQ284,"")</f>
        <v>0</v>
      </c>
      <c r="I36" s="136">
        <f>IFERROR(Model!AV284,"")</f>
        <v>0</v>
      </c>
      <c r="J36" s="136">
        <f>IFERROR(Model!BA284,"")</f>
        <v>0</v>
      </c>
      <c r="K36" s="136">
        <f>IFERROR(Model!BF284,"")</f>
        <v>0</v>
      </c>
      <c r="L36" s="137" t="n"/>
      <c r="X36" s="107" t="n"/>
      <c r="Y36" s="107" t="n"/>
      <c r="Z36" s="107" t="n"/>
    </row>
    <row r="37">
      <c r="C37" s="135" t="inlineStr">
        <is>
          <t>Deferred tax (liabilities)</t>
        </is>
      </c>
      <c r="D37" s="136">
        <f>IFERROR(Model!W285,"")</f>
        <v>-29</v>
      </c>
      <c r="E37" s="136">
        <f>IFERROR(Model!AB285,"")</f>
        <v>-485</v>
      </c>
      <c r="F37" s="136">
        <f>IFERROR(Model!AG285,"")</f>
        <v>0</v>
      </c>
      <c r="G37" s="136">
        <f>IFERROR(Model!AL285,"")</f>
        <v>22819</v>
      </c>
      <c r="H37" s="136">
        <f>IFERROR(Model!AQ285,"")</f>
        <v>0</v>
      </c>
      <c r="I37" s="136">
        <f>IFERROR(Model!AV285,"")</f>
        <v>0</v>
      </c>
      <c r="J37" s="136">
        <f>IFERROR(Model!BA285,"")</f>
        <v>0</v>
      </c>
      <c r="K37" s="136">
        <f>IFERROR(Model!BF285,"")</f>
        <v>0</v>
      </c>
      <c r="L37" s="137" t="n"/>
      <c r="X37" s="107" t="n"/>
      <c r="Y37" s="107" t="n"/>
      <c r="Z37" s="107" t="n"/>
    </row>
    <row r="38">
      <c r="C38" s="135" t="inlineStr">
        <is>
          <t>Other non-current assets</t>
        </is>
      </c>
      <c r="D38" s="136">
        <f>IFERROR((Model!W185-Model!R185)*-1,"")</f>
        <v>-3944</v>
      </c>
      <c r="E38" s="136">
        <f>IFERROR((Model!AB185-Model!W185)*-1,"")</f>
        <v>-11797</v>
      </c>
      <c r="F38" s="136">
        <f>IFERROR((Model!AG185-Model!AB185)*-1,"")</f>
        <v>-32076</v>
      </c>
      <c r="G38" s="136">
        <f>IFERROR((Model!AL185-Model!AG185)*-1,"")</f>
        <v>-86240</v>
      </c>
      <c r="H38" s="136">
        <f>IFERROR((Model!AQ185-Model!AL185)*-1,"")</f>
        <v>0</v>
      </c>
      <c r="I38" s="136">
        <f>IFERROR((Model!AV185-Model!AQ185)*-1,"")</f>
        <v>0</v>
      </c>
      <c r="J38" s="136">
        <f>IFERROR((Model!BA185-Model!AV185)*-1,"")</f>
        <v>0</v>
      </c>
      <c r="K38" s="136">
        <f>IFERROR((Model!BF185-Model!BA185)*-1,"")</f>
        <v>0</v>
      </c>
      <c r="L38" s="137" t="n"/>
      <c r="X38" s="107" t="n"/>
      <c r="Y38" s="107" t="n"/>
      <c r="Z38" s="107" t="n"/>
    </row>
    <row r="39">
      <c r="C39" s="135" t="inlineStr">
        <is>
          <t>Other non-current liabilities</t>
        </is>
      </c>
      <c r="D39" s="136">
        <f>IFERROR(Model!W236-Model!R236,"")</f>
        <v>-1103</v>
      </c>
      <c r="E39" s="136">
        <f>IFERROR(Model!AB236-Model!W236,"")</f>
        <v>2475</v>
      </c>
      <c r="F39" s="136">
        <f>IFERROR(Model!AG236-Model!AB236,"")</f>
        <v>4504</v>
      </c>
      <c r="G39" s="136">
        <f>IFERROR(Model!AL236-Model!AG236,"")</f>
        <v>1837</v>
      </c>
      <c r="H39" s="136">
        <f>IFERROR(Model!AQ236-Model!AL236,"")</f>
        <v>0</v>
      </c>
      <c r="I39" s="136">
        <f>IFERROR(Model!AV236-Model!AQ236,"")</f>
        <v>0</v>
      </c>
      <c r="J39" s="136">
        <f>IFERROR(Model!BA236-Model!AV236,"")</f>
        <v>0</v>
      </c>
      <c r="K39" s="136">
        <f>IFERROR(Model!BF236-Model!BA236,"")</f>
        <v>0</v>
      </c>
      <c r="L39" s="137" t="n"/>
      <c r="X39" s="107" t="n"/>
      <c r="Y39" s="107" t="n"/>
      <c r="Z39" s="107" t="n"/>
    </row>
    <row r="40">
      <c r="C40" s="135" t="inlineStr">
        <is>
          <t>Capital expenditures</t>
        </is>
      </c>
      <c r="D40" s="136">
        <f>IFERROR(Model!W291,"")</f>
        <v>-35003</v>
      </c>
      <c r="E40" s="136">
        <f>IFERROR(Model!AB291,"")</f>
        <v>-52002</v>
      </c>
      <c r="F40" s="136">
        <f>IFERROR(Model!AG291,"")</f>
        <v>-96697</v>
      </c>
      <c r="G40" s="136">
        <f>IFERROR(Model!AL291,"")</f>
        <v>-162534.597321265</v>
      </c>
      <c r="H40" s="136">
        <f>IFERROR(Model!AQ291,"")</f>
        <v>-166422.118287999</v>
      </c>
      <c r="I40" s="136">
        <f>IFERROR(Model!AV291,"")</f>
        <v>-194934.651045497</v>
      </c>
      <c r="J40" s="136">
        <f>IFERROR(Model!BA291,"")</f>
        <v>-227357.465339898</v>
      </c>
      <c r="K40" s="136">
        <f>IFERROR(Model!BF291,"")</f>
        <v>-264036.26820009</v>
      </c>
      <c r="L40" s="137" t="n"/>
      <c r="X40" s="107" t="n"/>
      <c r="Y40" s="107" t="n"/>
      <c r="Z40" s="107" t="n"/>
    </row>
    <row r="41">
      <c r="C41" s="135" t="inlineStr">
        <is>
          <t>Capital expenditures [IFRS16 - implied lease payments]</t>
        </is>
      </c>
      <c r="D41" s="251">
        <f>IFERROR(0,"")</f>
        <v>0</v>
      </c>
      <c r="E41" s="251">
        <f>IFERROR(0,"")</f>
        <v>0</v>
      </c>
      <c r="F41" s="136">
        <f>IFERROR(0,"")</f>
        <v>0</v>
      </c>
      <c r="G41" s="136">
        <f>IFERROR(0,"")</f>
        <v>0</v>
      </c>
      <c r="H41" s="136">
        <f>IFERROR(0,"")</f>
        <v>0</v>
      </c>
      <c r="I41" s="136">
        <f>IFERROR(0,"")</f>
        <v>0</v>
      </c>
      <c r="J41" s="136">
        <f>IFERROR(0,"")</f>
        <v>0</v>
      </c>
      <c r="K41" s="136">
        <f>IFERROR(0,"")</f>
        <v>0</v>
      </c>
      <c r="L41" s="137" t="n"/>
      <c r="X41" s="107" t="n"/>
      <c r="Y41" s="107" t="n"/>
      <c r="Z41" s="107" t="n"/>
    </row>
    <row r="42">
      <c r="C42" s="138" t="inlineStr">
        <is>
          <t>Purchase of intangible assets</t>
        </is>
      </c>
      <c r="D42" s="139">
        <f>IFERROR(0,"")</f>
        <v>0</v>
      </c>
      <c r="E42" s="139">
        <f>IFERROR(0,"")</f>
        <v>0</v>
      </c>
      <c r="F42" s="139">
        <f>IFERROR(0,"")</f>
        <v>0</v>
      </c>
      <c r="G42" s="139">
        <f>IFERROR(0,"")</f>
        <v>0</v>
      </c>
      <c r="H42" s="139">
        <f>IFERROR(0,"")</f>
        <v>0</v>
      </c>
      <c r="I42" s="139">
        <f>IFERROR(0,"")</f>
        <v>0</v>
      </c>
      <c r="J42" s="139">
        <f>IFERROR(0,"")</f>
        <v>0</v>
      </c>
      <c r="K42" s="139">
        <f>IFERROR(0,"")</f>
        <v>0</v>
      </c>
      <c r="L42" s="140" t="n"/>
      <c r="M42" s="141" t="n"/>
      <c r="X42" s="107" t="n"/>
      <c r="Y42" s="107" t="n"/>
      <c r="Z42" s="107" t="n"/>
      <c r="AB42" s="102" t="n"/>
    </row>
    <row r="43">
      <c r="X43" s="107" t="n"/>
      <c r="Y43" s="107" t="n"/>
      <c r="Z43" s="107" t="n"/>
    </row>
    <row r="44">
      <c r="C44" s="112" t="inlineStr">
        <is>
          <t>Net Investments</t>
        </is>
      </c>
      <c r="D44" s="133">
        <f>IFERROR(SUM(D27,D40:D42,D26),"")</f>
        <v>-25681</v>
      </c>
      <c r="E44" s="133">
        <f>IFERROR(SUM(E27,E40:E42,E26),"")</f>
        <v>-42319</v>
      </c>
      <c r="F44" s="133">
        <f>IFERROR(SUM(F27,F40:F42,F26),"")</f>
        <v>-65012</v>
      </c>
      <c r="G44" s="133">
        <f>IFERROR(SUM(G27,G40:G42,G26),"")</f>
        <v>-67308.4925198691</v>
      </c>
      <c r="H44" s="133">
        <f>IFERROR(SUM(H27,H40:H42,H26),"")</f>
        <v>-21154.8196905172</v>
      </c>
      <c r="I44" s="133">
        <f>IFERROR(SUM(I27,I40:I42,I26),"")</f>
        <v>59943.2039753743</v>
      </c>
      <c r="J44" s="133">
        <f>IFERROR(SUM(J27,J40:J42,J26),"")</f>
        <v>219787.120531879</v>
      </c>
      <c r="K44" s="133">
        <f>IFERROR(SUM(K27,K40:K42,K26),"")</f>
        <v>515451.641271434</v>
      </c>
      <c r="L44" s="133" t="n"/>
      <c r="M44" s="142" t="n"/>
      <c r="N44" s="133" t="n"/>
      <c r="O44" s="133" t="n"/>
      <c r="P44" s="133" t="n"/>
      <c r="Q44" s="133" t="n"/>
      <c r="R44" s="133" t="n"/>
      <c r="S44" s="133" t="n"/>
      <c r="T44" s="133" t="n"/>
      <c r="U44" s="133" t="n"/>
      <c r="V44" s="134" t="n"/>
      <c r="X44" s="107" t="n"/>
      <c r="Y44" s="141" t="n"/>
      <c r="Z44" s="107" t="n"/>
    </row>
    <row r="45">
      <c r="C45" s="143" t="n"/>
      <c r="D45" s="141" t="n"/>
      <c r="E45" s="141" t="n"/>
      <c r="F45" s="141" t="n"/>
      <c r="G45" s="141" t="n"/>
      <c r="H45" s="141" t="n"/>
      <c r="I45" s="141" t="n"/>
      <c r="J45" s="141" t="n"/>
      <c r="K45" s="141" t="n"/>
      <c r="L45" s="141" t="n"/>
      <c r="V45" s="144" t="n"/>
      <c r="X45" s="107" t="n"/>
      <c r="Y45" s="107" t="n"/>
      <c r="Z45" s="107" t="n"/>
    </row>
    <row r="46">
      <c r="C46" s="143" t="inlineStr">
        <is>
          <t>Invested Capital</t>
        </is>
      </c>
      <c r="D46" s="136">
        <f>IFERROR(Model!W346,"")</f>
        <v>198661</v>
      </c>
      <c r="E46" s="136">
        <f>IFERROR(Model!AB346,"")</f>
        <v>252001</v>
      </c>
      <c r="F46" s="136">
        <f>IFERROR(Model!AG346,"")</f>
        <v>347713</v>
      </c>
      <c r="G46" s="136">
        <f>IFERROR(Model!AL346,"")</f>
        <v>558269.492519869</v>
      </c>
      <c r="H46" s="136">
        <f>IFERROR(Model!AQ346,"")</f>
        <v>579424.312210386</v>
      </c>
      <c r="I46" s="136">
        <f>IFERROR(Model!AV346,"")</f>
        <v>519481.108235012</v>
      </c>
      <c r="J46" s="136">
        <f>IFERROR(Model!BA346,"")</f>
        <v>299693.987703133</v>
      </c>
      <c r="K46" s="136">
        <f>IFERROR(Model!BF346,"")</f>
        <v>-215757.653568301</v>
      </c>
      <c r="L46" s="136" t="n"/>
      <c r="M46" s="145" t="n"/>
      <c r="N46" s="145" t="n"/>
      <c r="O46" s="145" t="n"/>
      <c r="P46" s="145" t="n"/>
      <c r="Q46" s="145" t="n"/>
      <c r="R46" s="145" t="n"/>
      <c r="S46" s="145" t="n"/>
      <c r="T46" s="145" t="n"/>
      <c r="U46" s="145" t="n"/>
      <c r="V46" s="146" t="n"/>
      <c r="X46" s="141" t="n"/>
      <c r="Y46" s="141" t="n"/>
      <c r="Z46" s="107" t="n"/>
    </row>
    <row r="47">
      <c r="C47" s="143" t="inlineStr">
        <is>
          <t>Invested Capital (ex Goodwill)</t>
        </is>
      </c>
      <c r="D47" s="136">
        <f>IFERROR(Model!W347,"")</f>
        <v>169463</v>
      </c>
      <c r="E47" s="136">
        <f>IFERROR(Model!AB347,"")</f>
        <v>220116</v>
      </c>
      <c r="F47" s="136">
        <f>IFERROR(Model!AG347,"")</f>
        <v>314333</v>
      </c>
      <c r="G47" s="136">
        <f>IFERROR(Model!AL347,"")</f>
        <v>500441.492519869</v>
      </c>
      <c r="H47" s="136">
        <f>IFERROR(Model!AQ347,"")</f>
        <v>521596.312210386</v>
      </c>
      <c r="I47" s="136">
        <f>IFERROR(Model!AV347,"")</f>
        <v>461653.108235012</v>
      </c>
      <c r="J47" s="136">
        <f>IFERROR(Model!BA347,"")</f>
        <v>241865.987703133</v>
      </c>
      <c r="K47" s="136">
        <f>IFERROR(Model!BF347,"")</f>
        <v>-273585.653568301</v>
      </c>
      <c r="L47" s="136" t="n"/>
      <c r="V47" s="144" t="n"/>
      <c r="X47" s="107" t="n"/>
      <c r="Y47" s="107" t="n"/>
      <c r="Z47" s="107" t="n"/>
    </row>
    <row r="48">
      <c r="C48" s="116" t="inlineStr">
        <is>
          <t>Invested Capital / Net Revenues</t>
        </is>
      </c>
      <c r="D48" s="122">
        <f>IFERROR(IF(D18=0,"",D46/D18),"")</f>
        <v>0.646274813431622</v>
      </c>
      <c r="E48" s="122">
        <f>IFERROR(IF(E18=0,"",E46/E18),"")</f>
        <v>0.719965830328726</v>
      </c>
      <c r="F48" s="122">
        <f>IFERROR(IF(F18=0,"",F46/F18),"")</f>
        <v>0.863160533913221</v>
      </c>
      <c r="G48" s="122">
        <f>IFERROR(IF(G18=0,"",G46/G18),"")</f>
        <v>1.15348654571817</v>
      </c>
      <c r="H48" s="122">
        <f>IFERROR(IF(H18=0,"",H46/H18),"")</f>
        <v>1.0177413974357</v>
      </c>
      <c r="I48" s="122">
        <f>IFERROR(IF(I18=0,"",I46/I18),"")</f>
        <v>0.778991080871514</v>
      </c>
      <c r="J48" s="122">
        <f>IFERROR(IF(J18=0,"",J46/J18),"")</f>
        <v>0.38531914090086</v>
      </c>
      <c r="K48" s="122">
        <f>IFERROR(IF(K18=0,"",K46/K18),"")</f>
        <v>-0.238866032578268</v>
      </c>
      <c r="L48" s="122" t="n"/>
      <c r="M48" s="147" t="n"/>
      <c r="N48" s="147" t="n"/>
      <c r="O48" s="147" t="n"/>
      <c r="P48" s="147" t="n"/>
      <c r="Q48" s="147" t="n"/>
      <c r="R48" s="147" t="n"/>
      <c r="S48" s="147" t="n"/>
      <c r="T48" s="147" t="n"/>
      <c r="U48" s="147" t="n"/>
      <c r="V48" s="148" t="n"/>
      <c r="X48" s="106" t="n"/>
      <c r="Y48" s="107" t="n"/>
      <c r="Z48" s="107" t="n"/>
    </row>
    <row r="49">
      <c r="X49" s="107" t="n"/>
      <c r="Y49" s="107" t="n"/>
      <c r="Z49" s="107" t="n"/>
    </row>
    <row r="50">
      <c r="C50" s="149" t="inlineStr">
        <is>
          <t>ROIC</t>
        </is>
      </c>
      <c r="D50" s="150">
        <f>IFERROR(IF(D46=0,"",D25/D46),"")</f>
        <v>0.365290912097326</v>
      </c>
      <c r="E50" s="150">
        <f>IFERROR(IF(E46=0,"",E25/E46),"")</f>
        <v>0.372671670688866</v>
      </c>
      <c r="F50" s="150">
        <f>IFERROR(IF(F46=0,"",F25/F46),"")</f>
        <v>0.308824219396964</v>
      </c>
      <c r="G50" s="150">
        <f>IFERROR(IF(G46=0,"",G25/G46),"")</f>
        <v>0.240437667883474</v>
      </c>
      <c r="H50" s="150">
        <f>IFERROR(IF(H46=0,"",H25/H46),"")</f>
        <v>0.268315925996982</v>
      </c>
      <c r="I50" s="150">
        <f>IFERROR(IF(I46=0,"",I25/I46),"")</f>
        <v>0.350551158009297</v>
      </c>
      <c r="J50" s="150">
        <f>IFERROR(IF(J46=0,"",J25/J46),"")</f>
        <v>0.708701428223841</v>
      </c>
      <c r="K50" s="150">
        <f>IFERROR(IF(K46=0,"",K25/K46),"")</f>
        <v>-1.1432191615145</v>
      </c>
      <c r="L50" s="150" t="n"/>
      <c r="M50" s="151" t="n"/>
      <c r="N50" s="151" t="n"/>
      <c r="O50" s="151" t="n"/>
      <c r="P50" s="151" t="n"/>
      <c r="Q50" s="151" t="n"/>
      <c r="R50" s="151" t="n"/>
      <c r="S50" s="151" t="n"/>
      <c r="T50" s="151" t="n"/>
      <c r="U50" s="151" t="n"/>
      <c r="V50" s="152" t="n"/>
      <c r="X50" s="115" t="n"/>
      <c r="Y50" s="115" t="n"/>
      <c r="Z50" s="153" t="n"/>
    </row>
    <row r="51">
      <c r="C51" s="102" t="inlineStr">
        <is>
          <t>Capital Turnover</t>
        </is>
      </c>
      <c r="D51" s="154">
        <f>IFERROR(IF(D46=0,"",D18/D46),"")</f>
        <v>1.54732937013304</v>
      </c>
      <c r="E51" s="154">
        <f>IFERROR(IF(E46=0,"",E18/E46),"")</f>
        <v>1.3889548057349</v>
      </c>
      <c r="F51" s="154">
        <f>IFERROR(IF(F46=0,"",F18/F46),"")</f>
        <v>1.15853304305562</v>
      </c>
      <c r="G51" s="154">
        <f>IFERROR(IF(G46=0,"",G18/G46),"")</f>
        <v>0.866936856534715</v>
      </c>
      <c r="H51" s="154">
        <f>IFERROR(IF(H46=0,"",H18/H46),"")</f>
        <v>0.982567872860038</v>
      </c>
      <c r="I51" s="154">
        <f>IFERROR(IF(I46=0,"",I18/I46),"")</f>
        <v>1.28371174530166</v>
      </c>
      <c r="J51" s="154">
        <f>IFERROR(IF(J46=0,"",J18/J46),"")</f>
        <v>2.59525129652797</v>
      </c>
      <c r="K51" s="154">
        <f>IFERROR(IF(K46=0,"",K18/K46),"")</f>
        <v>-4.18644706074872</v>
      </c>
      <c r="L51" s="154" t="n"/>
      <c r="M51" s="154" t="n"/>
      <c r="N51" s="154" t="n"/>
      <c r="O51" s="154" t="n"/>
      <c r="P51" s="154" t="n"/>
      <c r="Q51" s="154" t="n"/>
      <c r="R51" s="154" t="n"/>
      <c r="S51" s="154" t="n"/>
      <c r="T51" s="154" t="n"/>
      <c r="U51" s="154" t="n"/>
      <c r="V51" s="154" t="n"/>
    </row>
    <row r="52"/>
    <row r="53" customFormat="1" s="102">
      <c r="A53" s="251" t="n"/>
      <c r="B53" s="251" t="n"/>
      <c r="C53" s="102" t="inlineStr">
        <is>
          <t>Unlevered free cash flows = FCFF</t>
        </is>
      </c>
      <c r="D53" s="155">
        <f>IFERROR(D25+D44,"")</f>
        <v>46888.0578881669</v>
      </c>
      <c r="E53" s="155">
        <f>IFERROR(E25+E44,"")</f>
        <v>51594.6336852648</v>
      </c>
      <c r="F53" s="155">
        <f>IFERROR(F25+F44,"")</f>
        <v>42370.1957991765</v>
      </c>
      <c r="G53" s="156">
        <f>IFERROR(G25+G44,"")</f>
        <v>66920.5223120985</v>
      </c>
      <c r="H53" s="155">
        <f>IFERROR(H25+H44,"")</f>
        <v>134313.951185377</v>
      </c>
      <c r="I53" s="155">
        <f>IFERROR(I25+I44,"")</f>
        <v>242047.908031111</v>
      </c>
      <c r="J53" s="155">
        <f>IFERROR(J25+J44,"")</f>
        <v>432180.677647188</v>
      </c>
      <c r="K53" s="155">
        <f>IFERROR(K25+K44,"")</f>
        <v>762109.925074124</v>
      </c>
      <c r="L53" s="155" t="n"/>
      <c r="M53" s="155" t="n"/>
      <c r="N53" s="155" t="n"/>
      <c r="O53" s="155" t="n"/>
      <c r="P53" s="155" t="n"/>
      <c r="Q53" s="155" t="n"/>
      <c r="R53" s="155" t="n"/>
      <c r="S53" s="155" t="n"/>
      <c r="T53" s="155" t="n"/>
      <c r="U53" s="155" t="n"/>
      <c r="V53" s="155" t="n"/>
    </row>
    <row r="54">
      <c r="C54" s="157" t="inlineStr">
        <is>
          <t>Discount factor</t>
        </is>
      </c>
      <c r="G54" s="158" t="str">
        <f>IFERROR(IF(Control!E12="","",1/(1+Control!E12)^Control!B13),"")</f>
        <v/>
      </c>
      <c r="H54" s="158" t="str">
        <f>IFERROR(IF(G54="","",G54/(1+Control!E12)),"")</f>
        <v/>
      </c>
      <c r="I54" s="158" t="str">
        <f>IFERROR(IF(H54="","",H54/(1+Control!E12)),"")</f>
        <v/>
      </c>
      <c r="J54" s="158" t="str">
        <f>IFERROR(IF(I54="","",I54/(1+Control!E12)),"")</f>
        <v/>
      </c>
      <c r="K54" s="158" t="str">
        <f>IFERROR(IF(J54="","",J54/(1+Control!E12)),"")</f>
        <v/>
      </c>
      <c r="L54" s="158" t="n"/>
      <c r="M54" s="158" t="n"/>
      <c r="N54" s="158" t="n"/>
      <c r="O54" s="158" t="n"/>
      <c r="P54" s="158" t="n"/>
      <c r="Q54" s="158" t="n"/>
      <c r="R54" s="158" t="n"/>
      <c r="S54" s="158" t="n"/>
      <c r="T54" s="158" t="n"/>
      <c r="U54" s="158" t="n"/>
      <c r="V54" s="158" t="n"/>
    </row>
    <row r="55">
      <c r="C55" s="157" t="inlineStr">
        <is>
          <t>Midyear adjustment factor</t>
        </is>
      </c>
      <c r="G55" s="159" t="str">
        <f>IFERROR(IF(Control!E12="","",(1+Control!E12)^0.5),"")</f>
        <v/>
      </c>
      <c r="H55" s="158" t="str">
        <f>IFERROR(G55,"")</f>
        <v/>
      </c>
      <c r="I55" s="158" t="str">
        <f>IFERROR(H55,"")</f>
        <v/>
      </c>
      <c r="J55" s="158" t="str">
        <f>IFERROR(I55,"")</f>
        <v/>
      </c>
      <c r="K55" s="158" t="str">
        <f>IFERROR(J55,"")</f>
        <v/>
      </c>
      <c r="L55" s="158" t="n"/>
      <c r="M55" s="158" t="n"/>
      <c r="N55" s="158" t="n"/>
      <c r="O55" s="158" t="n"/>
      <c r="P55" s="158" t="n"/>
      <c r="Q55" s="158" t="n"/>
      <c r="R55" s="158" t="n"/>
      <c r="S55" s="158" t="n"/>
      <c r="T55" s="158" t="n"/>
      <c r="U55" s="158" t="n"/>
      <c r="V55" s="158" t="n"/>
    </row>
    <row r="56">
      <c r="C56" s="157" t="inlineStr">
        <is>
          <t>Present value of free cash flows</t>
        </is>
      </c>
      <c r="G56" s="141" t="str">
        <f>IFERROR(IF(G54="","",G53*G54*G55),"")</f>
        <v/>
      </c>
      <c r="H56" s="141" t="str">
        <f>IFERROR(IF(H54="","",H53*H54*H55),"")</f>
        <v/>
      </c>
      <c r="I56" s="141" t="str">
        <f>IFERROR(IF(I54="","",I53*I54*I55),"")</f>
        <v/>
      </c>
      <c r="J56" s="141" t="str">
        <f>IFERROR(IF(J54="","",J53*J54*J55),"")</f>
        <v/>
      </c>
      <c r="K56" s="141" t="str">
        <f>IFERROR(IF(K54="","",K53*K54*K55),"")</f>
        <v/>
      </c>
      <c r="L56" s="141" t="n"/>
      <c r="M56" s="141" t="n"/>
      <c r="N56" s="141" t="n"/>
      <c r="O56" s="141" t="n"/>
      <c r="P56" s="141" t="n"/>
      <c r="Q56" s="141" t="n"/>
      <c r="R56" s="141" t="n"/>
      <c r="S56" s="141" t="n"/>
      <c r="T56" s="141" t="n"/>
      <c r="U56" s="141" t="n"/>
      <c r="V56" s="141" t="n"/>
    </row>
    <row r="57">
      <c r="C57" s="102" t="inlineStr">
        <is>
          <t>Sum of present values of FCFs</t>
        </is>
      </c>
      <c r="G57" s="155" t="str">
        <f>IFERROR(IF(COUNT(G56:K56)=0,"",SUM(G56:K56)),"")</f>
        <v/>
      </c>
      <c r="H57" s="141" t="n"/>
      <c r="N57" s="160" t="n"/>
    </row>
    <row r="58"/>
    <row r="59">
      <c r="C59" s="102" t="n"/>
      <c r="D59" s="95">
        <f>IFERROR(IF(Control!B9="","",Control!B9),"")</f>
        <v>47848.0</v>
      </c>
      <c r="E59" s="161" t="n"/>
      <c r="F59" s="162" t="n"/>
      <c r="G59" s="162" t="n"/>
      <c r="H59" s="95">
        <f>IFERROR(IF(Control!B7="","",Control!B7),"")</f>
        <v>46203.0</v>
      </c>
      <c r="I59" s="162" t="n"/>
      <c r="J59" s="162" t="n"/>
      <c r="K59" s="162" t="n"/>
      <c r="L59" s="162" t="n"/>
    </row>
    <row r="60" ht="13.5" customHeight="1">
      <c r="C60" s="163" t="inlineStr">
        <is>
          <t>Terminal value</t>
        </is>
      </c>
      <c r="D60" s="164" t="n"/>
      <c r="E60" s="165" t="inlineStr">
        <is>
          <t>Equity value calculations</t>
        </is>
      </c>
      <c r="F60" s="166" t="n"/>
      <c r="G60" s="166" t="n"/>
      <c r="H60" s="166" t="n"/>
      <c r="I60" s="167" t="inlineStr">
        <is>
          <t xml:space="preserve"> Shares Outstanding Worksheet</t>
        </is>
      </c>
      <c r="J60" s="168" t="n"/>
      <c r="K60" s="169" t="n"/>
      <c r="L60" s="170" t="n"/>
    </row>
    <row r="61">
      <c r="C61" s="143" t="n"/>
      <c r="D61" s="144" t="n"/>
      <c r="I61" s="143" t="n"/>
      <c r="L61" s="144" t="n"/>
    </row>
    <row r="62">
      <c r="C62" s="171" t="inlineStr">
        <is>
          <t>Key value driver method</t>
        </is>
      </c>
      <c r="D62" s="172" t="n"/>
      <c r="E62" s="173" t="inlineStr">
        <is>
          <t>Enterprise value</t>
        </is>
      </c>
      <c r="H62" s="155" t="str">
        <f>IFERROR(D80,"")</f>
        <v/>
      </c>
      <c r="I62" s="174" t="inlineStr">
        <is>
          <t>Basic Shares Outanding :</t>
        </is>
      </c>
      <c r="J62" s="97" t="n"/>
      <c r="L62" s="175" t="n"/>
    </row>
    <row r="63" ht="13.5" customHeight="1">
      <c r="C63" s="171" t="inlineStr">
        <is>
          <t>g</t>
        </is>
      </c>
      <c r="D63" s="176" t="str">
        <f>IFERROR(IF(Control!E13="","",Control!E13),"")</f>
        <v/>
      </c>
      <c r="E63" s="157" t="inlineStr">
        <is>
          <t>Calculation of net debt:</t>
        </is>
      </c>
      <c r="H63" s="141" t="n"/>
      <c r="I63" s="174" t="inlineStr">
        <is>
          <t>Current Share Price:</t>
        </is>
      </c>
      <c r="L63" s="177" t="n"/>
    </row>
    <row r="64" ht="13.5" customHeight="1">
      <c r="C64" s="171" t="inlineStr">
        <is>
          <t>RONIC</t>
        </is>
      </c>
      <c r="D64" s="178">
        <f>IFERROR(K50,"")</f>
        <v>-1.1432191615145</v>
      </c>
      <c r="E64" s="157" t="inlineStr">
        <is>
          <t>Current portion of long-term debt</t>
        </is>
      </c>
      <c r="H64" s="137">
        <f>IFERROR(INDEX(Model!$I$208:$BF$208,1,MATCH(Control!$B$7,Model!$I$5:$BF$5,0)),"")</f>
        <v>0</v>
      </c>
      <c r="I64" s="179" t="inlineStr">
        <is>
          <t>Options / Warrants Data</t>
        </is>
      </c>
      <c r="J64" s="109" t="n"/>
      <c r="K64" s="109" t="n"/>
      <c r="L64" s="180" t="n"/>
    </row>
    <row r="65">
      <c r="C65" s="171" t="inlineStr">
        <is>
          <t>NOPLAT (t+1)</t>
        </is>
      </c>
      <c r="D65" s="181" t="str">
        <f>IFERROR(K25*(1+D63),"")</f>
        <v/>
      </c>
      <c r="E65" s="157" t="inlineStr">
        <is>
          <t>Short term debt</t>
        </is>
      </c>
      <c r="H65" s="137">
        <f>IFERROR(INDEX(Model!$I$209:$BF$209,1,MATCH(Control!$B$7,Model!$I$5:$BF$5,0)),"")</f>
        <v>0</v>
      </c>
      <c r="I65" s="179" t="n"/>
      <c r="J65" s="182" t="inlineStr">
        <is>
          <t># of options</t>
        </is>
      </c>
      <c r="K65" s="182" t="inlineStr">
        <is>
          <t xml:space="preserve">$ strike </t>
        </is>
      </c>
      <c r="L65" s="180" t="n"/>
    </row>
    <row r="66">
      <c r="C66" s="171" t="inlineStr">
        <is>
          <t>Terminal value</t>
        </is>
      </c>
      <c r="D66" s="181" t="str">
        <f>IFERROR(IF(OR(Control!E12="",D64="",D64&lt;=D63,Control!E12&lt;=D63),"",(D65*(1-D63/D64))/(Control!E12-D63)),"")</f>
        <v/>
      </c>
      <c r="E66" s="157" t="inlineStr">
        <is>
          <t>Long term debt</t>
        </is>
      </c>
      <c r="H66" s="137">
        <f>IFERROR(INDEX(Model!$I$213:$BF$213,1,MATCH(Control!$B$7,Model!$I$5:$BF$5,0)),"")</f>
        <v>98165</v>
      </c>
      <c r="I66" s="157" t="inlineStr">
        <is>
          <t>Batch 1</t>
        </is>
      </c>
      <c r="J66" s="183" t="n"/>
      <c r="K66" s="184" t="n"/>
      <c r="L66" s="185" t="n"/>
    </row>
    <row r="67">
      <c r="C67" s="171" t="inlineStr">
        <is>
          <t>Midyear adjusted terminal value</t>
        </is>
      </c>
      <c r="D67" s="181" t="str">
        <f>IFERROR(IF(D66="","",D66*K55),"")</f>
        <v/>
      </c>
      <c r="E67" s="157" t="inlineStr">
        <is>
          <t>Convertible debt</t>
        </is>
      </c>
      <c r="H67" s="137">
        <f>IFERROR(INDEX(Model!$I$234:$BF$234,1,MATCH(Control!$B$7,Model!$I$5:$BF$5,0)),"")</f>
        <v>0</v>
      </c>
      <c r="I67" s="157" t="inlineStr">
        <is>
          <t>Batch 2</t>
        </is>
      </c>
      <c r="J67" s="186" t="n"/>
      <c r="K67" s="187" t="n"/>
      <c r="L67" s="185" t="n"/>
    </row>
    <row r="68">
      <c r="C68" s="171" t="inlineStr">
        <is>
          <t>Present value of terminal value</t>
        </is>
      </c>
      <c r="D68" s="181" t="str">
        <f>IFERROR(IF(D67="","",D67*K54),"")</f>
        <v/>
      </c>
      <c r="E68" s="157" t="inlineStr">
        <is>
          <t>Minority interest</t>
        </is>
      </c>
      <c r="H68" s="137">
        <f>IFERROR(INDEX(Model!$I$244:$BF$244,1,MATCH(Control!$B$7,Model!$I$5:$BF$5,0)),"")</f>
        <v>0</v>
      </c>
      <c r="I68" s="157" t="inlineStr">
        <is>
          <t>Batch 3</t>
        </is>
      </c>
      <c r="J68" s="186" t="n"/>
      <c r="K68" s="187" t="n"/>
      <c r="L68" s="185" t="n"/>
    </row>
    <row r="69">
      <c r="C69" s="174" t="inlineStr">
        <is>
          <t>Enterprise value</t>
        </is>
      </c>
      <c r="D69" s="188" t="str">
        <f>IFERROR(IF(OR(D68="",G57=""),"",D68+G57),"")</f>
        <v/>
      </c>
      <c r="E69" s="157" t="inlineStr">
        <is>
          <t>Convertible preferred stock</t>
        </is>
      </c>
      <c r="H69" s="137">
        <f>IFERROR(INDEX(Model!$I$249:$BF$249,1,MATCH(Control!$B$7,Model!$I$5:$BF$5,0)),"")</f>
        <v>0</v>
      </c>
      <c r="I69" s="157" t="inlineStr">
        <is>
          <t>Batch 4</t>
        </is>
      </c>
      <c r="J69" s="186" t="n"/>
      <c r="K69" s="187" t="n"/>
      <c r="L69" s="185" t="n"/>
    </row>
    <row r="70">
      <c r="C70" s="143" t="n"/>
      <c r="D70" s="144" t="n"/>
      <c r="E70" s="157" t="inlineStr">
        <is>
          <t>Short term operating leases</t>
        </is>
      </c>
      <c r="H70" s="137">
        <f>IFERROR(INDEX(Model!$I$210:$BF$210,1,MATCH(Control!$B$7,Model!$I$5:$BF$5,0)),"")</f>
        <v>0</v>
      </c>
      <c r="I70" s="157" t="inlineStr">
        <is>
          <t>Batch 5</t>
        </is>
      </c>
      <c r="J70" s="186" t="n"/>
      <c r="K70" s="187" t="n"/>
      <c r="L70" s="185" t="n"/>
    </row>
    <row r="71">
      <c r="C71" s="171" t="inlineStr">
        <is>
          <t>Exit multiple method</t>
        </is>
      </c>
      <c r="D71" s="172" t="n"/>
      <c r="E71" s="157" t="inlineStr">
        <is>
          <t>Long term operating leases</t>
        </is>
      </c>
      <c r="H71" s="137">
        <f>IFERROR(INDEX(Model!$I$231:$BF$231,1,MATCH(Control!$B$7,Model!$I$5:$BF$5,0)),"")</f>
        <v>14591</v>
      </c>
      <c r="I71" s="179" t="inlineStr">
        <is>
          <t>Batch 6</t>
        </is>
      </c>
      <c r="J71" s="189" t="n"/>
      <c r="K71" s="190" t="n"/>
      <c r="L71" s="191" t="n"/>
    </row>
    <row r="72">
      <c r="C72" s="174" t="inlineStr">
        <is>
          <t>Exit EV / EBITDA multiple</t>
        </is>
      </c>
      <c r="D72" s="192" t="str">
        <f>IFERROR(IF(Control!E14="","",Control!E14),"")</f>
        <v/>
      </c>
      <c r="E72" s="157" t="inlineStr">
        <is>
          <t>Less: Excess cash</t>
        </is>
      </c>
      <c r="H72" s="137">
        <f>IFERROR(-INDEX(Model!$I$140:$BF$140,1,MATCH(Control!$B$7,Model!$I$5:$BF$5,0)),"")</f>
        <v>-242474</v>
      </c>
      <c r="J72" s="162" t="n"/>
      <c r="K72" s="193" t="inlineStr">
        <is>
          <t>Total in-the-$ options:</t>
        </is>
      </c>
      <c r="L72" s="185" t="n"/>
    </row>
    <row r="73">
      <c r="C73" s="174" t="inlineStr">
        <is>
          <t>LTM EBITDA at end of projection</t>
        </is>
      </c>
      <c r="D73" s="188">
        <f>IFERROR(K20,"")</f>
        <v>348289.458425196</v>
      </c>
      <c r="E73" s="157" t="inlineStr">
        <is>
          <t>Less: Equity investments</t>
        </is>
      </c>
      <c r="H73" s="137">
        <f>IFERROR(-INDEX(Model!$I$157:$BF$157,1,MATCH(Control!$B$7,Model!$I$5:$BF$5,0)),"")</f>
        <v>0</v>
      </c>
      <c r="J73" s="162" t="n"/>
      <c r="K73" s="193" t="inlineStr">
        <is>
          <t>Total $ proceeds:</t>
        </is>
      </c>
      <c r="L73" s="194" t="n"/>
    </row>
    <row r="74">
      <c r="C74" s="174" t="inlineStr">
        <is>
          <t>Terminal value</t>
        </is>
      </c>
      <c r="D74" s="188" t="str">
        <f>IFERROR(IF(OR(D72="",D73=""),"",D73*D72),"")</f>
        <v/>
      </c>
      <c r="E74" s="157" t="inlineStr">
        <is>
          <t>Net debt</t>
        </is>
      </c>
      <c r="H74" s="188">
        <f>IFERROR(SUM(H64:H73),"")</f>
        <v>-129718</v>
      </c>
      <c r="J74" s="162" t="n"/>
      <c r="K74" s="193" t="inlineStr">
        <is>
          <t>Total shares repurchased:</t>
        </is>
      </c>
      <c r="L74" s="185" t="n"/>
    </row>
    <row r="75">
      <c r="C75" s="174" t="inlineStr">
        <is>
          <t>Present value of terminal value</t>
        </is>
      </c>
      <c r="D75" s="188" t="str">
        <f>IFERROR(IF(OR(D74="",K54="",K55=""),"",D74*K54*K55),"")</f>
        <v/>
      </c>
      <c r="E75" s="173" t="inlineStr">
        <is>
          <t>Equity value</t>
        </is>
      </c>
      <c r="H75" s="181" t="str">
        <f>IFERROR(IF(H62="","",H62-H74),"")</f>
        <v/>
      </c>
      <c r="J75" s="162" t="n"/>
      <c r="K75" s="195" t="inlineStr">
        <is>
          <t>Basic shares outstanding</t>
        </is>
      </c>
      <c r="L75" s="172" t="n"/>
    </row>
    <row r="76" ht="13.5" customHeight="1">
      <c r="C76" s="174" t="inlineStr">
        <is>
          <t>Enterprise value</t>
        </is>
      </c>
      <c r="D76" s="188" t="str">
        <f>IFERROR(IF(OR(D75="",G57=""),"",G57+D75),"")</f>
        <v/>
      </c>
      <c r="E76" s="157" t="inlineStr">
        <is>
          <t>Shares outstanding</t>
        </is>
      </c>
      <c r="H76" s="188" t="str">
        <f>IFERROR(IF(Control!E5="","",Control!E5),"")</f>
        <v/>
      </c>
      <c r="J76" s="196" t="n"/>
      <c r="K76" s="195" t="inlineStr">
        <is>
          <t>New shares from options:</t>
        </is>
      </c>
      <c r="L76" s="172" t="n"/>
    </row>
    <row r="77" ht="13.5" customHeight="1">
      <c r="C77" s="143" t="n"/>
      <c r="D77" s="197" t="n"/>
      <c r="E77" s="173" t="inlineStr">
        <is>
          <t>Equity value / share</t>
        </is>
      </c>
      <c r="H77" s="198" t="str">
        <f>IFERROR(IF(OR(H75="",H76="",H76=0),"",H75/H76),"")</f>
        <v/>
      </c>
      <c r="K77" s="195" t="inlineStr">
        <is>
          <t>New shares from convert. pref. stock:</t>
        </is>
      </c>
      <c r="L77" s="199" t="n"/>
    </row>
    <row r="78">
      <c r="C78" s="171" t="inlineStr">
        <is>
          <t>Select a terminal value method</t>
        </is>
      </c>
      <c r="D78" s="200" t="n"/>
      <c r="F78" s="160" t="n"/>
      <c r="H78" s="201" t="n"/>
      <c r="K78" s="195" t="inlineStr">
        <is>
          <t>New shares from convertible debt:</t>
        </is>
      </c>
      <c r="L78" s="202" t="n"/>
    </row>
    <row r="79">
      <c r="C79" s="174" t="inlineStr">
        <is>
          <t>Perpetual growth = 1 / Exit multiple = 2</t>
        </is>
      </c>
      <c r="D79" s="203">
        <f>IFERROR(Control!B11,"")</f>
        <v>1</v>
      </c>
      <c r="H79" s="201" t="n"/>
      <c r="K79" s="204" t="inlineStr">
        <is>
          <t>Total Shares Outstanding:</t>
        </is>
      </c>
      <c r="L79" s="205" t="n"/>
    </row>
    <row r="80">
      <c r="C80" s="174" t="inlineStr">
        <is>
          <t>Enterprise value</t>
        </is>
      </c>
      <c r="D80" s="172" t="str">
        <f>IFERROR(IF(D79=1,D69,D76),"")</f>
        <v/>
      </c>
      <c r="H80" s="144" t="n"/>
      <c r="K80" s="204" t="n"/>
      <c r="L80" s="205" t="n"/>
    </row>
    <row r="81">
      <c r="C81" s="206" t="inlineStr">
        <is>
          <t>Terminal value as percent of total value</t>
        </is>
      </c>
      <c r="D81" s="207" t="str">
        <f>IFERROR(IF(D79=1,D68/D69,D75/D76),"")</f>
        <v/>
      </c>
      <c r="E81" s="109" t="n"/>
      <c r="F81" s="109" t="n"/>
      <c r="G81" s="109" t="n"/>
      <c r="H81" s="123" t="n"/>
      <c r="I81" s="109" t="n"/>
      <c r="J81" s="109" t="n"/>
      <c r="K81" s="109" t="n"/>
      <c r="L81" s="123" t="n"/>
    </row>
    <row r="82"/>
    <row r="83" ht="13.5" customHeight="1">
      <c r="C83" s="208" t="inlineStr">
        <is>
          <t>Analysis of WACC</t>
        </is>
      </c>
      <c r="D83" s="209" t="n"/>
      <c r="E83" s="210" t="n"/>
      <c r="F83" s="210" t="n"/>
      <c r="G83" s="208" t="n"/>
      <c r="H83" s="209" t="n"/>
      <c r="I83" s="210" t="n"/>
      <c r="J83" s="210" t="n"/>
      <c r="K83" s="210" t="n"/>
      <c r="L83" s="210" t="n"/>
    </row>
    <row r="84"/>
    <row r="85">
      <c r="C85" s="211" t="inlineStr">
        <is>
          <t>Cost of debt</t>
        </is>
      </c>
      <c r="D85" s="109" t="n"/>
      <c r="F85" s="211" t="inlineStr">
        <is>
          <t>Capital structure</t>
        </is>
      </c>
      <c r="G85" s="211" t="n"/>
      <c r="H85" s="211" t="n"/>
      <c r="I85" s="211" t="n"/>
      <c r="J85" s="211" t="n"/>
    </row>
    <row r="86">
      <c r="C86" s="157" t="inlineStr">
        <is>
          <t>Cost of debt</t>
        </is>
      </c>
      <c r="D86" s="212" t="str">
        <f>IFERROR(IF(Control!E9="","",Control!E9),"")</f>
        <v/>
      </c>
      <c r="G86" s="252" t="inlineStr">
        <is>
          <t>Current capital structure</t>
        </is>
      </c>
      <c r="H86" s="253" t="n"/>
      <c r="I86" s="254" t="inlineStr">
        <is>
          <t>Target capital structure</t>
        </is>
      </c>
      <c r="J86" s="255" t="n"/>
    </row>
    <row r="87">
      <c r="C87" s="157" t="inlineStr">
        <is>
          <t>Marginal tax rate</t>
        </is>
      </c>
      <c r="D87" s="212" t="str">
        <f>IFERROR(IF(Control!E10="","",Control!E10),"")</f>
        <v/>
      </c>
      <c r="F87" s="109" t="n"/>
      <c r="G87" s="182" t="inlineStr">
        <is>
          <t>Market value</t>
        </is>
      </c>
      <c r="H87" s="182" t="inlineStr">
        <is>
          <t>% Weight</t>
        </is>
      </c>
      <c r="I87" s="182" t="inlineStr">
        <is>
          <t>override</t>
        </is>
      </c>
      <c r="J87" s="213" t="inlineStr">
        <is>
          <t>% Weight</t>
        </is>
      </c>
      <c r="K87" s="214" t="n"/>
      <c r="L87" s="215" t="n"/>
    </row>
    <row r="88">
      <c r="C88" s="251" t="inlineStr">
        <is>
          <t>Cost of debt after tax shield</t>
        </is>
      </c>
      <c r="D88" s="216" t="str">
        <f>IFERROR(IF(D86="","",D86*(1-D87)),"")</f>
        <v/>
      </c>
      <c r="F88" s="251" t="inlineStr">
        <is>
          <t>Net debt</t>
        </is>
      </c>
      <c r="G88" s="217">
        <f>IFERROR(H74,"")</f>
        <v>-129718</v>
      </c>
      <c r="H88" s="97">
        <f>IFERROR(debt/totalcap,"")</f>
        <v>1</v>
      </c>
      <c r="I88" s="212" t="n"/>
      <c r="J88" s="97">
        <f>IFERROR(IF(I88,I88,H88),"")</f>
        <v>1</v>
      </c>
      <c r="L88" s="218" t="n"/>
    </row>
    <row r="89">
      <c r="F89" s="251" t="inlineStr">
        <is>
          <t>Equity</t>
        </is>
      </c>
      <c r="G89" s="217">
        <f>IFERROR(L63*L79,"")</f>
        <v>0</v>
      </c>
      <c r="H89" s="97">
        <f>IFERROR(1-H88,"")</f>
        <v>0</v>
      </c>
      <c r="J89" s="97">
        <f>IFERROR(1-debt_weight,"")</f>
        <v>0</v>
      </c>
    </row>
    <row r="90">
      <c r="C90" s="211" t="inlineStr">
        <is>
          <t>Cost of equity</t>
        </is>
      </c>
      <c r="D90" s="109" t="n"/>
      <c r="F90" s="251" t="inlineStr">
        <is>
          <t>Total</t>
        </is>
      </c>
      <c r="G90" s="214">
        <f>IFERROR(SUM(G88:G89),"")</f>
        <v>-129718</v>
      </c>
    </row>
    <row r="91">
      <c r="C91" s="157" t="inlineStr">
        <is>
          <t>Risk-Free Rate (rf)</t>
        </is>
      </c>
      <c r="D91" s="212" t="str">
        <f>IFERROR(IF(Control!E6="","",Control!E6),"")</f>
        <v/>
      </c>
      <c r="E91" s="195" t="n"/>
    </row>
    <row r="92">
      <c r="C92" s="157" t="inlineStr">
        <is>
          <t>Market Risk Premium (rm-rf)</t>
        </is>
      </c>
      <c r="D92" s="212" t="str">
        <f>IFERROR(IF(Control!E7="","",Control!E7),"")</f>
        <v/>
      </c>
      <c r="F92" s="211" t="inlineStr">
        <is>
          <t>Weighted average cost of capital</t>
        </is>
      </c>
      <c r="G92" s="109" t="n"/>
      <c r="H92" s="109" t="n"/>
      <c r="I92" s="109" t="n"/>
      <c r="J92" s="109" t="n"/>
    </row>
    <row r="93">
      <c r="C93" s="157" t="inlineStr">
        <is>
          <t>Raw (observed) beta</t>
        </is>
      </c>
      <c r="D93" s="219" t="str">
        <f>IFERROR(IF(Control!E8="","",Control!E8),"")</f>
        <v/>
      </c>
      <c r="F93" s="251" t="inlineStr">
        <is>
          <t>Weighted average cost of capital:</t>
        </is>
      </c>
      <c r="J93" s="97" t="str">
        <f>IFERROR(IF(Control!E12="","",Control!E12),"")</f>
        <v/>
      </c>
    </row>
    <row r="94">
      <c r="C94" s="157" t="inlineStr">
        <is>
          <t>Cost of equity using relevered industry beta</t>
        </is>
      </c>
      <c r="D94" s="216" t="str">
        <f>IFERROR(IF(COUNT(D91:D93)&lt;3,"",D91+D93*D92),"")</f>
        <v/>
      </c>
      <c r="E94" s="102" t="n"/>
    </row>
    <row r="95">
      <c r="C95" s="157" t="n"/>
      <c r="D95" s="216" t="n"/>
      <c r="E95" s="102" t="n"/>
      <c r="G95" s="214" t="n"/>
    </row>
    <row r="96">
      <c r="C96" s="211" t="inlineStr">
        <is>
          <t>Industry beta calculation</t>
        </is>
      </c>
      <c r="D96" s="109" t="n"/>
      <c r="E96" s="109" t="n"/>
      <c r="F96" s="109" t="n"/>
      <c r="G96" s="109" t="n"/>
      <c r="H96" s="109" t="n"/>
      <c r="I96" s="109" t="n"/>
      <c r="J96" s="109" t="n"/>
      <c r="K96" s="109" t="n"/>
      <c r="L96" s="109" t="n"/>
      <c r="M96" s="109" t="n"/>
    </row>
    <row r="97" ht="25.5" customHeight="1">
      <c r="C97" s="220" t="inlineStr">
        <is>
          <t xml:space="preserve">Comps </t>
        </is>
      </c>
      <c r="D97" s="221" t="inlineStr">
        <is>
          <t>Raw beta</t>
        </is>
      </c>
      <c r="E97" s="221" t="inlineStr">
        <is>
          <t>Share price</t>
        </is>
      </c>
      <c r="F97" s="221" t="inlineStr">
        <is>
          <t>Shares</t>
        </is>
      </c>
      <c r="G97" s="221" t="inlineStr">
        <is>
          <t>Market cap.</t>
        </is>
      </c>
      <c r="H97" s="221" t="inlineStr">
        <is>
          <t>Debt</t>
        </is>
      </c>
      <c r="I97" s="221" t="inlineStr">
        <is>
          <t>D / E</t>
        </is>
      </c>
      <c r="J97" s="221" t="inlineStr">
        <is>
          <t>Tax rate</t>
        </is>
      </c>
      <c r="K97" s="221" t="inlineStr">
        <is>
          <t>Unl. Beta</t>
        </is>
      </c>
      <c r="L97" s="221" t="n"/>
      <c r="M97" s="221" t="n"/>
    </row>
    <row r="98">
      <c r="C98" s="251" t="str">
        <f>IFERROR(ticker,"")</f>
        <v>GOOGL</v>
      </c>
      <c r="D98" s="222" t="n"/>
      <c r="E98" s="223" t="n"/>
      <c r="F98" s="141" t="n"/>
      <c r="G98" s="141" t="n"/>
      <c r="H98" s="141" t="n"/>
      <c r="I98" s="224" t="n"/>
      <c r="J98" s="224" t="n"/>
      <c r="K98" s="222" t="n"/>
      <c r="L98" s="225" t="n"/>
    </row>
    <row r="99">
      <c r="C99" s="226" t="inlineStr">
        <is>
          <t>TICKER 2</t>
        </is>
      </c>
      <c r="D99" s="219" t="n"/>
      <c r="E99" s="227" t="n"/>
      <c r="F99" s="228" t="n"/>
      <c r="G99" s="141" t="n"/>
      <c r="H99" s="228" t="n"/>
      <c r="I99" s="224" t="n"/>
      <c r="J99" s="229" t="n"/>
      <c r="K99" s="222" t="n"/>
      <c r="L99" s="225" t="n"/>
    </row>
    <row r="100">
      <c r="C100" s="226" t="inlineStr">
        <is>
          <t>TICKER 3</t>
        </is>
      </c>
      <c r="D100" s="219" t="n"/>
      <c r="E100" s="227" t="n"/>
      <c r="F100" s="228" t="n"/>
      <c r="G100" s="141" t="n"/>
      <c r="H100" s="228" t="n"/>
      <c r="I100" s="224" t="n"/>
      <c r="J100" s="229" t="n"/>
      <c r="K100" s="222" t="n"/>
      <c r="L100" s="225" t="n"/>
    </row>
    <row r="101">
      <c r="C101" s="230" t="inlineStr">
        <is>
          <t>TICKER 4</t>
        </is>
      </c>
      <c r="D101" s="231" t="n"/>
      <c r="E101" s="232" t="n"/>
      <c r="F101" s="233" t="n"/>
      <c r="G101" s="127" t="n"/>
      <c r="H101" s="233" t="n"/>
      <c r="I101" s="234" t="n"/>
      <c r="J101" s="235" t="n"/>
      <c r="K101" s="236" t="n"/>
      <c r="L101" s="225" t="n"/>
      <c r="M101" s="237" t="n"/>
    </row>
    <row r="102">
      <c r="D102" s="222" t="n"/>
      <c r="E102" s="204" t="n"/>
      <c r="F102" s="161" t="n"/>
      <c r="G102" s="141" t="n"/>
      <c r="I102" s="222" t="n"/>
      <c r="J102" s="237" t="n"/>
      <c r="K102" s="238" t="n"/>
      <c r="L102" s="238" t="n"/>
      <c r="M102" s="238" t="n"/>
    </row>
  </sheetData>
  <mergeCells count="4">
    <mergeCell ref="G14:V14"/>
    <mergeCell ref="G86:H86"/>
    <mergeCell ref="I86:J86"/>
    <mergeCell ref="G15:V15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/>
  </sheetPr>
  <dimension ref="A1:F33"/>
  <sheetViews>
    <sheetView showGridLines="0" zoomScaleNormal="100" workbookViewId="0">
      <pane ySplit="1" topLeftCell="A2" activePane="bottomLeft" state="frozen"/>
      <selection pane="bottomLeft" activeCell="B3" sqref="B3:B12"/>
    </sheetView>
  </sheetViews>
  <sheetFormatPr baseColWidth="8" defaultColWidth="9.7109375" defaultRowHeight="12.75"/>
  <cols>
    <col width="43.140625" customWidth="1" min="1" max="1"/>
    <col width="27.28515625" customWidth="1" min="2" max="2"/>
    <col width="18.140625" customWidth="1" min="3" max="3"/>
    <col width="34" customWidth="1" min="4" max="4"/>
    <col width="18.140625" customWidth="1" min="5" max="6"/>
  </cols>
  <sheetData>
    <row r="1" ht="18" customHeight="1">
      <c r="A1" s="239" t="inlineStr">
        <is>
          <t>CONTROL &amp; ASSUMPTIONS – BASE MODEL</t>
        </is>
      </c>
      <c r="B1" s="239" t="n"/>
      <c r="C1" s="239" t="n"/>
      <c r="D1" s="239" t="n"/>
      <c r="E1" s="239" t="n"/>
      <c r="F1" s="239" t="n"/>
    </row>
    <row r="3" ht="14.25" customHeight="1">
      <c r="A3" t="inlineStr">
        <is>
          <t>Company</t>
        </is>
      </c>
      <c r="B3" s="240" t="inlineStr">
        <is>
          <t>Alphabet Inc.</t>
        </is>
      </c>
      <c r="D3" s="241" t="inlineStr">
        <is>
          <t>Valuation assumptions</t>
        </is>
      </c>
      <c r="E3" s="241" t="n"/>
      <c r="F3" s="241" t="n"/>
    </row>
    <row r="4" ht="14.25" customHeight="1">
      <c r="A4" t="inlineStr">
        <is>
          <t>Ticker</t>
        </is>
      </c>
      <c r="B4" s="240" t="inlineStr">
        <is>
          <t>GOOGL</t>
        </is>
      </c>
      <c r="D4" t="inlineStr">
        <is>
          <t>Last close (US$/share)</t>
        </is>
      </c>
      <c r="E4" s="242" t="n"/>
    </row>
    <row r="5" ht="14.25" customHeight="1">
      <c r="A5" t="inlineStr">
        <is>
          <t>Currency</t>
        </is>
      </c>
      <c r="B5" s="240" t="inlineStr">
        <is>
          <t>USD</t>
        </is>
      </c>
      <c r="D5" t="inlineStr">
        <is>
          <t>Shares outstanding (mm)</t>
        </is>
      </c>
      <c r="E5" s="243" t="n"/>
    </row>
    <row r="6" ht="14.25" customHeight="1">
      <c r="A6" t="inlineStr">
        <is>
          <t>Model unit</t>
        </is>
      </c>
      <c r="B6" s="240" t="inlineStr">
        <is>
          <t>US$ milhões</t>
        </is>
      </c>
      <c r="D6" t="inlineStr">
        <is>
          <t>Risk-free rate</t>
        </is>
      </c>
      <c r="E6" s="244" t="n"/>
    </row>
    <row r="7" ht="14.25" customHeight="1">
      <c r="A7" t="inlineStr">
        <is>
          <t>Last actual period</t>
        </is>
      </c>
      <c r="B7" s="274" t="n">
        <v>46203</v>
      </c>
      <c r="D7" t="inlineStr">
        <is>
          <t>Market risk premium</t>
        </is>
      </c>
      <c r="E7" s="244" t="n"/>
    </row>
    <row r="8" ht="14.25" customHeight="1">
      <c r="A8" t="inlineStr">
        <is>
          <t>Quarterly forecast through</t>
        </is>
      </c>
      <c r="B8" s="245" t="n">
        <v>47118</v>
      </c>
      <c r="D8" t="inlineStr">
        <is>
          <t>Beta</t>
        </is>
      </c>
      <c r="E8" s="246" t="n"/>
    </row>
    <row r="9" ht="15" customHeight="1">
      <c r="A9" t="inlineStr">
        <is>
          <t>Forecast end</t>
        </is>
      </c>
      <c r="B9" s="245" t="n">
        <v>47848</v>
      </c>
      <c r="D9" t="inlineStr">
        <is>
          <t>Pre-tax cost of debt</t>
        </is>
      </c>
      <c r="E9" s="247" t="str">
        <f>IFERROR(-Model!AG70/AVERAGE(Model!AB88,Model!AG88),"")</f>
        <v/>
      </c>
    </row>
    <row r="10" ht="14.25" customHeight="1">
      <c r="A10" t="inlineStr">
        <is>
          <t>Scenario (1 Bull / 2 Base / 3 Bear)</t>
        </is>
      </c>
      <c r="B10" s="240" t="n">
        <v>2</v>
      </c>
      <c r="D10" t="inlineStr">
        <is>
          <t>Marginal tax rate</t>
        </is>
      </c>
      <c r="E10" s="244" t="n"/>
    </row>
    <row r="11" ht="14.25" customHeight="1">
      <c r="A11" t="inlineStr">
        <is>
          <t>Terminal method (1 Perpetuity / 2 Exit)</t>
        </is>
      </c>
      <c r="B11" s="240" t="n">
        <v>1</v>
      </c>
      <c r="D11" t="inlineStr">
        <is>
          <t>Target debt weight</t>
        </is>
      </c>
      <c r="E11" s="244" t="n"/>
    </row>
    <row r="12" ht="15" customHeight="1">
      <c r="A12" t="inlineStr">
        <is>
          <t>Valuation date</t>
        </is>
      </c>
      <c r="B12" s="245" t="n"/>
      <c r="D12" t="inlineStr">
        <is>
          <t>WACC</t>
        </is>
      </c>
      <c r="E12" s="247" t="str">
        <f>IF(COUNT(E6:E11)&lt;6,"",E11*E9*(1-E10)+(1-E11)*(E6+E8*E7))</f>
        <v/>
      </c>
    </row>
    <row r="13" ht="15" customHeight="1">
      <c r="A13" t="inlineStr">
        <is>
          <t>Stub year fraction</t>
        </is>
      </c>
      <c r="B13" s="247">
        <f>IFERROR((DATE(YEAR(B12),12,31)-B12)/365,"")</f>
        <v>0.00273972602739726</v>
      </c>
      <c r="D13" t="inlineStr">
        <is>
          <t>Terminal growth</t>
        </is>
      </c>
      <c r="E13" s="244" t="n"/>
    </row>
    <row r="14" ht="14.25" customHeight="1">
      <c r="D14" t="inlineStr">
        <is>
          <t>Exit EV/EBITDA</t>
        </is>
      </c>
      <c r="E14" s="248" t="n"/>
    </row>
    <row r="15" ht="14.25" customHeight="1">
      <c r="D15" t="inlineStr">
        <is>
          <t>Dividend payout</t>
        </is>
      </c>
      <c r="E15" s="244" t="n"/>
    </row>
    <row r="17" ht="14.25" customHeight="1">
      <c r="A17" s="241" t="inlineStr">
        <is>
          <t>Forecast drivers</t>
        </is>
      </c>
      <c r="B17" s="241" t="inlineStr">
        <is>
          <t>2026E</t>
        </is>
      </c>
      <c r="C17" s="241" t="inlineStr">
        <is>
          <t>2027E</t>
        </is>
      </c>
      <c r="D17" s="241" t="inlineStr">
        <is>
          <t>2028E</t>
        </is>
      </c>
      <c r="E17" s="241" t="inlineStr">
        <is>
          <t>2029E</t>
        </is>
      </c>
      <c r="F17" s="241" t="inlineStr">
        <is>
          <t>2030E</t>
        </is>
      </c>
    </row>
    <row r="18" ht="15" customHeight="1">
      <c r="A18" t="inlineStr">
        <is>
          <t>Revenue growth</t>
        </is>
      </c>
      <c r="B18" s="247">
        <f>IFERROR(AVERAGE(Model!AC16:AF16,Model!AH16:AI16),"")</f>
        <v>0.176326582372641</v>
      </c>
      <c r="C18" s="247">
        <f>IF(B18="","",B18)</f>
        <v>0.176326582372641</v>
      </c>
      <c r="D18" s="247">
        <f>IF(C18="","",MAX(0,C18-0.5%))</f>
        <v>0.171326582372641</v>
      </c>
      <c r="E18" s="247">
        <f>IF(D18="","",MAX(0,D18-0.5%))</f>
        <v>0.166326582372641</v>
      </c>
      <c r="F18" s="247">
        <f>IF(E18="","",MAX(0,E18-0.5%))</f>
        <v>0.161326582372641</v>
      </c>
    </row>
    <row r="19" ht="15" customHeight="1">
      <c r="A19" t="inlineStr">
        <is>
          <t>Gross margin</t>
        </is>
      </c>
      <c r="B19" s="247">
        <f>IFERROR(AVERAGE(Model!AC51:AF51,Model!AH51:AI51),"")</f>
        <v>0.604475620506324</v>
      </c>
      <c r="C19" s="247">
        <f>IF(B19="","",B19)</f>
        <v>0.604475620506324</v>
      </c>
      <c r="D19" s="247">
        <f>IF(C19="","",C19)</f>
        <v>0.604475620506324</v>
      </c>
      <c r="E19" s="247">
        <f>IF(D19="","",D19)</f>
        <v>0.604475620506324</v>
      </c>
      <c r="F19" s="247">
        <f>IF(E19="","",E19)</f>
        <v>0.604475620506324</v>
      </c>
    </row>
    <row r="20" ht="15" customHeight="1">
      <c r="A20" t="inlineStr">
        <is>
          <t>SG&amp;A / Revenue</t>
        </is>
      </c>
      <c r="B20" s="247">
        <f>IFERROR(AVERAGE(Model!AC55:AF55,Model!AH55:AI55),"")</f>
        <v>0.218883175710276</v>
      </c>
      <c r="C20" s="247">
        <f>IF(B20="","",B20)</f>
        <v>0.218883175710276</v>
      </c>
      <c r="D20" s="247">
        <f>IF(C20="","",C20)</f>
        <v>0.218883175710276</v>
      </c>
      <c r="E20" s="247">
        <f>IF(D20="","",D20)</f>
        <v>0.218883175710276</v>
      </c>
      <c r="F20" s="247">
        <f>IF(E20="","",E20)</f>
        <v>0.218883175710276</v>
      </c>
    </row>
    <row r="21" ht="15" customHeight="1">
      <c r="A21" t="inlineStr">
        <is>
          <t>D&amp;A / Revenue</t>
        </is>
      </c>
      <c r="B21" s="247">
        <f>IFERROR(AVERAGE(Model!AC67:AF67,Model!AH67:AI67),"")</f>
        <v>0.0546212362507013</v>
      </c>
      <c r="C21" s="247">
        <f>IF(B21="","",B21)</f>
        <v>0.0546212362507013</v>
      </c>
      <c r="D21" s="247">
        <f>IF(C21="","",C21)</f>
        <v>0.0546212362507013</v>
      </c>
      <c r="E21" s="247">
        <f>IF(D21="","",D21)</f>
        <v>0.0546212362507013</v>
      </c>
      <c r="F21" s="247">
        <f>IF(E21="","",E21)</f>
        <v>0.0546212362507013</v>
      </c>
    </row>
    <row r="22" ht="15" customHeight="1">
      <c r="A22" t="inlineStr">
        <is>
          <t>Effective tax rate</t>
        </is>
      </c>
      <c r="B22" s="247">
        <f>IFERROR(AVERAGE(Model!AC128:AF128,Model!AH128:AI128),"")</f>
        <v>0.174924529905119</v>
      </c>
      <c r="C22" s="247">
        <f>IF(B22="","",B22)</f>
        <v>0.174924529905119</v>
      </c>
      <c r="D22" s="247">
        <f>IF(C22="","",C22)</f>
        <v>0.174924529905119</v>
      </c>
      <c r="E22" s="247">
        <f>IF(D22="","",D22)</f>
        <v>0.174924529905119</v>
      </c>
      <c r="F22" s="247">
        <f>IF(E22="","",E22)</f>
        <v>0.174924529905119</v>
      </c>
    </row>
    <row r="23" ht="15" customHeight="1">
      <c r="A23" t="inlineStr">
        <is>
          <t>Financial income / Revenue</t>
        </is>
      </c>
      <c r="B23" s="247">
        <f>IFERROR(AVERAGE(Model!AC119:AF119,Model!AH119:AI119)/AVERAGE(Model!AC15:AF15,Model!AH15:AI15),"")</f>
        <v>0.265652642013252</v>
      </c>
      <c r="C23" s="247">
        <f>IF(B23="","",B23)</f>
        <v>0.265652642013252</v>
      </c>
      <c r="D23" s="247">
        <f>IF(C23="","",C23)</f>
        <v>0.265652642013252</v>
      </c>
      <c r="E23" s="247">
        <f>IF(D23="","",D23)</f>
        <v>0.265652642013252</v>
      </c>
      <c r="F23" s="247">
        <f>IF(E23="","",E23)</f>
        <v>0.265652642013252</v>
      </c>
    </row>
    <row r="24" ht="15" customHeight="1">
      <c r="A24" t="inlineStr">
        <is>
          <t>Capex / Revenue</t>
        </is>
      </c>
      <c r="B24" s="247">
        <f>IFERROR(-AVERAGE(Model!AC291:AF291,Model!AH291:AI291)/AVERAGE(Model!AC15:AF15,Model!AH15:AI15),"")</f>
        <v>0.292315451149275</v>
      </c>
      <c r="C24" s="247">
        <f>IF(B24="","",B24)</f>
        <v>0.292315451149275</v>
      </c>
      <c r="D24" s="247">
        <f>IF(C24="","",C24)</f>
        <v>0.292315451149275</v>
      </c>
      <c r="E24" s="247">
        <f>IF(D24="","",D24)</f>
        <v>0.292315451149275</v>
      </c>
      <c r="F24" s="247">
        <f>IF(E24="","",E24)</f>
        <v>0.292315451149275</v>
      </c>
    </row>
    <row r="25" ht="15" customHeight="1">
      <c r="A25" t="inlineStr">
        <is>
          <t>DSO</t>
        </is>
      </c>
      <c r="B25" s="249">
        <f>IFERROR(AVERAGE(Model!AC142:AF142,Model!AH142:AI142),0)</f>
        <v>51.525808048463</v>
      </c>
      <c r="C25" s="249">
        <f>IF(B25="","",B25)</f>
        <v>51.525808048463</v>
      </c>
      <c r="D25" s="249">
        <f>IF(C25="","",C25)</f>
        <v>51.525808048463</v>
      </c>
      <c r="E25" s="249">
        <f>IF(D25="","",D25)</f>
        <v>51.525808048463</v>
      </c>
      <c r="F25" s="249">
        <f>IF(E25="","",E25)</f>
        <v>51.525808048463</v>
      </c>
    </row>
    <row r="26" ht="15" customHeight="1">
      <c r="A26" t="inlineStr">
        <is>
          <t>DIO</t>
        </is>
      </c>
      <c r="B26" s="249">
        <f>IFERROR(AVERAGE(Model!AC146:AF146,Model!AH146:AI146),0)</f>
        <v>3.29822098397289</v>
      </c>
      <c r="C26" s="249">
        <f>IF(B26="","",B26)</f>
        <v>3.29822098397289</v>
      </c>
      <c r="D26" s="249">
        <f>IF(C26="","",C26)</f>
        <v>3.29822098397289</v>
      </c>
      <c r="E26" s="249">
        <f>IF(D26="","",D26)</f>
        <v>3.29822098397289</v>
      </c>
      <c r="F26" s="249">
        <f>IF(E26="","",E26)</f>
        <v>3.29822098397289</v>
      </c>
    </row>
    <row r="27" ht="15" customHeight="1">
      <c r="A27" t="inlineStr">
        <is>
          <t>DPO</t>
        </is>
      </c>
      <c r="B27" s="249">
        <f>IFERROR(AVERAGE(Model!AC195:AF195,Model!AH195:AI195),0)</f>
        <v>27.5567390511013</v>
      </c>
      <c r="C27" s="249">
        <f>IF(B27="","",B27)</f>
        <v>27.5567390511013</v>
      </c>
      <c r="D27" s="249">
        <f>IF(C27="","",C27)</f>
        <v>27.5567390511013</v>
      </c>
      <c r="E27" s="249">
        <f>IF(D27="","",D27)</f>
        <v>27.5567390511013</v>
      </c>
      <c r="F27" s="249">
        <f>IF(E27="","",E27)</f>
        <v>27.5567390511013</v>
      </c>
    </row>
    <row r="29">
      <c r="A29" t="inlineStr">
        <is>
          <t>Model status</t>
        </is>
      </c>
    </row>
    <row r="30">
      <c r="A30" t="inlineStr">
        <is>
          <t>Source</t>
        </is>
      </c>
      <c r="B30" t="inlineStr">
        <is>
          <t>Alphabet Inc. (GOOGL, CIK 1652044) - fonte: SEC EDGAR XBRL (instâncias dos 10-Q/10-K). Moeda: USD. Brutos em USD unidades (fator 0,000001 -&gt; milhões). Colunas = trimestres-CALENDÁRIO (cada fechamento vai para o fim de trimestre mais próximo); ano fis</t>
        </is>
      </c>
    </row>
    <row r="31">
      <c r="A31" t="inlineStr">
        <is>
          <t>Unit flow</t>
        </is>
      </c>
      <c r="B31" t="inlineStr">
        <is>
          <t>US$ mil na Inputs → US$ milhões via Inputs (2)</t>
        </is>
      </c>
    </row>
    <row r="32">
      <c r="A32" t="inlineStr">
        <is>
          <t>Historical coverage</t>
        </is>
      </c>
      <c r="B32" t="str">
        <f>IF(B7="","","1Q21–"&amp;ROUNDUP(MONTH(B7)/3,0)&amp;"Q"&amp;RIGHT(YEAR(B7),2))</f>
        <v>1Q21–2Q26</v>
      </c>
    </row>
    <row r="33">
      <c r="A33" t="inlineStr">
        <is>
          <t>Valuation readiness</t>
        </is>
      </c>
      <c r="B33" t="str">
        <f>IF(OR(B3="",B4=""),"PENDING COMPANY SETUP",IF(OR(E4="",E5="",E12=""),"PENDING MARKET INPUTS","READY"))</f>
        <v>PENDING MARKET INPUTS</v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2026-09-23T00:39:42Z</dcterms:created>
  <dcterms:modified xmlns:dcterms="http://purl.org/dc/terms/" xmlns:xsi="http://www.w3.org/2001/XMLSchema-instance" xsi:type="dcterms:W3CDTF">2026-10-16T15:35:28Z</dcterms:modified>
  <cp:lastModifiedBy>Lucas Nascimento</cp:lastModifiedBy>
  <cp:revision>0</cp:revision>
</cp:coreProperties>
</file>