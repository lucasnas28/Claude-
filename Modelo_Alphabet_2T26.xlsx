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7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.0;(#,##0.0)"/>
    <numFmt numFmtId="187" formatCode="#,##0;(#,##0)"/>
    <numFmt numFmtId="188" formatCode="_(&quot;$&quot;* #,##0.00_);_(&quot;$&quot;* \(#,##0.00\);_(&quot;$&quot;* &quot;-&quot;??_);_(@_)"/>
    <numFmt numFmtId="189" formatCode="0_);\(0\)"/>
    <numFmt numFmtId="190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8" fontId="3" fillId="0" borderId="0"/>
    <xf numFmtId="189" fontId="21" fillId="0" borderId="0"/>
  </cellStyleXfs>
  <cellXfs count="27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187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90" fontId="5" fillId="2" borderId="0" applyAlignment="1" pivotButton="0" quotePrefix="0" xfId="0">
      <alignment horizontal="center"/>
    </xf>
    <xf numFmtId="190" fontId="2" fillId="0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1e-06</v>
      </c>
      <c r="D1" t="inlineStr">
        <is>
          <t>Alphabet Inc. (GOOGL, CIK 1652044) - fonte: SEC EDGAR XBRL (instâncias dos 10-Q/10-K). Moeda: USD. Brutos em USD unidades (fator 0,000001 -&gt; milhões). Colunas = trimestres-CALENDÁRIO (cada fechamento vai para o fim de trimestre mais próximo); ano fiscal termina no trimestre-calendário de dez. Trimestre fiscal 4 (e qualquer trimestre sem 3M publicado) = acumulado do ano menos o acumulado anterior, calculado na extração.</t>
        </is>
      </c>
    </row>
    <row r="2">
      <c r="J2" t="inlineStr">
        <is>
          <t>Trimestre fiscal</t>
        </is>
      </c>
      <c r="K2" t="inlineStr">
        <is>
          <t>FQ1</t>
        </is>
      </c>
      <c r="L2" t="inlineStr">
        <is>
          <t>FQ2</t>
        </is>
      </c>
      <c r="M2" t="inlineStr">
        <is>
          <t>FQ3</t>
        </is>
      </c>
      <c r="N2" t="inlineStr">
        <is>
          <t>FQ4</t>
        </is>
      </c>
      <c r="O2" t="inlineStr">
        <is>
          <t>FQ1</t>
        </is>
      </c>
      <c r="P2" t="inlineStr">
        <is>
          <t>FQ2</t>
        </is>
      </c>
      <c r="Q2" t="inlineStr">
        <is>
          <t>FQ3</t>
        </is>
      </c>
      <c r="R2" t="inlineStr">
        <is>
          <t>FQ4</t>
        </is>
      </c>
      <c r="S2" t="inlineStr">
        <is>
          <t>FQ1</t>
        </is>
      </c>
      <c r="T2" t="inlineStr">
        <is>
          <t>FQ2</t>
        </is>
      </c>
      <c r="U2" t="inlineStr">
        <is>
          <t>FQ3</t>
        </is>
      </c>
      <c r="V2" t="inlineStr">
        <is>
          <t>FQ4</t>
        </is>
      </c>
      <c r="W2" t="inlineStr">
        <is>
          <t>FQ1</t>
        </is>
      </c>
      <c r="X2" t="inlineStr">
        <is>
          <t>FQ2</t>
        </is>
      </c>
      <c r="Y2" t="inlineStr">
        <is>
          <t>FQ3</t>
        </is>
      </c>
      <c r="Z2" t="inlineStr">
        <is>
          <t>FQ4</t>
        </is>
      </c>
      <c r="AA2" t="inlineStr">
        <is>
          <t>FQ1</t>
        </is>
      </c>
      <c r="AB2" t="inlineStr">
        <is>
          <t>FQ2</t>
        </is>
      </c>
      <c r="AC2" t="inlineStr">
        <is>
          <t>FQ3</t>
        </is>
      </c>
      <c r="AD2" t="inlineStr">
        <is>
          <t>FQ4</t>
        </is>
      </c>
      <c r="AE2" t="inlineStr">
        <is>
          <t>FQ1</t>
        </is>
      </c>
      <c r="AF2" t="inlineStr">
        <is>
          <t>FQ2</t>
        </is>
      </c>
      <c r="AG2" t="inlineStr">
        <is>
          <t>FQ3</t>
        </is>
      </c>
      <c r="AH2" t="inlineStr">
        <is>
          <t>FQ4</t>
        </is>
      </c>
      <c r="AI2" t="inlineStr">
        <is>
          <t>FQ1</t>
        </is>
      </c>
      <c r="AJ2" t="inlineStr">
        <is>
          <t>FQ2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(USD). Brutos SEC XBRL; linhas "derivada" são fórmulas nesta aba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[us-gaap:Revenues/RevenueFromContractWithCustomerExcludingAssessedTax]</t>
        </is>
      </c>
      <c r="J6" t="inlineStr">
        <is>
          <t>fonte</t>
        </is>
      </c>
      <c r="K6" s="259" t="n">
        <v>41159000000</v>
      </c>
      <c r="L6" s="259" t="n">
        <v>38297000000</v>
      </c>
      <c r="M6" s="259" t="n">
        <v>46173000000</v>
      </c>
      <c r="N6" s="259" t="n">
        <v>56898000000</v>
      </c>
      <c r="O6" s="259" t="n">
        <v>55314000000</v>
      </c>
      <c r="P6" s="259" t="n">
        <v>61880000000</v>
      </c>
      <c r="Q6" s="259" t="n">
        <v>65118000000</v>
      </c>
      <c r="R6" s="259" t="n">
        <v>75325000000</v>
      </c>
      <c r="S6" s="259" t="n">
        <v>68011000000</v>
      </c>
      <c r="T6" s="259" t="n">
        <v>69685000000</v>
      </c>
      <c r="U6" s="259" t="n">
        <v>69092000000</v>
      </c>
      <c r="V6" s="259" t="n">
        <v>76048000000</v>
      </c>
      <c r="W6" s="259" t="n">
        <v>69787000000</v>
      </c>
      <c r="X6" s="259" t="n">
        <v>74604000000</v>
      </c>
      <c r="Y6" s="259" t="n">
        <v>76693000000</v>
      </c>
      <c r="Z6" s="259" t="n">
        <v>86310000000</v>
      </c>
      <c r="AA6" s="259" t="n">
        <v>80539000000</v>
      </c>
      <c r="AB6" s="259" t="n">
        <v>84742000000</v>
      </c>
      <c r="AC6" s="259" t="n">
        <v>88268000000</v>
      </c>
      <c r="AD6" s="259" t="n">
        <v>96469000000</v>
      </c>
      <c r="AE6" s="259" t="n">
        <v>90234000000</v>
      </c>
      <c r="AF6" s="259" t="n">
        <v>96428000000</v>
      </c>
      <c r="AG6" s="259" t="n">
        <v>102346000000</v>
      </c>
      <c r="AH6" s="259" t="n">
        <v>113829000000</v>
      </c>
      <c r="AI6" s="259" t="n">
        <v>109896000000</v>
      </c>
      <c r="AJ6" s="259" t="n">
        <v>119796000000</v>
      </c>
    </row>
    <row r="7">
      <c r="A7" t="n">
        <v>2</v>
      </c>
      <c r="B7" t="n">
        <v>-1</v>
      </c>
      <c r="G7" t="inlineStr">
        <is>
          <t>moeda</t>
        </is>
      </c>
      <c r="H7" t="inlineStr">
        <is>
          <t>Custo da receita (divulgado positivo) [us-gaap:CostOfRevenue/CostOfGoodsAndServicesSold]</t>
        </is>
      </c>
      <c r="J7" t="inlineStr">
        <is>
          <t>fonte</t>
        </is>
      </c>
      <c r="K7" s="259" t="n">
        <v>18982000000</v>
      </c>
      <c r="L7" s="259" t="n">
        <v>18553000000</v>
      </c>
      <c r="M7" s="259" t="n">
        <v>21117000000</v>
      </c>
      <c r="N7" s="259" t="n">
        <v>26080000000</v>
      </c>
      <c r="O7" s="259" t="n">
        <v>24103000000</v>
      </c>
      <c r="P7" s="259" t="n">
        <v>26227000000</v>
      </c>
      <c r="Q7" s="259" t="n">
        <v>27621000000</v>
      </c>
      <c r="R7" s="259" t="n">
        <v>32988000000</v>
      </c>
      <c r="S7" s="259" t="n">
        <v>29599000000</v>
      </c>
      <c r="T7" s="259" t="n">
        <v>30104000000</v>
      </c>
      <c r="U7" s="259" t="n">
        <v>31158000000</v>
      </c>
      <c r="V7" s="259" t="n">
        <v>35342000000</v>
      </c>
      <c r="W7" s="259" t="n">
        <v>30612000000</v>
      </c>
      <c r="X7" s="259" t="n">
        <v>31916000000</v>
      </c>
      <c r="Y7" s="259" t="n">
        <v>33229000000</v>
      </c>
      <c r="Z7" s="259" t="n">
        <v>37575000000</v>
      </c>
      <c r="AA7" s="259" t="n">
        <v>33712000000</v>
      </c>
      <c r="AB7" s="259" t="n">
        <v>35507000000</v>
      </c>
      <c r="AC7" s="259" t="n">
        <v>36474000000</v>
      </c>
      <c r="AD7" s="259" t="n">
        <v>40613000000</v>
      </c>
      <c r="AE7" s="259" t="n">
        <v>36361000000</v>
      </c>
      <c r="AF7" s="259" t="n">
        <v>39039000000</v>
      </c>
      <c r="AG7" s="259" t="n">
        <v>41369000000</v>
      </c>
      <c r="AH7" s="259" t="n">
        <v>45767000000</v>
      </c>
      <c r="AI7" s="259" t="n">
        <v>41271000000</v>
      </c>
      <c r="AJ7" s="259" t="n">
        <v>45943000000</v>
      </c>
    </row>
    <row r="8">
      <c r="G8" t="inlineStr">
        <is>
          <t>moeda</t>
        </is>
      </c>
      <c r="H8" t="inlineStr">
        <is>
          <t>Lucro operacional [us-gaap:OperatingIncomeLoss]</t>
        </is>
      </c>
      <c r="J8" t="inlineStr">
        <is>
          <t>memoria</t>
        </is>
      </c>
      <c r="K8" s="259" t="n">
        <v>7977000000</v>
      </c>
      <c r="L8" s="259" t="n">
        <v>6383000000</v>
      </c>
      <c r="M8" s="259" t="n">
        <v>11213000000</v>
      </c>
      <c r="N8" s="259" t="n">
        <v>15651000000</v>
      </c>
      <c r="O8" s="259" t="n">
        <v>16437000000</v>
      </c>
      <c r="P8" s="259" t="n">
        <v>19361000000</v>
      </c>
      <c r="Q8" s="259" t="n">
        <v>21031000000</v>
      </c>
      <c r="R8" s="259" t="n">
        <v>21885000000</v>
      </c>
      <c r="S8" s="259" t="n">
        <v>20094000000</v>
      </c>
      <c r="T8" s="259" t="n">
        <v>19453000000</v>
      </c>
      <c r="U8" s="259" t="n">
        <v>17135000000</v>
      </c>
      <c r="V8" s="259" t="n">
        <v>18160000000</v>
      </c>
      <c r="W8" s="259" t="n">
        <v>17415000000</v>
      </c>
      <c r="X8" s="259" t="n">
        <v>21838000000</v>
      </c>
      <c r="Y8" s="259" t="n">
        <v>21343000000</v>
      </c>
      <c r="Z8" s="259" t="n">
        <v>23697000000</v>
      </c>
      <c r="AA8" s="259" t="n">
        <v>25472000000</v>
      </c>
      <c r="AB8" s="259" t="n">
        <v>27425000000</v>
      </c>
      <c r="AC8" s="259" t="n">
        <v>28521000000</v>
      </c>
      <c r="AD8" s="259" t="n">
        <v>30972000000</v>
      </c>
      <c r="AE8" s="259" t="n">
        <v>30606000000</v>
      </c>
      <c r="AF8" s="259" t="n">
        <v>31271000000</v>
      </c>
      <c r="AG8" s="259" t="n">
        <v>31228000000</v>
      </c>
      <c r="AH8" s="259" t="n">
        <v>35934000000</v>
      </c>
      <c r="AI8" s="259" t="n">
        <v>39696000000</v>
      </c>
      <c r="AJ8" s="259" t="n">
        <v>40770000000</v>
      </c>
    </row>
    <row r="9">
      <c r="A9" t="n">
        <v>3</v>
      </c>
      <c r="B9" t="n">
        <v>-1</v>
      </c>
      <c r="G9" t="inlineStr">
        <is>
          <t>moeda</t>
        </is>
      </c>
      <c r="H9" t="inlineStr">
        <is>
          <t>Despesas operacionais = receita - custo - lucro operacional (P&amp;D + SG&amp;A + outras operacionais)</t>
        </is>
      </c>
      <c r="J9" t="inlineStr">
        <is>
          <t>derivada</t>
        </is>
      </c>
      <c r="K9" s="259">
        <f>N(K6)-N(K7)-N(K8)</f>
        <v>14200000000</v>
      </c>
      <c r="L9" s="259">
        <f>N(L6)-N(L7)-N(L8)</f>
        <v>13361000000</v>
      </c>
      <c r="M9" s="259">
        <f>N(M6)-N(M7)-N(M8)</f>
        <v>13843000000</v>
      </c>
      <c r="N9" s="259">
        <f>N(N6)-N(N7)-N(N8)</f>
        <v>15167000000</v>
      </c>
      <c r="O9" s="259">
        <f>N(O6)-N(O7)-N(O8)</f>
        <v>14774000000</v>
      </c>
      <c r="P9" s="259">
        <f>N(P6)-N(P7)-N(P8)</f>
        <v>16292000000</v>
      </c>
      <c r="Q9" s="259">
        <f>N(Q6)-N(Q7)-N(Q8)</f>
        <v>16466000000</v>
      </c>
      <c r="R9" s="259">
        <f>N(R6)-N(R7)-N(R8)</f>
        <v>20452000000</v>
      </c>
      <c r="S9" s="259">
        <f>N(S6)-N(S7)-N(S8)</f>
        <v>18318000000</v>
      </c>
      <c r="T9" s="259">
        <f>N(T6)-N(T7)-N(T8)</f>
        <v>20128000000</v>
      </c>
      <c r="U9" s="259">
        <f>N(U6)-N(U7)-N(U8)</f>
        <v>20799000000</v>
      </c>
      <c r="V9" s="259">
        <f>N(V6)-N(V7)-N(V8)</f>
        <v>22546000000</v>
      </c>
      <c r="W9" s="259">
        <f>N(W6)-N(W7)-N(W8)</f>
        <v>21760000000</v>
      </c>
      <c r="X9" s="259">
        <f>N(X6)-N(X7)-N(X8)</f>
        <v>20850000000</v>
      </c>
      <c r="Y9" s="259">
        <f>N(Y6)-N(Y7)-N(Y8)</f>
        <v>22121000000</v>
      </c>
      <c r="Z9" s="259">
        <f>N(Z6)-N(Z7)-N(Z8)</f>
        <v>25038000000</v>
      </c>
      <c r="AA9" s="259">
        <f>N(AA6)-N(AA7)-N(AA8)</f>
        <v>21355000000</v>
      </c>
      <c r="AB9" s="259">
        <f>N(AB6)-N(AB7)-N(AB8)</f>
        <v>21810000000</v>
      </c>
      <c r="AC9" s="259">
        <f>N(AC6)-N(AC7)-N(AC8)</f>
        <v>23273000000</v>
      </c>
      <c r="AD9" s="259">
        <f>N(AD6)-N(AD7)-N(AD8)</f>
        <v>24884000000</v>
      </c>
      <c r="AE9" s="259">
        <f>N(AE6)-N(AE7)-N(AE8)</f>
        <v>23267000000</v>
      </c>
      <c r="AF9" s="259">
        <f>N(AF6)-N(AF7)-N(AF8)</f>
        <v>26118000000</v>
      </c>
      <c r="AG9" s="259">
        <f>N(AG6)-N(AG7)-N(AG8)</f>
        <v>29749000000</v>
      </c>
      <c r="AH9" s="259">
        <f>N(AH6)-N(AH7)-N(AH8)</f>
        <v>32128000000</v>
      </c>
      <c r="AI9" s="259">
        <f>N(AI6)-N(AI7)-N(AI8)</f>
        <v>28929000000</v>
      </c>
      <c r="AJ9" s="259">
        <f>N(AJ6)-N(AJ7)-N(AJ8)</f>
        <v>33083000000</v>
      </c>
    </row>
    <row r="10">
      <c r="G10" t="inlineStr">
        <is>
          <t>moeda</t>
        </is>
      </c>
      <c r="H10" t="inlineStr">
        <is>
          <t>Lucro antes do IR [us-gaap:IncomeLossFromContinuingOperationsBeforeIncomeTaxesExtraordi]</t>
        </is>
      </c>
      <c r="J10" t="inlineStr">
        <is>
          <t>memoria</t>
        </is>
      </c>
      <c r="K10" s="259" t="n">
        <v>7757000000</v>
      </c>
      <c r="L10" s="259" t="n">
        <v>8277000000</v>
      </c>
      <c r="M10" s="259" t="n">
        <v>13359000000</v>
      </c>
      <c r="N10" s="259" t="n">
        <v>18689000000</v>
      </c>
      <c r="O10" s="259" t="n">
        <v>21283000000</v>
      </c>
      <c r="P10" s="259" t="n">
        <v>21985000000</v>
      </c>
      <c r="Q10" s="259" t="n">
        <v>23064000000</v>
      </c>
      <c r="R10" s="259" t="n">
        <v>24402000000</v>
      </c>
      <c r="S10" s="259" t="n">
        <v>18934000000</v>
      </c>
      <c r="T10" s="259" t="n">
        <v>19014000000</v>
      </c>
      <c r="U10" s="259" t="n">
        <v>16233000000</v>
      </c>
      <c r="V10" s="259" t="n">
        <v>17147000000</v>
      </c>
      <c r="W10" s="259" t="n">
        <v>18205000000</v>
      </c>
      <c r="X10" s="259" t="n">
        <v>21903000000</v>
      </c>
      <c r="Y10" s="259" t="n">
        <v>21197000000</v>
      </c>
      <c r="Z10" s="259" t="n">
        <v>24412000000</v>
      </c>
      <c r="AA10" s="259" t="n">
        <v>28315000000</v>
      </c>
      <c r="AB10" s="259" t="n">
        <v>27551000000</v>
      </c>
      <c r="AC10" s="259" t="n">
        <v>31706000000</v>
      </c>
      <c r="AD10" s="259" t="n">
        <v>32243000000</v>
      </c>
      <c r="AE10" s="259" t="n">
        <v>41789000000</v>
      </c>
      <c r="AF10" s="259" t="n">
        <v>33933000000</v>
      </c>
      <c r="AG10" s="259" t="n">
        <v>43987000000</v>
      </c>
      <c r="AH10" s="259" t="n">
        <v>39117000000</v>
      </c>
      <c r="AI10" s="259" t="n">
        <v>77412000000</v>
      </c>
      <c r="AJ10" s="259" t="n">
        <v>138753000000</v>
      </c>
    </row>
    <row r="11">
      <c r="A11" t="n">
        <v>6</v>
      </c>
      <c r="B11" t="n">
        <v>1</v>
      </c>
      <c r="G11" t="inlineStr">
        <is>
          <t>moeda</t>
        </is>
      </c>
      <c r="H11" t="inlineStr">
        <is>
          <t>Resultado não operacional total = lucro antes do IR - lucro operacional</t>
        </is>
      </c>
      <c r="J11" t="inlineStr">
        <is>
          <t>derivada</t>
        </is>
      </c>
      <c r="K11" s="259">
        <f>N(K10)-N(K8)</f>
        <v>-220000000</v>
      </c>
      <c r="L11" s="259">
        <f>N(L10)-N(L8)</f>
        <v>1894000000</v>
      </c>
      <c r="M11" s="259">
        <f>N(M10)-N(M8)</f>
        <v>2146000000</v>
      </c>
      <c r="N11" s="259">
        <f>N(N10)-N(N8)</f>
        <v>3038000000</v>
      </c>
      <c r="O11" s="259">
        <f>N(O10)-N(O8)</f>
        <v>4846000000</v>
      </c>
      <c r="P11" s="259">
        <f>N(P10)-N(P8)</f>
        <v>2624000000</v>
      </c>
      <c r="Q11" s="259">
        <f>N(Q10)-N(Q8)</f>
        <v>2033000000</v>
      </c>
      <c r="R11" s="259">
        <f>N(R10)-N(R8)</f>
        <v>2517000000</v>
      </c>
      <c r="S11" s="259">
        <f>N(S10)-N(S8)</f>
        <v>-1160000000</v>
      </c>
      <c r="T11" s="259">
        <f>N(T10)-N(T8)</f>
        <v>-439000000</v>
      </c>
      <c r="U11" s="259">
        <f>N(U10)-N(U8)</f>
        <v>-902000000</v>
      </c>
      <c r="V11" s="259">
        <f>N(V10)-N(V8)</f>
        <v>-1013000000</v>
      </c>
      <c r="W11" s="259">
        <f>N(W10)-N(W8)</f>
        <v>790000000</v>
      </c>
      <c r="X11" s="259">
        <f>N(X10)-N(X8)</f>
        <v>65000000</v>
      </c>
      <c r="Y11" s="259">
        <f>N(Y10)-N(Y8)</f>
        <v>-146000000</v>
      </c>
      <c r="Z11" s="259">
        <f>N(Z10)-N(Z8)</f>
        <v>715000000</v>
      </c>
      <c r="AA11" s="259">
        <f>N(AA10)-N(AA8)</f>
        <v>2843000000</v>
      </c>
      <c r="AB11" s="259">
        <f>N(AB10)-N(AB8)</f>
        <v>126000000</v>
      </c>
      <c r="AC11" s="259">
        <f>N(AC10)-N(AC8)</f>
        <v>3185000000</v>
      </c>
      <c r="AD11" s="259">
        <f>N(AD10)-N(AD8)</f>
        <v>1271000000</v>
      </c>
      <c r="AE11" s="259">
        <f>N(AE10)-N(AE8)</f>
        <v>11183000000</v>
      </c>
      <c r="AF11" s="259">
        <f>N(AF10)-N(AF8)</f>
        <v>2662000000</v>
      </c>
      <c r="AG11" s="259">
        <f>N(AG10)-N(AG8)</f>
        <v>12759000000</v>
      </c>
      <c r="AH11" s="259">
        <f>N(AH10)-N(AH8)</f>
        <v>3183000000</v>
      </c>
      <c r="AI11" s="259">
        <f>N(AI10)-N(AI8)</f>
        <v>37716000000</v>
      </c>
      <c r="AJ11" s="259">
        <f>N(AJ10)-N(AJ8)</f>
        <v>97983000000</v>
      </c>
    </row>
    <row r="12">
      <c r="A12" t="n">
        <v>5</v>
      </c>
      <c r="B12" t="n">
        <v>-1</v>
      </c>
      <c r="C12" t="n">
        <v>6</v>
      </c>
      <c r="D12" t="n">
        <v>1</v>
      </c>
      <c r="G12" t="inlineStr">
        <is>
          <t>moeda</t>
        </is>
      </c>
      <c r="H12" t="inlineStr">
        <is>
          <t>Despesa de juros (divulgado positivo): COD1=5 lança; COD2=6 devolve ao não operacional, que já a contém [us-gaap:InterestExpense/InterestExpenseNonoperating]</t>
        </is>
      </c>
      <c r="J12" t="inlineStr">
        <is>
          <t>fonte</t>
        </is>
      </c>
      <c r="K12" s="259" t="n">
        <v>21000000</v>
      </c>
      <c r="L12" s="259" t="n">
        <v>13000000</v>
      </c>
      <c r="M12" s="259" t="n">
        <v>48000000</v>
      </c>
      <c r="N12" s="259" t="n">
        <v>53000000</v>
      </c>
      <c r="O12" s="259" t="n">
        <v>76000000</v>
      </c>
      <c r="P12" s="259" t="n">
        <v>76000000</v>
      </c>
      <c r="Q12" s="259" t="n">
        <v>77000000</v>
      </c>
      <c r="R12" s="259" t="n">
        <v>117000000</v>
      </c>
      <c r="S12" s="259" t="n">
        <v>83000000</v>
      </c>
      <c r="T12" s="259" t="n">
        <v>83000000</v>
      </c>
      <c r="U12" s="259" t="n">
        <v>101000000</v>
      </c>
      <c r="V12" s="259" t="n">
        <v>90000000</v>
      </c>
      <c r="W12" s="259" t="n">
        <v>80000000</v>
      </c>
      <c r="X12" s="259" t="n">
        <v>43000000</v>
      </c>
      <c r="Y12" s="259" t="n">
        <v>116000000</v>
      </c>
      <c r="Z12" s="259" t="n">
        <v>69000000</v>
      </c>
      <c r="AA12" s="259" t="n">
        <v>94000000</v>
      </c>
      <c r="AB12" s="259" t="n">
        <v>67000000</v>
      </c>
      <c r="AC12" s="259" t="n">
        <v>54000000</v>
      </c>
      <c r="AD12" s="259" t="n">
        <v>53000000</v>
      </c>
      <c r="AE12" s="259" t="n">
        <v>34000000</v>
      </c>
      <c r="AF12" s="259" t="n">
        <v>261000000</v>
      </c>
      <c r="AG12" s="259" t="n">
        <v>143000000</v>
      </c>
      <c r="AH12" s="259" t="n">
        <v>298000000</v>
      </c>
      <c r="AI12" s="259" t="n">
        <v>533000000</v>
      </c>
      <c r="AJ12" s="259" t="n">
        <v>1278000000</v>
      </c>
    </row>
    <row r="13">
      <c r="A13" t="n">
        <v>7</v>
      </c>
      <c r="B13" t="n">
        <v>-1</v>
      </c>
      <c r="G13" t="inlineStr">
        <is>
          <t>moeda</t>
        </is>
      </c>
      <c r="H13" t="inlineStr">
        <is>
          <t>Imposto de renda (divulgado positivo) [us-gaap:IncomeTaxExpenseBenefit]</t>
        </is>
      </c>
      <c r="J13" t="inlineStr">
        <is>
          <t>fonte</t>
        </is>
      </c>
      <c r="K13" s="259" t="n">
        <v>921000000</v>
      </c>
      <c r="L13" s="259" t="n">
        <v>1318000000</v>
      </c>
      <c r="M13" s="259" t="n">
        <v>2112000000</v>
      </c>
      <c r="N13" s="259" t="n">
        <v>3462000000</v>
      </c>
      <c r="O13" s="259" t="n">
        <v>3353000000</v>
      </c>
      <c r="P13" s="259" t="n">
        <v>3460000000</v>
      </c>
      <c r="Q13" s="259" t="n">
        <v>4128000000</v>
      </c>
      <c r="R13" s="259" t="n">
        <v>3760000000</v>
      </c>
      <c r="S13" s="259" t="n">
        <v>2498000000</v>
      </c>
      <c r="T13" s="259" t="n">
        <v>3012000000</v>
      </c>
      <c r="U13" s="259" t="n">
        <v>2323000000</v>
      </c>
      <c r="V13" s="259" t="n">
        <v>3523000000</v>
      </c>
      <c r="W13" s="259" t="n">
        <v>3154000000</v>
      </c>
      <c r="X13" s="259" t="n">
        <v>3535000000</v>
      </c>
      <c r="Y13" s="259" t="n">
        <v>1508000000</v>
      </c>
      <c r="Z13" s="259" t="n">
        <v>3725000000</v>
      </c>
      <c r="AA13" s="259" t="n">
        <v>4653000000</v>
      </c>
      <c r="AB13" s="259" t="n">
        <v>3932000000</v>
      </c>
      <c r="AC13" s="259" t="n">
        <v>5405000000</v>
      </c>
      <c r="AD13" s="259" t="n">
        <v>5707000000</v>
      </c>
      <c r="AE13" s="259" t="n">
        <v>7249000000</v>
      </c>
      <c r="AF13" s="259" t="n">
        <v>5737000000</v>
      </c>
      <c r="AG13" s="259" t="n">
        <v>9008000000</v>
      </c>
      <c r="AH13" s="259" t="n">
        <v>4662000000</v>
      </c>
      <c r="AI13" s="259" t="n">
        <v>14834000000</v>
      </c>
      <c r="AJ13" s="259" t="n">
        <v>26560000000</v>
      </c>
    </row>
    <row r="14">
      <c r="G14" t="inlineStr">
        <is>
          <t>moeda</t>
        </is>
      </c>
      <c r="H14" t="inlineStr">
        <is>
          <t>Lucro líquido atribuído à companhia [us-gaap:NetIncomeLoss]</t>
        </is>
      </c>
      <c r="J14" t="inlineStr">
        <is>
          <t>memoria</t>
        </is>
      </c>
      <c r="K14" s="259" t="n">
        <v>6836000000</v>
      </c>
      <c r="L14" s="259" t="n">
        <v>6959000000</v>
      </c>
      <c r="M14" s="259" t="n">
        <v>11247000000</v>
      </c>
      <c r="N14" s="259" t="n">
        <v>15227000000</v>
      </c>
      <c r="O14" s="259" t="n">
        <v>17930000000</v>
      </c>
      <c r="P14" s="259" t="n">
        <v>18525000000</v>
      </c>
      <c r="Q14" s="259" t="n">
        <v>18936000000</v>
      </c>
      <c r="R14" s="259" t="n">
        <v>20642000000</v>
      </c>
      <c r="S14" s="259" t="n">
        <v>16436000000</v>
      </c>
      <c r="T14" s="259" t="n">
        <v>16002000000</v>
      </c>
      <c r="U14" s="259" t="n">
        <v>13910000000</v>
      </c>
      <c r="V14" s="259" t="n">
        <v>13624000000</v>
      </c>
      <c r="W14" s="259" t="n">
        <v>15051000000</v>
      </c>
      <c r="X14" s="259" t="n">
        <v>18368000000</v>
      </c>
      <c r="Y14" s="259" t="n">
        <v>19689000000</v>
      </c>
      <c r="Z14" s="259" t="n">
        <v>20687000000</v>
      </c>
      <c r="AA14" s="259" t="n">
        <v>23662000000</v>
      </c>
      <c r="AB14" s="259" t="n">
        <v>23619000000</v>
      </c>
      <c r="AC14" s="259" t="n">
        <v>26301000000</v>
      </c>
      <c r="AD14" s="259" t="n">
        <v>26536000000</v>
      </c>
      <c r="AE14" s="259" t="n">
        <v>34540000000</v>
      </c>
      <c r="AF14" s="259" t="n">
        <v>28196000000</v>
      </c>
      <c r="AG14" s="259" t="n">
        <v>34979000000</v>
      </c>
      <c r="AH14" s="259" t="n">
        <v>34455000000</v>
      </c>
      <c r="AI14" s="259" t="n">
        <v>62578000000</v>
      </c>
      <c r="AJ14" s="259" t="n">
        <v>112193000000</v>
      </c>
    </row>
    <row r="15">
      <c r="A15" t="n">
        <v>8</v>
      </c>
      <c r="B15" t="n">
        <v>1</v>
      </c>
      <c r="G15" t="inlineStr">
        <is>
          <t>moeda</t>
        </is>
      </c>
      <c r="H15" t="inlineStr">
        <is>
          <t>Resultado após IR não classificado acima (equivalência patrimonial, operações descontinuadas): lucro - (LAIR - IR - minoritários); zero quando não há</t>
        </is>
      </c>
      <c r="J15" t="inlineStr">
        <is>
          <t>derivada</t>
        </is>
      </c>
      <c r="K15" s="259">
        <f>N(K14)-(N(K10)-N(K13)-0)</f>
        <v>0</v>
      </c>
      <c r="L15" s="259">
        <f>N(L14)-(N(L10)-N(L13)-0)</f>
        <v>0</v>
      </c>
      <c r="M15" s="259">
        <f>N(M14)-(N(M10)-N(M13)-0)</f>
        <v>0</v>
      </c>
      <c r="N15" s="259">
        <f>N(N14)-(N(N10)-N(N13)-0)</f>
        <v>0</v>
      </c>
      <c r="O15" s="259">
        <f>N(O14)-(N(O10)-N(O13)-0)</f>
        <v>0</v>
      </c>
      <c r="P15" s="259">
        <f>N(P14)-(N(P10)-N(P13)-0)</f>
        <v>0</v>
      </c>
      <c r="Q15" s="259">
        <f>N(Q14)-(N(Q10)-N(Q13)-0)</f>
        <v>0</v>
      </c>
      <c r="R15" s="259">
        <f>N(R14)-(N(R10)-N(R13)-0)</f>
        <v>0</v>
      </c>
      <c r="S15" s="259">
        <f>N(S14)-(N(S10)-N(S13)-0)</f>
        <v>0</v>
      </c>
      <c r="T15" s="259">
        <f>N(T14)-(N(T10)-N(T13)-0)</f>
        <v>0</v>
      </c>
      <c r="U15" s="259">
        <f>N(U14)-(N(U10)-N(U13)-0)</f>
        <v>0</v>
      </c>
      <c r="V15" s="259">
        <f>N(V14)-(N(V10)-N(V13)-0)</f>
        <v>0</v>
      </c>
      <c r="W15" s="259">
        <f>N(W14)-(N(W10)-N(W13)-0)</f>
        <v>0</v>
      </c>
      <c r="X15" s="259">
        <f>N(X14)-(N(X10)-N(X13)-0)</f>
        <v>0</v>
      </c>
      <c r="Y15" s="259">
        <f>N(Y14)-(N(Y10)-N(Y13)-0)</f>
        <v>0</v>
      </c>
      <c r="Z15" s="259">
        <f>N(Z14)-(N(Z10)-N(Z13)-0)</f>
        <v>0</v>
      </c>
      <c r="AA15" s="259">
        <f>N(AA14)-(N(AA10)-N(AA13)-0)</f>
        <v>0</v>
      </c>
      <c r="AB15" s="259">
        <f>N(AB14)-(N(AB10)-N(AB13)-0)</f>
        <v>0</v>
      </c>
      <c r="AC15" s="259">
        <f>N(AC14)-(N(AC10)-N(AC13)-0)</f>
        <v>0</v>
      </c>
      <c r="AD15" s="259">
        <f>N(AD14)-(N(AD10)-N(AD13)-0)</f>
        <v>0</v>
      </c>
      <c r="AE15" s="259">
        <f>N(AE14)-(N(AE10)-N(AE13)-0)</f>
        <v>0</v>
      </c>
      <c r="AF15" s="259">
        <f>N(AF14)-(N(AF10)-N(AF13)-0)</f>
        <v>0</v>
      </c>
      <c r="AG15" s="259">
        <f>N(AG14)-(N(AG10)-N(AG13)-0)</f>
        <v>0</v>
      </c>
      <c r="AH15" s="259">
        <f>N(AH14)-(N(AH10)-N(AH13)-0)</f>
        <v>0</v>
      </c>
      <c r="AI15" s="259">
        <f>N(AI14)-(N(AI10)-N(AI13)-0)</f>
        <v>0</v>
      </c>
      <c r="AJ15" s="259">
        <f>N(AJ14)-(N(AJ10)-N(AJ13)-0)</f>
        <v>0</v>
      </c>
    </row>
    <row r="16">
      <c r="A16" t="n">
        <v>44</v>
      </c>
      <c r="B16" t="n">
        <v>1</v>
      </c>
      <c r="G16" t="inlineStr">
        <is>
          <t>moeda</t>
        </is>
      </c>
      <c r="H16" t="inlineStr">
        <is>
          <t>Lucro líquido (check IS, código 44)</t>
        </is>
      </c>
      <c r="J16" t="inlineStr">
        <is>
          <t>derivada</t>
        </is>
      </c>
      <c r="K16" s="259">
        <f>N(K14)</f>
        <v>6836000000</v>
      </c>
      <c r="L16" s="259">
        <f>N(L14)</f>
        <v>6959000000</v>
      </c>
      <c r="M16" s="259">
        <f>N(M14)</f>
        <v>11247000000</v>
      </c>
      <c r="N16" s="259">
        <f>N(N14)</f>
        <v>15227000000</v>
      </c>
      <c r="O16" s="259">
        <f>N(O14)</f>
        <v>17930000000</v>
      </c>
      <c r="P16" s="259">
        <f>N(P14)</f>
        <v>18525000000</v>
      </c>
      <c r="Q16" s="259">
        <f>N(Q14)</f>
        <v>18936000000</v>
      </c>
      <c r="R16" s="259">
        <f>N(R14)</f>
        <v>20642000000</v>
      </c>
      <c r="S16" s="259">
        <f>N(S14)</f>
        <v>16436000000</v>
      </c>
      <c r="T16" s="259">
        <f>N(T14)</f>
        <v>16002000000</v>
      </c>
      <c r="U16" s="259">
        <f>N(U14)</f>
        <v>13910000000</v>
      </c>
      <c r="V16" s="259">
        <f>N(V14)</f>
        <v>13624000000</v>
      </c>
      <c r="W16" s="259">
        <f>N(W14)</f>
        <v>15051000000</v>
      </c>
      <c r="X16" s="259">
        <f>N(X14)</f>
        <v>18368000000</v>
      </c>
      <c r="Y16" s="259">
        <f>N(Y14)</f>
        <v>19689000000</v>
      </c>
      <c r="Z16" s="259">
        <f>N(Z14)</f>
        <v>20687000000</v>
      </c>
      <c r="AA16" s="259">
        <f>N(AA14)</f>
        <v>23662000000</v>
      </c>
      <c r="AB16" s="259">
        <f>N(AB14)</f>
        <v>23619000000</v>
      </c>
      <c r="AC16" s="259">
        <f>N(AC14)</f>
        <v>26301000000</v>
      </c>
      <c r="AD16" s="259">
        <f>N(AD14)</f>
        <v>26536000000</v>
      </c>
      <c r="AE16" s="259">
        <f>N(AE14)</f>
        <v>34540000000</v>
      </c>
      <c r="AF16" s="259">
        <f>N(AF14)</f>
        <v>28196000000</v>
      </c>
      <c r="AG16" s="259">
        <f>N(AG14)</f>
        <v>34979000000</v>
      </c>
      <c r="AH16" s="259">
        <f>N(AH14)</f>
        <v>34455000000</v>
      </c>
      <c r="AI16" s="259">
        <f>N(AI14)</f>
        <v>62578000000</v>
      </c>
      <c r="AJ16" s="259">
        <f>N(AJ14)</f>
        <v>112193000000</v>
      </c>
    </row>
    <row r="17">
      <c r="H17" s="254" t="inlineStr">
        <is>
          <t>DFC - trimestre isolado (desacumulado na extração)</t>
        </is>
      </c>
    </row>
    <row r="18">
      <c r="A18" t="n">
        <v>4</v>
      </c>
      <c r="B18" t="n">
        <v>-1</v>
      </c>
      <c r="C18" t="n">
        <v>3</v>
      </c>
      <c r="D18" t="n">
        <v>1</v>
      </c>
      <c r="G18" t="inlineStr">
        <is>
          <t>moeda</t>
        </is>
      </c>
      <c r="H18" t="inlineStr">
        <is>
          <t>D&amp;A (fluxo de caixa). COD1=4 lança (positivo -&gt; -1); COD2=3 devolve às despesas operacionais (a companhia não abre D&amp;A entre custo e despesa) [us-gaap:DepreciationAmortizationAndImpairmentOnDispositionOfPropertyAndEquipment/DepreciationAndImpairmentOnDispositionOfPropertyAndEquipment]</t>
        </is>
      </c>
      <c r="J18" t="inlineStr">
        <is>
          <t>fonte</t>
        </is>
      </c>
      <c r="K18" s="259" t="n">
        <v>3108000000</v>
      </c>
      <c r="L18" s="259" t="n">
        <v>3386000000</v>
      </c>
      <c r="M18" s="259" t="n">
        <v>3478000000</v>
      </c>
      <c r="N18" s="259" t="n">
        <v>3539000000</v>
      </c>
      <c r="O18" s="259" t="n">
        <v>2525000000</v>
      </c>
      <c r="P18" s="259" t="n">
        <v>2730000000</v>
      </c>
      <c r="Q18" s="259" t="n">
        <v>3085000000</v>
      </c>
      <c r="R18" s="259" t="n">
        <v>3215000000</v>
      </c>
      <c r="S18" s="259" t="n">
        <v>3591000000</v>
      </c>
      <c r="T18" s="259" t="n">
        <v>3698000000</v>
      </c>
      <c r="U18" s="259" t="n">
        <v>3933000000</v>
      </c>
      <c r="V18" s="259" t="n">
        <v>4065000000</v>
      </c>
      <c r="W18" s="259" t="n">
        <v>3060000000</v>
      </c>
      <c r="X18" s="259" t="n">
        <v>3279000000</v>
      </c>
      <c r="Y18" s="259" t="n">
        <v>3671000000</v>
      </c>
      <c r="Z18" s="259" t="n">
        <v>3316000000</v>
      </c>
      <c r="AA18" s="259" t="n">
        <v>3413000000</v>
      </c>
      <c r="AB18" s="259" t="n">
        <v>3708000000</v>
      </c>
      <c r="AC18" s="259" t="n">
        <v>3985000000</v>
      </c>
      <c r="AD18" s="259" t="n">
        <v>4205000000</v>
      </c>
      <c r="AE18" s="259" t="n">
        <v>4487000000</v>
      </c>
      <c r="AF18" s="259" t="n">
        <v>4998000000</v>
      </c>
      <c r="AG18" s="259" t="n">
        <v>5611000000</v>
      </c>
      <c r="AH18" s="259" t="n">
        <v>6040000000</v>
      </c>
      <c r="AI18" s="259" t="n">
        <v>6482000000</v>
      </c>
      <c r="AJ18" s="259" t="n">
        <v>7104000000</v>
      </c>
    </row>
    <row r="19">
      <c r="A19" t="n">
        <v>10</v>
      </c>
      <c r="B19" t="n">
        <v>-1</v>
      </c>
      <c r="G19" t="inlineStr">
        <is>
          <t>moeda</t>
        </is>
      </c>
      <c r="H19" t="inlineStr">
        <is>
          <t>Dividendos pagos [us-gaap:PaymentsOfDividends]</t>
        </is>
      </c>
      <c r="J19" t="inlineStr">
        <is>
          <t>fonte</t>
        </is>
      </c>
      <c r="K19" s="259" t="n">
        <v>0</v>
      </c>
      <c r="L19" s="259" t="n">
        <v>0</v>
      </c>
      <c r="M19" s="259" t="n">
        <v>0</v>
      </c>
      <c r="N19" s="259" t="n">
        <v>0</v>
      </c>
      <c r="O19" s="259" t="n">
        <v>0</v>
      </c>
      <c r="P19" s="259" t="n">
        <v>0</v>
      </c>
      <c r="Q19" s="259" t="n">
        <v>0</v>
      </c>
      <c r="R19" s="259" t="n">
        <v>0</v>
      </c>
      <c r="S19" s="259" t="n">
        <v>0</v>
      </c>
      <c r="T19" s="259" t="n">
        <v>0</v>
      </c>
      <c r="U19" s="259" t="n">
        <v>0</v>
      </c>
      <c r="V19" s="259" t="n">
        <v>0</v>
      </c>
      <c r="W19" s="259" t="n">
        <v>0</v>
      </c>
      <c r="X19" s="259" t="n">
        <v>0</v>
      </c>
      <c r="Y19" s="259" t="n">
        <v>0</v>
      </c>
      <c r="Z19" s="259" t="n">
        <v>0</v>
      </c>
      <c r="AA19" s="259" t="n">
        <v>0</v>
      </c>
      <c r="AB19" s="259" t="n">
        <v>2466000000</v>
      </c>
      <c r="AC19" s="259" t="n">
        <v>2455000000</v>
      </c>
      <c r="AD19" s="259" t="n">
        <v>2442000000</v>
      </c>
      <c r="AE19" s="259" t="n">
        <v>2434000000</v>
      </c>
      <c r="AF19" s="259" t="n">
        <v>2543000000</v>
      </c>
      <c r="AG19" s="259" t="n">
        <v>2536000000</v>
      </c>
      <c r="AH19" s="259" t="n">
        <v>2536000000</v>
      </c>
      <c r="AI19" s="259" t="n">
        <v>2542000000</v>
      </c>
      <c r="AJ19" s="259" t="n">
        <v>0</v>
      </c>
    </row>
    <row r="20">
      <c r="H20" s="254" t="inlineStr">
        <is>
          <t>BALANÇO DE FACE (USD, saldo no fim do trimestre; cada trimestre lido da instância do próprio 10-Q/10-K)</t>
        </is>
      </c>
    </row>
    <row r="21">
      <c r="A21" t="n">
        <v>11</v>
      </c>
      <c r="B21" t="n">
        <v>1</v>
      </c>
      <c r="G21" t="inlineStr">
        <is>
          <t>moeda</t>
        </is>
      </c>
      <c r="H21" t="inlineStr">
        <is>
          <t>CashAndCashEquivalentsAtCarryingValue</t>
        </is>
      </c>
      <c r="J21" t="inlineStr">
        <is>
          <t>fonte</t>
        </is>
      </c>
      <c r="K21" s="259" t="n">
        <v>19644000000</v>
      </c>
      <c r="L21" s="259" t="n">
        <v>17742000000</v>
      </c>
      <c r="M21" s="259" t="n">
        <v>20129000000</v>
      </c>
      <c r="N21" s="259" t="n">
        <v>26465000000</v>
      </c>
      <c r="O21" s="259" t="n">
        <v>26622000000</v>
      </c>
      <c r="P21" s="259" t="n">
        <v>23630000000</v>
      </c>
      <c r="Q21" s="259" t="n">
        <v>23719000000</v>
      </c>
      <c r="R21" s="259" t="n">
        <v>20945000000</v>
      </c>
      <c r="S21" s="259" t="n">
        <v>20886000000</v>
      </c>
      <c r="T21" s="259" t="n">
        <v>17936000000</v>
      </c>
      <c r="U21" s="259" t="n">
        <v>21984000000</v>
      </c>
      <c r="V21" s="259" t="n">
        <v>21879000000</v>
      </c>
      <c r="W21" s="259" t="n">
        <v>25924000000</v>
      </c>
      <c r="X21" s="259" t="n">
        <v>25929000000</v>
      </c>
      <c r="Y21" s="259" t="n">
        <v>30702000000</v>
      </c>
      <c r="Z21" s="259" t="n">
        <v>24048000000</v>
      </c>
      <c r="AA21" s="259" t="n">
        <v>24493000000</v>
      </c>
      <c r="AB21" s="259" t="n">
        <v>27225000000</v>
      </c>
      <c r="AC21" s="259" t="n">
        <v>19959000000</v>
      </c>
      <c r="AD21" s="259" t="n">
        <v>23466000000</v>
      </c>
      <c r="AE21" s="259" t="n">
        <v>23264000000</v>
      </c>
      <c r="AF21" s="259" t="n">
        <v>21036000000</v>
      </c>
      <c r="AG21" s="259" t="n">
        <v>23090000000</v>
      </c>
      <c r="AH21" s="259" t="n">
        <v>30708000000</v>
      </c>
      <c r="AI21" s="259" t="n">
        <v>38063000000</v>
      </c>
      <c r="AJ21" s="259" t="n">
        <v>55911000000</v>
      </c>
    </row>
    <row r="22">
      <c r="A22" t="n">
        <v>11</v>
      </c>
      <c r="B22" t="n">
        <v>1</v>
      </c>
      <c r="G22" t="inlineStr">
        <is>
          <t>moeda</t>
        </is>
      </c>
      <c r="H22" t="inlineStr">
        <is>
          <t>MarketableSecuritiesCurrent</t>
        </is>
      </c>
      <c r="J22" t="inlineStr">
        <is>
          <t>fonte</t>
        </is>
      </c>
      <c r="K22" s="259" t="n">
        <v>97585000000</v>
      </c>
      <c r="L22" s="259" t="n">
        <v>103338000000</v>
      </c>
      <c r="M22" s="259" t="n">
        <v>112467000000</v>
      </c>
      <c r="N22" s="259" t="n">
        <v>110229000000</v>
      </c>
      <c r="O22" s="259" t="n">
        <v>108482000000</v>
      </c>
      <c r="P22" s="259" t="n">
        <v>112233000000</v>
      </c>
      <c r="Q22" s="259" t="n">
        <v>118284000000</v>
      </c>
      <c r="R22" s="259" t="n">
        <v>118704000000</v>
      </c>
      <c r="S22" s="259" t="n">
        <v>113084000000</v>
      </c>
      <c r="T22" s="259" t="n">
        <v>107061000000</v>
      </c>
      <c r="U22" s="259" t="n">
        <v>94275000000</v>
      </c>
      <c r="V22" s="259" t="n">
        <v>91883000000</v>
      </c>
      <c r="W22" s="259" t="n">
        <v>89178000000</v>
      </c>
      <c r="X22" s="259" t="n">
        <v>92403000000</v>
      </c>
      <c r="Y22" s="259" t="n">
        <v>89233000000</v>
      </c>
      <c r="Z22" s="259" t="n">
        <v>86868000000</v>
      </c>
      <c r="AA22" s="259" t="n">
        <v>83597000000</v>
      </c>
      <c r="AB22" s="259" t="n">
        <v>73500000000</v>
      </c>
      <c r="AC22" s="259" t="n">
        <v>73271000000</v>
      </c>
      <c r="AD22" s="259" t="n">
        <v>72191000000</v>
      </c>
      <c r="AE22" s="259" t="n">
        <v>72064000000</v>
      </c>
      <c r="AF22" s="259" t="n">
        <v>74112000000</v>
      </c>
      <c r="AG22" s="259" t="n">
        <v>75406000000</v>
      </c>
      <c r="AH22" s="259" t="n">
        <v>96135000000</v>
      </c>
      <c r="AI22" s="259" t="n">
        <v>88777000000</v>
      </c>
      <c r="AJ22" s="259" t="n">
        <v>186563000000</v>
      </c>
    </row>
    <row r="23">
      <c r="A23" t="n">
        <v>12</v>
      </c>
      <c r="B23" t="n">
        <v>1</v>
      </c>
      <c r="G23" t="inlineStr">
        <is>
          <t>moeda</t>
        </is>
      </c>
      <c r="H23" t="inlineStr">
        <is>
          <t>AccountsReceivableNetCurrent</t>
        </is>
      </c>
      <c r="J23" t="inlineStr">
        <is>
          <t>fonte</t>
        </is>
      </c>
      <c r="K23" s="259" t="n">
        <v>21825000000</v>
      </c>
      <c r="L23" s="259" t="n">
        <v>21201000000</v>
      </c>
      <c r="M23" s="259" t="n">
        <v>24925000000</v>
      </c>
      <c r="N23" s="259" t="n">
        <v>30930000000</v>
      </c>
      <c r="O23" s="259" t="n">
        <v>28006000000</v>
      </c>
      <c r="P23" s="259" t="n">
        <v>31967000000</v>
      </c>
      <c r="Q23" s="259" t="n">
        <v>34047000000</v>
      </c>
      <c r="R23" s="259" t="n">
        <v>39304000000</v>
      </c>
      <c r="S23" s="259" t="n">
        <v>34703000000</v>
      </c>
      <c r="T23" s="259" t="n">
        <v>35707000000</v>
      </c>
      <c r="U23" s="259" t="n">
        <v>34697000000</v>
      </c>
      <c r="V23" s="259" t="n">
        <v>40258000000</v>
      </c>
      <c r="W23" s="259" t="n">
        <v>36036000000</v>
      </c>
      <c r="X23" s="259" t="n">
        <v>38804000000</v>
      </c>
      <c r="Y23" s="259" t="n">
        <v>41020000000</v>
      </c>
      <c r="Z23" s="259" t="n">
        <v>47964000000</v>
      </c>
      <c r="AA23" s="259" t="n">
        <v>44552000000</v>
      </c>
      <c r="AB23" s="259" t="n">
        <v>47087000000</v>
      </c>
      <c r="AC23" s="259" t="n">
        <v>49104000000</v>
      </c>
      <c r="AD23" s="259" t="n">
        <v>52340000000</v>
      </c>
      <c r="AE23" s="259" t="n">
        <v>51000000000</v>
      </c>
      <c r="AF23" s="259" t="n">
        <v>55048000000</v>
      </c>
      <c r="AG23" s="259" t="n">
        <v>57148000000</v>
      </c>
      <c r="AH23" s="259" t="n">
        <v>62886000000</v>
      </c>
      <c r="AI23" s="259" t="n">
        <v>62999000000</v>
      </c>
      <c r="AJ23" s="259" t="n">
        <v>69175000000</v>
      </c>
    </row>
    <row r="24">
      <c r="A24" t="n">
        <v>13</v>
      </c>
      <c r="B24" t="n">
        <v>1</v>
      </c>
      <c r="G24" t="inlineStr">
        <is>
          <t>moeda</t>
        </is>
      </c>
      <c r="H24" t="inlineStr">
        <is>
          <t>InventoryNet</t>
        </is>
      </c>
      <c r="J24" t="inlineStr">
        <is>
          <t>fonte</t>
        </is>
      </c>
      <c r="K24" s="259" t="n">
        <v>889000000</v>
      </c>
      <c r="L24" s="259" t="n">
        <v>815000000</v>
      </c>
      <c r="M24" s="259" t="n">
        <v>835000000</v>
      </c>
      <c r="N24" s="259" t="n">
        <v>728000000</v>
      </c>
      <c r="O24" s="259" t="n">
        <v>888000000</v>
      </c>
      <c r="P24" s="259" t="n">
        <v>907000000</v>
      </c>
      <c r="Q24" s="259" t="n">
        <v>1278000000</v>
      </c>
      <c r="R24" s="259" t="n">
        <v>1170000000</v>
      </c>
      <c r="S24" s="259" t="n">
        <v>1369000000</v>
      </c>
      <c r="T24" s="259" t="n">
        <v>1980000000</v>
      </c>
      <c r="U24" s="259" t="n">
        <v>3156000000</v>
      </c>
      <c r="V24" s="259" t="n">
        <v>2670000000</v>
      </c>
      <c r="W24" s="259" t="n">
        <v>2315000000</v>
      </c>
      <c r="X24" s="259" t="n">
        <v>2231000000</v>
      </c>
      <c r="Y24" s="259" t="n">
        <v>2957000000</v>
      </c>
      <c r="Z24" s="259" t="n">
        <v>0</v>
      </c>
      <c r="AA24" s="259" t="n">
        <v>0</v>
      </c>
      <c r="AB24" s="259" t="n">
        <v>0</v>
      </c>
      <c r="AC24" s="259" t="n">
        <v>0</v>
      </c>
      <c r="AD24" s="259" t="n">
        <v>0</v>
      </c>
      <c r="AE24" s="259" t="n">
        <v>0</v>
      </c>
      <c r="AF24" s="259" t="n">
        <v>0</v>
      </c>
      <c r="AG24" s="259" t="n">
        <v>0</v>
      </c>
      <c r="AH24" s="259" t="n">
        <v>0</v>
      </c>
      <c r="AI24" s="259" t="n">
        <v>0</v>
      </c>
      <c r="AJ24" s="259" t="n">
        <v>9991000000</v>
      </c>
    </row>
    <row r="25">
      <c r="A25" t="n">
        <v>14</v>
      </c>
      <c r="B25" t="n">
        <v>1</v>
      </c>
      <c r="G25" t="inlineStr">
        <is>
          <t>moeda</t>
        </is>
      </c>
      <c r="H25" t="inlineStr">
        <is>
          <t>DeferredIncomeTaxAssetsNet</t>
        </is>
      </c>
      <c r="J25" t="inlineStr">
        <is>
          <t>fonte</t>
        </is>
      </c>
      <c r="K25" s="259" t="n">
        <v>730000000</v>
      </c>
      <c r="L25" s="259" t="n">
        <v>895000000</v>
      </c>
      <c r="M25" s="259" t="n">
        <v>972000000</v>
      </c>
      <c r="N25" s="259" t="n">
        <v>1084000000</v>
      </c>
      <c r="O25" s="259" t="n">
        <v>1129000000</v>
      </c>
      <c r="P25" s="259" t="n">
        <v>1153000000</v>
      </c>
      <c r="Q25" s="259" t="n">
        <v>1195000000</v>
      </c>
      <c r="R25" s="259" t="n">
        <v>1284000000</v>
      </c>
      <c r="S25" s="259" t="n">
        <v>1388000000</v>
      </c>
      <c r="T25" s="259" t="n">
        <v>1490000000</v>
      </c>
      <c r="U25" s="259" t="n">
        <v>2991000000</v>
      </c>
      <c r="V25" s="259" t="n">
        <v>5261000000</v>
      </c>
      <c r="W25" s="259" t="n">
        <v>6885000000</v>
      </c>
      <c r="X25" s="259" t="n">
        <v>9357000000</v>
      </c>
      <c r="Y25" s="259" t="n">
        <v>10983000000</v>
      </c>
      <c r="Z25" s="259" t="n">
        <v>12169000000</v>
      </c>
      <c r="AA25" s="259" t="n">
        <v>11687000000</v>
      </c>
      <c r="AB25" s="259" t="n">
        <v>14958000000</v>
      </c>
      <c r="AC25" s="259" t="n">
        <v>15915000000</v>
      </c>
      <c r="AD25" s="259" t="n">
        <v>17180000000</v>
      </c>
      <c r="AE25" s="259" t="n">
        <v>18386000000</v>
      </c>
      <c r="AF25" s="259" t="n">
        <v>19289000000</v>
      </c>
      <c r="AG25" s="259" t="n">
        <v>10331000000</v>
      </c>
      <c r="AH25" s="259" t="n">
        <v>9113000000</v>
      </c>
      <c r="AI25" s="259" t="n">
        <v>1995000000</v>
      </c>
      <c r="AJ25" s="259" t="n">
        <v>1448000000</v>
      </c>
    </row>
    <row r="26">
      <c r="A26" t="n">
        <v>16</v>
      </c>
      <c r="B26" t="n">
        <v>1</v>
      </c>
      <c r="G26" t="inlineStr">
        <is>
          <t>moeda</t>
        </is>
      </c>
      <c r="H26" t="inlineStr">
        <is>
          <t>IncomeTaxesReceivable</t>
        </is>
      </c>
      <c r="J26" t="inlineStr">
        <is>
          <t>fonte</t>
        </is>
      </c>
      <c r="K26" s="259" t="n">
        <v>1910000000</v>
      </c>
      <c r="L26" s="259" t="n">
        <v>394000000</v>
      </c>
      <c r="M26" s="259" t="n">
        <v>588000000</v>
      </c>
      <c r="N26" s="259" t="n">
        <v>454000000</v>
      </c>
      <c r="O26" s="259" t="n">
        <v>493000000</v>
      </c>
      <c r="P26" s="259" t="n">
        <v>884000000</v>
      </c>
      <c r="Q26" s="259" t="n">
        <v>753000000</v>
      </c>
      <c r="R26" s="259" t="n">
        <v>966000000</v>
      </c>
      <c r="S26" s="259" t="n">
        <v>919000000</v>
      </c>
      <c r="T26" s="259" t="n">
        <v>1366000000</v>
      </c>
      <c r="U26" s="259" t="n">
        <v>1479000000</v>
      </c>
      <c r="V26" s="259" t="n">
        <v>0</v>
      </c>
      <c r="W26" s="259" t="n">
        <v>0</v>
      </c>
      <c r="X26" s="259" t="n">
        <v>0</v>
      </c>
      <c r="Y26" s="259" t="n">
        <v>0</v>
      </c>
      <c r="Z26" s="259" t="n">
        <v>0</v>
      </c>
      <c r="AA26" s="259" t="n">
        <v>0</v>
      </c>
      <c r="AB26" s="259" t="n">
        <v>0</v>
      </c>
      <c r="AC26" s="259" t="n">
        <v>0</v>
      </c>
      <c r="AD26" s="259" t="n">
        <v>0</v>
      </c>
      <c r="AE26" s="259" t="n">
        <v>0</v>
      </c>
      <c r="AF26" s="259" t="n">
        <v>0</v>
      </c>
      <c r="AG26" s="259" t="n">
        <v>0</v>
      </c>
      <c r="AH26" s="259" t="n">
        <v>0</v>
      </c>
      <c r="AI26" s="259" t="n">
        <v>0</v>
      </c>
      <c r="AJ26" s="259" t="n">
        <v>0</v>
      </c>
    </row>
    <row r="27">
      <c r="A27" t="n">
        <v>16</v>
      </c>
      <c r="B27" t="n">
        <v>1</v>
      </c>
      <c r="G27" t="inlineStr">
        <is>
          <t>moeda</t>
        </is>
      </c>
      <c r="H27" t="inlineStr">
        <is>
          <t>OtherAssetsCurrent</t>
        </is>
      </c>
      <c r="J27" t="inlineStr">
        <is>
          <t>fonte</t>
        </is>
      </c>
      <c r="K27" s="259" t="n">
        <v>5165000000</v>
      </c>
      <c r="L27" s="259" t="n">
        <v>5579000000</v>
      </c>
      <c r="M27" s="259" t="n">
        <v>5425000000</v>
      </c>
      <c r="N27" s="259" t="n">
        <v>5490000000</v>
      </c>
      <c r="O27" s="259" t="n">
        <v>7646000000</v>
      </c>
      <c r="P27" s="259" t="n">
        <v>6076000000</v>
      </c>
      <c r="Q27" s="259" t="n">
        <v>6029000000</v>
      </c>
      <c r="R27" s="259" t="n">
        <v>7054000000</v>
      </c>
      <c r="S27" s="259" t="n">
        <v>6892000000</v>
      </c>
      <c r="T27" s="259" t="n">
        <v>8321000000</v>
      </c>
      <c r="U27" s="259" t="n">
        <v>10518000000</v>
      </c>
      <c r="V27" s="259" t="n">
        <v>8105000000</v>
      </c>
      <c r="W27" s="259" t="n">
        <v>8532000000</v>
      </c>
      <c r="X27" s="259" t="n">
        <v>9421000000</v>
      </c>
      <c r="Y27" s="259" t="n">
        <v>12398000000</v>
      </c>
      <c r="Z27" s="259" t="n">
        <v>12650000000</v>
      </c>
      <c r="AA27" s="259" t="n">
        <v>12829000000</v>
      </c>
      <c r="AB27" s="259" t="n">
        <v>14183000000</v>
      </c>
      <c r="AC27" s="259" t="n">
        <v>15207000000</v>
      </c>
      <c r="AD27" s="259" t="n">
        <v>15714000000</v>
      </c>
      <c r="AE27" s="259" t="n">
        <v>15724000000</v>
      </c>
      <c r="AF27" s="259" t="n">
        <v>16020000000</v>
      </c>
      <c r="AG27" s="259" t="n">
        <v>18303000000</v>
      </c>
      <c r="AH27" s="259" t="n">
        <v>16309000000</v>
      </c>
      <c r="AI27" s="259" t="n">
        <v>23914000000</v>
      </c>
      <c r="AJ27" s="259" t="n">
        <v>21884000000</v>
      </c>
    </row>
    <row r="28">
      <c r="A28" t="n">
        <v>18</v>
      </c>
      <c r="B28" t="n">
        <v>1</v>
      </c>
      <c r="G28" t="inlineStr">
        <is>
          <t>moeda</t>
        </is>
      </c>
      <c r="H28" t="inlineStr">
        <is>
          <t>PropertyPlantandEquipmentandFinanceLeaseRightofUseAssetafterAccumulatedDepreciationandAmortization</t>
        </is>
      </c>
      <c r="J28" t="inlineStr">
        <is>
          <t>fonte</t>
        </is>
      </c>
      <c r="K28" s="259" t="n">
        <v>76747000000</v>
      </c>
      <c r="L28" s="259" t="n">
        <v>0</v>
      </c>
      <c r="M28" s="259" t="n">
        <v>0</v>
      </c>
      <c r="N28" s="259" t="n">
        <v>0</v>
      </c>
      <c r="O28" s="259" t="n">
        <v>0</v>
      </c>
      <c r="P28" s="259" t="n">
        <v>0</v>
      </c>
      <c r="Q28" s="259" t="n">
        <v>0</v>
      </c>
      <c r="R28" s="259" t="n">
        <v>0</v>
      </c>
      <c r="S28" s="259" t="n">
        <v>0</v>
      </c>
      <c r="T28" s="259" t="n">
        <v>0</v>
      </c>
      <c r="U28" s="259" t="n">
        <v>0</v>
      </c>
      <c r="V28" s="259" t="n">
        <v>0</v>
      </c>
      <c r="W28" s="259" t="n">
        <v>0</v>
      </c>
      <c r="X28" s="259" t="n">
        <v>0</v>
      </c>
      <c r="Y28" s="259" t="n">
        <v>0</v>
      </c>
      <c r="Z28" s="259" t="n">
        <v>0</v>
      </c>
      <c r="AA28" s="259" t="n">
        <v>0</v>
      </c>
      <c r="AB28" s="259" t="n">
        <v>0</v>
      </c>
      <c r="AC28" s="259" t="n">
        <v>0</v>
      </c>
      <c r="AD28" s="259" t="n">
        <v>0</v>
      </c>
      <c r="AE28" s="259" t="n">
        <v>0</v>
      </c>
      <c r="AF28" s="259" t="n">
        <v>0</v>
      </c>
      <c r="AG28" s="259" t="n">
        <v>0</v>
      </c>
      <c r="AH28" s="259" t="n">
        <v>0</v>
      </c>
      <c r="AI28" s="259" t="n">
        <v>0</v>
      </c>
      <c r="AJ28" s="259" t="n">
        <v>0</v>
      </c>
    </row>
    <row r="29">
      <c r="A29" t="n">
        <v>18</v>
      </c>
      <c r="B29" t="n">
        <v>1</v>
      </c>
      <c r="G29" t="inlineStr">
        <is>
          <t>moeda</t>
        </is>
      </c>
      <c r="H29" t="inlineStr">
        <is>
          <t>PropertyPlantAndEquipmentAndFinanceLeaseRightOfUseAssetAfterAccumulatedDepreciationAndAmortization</t>
        </is>
      </c>
      <c r="J29" t="inlineStr">
        <is>
          <t>fonte</t>
        </is>
      </c>
      <c r="K29" s="259" t="n">
        <v>0</v>
      </c>
      <c r="L29" s="259" t="n">
        <v>78748000000</v>
      </c>
      <c r="M29" s="259" t="n">
        <v>81636000000</v>
      </c>
      <c r="N29" s="259" t="n">
        <v>0</v>
      </c>
      <c r="O29" s="259" t="n">
        <v>87606000000</v>
      </c>
      <c r="P29" s="259" t="n">
        <v>91697000000</v>
      </c>
      <c r="Q29" s="259" t="n">
        <v>94631000000</v>
      </c>
      <c r="R29" s="259" t="n">
        <v>0</v>
      </c>
      <c r="S29" s="259" t="n">
        <v>104218000000</v>
      </c>
      <c r="T29" s="259" t="n">
        <v>106223000000</v>
      </c>
      <c r="U29" s="259" t="n">
        <v>108363000000</v>
      </c>
      <c r="V29" s="259" t="n">
        <v>0</v>
      </c>
      <c r="W29" s="259" t="n">
        <v>117560000000</v>
      </c>
      <c r="X29" s="259" t="n">
        <v>121208000000</v>
      </c>
      <c r="Y29" s="259" t="n">
        <v>125705000000</v>
      </c>
      <c r="Z29" s="259" t="n">
        <v>0</v>
      </c>
      <c r="AA29" s="259" t="n">
        <v>0</v>
      </c>
      <c r="AB29" s="259" t="n">
        <v>0</v>
      </c>
      <c r="AC29" s="259" t="n">
        <v>0</v>
      </c>
      <c r="AD29" s="259" t="n">
        <v>0</v>
      </c>
      <c r="AE29" s="259" t="n">
        <v>0</v>
      </c>
      <c r="AF29" s="259" t="n">
        <v>203231000000</v>
      </c>
      <c r="AG29" s="259" t="n">
        <v>223787000000</v>
      </c>
      <c r="AH29" s="259" t="n">
        <v>246597000000</v>
      </c>
      <c r="AI29" s="259" t="n">
        <v>281020000000</v>
      </c>
      <c r="AJ29" s="259" t="n">
        <v>321212000000</v>
      </c>
    </row>
    <row r="30">
      <c r="A30" t="n">
        <v>18</v>
      </c>
      <c r="B30" t="n">
        <v>1</v>
      </c>
      <c r="G30" t="inlineStr">
        <is>
          <t>moeda</t>
        </is>
      </c>
      <c r="H30" t="inlineStr">
        <is>
          <t>PropertyPlantAndEquipmentNet</t>
        </is>
      </c>
      <c r="J30" t="inlineStr">
        <is>
          <t>fonte</t>
        </is>
      </c>
      <c r="K30" s="259" t="n">
        <v>0</v>
      </c>
      <c r="L30" s="259" t="n">
        <v>0</v>
      </c>
      <c r="M30" s="259" t="n">
        <v>0</v>
      </c>
      <c r="N30" s="259" t="n">
        <v>84749000000</v>
      </c>
      <c r="O30" s="259" t="n">
        <v>0</v>
      </c>
      <c r="P30" s="259" t="n">
        <v>0</v>
      </c>
      <c r="Q30" s="259" t="n">
        <v>0</v>
      </c>
      <c r="R30" s="259" t="n">
        <v>97599000000</v>
      </c>
      <c r="S30" s="259" t="n">
        <v>0</v>
      </c>
      <c r="T30" s="259" t="n">
        <v>0</v>
      </c>
      <c r="U30" s="259" t="n">
        <v>0</v>
      </c>
      <c r="V30" s="259" t="n">
        <v>112668000000</v>
      </c>
      <c r="W30" s="259" t="n">
        <v>0</v>
      </c>
      <c r="X30" s="259" t="n">
        <v>0</v>
      </c>
      <c r="Y30" s="259" t="n">
        <v>0</v>
      </c>
      <c r="Z30" s="259" t="n">
        <v>134345000000</v>
      </c>
      <c r="AA30" s="259" t="n">
        <v>143182000000</v>
      </c>
      <c r="AB30" s="259" t="n">
        <v>151155000000</v>
      </c>
      <c r="AC30" s="259" t="n">
        <v>161270000000</v>
      </c>
      <c r="AD30" s="259" t="n">
        <v>171036000000</v>
      </c>
      <c r="AE30" s="259" t="n">
        <v>185062000000</v>
      </c>
      <c r="AF30" s="259" t="n">
        <v>0</v>
      </c>
      <c r="AG30" s="259" t="n">
        <v>0</v>
      </c>
      <c r="AH30" s="259" t="n">
        <v>0</v>
      </c>
      <c r="AI30" s="259" t="n">
        <v>0</v>
      </c>
      <c r="AJ30" s="259" t="n">
        <v>0</v>
      </c>
    </row>
    <row r="31">
      <c r="A31" t="n">
        <v>19</v>
      </c>
      <c r="B31" t="n">
        <v>1</v>
      </c>
      <c r="G31" t="inlineStr">
        <is>
          <t>moeda</t>
        </is>
      </c>
      <c r="H31" t="inlineStr">
        <is>
          <t>OperatingLeaseRightOfUseAsset</t>
        </is>
      </c>
      <c r="J31" t="inlineStr">
        <is>
          <t>fonte</t>
        </is>
      </c>
      <c r="K31" s="259" t="n">
        <v>11219000000</v>
      </c>
      <c r="L31" s="259" t="n">
        <v>11567000000</v>
      </c>
      <c r="M31" s="259" t="n">
        <v>11946000000</v>
      </c>
      <c r="N31" s="259" t="n">
        <v>12211000000</v>
      </c>
      <c r="O31" s="259" t="n">
        <v>12598000000</v>
      </c>
      <c r="P31" s="259" t="n">
        <v>12978000000</v>
      </c>
      <c r="Q31" s="259" t="n">
        <v>12918000000</v>
      </c>
      <c r="R31" s="259" t="n">
        <v>12959000000</v>
      </c>
      <c r="S31" s="259" t="n">
        <v>12992000000</v>
      </c>
      <c r="T31" s="259" t="n">
        <v>13398000000</v>
      </c>
      <c r="U31" s="259" t="n">
        <v>13677000000</v>
      </c>
      <c r="V31" s="259" t="n">
        <v>14381000000</v>
      </c>
      <c r="W31" s="259" t="n">
        <v>14447000000</v>
      </c>
      <c r="X31" s="259" t="n">
        <v>14469000000</v>
      </c>
      <c r="Y31" s="259" t="n">
        <v>14199000000</v>
      </c>
      <c r="Z31" s="259" t="n">
        <v>14091000000</v>
      </c>
      <c r="AA31" s="259" t="n">
        <v>13768000000</v>
      </c>
      <c r="AB31" s="259" t="n">
        <v>13606000000</v>
      </c>
      <c r="AC31" s="259" t="n">
        <v>13561000000</v>
      </c>
      <c r="AD31" s="259" t="n">
        <v>13588000000</v>
      </c>
      <c r="AE31" s="259" t="n">
        <v>13722000000</v>
      </c>
      <c r="AF31" s="259" t="n">
        <v>14255000000</v>
      </c>
      <c r="AG31" s="259" t="n">
        <v>14524000000</v>
      </c>
      <c r="AH31" s="259" t="n">
        <v>15221000000</v>
      </c>
      <c r="AI31" s="259" t="n">
        <v>15509000000</v>
      </c>
      <c r="AJ31" s="259" t="n">
        <v>17694000000</v>
      </c>
    </row>
    <row r="32">
      <c r="A32" t="n">
        <v>20</v>
      </c>
      <c r="B32" t="n">
        <v>1</v>
      </c>
      <c r="G32" t="inlineStr">
        <is>
          <t>moeda</t>
        </is>
      </c>
      <c r="H32" t="inlineStr">
        <is>
          <t>Goodwill</t>
        </is>
      </c>
      <c r="J32" t="inlineStr">
        <is>
          <t>fonte</t>
        </is>
      </c>
      <c r="K32" s="259" t="n">
        <v>20734000000</v>
      </c>
      <c r="L32" s="259" t="n">
        <v>20824000000</v>
      </c>
      <c r="M32" s="259" t="n">
        <v>20870000000</v>
      </c>
      <c r="N32" s="259" t="n">
        <v>21175000000</v>
      </c>
      <c r="O32" s="259" t="n">
        <v>22341000000</v>
      </c>
      <c r="P32" s="259" t="n">
        <v>22406000000</v>
      </c>
      <c r="Q32" s="259" t="n">
        <v>22623000000</v>
      </c>
      <c r="R32" s="259" t="n">
        <v>22956000000</v>
      </c>
      <c r="S32" s="259" t="n">
        <v>23010000000</v>
      </c>
      <c r="T32" s="259" t="n">
        <v>23949000000</v>
      </c>
      <c r="U32" s="259" t="n">
        <v>28834000000</v>
      </c>
      <c r="V32" s="259" t="n">
        <v>28960000000</v>
      </c>
      <c r="W32" s="259" t="n">
        <v>28994000000</v>
      </c>
      <c r="X32" s="259" t="n">
        <v>29210000000</v>
      </c>
      <c r="Y32" s="259" t="n">
        <v>29146000000</v>
      </c>
      <c r="Z32" s="259" t="n">
        <v>29198000000</v>
      </c>
      <c r="AA32" s="259" t="n">
        <v>29183000000</v>
      </c>
      <c r="AB32" s="259" t="n">
        <v>29185000000</v>
      </c>
      <c r="AC32" s="259" t="n">
        <v>31935000000</v>
      </c>
      <c r="AD32" s="259" t="n">
        <v>31885000000</v>
      </c>
      <c r="AE32" s="259" t="n">
        <v>32173000000</v>
      </c>
      <c r="AF32" s="259" t="n">
        <v>32335000000</v>
      </c>
      <c r="AG32" s="259" t="n">
        <v>33269000000</v>
      </c>
      <c r="AH32" s="259" t="n">
        <v>33380000000</v>
      </c>
      <c r="AI32" s="259" t="n">
        <v>57774000000</v>
      </c>
      <c r="AJ32" s="259" t="n">
        <v>57828000000</v>
      </c>
    </row>
    <row r="33">
      <c r="A33" t="n">
        <v>21</v>
      </c>
      <c r="B33" t="n">
        <v>1</v>
      </c>
      <c r="G33" t="inlineStr">
        <is>
          <t>moeda</t>
        </is>
      </c>
      <c r="H33" t="inlineStr">
        <is>
          <t>IntangibleAssetsNetExcludingGoodwill</t>
        </is>
      </c>
      <c r="J33" t="inlineStr">
        <is>
          <t>fonte</t>
        </is>
      </c>
      <c r="K33" s="259" t="n">
        <v>1840000000</v>
      </c>
      <c r="L33" s="259" t="n">
        <v>1697000000</v>
      </c>
      <c r="M33" s="259" t="n">
        <v>1520000000</v>
      </c>
      <c r="N33" s="259" t="n">
        <v>1445000000</v>
      </c>
      <c r="O33" s="259" t="n">
        <v>1823000000</v>
      </c>
      <c r="P33" s="259" t="n">
        <v>1626000000</v>
      </c>
      <c r="Q33" s="259" t="n">
        <v>1549000000</v>
      </c>
      <c r="R33" s="259" t="n">
        <v>1417000000</v>
      </c>
      <c r="S33" s="259" t="n">
        <v>1313000000</v>
      </c>
      <c r="T33" s="259" t="n">
        <v>1377000000</v>
      </c>
      <c r="U33" s="259" t="n">
        <v>2192000000</v>
      </c>
      <c r="V33" s="259" t="n">
        <v>2084000000</v>
      </c>
      <c r="W33" s="259" t="n">
        <v>1968000000</v>
      </c>
      <c r="X33" s="259" t="n">
        <v>1966000000</v>
      </c>
      <c r="Y33" s="259" t="n">
        <v>1833000000</v>
      </c>
      <c r="Z33" s="259" t="n">
        <v>0</v>
      </c>
      <c r="AA33" s="259" t="n">
        <v>0</v>
      </c>
      <c r="AB33" s="259" t="n">
        <v>0</v>
      </c>
      <c r="AC33" s="259" t="n">
        <v>0</v>
      </c>
      <c r="AD33" s="259" t="n">
        <v>0</v>
      </c>
      <c r="AE33" s="259" t="n">
        <v>0</v>
      </c>
      <c r="AF33" s="259" t="n">
        <v>0</v>
      </c>
      <c r="AG33" s="259" t="n">
        <v>0</v>
      </c>
      <c r="AH33" s="259" t="n">
        <v>0</v>
      </c>
      <c r="AI33" s="259" t="n">
        <v>9444000000</v>
      </c>
      <c r="AJ33" s="259" t="n">
        <v>9105000000</v>
      </c>
    </row>
    <row r="34">
      <c r="A34" t="n">
        <v>22</v>
      </c>
      <c r="B34" t="n">
        <v>1</v>
      </c>
      <c r="G34" t="inlineStr">
        <is>
          <t>moeda</t>
        </is>
      </c>
      <c r="H34" t="inlineStr">
        <is>
          <t>OtherLongTermInvestments</t>
        </is>
      </c>
      <c r="J34" t="inlineStr">
        <is>
          <t>fonte</t>
        </is>
      </c>
      <c r="K34" s="259" t="n">
        <v>12367000000</v>
      </c>
      <c r="L34" s="259" t="n">
        <v>12961000000</v>
      </c>
      <c r="M34" s="259" t="n">
        <v>14656000000</v>
      </c>
      <c r="N34" s="259" t="n">
        <v>20703000000</v>
      </c>
      <c r="O34" s="259" t="n">
        <v>25294000000</v>
      </c>
      <c r="P34" s="259" t="n">
        <v>25532000000</v>
      </c>
      <c r="Q34" s="259" t="n">
        <v>26101000000</v>
      </c>
      <c r="R34" s="259" t="n">
        <v>29549000000</v>
      </c>
      <c r="S34" s="259" t="n">
        <v>30544000000</v>
      </c>
      <c r="T34" s="259" t="n">
        <v>30665000000</v>
      </c>
      <c r="U34" s="259" t="n">
        <v>30419000000</v>
      </c>
      <c r="V34" s="259" t="n">
        <v>30492000000</v>
      </c>
      <c r="W34" s="259" t="n">
        <v>31213000000</v>
      </c>
      <c r="X34" s="259" t="n">
        <v>31224000000</v>
      </c>
      <c r="Y34" s="259" t="n">
        <v>30907000000</v>
      </c>
      <c r="Z34" s="259" t="n">
        <v>31008000000</v>
      </c>
      <c r="AA34" s="259" t="n">
        <v>33994000000</v>
      </c>
      <c r="AB34" s="259" t="n">
        <v>34172000000</v>
      </c>
      <c r="AC34" s="259" t="n">
        <v>36177000000</v>
      </c>
      <c r="AD34" s="259" t="n">
        <v>37982000000</v>
      </c>
      <c r="AE34" s="259" t="n">
        <v>51029000000</v>
      </c>
      <c r="AF34" s="259" t="n">
        <v>52574000000</v>
      </c>
      <c r="AG34" s="259" t="n">
        <v>63800000000</v>
      </c>
      <c r="AH34" s="259" t="n">
        <v>68687000000</v>
      </c>
      <c r="AI34" s="259" t="n">
        <v>106946000000</v>
      </c>
      <c r="AJ34" s="259" t="n">
        <v>131461000000</v>
      </c>
    </row>
    <row r="35">
      <c r="A35" t="n">
        <v>22</v>
      </c>
      <c r="B35" t="n">
        <v>1</v>
      </c>
      <c r="G35" t="inlineStr">
        <is>
          <t>moeda</t>
        </is>
      </c>
      <c r="H35" t="inlineStr">
        <is>
          <t>OtherAssetsNoncurrent</t>
        </is>
      </c>
      <c r="J35" t="inlineStr">
        <is>
          <t>fonte</t>
        </is>
      </c>
      <c r="K35" s="259" t="n">
        <v>2748000000</v>
      </c>
      <c r="L35" s="259" t="n">
        <v>2731000000</v>
      </c>
      <c r="M35" s="259" t="n">
        <v>3274000000</v>
      </c>
      <c r="N35" s="259" t="n">
        <v>3953000000</v>
      </c>
      <c r="O35" s="259" t="n">
        <v>4167000000</v>
      </c>
      <c r="P35" s="259" t="n">
        <v>4298000000</v>
      </c>
      <c r="Q35" s="259" t="n">
        <v>4276000000</v>
      </c>
      <c r="R35" s="259" t="n">
        <v>5361000000</v>
      </c>
      <c r="S35" s="259" t="n">
        <v>5778000000</v>
      </c>
      <c r="T35" s="259" t="n">
        <v>5712000000</v>
      </c>
      <c r="U35" s="259" t="n">
        <v>5670000000</v>
      </c>
      <c r="V35" s="259" t="n">
        <v>6623000000</v>
      </c>
      <c r="W35" s="259" t="n">
        <v>6439000000</v>
      </c>
      <c r="X35" s="259" t="n">
        <v>6822000000</v>
      </c>
      <c r="Y35" s="259" t="n">
        <v>7628000000</v>
      </c>
      <c r="Z35" s="259" t="n">
        <v>10051000000</v>
      </c>
      <c r="AA35" s="259" t="n">
        <v>10065000000</v>
      </c>
      <c r="AB35" s="259" t="n">
        <v>9699000000</v>
      </c>
      <c r="AC35" s="259" t="n">
        <v>13867000000</v>
      </c>
      <c r="AD35" s="259" t="n">
        <v>14874000000</v>
      </c>
      <c r="AE35" s="259" t="n">
        <v>12950000000</v>
      </c>
      <c r="AF35" s="259" t="n">
        <v>14153000000</v>
      </c>
      <c r="AG35" s="259" t="n">
        <v>16811000000</v>
      </c>
      <c r="AH35" s="259" t="n">
        <v>16245000000</v>
      </c>
      <c r="AI35" s="259" t="n">
        <v>17478000000</v>
      </c>
      <c r="AJ35" s="259" t="n">
        <v>39711000000</v>
      </c>
    </row>
    <row r="36">
      <c r="A36" t="n">
        <v>23</v>
      </c>
      <c r="B36" t="n">
        <v>1</v>
      </c>
      <c r="G36" t="inlineStr">
        <is>
          <t>moeda</t>
        </is>
      </c>
      <c r="H36" t="inlineStr">
        <is>
          <t>AccountsPayableCurrent</t>
        </is>
      </c>
      <c r="J36" t="inlineStr">
        <is>
          <t>fonte</t>
        </is>
      </c>
      <c r="K36" s="259" t="n">
        <v>4099000000</v>
      </c>
      <c r="L36" s="259" t="n">
        <v>4064000000</v>
      </c>
      <c r="M36" s="259" t="n">
        <v>4391000000</v>
      </c>
      <c r="N36" s="259" t="n">
        <v>5589000000</v>
      </c>
      <c r="O36" s="259" t="n">
        <v>4801000000</v>
      </c>
      <c r="P36" s="259" t="n">
        <v>4708000000</v>
      </c>
      <c r="Q36" s="259" t="n">
        <v>4616000000</v>
      </c>
      <c r="R36" s="259" t="n">
        <v>6037000000</v>
      </c>
      <c r="S36" s="259" t="n">
        <v>3436000000</v>
      </c>
      <c r="T36" s="259" t="n">
        <v>4409000000</v>
      </c>
      <c r="U36" s="259" t="n">
        <v>6303000000</v>
      </c>
      <c r="V36" s="259" t="n">
        <v>5128000000</v>
      </c>
      <c r="W36" s="259" t="n">
        <v>4184000000</v>
      </c>
      <c r="X36" s="259" t="n">
        <v>5313000000</v>
      </c>
      <c r="Y36" s="259" t="n">
        <v>5803000000</v>
      </c>
      <c r="Z36" s="259" t="n">
        <v>7493000000</v>
      </c>
      <c r="AA36" s="259" t="n">
        <v>6198000000</v>
      </c>
      <c r="AB36" s="259" t="n">
        <v>6092000000</v>
      </c>
      <c r="AC36" s="259" t="n">
        <v>7049000000</v>
      </c>
      <c r="AD36" s="259" t="n">
        <v>7987000000</v>
      </c>
      <c r="AE36" s="259" t="n">
        <v>8497000000</v>
      </c>
      <c r="AF36" s="259" t="n">
        <v>8347000000</v>
      </c>
      <c r="AG36" s="259" t="n">
        <v>10546000000</v>
      </c>
      <c r="AH36" s="259" t="n">
        <v>12200000000</v>
      </c>
      <c r="AI36" s="259" t="n">
        <v>16852000000</v>
      </c>
      <c r="AJ36" s="259" t="n">
        <v>20258000000</v>
      </c>
    </row>
    <row r="37">
      <c r="A37" t="n">
        <v>24</v>
      </c>
      <c r="B37" t="n">
        <v>1</v>
      </c>
      <c r="G37" t="inlineStr">
        <is>
          <t>moeda</t>
        </is>
      </c>
      <c r="H37" t="inlineStr">
        <is>
          <t>EmployeeRelatedLiabilitiesCurrent</t>
        </is>
      </c>
      <c r="J37" t="inlineStr">
        <is>
          <t>fonte</t>
        </is>
      </c>
      <c r="K37" s="259" t="n">
        <v>5656000000</v>
      </c>
      <c r="L37" s="259" t="n">
        <v>7127000000</v>
      </c>
      <c r="M37" s="259" t="n">
        <v>8747000000</v>
      </c>
      <c r="N37" s="259" t="n">
        <v>11086000000</v>
      </c>
      <c r="O37" s="259" t="n">
        <v>8375000000</v>
      </c>
      <c r="P37" s="259" t="n">
        <v>10088000000</v>
      </c>
      <c r="Q37" s="259" t="n">
        <v>12170000000</v>
      </c>
      <c r="R37" s="259" t="n">
        <v>13889000000</v>
      </c>
      <c r="S37" s="259" t="n">
        <v>9803000000</v>
      </c>
      <c r="T37" s="259" t="n">
        <v>10852000000</v>
      </c>
      <c r="U37" s="259" t="n">
        <v>12366000000</v>
      </c>
      <c r="V37" s="259" t="n">
        <v>14028000000</v>
      </c>
      <c r="W37" s="259" t="n">
        <v>9954000000</v>
      </c>
      <c r="X37" s="259" t="n">
        <v>11260000000</v>
      </c>
      <c r="Y37" s="259" t="n">
        <v>12562000000</v>
      </c>
      <c r="Z37" s="259" t="n">
        <v>15140000000</v>
      </c>
      <c r="AA37" s="259" t="n">
        <v>9703000000</v>
      </c>
      <c r="AB37" s="259" t="n">
        <v>11373000000</v>
      </c>
      <c r="AC37" s="259" t="n">
        <v>12908000000</v>
      </c>
      <c r="AD37" s="259" t="n">
        <v>15069000000</v>
      </c>
      <c r="AE37" s="259" t="n">
        <v>9984000000</v>
      </c>
      <c r="AF37" s="259" t="n">
        <v>12168000000</v>
      </c>
      <c r="AG37" s="259" t="n">
        <v>13944000000</v>
      </c>
      <c r="AH37" s="259" t="n">
        <v>17546000000</v>
      </c>
      <c r="AI37" s="259" t="n">
        <v>13947000000</v>
      </c>
      <c r="AJ37" s="259" t="n">
        <v>15086000000</v>
      </c>
    </row>
    <row r="38">
      <c r="A38" t="n">
        <v>24</v>
      </c>
      <c r="B38" t="n">
        <v>1</v>
      </c>
      <c r="G38" t="inlineStr">
        <is>
          <t>moeda</t>
        </is>
      </c>
      <c r="H38" t="inlineStr">
        <is>
          <t>AccruedLiabilitiesCurrent</t>
        </is>
      </c>
      <c r="J38" t="inlineStr">
        <is>
          <t>fonte</t>
        </is>
      </c>
      <c r="K38" s="259" t="n">
        <v>22601000000</v>
      </c>
      <c r="L38" s="259" t="n">
        <v>24426000000</v>
      </c>
      <c r="M38" s="259" t="n">
        <v>25631000000</v>
      </c>
      <c r="N38" s="259" t="n">
        <v>28631000000</v>
      </c>
      <c r="O38" s="259" t="n">
        <v>30732000000</v>
      </c>
      <c r="P38" s="259" t="n">
        <v>28981000000</v>
      </c>
      <c r="Q38" s="259" t="n">
        <v>30113000000</v>
      </c>
      <c r="R38" s="259" t="n">
        <v>31236000000</v>
      </c>
      <c r="S38" s="259" t="n">
        <v>33051000000</v>
      </c>
      <c r="T38" s="259" t="n">
        <v>32976000000</v>
      </c>
      <c r="U38" s="259" t="n">
        <v>35038000000</v>
      </c>
      <c r="V38" s="259" t="n">
        <v>37866000000</v>
      </c>
      <c r="W38" s="259" t="n">
        <v>43185000000</v>
      </c>
      <c r="X38" s="259" t="n">
        <v>49300000000</v>
      </c>
      <c r="Y38" s="259" t="n">
        <v>55602000000</v>
      </c>
      <c r="Z38" s="259" t="n">
        <v>46168000000</v>
      </c>
      <c r="AA38" s="259" t="n">
        <v>48603000000</v>
      </c>
      <c r="AB38" s="259" t="n">
        <v>47298000000</v>
      </c>
      <c r="AC38" s="259" t="n">
        <v>46585000000</v>
      </c>
      <c r="AD38" s="259" t="n">
        <v>51228000000</v>
      </c>
      <c r="AE38" s="259" t="n">
        <v>58300000000</v>
      </c>
      <c r="AF38" s="259" t="n">
        <v>52039000000</v>
      </c>
      <c r="AG38" s="259" t="n">
        <v>59437000000</v>
      </c>
      <c r="AH38" s="259" t="n">
        <v>55557000000</v>
      </c>
      <c r="AI38" s="259" t="n">
        <v>63019000000</v>
      </c>
      <c r="AJ38" s="259" t="n">
        <v>73014000000</v>
      </c>
    </row>
    <row r="39">
      <c r="A39" t="n">
        <v>24</v>
      </c>
      <c r="B39" t="n">
        <v>1</v>
      </c>
      <c r="G39" t="inlineStr">
        <is>
          <t>moeda</t>
        </is>
      </c>
      <c r="H39" t="inlineStr">
        <is>
          <t>AccruedRevenueShare</t>
        </is>
      </c>
      <c r="J39" t="inlineStr">
        <is>
          <t>fonte</t>
        </is>
      </c>
      <c r="K39" s="259" t="n">
        <v>4982000000</v>
      </c>
      <c r="L39" s="259" t="n">
        <v>5005000000</v>
      </c>
      <c r="M39" s="259" t="n">
        <v>6030000000</v>
      </c>
      <c r="N39" s="259" t="n">
        <v>7500000000</v>
      </c>
      <c r="O39" s="259" t="n">
        <v>6962000000</v>
      </c>
      <c r="P39" s="259" t="n">
        <v>7438000000</v>
      </c>
      <c r="Q39" s="259" t="n">
        <v>7745000000</v>
      </c>
      <c r="R39" s="259" t="n">
        <v>8996000000</v>
      </c>
      <c r="S39" s="259" t="n">
        <v>8116000000</v>
      </c>
      <c r="T39" s="259" t="n">
        <v>7889000000</v>
      </c>
      <c r="U39" s="259" t="n">
        <v>7662000000</v>
      </c>
      <c r="V39" s="259" t="n">
        <v>8370000000</v>
      </c>
      <c r="W39" s="259" t="n">
        <v>7816000000</v>
      </c>
      <c r="X39" s="259" t="n">
        <v>7990000000</v>
      </c>
      <c r="Y39" s="259" t="n">
        <v>8025000000</v>
      </c>
      <c r="Z39" s="259" t="n">
        <v>8876000000</v>
      </c>
      <c r="AA39" s="259" t="n">
        <v>8520000000</v>
      </c>
      <c r="AB39" s="259" t="n">
        <v>8899000000</v>
      </c>
      <c r="AC39" s="259" t="n">
        <v>9365000000</v>
      </c>
      <c r="AD39" s="259" t="n">
        <v>9802000000</v>
      </c>
      <c r="AE39" s="259" t="n">
        <v>9965000000</v>
      </c>
      <c r="AF39" s="259" t="n">
        <v>9787000000</v>
      </c>
      <c r="AG39" s="259" t="n">
        <v>10081000000</v>
      </c>
      <c r="AH39" s="259" t="n">
        <v>10864000000</v>
      </c>
      <c r="AI39" s="259" t="n">
        <v>10208000000</v>
      </c>
      <c r="AJ39" s="259" t="n">
        <v>10599000000</v>
      </c>
    </row>
    <row r="40">
      <c r="A40" t="n">
        <v>25</v>
      </c>
      <c r="B40" t="n">
        <v>1</v>
      </c>
      <c r="G40" t="inlineStr">
        <is>
          <t>moeda</t>
        </is>
      </c>
      <c r="H40" t="inlineStr">
        <is>
          <t>AccruedIncomeTaxesCurrent</t>
        </is>
      </c>
      <c r="J40" t="inlineStr">
        <is>
          <t>fonte</t>
        </is>
      </c>
      <c r="K40" s="259" t="n">
        <v>913000000</v>
      </c>
      <c r="L40" s="259" t="n">
        <v>975000000</v>
      </c>
      <c r="M40" s="259" t="n">
        <v>1099000000</v>
      </c>
      <c r="N40" s="259" t="n">
        <v>1485000000</v>
      </c>
      <c r="O40" s="259" t="n">
        <v>1893000000</v>
      </c>
      <c r="P40" s="259" t="n">
        <v>1811000000</v>
      </c>
      <c r="Q40" s="259" t="n">
        <v>4170000000</v>
      </c>
      <c r="R40" s="259" t="n">
        <v>808000000</v>
      </c>
      <c r="S40" s="259" t="n">
        <v>4344000000</v>
      </c>
      <c r="T40" s="259" t="n">
        <v>1956000000</v>
      </c>
      <c r="U40" s="259" t="n">
        <v>1025000000</v>
      </c>
      <c r="V40" s="259" t="n">
        <v>0</v>
      </c>
      <c r="W40" s="259" t="n">
        <v>0</v>
      </c>
      <c r="X40" s="259" t="n">
        <v>0</v>
      </c>
      <c r="Y40" s="259" t="n">
        <v>0</v>
      </c>
      <c r="Z40" s="259" t="n">
        <v>0</v>
      </c>
      <c r="AA40" s="259" t="n">
        <v>0</v>
      </c>
      <c r="AB40" s="259" t="n">
        <v>0</v>
      </c>
      <c r="AC40" s="259" t="n">
        <v>0</v>
      </c>
      <c r="AD40" s="259" t="n">
        <v>0</v>
      </c>
      <c r="AE40" s="259" t="n">
        <v>0</v>
      </c>
      <c r="AF40" s="259" t="n">
        <v>0</v>
      </c>
      <c r="AG40" s="259" t="n">
        <v>0</v>
      </c>
      <c r="AH40" s="259" t="n">
        <v>0</v>
      </c>
      <c r="AI40" s="259" t="n">
        <v>0</v>
      </c>
      <c r="AJ40" s="259" t="n">
        <v>0</v>
      </c>
    </row>
    <row r="41">
      <c r="A41" t="n">
        <v>26</v>
      </c>
      <c r="B41" t="n">
        <v>1</v>
      </c>
      <c r="G41" t="inlineStr">
        <is>
          <t>moeda</t>
        </is>
      </c>
      <c r="H41" t="inlineStr">
        <is>
          <t>ContractWithCustomerLiabilityCurrent</t>
        </is>
      </c>
      <c r="J41" t="inlineStr">
        <is>
          <t>fonte</t>
        </is>
      </c>
      <c r="K41" s="259" t="n">
        <v>1938000000</v>
      </c>
      <c r="L41" s="259" t="n">
        <v>2061000000</v>
      </c>
      <c r="M41" s="259" t="n">
        <v>2302000000</v>
      </c>
      <c r="N41" s="259" t="n">
        <v>2543000000</v>
      </c>
      <c r="O41" s="259" t="n">
        <v>2690000000</v>
      </c>
      <c r="P41" s="259" t="n">
        <v>2715000000</v>
      </c>
      <c r="Q41" s="259" t="n">
        <v>2968000000</v>
      </c>
      <c r="R41" s="259" t="n">
        <v>3288000000</v>
      </c>
      <c r="S41" s="259" t="n">
        <v>3198000000</v>
      </c>
      <c r="T41" s="259" t="n">
        <v>3272000000</v>
      </c>
      <c r="U41" s="259" t="n">
        <v>3585000000</v>
      </c>
      <c r="V41" s="259" t="n">
        <v>3908000000</v>
      </c>
      <c r="W41" s="259" t="n">
        <v>3715000000</v>
      </c>
      <c r="X41" s="259" t="n">
        <v>3846000000</v>
      </c>
      <c r="Y41" s="259" t="n">
        <v>4303000000</v>
      </c>
      <c r="Z41" s="259" t="n">
        <v>4137000000</v>
      </c>
      <c r="AA41" s="259" t="n">
        <v>3973000000</v>
      </c>
      <c r="AB41" s="259" t="n">
        <v>4251000000</v>
      </c>
      <c r="AC41" s="259" t="n">
        <v>4896000000</v>
      </c>
      <c r="AD41" s="259" t="n">
        <v>5036000000</v>
      </c>
      <c r="AE41" s="259" t="n">
        <v>4908000000</v>
      </c>
      <c r="AF41" s="259" t="n">
        <v>4969000000</v>
      </c>
      <c r="AG41" s="259" t="n">
        <v>5542000000</v>
      </c>
      <c r="AH41" s="259" t="n">
        <v>6578000000</v>
      </c>
      <c r="AI41" s="259" t="n">
        <v>7162000000</v>
      </c>
      <c r="AJ41" s="259" t="n">
        <v>7154000000</v>
      </c>
    </row>
    <row r="42">
      <c r="A42" t="n">
        <v>30</v>
      </c>
      <c r="B42" t="n">
        <v>1</v>
      </c>
      <c r="G42" t="inlineStr">
        <is>
          <t>moeda</t>
        </is>
      </c>
      <c r="H42" t="inlineStr">
        <is>
          <t>LongTermDebtAndCapitalLeaseObligations</t>
        </is>
      </c>
      <c r="J42" t="inlineStr">
        <is>
          <t>fonte</t>
        </is>
      </c>
      <c r="K42" s="259" t="n">
        <v>5016000000</v>
      </c>
      <c r="L42" s="259" t="n">
        <v>4018000000</v>
      </c>
      <c r="M42" s="259" t="n">
        <v>13902000000</v>
      </c>
      <c r="N42" s="259" t="n">
        <v>13932000000</v>
      </c>
      <c r="O42" s="259" t="n">
        <v>13887000000</v>
      </c>
      <c r="P42" s="259" t="n">
        <v>14328000000</v>
      </c>
      <c r="Q42" s="259" t="n">
        <v>14288000000</v>
      </c>
      <c r="R42" s="259" t="n">
        <v>14817000000</v>
      </c>
      <c r="S42" s="259" t="n">
        <v>14791000000</v>
      </c>
      <c r="T42" s="259" t="n">
        <v>14734000000</v>
      </c>
      <c r="U42" s="259" t="n">
        <v>14653000000</v>
      </c>
      <c r="V42" s="259" t="n">
        <v>14701000000</v>
      </c>
      <c r="W42" s="259" t="n">
        <v>13697000000</v>
      </c>
      <c r="X42" s="259" t="n">
        <v>13705000000</v>
      </c>
      <c r="Y42" s="259" t="n">
        <v>13781000000</v>
      </c>
      <c r="Z42" s="259" t="n">
        <v>13253000000</v>
      </c>
      <c r="AA42" s="259" t="n">
        <v>13228000000</v>
      </c>
      <c r="AB42" s="259" t="n">
        <v>13238000000</v>
      </c>
      <c r="AC42" s="259" t="n">
        <v>12297000000</v>
      </c>
      <c r="AD42" s="259" t="n">
        <v>10883000000</v>
      </c>
      <c r="AE42" s="259" t="n">
        <v>10886000000</v>
      </c>
      <c r="AF42" s="259" t="n">
        <v>0</v>
      </c>
      <c r="AG42" s="259" t="n">
        <v>0</v>
      </c>
      <c r="AH42" s="259" t="n">
        <v>0</v>
      </c>
      <c r="AI42" s="259" t="n">
        <v>0</v>
      </c>
      <c r="AJ42" s="259" t="n">
        <v>0</v>
      </c>
    </row>
    <row r="43">
      <c r="A43" t="n">
        <v>30</v>
      </c>
      <c r="B43" t="n">
        <v>1</v>
      </c>
      <c r="G43" t="inlineStr">
        <is>
          <t>moeda</t>
        </is>
      </c>
      <c r="H43" t="inlineStr">
        <is>
          <t>LongTermDebtNoncurrent</t>
        </is>
      </c>
      <c r="J43" t="inlineStr">
        <is>
          <t>fonte</t>
        </is>
      </c>
      <c r="K43" s="259" t="n">
        <v>0</v>
      </c>
      <c r="L43" s="259" t="n">
        <v>0</v>
      </c>
      <c r="M43" s="259" t="n">
        <v>0</v>
      </c>
      <c r="N43" s="259" t="n">
        <v>0</v>
      </c>
      <c r="O43" s="259" t="n">
        <v>0</v>
      </c>
      <c r="P43" s="259" t="n">
        <v>0</v>
      </c>
      <c r="Q43" s="259" t="n">
        <v>0</v>
      </c>
      <c r="R43" s="259" t="n">
        <v>0</v>
      </c>
      <c r="S43" s="259" t="n">
        <v>0</v>
      </c>
      <c r="T43" s="259" t="n">
        <v>0</v>
      </c>
      <c r="U43" s="259" t="n">
        <v>0</v>
      </c>
      <c r="V43" s="259" t="n">
        <v>0</v>
      </c>
      <c r="W43" s="259" t="n">
        <v>0</v>
      </c>
      <c r="X43" s="259" t="n">
        <v>0</v>
      </c>
      <c r="Y43" s="259" t="n">
        <v>0</v>
      </c>
      <c r="Z43" s="259" t="n">
        <v>0</v>
      </c>
      <c r="AA43" s="259" t="n">
        <v>0</v>
      </c>
      <c r="AB43" s="259" t="n">
        <v>0</v>
      </c>
      <c r="AC43" s="259" t="n">
        <v>0</v>
      </c>
      <c r="AD43" s="259" t="n">
        <v>0</v>
      </c>
      <c r="AE43" s="259" t="n">
        <v>0</v>
      </c>
      <c r="AF43" s="259" t="n">
        <v>23607000000</v>
      </c>
      <c r="AG43" s="259" t="n">
        <v>21607000000</v>
      </c>
      <c r="AH43" s="259" t="n">
        <v>46547000000</v>
      </c>
      <c r="AI43" s="259" t="n">
        <v>77501000000</v>
      </c>
      <c r="AJ43" s="259" t="n">
        <v>98165000000</v>
      </c>
    </row>
    <row r="44">
      <c r="A44" t="n">
        <v>31</v>
      </c>
      <c r="B44" t="n">
        <v>1</v>
      </c>
      <c r="G44" t="inlineStr">
        <is>
          <t>moeda</t>
        </is>
      </c>
      <c r="H44" t="inlineStr">
        <is>
          <t>OperatingLeaseLiabilityNoncurrent</t>
        </is>
      </c>
      <c r="J44" t="inlineStr">
        <is>
          <t>fonte</t>
        </is>
      </c>
      <c r="K44" s="259" t="n">
        <v>10476000000</v>
      </c>
      <c r="L44" s="259" t="n">
        <v>10709000000</v>
      </c>
      <c r="M44" s="259" t="n">
        <v>10984000000</v>
      </c>
      <c r="N44" s="259" t="n">
        <v>11146000000</v>
      </c>
      <c r="O44" s="259" t="n">
        <v>11382000000</v>
      </c>
      <c r="P44" s="259" t="n">
        <v>11619000000</v>
      </c>
      <c r="Q44" s="259" t="n">
        <v>11471000000</v>
      </c>
      <c r="R44" s="259" t="n">
        <v>11389000000</v>
      </c>
      <c r="S44" s="259" t="n">
        <v>11363000000</v>
      </c>
      <c r="T44" s="259" t="n">
        <v>11697000000</v>
      </c>
      <c r="U44" s="259" t="n">
        <v>11984000000</v>
      </c>
      <c r="V44" s="259" t="n">
        <v>12501000000</v>
      </c>
      <c r="W44" s="259" t="n">
        <v>12799000000</v>
      </c>
      <c r="X44" s="259" t="n">
        <v>12746000000</v>
      </c>
      <c r="Y44" s="259" t="n">
        <v>12550000000</v>
      </c>
      <c r="Z44" s="259" t="n">
        <v>12460000000</v>
      </c>
      <c r="AA44" s="259" t="n">
        <v>11957000000</v>
      </c>
      <c r="AB44" s="259" t="n">
        <v>11708000000</v>
      </c>
      <c r="AC44" s="259" t="n">
        <v>11654000000</v>
      </c>
      <c r="AD44" s="259" t="n">
        <v>11691000000</v>
      </c>
      <c r="AE44" s="259" t="n">
        <v>11678000000</v>
      </c>
      <c r="AF44" s="259" t="n">
        <v>11952000000</v>
      </c>
      <c r="AG44" s="259" t="n">
        <v>12106000000</v>
      </c>
      <c r="AH44" s="259" t="n">
        <v>12744000000</v>
      </c>
      <c r="AI44" s="259" t="n">
        <v>12983000000</v>
      </c>
      <c r="AJ44" s="259" t="n">
        <v>14591000000</v>
      </c>
    </row>
    <row r="45">
      <c r="A45" t="n">
        <v>33</v>
      </c>
      <c r="B45" t="n">
        <v>1</v>
      </c>
      <c r="G45" t="inlineStr">
        <is>
          <t>moeda</t>
        </is>
      </c>
      <c r="H45" t="inlineStr">
        <is>
          <t>DeferredIncomeTaxLiabilitiesNet</t>
        </is>
      </c>
      <c r="J45" t="inlineStr">
        <is>
          <t>fonte</t>
        </is>
      </c>
      <c r="K45" s="259" t="n">
        <v>2079000000</v>
      </c>
      <c r="L45" s="259" t="n">
        <v>1797000000</v>
      </c>
      <c r="M45" s="259" t="n">
        <v>1973000000</v>
      </c>
      <c r="N45" s="259" t="n">
        <v>3561000000</v>
      </c>
      <c r="O45" s="259" t="n">
        <v>4406000000</v>
      </c>
      <c r="P45" s="259" t="n">
        <v>4703000000</v>
      </c>
      <c r="Q45" s="259" t="n">
        <v>3551000000</v>
      </c>
      <c r="R45" s="259" t="n">
        <v>5257000000</v>
      </c>
      <c r="S45" s="259" t="n">
        <v>2843000000</v>
      </c>
      <c r="T45" s="259" t="n">
        <v>924000000</v>
      </c>
      <c r="U45" s="259" t="n">
        <v>476000000</v>
      </c>
      <c r="V45" s="259" t="n">
        <v>514000000</v>
      </c>
      <c r="W45" s="259" t="n">
        <v>542000000</v>
      </c>
      <c r="X45" s="259" t="n">
        <v>558000000</v>
      </c>
      <c r="Y45" s="259" t="n">
        <v>528000000</v>
      </c>
      <c r="Z45" s="259" t="n">
        <v>485000000</v>
      </c>
      <c r="AA45" s="259" t="n">
        <v>486000000</v>
      </c>
      <c r="AB45" s="259" t="n">
        <v>717000000</v>
      </c>
      <c r="AC45" s="259" t="n">
        <v>706000000</v>
      </c>
      <c r="AD45" s="259" t="n">
        <v>0</v>
      </c>
      <c r="AE45" s="259" t="n">
        <v>0</v>
      </c>
      <c r="AF45" s="259" t="n">
        <v>0</v>
      </c>
      <c r="AG45" s="259" t="n">
        <v>0</v>
      </c>
      <c r="AH45" s="259" t="n">
        <v>0</v>
      </c>
      <c r="AI45" s="259" t="n">
        <v>0</v>
      </c>
      <c r="AJ45" s="259" t="n">
        <v>22819000000</v>
      </c>
    </row>
    <row r="46">
      <c r="A46" t="n">
        <v>34</v>
      </c>
      <c r="B46" t="n">
        <v>1</v>
      </c>
      <c r="G46" t="inlineStr">
        <is>
          <t>moeda</t>
        </is>
      </c>
      <c r="H46" t="inlineStr">
        <is>
          <t>ContractWithCustomerLiabilityNoncurrent</t>
        </is>
      </c>
      <c r="J46" t="inlineStr">
        <is>
          <t>fonte</t>
        </is>
      </c>
      <c r="K46" s="259" t="n">
        <v>350000000</v>
      </c>
      <c r="L46" s="259" t="n">
        <v>397000000</v>
      </c>
      <c r="M46" s="259" t="n">
        <v>454000000</v>
      </c>
      <c r="N46" s="259" t="n">
        <v>481000000</v>
      </c>
      <c r="O46" s="259" t="n">
        <v>530000000</v>
      </c>
      <c r="P46" s="259" t="n">
        <v>510000000</v>
      </c>
      <c r="Q46" s="259" t="n">
        <v>510000000</v>
      </c>
      <c r="R46" s="259" t="n">
        <v>535000000</v>
      </c>
      <c r="S46" s="259" t="n">
        <v>499000000</v>
      </c>
      <c r="T46" s="259" t="n">
        <v>472000000</v>
      </c>
      <c r="U46" s="259" t="n">
        <v>594000000</v>
      </c>
      <c r="V46" s="259" t="n">
        <v>599000000</v>
      </c>
      <c r="W46" s="259" t="n">
        <v>610000000</v>
      </c>
      <c r="X46" s="259" t="n">
        <v>667000000</v>
      </c>
      <c r="Y46" s="259" t="n">
        <v>884000000</v>
      </c>
      <c r="Z46" s="259" t="n">
        <v>911000000</v>
      </c>
      <c r="AA46" s="259" t="n">
        <v>921000000</v>
      </c>
      <c r="AB46" s="259" t="n">
        <v>985000000</v>
      </c>
      <c r="AC46" s="259" t="n">
        <v>1015000000</v>
      </c>
      <c r="AD46" s="259" t="n">
        <v>0</v>
      </c>
      <c r="AE46" s="259" t="n">
        <v>0</v>
      </c>
      <c r="AF46" s="259" t="n">
        <v>0</v>
      </c>
      <c r="AG46" s="259" t="n">
        <v>0</v>
      </c>
      <c r="AH46" s="259" t="n">
        <v>0</v>
      </c>
      <c r="AI46" s="259" t="n">
        <v>0</v>
      </c>
      <c r="AJ46" s="259" t="n">
        <v>0</v>
      </c>
    </row>
    <row r="47">
      <c r="A47" t="n">
        <v>34</v>
      </c>
      <c r="B47" t="n">
        <v>1</v>
      </c>
      <c r="G47" t="inlineStr">
        <is>
          <t>moeda</t>
        </is>
      </c>
      <c r="H47" t="inlineStr">
        <is>
          <t>AccruedIncomeTaxesNoncurrent</t>
        </is>
      </c>
      <c r="J47" t="inlineStr">
        <is>
          <t>fonte</t>
        </is>
      </c>
      <c r="K47" s="259" t="n">
        <v>9207000000</v>
      </c>
      <c r="L47" s="259" t="n">
        <v>8599000000</v>
      </c>
      <c r="M47" s="259" t="n">
        <v>8616000000</v>
      </c>
      <c r="N47" s="259" t="n">
        <v>8849000000</v>
      </c>
      <c r="O47" s="259" t="n">
        <v>9278000000</v>
      </c>
      <c r="P47" s="259" t="n">
        <v>8651000000</v>
      </c>
      <c r="Q47" s="259" t="n">
        <v>8984000000</v>
      </c>
      <c r="R47" s="259" t="n">
        <v>9176000000</v>
      </c>
      <c r="S47" s="259" t="n">
        <v>9406000000</v>
      </c>
      <c r="T47" s="259" t="n">
        <v>8163000000</v>
      </c>
      <c r="U47" s="259" t="n">
        <v>8572000000</v>
      </c>
      <c r="V47" s="259" t="n">
        <v>9258000000</v>
      </c>
      <c r="W47" s="259" t="n">
        <v>9722000000</v>
      </c>
      <c r="X47" s="259" t="n">
        <v>8753000000</v>
      </c>
      <c r="Y47" s="259" t="n">
        <v>8038000000</v>
      </c>
      <c r="Z47" s="259" t="n">
        <v>8474000000</v>
      </c>
      <c r="AA47" s="259" t="n">
        <v>9234000000</v>
      </c>
      <c r="AB47" s="259" t="n">
        <v>7703000000</v>
      </c>
      <c r="AC47" s="259" t="n">
        <v>8219000000</v>
      </c>
      <c r="AD47" s="259" t="n">
        <v>8782000000</v>
      </c>
      <c r="AE47" s="259" t="n">
        <v>9773000000</v>
      </c>
      <c r="AF47" s="259" t="n">
        <v>10027000000</v>
      </c>
      <c r="AG47" s="259" t="n">
        <v>10072000000</v>
      </c>
      <c r="AH47" s="259" t="n">
        <v>9531000000</v>
      </c>
      <c r="AI47" s="259" t="n">
        <v>12457000000</v>
      </c>
      <c r="AJ47" s="259" t="n">
        <v>11306000000</v>
      </c>
    </row>
    <row r="48">
      <c r="A48" t="n">
        <v>34</v>
      </c>
      <c r="B48" t="n">
        <v>1</v>
      </c>
      <c r="G48" t="inlineStr">
        <is>
          <t>moeda</t>
        </is>
      </c>
      <c r="H48" t="inlineStr">
        <is>
          <t>OtherLiabilitiesNoncurrent</t>
        </is>
      </c>
      <c r="J48" t="inlineStr">
        <is>
          <t>fonte</t>
        </is>
      </c>
      <c r="K48" s="259" t="n">
        <v>2427000000</v>
      </c>
      <c r="L48" s="259" t="n">
        <v>1992000000</v>
      </c>
      <c r="M48" s="259" t="n">
        <v>2194000000</v>
      </c>
      <c r="N48" s="259" t="n">
        <v>2269000000</v>
      </c>
      <c r="O48" s="259" t="n">
        <v>2146000000</v>
      </c>
      <c r="P48" s="259" t="n">
        <v>2270000000</v>
      </c>
      <c r="Q48" s="259" t="n">
        <v>2250000000</v>
      </c>
      <c r="R48" s="259" t="n">
        <v>2205000000</v>
      </c>
      <c r="S48" s="259" t="n">
        <v>2242000000</v>
      </c>
      <c r="T48" s="259" t="n">
        <v>2422000000</v>
      </c>
      <c r="U48" s="259" t="n">
        <v>2371000000</v>
      </c>
      <c r="V48" s="259" t="n">
        <v>2247000000</v>
      </c>
      <c r="W48" s="259" t="n">
        <v>2373000000</v>
      </c>
      <c r="X48" s="259" t="n">
        <v>1765000000</v>
      </c>
      <c r="Y48" s="259" t="n">
        <v>1433000000</v>
      </c>
      <c r="Z48" s="259" t="n">
        <v>1616000000</v>
      </c>
      <c r="AA48" s="259" t="n">
        <v>1683000000</v>
      </c>
      <c r="AB48" s="259" t="n">
        <v>1753000000</v>
      </c>
      <c r="AC48" s="259" t="n">
        <v>1453000000</v>
      </c>
      <c r="AD48" s="259" t="n">
        <v>4694000000</v>
      </c>
      <c r="AE48" s="259" t="n">
        <v>6116000000</v>
      </c>
      <c r="AF48" s="259" t="n">
        <v>6241000000</v>
      </c>
      <c r="AG48" s="259" t="n">
        <v>6267000000</v>
      </c>
      <c r="AH48" s="259" t="n">
        <v>8449000000</v>
      </c>
      <c r="AI48" s="259" t="n">
        <v>11044000000</v>
      </c>
      <c r="AJ48" s="259" t="n">
        <v>8511000000</v>
      </c>
    </row>
    <row r="49">
      <c r="A49" t="n">
        <v>37</v>
      </c>
      <c r="B49" t="n">
        <v>1</v>
      </c>
      <c r="G49" t="inlineStr">
        <is>
          <t>moeda</t>
        </is>
      </c>
      <c r="H49" t="inlineStr">
        <is>
          <t>CommonStocksIncludingAdditionalPaidInCapital</t>
        </is>
      </c>
      <c r="J49" t="inlineStr">
        <is>
          <t>fonte</t>
        </is>
      </c>
      <c r="K49" s="259" t="n">
        <v>53688000000</v>
      </c>
      <c r="L49" s="259" t="n">
        <v>55937000000</v>
      </c>
      <c r="M49" s="259" t="n">
        <v>57307000000</v>
      </c>
      <c r="N49" s="259" t="n">
        <v>58510000000</v>
      </c>
      <c r="O49" s="259" t="n">
        <v>59436000000</v>
      </c>
      <c r="P49" s="259" t="n">
        <v>60436000000</v>
      </c>
      <c r="Q49" s="259" t="n">
        <v>61193000000</v>
      </c>
      <c r="R49" s="259" t="n">
        <v>61774000000</v>
      </c>
      <c r="S49" s="259" t="n">
        <v>62832000000</v>
      </c>
      <c r="T49" s="259" t="n">
        <v>64402000000</v>
      </c>
      <c r="U49" s="259" t="n">
        <v>66258000000</v>
      </c>
      <c r="V49" s="259" t="n">
        <v>68184000000</v>
      </c>
      <c r="W49" s="259" t="n">
        <v>70269000000</v>
      </c>
      <c r="X49" s="259" t="n">
        <v>72248000000</v>
      </c>
      <c r="Y49" s="259" t="n">
        <v>74591000000</v>
      </c>
      <c r="Z49" s="259" t="n">
        <v>76534000000</v>
      </c>
      <c r="AA49" s="259" t="n">
        <v>77913000000</v>
      </c>
      <c r="AB49" s="259" t="n">
        <v>79732000000</v>
      </c>
      <c r="AC49" s="259" t="n">
        <v>82030000000</v>
      </c>
      <c r="AD49" s="259" t="n">
        <v>84800000000</v>
      </c>
      <c r="AE49" s="259" t="n">
        <v>86725000000</v>
      </c>
      <c r="AF49" s="259" t="n">
        <v>89283000000</v>
      </c>
      <c r="AG49" s="259" t="n">
        <v>91695000000</v>
      </c>
      <c r="AH49" s="259" t="n">
        <v>93126000000</v>
      </c>
      <c r="AI49" s="259" t="n">
        <v>96902000000</v>
      </c>
      <c r="AJ49" s="259" t="n">
        <v>131371000000</v>
      </c>
    </row>
    <row r="50">
      <c r="A50" t="n">
        <v>39</v>
      </c>
      <c r="B50" t="n">
        <v>1</v>
      </c>
      <c r="G50" t="inlineStr">
        <is>
          <t>moeda</t>
        </is>
      </c>
      <c r="H50" t="inlineStr">
        <is>
          <t>AccumulatedOtherComprehensiveIncomeLossNetOfTax</t>
        </is>
      </c>
      <c r="J50" t="inlineStr">
        <is>
          <t>fonte</t>
        </is>
      </c>
      <c r="K50" s="259" t="n">
        <v>-1097000000</v>
      </c>
      <c r="L50" s="259" t="n">
        <v>-296000000</v>
      </c>
      <c r="M50" s="259" t="n">
        <v>46000000</v>
      </c>
      <c r="N50" s="259" t="n">
        <v>633000000</v>
      </c>
      <c r="O50" s="259" t="n">
        <v>-3000000</v>
      </c>
      <c r="P50" s="259" t="n">
        <v>190000000</v>
      </c>
      <c r="Q50" s="259" t="n">
        <v>-408000000</v>
      </c>
      <c r="R50" s="259" t="n">
        <v>-1623000000</v>
      </c>
      <c r="S50" s="259" t="n">
        <v>-4049000000</v>
      </c>
      <c r="T50" s="259" t="n">
        <v>-5828000000</v>
      </c>
      <c r="U50" s="259" t="n">
        <v>-8852000000</v>
      </c>
      <c r="V50" s="259" t="n">
        <v>-7603000000</v>
      </c>
      <c r="W50" s="259" t="n">
        <v>-6000000000</v>
      </c>
      <c r="X50" s="259" t="n">
        <v>-5991000000</v>
      </c>
      <c r="Y50" s="259" t="n">
        <v>-7036000000</v>
      </c>
      <c r="Z50" s="259" t="n">
        <v>-4402000000</v>
      </c>
      <c r="AA50" s="259" t="n">
        <v>-4839000000</v>
      </c>
      <c r="AB50" s="259" t="n">
        <v>-5012000000</v>
      </c>
      <c r="AC50" s="259" t="n">
        <v>-3228000000</v>
      </c>
      <c r="AD50" s="259" t="n">
        <v>-4800000000</v>
      </c>
      <c r="AE50" s="259" t="n">
        <v>-4086000000</v>
      </c>
      <c r="AF50" s="259" t="n">
        <v>-2127000000</v>
      </c>
      <c r="AG50" s="259" t="n">
        <v>-2054000000</v>
      </c>
      <c r="AH50" s="259" t="n">
        <v>-1916000000</v>
      </c>
      <c r="AI50" s="259" t="n">
        <v>-2180000000</v>
      </c>
      <c r="AJ50" s="259" t="n">
        <v>-2285000000</v>
      </c>
    </row>
    <row r="51">
      <c r="A51" t="n">
        <v>40</v>
      </c>
      <c r="B51" t="n">
        <v>1</v>
      </c>
      <c r="G51" t="inlineStr">
        <is>
          <t>moeda</t>
        </is>
      </c>
      <c r="H51" t="inlineStr">
        <is>
          <t>ConvertiblePreferredStockNonredeemableOrRedeemableIssuerOptionValue</t>
        </is>
      </c>
      <c r="J51" t="inlineStr">
        <is>
          <t>fonte</t>
        </is>
      </c>
      <c r="K51" s="259" t="n">
        <v>0</v>
      </c>
      <c r="L51" s="259" t="n">
        <v>0</v>
      </c>
      <c r="M51" s="259" t="n">
        <v>0</v>
      </c>
      <c r="N51" s="259" t="n">
        <v>0</v>
      </c>
      <c r="O51" s="259" t="n">
        <v>0</v>
      </c>
      <c r="P51" s="259" t="n">
        <v>0</v>
      </c>
      <c r="Q51" s="259" t="n">
        <v>0</v>
      </c>
      <c r="R51" s="259" t="n">
        <v>0</v>
      </c>
      <c r="S51" s="259" t="n">
        <v>0</v>
      </c>
      <c r="T51" s="259" t="n">
        <v>0</v>
      </c>
      <c r="U51" s="259" t="n">
        <v>0</v>
      </c>
      <c r="V51" s="259" t="n">
        <v>0</v>
      </c>
      <c r="W51" s="259" t="n">
        <v>0</v>
      </c>
      <c r="X51" s="259" t="n">
        <v>0</v>
      </c>
      <c r="Y51" s="259" t="n">
        <v>0</v>
      </c>
      <c r="Z51" s="259" t="n">
        <v>0</v>
      </c>
      <c r="AA51" s="259" t="n">
        <v>0</v>
      </c>
      <c r="AB51" s="259" t="n">
        <v>0</v>
      </c>
      <c r="AC51" s="259" t="n">
        <v>0</v>
      </c>
      <c r="AD51" s="259" t="n">
        <v>0</v>
      </c>
      <c r="AE51" s="259" t="n">
        <v>0</v>
      </c>
      <c r="AF51" s="259" t="n">
        <v>0</v>
      </c>
      <c r="AG51" s="259" t="n">
        <v>0</v>
      </c>
      <c r="AH51" s="259" t="n">
        <v>0</v>
      </c>
      <c r="AI51" s="259" t="n">
        <v>0</v>
      </c>
      <c r="AJ51" s="259" t="n">
        <v>18023000000</v>
      </c>
    </row>
    <row r="52">
      <c r="A52" t="n">
        <v>41</v>
      </c>
      <c r="B52" t="n">
        <v>1</v>
      </c>
      <c r="G52" t="inlineStr">
        <is>
          <t>moeda</t>
        </is>
      </c>
      <c r="H52" t="inlineStr">
        <is>
          <t>RetainedEarningsAccumulatedDeficit</t>
        </is>
      </c>
      <c r="J52" t="inlineStr">
        <is>
          <t>fonte</t>
        </is>
      </c>
      <c r="K52" s="259" t="n">
        <v>151068000000</v>
      </c>
      <c r="L52" s="259" t="n">
        <v>151681000000</v>
      </c>
      <c r="M52" s="259" t="n">
        <v>155567000000</v>
      </c>
      <c r="N52" s="259" t="n">
        <v>163401000000</v>
      </c>
      <c r="O52" s="259" t="n">
        <v>170580000000</v>
      </c>
      <c r="P52" s="259" t="n">
        <v>176939000000</v>
      </c>
      <c r="Q52" s="259" t="n">
        <v>183782000000</v>
      </c>
      <c r="R52" s="259" t="n">
        <v>191484000000</v>
      </c>
      <c r="S52" s="259" t="n">
        <v>195221000000</v>
      </c>
      <c r="T52" s="259" t="n">
        <v>196845000000</v>
      </c>
      <c r="U52" s="259" t="n">
        <v>196220000000</v>
      </c>
      <c r="V52" s="259" t="n">
        <v>195563000000</v>
      </c>
      <c r="W52" s="259" t="n">
        <v>196625000000</v>
      </c>
      <c r="X52" s="259" t="n">
        <v>200884000000</v>
      </c>
      <c r="Y52" s="259" t="n">
        <v>205647000000</v>
      </c>
      <c r="Z52" s="259" t="n">
        <v>211247000000</v>
      </c>
      <c r="AA52" s="259" t="n">
        <v>219770000000</v>
      </c>
      <c r="AB52" s="259" t="n">
        <v>226033000000</v>
      </c>
      <c r="AC52" s="259" t="n">
        <v>235317000000</v>
      </c>
      <c r="AD52" s="259" t="n">
        <v>245084000000</v>
      </c>
      <c r="AE52" s="259" t="n">
        <v>262628000000</v>
      </c>
      <c r="AF52" s="259" t="n">
        <v>275760000000</v>
      </c>
      <c r="AG52" s="259" t="n">
        <v>297226000000</v>
      </c>
      <c r="AH52" s="259" t="n">
        <v>324055000000</v>
      </c>
      <c r="AI52" s="259" t="n">
        <v>384024000000</v>
      </c>
      <c r="AJ52" s="259" t="n">
        <v>493371000000</v>
      </c>
    </row>
    <row r="53">
      <c r="H53" s="254" t="inlineStr">
        <is>
          <t>BALANÇO - totais divulgados (memória)</t>
        </is>
      </c>
    </row>
    <row r="54">
      <c r="G54" t="inlineStr">
        <is>
          <t>moeda</t>
        </is>
      </c>
      <c r="H54" t="inlineStr">
        <is>
          <t>Total do ativo [us-gaap:Assets]</t>
        </is>
      </c>
      <c r="J54" t="inlineStr">
        <is>
          <t>memoria</t>
        </is>
      </c>
      <c r="K54" s="259" t="n">
        <v>273403000000</v>
      </c>
      <c r="L54" s="259" t="n">
        <v>278492000000</v>
      </c>
      <c r="M54" s="259" t="n">
        <v>299243000000</v>
      </c>
      <c r="N54" s="259" t="n">
        <v>319616000000</v>
      </c>
      <c r="O54" s="259" t="n">
        <v>327095000000</v>
      </c>
      <c r="P54" s="259" t="n">
        <v>335387000000</v>
      </c>
      <c r="Q54" s="259" t="n">
        <v>347403000000</v>
      </c>
      <c r="R54" s="259" t="n">
        <v>359268000000</v>
      </c>
      <c r="S54" s="259" t="n">
        <v>357096000000</v>
      </c>
      <c r="T54" s="259" t="n">
        <v>355185000000</v>
      </c>
      <c r="U54" s="259" t="n">
        <v>358255000000</v>
      </c>
      <c r="V54" s="259" t="n">
        <v>365264000000</v>
      </c>
      <c r="W54" s="259" t="n">
        <v>369491000000</v>
      </c>
      <c r="X54" s="259" t="n">
        <v>383044000000</v>
      </c>
      <c r="Y54" s="259" t="n">
        <v>396711000000</v>
      </c>
      <c r="Z54" s="259" t="n">
        <v>402392000000</v>
      </c>
      <c r="AA54" s="259" t="n">
        <v>407350000000</v>
      </c>
      <c r="AB54" s="259" t="n">
        <v>414770000000</v>
      </c>
      <c r="AC54" s="259" t="n">
        <v>430266000000</v>
      </c>
      <c r="AD54" s="259" t="n">
        <v>450256000000</v>
      </c>
      <c r="AE54" s="259" t="n">
        <v>475374000000</v>
      </c>
      <c r="AF54" s="259" t="n">
        <v>502053000000</v>
      </c>
      <c r="AG54" s="259" t="n">
        <v>536469000000</v>
      </c>
      <c r="AH54" s="259" t="n">
        <v>595281000000</v>
      </c>
      <c r="AI54" s="259" t="n">
        <v>703919000000</v>
      </c>
      <c r="AJ54" s="259" t="n">
        <v>921983000000</v>
      </c>
    </row>
    <row r="55">
      <c r="G55" t="inlineStr">
        <is>
          <t>moeda</t>
        </is>
      </c>
      <c r="H55" t="inlineStr">
        <is>
          <t>Total do passivo + PL [us-gaap:LiabilitiesAndStockholdersEquity]</t>
        </is>
      </c>
      <c r="J55" t="inlineStr">
        <is>
          <t>memoria</t>
        </is>
      </c>
      <c r="K55" s="259" t="n">
        <v>273403000000</v>
      </c>
      <c r="L55" s="259" t="n">
        <v>278492000000</v>
      </c>
      <c r="M55" s="259" t="n">
        <v>299243000000</v>
      </c>
      <c r="N55" s="259" t="n">
        <v>319616000000</v>
      </c>
      <c r="O55" s="259" t="n">
        <v>327095000000</v>
      </c>
      <c r="P55" s="259" t="n">
        <v>335387000000</v>
      </c>
      <c r="Q55" s="259" t="n">
        <v>347403000000</v>
      </c>
      <c r="R55" s="259" t="n">
        <v>359268000000</v>
      </c>
      <c r="S55" s="259" t="n">
        <v>357096000000</v>
      </c>
      <c r="T55" s="259" t="n">
        <v>355185000000</v>
      </c>
      <c r="U55" s="259" t="n">
        <v>358255000000</v>
      </c>
      <c r="V55" s="259" t="n">
        <v>365264000000</v>
      </c>
      <c r="W55" s="259" t="n">
        <v>369491000000</v>
      </c>
      <c r="X55" s="259" t="n">
        <v>383044000000</v>
      </c>
      <c r="Y55" s="259" t="n">
        <v>396711000000</v>
      </c>
      <c r="Z55" s="259" t="n">
        <v>402392000000</v>
      </c>
      <c r="AA55" s="259" t="n">
        <v>407350000000</v>
      </c>
      <c r="AB55" s="259" t="n">
        <v>414770000000</v>
      </c>
      <c r="AC55" s="259" t="n">
        <v>430266000000</v>
      </c>
      <c r="AD55" s="259" t="n">
        <v>450256000000</v>
      </c>
      <c r="AE55" s="259" t="n">
        <v>475374000000</v>
      </c>
      <c r="AF55" s="259" t="n">
        <v>502053000000</v>
      </c>
      <c r="AG55" s="259" t="n">
        <v>536469000000</v>
      </c>
      <c r="AH55" s="259" t="n">
        <v>595281000000</v>
      </c>
      <c r="AI55" s="259" t="n">
        <v>703919000000</v>
      </c>
      <c r="AJ55" s="259" t="n">
        <v>921983000000</v>
      </c>
    </row>
    <row r="56">
      <c r="H56" s="254" t="inlineStr">
        <is>
          <t>CHECKS (devem ser 0)</t>
        </is>
      </c>
    </row>
    <row r="57">
      <c r="G57" t="inlineStr">
        <is>
          <t>moeda</t>
        </is>
      </c>
      <c r="H57" t="inlineStr">
        <is>
          <t>CHECK: contas de ativo - ativo total (USD, arredondado a 100 mil)</t>
        </is>
      </c>
      <c r="J57" t="inlineStr">
        <is>
          <t>derivada</t>
        </is>
      </c>
      <c r="K57" s="260">
        <f>ROUND(N(K21)+N(K22)+N(K23)+N(K24)+N(K25)+N(K26)+N(K27)+N(K28)+N(K29)+N(K30)+N(K31)+N(K32)+N(K33)+N(K34)+N(K35)-N(K54),-5)</f>
        <v>0</v>
      </c>
      <c r="L57" s="260">
        <f>ROUND(N(L21)+N(L22)+N(L23)+N(L24)+N(L25)+N(L26)+N(L27)+N(L28)+N(L29)+N(L30)+N(L31)+N(L32)+N(L33)+N(L34)+N(L35)-N(L54),-5)</f>
        <v>0</v>
      </c>
      <c r="M57" s="260">
        <f>ROUND(N(M21)+N(M22)+N(M23)+N(M24)+N(M25)+N(M26)+N(M27)+N(M28)+N(M29)+N(M30)+N(M31)+N(M32)+N(M33)+N(M34)+N(M35)-N(M54),-5)</f>
        <v>0</v>
      </c>
      <c r="N57" s="260">
        <f>ROUND(N(N21)+N(N22)+N(N23)+N(N24)+N(N25)+N(N26)+N(N27)+N(N28)+N(N29)+N(N30)+N(N31)+N(N32)+N(N33)+N(N34)+N(N35)-N(N54),-5)</f>
        <v>0</v>
      </c>
      <c r="O57" s="260">
        <f>ROUND(N(O21)+N(O22)+N(O23)+N(O24)+N(O25)+N(O26)+N(O27)+N(O28)+N(O29)+N(O30)+N(O31)+N(O32)+N(O33)+N(O34)+N(O35)-N(O54),-5)</f>
        <v>0</v>
      </c>
      <c r="P57" s="260">
        <f>ROUND(N(P21)+N(P22)+N(P23)+N(P24)+N(P25)+N(P26)+N(P27)+N(P28)+N(P29)+N(P30)+N(P31)+N(P32)+N(P33)+N(P34)+N(P35)-N(P54),-5)</f>
        <v>0</v>
      </c>
      <c r="Q57" s="260">
        <f>ROUND(N(Q21)+N(Q22)+N(Q23)+N(Q24)+N(Q25)+N(Q26)+N(Q27)+N(Q28)+N(Q29)+N(Q30)+N(Q31)+N(Q32)+N(Q33)+N(Q34)+N(Q35)-N(Q54),-5)</f>
        <v>0</v>
      </c>
      <c r="R57" s="260">
        <f>ROUND(N(R21)+N(R22)+N(R23)+N(R24)+N(R25)+N(R26)+N(R27)+N(R28)+N(R29)+N(R30)+N(R31)+N(R32)+N(R33)+N(R34)+N(R35)-N(R54),-5)</f>
        <v>0</v>
      </c>
      <c r="S57" s="260">
        <f>ROUND(N(S21)+N(S22)+N(S23)+N(S24)+N(S25)+N(S26)+N(S27)+N(S28)+N(S29)+N(S30)+N(S31)+N(S32)+N(S33)+N(S34)+N(S35)-N(S54),-5)</f>
        <v>0</v>
      </c>
      <c r="T57" s="260">
        <f>ROUND(N(T21)+N(T22)+N(T23)+N(T24)+N(T25)+N(T26)+N(T27)+N(T28)+N(T29)+N(T30)+N(T31)+N(T32)+N(T33)+N(T34)+N(T35)-N(T54),-5)</f>
        <v>0</v>
      </c>
      <c r="U57" s="260">
        <f>ROUND(N(U21)+N(U22)+N(U23)+N(U24)+N(U25)+N(U26)+N(U27)+N(U28)+N(U29)+N(U30)+N(U31)+N(U32)+N(U33)+N(U34)+N(U35)-N(U54),-5)</f>
        <v>0</v>
      </c>
      <c r="V57" s="260">
        <f>ROUND(N(V21)+N(V22)+N(V23)+N(V24)+N(V25)+N(V26)+N(V27)+N(V28)+N(V29)+N(V30)+N(V31)+N(V32)+N(V33)+N(V34)+N(V35)-N(V54),-5)</f>
        <v>0</v>
      </c>
      <c r="W57" s="260">
        <f>ROUND(N(W21)+N(W22)+N(W23)+N(W24)+N(W25)+N(W26)+N(W27)+N(W28)+N(W29)+N(W30)+N(W31)+N(W32)+N(W33)+N(W34)+N(W35)-N(W54),-5)</f>
        <v>0</v>
      </c>
      <c r="X57" s="260">
        <f>ROUND(N(X21)+N(X22)+N(X23)+N(X24)+N(X25)+N(X26)+N(X27)+N(X28)+N(X29)+N(X30)+N(X31)+N(X32)+N(X33)+N(X34)+N(X35)-N(X54),-5)</f>
        <v>0</v>
      </c>
      <c r="Y57" s="260">
        <f>ROUND(N(Y21)+N(Y22)+N(Y23)+N(Y24)+N(Y25)+N(Y26)+N(Y27)+N(Y28)+N(Y29)+N(Y30)+N(Y31)+N(Y32)+N(Y33)+N(Y34)+N(Y35)-N(Y54),-5)</f>
        <v>0</v>
      </c>
      <c r="Z57" s="260">
        <f>ROUND(N(Z21)+N(Z22)+N(Z23)+N(Z24)+N(Z25)+N(Z26)+N(Z27)+N(Z28)+N(Z29)+N(Z30)+N(Z31)+N(Z32)+N(Z33)+N(Z34)+N(Z35)-N(Z54),-5)</f>
        <v>0</v>
      </c>
      <c r="AA57" s="260">
        <f>ROUND(N(AA21)+N(AA22)+N(AA23)+N(AA24)+N(AA25)+N(AA26)+N(AA27)+N(AA28)+N(AA29)+N(AA30)+N(AA31)+N(AA32)+N(AA33)+N(AA34)+N(AA35)-N(AA54),-5)</f>
        <v>0</v>
      </c>
      <c r="AB57" s="260">
        <f>ROUND(N(AB21)+N(AB22)+N(AB23)+N(AB24)+N(AB25)+N(AB26)+N(AB27)+N(AB28)+N(AB29)+N(AB30)+N(AB31)+N(AB32)+N(AB33)+N(AB34)+N(AB35)-N(AB54),-5)</f>
        <v>0</v>
      </c>
      <c r="AC57" s="260">
        <f>ROUND(N(AC21)+N(AC22)+N(AC23)+N(AC24)+N(AC25)+N(AC26)+N(AC27)+N(AC28)+N(AC29)+N(AC30)+N(AC31)+N(AC32)+N(AC33)+N(AC34)+N(AC35)-N(AC54),-5)</f>
        <v>0</v>
      </c>
      <c r="AD57" s="260">
        <f>ROUND(N(AD21)+N(AD22)+N(AD23)+N(AD24)+N(AD25)+N(AD26)+N(AD27)+N(AD28)+N(AD29)+N(AD30)+N(AD31)+N(AD32)+N(AD33)+N(AD34)+N(AD35)-N(AD54),-5)</f>
        <v>0</v>
      </c>
      <c r="AE57" s="260">
        <f>ROUND(N(AE21)+N(AE22)+N(AE23)+N(AE24)+N(AE25)+N(AE26)+N(AE27)+N(AE28)+N(AE29)+N(AE30)+N(AE31)+N(AE32)+N(AE33)+N(AE34)+N(AE35)-N(AE54),-5)</f>
        <v>0</v>
      </c>
      <c r="AF57" s="260">
        <f>ROUND(N(AF21)+N(AF22)+N(AF23)+N(AF24)+N(AF25)+N(AF26)+N(AF27)+N(AF28)+N(AF29)+N(AF30)+N(AF31)+N(AF32)+N(AF33)+N(AF34)+N(AF35)-N(AF54),-5)</f>
        <v>0</v>
      </c>
      <c r="AG57" s="260">
        <f>ROUND(N(AG21)+N(AG22)+N(AG23)+N(AG24)+N(AG25)+N(AG26)+N(AG27)+N(AG28)+N(AG29)+N(AG30)+N(AG31)+N(AG32)+N(AG33)+N(AG34)+N(AG35)-N(AG54),-5)</f>
        <v>0</v>
      </c>
      <c r="AH57" s="260">
        <f>ROUND(N(AH21)+N(AH22)+N(AH23)+N(AH24)+N(AH25)+N(AH26)+N(AH27)+N(AH28)+N(AH29)+N(AH30)+N(AH31)+N(AH32)+N(AH33)+N(AH34)+N(AH35)-N(AH54),-5)</f>
        <v>0</v>
      </c>
      <c r="AI57" s="260">
        <f>ROUND(N(AI21)+N(AI22)+N(AI23)+N(AI24)+N(AI25)+N(AI26)+N(AI27)+N(AI28)+N(AI29)+N(AI30)+N(AI31)+N(AI32)+N(AI33)+N(AI34)+N(AI35)-N(AI54),-5)</f>
        <v>0</v>
      </c>
      <c r="AJ57" s="260">
        <f>ROUND(N(AJ21)+N(AJ22)+N(AJ23)+N(AJ24)+N(AJ25)+N(AJ26)+N(AJ27)+N(AJ28)+N(AJ29)+N(AJ30)+N(AJ31)+N(AJ32)+N(AJ33)+N(AJ34)+N(AJ35)-N(AJ54),-5)</f>
        <v>0</v>
      </c>
    </row>
    <row r="58">
      <c r="G58" t="inlineStr">
        <is>
          <t>moeda</t>
        </is>
      </c>
      <c r="H58" t="inlineStr">
        <is>
          <t>CHECK: passivo + PL (contas) - passivo + PL total</t>
        </is>
      </c>
      <c r="J58" t="inlineStr">
        <is>
          <t>derivada</t>
        </is>
      </c>
      <c r="K58" s="260">
        <f>ROUND(N(K36)+N(K37)+N(K38)+N(K39)+N(K40)+N(K41)+N(K42)+N(K43)+N(K44)+N(K45)+N(K46)+N(K47)+N(K48)+N(K49)+N(K50)+N(K51)+N(K52)-N(K55),-5)</f>
        <v>0</v>
      </c>
      <c r="L58" s="260">
        <f>ROUND(N(L36)+N(L37)+N(L38)+N(L39)+N(L40)+N(L41)+N(L42)+N(L43)+N(L44)+N(L45)+N(L46)+N(L47)+N(L48)+N(L49)+N(L50)+N(L51)+N(L52)-N(L55),-5)</f>
        <v>0</v>
      </c>
      <c r="M58" s="260">
        <f>ROUND(N(M36)+N(M37)+N(M38)+N(M39)+N(M40)+N(M41)+N(M42)+N(M43)+N(M44)+N(M45)+N(M46)+N(M47)+N(M48)+N(M49)+N(M50)+N(M51)+N(M52)-N(M55),-5)</f>
        <v>0</v>
      </c>
      <c r="N58" s="260">
        <f>ROUND(N(N36)+N(N37)+N(N38)+N(N39)+N(N40)+N(N41)+N(N42)+N(N43)+N(N44)+N(N45)+N(N46)+N(N47)+N(N48)+N(N49)+N(N50)+N(N51)+N(N52)-N(N55),-5)</f>
        <v>0</v>
      </c>
      <c r="O58" s="260">
        <f>ROUND(N(O36)+N(O37)+N(O38)+N(O39)+N(O40)+N(O41)+N(O42)+N(O43)+N(O44)+N(O45)+N(O46)+N(O47)+N(O48)+N(O49)+N(O50)+N(O51)+N(O52)-N(O55),-5)</f>
        <v>0</v>
      </c>
      <c r="P58" s="260">
        <f>ROUND(N(P36)+N(P37)+N(P38)+N(P39)+N(P40)+N(P41)+N(P42)+N(P43)+N(P44)+N(P45)+N(P46)+N(P47)+N(P48)+N(P49)+N(P50)+N(P51)+N(P52)-N(P55),-5)</f>
        <v>0</v>
      </c>
      <c r="Q58" s="260">
        <f>ROUND(N(Q36)+N(Q37)+N(Q38)+N(Q39)+N(Q40)+N(Q41)+N(Q42)+N(Q43)+N(Q44)+N(Q45)+N(Q46)+N(Q47)+N(Q48)+N(Q49)+N(Q50)+N(Q51)+N(Q52)-N(Q55),-5)</f>
        <v>0</v>
      </c>
      <c r="R58" s="260">
        <f>ROUND(N(R36)+N(R37)+N(R38)+N(R39)+N(R40)+N(R41)+N(R42)+N(R43)+N(R44)+N(R45)+N(R46)+N(R47)+N(R48)+N(R49)+N(R50)+N(R51)+N(R52)-N(R55),-5)</f>
        <v>0</v>
      </c>
      <c r="S58" s="260">
        <f>ROUND(N(S36)+N(S37)+N(S38)+N(S39)+N(S40)+N(S41)+N(S42)+N(S43)+N(S44)+N(S45)+N(S46)+N(S47)+N(S48)+N(S49)+N(S50)+N(S51)+N(S52)-N(S55),-5)</f>
        <v>0</v>
      </c>
      <c r="T58" s="260">
        <f>ROUND(N(T36)+N(T37)+N(T38)+N(T39)+N(T40)+N(T41)+N(T42)+N(T43)+N(T44)+N(T45)+N(T46)+N(T47)+N(T48)+N(T49)+N(T50)+N(T51)+N(T52)-N(T55),-5)</f>
        <v>0</v>
      </c>
      <c r="U58" s="260">
        <f>ROUND(N(U36)+N(U37)+N(U38)+N(U39)+N(U40)+N(U41)+N(U42)+N(U43)+N(U44)+N(U45)+N(U46)+N(U47)+N(U48)+N(U49)+N(U50)+N(U51)+N(U52)-N(U55),-5)</f>
        <v>0</v>
      </c>
      <c r="V58" s="260">
        <f>ROUND(N(V36)+N(V37)+N(V38)+N(V39)+N(V40)+N(V41)+N(V42)+N(V43)+N(V44)+N(V45)+N(V46)+N(V47)+N(V48)+N(V49)+N(V50)+N(V51)+N(V52)-N(V55),-5)</f>
        <v>0</v>
      </c>
      <c r="W58" s="260">
        <f>ROUND(N(W36)+N(W37)+N(W38)+N(W39)+N(W40)+N(W41)+N(W42)+N(W43)+N(W44)+N(W45)+N(W46)+N(W47)+N(W48)+N(W49)+N(W50)+N(W51)+N(W52)-N(W55),-5)</f>
        <v>0</v>
      </c>
      <c r="X58" s="260">
        <f>ROUND(N(X36)+N(X37)+N(X38)+N(X39)+N(X40)+N(X41)+N(X42)+N(X43)+N(X44)+N(X45)+N(X46)+N(X47)+N(X48)+N(X49)+N(X50)+N(X51)+N(X52)-N(X55),-5)</f>
        <v>0</v>
      </c>
      <c r="Y58" s="260">
        <f>ROUND(N(Y36)+N(Y37)+N(Y38)+N(Y39)+N(Y40)+N(Y41)+N(Y42)+N(Y43)+N(Y44)+N(Y45)+N(Y46)+N(Y47)+N(Y48)+N(Y49)+N(Y50)+N(Y51)+N(Y52)-N(Y55),-5)</f>
        <v>0</v>
      </c>
      <c r="Z58" s="260">
        <f>ROUND(N(Z36)+N(Z37)+N(Z38)+N(Z39)+N(Z40)+N(Z41)+N(Z42)+N(Z43)+N(Z44)+N(Z45)+N(Z46)+N(Z47)+N(Z48)+N(Z49)+N(Z50)+N(Z51)+N(Z52)-N(Z55),-5)</f>
        <v>0</v>
      </c>
      <c r="AA58" s="260">
        <f>ROUND(N(AA36)+N(AA37)+N(AA38)+N(AA39)+N(AA40)+N(AA41)+N(AA42)+N(AA43)+N(AA44)+N(AA45)+N(AA46)+N(AA47)+N(AA48)+N(AA49)+N(AA50)+N(AA51)+N(AA52)-N(AA55),-5)</f>
        <v>0</v>
      </c>
      <c r="AB58" s="260">
        <f>ROUND(N(AB36)+N(AB37)+N(AB38)+N(AB39)+N(AB40)+N(AB41)+N(AB42)+N(AB43)+N(AB44)+N(AB45)+N(AB46)+N(AB47)+N(AB48)+N(AB49)+N(AB50)+N(AB51)+N(AB52)-N(AB55),-5)</f>
        <v>0</v>
      </c>
      <c r="AC58" s="260">
        <f>ROUND(N(AC36)+N(AC37)+N(AC38)+N(AC39)+N(AC40)+N(AC41)+N(AC42)+N(AC43)+N(AC44)+N(AC45)+N(AC46)+N(AC47)+N(AC48)+N(AC49)+N(AC50)+N(AC51)+N(AC52)-N(AC55),-5)</f>
        <v>0</v>
      </c>
      <c r="AD58" s="260">
        <f>ROUND(N(AD36)+N(AD37)+N(AD38)+N(AD39)+N(AD40)+N(AD41)+N(AD42)+N(AD43)+N(AD44)+N(AD45)+N(AD46)+N(AD47)+N(AD48)+N(AD49)+N(AD50)+N(AD51)+N(AD52)-N(AD55),-5)</f>
        <v>0</v>
      </c>
      <c r="AE58" s="260">
        <f>ROUND(N(AE36)+N(AE37)+N(AE38)+N(AE39)+N(AE40)+N(AE41)+N(AE42)+N(AE43)+N(AE44)+N(AE45)+N(AE46)+N(AE47)+N(AE48)+N(AE49)+N(AE50)+N(AE51)+N(AE52)-N(AE55),-5)</f>
        <v>0</v>
      </c>
      <c r="AF58" s="260">
        <f>ROUND(N(AF36)+N(AF37)+N(AF38)+N(AF39)+N(AF40)+N(AF41)+N(AF42)+N(AF43)+N(AF44)+N(AF45)+N(AF46)+N(AF47)+N(AF48)+N(AF49)+N(AF50)+N(AF51)+N(AF52)-N(AF55),-5)</f>
        <v>0</v>
      </c>
      <c r="AG58" s="260">
        <f>ROUND(N(AG36)+N(AG37)+N(AG38)+N(AG39)+N(AG40)+N(AG41)+N(AG42)+N(AG43)+N(AG44)+N(AG45)+N(AG46)+N(AG47)+N(AG48)+N(AG49)+N(AG50)+N(AG51)+N(AG52)-N(AG55),-5)</f>
        <v>0</v>
      </c>
      <c r="AH58" s="260">
        <f>ROUND(N(AH36)+N(AH37)+N(AH38)+N(AH39)+N(AH40)+N(AH41)+N(AH42)+N(AH43)+N(AH44)+N(AH45)+N(AH46)+N(AH47)+N(AH48)+N(AH49)+N(AH50)+N(AH51)+N(AH52)-N(AH55),-5)</f>
        <v>0</v>
      </c>
      <c r="AI58" s="260">
        <f>ROUND(N(AI36)+N(AI37)+N(AI38)+N(AI39)+N(AI40)+N(AI41)+N(AI42)+N(AI43)+N(AI44)+N(AI45)+N(AI46)+N(AI47)+N(AI48)+N(AI49)+N(AI50)+N(AI51)+N(AI52)-N(AI55),-5)</f>
        <v>0</v>
      </c>
      <c r="AJ58" s="260">
        <f>ROUND(N(AJ36)+N(AJ37)+N(AJ38)+N(AJ39)+N(AJ40)+N(AJ41)+N(AJ42)+N(AJ43)+N(AJ44)+N(AJ45)+N(AJ46)+N(AJ47)+N(AJ48)+N(AJ49)+N(AJ50)+N(AJ51)+N(AJ52)-N(AJ55),-5)</f>
        <v>0</v>
      </c>
    </row>
    <row r="59">
      <c r="H59" t="inlineStr">
        <is>
          <t>CHECK: receita - custo - despesas + não operacional - IR - minoritários + outros após IR - lucro (deve ser 0)</t>
        </is>
      </c>
      <c r="J59" t="inlineStr">
        <is>
          <t>derivada</t>
        </is>
      </c>
      <c r="K59">
        <f>ROUND(N(K6)-N(K7)-N(K9)+N(K11)-N(K13)+N(K15)-N(K16),-5)</f>
        <v>0</v>
      </c>
      <c r="L59">
        <f>ROUND(N(L6)-N(L7)-N(L9)+N(L11)-N(L13)+N(L15)-N(L16),-5)</f>
        <v>0</v>
      </c>
      <c r="M59">
        <f>ROUND(N(M6)-N(M7)-N(M9)+N(M11)-N(M13)+N(M15)-N(M16),-5)</f>
        <v>0</v>
      </c>
      <c r="N59">
        <f>ROUND(N(N6)-N(N7)-N(N9)+N(N11)-N(N13)+N(N15)-N(N16),-5)</f>
        <v>0</v>
      </c>
      <c r="O59">
        <f>ROUND(N(O6)-N(O7)-N(O9)+N(O11)-N(O13)+N(O15)-N(O16),-5)</f>
        <v>0</v>
      </c>
      <c r="P59">
        <f>ROUND(N(P6)-N(P7)-N(P9)+N(P11)-N(P13)+N(P15)-N(P16),-5)</f>
        <v>0</v>
      </c>
      <c r="Q59">
        <f>ROUND(N(Q6)-N(Q7)-N(Q9)+N(Q11)-N(Q13)+N(Q15)-N(Q16),-5)</f>
        <v>0</v>
      </c>
      <c r="R59">
        <f>ROUND(N(R6)-N(R7)-N(R9)+N(R11)-N(R13)+N(R15)-N(R16),-5)</f>
        <v>0</v>
      </c>
      <c r="S59">
        <f>ROUND(N(S6)-N(S7)-N(S9)+N(S11)-N(S13)+N(S15)-N(S16),-5)</f>
        <v>0</v>
      </c>
      <c r="T59">
        <f>ROUND(N(T6)-N(T7)-N(T9)+N(T11)-N(T13)+N(T15)-N(T16),-5)</f>
        <v>0</v>
      </c>
      <c r="U59">
        <f>ROUND(N(U6)-N(U7)-N(U9)+N(U11)-N(U13)+N(U15)-N(U16),-5)</f>
        <v>0</v>
      </c>
      <c r="V59">
        <f>ROUND(N(V6)-N(V7)-N(V9)+N(V11)-N(V13)+N(V15)-N(V16),-5)</f>
        <v>0</v>
      </c>
      <c r="W59">
        <f>ROUND(N(W6)-N(W7)-N(W9)+N(W11)-N(W13)+N(W15)-N(W16),-5)</f>
        <v>0</v>
      </c>
      <c r="X59">
        <f>ROUND(N(X6)-N(X7)-N(X9)+N(X11)-N(X13)+N(X15)-N(X16),-5)</f>
        <v>0</v>
      </c>
      <c r="Y59">
        <f>ROUND(N(Y6)-N(Y7)-N(Y9)+N(Y11)-N(Y13)+N(Y15)-N(Y16),-5)</f>
        <v>0</v>
      </c>
      <c r="Z59">
        <f>ROUND(N(Z6)-N(Z7)-N(Z9)+N(Z11)-N(Z13)+N(Z15)-N(Z16),-5)</f>
        <v>0</v>
      </c>
      <c r="AA59">
        <f>ROUND(N(AA6)-N(AA7)-N(AA9)+N(AA11)-N(AA13)+N(AA15)-N(AA16),-5)</f>
        <v>0</v>
      </c>
      <c r="AB59">
        <f>ROUND(N(AB6)-N(AB7)-N(AB9)+N(AB11)-N(AB13)+N(AB15)-N(AB16),-5)</f>
        <v>0</v>
      </c>
      <c r="AC59">
        <f>ROUND(N(AC6)-N(AC7)-N(AC9)+N(AC11)-N(AC13)+N(AC15)-N(AC16),-5)</f>
        <v>0</v>
      </c>
      <c r="AD59">
        <f>ROUND(N(AD6)-N(AD7)-N(AD9)+N(AD11)-N(AD13)+N(AD15)-N(AD16),-5)</f>
        <v>0</v>
      </c>
      <c r="AE59">
        <f>ROUND(N(AE6)-N(AE7)-N(AE9)+N(AE11)-N(AE13)+N(AE15)-N(AE16),-5)</f>
        <v>0</v>
      </c>
      <c r="AF59">
        <f>ROUND(N(AF6)-N(AF7)-N(AF9)+N(AF11)-N(AF13)+N(AF15)-N(AF16),-5)</f>
        <v>0</v>
      </c>
      <c r="AG59">
        <f>ROUND(N(AG6)-N(AG7)-N(AG9)+N(AG11)-N(AG13)+N(AG15)-N(AG16),-5)</f>
        <v>0</v>
      </c>
      <c r="AH59">
        <f>ROUND(N(AH6)-N(AH7)-N(AH9)+N(AH11)-N(AH13)+N(AH15)-N(AH16),-5)</f>
        <v>0</v>
      </c>
      <c r="AI59">
        <f>ROUND(N(AI6)-N(AI7)-N(AI9)+N(AI11)-N(AI13)+N(AI15)-N(AI16),-5)</f>
        <v>0</v>
      </c>
      <c r="AJ59">
        <f>ROUND(N(AJ6)-N(AJ7)-N(AJ9)+N(AJ11)-N(AJ13)+N(AJ15)-N(AJ16),-5)</f>
        <v>0</v>
      </c>
    </row>
    <row r="61">
      <c r="H61" s="254" t="inlineStr">
        <is>
          <t>DRIVERS DE RECEITA (codigos 45+): receita por tipo (Search, YouTube, Network, Subscriptions, Cloud, Other Bets), segmentos (receita e lucro operacional) e regiões - SEC XBRL (USD, fator 0,000001).</t>
        </is>
      </c>
    </row>
    <row r="62">
      <c r="A62" t="n">
        <v>45</v>
      </c>
      <c r="B62" t="n">
        <v>1</v>
      </c>
      <c r="G62" t="inlineStr">
        <is>
          <t>moeda</t>
        </is>
      </c>
      <c r="H62" t="inlineStr">
        <is>
          <t>Receita Google Search &amp; other (USD)</t>
        </is>
      </c>
      <c r="J62" t="inlineStr">
        <is>
          <t>fonte</t>
        </is>
      </c>
      <c r="K62" s="262" t="n">
        <v>24502000000</v>
      </c>
      <c r="L62" s="262" t="n">
        <v>21319000000</v>
      </c>
      <c r="M62" s="262" t="n">
        <v>26338000000</v>
      </c>
      <c r="N62" s="262" t="n">
        <v>31903000000</v>
      </c>
      <c r="O62" s="262" t="n">
        <v>31879000000</v>
      </c>
      <c r="P62" s="262" t="n">
        <v>35845000000</v>
      </c>
      <c r="Q62" s="262" t="n">
        <v>37926000000</v>
      </c>
      <c r="R62" s="262" t="n">
        <v>43301000000</v>
      </c>
      <c r="S62" s="262" t="n">
        <v>39618000000</v>
      </c>
      <c r="T62" s="262" t="n">
        <v>40689000000</v>
      </c>
      <c r="U62" s="262" t="n">
        <v>39539000000</v>
      </c>
      <c r="V62" s="262" t="n">
        <v>42604000000</v>
      </c>
      <c r="W62" s="262" t="n">
        <v>40359000000</v>
      </c>
      <c r="X62" s="262" t="n">
        <v>42628000000</v>
      </c>
      <c r="Y62" s="262" t="n">
        <v>44026000000</v>
      </c>
      <c r="Z62" s="262" t="n">
        <v>48020000000</v>
      </c>
      <c r="AA62" s="262" t="n">
        <v>46156000000</v>
      </c>
      <c r="AB62" s="262" t="n">
        <v>48509000000</v>
      </c>
      <c r="AC62" s="262" t="n">
        <v>49385000000</v>
      </c>
      <c r="AD62" s="262" t="n">
        <v>54034000000</v>
      </c>
      <c r="AE62" s="262" t="n">
        <v>50702000000</v>
      </c>
      <c r="AF62" s="262" t="n">
        <v>54190000000</v>
      </c>
      <c r="AG62" s="262" t="n">
        <v>56567000000</v>
      </c>
      <c r="AH62" s="262" t="n">
        <v>63073000000</v>
      </c>
      <c r="AI62" s="262" t="n">
        <v>60399000000</v>
      </c>
      <c r="AJ62" s="262" t="n">
        <v>63271000000</v>
      </c>
    </row>
    <row r="63">
      <c r="A63" t="n">
        <v>46</v>
      </c>
      <c r="B63" t="n">
        <v>1</v>
      </c>
      <c r="G63" t="inlineStr">
        <is>
          <t>moeda</t>
        </is>
      </c>
      <c r="H63" t="inlineStr">
        <is>
          <t>Receita YouTube ads (USD)</t>
        </is>
      </c>
      <c r="J63" t="inlineStr">
        <is>
          <t>fonte</t>
        </is>
      </c>
      <c r="K63" s="262" t="n">
        <v>4038000000</v>
      </c>
      <c r="L63" s="262" t="n">
        <v>3812000000</v>
      </c>
      <c r="M63" s="262" t="n">
        <v>5037000000</v>
      </c>
      <c r="N63" s="262" t="n">
        <v>6885000000</v>
      </c>
      <c r="O63" s="262" t="n">
        <v>6005000000</v>
      </c>
      <c r="P63" s="262" t="n">
        <v>7002000000</v>
      </c>
      <c r="Q63" s="262" t="n">
        <v>7205000000</v>
      </c>
      <c r="R63" s="262" t="n">
        <v>8633000000</v>
      </c>
      <c r="S63" s="262" t="n">
        <v>6869000000</v>
      </c>
      <c r="T63" s="262" t="n">
        <v>7340000000</v>
      </c>
      <c r="U63" s="262" t="n">
        <v>7071000000</v>
      </c>
      <c r="V63" s="262" t="n">
        <v>7963000000</v>
      </c>
      <c r="W63" s="262" t="n">
        <v>6693000000</v>
      </c>
      <c r="X63" s="262" t="n">
        <v>7665000000</v>
      </c>
      <c r="Y63" s="262" t="n">
        <v>7952000000</v>
      </c>
      <c r="Z63" s="262" t="n">
        <v>9200000000</v>
      </c>
      <c r="AA63" s="262" t="n">
        <v>8090000000</v>
      </c>
      <c r="AB63" s="262" t="n">
        <v>8663000000</v>
      </c>
      <c r="AC63" s="262" t="n">
        <v>8921000000</v>
      </c>
      <c r="AD63" s="262" t="n">
        <v>10473000000</v>
      </c>
      <c r="AE63" s="262" t="n">
        <v>8927000000</v>
      </c>
      <c r="AF63" s="262" t="n">
        <v>9796000000</v>
      </c>
      <c r="AG63" s="262" t="n">
        <v>10261000000</v>
      </c>
      <c r="AH63" s="262" t="n">
        <v>11383000000</v>
      </c>
      <c r="AI63" s="262" t="n">
        <v>9883000000</v>
      </c>
      <c r="AJ63" s="262" t="n">
        <v>11055000000</v>
      </c>
    </row>
    <row r="64">
      <c r="A64" t="n">
        <v>47</v>
      </c>
      <c r="B64" t="n">
        <v>1</v>
      </c>
      <c r="G64" t="inlineStr">
        <is>
          <t>moeda</t>
        </is>
      </c>
      <c r="H64" t="inlineStr">
        <is>
          <t>Receita Google Network (USD)</t>
        </is>
      </c>
      <c r="J64" t="inlineStr">
        <is>
          <t>fonte</t>
        </is>
      </c>
      <c r="K64" s="262" t="n">
        <v>5223000000</v>
      </c>
      <c r="L64" s="262" t="n">
        <v>4736000000</v>
      </c>
      <c r="M64" s="262" t="n">
        <v>5720000000</v>
      </c>
      <c r="N64" s="262" t="n">
        <v>7411000000</v>
      </c>
      <c r="O64" s="262" t="n">
        <v>6800000000</v>
      </c>
      <c r="P64" s="262" t="n">
        <v>7597000000</v>
      </c>
      <c r="Q64" s="262" t="n">
        <v>7999000000</v>
      </c>
      <c r="R64" s="262" t="n">
        <v>9305000000</v>
      </c>
      <c r="S64" s="262" t="n">
        <v>8174000000</v>
      </c>
      <c r="T64" s="262" t="n">
        <v>8259000000</v>
      </c>
      <c r="U64" s="262" t="n">
        <v>7872000000</v>
      </c>
      <c r="V64" s="262" t="n">
        <v>8475000000</v>
      </c>
      <c r="W64" s="262" t="n">
        <v>7496000000</v>
      </c>
      <c r="X64" s="262" t="n">
        <v>7850000000</v>
      </c>
      <c r="Y64" s="262" t="n">
        <v>7669000000</v>
      </c>
      <c r="Z64" s="262" t="n">
        <v>8297000000</v>
      </c>
      <c r="AA64" s="262" t="n">
        <v>7413000000</v>
      </c>
      <c r="AB64" s="262" t="n">
        <v>7444000000</v>
      </c>
      <c r="AC64" s="262" t="n">
        <v>7548000000</v>
      </c>
      <c r="AD64" s="262" t="n">
        <v>7954000000</v>
      </c>
      <c r="AE64" s="262" t="n">
        <v>7256000000</v>
      </c>
      <c r="AF64" s="262" t="n">
        <v>7354000000</v>
      </c>
      <c r="AG64" s="262" t="n">
        <v>7354000000</v>
      </c>
      <c r="AH64" s="262" t="n">
        <v>7828000000</v>
      </c>
      <c r="AI64" s="262" t="n">
        <v>6971000000</v>
      </c>
      <c r="AJ64" s="262" t="n">
        <v>7303000000</v>
      </c>
    </row>
    <row r="65">
      <c r="A65" t="n">
        <v>48</v>
      </c>
      <c r="B65" t="n">
        <v>1</v>
      </c>
      <c r="G65" t="inlineStr">
        <is>
          <t>moeda</t>
        </is>
      </c>
      <c r="H65" t="inlineStr">
        <is>
          <t>Receita Google subscriptions, platforms and devices (USD; até 2021 "Google other")</t>
        </is>
      </c>
      <c r="J65" t="inlineStr">
        <is>
          <t>fonte</t>
        </is>
      </c>
      <c r="K65" s="262" t="n">
        <v>4435000000</v>
      </c>
      <c r="L65" s="262" t="n">
        <v>5124000000</v>
      </c>
      <c r="M65" s="262" t="n">
        <v>5478000000</v>
      </c>
      <c r="N65" s="262" t="n">
        <v>6674000000</v>
      </c>
      <c r="O65" s="262" t="n">
        <v>6494000000</v>
      </c>
      <c r="P65" s="262" t="n">
        <v>6623000000</v>
      </c>
      <c r="Q65" s="262" t="n">
        <v>6754000000</v>
      </c>
      <c r="R65" s="262" t="n">
        <v>8161000000</v>
      </c>
      <c r="S65" s="262" t="n">
        <v>6811000000</v>
      </c>
      <c r="T65" s="262" t="n">
        <v>6553000000</v>
      </c>
      <c r="U65" s="262" t="n">
        <v>6895000000</v>
      </c>
      <c r="V65" s="262" t="n">
        <v>8796000000</v>
      </c>
      <c r="W65" s="262" t="n">
        <v>7413000000</v>
      </c>
      <c r="X65" s="262" t="n">
        <v>8142000000</v>
      </c>
      <c r="Y65" s="262" t="n">
        <v>8339000000</v>
      </c>
      <c r="Z65" s="262" t="n">
        <v>10794000000</v>
      </c>
      <c r="AA65" s="262" t="n">
        <v>8739000000</v>
      </c>
      <c r="AB65" s="262" t="n">
        <v>9312000000</v>
      </c>
      <c r="AC65" s="262" t="n">
        <v>10656000000</v>
      </c>
      <c r="AD65" s="262" t="n">
        <v>11633000000</v>
      </c>
      <c r="AE65" s="262" t="n">
        <v>10379000000</v>
      </c>
      <c r="AF65" s="262" t="n">
        <v>11203000000</v>
      </c>
      <c r="AG65" s="262" t="n">
        <v>12870000000</v>
      </c>
      <c r="AH65" s="262" t="n">
        <v>13578000000</v>
      </c>
      <c r="AI65" s="262" t="n">
        <v>12384000000</v>
      </c>
      <c r="AJ65" s="262" t="n">
        <v>12911000000</v>
      </c>
    </row>
    <row r="66">
      <c r="A66" t="n">
        <v>49</v>
      </c>
      <c r="B66" t="n">
        <v>1</v>
      </c>
      <c r="G66" t="inlineStr">
        <is>
          <t>moeda</t>
        </is>
      </c>
      <c r="H66" t="inlineStr">
        <is>
          <t>Segmento Google Services - receita (USD)</t>
        </is>
      </c>
      <c r="J66" t="inlineStr">
        <is>
          <t>fonte</t>
        </is>
      </c>
      <c r="K66" s="262" t="n">
        <v>38198000000</v>
      </c>
      <c r="L66" s="262" t="n">
        <v>34991000000</v>
      </c>
      <c r="M66" s="262" t="n">
        <v>42573000000</v>
      </c>
      <c r="N66" s="262" t="n">
        <v>52873000000</v>
      </c>
      <c r="O66" s="262" t="n">
        <v>51178000000</v>
      </c>
      <c r="P66" s="262" t="n">
        <v>57067000000</v>
      </c>
      <c r="Q66" s="262" t="n">
        <v>59884000000</v>
      </c>
      <c r="R66" s="262" t="n">
        <v>69400000000</v>
      </c>
      <c r="S66" s="262" t="n">
        <v>61472000000</v>
      </c>
      <c r="T66" s="262" t="n">
        <v>62841000000</v>
      </c>
      <c r="U66" s="262" t="n">
        <v>61377000000</v>
      </c>
      <c r="V66" s="262" t="n">
        <v>67838000000</v>
      </c>
      <c r="W66" s="262" t="n">
        <v>61961000000</v>
      </c>
      <c r="X66" s="262" t="n">
        <v>66285000000</v>
      </c>
      <c r="Y66" s="262" t="n">
        <v>67986000000</v>
      </c>
      <c r="Z66" s="262" t="n">
        <v>76311000000</v>
      </c>
      <c r="AA66" s="262" t="n">
        <v>70398000000</v>
      </c>
      <c r="AB66" s="262" t="n">
        <v>73928000000</v>
      </c>
      <c r="AC66" s="262" t="n">
        <v>76510000000</v>
      </c>
      <c r="AD66" s="262" t="n">
        <v>84094000000</v>
      </c>
      <c r="AE66" s="262" t="n">
        <v>77264000000</v>
      </c>
      <c r="AF66" s="262" t="n">
        <v>82543000000</v>
      </c>
      <c r="AG66" s="262" t="n">
        <v>87052000000</v>
      </c>
      <c r="AH66" s="262" t="n">
        <v>95862000000</v>
      </c>
      <c r="AI66" s="262" t="n">
        <v>89637000000</v>
      </c>
      <c r="AJ66" s="262" t="n">
        <v>94540000000</v>
      </c>
    </row>
    <row r="67">
      <c r="A67" t="n">
        <v>50</v>
      </c>
      <c r="B67" t="n">
        <v>1</v>
      </c>
      <c r="G67" t="inlineStr">
        <is>
          <t>moeda</t>
        </is>
      </c>
      <c r="H67" t="inlineStr">
        <is>
          <t>Segmento Google Cloud - receita (USD)</t>
        </is>
      </c>
      <c r="J67" t="inlineStr">
        <is>
          <t>fonte</t>
        </is>
      </c>
      <c r="K67" s="262" t="n">
        <v>2777000000</v>
      </c>
      <c r="L67" s="262" t="n">
        <v>3007000000</v>
      </c>
      <c r="M67" s="262" t="n">
        <v>3444000000</v>
      </c>
      <c r="N67" s="262" t="n">
        <v>3831000000</v>
      </c>
      <c r="O67" s="262" t="n">
        <v>4047000000</v>
      </c>
      <c r="P67" s="262" t="n">
        <v>4628000000</v>
      </c>
      <c r="Q67" s="262" t="n">
        <v>4990000000</v>
      </c>
      <c r="R67" s="262" t="n">
        <v>5541000000</v>
      </c>
      <c r="S67" s="262" t="n">
        <v>5821000000</v>
      </c>
      <c r="T67" s="262" t="n">
        <v>6276000000</v>
      </c>
      <c r="U67" s="262" t="n">
        <v>6868000000</v>
      </c>
      <c r="V67" s="262" t="n">
        <v>7315000000</v>
      </c>
      <c r="W67" s="262" t="n">
        <v>7454000000</v>
      </c>
      <c r="X67" s="262" t="n">
        <v>8031000000</v>
      </c>
      <c r="Y67" s="262" t="n">
        <v>8411000000</v>
      </c>
      <c r="Z67" s="262" t="n">
        <v>9192000000</v>
      </c>
      <c r="AA67" s="262" t="n">
        <v>9574000000</v>
      </c>
      <c r="AB67" s="262" t="n">
        <v>10347000000</v>
      </c>
      <c r="AC67" s="262" t="n">
        <v>11353000000</v>
      </c>
      <c r="AD67" s="262" t="n">
        <v>11955000000</v>
      </c>
      <c r="AE67" s="262" t="n">
        <v>12260000000</v>
      </c>
      <c r="AF67" s="262" t="n">
        <v>13624000000</v>
      </c>
      <c r="AG67" s="262" t="n">
        <v>15157000000</v>
      </c>
      <c r="AH67" s="262" t="n">
        <v>17664000000</v>
      </c>
      <c r="AI67" s="262" t="n">
        <v>20028000000</v>
      </c>
      <c r="AJ67" s="262" t="n">
        <v>24768000000</v>
      </c>
    </row>
    <row r="68">
      <c r="A68" t="n">
        <v>51</v>
      </c>
      <c r="B68" t="n">
        <v>1</v>
      </c>
      <c r="G68" t="inlineStr">
        <is>
          <t>moeda</t>
        </is>
      </c>
      <c r="H68" t="inlineStr">
        <is>
          <t>Segmento Other Bets - receita (USD)</t>
        </is>
      </c>
      <c r="J68" t="inlineStr">
        <is>
          <t>fonte</t>
        </is>
      </c>
      <c r="K68" s="262" t="n">
        <v>135000000</v>
      </c>
      <c r="L68" s="262" t="n">
        <v>148000000</v>
      </c>
      <c r="M68" s="262" t="n">
        <v>178000000</v>
      </c>
      <c r="N68" s="262" t="n">
        <v>196000000</v>
      </c>
      <c r="O68" s="262" t="n">
        <v>198000000</v>
      </c>
      <c r="P68" s="262" t="n">
        <v>192000000</v>
      </c>
      <c r="Q68" s="262" t="n">
        <v>182000000</v>
      </c>
      <c r="R68" s="262" t="n">
        <v>181000000</v>
      </c>
      <c r="S68" s="262" t="n">
        <v>440000000</v>
      </c>
      <c r="T68" s="262" t="n">
        <v>193000000</v>
      </c>
      <c r="U68" s="262" t="n">
        <v>209000000</v>
      </c>
      <c r="V68" s="262" t="n">
        <v>226000000</v>
      </c>
      <c r="W68" s="262" t="n">
        <v>288000000</v>
      </c>
      <c r="X68" s="262" t="n">
        <v>285000000</v>
      </c>
      <c r="Y68" s="262" t="n">
        <v>297000000</v>
      </c>
      <c r="Z68" s="262" t="n">
        <v>657000000</v>
      </c>
      <c r="AA68" s="262" t="n">
        <v>495000000</v>
      </c>
      <c r="AB68" s="262" t="n">
        <v>365000000</v>
      </c>
      <c r="AC68" s="262" t="n">
        <v>388000000</v>
      </c>
      <c r="AD68" s="262" t="n">
        <v>400000000</v>
      </c>
      <c r="AE68" s="262" t="n">
        <v>450000000</v>
      </c>
      <c r="AF68" s="262" t="n">
        <v>373000000</v>
      </c>
      <c r="AG68" s="262" t="n">
        <v>344000000</v>
      </c>
      <c r="AH68" s="262" t="n">
        <v>370000000</v>
      </c>
      <c r="AI68" s="262" t="n">
        <v>411000000</v>
      </c>
      <c r="AJ68" s="262" t="n">
        <v>382000000</v>
      </c>
    </row>
    <row r="69">
      <c r="A69" t="n">
        <v>52</v>
      </c>
      <c r="B69" t="n">
        <v>1</v>
      </c>
      <c r="G69" t="inlineStr">
        <is>
          <t>moeda</t>
        </is>
      </c>
      <c r="H69" t="inlineStr">
        <is>
          <t>Google Services - lucro operacional (USD)</t>
        </is>
      </c>
      <c r="J69" t="inlineStr">
        <is>
          <t>fonte</t>
        </is>
      </c>
      <c r="K69" s="262" t="n">
        <v>11548000000</v>
      </c>
      <c r="L69" s="262" t="n">
        <v>9539000000</v>
      </c>
      <c r="M69" s="262" t="n">
        <v>14453000000</v>
      </c>
      <c r="N69" s="262" t="n">
        <v>19066000000</v>
      </c>
      <c r="O69" s="262" t="n">
        <v>19546000000</v>
      </c>
      <c r="P69" s="262" t="n">
        <v>22343000000</v>
      </c>
      <c r="Q69" s="262" t="n">
        <v>23973000000</v>
      </c>
      <c r="R69" s="262" t="n">
        <v>22270000000</v>
      </c>
      <c r="S69" s="262" t="n">
        <v>22920000000</v>
      </c>
      <c r="T69" s="262" t="n">
        <v>22770000000</v>
      </c>
      <c r="U69" s="262" t="n">
        <v>19781000000</v>
      </c>
      <c r="V69" s="262" t="n">
        <v>17228000000</v>
      </c>
      <c r="W69" s="262" t="n">
        <v>21737000000</v>
      </c>
      <c r="X69" s="262" t="n">
        <v>23454000000</v>
      </c>
      <c r="Y69" s="262" t="n">
        <v>23937000000</v>
      </c>
      <c r="Z69" s="262" t="n">
        <v>26730000000</v>
      </c>
      <c r="AA69" s="262" t="n">
        <v>27897000000</v>
      </c>
      <c r="AB69" s="262" t="n">
        <v>29674000000</v>
      </c>
      <c r="AC69" s="262" t="n">
        <v>30856000000</v>
      </c>
      <c r="AD69" s="262" t="n">
        <v>32836000000</v>
      </c>
      <c r="AE69" s="262" t="n">
        <v>32682000000</v>
      </c>
      <c r="AF69" s="262" t="n">
        <v>33063000000</v>
      </c>
      <c r="AG69" s="262" t="n">
        <v>33527000000</v>
      </c>
      <c r="AH69" s="262" t="n">
        <v>40132000000</v>
      </c>
      <c r="AI69" s="262" t="n">
        <v>40589000000</v>
      </c>
      <c r="AJ69" s="262" t="n">
        <v>39544000000</v>
      </c>
    </row>
    <row r="70">
      <c r="A70" t="n">
        <v>53</v>
      </c>
      <c r="B70" t="n">
        <v>1</v>
      </c>
      <c r="G70" t="inlineStr">
        <is>
          <t>moeda</t>
        </is>
      </c>
      <c r="H70" t="inlineStr">
        <is>
          <t>Google Cloud - lucro operacional (USD)</t>
        </is>
      </c>
      <c r="J70" t="inlineStr">
        <is>
          <t>fonte</t>
        </is>
      </c>
      <c r="K70" s="262" t="n">
        <v>-1730000000</v>
      </c>
      <c r="L70" s="262" t="n">
        <v>-1426000000</v>
      </c>
      <c r="M70" s="262" t="n">
        <v>-1208000000</v>
      </c>
      <c r="N70" s="262" t="n">
        <v>-1243000000</v>
      </c>
      <c r="O70" s="262" t="n">
        <v>-974000000</v>
      </c>
      <c r="P70" s="262" t="n">
        <v>-591000000</v>
      </c>
      <c r="Q70" s="262" t="n">
        <v>-644000000</v>
      </c>
      <c r="R70" s="262" t="n">
        <v>-73000000</v>
      </c>
      <c r="S70" s="262" t="n">
        <v>-931000000</v>
      </c>
      <c r="T70" s="262" t="n">
        <v>-858000000</v>
      </c>
      <c r="U70" s="262" t="n">
        <v>-699000000</v>
      </c>
      <c r="V70" s="262" t="n">
        <v>566000000</v>
      </c>
      <c r="W70" s="262" t="n">
        <v>191000000</v>
      </c>
      <c r="X70" s="262" t="n">
        <v>395000000</v>
      </c>
      <c r="Y70" s="262" t="n">
        <v>266000000</v>
      </c>
      <c r="Z70" s="262" t="n">
        <v>864000000</v>
      </c>
      <c r="AA70" s="262" t="n">
        <v>900000000</v>
      </c>
      <c r="AB70" s="262" t="n">
        <v>1172000000</v>
      </c>
      <c r="AC70" s="262" t="n">
        <v>1947000000</v>
      </c>
      <c r="AD70" s="262" t="n">
        <v>2093000000</v>
      </c>
      <c r="AE70" s="262" t="n">
        <v>2177000000</v>
      </c>
      <c r="AF70" s="262" t="n">
        <v>2826000000</v>
      </c>
      <c r="AG70" s="262" t="n">
        <v>3594000000</v>
      </c>
      <c r="AH70" s="262" t="n">
        <v>5313000000</v>
      </c>
      <c r="AI70" s="262" t="n">
        <v>6598000000</v>
      </c>
      <c r="AJ70" s="262" t="n">
        <v>8814000000</v>
      </c>
    </row>
    <row r="71">
      <c r="A71" t="n">
        <v>54</v>
      </c>
      <c r="B71" t="n">
        <v>1</v>
      </c>
      <c r="G71" t="inlineStr">
        <is>
          <t>moeda</t>
        </is>
      </c>
      <c r="H71" t="inlineStr">
        <is>
          <t>Other Bets - lucro operacional (USD)</t>
        </is>
      </c>
      <c r="J71" t="inlineStr">
        <is>
          <t>fonte</t>
        </is>
      </c>
      <c r="K71" s="262" t="n">
        <v>-1121000000</v>
      </c>
      <c r="L71" s="262" t="n">
        <v>-1116000000</v>
      </c>
      <c r="M71" s="262" t="n">
        <v>-1103000000</v>
      </c>
      <c r="N71" s="262" t="n">
        <v>-1136000000</v>
      </c>
      <c r="O71" s="262" t="n">
        <v>-1145000000</v>
      </c>
      <c r="P71" s="262" t="n">
        <v>-1398000000</v>
      </c>
      <c r="Q71" s="262" t="n">
        <v>-1288000000</v>
      </c>
      <c r="R71" s="262" t="n">
        <v>-220000000</v>
      </c>
      <c r="S71" s="262" t="n">
        <v>-835000000</v>
      </c>
      <c r="T71" s="262" t="n">
        <v>-1339000000</v>
      </c>
      <c r="U71" s="262" t="n">
        <v>-1225000000</v>
      </c>
      <c r="V71" s="262" t="n">
        <v>-1237000000</v>
      </c>
      <c r="W71" s="262" t="n">
        <v>-1225000000</v>
      </c>
      <c r="X71" s="262" t="n">
        <v>-813000000</v>
      </c>
      <c r="Y71" s="262" t="n">
        <v>-1194000000</v>
      </c>
      <c r="Z71" s="262" t="n">
        <v>-863000000</v>
      </c>
      <c r="AA71" s="262" t="n">
        <v>-1020000000</v>
      </c>
      <c r="AB71" s="262" t="n">
        <v>-1134000000</v>
      </c>
      <c r="AC71" s="262" t="n">
        <v>-1116000000</v>
      </c>
      <c r="AD71" s="262" t="n">
        <v>-1174000000</v>
      </c>
      <c r="AE71" s="262" t="n">
        <v>-1226000000</v>
      </c>
      <c r="AF71" s="262" t="n">
        <v>-1246000000</v>
      </c>
      <c r="AG71" s="262" t="n">
        <v>-1426000000</v>
      </c>
      <c r="AH71" s="262" t="n">
        <v>-3617000000</v>
      </c>
      <c r="AI71" s="262" t="n">
        <v>-2100000000</v>
      </c>
      <c r="AJ71" s="262" t="n">
        <v>-1799000000</v>
      </c>
    </row>
    <row r="72">
      <c r="A72" t="n">
        <v>55</v>
      </c>
      <c r="B72" t="n">
        <v>1</v>
      </c>
      <c r="G72" t="inlineStr">
        <is>
          <t>moeda</t>
        </is>
      </c>
      <c r="H72" t="inlineStr">
        <is>
          <t>Alphabet-level activities - resultado operacional (USD)</t>
        </is>
      </c>
      <c r="J72" t="inlineStr">
        <is>
          <t>fonte</t>
        </is>
      </c>
      <c r="K72" s="262" t="n">
        <v>-720000000</v>
      </c>
      <c r="L72" s="262" t="n">
        <v>-614000000</v>
      </c>
      <c r="M72" s="262" t="n">
        <v>-929000000</v>
      </c>
      <c r="N72" s="262" t="n">
        <v>-1036000000</v>
      </c>
      <c r="O72" s="262" t="n">
        <v>-990000000</v>
      </c>
      <c r="P72" s="262" t="n">
        <v>-993000000</v>
      </c>
      <c r="Q72" s="262" t="n">
        <v>-1010000000</v>
      </c>
      <c r="R72" s="262" t="n">
        <v>-92000000</v>
      </c>
      <c r="S72" s="262" t="n">
        <v>-338000000</v>
      </c>
      <c r="T72" s="262" t="n">
        <v>-239000000</v>
      </c>
      <c r="U72" s="262" t="n">
        <v>-83000000</v>
      </c>
      <c r="V72" s="262" t="n">
        <v>-639000000</v>
      </c>
      <c r="W72" s="262" t="n">
        <v>-3288000000</v>
      </c>
      <c r="X72" s="262" t="n">
        <v>-1198000000</v>
      </c>
      <c r="Y72" s="262" t="n">
        <v>-1666000000</v>
      </c>
      <c r="Z72" s="262" t="n">
        <v>-3034000000</v>
      </c>
      <c r="AA72" s="262" t="n">
        <v>-2305000000</v>
      </c>
      <c r="AB72" s="262" t="n">
        <v>-2287000000</v>
      </c>
      <c r="AC72" s="262" t="n">
        <v>-3166000000</v>
      </c>
      <c r="AD72" s="262" t="n">
        <v>-2783000000</v>
      </c>
      <c r="AE72" s="262" t="n">
        <v>-3027000000</v>
      </c>
      <c r="AF72" s="262" t="n">
        <v>-3372000000</v>
      </c>
      <c r="AG72" s="262" t="n">
        <v>-4467000000</v>
      </c>
      <c r="AH72" s="262" t="n">
        <v>-5894000000</v>
      </c>
      <c r="AI72" s="262" t="n">
        <v>-5391000000</v>
      </c>
      <c r="AJ72" s="262" t="n">
        <v>-5789000000</v>
      </c>
    </row>
    <row r="73">
      <c r="A73" t="n">
        <v>56</v>
      </c>
      <c r="B73" t="n">
        <v>1</v>
      </c>
      <c r="G73" t="inlineStr">
        <is>
          <t>moeda</t>
        </is>
      </c>
      <c r="H73" t="inlineStr">
        <is>
          <t>Receita Estados Unidos (USD)</t>
        </is>
      </c>
      <c r="J73" t="inlineStr">
        <is>
          <t>fonte</t>
        </is>
      </c>
      <c r="K73" s="262" t="n">
        <v>18870000000</v>
      </c>
      <c r="L73" s="262" t="n">
        <v>17999000000</v>
      </c>
      <c r="M73" s="262" t="n">
        <v>21442000000</v>
      </c>
      <c r="N73" s="262" t="n">
        <v>26703000000</v>
      </c>
      <c r="O73" s="262" t="n">
        <v>25032000000</v>
      </c>
      <c r="P73" s="262" t="n">
        <v>28208000000</v>
      </c>
      <c r="Q73" s="262" t="n">
        <v>29824000000</v>
      </c>
      <c r="R73" s="262" t="n">
        <v>34790000000</v>
      </c>
      <c r="S73" s="262" t="n">
        <v>31733000000</v>
      </c>
      <c r="T73" s="262" t="n">
        <v>32727000000</v>
      </c>
      <c r="U73" s="262" t="n">
        <v>33372000000</v>
      </c>
      <c r="V73" s="262" t="n">
        <v>36982000000</v>
      </c>
      <c r="W73" s="262" t="n">
        <v>32864000000</v>
      </c>
      <c r="X73" s="262" t="n">
        <v>35073000000</v>
      </c>
      <c r="Y73" s="262" t="n">
        <v>36354000000</v>
      </c>
      <c r="Z73" s="262" t="n">
        <v>41995000000</v>
      </c>
      <c r="AA73" s="262" t="n">
        <v>38737000000</v>
      </c>
      <c r="AB73" s="262" t="n">
        <v>41196000000</v>
      </c>
      <c r="AC73" s="262" t="n">
        <v>43139000000</v>
      </c>
      <c r="AD73" s="262" t="n">
        <v>47375000000</v>
      </c>
      <c r="AE73" s="262" t="n">
        <v>43964000000</v>
      </c>
      <c r="AF73" s="262" t="n">
        <v>46063000000</v>
      </c>
      <c r="AG73" s="262" t="n">
        <v>48758000000</v>
      </c>
      <c r="AH73" s="262" t="n">
        <v>55444000000</v>
      </c>
      <c r="AI73" s="262" t="n">
        <v>53975000000</v>
      </c>
      <c r="AJ73" s="262" t="n">
        <v>60846000000</v>
      </c>
    </row>
    <row r="74">
      <c r="A74" t="n">
        <v>57</v>
      </c>
      <c r="B74" t="n">
        <v>1</v>
      </c>
      <c r="G74" t="inlineStr">
        <is>
          <t>moeda</t>
        </is>
      </c>
      <c r="H74" t="inlineStr">
        <is>
          <t>Receita EMEA (USD)</t>
        </is>
      </c>
      <c r="J74" t="inlineStr">
        <is>
          <t>fonte</t>
        </is>
      </c>
      <c r="K74" s="262" t="n">
        <v>12845000000</v>
      </c>
      <c r="L74" s="262" t="n">
        <v>11363000000</v>
      </c>
      <c r="M74" s="262" t="n">
        <v>13924000000</v>
      </c>
      <c r="N74" s="262" t="n">
        <v>17238000000</v>
      </c>
      <c r="O74" s="262" t="n">
        <v>17031000000</v>
      </c>
      <c r="P74" s="262" t="n">
        <v>19084000000</v>
      </c>
      <c r="Q74" s="262" t="n">
        <v>19839000000</v>
      </c>
      <c r="R74" s="262" t="n">
        <v>23153000000</v>
      </c>
      <c r="S74" s="262" t="n">
        <v>20317000000</v>
      </c>
      <c r="T74" s="262" t="n">
        <v>20533000000</v>
      </c>
      <c r="U74" s="262" t="n">
        <v>19450000000</v>
      </c>
      <c r="V74" s="262" t="n">
        <v>21762000000</v>
      </c>
      <c r="W74" s="262" t="n">
        <v>21078000000</v>
      </c>
      <c r="X74" s="262" t="n">
        <v>22289000000</v>
      </c>
      <c r="Y74" s="262" t="n">
        <v>22661000000</v>
      </c>
      <c r="Z74" s="262" t="n">
        <v>25010000000</v>
      </c>
      <c r="AA74" s="262" t="n">
        <v>23788000000</v>
      </c>
      <c r="AB74" s="262" t="n">
        <v>24683000000</v>
      </c>
      <c r="AC74" s="262" t="n">
        <v>25472000000</v>
      </c>
      <c r="AD74" s="262" t="n">
        <v>28184000000</v>
      </c>
      <c r="AE74" s="262" t="n">
        <v>25923000000</v>
      </c>
      <c r="AF74" s="262" t="n">
        <v>28262000000</v>
      </c>
      <c r="AG74" s="262" t="n">
        <v>29911000000</v>
      </c>
      <c r="AH74" s="262" t="n">
        <v>33056000000</v>
      </c>
      <c r="AI74" s="262" t="n">
        <v>31468000000</v>
      </c>
      <c r="AJ74" s="262" t="n">
        <v>32501000000</v>
      </c>
    </row>
    <row r="75">
      <c r="A75" t="n">
        <v>58</v>
      </c>
      <c r="B75" t="n">
        <v>1</v>
      </c>
      <c r="G75" t="inlineStr">
        <is>
          <t>moeda</t>
        </is>
      </c>
      <c r="H75" t="inlineStr">
        <is>
          <t>Receita APAC (USD)</t>
        </is>
      </c>
      <c r="J75" t="inlineStr">
        <is>
          <t>fonte</t>
        </is>
      </c>
      <c r="K75" s="262" t="n">
        <v>7238000000</v>
      </c>
      <c r="L75" s="262" t="n">
        <v>6945000000</v>
      </c>
      <c r="M75" s="262" t="n">
        <v>8458000000</v>
      </c>
      <c r="N75" s="262" t="n">
        <v>9909000000</v>
      </c>
      <c r="O75" s="262" t="n">
        <v>10455000000</v>
      </c>
      <c r="P75" s="262" t="n">
        <v>11231000000</v>
      </c>
      <c r="Q75" s="262" t="n">
        <v>11705000000</v>
      </c>
      <c r="R75" s="262" t="n">
        <v>12732000000</v>
      </c>
      <c r="S75" s="262" t="n">
        <v>11841000000</v>
      </c>
      <c r="T75" s="262" t="n">
        <v>11710000000</v>
      </c>
      <c r="U75" s="262" t="n">
        <v>11494000000</v>
      </c>
      <c r="V75" s="262" t="n">
        <v>11979000000</v>
      </c>
      <c r="W75" s="262" t="n">
        <v>11681000000</v>
      </c>
      <c r="X75" s="262" t="n">
        <v>12728000000</v>
      </c>
      <c r="Y75" s="262" t="n">
        <v>13126000000</v>
      </c>
      <c r="Z75" s="262" t="n">
        <v>13979000000</v>
      </c>
      <c r="AA75" s="262" t="n">
        <v>13289000000</v>
      </c>
      <c r="AB75" s="262" t="n">
        <v>13823000000</v>
      </c>
      <c r="AC75" s="262" t="n">
        <v>14547000000</v>
      </c>
      <c r="AD75" s="262" t="n">
        <v>15156000000</v>
      </c>
      <c r="AE75" s="262" t="n">
        <v>14854000000</v>
      </c>
      <c r="AF75" s="262" t="n">
        <v>16480000000</v>
      </c>
      <c r="AG75" s="262" t="n">
        <v>17819000000</v>
      </c>
      <c r="AH75" s="262" t="n">
        <v>18527000000</v>
      </c>
      <c r="AI75" s="262" t="n">
        <v>18288000000</v>
      </c>
      <c r="AJ75" s="262" t="n">
        <v>19317000000</v>
      </c>
    </row>
    <row r="76">
      <c r="A76" t="n">
        <v>59</v>
      </c>
      <c r="B76" t="n">
        <v>1</v>
      </c>
      <c r="G76" t="inlineStr">
        <is>
          <t>moeda</t>
        </is>
      </c>
      <c r="H76" t="inlineStr">
        <is>
          <t>Receita Outras Américas (USD)</t>
        </is>
      </c>
      <c r="J76" t="inlineStr">
        <is>
          <t>fonte</t>
        </is>
      </c>
      <c r="K76" s="262" t="n">
        <v>2157000000</v>
      </c>
      <c r="L76" s="262" t="n">
        <v>1839000000</v>
      </c>
      <c r="M76" s="262" t="n">
        <v>2371000000</v>
      </c>
      <c r="N76" s="262" t="n">
        <v>3050000000</v>
      </c>
      <c r="O76" s="262" t="n">
        <v>2905000000</v>
      </c>
      <c r="P76" s="262" t="n">
        <v>3364000000</v>
      </c>
      <c r="Q76" s="262" t="n">
        <v>3688000000</v>
      </c>
      <c r="R76" s="262" t="n">
        <v>4447000000</v>
      </c>
      <c r="S76" s="262" t="n">
        <v>3842000000</v>
      </c>
      <c r="T76" s="262" t="n">
        <v>4340000000</v>
      </c>
      <c r="U76" s="262" t="n">
        <v>4138000000</v>
      </c>
      <c r="V76" s="262" t="n">
        <v>4656000000</v>
      </c>
      <c r="W76" s="262" t="n">
        <v>4080000000</v>
      </c>
      <c r="X76" s="262" t="n">
        <v>4511000000</v>
      </c>
      <c r="Y76" s="262" t="n">
        <v>4553000000</v>
      </c>
      <c r="Z76" s="262" t="n">
        <v>5176000000</v>
      </c>
      <c r="AA76" s="262" t="n">
        <v>4653000000</v>
      </c>
      <c r="AB76" s="262" t="n">
        <v>4938000000</v>
      </c>
      <c r="AC76" s="262" t="n">
        <v>5093000000</v>
      </c>
      <c r="AD76" s="262" t="n">
        <v>5734000000</v>
      </c>
      <c r="AE76" s="262" t="n">
        <v>5233000000</v>
      </c>
      <c r="AF76" s="262" t="n">
        <v>5735000000</v>
      </c>
      <c r="AG76" s="262" t="n">
        <v>6065000000</v>
      </c>
      <c r="AH76" s="262" t="n">
        <v>6869000000</v>
      </c>
      <c r="AI76" s="262" t="n">
        <v>6345000000</v>
      </c>
      <c r="AJ76" s="262" t="n">
        <v>7026000000</v>
      </c>
    </row>
    <row r="77">
      <c r="H77" t="inlineStr">
        <is>
          <t>Notas: valores dimensionais das instâncias XBRL; trimestre sem 3M publicado = acumulado do ano menos o acumulado anterior. Os nomes dos membros mudaram ao longo do tempo (GoogleInc, GoogleServicesMember, GoogleServicesSegmentMember) e foram costurados.</t>
        </is>
      </c>
    </row>
    <row r="113">
      <c r="H113" s="254" t="inlineStr">
        <is>
          <t>CONVENCOES</t>
        </is>
      </c>
    </row>
    <row r="114">
      <c r="H114" t="inlineStr">
        <is>
          <t>Linhas de origem: 5 a 77. As formulas da Inputs (2) varrem as linhas 5 a 110; as linhas 78 a 110 estao livres para novas contas.</t>
        </is>
      </c>
    </row>
    <row r="115">
      <c r="H115" t="inlineStr">
        <is>
          <t>Periodos: colunas K a AJ = trimestres-calendário 1Q20 a 2Q26 (linha 2: trimestre fiscal correspondente).</t>
        </is>
      </c>
    </row>
    <row r="116">
      <c r="H116" t="inlineStr">
        <is>
          <t>Brutos em USD unidades: fator da célula B1 = 0,000001 converte para USD milhões nas linhas UNID = moeda.</t>
        </is>
      </c>
    </row>
    <row r="117">
      <c r="H117" t="inlineStr">
        <is>
          <t>ORIGEM: fonte = copiado da SEC; memoria = como divulgado, sem codigo; derivada = formula nesta aba ou desacumulado na extração.</t>
        </is>
      </c>
    </row>
    <row r="118">
      <c r="H118" t="inlineStr">
        <is>
          <t>Balanço: contas de face sem mapeamento específico vão para "outros" do seu bloco (ativo circulante 16, não circulante 22, passivo circulante 26, não circulante 34, PL 40).</t>
        </is>
      </c>
    </row>
    <row r="119">
      <c r="H119" t="inlineStr">
        <is>
          <t>Codigos 45 a 59: drivers de receita (memoria); alimentam o bloco logo abaixo da receita liquida no Model.</t>
        </is>
      </c>
    </row>
    <row r="123">
      <c r="H123" s="254" t="n"/>
    </row>
    <row r="124"/>
    <row r="125"/>
    <row r="126"/>
    <row r="127"/>
    <row r="128"/>
    <row r="129"/>
    <row r="130"/>
    <row r="131"/>
    <row r="132"/>
    <row r="133"/>
    <row r="13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59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7" t="inlineStr">
        <is>
          <t>3Q26</t>
        </is>
      </c>
      <c r="AF2" s="257" t="inlineStr">
        <is>
          <t>4Q26</t>
        </is>
      </c>
      <c r="AG2" s="258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$110=$B4)*ISNUMBER(INDEX(Inputs!$K$5:$AJ$110,0,MATCH(D$2,Inputs!$K$4:$AJ$4,0))))+SUMPRODUCT((Inputs!$C$5:$C$110=$B4)*ISNUMBER(INDEX(Inputs!$K$5:$AJ$110,0,MATCH(D$2,Inputs!$K$4:$AJ$4,0))))+SUMPRODUCT((Inputs!$E$5:$E$110=$B4)*ISNUMBER(INDEX(Inputs!$K$5:$AJ$110,0,MATCH(D$2,Inputs!$K$4:$AJ$4,0))))=0,NA(),SUMPRODUCT((Inputs!$A$5:$A$110=$B4)*Inputs!$B$5:$B$110*(((Inputs!$G$5:$G$110="moeda")+(Inputs!$G$5:$G$110="acoes"))*Inputs!$B$1+((Inputs!$G$5:$G$110&lt;&gt;"moeda")*(Inputs!$G$5:$G$110&lt;&gt;"acoes")))*INDEX(Inputs!$K$5:$AJ$110,0,MATCH(D$2,Inputs!$K$4:$AJ$4,0)))+SUMPRODUCT((Inputs!$C$5:$C$110=$B4)*Inputs!$D$5:$D$110*(((Inputs!$G$5:$G$110="moeda")+(Inputs!$G$5:$G$110="acoes"))*Inputs!$B$1+((Inputs!$G$5:$G$110&lt;&gt;"moeda")*(Inputs!$G$5:$G$110&lt;&gt;"acoes")))*INDEX(Inputs!$K$5:$AJ$110,0,MATCH(D$2,Inputs!$K$4:$AJ$4,0)))+SUMPRODUCT((Inputs!$E$5:$E$110=$B4)*Inputs!$F$5:$F$110*(((Inputs!$G$5:$G$110="moeda")+(Inputs!$G$5:$G$110="acoes"))*Inputs!$B$1+((Inputs!$G$5:$G$110&lt;&gt;"moeda")*(Inputs!$G$5:$G$110&lt;&gt;"acoes")))*INDEX(Inputs!$K$5:$AJ$110,0,MATCH(D$2,Inputs!$K$4:$AJ$4,0)))))</f>
        <v>55314</v>
      </c>
      <c r="E4" s="6">
        <f>IF(ISNA(MATCH(E$2,Inputs!$K$4:$AJ$4,0)),NA(),IF(SUMPRODUCT((Inputs!$A$5:$A$110=$B4)*ISNUMBER(INDEX(Inputs!$K$5:$AJ$110,0,MATCH(E$2,Inputs!$K$4:$AJ$4,0))))+SUMPRODUCT((Inputs!$C$5:$C$110=$B4)*ISNUMBER(INDEX(Inputs!$K$5:$AJ$110,0,MATCH(E$2,Inputs!$K$4:$AJ$4,0))))+SUMPRODUCT((Inputs!$E$5:$E$110=$B4)*ISNUMBER(INDEX(Inputs!$K$5:$AJ$110,0,MATCH(E$2,Inputs!$K$4:$AJ$4,0))))=0,NA(),SUMPRODUCT((Inputs!$A$5:$A$110=$B4)*Inputs!$B$5:$B$110*(((Inputs!$G$5:$G$110="moeda")+(Inputs!$G$5:$G$110="acoes"))*Inputs!$B$1+((Inputs!$G$5:$G$110&lt;&gt;"moeda")*(Inputs!$G$5:$G$110&lt;&gt;"acoes")))*INDEX(Inputs!$K$5:$AJ$110,0,MATCH(E$2,Inputs!$K$4:$AJ$4,0)))+SUMPRODUCT((Inputs!$C$5:$C$110=$B4)*Inputs!$D$5:$D$110*(((Inputs!$G$5:$G$110="moeda")+(Inputs!$G$5:$G$110="acoes"))*Inputs!$B$1+((Inputs!$G$5:$G$110&lt;&gt;"moeda")*(Inputs!$G$5:$G$110&lt;&gt;"acoes")))*INDEX(Inputs!$K$5:$AJ$110,0,MATCH(E$2,Inputs!$K$4:$AJ$4,0)))+SUMPRODUCT((Inputs!$E$5:$E$110=$B4)*Inputs!$F$5:$F$110*(((Inputs!$G$5:$G$110="moeda")+(Inputs!$G$5:$G$110="acoes"))*Inputs!$B$1+((Inputs!$G$5:$G$110&lt;&gt;"moeda")*(Inputs!$G$5:$G$110&lt;&gt;"acoes")))*INDEX(Inputs!$K$5:$AJ$110,0,MATCH(E$2,Inputs!$K$4:$AJ$4,0)))))</f>
        <v>61880</v>
      </c>
      <c r="F4" s="6">
        <f>IF(ISNA(MATCH(F$2,Inputs!$K$4:$AJ$4,0)),NA(),IF(SUMPRODUCT((Inputs!$A$5:$A$110=$B4)*ISNUMBER(INDEX(Inputs!$K$5:$AJ$110,0,MATCH(F$2,Inputs!$K$4:$AJ$4,0))))+SUMPRODUCT((Inputs!$C$5:$C$110=$B4)*ISNUMBER(INDEX(Inputs!$K$5:$AJ$110,0,MATCH(F$2,Inputs!$K$4:$AJ$4,0))))+SUMPRODUCT((Inputs!$E$5:$E$110=$B4)*ISNUMBER(INDEX(Inputs!$K$5:$AJ$110,0,MATCH(F$2,Inputs!$K$4:$AJ$4,0))))=0,NA(),SUMPRODUCT((Inputs!$A$5:$A$110=$B4)*Inputs!$B$5:$B$110*(((Inputs!$G$5:$G$110="moeda")+(Inputs!$G$5:$G$110="acoes"))*Inputs!$B$1+((Inputs!$G$5:$G$110&lt;&gt;"moeda")*(Inputs!$G$5:$G$110&lt;&gt;"acoes")))*INDEX(Inputs!$K$5:$AJ$110,0,MATCH(F$2,Inputs!$K$4:$AJ$4,0)))+SUMPRODUCT((Inputs!$C$5:$C$110=$B4)*Inputs!$D$5:$D$110*(((Inputs!$G$5:$G$110="moeda")+(Inputs!$G$5:$G$110="acoes"))*Inputs!$B$1+((Inputs!$G$5:$G$110&lt;&gt;"moeda")*(Inputs!$G$5:$G$110&lt;&gt;"acoes")))*INDEX(Inputs!$K$5:$AJ$110,0,MATCH(F$2,Inputs!$K$4:$AJ$4,0)))+SUMPRODUCT((Inputs!$E$5:$E$110=$B4)*Inputs!$F$5:$F$110*(((Inputs!$G$5:$G$110="moeda")+(Inputs!$G$5:$G$110="acoes"))*Inputs!$B$1+((Inputs!$G$5:$G$110&lt;&gt;"moeda")*(Inputs!$G$5:$G$110&lt;&gt;"acoes")))*INDEX(Inputs!$K$5:$AJ$110,0,MATCH(F$2,Inputs!$K$4:$AJ$4,0)))))</f>
        <v>65118</v>
      </c>
      <c r="G4" s="6">
        <f>IF(ISNA(MATCH(G$2,Inputs!$K$4:$AJ$4,0)),NA(),IF(SUMPRODUCT((Inputs!$A$5:$A$110=$B4)*ISNUMBER(INDEX(Inputs!$K$5:$AJ$110,0,MATCH(G$2,Inputs!$K$4:$AJ$4,0))))+SUMPRODUCT((Inputs!$C$5:$C$110=$B4)*ISNUMBER(INDEX(Inputs!$K$5:$AJ$110,0,MATCH(G$2,Inputs!$K$4:$AJ$4,0))))+SUMPRODUCT((Inputs!$E$5:$E$110=$B4)*ISNUMBER(INDEX(Inputs!$K$5:$AJ$110,0,MATCH(G$2,Inputs!$K$4:$AJ$4,0))))=0,NA(),SUMPRODUCT((Inputs!$A$5:$A$110=$B4)*Inputs!$B$5:$B$110*(((Inputs!$G$5:$G$110="moeda")+(Inputs!$G$5:$G$110="acoes"))*Inputs!$B$1+((Inputs!$G$5:$G$110&lt;&gt;"moeda")*(Inputs!$G$5:$G$110&lt;&gt;"acoes")))*INDEX(Inputs!$K$5:$AJ$110,0,MATCH(G$2,Inputs!$K$4:$AJ$4,0)))+SUMPRODUCT((Inputs!$C$5:$C$110=$B4)*Inputs!$D$5:$D$110*(((Inputs!$G$5:$G$110="moeda")+(Inputs!$G$5:$G$110="acoes"))*Inputs!$B$1+((Inputs!$G$5:$G$110&lt;&gt;"moeda")*(Inputs!$G$5:$G$110&lt;&gt;"acoes")))*INDEX(Inputs!$K$5:$AJ$110,0,MATCH(G$2,Inputs!$K$4:$AJ$4,0)))+SUMPRODUCT((Inputs!$E$5:$E$110=$B4)*Inputs!$F$5:$F$110*(((Inputs!$G$5:$G$110="moeda")+(Inputs!$G$5:$G$110="acoes"))*Inputs!$B$1+((Inputs!$G$5:$G$110&lt;&gt;"moeda")*(Inputs!$G$5:$G$110&lt;&gt;"acoes")))*INDEX(Inputs!$K$5:$AJ$110,0,MATCH(G$2,Inputs!$K$4:$AJ$4,0)))))</f>
        <v>75325</v>
      </c>
      <c r="H4" s="3">
        <f>SUM(D4:G4)</f>
        <v>257637</v>
      </c>
      <c r="I4" s="6">
        <f>IF(ISNA(MATCH(I$2,Inputs!$K$4:$AJ$4,0)),NA(),IF(SUMPRODUCT((Inputs!$A$5:$A$110=$B4)*ISNUMBER(INDEX(Inputs!$K$5:$AJ$110,0,MATCH(I$2,Inputs!$K$4:$AJ$4,0))))+SUMPRODUCT((Inputs!$C$5:$C$110=$B4)*ISNUMBER(INDEX(Inputs!$K$5:$AJ$110,0,MATCH(I$2,Inputs!$K$4:$AJ$4,0))))+SUMPRODUCT((Inputs!$E$5:$E$110=$B4)*ISNUMBER(INDEX(Inputs!$K$5:$AJ$110,0,MATCH(I$2,Inputs!$K$4:$AJ$4,0))))=0,NA(),SUMPRODUCT((Inputs!$A$5:$A$110=$B4)*Inputs!$B$5:$B$110*(((Inputs!$G$5:$G$110="moeda")+(Inputs!$G$5:$G$110="acoes"))*Inputs!$B$1+((Inputs!$G$5:$G$110&lt;&gt;"moeda")*(Inputs!$G$5:$G$110&lt;&gt;"acoes")))*INDEX(Inputs!$K$5:$AJ$110,0,MATCH(I$2,Inputs!$K$4:$AJ$4,0)))+SUMPRODUCT((Inputs!$C$5:$C$110=$B4)*Inputs!$D$5:$D$110*(((Inputs!$G$5:$G$110="moeda")+(Inputs!$G$5:$G$110="acoes"))*Inputs!$B$1+((Inputs!$G$5:$G$110&lt;&gt;"moeda")*(Inputs!$G$5:$G$110&lt;&gt;"acoes")))*INDEX(Inputs!$K$5:$AJ$110,0,MATCH(I$2,Inputs!$K$4:$AJ$4,0)))+SUMPRODUCT((Inputs!$E$5:$E$110=$B4)*Inputs!$F$5:$F$110*(((Inputs!$G$5:$G$110="moeda")+(Inputs!$G$5:$G$110="acoes"))*Inputs!$B$1+((Inputs!$G$5:$G$110&lt;&gt;"moeda")*(Inputs!$G$5:$G$110&lt;&gt;"acoes")))*INDEX(Inputs!$K$5:$AJ$110,0,MATCH(I$2,Inputs!$K$4:$AJ$4,0)))))</f>
        <v>68011</v>
      </c>
      <c r="J4" s="6">
        <f>IF(ISNA(MATCH(J$2,Inputs!$K$4:$AJ$4,0)),NA(),IF(SUMPRODUCT((Inputs!$A$5:$A$110=$B4)*ISNUMBER(INDEX(Inputs!$K$5:$AJ$110,0,MATCH(J$2,Inputs!$K$4:$AJ$4,0))))+SUMPRODUCT((Inputs!$C$5:$C$110=$B4)*ISNUMBER(INDEX(Inputs!$K$5:$AJ$110,0,MATCH(J$2,Inputs!$K$4:$AJ$4,0))))+SUMPRODUCT((Inputs!$E$5:$E$110=$B4)*ISNUMBER(INDEX(Inputs!$K$5:$AJ$110,0,MATCH(J$2,Inputs!$K$4:$AJ$4,0))))=0,NA(),SUMPRODUCT((Inputs!$A$5:$A$110=$B4)*Inputs!$B$5:$B$110*(((Inputs!$G$5:$G$110="moeda")+(Inputs!$G$5:$G$110="acoes"))*Inputs!$B$1+((Inputs!$G$5:$G$110&lt;&gt;"moeda")*(Inputs!$G$5:$G$110&lt;&gt;"acoes")))*INDEX(Inputs!$K$5:$AJ$110,0,MATCH(J$2,Inputs!$K$4:$AJ$4,0)))+SUMPRODUCT((Inputs!$C$5:$C$110=$B4)*Inputs!$D$5:$D$110*(((Inputs!$G$5:$G$110="moeda")+(Inputs!$G$5:$G$110="acoes"))*Inputs!$B$1+((Inputs!$G$5:$G$110&lt;&gt;"moeda")*(Inputs!$G$5:$G$110&lt;&gt;"acoes")))*INDEX(Inputs!$K$5:$AJ$110,0,MATCH(J$2,Inputs!$K$4:$AJ$4,0)))+SUMPRODUCT((Inputs!$E$5:$E$110=$B4)*Inputs!$F$5:$F$110*(((Inputs!$G$5:$G$110="moeda")+(Inputs!$G$5:$G$110="acoes"))*Inputs!$B$1+((Inputs!$G$5:$G$110&lt;&gt;"moeda")*(Inputs!$G$5:$G$110&lt;&gt;"acoes")))*INDEX(Inputs!$K$5:$AJ$110,0,MATCH(J$2,Inputs!$K$4:$AJ$4,0)))))</f>
        <v>69685</v>
      </c>
      <c r="K4" s="6">
        <f>IF(ISNA(MATCH(K$2,Inputs!$K$4:$AJ$4,0)),NA(),IF(SUMPRODUCT((Inputs!$A$5:$A$110=$B4)*ISNUMBER(INDEX(Inputs!$K$5:$AJ$110,0,MATCH(K$2,Inputs!$K$4:$AJ$4,0))))+SUMPRODUCT((Inputs!$C$5:$C$110=$B4)*ISNUMBER(INDEX(Inputs!$K$5:$AJ$110,0,MATCH(K$2,Inputs!$K$4:$AJ$4,0))))+SUMPRODUCT((Inputs!$E$5:$E$110=$B4)*ISNUMBER(INDEX(Inputs!$K$5:$AJ$110,0,MATCH(K$2,Inputs!$K$4:$AJ$4,0))))=0,NA(),SUMPRODUCT((Inputs!$A$5:$A$110=$B4)*Inputs!$B$5:$B$110*(((Inputs!$G$5:$G$110="moeda")+(Inputs!$G$5:$G$110="acoes"))*Inputs!$B$1+((Inputs!$G$5:$G$110&lt;&gt;"moeda")*(Inputs!$G$5:$G$110&lt;&gt;"acoes")))*INDEX(Inputs!$K$5:$AJ$110,0,MATCH(K$2,Inputs!$K$4:$AJ$4,0)))+SUMPRODUCT((Inputs!$C$5:$C$110=$B4)*Inputs!$D$5:$D$110*(((Inputs!$G$5:$G$110="moeda")+(Inputs!$G$5:$G$110="acoes"))*Inputs!$B$1+((Inputs!$G$5:$G$110&lt;&gt;"moeda")*(Inputs!$G$5:$G$110&lt;&gt;"acoes")))*INDEX(Inputs!$K$5:$AJ$110,0,MATCH(K$2,Inputs!$K$4:$AJ$4,0)))+SUMPRODUCT((Inputs!$E$5:$E$110=$B4)*Inputs!$F$5:$F$110*(((Inputs!$G$5:$G$110="moeda")+(Inputs!$G$5:$G$110="acoes"))*Inputs!$B$1+((Inputs!$G$5:$G$110&lt;&gt;"moeda")*(Inputs!$G$5:$G$110&lt;&gt;"acoes")))*INDEX(Inputs!$K$5:$AJ$110,0,MATCH(K$2,Inputs!$K$4:$AJ$4,0)))))</f>
        <v>69092</v>
      </c>
      <c r="L4" s="6">
        <f>IF(ISNA(MATCH(L$2,Inputs!$K$4:$AJ$4,0)),NA(),IF(SUMPRODUCT((Inputs!$A$5:$A$110=$B4)*ISNUMBER(INDEX(Inputs!$K$5:$AJ$110,0,MATCH(L$2,Inputs!$K$4:$AJ$4,0))))+SUMPRODUCT((Inputs!$C$5:$C$110=$B4)*ISNUMBER(INDEX(Inputs!$K$5:$AJ$110,0,MATCH(L$2,Inputs!$K$4:$AJ$4,0))))+SUMPRODUCT((Inputs!$E$5:$E$110=$B4)*ISNUMBER(INDEX(Inputs!$K$5:$AJ$110,0,MATCH(L$2,Inputs!$K$4:$AJ$4,0))))=0,NA(),SUMPRODUCT((Inputs!$A$5:$A$110=$B4)*Inputs!$B$5:$B$110*(((Inputs!$G$5:$G$110="moeda")+(Inputs!$G$5:$G$110="acoes"))*Inputs!$B$1+((Inputs!$G$5:$G$110&lt;&gt;"moeda")*(Inputs!$G$5:$G$110&lt;&gt;"acoes")))*INDEX(Inputs!$K$5:$AJ$110,0,MATCH(L$2,Inputs!$K$4:$AJ$4,0)))+SUMPRODUCT((Inputs!$C$5:$C$110=$B4)*Inputs!$D$5:$D$110*(((Inputs!$G$5:$G$110="moeda")+(Inputs!$G$5:$G$110="acoes"))*Inputs!$B$1+((Inputs!$G$5:$G$110&lt;&gt;"moeda")*(Inputs!$G$5:$G$110&lt;&gt;"acoes")))*INDEX(Inputs!$K$5:$AJ$110,0,MATCH(L$2,Inputs!$K$4:$AJ$4,0)))+SUMPRODUCT((Inputs!$E$5:$E$110=$B4)*Inputs!$F$5:$F$110*(((Inputs!$G$5:$G$110="moeda")+(Inputs!$G$5:$G$110="acoes"))*Inputs!$B$1+((Inputs!$G$5:$G$110&lt;&gt;"moeda")*(Inputs!$G$5:$G$110&lt;&gt;"acoes")))*INDEX(Inputs!$K$5:$AJ$110,0,MATCH(L$2,Inputs!$K$4:$AJ$4,0)))))</f>
        <v>76048</v>
      </c>
      <c r="M4" s="3">
        <f>SUM(I4:L4)</f>
        <v>282836</v>
      </c>
      <c r="N4" s="6">
        <f>IF(ISNA(MATCH(N$2,Inputs!$K$4:$AJ$4,0)),NA(),IF(SUMPRODUCT((Inputs!$A$5:$A$110=$B4)*ISNUMBER(INDEX(Inputs!$K$5:$AJ$110,0,MATCH(N$2,Inputs!$K$4:$AJ$4,0))))+SUMPRODUCT((Inputs!$C$5:$C$110=$B4)*ISNUMBER(INDEX(Inputs!$K$5:$AJ$110,0,MATCH(N$2,Inputs!$K$4:$AJ$4,0))))+SUMPRODUCT((Inputs!$E$5:$E$110=$B4)*ISNUMBER(INDEX(Inputs!$K$5:$AJ$110,0,MATCH(N$2,Inputs!$K$4:$AJ$4,0))))=0,NA(),SUMPRODUCT((Inputs!$A$5:$A$110=$B4)*Inputs!$B$5:$B$110*(((Inputs!$G$5:$G$110="moeda")+(Inputs!$G$5:$G$110="acoes"))*Inputs!$B$1+((Inputs!$G$5:$G$110&lt;&gt;"moeda")*(Inputs!$G$5:$G$110&lt;&gt;"acoes")))*INDEX(Inputs!$K$5:$AJ$110,0,MATCH(N$2,Inputs!$K$4:$AJ$4,0)))+SUMPRODUCT((Inputs!$C$5:$C$110=$B4)*Inputs!$D$5:$D$110*(((Inputs!$G$5:$G$110="moeda")+(Inputs!$G$5:$G$110="acoes"))*Inputs!$B$1+((Inputs!$G$5:$G$110&lt;&gt;"moeda")*(Inputs!$G$5:$G$110&lt;&gt;"acoes")))*INDEX(Inputs!$K$5:$AJ$110,0,MATCH(N$2,Inputs!$K$4:$AJ$4,0)))+SUMPRODUCT((Inputs!$E$5:$E$110=$B4)*Inputs!$F$5:$F$110*(((Inputs!$G$5:$G$110="moeda")+(Inputs!$G$5:$G$110="acoes"))*Inputs!$B$1+((Inputs!$G$5:$G$110&lt;&gt;"moeda")*(Inputs!$G$5:$G$110&lt;&gt;"acoes")))*INDEX(Inputs!$K$5:$AJ$110,0,MATCH(N$2,Inputs!$K$4:$AJ$4,0)))))</f>
        <v>69787</v>
      </c>
      <c r="O4" s="6">
        <f>IF(ISNA(MATCH(O$2,Inputs!$K$4:$AJ$4,0)),NA(),IF(SUMPRODUCT((Inputs!$A$5:$A$110=$B4)*ISNUMBER(INDEX(Inputs!$K$5:$AJ$110,0,MATCH(O$2,Inputs!$K$4:$AJ$4,0))))+SUMPRODUCT((Inputs!$C$5:$C$110=$B4)*ISNUMBER(INDEX(Inputs!$K$5:$AJ$110,0,MATCH(O$2,Inputs!$K$4:$AJ$4,0))))+SUMPRODUCT((Inputs!$E$5:$E$110=$B4)*ISNUMBER(INDEX(Inputs!$K$5:$AJ$110,0,MATCH(O$2,Inputs!$K$4:$AJ$4,0))))=0,NA(),SUMPRODUCT((Inputs!$A$5:$A$110=$B4)*Inputs!$B$5:$B$110*(((Inputs!$G$5:$G$110="moeda")+(Inputs!$G$5:$G$110="acoes"))*Inputs!$B$1+((Inputs!$G$5:$G$110&lt;&gt;"moeda")*(Inputs!$G$5:$G$110&lt;&gt;"acoes")))*INDEX(Inputs!$K$5:$AJ$110,0,MATCH(O$2,Inputs!$K$4:$AJ$4,0)))+SUMPRODUCT((Inputs!$C$5:$C$110=$B4)*Inputs!$D$5:$D$110*(((Inputs!$G$5:$G$110="moeda")+(Inputs!$G$5:$G$110="acoes"))*Inputs!$B$1+((Inputs!$G$5:$G$110&lt;&gt;"moeda")*(Inputs!$G$5:$G$110&lt;&gt;"acoes")))*INDEX(Inputs!$K$5:$AJ$110,0,MATCH(O$2,Inputs!$K$4:$AJ$4,0)))+SUMPRODUCT((Inputs!$E$5:$E$110=$B4)*Inputs!$F$5:$F$110*(((Inputs!$G$5:$G$110="moeda")+(Inputs!$G$5:$G$110="acoes"))*Inputs!$B$1+((Inputs!$G$5:$G$110&lt;&gt;"moeda")*(Inputs!$G$5:$G$110&lt;&gt;"acoes")))*INDEX(Inputs!$K$5:$AJ$110,0,MATCH(O$2,Inputs!$K$4:$AJ$4,0)))))</f>
        <v>74604</v>
      </c>
      <c r="P4" s="6">
        <f>IF(ISNA(MATCH(P$2,Inputs!$K$4:$AJ$4,0)),NA(),IF(SUMPRODUCT((Inputs!$A$5:$A$110=$B4)*ISNUMBER(INDEX(Inputs!$K$5:$AJ$110,0,MATCH(P$2,Inputs!$K$4:$AJ$4,0))))+SUMPRODUCT((Inputs!$C$5:$C$110=$B4)*ISNUMBER(INDEX(Inputs!$K$5:$AJ$110,0,MATCH(P$2,Inputs!$K$4:$AJ$4,0))))+SUMPRODUCT((Inputs!$E$5:$E$110=$B4)*ISNUMBER(INDEX(Inputs!$K$5:$AJ$110,0,MATCH(P$2,Inputs!$K$4:$AJ$4,0))))=0,NA(),SUMPRODUCT((Inputs!$A$5:$A$110=$B4)*Inputs!$B$5:$B$110*(((Inputs!$G$5:$G$110="moeda")+(Inputs!$G$5:$G$110="acoes"))*Inputs!$B$1+((Inputs!$G$5:$G$110&lt;&gt;"moeda")*(Inputs!$G$5:$G$110&lt;&gt;"acoes")))*INDEX(Inputs!$K$5:$AJ$110,0,MATCH(P$2,Inputs!$K$4:$AJ$4,0)))+SUMPRODUCT((Inputs!$C$5:$C$110=$B4)*Inputs!$D$5:$D$110*(((Inputs!$G$5:$G$110="moeda")+(Inputs!$G$5:$G$110="acoes"))*Inputs!$B$1+((Inputs!$G$5:$G$110&lt;&gt;"moeda")*(Inputs!$G$5:$G$110&lt;&gt;"acoes")))*INDEX(Inputs!$K$5:$AJ$110,0,MATCH(P$2,Inputs!$K$4:$AJ$4,0)))+SUMPRODUCT((Inputs!$E$5:$E$110=$B4)*Inputs!$F$5:$F$110*(((Inputs!$G$5:$G$110="moeda")+(Inputs!$G$5:$G$110="acoes"))*Inputs!$B$1+((Inputs!$G$5:$G$110&lt;&gt;"moeda")*(Inputs!$G$5:$G$110&lt;&gt;"acoes")))*INDEX(Inputs!$K$5:$AJ$110,0,MATCH(P$2,Inputs!$K$4:$AJ$4,0)))))</f>
        <v>76693</v>
      </c>
      <c r="Q4" s="6">
        <f>IF(ISNA(MATCH(Q$2,Inputs!$K$4:$AJ$4,0)),NA(),IF(SUMPRODUCT((Inputs!$A$5:$A$110=$B4)*ISNUMBER(INDEX(Inputs!$K$5:$AJ$110,0,MATCH(Q$2,Inputs!$K$4:$AJ$4,0))))+SUMPRODUCT((Inputs!$C$5:$C$110=$B4)*ISNUMBER(INDEX(Inputs!$K$5:$AJ$110,0,MATCH(Q$2,Inputs!$K$4:$AJ$4,0))))+SUMPRODUCT((Inputs!$E$5:$E$110=$B4)*ISNUMBER(INDEX(Inputs!$K$5:$AJ$110,0,MATCH(Q$2,Inputs!$K$4:$AJ$4,0))))=0,NA(),SUMPRODUCT((Inputs!$A$5:$A$110=$B4)*Inputs!$B$5:$B$110*(((Inputs!$G$5:$G$110="moeda")+(Inputs!$G$5:$G$110="acoes"))*Inputs!$B$1+((Inputs!$G$5:$G$110&lt;&gt;"moeda")*(Inputs!$G$5:$G$110&lt;&gt;"acoes")))*INDEX(Inputs!$K$5:$AJ$110,0,MATCH(Q$2,Inputs!$K$4:$AJ$4,0)))+SUMPRODUCT((Inputs!$C$5:$C$110=$B4)*Inputs!$D$5:$D$110*(((Inputs!$G$5:$G$110="moeda")+(Inputs!$G$5:$G$110="acoes"))*Inputs!$B$1+((Inputs!$G$5:$G$110&lt;&gt;"moeda")*(Inputs!$G$5:$G$110&lt;&gt;"acoes")))*INDEX(Inputs!$K$5:$AJ$110,0,MATCH(Q$2,Inputs!$K$4:$AJ$4,0)))+SUMPRODUCT((Inputs!$E$5:$E$110=$B4)*Inputs!$F$5:$F$110*(((Inputs!$G$5:$G$110="moeda")+(Inputs!$G$5:$G$110="acoes"))*Inputs!$B$1+((Inputs!$G$5:$G$110&lt;&gt;"moeda")*(Inputs!$G$5:$G$110&lt;&gt;"acoes")))*INDEX(Inputs!$K$5:$AJ$110,0,MATCH(Q$2,Inputs!$K$4:$AJ$4,0)))))</f>
        <v>86310</v>
      </c>
      <c r="R4" s="3">
        <f>SUM(N4:Q4)</f>
        <v>307394</v>
      </c>
      <c r="S4" s="6">
        <f>IF(ISNA(MATCH(S$2,Inputs!$K$4:$AJ$4,0)),NA(),IF(SUMPRODUCT((Inputs!$A$5:$A$110=$B4)*ISNUMBER(INDEX(Inputs!$K$5:$AJ$110,0,MATCH(S$2,Inputs!$K$4:$AJ$4,0))))+SUMPRODUCT((Inputs!$C$5:$C$110=$B4)*ISNUMBER(INDEX(Inputs!$K$5:$AJ$110,0,MATCH(S$2,Inputs!$K$4:$AJ$4,0))))+SUMPRODUCT((Inputs!$E$5:$E$110=$B4)*ISNUMBER(INDEX(Inputs!$K$5:$AJ$110,0,MATCH(S$2,Inputs!$K$4:$AJ$4,0))))=0,NA(),SUMPRODUCT((Inputs!$A$5:$A$110=$B4)*Inputs!$B$5:$B$110*(((Inputs!$G$5:$G$110="moeda")+(Inputs!$G$5:$G$110="acoes"))*Inputs!$B$1+((Inputs!$G$5:$G$110&lt;&gt;"moeda")*(Inputs!$G$5:$G$110&lt;&gt;"acoes")))*INDEX(Inputs!$K$5:$AJ$110,0,MATCH(S$2,Inputs!$K$4:$AJ$4,0)))+SUMPRODUCT((Inputs!$C$5:$C$110=$B4)*Inputs!$D$5:$D$110*(((Inputs!$G$5:$G$110="moeda")+(Inputs!$G$5:$G$110="acoes"))*Inputs!$B$1+((Inputs!$G$5:$G$110&lt;&gt;"moeda")*(Inputs!$G$5:$G$110&lt;&gt;"acoes")))*INDEX(Inputs!$K$5:$AJ$110,0,MATCH(S$2,Inputs!$K$4:$AJ$4,0)))+SUMPRODUCT((Inputs!$E$5:$E$110=$B4)*Inputs!$F$5:$F$110*(((Inputs!$G$5:$G$110="moeda")+(Inputs!$G$5:$G$110="acoes"))*Inputs!$B$1+((Inputs!$G$5:$G$110&lt;&gt;"moeda")*(Inputs!$G$5:$G$110&lt;&gt;"acoes")))*INDEX(Inputs!$K$5:$AJ$110,0,MATCH(S$2,Inputs!$K$4:$AJ$4,0)))))</f>
        <v>80539</v>
      </c>
      <c r="T4" s="6">
        <f>IF(ISNA(MATCH(T$2,Inputs!$K$4:$AJ$4,0)),NA(),IF(SUMPRODUCT((Inputs!$A$5:$A$110=$B4)*ISNUMBER(INDEX(Inputs!$K$5:$AJ$110,0,MATCH(T$2,Inputs!$K$4:$AJ$4,0))))+SUMPRODUCT((Inputs!$C$5:$C$110=$B4)*ISNUMBER(INDEX(Inputs!$K$5:$AJ$110,0,MATCH(T$2,Inputs!$K$4:$AJ$4,0))))+SUMPRODUCT((Inputs!$E$5:$E$110=$B4)*ISNUMBER(INDEX(Inputs!$K$5:$AJ$110,0,MATCH(T$2,Inputs!$K$4:$AJ$4,0))))=0,NA(),SUMPRODUCT((Inputs!$A$5:$A$110=$B4)*Inputs!$B$5:$B$110*(((Inputs!$G$5:$G$110="moeda")+(Inputs!$G$5:$G$110="acoes"))*Inputs!$B$1+((Inputs!$G$5:$G$110&lt;&gt;"moeda")*(Inputs!$G$5:$G$110&lt;&gt;"acoes")))*INDEX(Inputs!$K$5:$AJ$110,0,MATCH(T$2,Inputs!$K$4:$AJ$4,0)))+SUMPRODUCT((Inputs!$C$5:$C$110=$B4)*Inputs!$D$5:$D$110*(((Inputs!$G$5:$G$110="moeda")+(Inputs!$G$5:$G$110="acoes"))*Inputs!$B$1+((Inputs!$G$5:$G$110&lt;&gt;"moeda")*(Inputs!$G$5:$G$110&lt;&gt;"acoes")))*INDEX(Inputs!$K$5:$AJ$110,0,MATCH(T$2,Inputs!$K$4:$AJ$4,0)))+SUMPRODUCT((Inputs!$E$5:$E$110=$B4)*Inputs!$F$5:$F$110*(((Inputs!$G$5:$G$110="moeda")+(Inputs!$G$5:$G$110="acoes"))*Inputs!$B$1+((Inputs!$G$5:$G$110&lt;&gt;"moeda")*(Inputs!$G$5:$G$110&lt;&gt;"acoes")))*INDEX(Inputs!$K$5:$AJ$110,0,MATCH(T$2,Inputs!$K$4:$AJ$4,0)))))</f>
        <v>84742</v>
      </c>
      <c r="U4" s="6">
        <f>IF(ISNA(MATCH(U$2,Inputs!$K$4:$AJ$4,0)),NA(),IF(SUMPRODUCT((Inputs!$A$5:$A$110=$B4)*ISNUMBER(INDEX(Inputs!$K$5:$AJ$110,0,MATCH(U$2,Inputs!$K$4:$AJ$4,0))))+SUMPRODUCT((Inputs!$C$5:$C$110=$B4)*ISNUMBER(INDEX(Inputs!$K$5:$AJ$110,0,MATCH(U$2,Inputs!$K$4:$AJ$4,0))))+SUMPRODUCT((Inputs!$E$5:$E$110=$B4)*ISNUMBER(INDEX(Inputs!$K$5:$AJ$110,0,MATCH(U$2,Inputs!$K$4:$AJ$4,0))))=0,NA(),SUMPRODUCT((Inputs!$A$5:$A$110=$B4)*Inputs!$B$5:$B$110*(((Inputs!$G$5:$G$110="moeda")+(Inputs!$G$5:$G$110="acoes"))*Inputs!$B$1+((Inputs!$G$5:$G$110&lt;&gt;"moeda")*(Inputs!$G$5:$G$110&lt;&gt;"acoes")))*INDEX(Inputs!$K$5:$AJ$110,0,MATCH(U$2,Inputs!$K$4:$AJ$4,0)))+SUMPRODUCT((Inputs!$C$5:$C$110=$B4)*Inputs!$D$5:$D$110*(((Inputs!$G$5:$G$110="moeda")+(Inputs!$G$5:$G$110="acoes"))*Inputs!$B$1+((Inputs!$G$5:$G$110&lt;&gt;"moeda")*(Inputs!$G$5:$G$110&lt;&gt;"acoes")))*INDEX(Inputs!$K$5:$AJ$110,0,MATCH(U$2,Inputs!$K$4:$AJ$4,0)))+SUMPRODUCT((Inputs!$E$5:$E$110=$B4)*Inputs!$F$5:$F$110*(((Inputs!$G$5:$G$110="moeda")+(Inputs!$G$5:$G$110="acoes"))*Inputs!$B$1+((Inputs!$G$5:$G$110&lt;&gt;"moeda")*(Inputs!$G$5:$G$110&lt;&gt;"acoes")))*INDEX(Inputs!$K$5:$AJ$110,0,MATCH(U$2,Inputs!$K$4:$AJ$4,0)))))</f>
        <v>88268</v>
      </c>
      <c r="V4" s="6">
        <f>IF(ISNA(MATCH(V$2,Inputs!$K$4:$AJ$4,0)),NA(),IF(SUMPRODUCT((Inputs!$A$5:$A$110=$B4)*ISNUMBER(INDEX(Inputs!$K$5:$AJ$110,0,MATCH(V$2,Inputs!$K$4:$AJ$4,0))))+SUMPRODUCT((Inputs!$C$5:$C$110=$B4)*ISNUMBER(INDEX(Inputs!$K$5:$AJ$110,0,MATCH(V$2,Inputs!$K$4:$AJ$4,0))))+SUMPRODUCT((Inputs!$E$5:$E$110=$B4)*ISNUMBER(INDEX(Inputs!$K$5:$AJ$110,0,MATCH(V$2,Inputs!$K$4:$AJ$4,0))))=0,NA(),SUMPRODUCT((Inputs!$A$5:$A$110=$B4)*Inputs!$B$5:$B$110*(((Inputs!$G$5:$G$110="moeda")+(Inputs!$G$5:$G$110="acoes"))*Inputs!$B$1+((Inputs!$G$5:$G$110&lt;&gt;"moeda")*(Inputs!$G$5:$G$110&lt;&gt;"acoes")))*INDEX(Inputs!$K$5:$AJ$110,0,MATCH(V$2,Inputs!$K$4:$AJ$4,0)))+SUMPRODUCT((Inputs!$C$5:$C$110=$B4)*Inputs!$D$5:$D$110*(((Inputs!$G$5:$G$110="moeda")+(Inputs!$G$5:$G$110="acoes"))*Inputs!$B$1+((Inputs!$G$5:$G$110&lt;&gt;"moeda")*(Inputs!$G$5:$G$110&lt;&gt;"acoes")))*INDEX(Inputs!$K$5:$AJ$110,0,MATCH(V$2,Inputs!$K$4:$AJ$4,0)))+SUMPRODUCT((Inputs!$E$5:$E$110=$B4)*Inputs!$F$5:$F$110*(((Inputs!$G$5:$G$110="moeda")+(Inputs!$G$5:$G$110="acoes"))*Inputs!$B$1+((Inputs!$G$5:$G$110&lt;&gt;"moeda")*(Inputs!$G$5:$G$110&lt;&gt;"acoes")))*INDEX(Inputs!$K$5:$AJ$110,0,MATCH(V$2,Inputs!$K$4:$AJ$4,0)))))</f>
        <v>96469</v>
      </c>
      <c r="W4" s="3">
        <f>SUM(S4:V4)</f>
        <v>350018</v>
      </c>
      <c r="X4" s="6">
        <f>IF(ISNA(MATCH(X$2,Inputs!$K$4:$AJ$4,0)),NA(),IF(SUMPRODUCT((Inputs!$A$5:$A$110=$B4)*ISNUMBER(INDEX(Inputs!$K$5:$AJ$110,0,MATCH(X$2,Inputs!$K$4:$AJ$4,0))))+SUMPRODUCT((Inputs!$C$5:$C$110=$B4)*ISNUMBER(INDEX(Inputs!$K$5:$AJ$110,0,MATCH(X$2,Inputs!$K$4:$AJ$4,0))))+SUMPRODUCT((Inputs!$E$5:$E$110=$B4)*ISNUMBER(INDEX(Inputs!$K$5:$AJ$110,0,MATCH(X$2,Inputs!$K$4:$AJ$4,0))))=0,NA(),SUMPRODUCT((Inputs!$A$5:$A$110=$B4)*Inputs!$B$5:$B$110*(((Inputs!$G$5:$G$110="moeda")+(Inputs!$G$5:$G$110="acoes"))*Inputs!$B$1+((Inputs!$G$5:$G$110&lt;&gt;"moeda")*(Inputs!$G$5:$G$110&lt;&gt;"acoes")))*INDEX(Inputs!$K$5:$AJ$110,0,MATCH(X$2,Inputs!$K$4:$AJ$4,0)))+SUMPRODUCT((Inputs!$C$5:$C$110=$B4)*Inputs!$D$5:$D$110*(((Inputs!$G$5:$G$110="moeda")+(Inputs!$G$5:$G$110="acoes"))*Inputs!$B$1+((Inputs!$G$5:$G$110&lt;&gt;"moeda")*(Inputs!$G$5:$G$110&lt;&gt;"acoes")))*INDEX(Inputs!$K$5:$AJ$110,0,MATCH(X$2,Inputs!$K$4:$AJ$4,0)))+SUMPRODUCT((Inputs!$E$5:$E$110=$B4)*Inputs!$F$5:$F$110*(((Inputs!$G$5:$G$110="moeda")+(Inputs!$G$5:$G$110="acoes"))*Inputs!$B$1+((Inputs!$G$5:$G$110&lt;&gt;"moeda")*(Inputs!$G$5:$G$110&lt;&gt;"acoes")))*INDEX(Inputs!$K$5:$AJ$110,0,MATCH(X$2,Inputs!$K$4:$AJ$4,0)))))</f>
        <v>90234</v>
      </c>
      <c r="Y4" s="6">
        <f>IF(ISNA(MATCH(Y$2,Inputs!$K$4:$AJ$4,0)),NA(),IF(SUMPRODUCT((Inputs!$A$5:$A$110=$B4)*ISNUMBER(INDEX(Inputs!$K$5:$AJ$110,0,MATCH(Y$2,Inputs!$K$4:$AJ$4,0))))+SUMPRODUCT((Inputs!$C$5:$C$110=$B4)*ISNUMBER(INDEX(Inputs!$K$5:$AJ$110,0,MATCH(Y$2,Inputs!$K$4:$AJ$4,0))))+SUMPRODUCT((Inputs!$E$5:$E$110=$B4)*ISNUMBER(INDEX(Inputs!$K$5:$AJ$110,0,MATCH(Y$2,Inputs!$K$4:$AJ$4,0))))=0,NA(),SUMPRODUCT((Inputs!$A$5:$A$110=$B4)*Inputs!$B$5:$B$110*(((Inputs!$G$5:$G$110="moeda")+(Inputs!$G$5:$G$110="acoes"))*Inputs!$B$1+((Inputs!$G$5:$G$110&lt;&gt;"moeda")*(Inputs!$G$5:$G$110&lt;&gt;"acoes")))*INDEX(Inputs!$K$5:$AJ$110,0,MATCH(Y$2,Inputs!$K$4:$AJ$4,0)))+SUMPRODUCT((Inputs!$C$5:$C$110=$B4)*Inputs!$D$5:$D$110*(((Inputs!$G$5:$G$110="moeda")+(Inputs!$G$5:$G$110="acoes"))*Inputs!$B$1+((Inputs!$G$5:$G$110&lt;&gt;"moeda")*(Inputs!$G$5:$G$110&lt;&gt;"acoes")))*INDEX(Inputs!$K$5:$AJ$110,0,MATCH(Y$2,Inputs!$K$4:$AJ$4,0)))+SUMPRODUCT((Inputs!$E$5:$E$110=$B4)*Inputs!$F$5:$F$110*(((Inputs!$G$5:$G$110="moeda")+(Inputs!$G$5:$G$110="acoes"))*Inputs!$B$1+((Inputs!$G$5:$G$110&lt;&gt;"moeda")*(Inputs!$G$5:$G$110&lt;&gt;"acoes")))*INDEX(Inputs!$K$5:$AJ$110,0,MATCH(Y$2,Inputs!$K$4:$AJ$4,0)))))</f>
        <v>96428</v>
      </c>
      <c r="Z4" s="6">
        <f>IF(ISNA(MATCH(Z$2,Inputs!$K$4:$AJ$4,0)),NA(),IF(SUMPRODUCT((Inputs!$A$5:$A$110=$B4)*ISNUMBER(INDEX(Inputs!$K$5:$AJ$110,0,MATCH(Z$2,Inputs!$K$4:$AJ$4,0))))+SUMPRODUCT((Inputs!$C$5:$C$110=$B4)*ISNUMBER(INDEX(Inputs!$K$5:$AJ$110,0,MATCH(Z$2,Inputs!$K$4:$AJ$4,0))))+SUMPRODUCT((Inputs!$E$5:$E$110=$B4)*ISNUMBER(INDEX(Inputs!$K$5:$AJ$110,0,MATCH(Z$2,Inputs!$K$4:$AJ$4,0))))=0,NA(),SUMPRODUCT((Inputs!$A$5:$A$110=$B4)*Inputs!$B$5:$B$110*(((Inputs!$G$5:$G$110="moeda")+(Inputs!$G$5:$G$110="acoes"))*Inputs!$B$1+((Inputs!$G$5:$G$110&lt;&gt;"moeda")*(Inputs!$G$5:$G$110&lt;&gt;"acoes")))*INDEX(Inputs!$K$5:$AJ$110,0,MATCH(Z$2,Inputs!$K$4:$AJ$4,0)))+SUMPRODUCT((Inputs!$C$5:$C$110=$B4)*Inputs!$D$5:$D$110*(((Inputs!$G$5:$G$110="moeda")+(Inputs!$G$5:$G$110="acoes"))*Inputs!$B$1+((Inputs!$G$5:$G$110&lt;&gt;"moeda")*(Inputs!$G$5:$G$110&lt;&gt;"acoes")))*INDEX(Inputs!$K$5:$AJ$110,0,MATCH(Z$2,Inputs!$K$4:$AJ$4,0)))+SUMPRODUCT((Inputs!$E$5:$E$110=$B4)*Inputs!$F$5:$F$110*(((Inputs!$G$5:$G$110="moeda")+(Inputs!$G$5:$G$110="acoes"))*Inputs!$B$1+((Inputs!$G$5:$G$110&lt;&gt;"moeda")*(Inputs!$G$5:$G$110&lt;&gt;"acoes")))*INDEX(Inputs!$K$5:$AJ$110,0,MATCH(Z$2,Inputs!$K$4:$AJ$4,0)))))</f>
        <v>102346</v>
      </c>
      <c r="AA4" s="6">
        <f>IF(ISNA(MATCH(AA$2,Inputs!$K$4:$AJ$4,0)),NA(),IF(SUMPRODUCT((Inputs!$A$5:$A$110=$B4)*ISNUMBER(INDEX(Inputs!$K$5:$AJ$110,0,MATCH(AA$2,Inputs!$K$4:$AJ$4,0))))+SUMPRODUCT((Inputs!$C$5:$C$110=$B4)*ISNUMBER(INDEX(Inputs!$K$5:$AJ$110,0,MATCH(AA$2,Inputs!$K$4:$AJ$4,0))))+SUMPRODUCT((Inputs!$E$5:$E$110=$B4)*ISNUMBER(INDEX(Inputs!$K$5:$AJ$110,0,MATCH(AA$2,Inputs!$K$4:$AJ$4,0))))=0,NA(),SUMPRODUCT((Inputs!$A$5:$A$110=$B4)*Inputs!$B$5:$B$110*(((Inputs!$G$5:$G$110="moeda")+(Inputs!$G$5:$G$110="acoes"))*Inputs!$B$1+((Inputs!$G$5:$G$110&lt;&gt;"moeda")*(Inputs!$G$5:$G$110&lt;&gt;"acoes")))*INDEX(Inputs!$K$5:$AJ$110,0,MATCH(AA$2,Inputs!$K$4:$AJ$4,0)))+SUMPRODUCT((Inputs!$C$5:$C$110=$B4)*Inputs!$D$5:$D$110*(((Inputs!$G$5:$G$110="moeda")+(Inputs!$G$5:$G$110="acoes"))*Inputs!$B$1+((Inputs!$G$5:$G$110&lt;&gt;"moeda")*(Inputs!$G$5:$G$110&lt;&gt;"acoes")))*INDEX(Inputs!$K$5:$AJ$110,0,MATCH(AA$2,Inputs!$K$4:$AJ$4,0)))+SUMPRODUCT((Inputs!$E$5:$E$110=$B4)*Inputs!$F$5:$F$110*(((Inputs!$G$5:$G$110="moeda")+(Inputs!$G$5:$G$110="acoes"))*Inputs!$B$1+((Inputs!$G$5:$G$110&lt;&gt;"moeda")*(Inputs!$G$5:$G$110&lt;&gt;"acoes")))*INDEX(Inputs!$K$5:$AJ$110,0,MATCH(AA$2,Inputs!$K$4:$AJ$4,0)))))</f>
        <v>113829</v>
      </c>
      <c r="AB4" s="3">
        <f>SUM(X4:AA4)</f>
        <v>402837</v>
      </c>
      <c r="AC4" s="6">
        <f>IF(ISNA(MATCH(AC$2,Inputs!$K$4:$AJ$4,0)),NA(),IF(SUMPRODUCT((Inputs!$A$5:$A$110=$B4)*ISNUMBER(INDEX(Inputs!$K$5:$AJ$110,0,MATCH(AC$2,Inputs!$K$4:$AJ$4,0))))+SUMPRODUCT((Inputs!$C$5:$C$110=$B4)*ISNUMBER(INDEX(Inputs!$K$5:$AJ$110,0,MATCH(AC$2,Inputs!$K$4:$AJ$4,0))))+SUMPRODUCT((Inputs!$E$5:$E$110=$B4)*ISNUMBER(INDEX(Inputs!$K$5:$AJ$110,0,MATCH(AC$2,Inputs!$K$4:$AJ$4,0))))=0,NA(),SUMPRODUCT((Inputs!$A$5:$A$110=$B4)*Inputs!$B$5:$B$110*(((Inputs!$G$5:$G$110="moeda")+(Inputs!$G$5:$G$110="acoes"))*Inputs!$B$1+((Inputs!$G$5:$G$110&lt;&gt;"moeda")*(Inputs!$G$5:$G$110&lt;&gt;"acoes")))*INDEX(Inputs!$K$5:$AJ$110,0,MATCH(AC$2,Inputs!$K$4:$AJ$4,0)))+SUMPRODUCT((Inputs!$C$5:$C$110=$B4)*Inputs!$D$5:$D$110*(((Inputs!$G$5:$G$110="moeda")+(Inputs!$G$5:$G$110="acoes"))*Inputs!$B$1+((Inputs!$G$5:$G$110&lt;&gt;"moeda")*(Inputs!$G$5:$G$110&lt;&gt;"acoes")))*INDEX(Inputs!$K$5:$AJ$110,0,MATCH(AC$2,Inputs!$K$4:$AJ$4,0)))+SUMPRODUCT((Inputs!$E$5:$E$110=$B4)*Inputs!$F$5:$F$110*(((Inputs!$G$5:$G$110="moeda")+(Inputs!$G$5:$G$110="acoes"))*Inputs!$B$1+((Inputs!$G$5:$G$110&lt;&gt;"moeda")*(Inputs!$G$5:$G$110&lt;&gt;"acoes")))*INDEX(Inputs!$K$5:$AJ$110,0,MATCH(AC$2,Inputs!$K$4:$AJ$4,0)))))</f>
        <v>109896</v>
      </c>
      <c r="AD4" s="6">
        <f>IF(ISNA(MATCH(AD$2,Inputs!$K$4:$AJ$4,0)),NA(),IF(SUMPRODUCT((Inputs!$A$5:$A$110=$B4)*ISNUMBER(INDEX(Inputs!$K$5:$AJ$110,0,MATCH(AD$2,Inputs!$K$4:$AJ$4,0))))+SUMPRODUCT((Inputs!$C$5:$C$110=$B4)*ISNUMBER(INDEX(Inputs!$K$5:$AJ$110,0,MATCH(AD$2,Inputs!$K$4:$AJ$4,0))))+SUMPRODUCT((Inputs!$E$5:$E$110=$B4)*ISNUMBER(INDEX(Inputs!$K$5:$AJ$110,0,MATCH(AD$2,Inputs!$K$4:$AJ$4,0))))=0,NA(),SUMPRODUCT((Inputs!$A$5:$A$110=$B4)*Inputs!$B$5:$B$110*(((Inputs!$G$5:$G$110="moeda")+(Inputs!$G$5:$G$110="acoes"))*Inputs!$B$1+((Inputs!$G$5:$G$110&lt;&gt;"moeda")*(Inputs!$G$5:$G$110&lt;&gt;"acoes")))*INDEX(Inputs!$K$5:$AJ$110,0,MATCH(AD$2,Inputs!$K$4:$AJ$4,0)))+SUMPRODUCT((Inputs!$C$5:$C$110=$B4)*Inputs!$D$5:$D$110*(((Inputs!$G$5:$G$110="moeda")+(Inputs!$G$5:$G$110="acoes"))*Inputs!$B$1+((Inputs!$G$5:$G$110&lt;&gt;"moeda")*(Inputs!$G$5:$G$110&lt;&gt;"acoes")))*INDEX(Inputs!$K$5:$AJ$110,0,MATCH(AD$2,Inputs!$K$4:$AJ$4,0)))+SUMPRODUCT((Inputs!$E$5:$E$110=$B4)*Inputs!$F$5:$F$110*(((Inputs!$G$5:$G$110="moeda")+(Inputs!$G$5:$G$110="acoes"))*Inputs!$B$1+((Inputs!$G$5:$G$110&lt;&gt;"moeda")*(Inputs!$G$5:$G$110&lt;&gt;"acoes")))*INDEX(Inputs!$K$5:$AJ$110,0,MATCH(AD$2,Inputs!$K$4:$AJ$4,0)))))</f>
        <v>119796</v>
      </c>
      <c r="AE4" s="6" t="e">
        <f>IF(ISNA(MATCH(AE$2,Inputs!$K$4:$AJ$4,0)),NA(),IF(SUMPRODUCT((Inputs!$A$5:$A$110=$B4)*ISNUMBER(INDEX(Inputs!$K$5:$AJ$110,0,MATCH(AE$2,Inputs!$K$4:$AJ$4,0))))+SUMPRODUCT((Inputs!$C$5:$C$110=$B4)*ISNUMBER(INDEX(Inputs!$K$5:$AJ$110,0,MATCH(AE$2,Inputs!$K$4:$AJ$4,0))))+SUMPRODUCT((Inputs!$E$5:$E$110=$B4)*ISNUMBER(INDEX(Inputs!$K$5:$AJ$110,0,MATCH(AE$2,Inputs!$K$4:$AJ$4,0))))=0,NA(),SUMPRODUCT((Inputs!$A$5:$A$110=$B4)*Inputs!$B$5:$B$110*(((Inputs!$G$5:$G$110="moeda")+(Inputs!$G$5:$G$110="acoes"))*Inputs!$B$1+((Inputs!$G$5:$G$110&lt;&gt;"moeda")*(Inputs!$G$5:$G$110&lt;&gt;"acoes")))*INDEX(Inputs!$K$5:$AJ$110,0,MATCH(AE$2,Inputs!$K$4:$AJ$4,0)))+SUMPRODUCT((Inputs!$C$5:$C$110=$B4)*Inputs!$D$5:$D$110*(((Inputs!$G$5:$G$110="moeda")+(Inputs!$G$5:$G$110="acoes"))*Inputs!$B$1+((Inputs!$G$5:$G$110&lt;&gt;"moeda")*(Inputs!$G$5:$G$110&lt;&gt;"acoes")))*INDEX(Inputs!$K$5:$AJ$110,0,MATCH(AE$2,Inputs!$K$4:$AJ$4,0)))+SUMPRODUCT((Inputs!$E$5:$E$110=$B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" s="6" t="e">
        <f>IF(ISNA(MATCH(AF$2,Inputs!$K$4:$AJ$4,0)),NA(),IF(SUMPRODUCT((Inputs!$A$5:$A$110=$B4)*ISNUMBER(INDEX(Inputs!$K$5:$AJ$110,0,MATCH(AF$2,Inputs!$K$4:$AJ$4,0))))+SUMPRODUCT((Inputs!$C$5:$C$110=$B4)*ISNUMBER(INDEX(Inputs!$K$5:$AJ$110,0,MATCH(AF$2,Inputs!$K$4:$AJ$4,0))))+SUMPRODUCT((Inputs!$E$5:$E$110=$B4)*ISNUMBER(INDEX(Inputs!$K$5:$AJ$110,0,MATCH(AF$2,Inputs!$K$4:$AJ$4,0))))=0,NA(),SUMPRODUCT((Inputs!$A$5:$A$110=$B4)*Inputs!$B$5:$B$110*(((Inputs!$G$5:$G$110="moeda")+(Inputs!$G$5:$G$110="acoes"))*Inputs!$B$1+((Inputs!$G$5:$G$110&lt;&gt;"moeda")*(Inputs!$G$5:$G$110&lt;&gt;"acoes")))*INDEX(Inputs!$K$5:$AJ$110,0,MATCH(AF$2,Inputs!$K$4:$AJ$4,0)))+SUMPRODUCT((Inputs!$C$5:$C$110=$B4)*Inputs!$D$5:$D$110*(((Inputs!$G$5:$G$110="moeda")+(Inputs!$G$5:$G$110="acoes"))*Inputs!$B$1+((Inputs!$G$5:$G$110&lt;&gt;"moeda")*(Inputs!$G$5:$G$110&lt;&gt;"acoes")))*INDEX(Inputs!$K$5:$AJ$110,0,MATCH(AF$2,Inputs!$K$4:$AJ$4,0)))+SUMPRODUCT((Inputs!$E$5:$E$110=$B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" s="3" t="e">
        <f>SUM(AC4:AF4)</f>
        <v>#N/A</v>
      </c>
      <c r="AH4" s="6">
        <f>IF(ISNA(MATCH(AH$2,Inputs!$K$4:$AJ$4,0)),NA(),IF(SUMPRODUCT((Inputs!$A$5:$A$110=$B4)*ISNUMBER(INDEX(Inputs!$K$5:$AJ$110,0,MATCH(AH$2,Inputs!$K$4:$AJ$4,0))))+SUMPRODUCT((Inputs!$C$5:$C$110=$B4)*ISNUMBER(INDEX(Inputs!$K$5:$AJ$110,0,MATCH(AH$2,Inputs!$K$4:$AJ$4,0))))+SUMPRODUCT((Inputs!$E$5:$E$110=$B4)*ISNUMBER(INDEX(Inputs!$K$5:$AJ$110,0,MATCH(AH$2,Inputs!$K$4:$AJ$4,0))))=0,NA(),SUMPRODUCT((Inputs!$A$5:$A$110=$B4)*Inputs!$B$5:$B$110*(((Inputs!$G$5:$G$110="moeda")+(Inputs!$G$5:$G$110="acoes"))*Inputs!$B$1+((Inputs!$G$5:$G$110&lt;&gt;"moeda")*(Inputs!$G$5:$G$110&lt;&gt;"acoes")))*INDEX(Inputs!$K$5:$AJ$110,0,MATCH(AH$2,Inputs!$K$4:$AJ$4,0)))+SUMPRODUCT((Inputs!$C$5:$C$110=$B4)*Inputs!$D$5:$D$110*(((Inputs!$G$5:$G$110="moeda")+(Inputs!$G$5:$G$110="acoes"))*Inputs!$B$1+((Inputs!$G$5:$G$110&lt;&gt;"moeda")*(Inputs!$G$5:$G$110&lt;&gt;"acoes")))*INDEX(Inputs!$K$5:$AJ$110,0,MATCH(AH$2,Inputs!$K$4:$AJ$4,0)))+SUMPRODUCT((Inputs!$E$5:$E$110=$B4)*Inputs!$F$5:$F$110*(((Inputs!$G$5:$G$110="moeda")+(Inputs!$G$5:$G$110="acoes"))*Inputs!$B$1+((Inputs!$G$5:$G$110&lt;&gt;"moeda")*(Inputs!$G$5:$G$110&lt;&gt;"acoes")))*INDEX(Inputs!$K$5:$AJ$110,0,MATCH(AH$2,Inputs!$K$4:$AJ$4,0)))))</f>
        <v>41159</v>
      </c>
      <c r="AI4" s="6">
        <f>IF(ISNA(MATCH(AI$2,Inputs!$K$4:$AJ$4,0)),NA(),IF(SUMPRODUCT((Inputs!$A$5:$A$110=$B4)*ISNUMBER(INDEX(Inputs!$K$5:$AJ$110,0,MATCH(AI$2,Inputs!$K$4:$AJ$4,0))))+SUMPRODUCT((Inputs!$C$5:$C$110=$B4)*ISNUMBER(INDEX(Inputs!$K$5:$AJ$110,0,MATCH(AI$2,Inputs!$K$4:$AJ$4,0))))+SUMPRODUCT((Inputs!$E$5:$E$110=$B4)*ISNUMBER(INDEX(Inputs!$K$5:$AJ$110,0,MATCH(AI$2,Inputs!$K$4:$AJ$4,0))))=0,NA(),SUMPRODUCT((Inputs!$A$5:$A$110=$B4)*Inputs!$B$5:$B$110*(((Inputs!$G$5:$G$110="moeda")+(Inputs!$G$5:$G$110="acoes"))*Inputs!$B$1+((Inputs!$G$5:$G$110&lt;&gt;"moeda")*(Inputs!$G$5:$G$110&lt;&gt;"acoes")))*INDEX(Inputs!$K$5:$AJ$110,0,MATCH(AI$2,Inputs!$K$4:$AJ$4,0)))+SUMPRODUCT((Inputs!$C$5:$C$110=$B4)*Inputs!$D$5:$D$110*(((Inputs!$G$5:$G$110="moeda")+(Inputs!$G$5:$G$110="acoes"))*Inputs!$B$1+((Inputs!$G$5:$G$110&lt;&gt;"moeda")*(Inputs!$G$5:$G$110&lt;&gt;"acoes")))*INDEX(Inputs!$K$5:$AJ$110,0,MATCH(AI$2,Inputs!$K$4:$AJ$4,0)))+SUMPRODUCT((Inputs!$E$5:$E$110=$B4)*Inputs!$F$5:$F$110*(((Inputs!$G$5:$G$110="moeda")+(Inputs!$G$5:$G$110="acoes"))*Inputs!$B$1+((Inputs!$G$5:$G$110&lt;&gt;"moeda")*(Inputs!$G$5:$G$110&lt;&gt;"acoes")))*INDEX(Inputs!$K$5:$AJ$110,0,MATCH(AI$2,Inputs!$K$4:$AJ$4,0)))))</f>
        <v>38297</v>
      </c>
      <c r="AJ4" s="6">
        <f>IF(ISNA(MATCH(AJ$2,Inputs!$K$4:$AJ$4,0)),NA(),IF(SUMPRODUCT((Inputs!$A$5:$A$110=$B4)*ISNUMBER(INDEX(Inputs!$K$5:$AJ$110,0,MATCH(AJ$2,Inputs!$K$4:$AJ$4,0))))+SUMPRODUCT((Inputs!$C$5:$C$110=$B4)*ISNUMBER(INDEX(Inputs!$K$5:$AJ$110,0,MATCH(AJ$2,Inputs!$K$4:$AJ$4,0))))+SUMPRODUCT((Inputs!$E$5:$E$110=$B4)*ISNUMBER(INDEX(Inputs!$K$5:$AJ$110,0,MATCH(AJ$2,Inputs!$K$4:$AJ$4,0))))=0,NA(),SUMPRODUCT((Inputs!$A$5:$A$110=$B4)*Inputs!$B$5:$B$110*(((Inputs!$G$5:$G$110="moeda")+(Inputs!$G$5:$G$110="acoes"))*Inputs!$B$1+((Inputs!$G$5:$G$110&lt;&gt;"moeda")*(Inputs!$G$5:$G$110&lt;&gt;"acoes")))*INDEX(Inputs!$K$5:$AJ$110,0,MATCH(AJ$2,Inputs!$K$4:$AJ$4,0)))+SUMPRODUCT((Inputs!$C$5:$C$110=$B4)*Inputs!$D$5:$D$110*(((Inputs!$G$5:$G$110="moeda")+(Inputs!$G$5:$G$110="acoes"))*Inputs!$B$1+((Inputs!$G$5:$G$110&lt;&gt;"moeda")*(Inputs!$G$5:$G$110&lt;&gt;"acoes")))*INDEX(Inputs!$K$5:$AJ$110,0,MATCH(AJ$2,Inputs!$K$4:$AJ$4,0)))+SUMPRODUCT((Inputs!$E$5:$E$110=$B4)*Inputs!$F$5:$F$110*(((Inputs!$G$5:$G$110="moeda")+(Inputs!$G$5:$G$110="acoes"))*Inputs!$B$1+((Inputs!$G$5:$G$110&lt;&gt;"moeda")*(Inputs!$G$5:$G$110&lt;&gt;"acoes")))*INDEX(Inputs!$K$5:$AJ$110,0,MATCH(AJ$2,Inputs!$K$4:$AJ$4,0)))))</f>
        <v>46173</v>
      </c>
      <c r="AK4" s="6">
        <f>IF(ISNA(MATCH(AK$2,Inputs!$K$4:$AJ$4,0)),NA(),IF(SUMPRODUCT((Inputs!$A$5:$A$110=$B4)*ISNUMBER(INDEX(Inputs!$K$5:$AJ$110,0,MATCH(AK$2,Inputs!$K$4:$AJ$4,0))))+SUMPRODUCT((Inputs!$C$5:$C$110=$B4)*ISNUMBER(INDEX(Inputs!$K$5:$AJ$110,0,MATCH(AK$2,Inputs!$K$4:$AJ$4,0))))+SUMPRODUCT((Inputs!$E$5:$E$110=$B4)*ISNUMBER(INDEX(Inputs!$K$5:$AJ$110,0,MATCH(AK$2,Inputs!$K$4:$AJ$4,0))))=0,NA(),SUMPRODUCT((Inputs!$A$5:$A$110=$B4)*Inputs!$B$5:$B$110*(((Inputs!$G$5:$G$110="moeda")+(Inputs!$G$5:$G$110="acoes"))*Inputs!$B$1+((Inputs!$G$5:$G$110&lt;&gt;"moeda")*(Inputs!$G$5:$G$110&lt;&gt;"acoes")))*INDEX(Inputs!$K$5:$AJ$110,0,MATCH(AK$2,Inputs!$K$4:$AJ$4,0)))+SUMPRODUCT((Inputs!$C$5:$C$110=$B4)*Inputs!$D$5:$D$110*(((Inputs!$G$5:$G$110="moeda")+(Inputs!$G$5:$G$110="acoes"))*Inputs!$B$1+((Inputs!$G$5:$G$110&lt;&gt;"moeda")*(Inputs!$G$5:$G$110&lt;&gt;"acoes")))*INDEX(Inputs!$K$5:$AJ$110,0,MATCH(AK$2,Inputs!$K$4:$AJ$4,0)))+SUMPRODUCT((Inputs!$E$5:$E$110=$B4)*Inputs!$F$5:$F$110*(((Inputs!$G$5:$G$110="moeda")+(Inputs!$G$5:$G$110="acoes"))*Inputs!$B$1+((Inputs!$G$5:$G$110&lt;&gt;"moeda")*(Inputs!$G$5:$G$110&lt;&gt;"acoes")))*INDEX(Inputs!$K$5:$AJ$110,0,MATCH(AK$2,Inputs!$K$4:$AJ$4,0)))))</f>
        <v>56898</v>
      </c>
      <c r="AL4" s="3">
        <f>SUM(AH4:AK4)</f>
        <v>182527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$110=$B5)*ISNUMBER(INDEX(Inputs!$K$5:$AJ$110,0,MATCH(D$2,Inputs!$K$4:$AJ$4,0))))+SUMPRODUCT((Inputs!$C$5:$C$110=$B5)*ISNUMBER(INDEX(Inputs!$K$5:$AJ$110,0,MATCH(D$2,Inputs!$K$4:$AJ$4,0))))+SUMPRODUCT((Inputs!$E$5:$E$110=$B5)*ISNUMBER(INDEX(Inputs!$K$5:$AJ$110,0,MATCH(D$2,Inputs!$K$4:$AJ$4,0))))=0,NA(),SUMPRODUCT((Inputs!$A$5:$A$110=$B5)*Inputs!$B$5:$B$110*(((Inputs!$G$5:$G$110="moeda")+(Inputs!$G$5:$G$110="acoes"))*Inputs!$B$1+((Inputs!$G$5:$G$110&lt;&gt;"moeda")*(Inputs!$G$5:$G$110&lt;&gt;"acoes")))*INDEX(Inputs!$K$5:$AJ$110,0,MATCH(D$2,Inputs!$K$4:$AJ$4,0)))+SUMPRODUCT((Inputs!$C$5:$C$110=$B5)*Inputs!$D$5:$D$110*(((Inputs!$G$5:$G$110="moeda")+(Inputs!$G$5:$G$110="acoes"))*Inputs!$B$1+((Inputs!$G$5:$G$110&lt;&gt;"moeda")*(Inputs!$G$5:$G$110&lt;&gt;"acoes")))*INDEX(Inputs!$K$5:$AJ$110,0,MATCH(D$2,Inputs!$K$4:$AJ$4,0)))+SUMPRODUCT((Inputs!$E$5:$E$110=$B5)*Inputs!$F$5:$F$110*(((Inputs!$G$5:$G$110="moeda")+(Inputs!$G$5:$G$110="acoes"))*Inputs!$B$1+((Inputs!$G$5:$G$110&lt;&gt;"moeda")*(Inputs!$G$5:$G$110&lt;&gt;"acoes")))*INDEX(Inputs!$K$5:$AJ$110,0,MATCH(D$2,Inputs!$K$4:$AJ$4,0)))))</f>
        <v>-24103</v>
      </c>
      <c r="E5" s="6">
        <f>IF(ISNA(MATCH(E$2,Inputs!$K$4:$AJ$4,0)),NA(),IF(SUMPRODUCT((Inputs!$A$5:$A$110=$B5)*ISNUMBER(INDEX(Inputs!$K$5:$AJ$110,0,MATCH(E$2,Inputs!$K$4:$AJ$4,0))))+SUMPRODUCT((Inputs!$C$5:$C$110=$B5)*ISNUMBER(INDEX(Inputs!$K$5:$AJ$110,0,MATCH(E$2,Inputs!$K$4:$AJ$4,0))))+SUMPRODUCT((Inputs!$E$5:$E$110=$B5)*ISNUMBER(INDEX(Inputs!$K$5:$AJ$110,0,MATCH(E$2,Inputs!$K$4:$AJ$4,0))))=0,NA(),SUMPRODUCT((Inputs!$A$5:$A$110=$B5)*Inputs!$B$5:$B$110*(((Inputs!$G$5:$G$110="moeda")+(Inputs!$G$5:$G$110="acoes"))*Inputs!$B$1+((Inputs!$G$5:$G$110&lt;&gt;"moeda")*(Inputs!$G$5:$G$110&lt;&gt;"acoes")))*INDEX(Inputs!$K$5:$AJ$110,0,MATCH(E$2,Inputs!$K$4:$AJ$4,0)))+SUMPRODUCT((Inputs!$C$5:$C$110=$B5)*Inputs!$D$5:$D$110*(((Inputs!$G$5:$G$110="moeda")+(Inputs!$G$5:$G$110="acoes"))*Inputs!$B$1+((Inputs!$G$5:$G$110&lt;&gt;"moeda")*(Inputs!$G$5:$G$110&lt;&gt;"acoes")))*INDEX(Inputs!$K$5:$AJ$110,0,MATCH(E$2,Inputs!$K$4:$AJ$4,0)))+SUMPRODUCT((Inputs!$E$5:$E$110=$B5)*Inputs!$F$5:$F$110*(((Inputs!$G$5:$G$110="moeda")+(Inputs!$G$5:$G$110="acoes"))*Inputs!$B$1+((Inputs!$G$5:$G$110&lt;&gt;"moeda")*(Inputs!$G$5:$G$110&lt;&gt;"acoes")))*INDEX(Inputs!$K$5:$AJ$110,0,MATCH(E$2,Inputs!$K$4:$AJ$4,0)))))</f>
        <v>-26227</v>
      </c>
      <c r="F5" s="6">
        <f>IF(ISNA(MATCH(F$2,Inputs!$K$4:$AJ$4,0)),NA(),IF(SUMPRODUCT((Inputs!$A$5:$A$110=$B5)*ISNUMBER(INDEX(Inputs!$K$5:$AJ$110,0,MATCH(F$2,Inputs!$K$4:$AJ$4,0))))+SUMPRODUCT((Inputs!$C$5:$C$110=$B5)*ISNUMBER(INDEX(Inputs!$K$5:$AJ$110,0,MATCH(F$2,Inputs!$K$4:$AJ$4,0))))+SUMPRODUCT((Inputs!$E$5:$E$110=$B5)*ISNUMBER(INDEX(Inputs!$K$5:$AJ$110,0,MATCH(F$2,Inputs!$K$4:$AJ$4,0))))=0,NA(),SUMPRODUCT((Inputs!$A$5:$A$110=$B5)*Inputs!$B$5:$B$110*(((Inputs!$G$5:$G$110="moeda")+(Inputs!$G$5:$G$110="acoes"))*Inputs!$B$1+((Inputs!$G$5:$G$110&lt;&gt;"moeda")*(Inputs!$G$5:$G$110&lt;&gt;"acoes")))*INDEX(Inputs!$K$5:$AJ$110,0,MATCH(F$2,Inputs!$K$4:$AJ$4,0)))+SUMPRODUCT((Inputs!$C$5:$C$110=$B5)*Inputs!$D$5:$D$110*(((Inputs!$G$5:$G$110="moeda")+(Inputs!$G$5:$G$110="acoes"))*Inputs!$B$1+((Inputs!$G$5:$G$110&lt;&gt;"moeda")*(Inputs!$G$5:$G$110&lt;&gt;"acoes")))*INDEX(Inputs!$K$5:$AJ$110,0,MATCH(F$2,Inputs!$K$4:$AJ$4,0)))+SUMPRODUCT((Inputs!$E$5:$E$110=$B5)*Inputs!$F$5:$F$110*(((Inputs!$G$5:$G$110="moeda")+(Inputs!$G$5:$G$110="acoes"))*Inputs!$B$1+((Inputs!$G$5:$G$110&lt;&gt;"moeda")*(Inputs!$G$5:$G$110&lt;&gt;"acoes")))*INDEX(Inputs!$K$5:$AJ$110,0,MATCH(F$2,Inputs!$K$4:$AJ$4,0)))))</f>
        <v>-27621</v>
      </c>
      <c r="G5" s="6">
        <f>IF(ISNA(MATCH(G$2,Inputs!$K$4:$AJ$4,0)),NA(),IF(SUMPRODUCT((Inputs!$A$5:$A$110=$B5)*ISNUMBER(INDEX(Inputs!$K$5:$AJ$110,0,MATCH(G$2,Inputs!$K$4:$AJ$4,0))))+SUMPRODUCT((Inputs!$C$5:$C$110=$B5)*ISNUMBER(INDEX(Inputs!$K$5:$AJ$110,0,MATCH(G$2,Inputs!$K$4:$AJ$4,0))))+SUMPRODUCT((Inputs!$E$5:$E$110=$B5)*ISNUMBER(INDEX(Inputs!$K$5:$AJ$110,0,MATCH(G$2,Inputs!$K$4:$AJ$4,0))))=0,NA(),SUMPRODUCT((Inputs!$A$5:$A$110=$B5)*Inputs!$B$5:$B$110*(((Inputs!$G$5:$G$110="moeda")+(Inputs!$G$5:$G$110="acoes"))*Inputs!$B$1+((Inputs!$G$5:$G$110&lt;&gt;"moeda")*(Inputs!$G$5:$G$110&lt;&gt;"acoes")))*INDEX(Inputs!$K$5:$AJ$110,0,MATCH(G$2,Inputs!$K$4:$AJ$4,0)))+SUMPRODUCT((Inputs!$C$5:$C$110=$B5)*Inputs!$D$5:$D$110*(((Inputs!$G$5:$G$110="moeda")+(Inputs!$G$5:$G$110="acoes"))*Inputs!$B$1+((Inputs!$G$5:$G$110&lt;&gt;"moeda")*(Inputs!$G$5:$G$110&lt;&gt;"acoes")))*INDEX(Inputs!$K$5:$AJ$110,0,MATCH(G$2,Inputs!$K$4:$AJ$4,0)))+SUMPRODUCT((Inputs!$E$5:$E$110=$B5)*Inputs!$F$5:$F$110*(((Inputs!$G$5:$G$110="moeda")+(Inputs!$G$5:$G$110="acoes"))*Inputs!$B$1+((Inputs!$G$5:$G$110&lt;&gt;"moeda")*(Inputs!$G$5:$G$110&lt;&gt;"acoes")))*INDEX(Inputs!$K$5:$AJ$110,0,MATCH(G$2,Inputs!$K$4:$AJ$4,0)))))</f>
        <v>-32988</v>
      </c>
      <c r="H5" s="3">
        <f>SUM(D5:G5)</f>
        <v>-110939</v>
      </c>
      <c r="I5" s="6">
        <f>IF(ISNA(MATCH(I$2,Inputs!$K$4:$AJ$4,0)),NA(),IF(SUMPRODUCT((Inputs!$A$5:$A$110=$B5)*ISNUMBER(INDEX(Inputs!$K$5:$AJ$110,0,MATCH(I$2,Inputs!$K$4:$AJ$4,0))))+SUMPRODUCT((Inputs!$C$5:$C$110=$B5)*ISNUMBER(INDEX(Inputs!$K$5:$AJ$110,0,MATCH(I$2,Inputs!$K$4:$AJ$4,0))))+SUMPRODUCT((Inputs!$E$5:$E$110=$B5)*ISNUMBER(INDEX(Inputs!$K$5:$AJ$110,0,MATCH(I$2,Inputs!$K$4:$AJ$4,0))))=0,NA(),SUMPRODUCT((Inputs!$A$5:$A$110=$B5)*Inputs!$B$5:$B$110*(((Inputs!$G$5:$G$110="moeda")+(Inputs!$G$5:$G$110="acoes"))*Inputs!$B$1+((Inputs!$G$5:$G$110&lt;&gt;"moeda")*(Inputs!$G$5:$G$110&lt;&gt;"acoes")))*INDEX(Inputs!$K$5:$AJ$110,0,MATCH(I$2,Inputs!$K$4:$AJ$4,0)))+SUMPRODUCT((Inputs!$C$5:$C$110=$B5)*Inputs!$D$5:$D$110*(((Inputs!$G$5:$G$110="moeda")+(Inputs!$G$5:$G$110="acoes"))*Inputs!$B$1+((Inputs!$G$5:$G$110&lt;&gt;"moeda")*(Inputs!$G$5:$G$110&lt;&gt;"acoes")))*INDEX(Inputs!$K$5:$AJ$110,0,MATCH(I$2,Inputs!$K$4:$AJ$4,0)))+SUMPRODUCT((Inputs!$E$5:$E$110=$B5)*Inputs!$F$5:$F$110*(((Inputs!$G$5:$G$110="moeda")+(Inputs!$G$5:$G$110="acoes"))*Inputs!$B$1+((Inputs!$G$5:$G$110&lt;&gt;"moeda")*(Inputs!$G$5:$G$110&lt;&gt;"acoes")))*INDEX(Inputs!$K$5:$AJ$110,0,MATCH(I$2,Inputs!$K$4:$AJ$4,0)))))</f>
        <v>-29599</v>
      </c>
      <c r="J5" s="6">
        <f>IF(ISNA(MATCH(J$2,Inputs!$K$4:$AJ$4,0)),NA(),IF(SUMPRODUCT((Inputs!$A$5:$A$110=$B5)*ISNUMBER(INDEX(Inputs!$K$5:$AJ$110,0,MATCH(J$2,Inputs!$K$4:$AJ$4,0))))+SUMPRODUCT((Inputs!$C$5:$C$110=$B5)*ISNUMBER(INDEX(Inputs!$K$5:$AJ$110,0,MATCH(J$2,Inputs!$K$4:$AJ$4,0))))+SUMPRODUCT((Inputs!$E$5:$E$110=$B5)*ISNUMBER(INDEX(Inputs!$K$5:$AJ$110,0,MATCH(J$2,Inputs!$K$4:$AJ$4,0))))=0,NA(),SUMPRODUCT((Inputs!$A$5:$A$110=$B5)*Inputs!$B$5:$B$110*(((Inputs!$G$5:$G$110="moeda")+(Inputs!$G$5:$G$110="acoes"))*Inputs!$B$1+((Inputs!$G$5:$G$110&lt;&gt;"moeda")*(Inputs!$G$5:$G$110&lt;&gt;"acoes")))*INDEX(Inputs!$K$5:$AJ$110,0,MATCH(J$2,Inputs!$K$4:$AJ$4,0)))+SUMPRODUCT((Inputs!$C$5:$C$110=$B5)*Inputs!$D$5:$D$110*(((Inputs!$G$5:$G$110="moeda")+(Inputs!$G$5:$G$110="acoes"))*Inputs!$B$1+((Inputs!$G$5:$G$110&lt;&gt;"moeda")*(Inputs!$G$5:$G$110&lt;&gt;"acoes")))*INDEX(Inputs!$K$5:$AJ$110,0,MATCH(J$2,Inputs!$K$4:$AJ$4,0)))+SUMPRODUCT((Inputs!$E$5:$E$110=$B5)*Inputs!$F$5:$F$110*(((Inputs!$G$5:$G$110="moeda")+(Inputs!$G$5:$G$110="acoes"))*Inputs!$B$1+((Inputs!$G$5:$G$110&lt;&gt;"moeda")*(Inputs!$G$5:$G$110&lt;&gt;"acoes")))*INDEX(Inputs!$K$5:$AJ$110,0,MATCH(J$2,Inputs!$K$4:$AJ$4,0)))))</f>
        <v>-30104</v>
      </c>
      <c r="K5" s="6">
        <f>IF(ISNA(MATCH(K$2,Inputs!$K$4:$AJ$4,0)),NA(),IF(SUMPRODUCT((Inputs!$A$5:$A$110=$B5)*ISNUMBER(INDEX(Inputs!$K$5:$AJ$110,0,MATCH(K$2,Inputs!$K$4:$AJ$4,0))))+SUMPRODUCT((Inputs!$C$5:$C$110=$B5)*ISNUMBER(INDEX(Inputs!$K$5:$AJ$110,0,MATCH(K$2,Inputs!$K$4:$AJ$4,0))))+SUMPRODUCT((Inputs!$E$5:$E$110=$B5)*ISNUMBER(INDEX(Inputs!$K$5:$AJ$110,0,MATCH(K$2,Inputs!$K$4:$AJ$4,0))))=0,NA(),SUMPRODUCT((Inputs!$A$5:$A$110=$B5)*Inputs!$B$5:$B$110*(((Inputs!$G$5:$G$110="moeda")+(Inputs!$G$5:$G$110="acoes"))*Inputs!$B$1+((Inputs!$G$5:$G$110&lt;&gt;"moeda")*(Inputs!$G$5:$G$110&lt;&gt;"acoes")))*INDEX(Inputs!$K$5:$AJ$110,0,MATCH(K$2,Inputs!$K$4:$AJ$4,0)))+SUMPRODUCT((Inputs!$C$5:$C$110=$B5)*Inputs!$D$5:$D$110*(((Inputs!$G$5:$G$110="moeda")+(Inputs!$G$5:$G$110="acoes"))*Inputs!$B$1+((Inputs!$G$5:$G$110&lt;&gt;"moeda")*(Inputs!$G$5:$G$110&lt;&gt;"acoes")))*INDEX(Inputs!$K$5:$AJ$110,0,MATCH(K$2,Inputs!$K$4:$AJ$4,0)))+SUMPRODUCT((Inputs!$E$5:$E$110=$B5)*Inputs!$F$5:$F$110*(((Inputs!$G$5:$G$110="moeda")+(Inputs!$G$5:$G$110="acoes"))*Inputs!$B$1+((Inputs!$G$5:$G$110&lt;&gt;"moeda")*(Inputs!$G$5:$G$110&lt;&gt;"acoes")))*INDEX(Inputs!$K$5:$AJ$110,0,MATCH(K$2,Inputs!$K$4:$AJ$4,0)))))</f>
        <v>-31158</v>
      </c>
      <c r="L5" s="6">
        <f>IF(ISNA(MATCH(L$2,Inputs!$K$4:$AJ$4,0)),NA(),IF(SUMPRODUCT((Inputs!$A$5:$A$110=$B5)*ISNUMBER(INDEX(Inputs!$K$5:$AJ$110,0,MATCH(L$2,Inputs!$K$4:$AJ$4,0))))+SUMPRODUCT((Inputs!$C$5:$C$110=$B5)*ISNUMBER(INDEX(Inputs!$K$5:$AJ$110,0,MATCH(L$2,Inputs!$K$4:$AJ$4,0))))+SUMPRODUCT((Inputs!$E$5:$E$110=$B5)*ISNUMBER(INDEX(Inputs!$K$5:$AJ$110,0,MATCH(L$2,Inputs!$K$4:$AJ$4,0))))=0,NA(),SUMPRODUCT((Inputs!$A$5:$A$110=$B5)*Inputs!$B$5:$B$110*(((Inputs!$G$5:$G$110="moeda")+(Inputs!$G$5:$G$110="acoes"))*Inputs!$B$1+((Inputs!$G$5:$G$110&lt;&gt;"moeda")*(Inputs!$G$5:$G$110&lt;&gt;"acoes")))*INDEX(Inputs!$K$5:$AJ$110,0,MATCH(L$2,Inputs!$K$4:$AJ$4,0)))+SUMPRODUCT((Inputs!$C$5:$C$110=$B5)*Inputs!$D$5:$D$110*(((Inputs!$G$5:$G$110="moeda")+(Inputs!$G$5:$G$110="acoes"))*Inputs!$B$1+((Inputs!$G$5:$G$110&lt;&gt;"moeda")*(Inputs!$G$5:$G$110&lt;&gt;"acoes")))*INDEX(Inputs!$K$5:$AJ$110,0,MATCH(L$2,Inputs!$K$4:$AJ$4,0)))+SUMPRODUCT((Inputs!$E$5:$E$110=$B5)*Inputs!$F$5:$F$110*(((Inputs!$G$5:$G$110="moeda")+(Inputs!$G$5:$G$110="acoes"))*Inputs!$B$1+((Inputs!$G$5:$G$110&lt;&gt;"moeda")*(Inputs!$G$5:$G$110&lt;&gt;"acoes")))*INDEX(Inputs!$K$5:$AJ$110,0,MATCH(L$2,Inputs!$K$4:$AJ$4,0)))))</f>
        <v>-35342</v>
      </c>
      <c r="M5" s="3">
        <f>SUM(I5:L5)</f>
        <v>-126203</v>
      </c>
      <c r="N5" s="6">
        <f>IF(ISNA(MATCH(N$2,Inputs!$K$4:$AJ$4,0)),NA(),IF(SUMPRODUCT((Inputs!$A$5:$A$110=$B5)*ISNUMBER(INDEX(Inputs!$K$5:$AJ$110,0,MATCH(N$2,Inputs!$K$4:$AJ$4,0))))+SUMPRODUCT((Inputs!$C$5:$C$110=$B5)*ISNUMBER(INDEX(Inputs!$K$5:$AJ$110,0,MATCH(N$2,Inputs!$K$4:$AJ$4,0))))+SUMPRODUCT((Inputs!$E$5:$E$110=$B5)*ISNUMBER(INDEX(Inputs!$K$5:$AJ$110,0,MATCH(N$2,Inputs!$K$4:$AJ$4,0))))=0,NA(),SUMPRODUCT((Inputs!$A$5:$A$110=$B5)*Inputs!$B$5:$B$110*(((Inputs!$G$5:$G$110="moeda")+(Inputs!$G$5:$G$110="acoes"))*Inputs!$B$1+((Inputs!$G$5:$G$110&lt;&gt;"moeda")*(Inputs!$G$5:$G$110&lt;&gt;"acoes")))*INDEX(Inputs!$K$5:$AJ$110,0,MATCH(N$2,Inputs!$K$4:$AJ$4,0)))+SUMPRODUCT((Inputs!$C$5:$C$110=$B5)*Inputs!$D$5:$D$110*(((Inputs!$G$5:$G$110="moeda")+(Inputs!$G$5:$G$110="acoes"))*Inputs!$B$1+((Inputs!$G$5:$G$110&lt;&gt;"moeda")*(Inputs!$G$5:$G$110&lt;&gt;"acoes")))*INDEX(Inputs!$K$5:$AJ$110,0,MATCH(N$2,Inputs!$K$4:$AJ$4,0)))+SUMPRODUCT((Inputs!$E$5:$E$110=$B5)*Inputs!$F$5:$F$110*(((Inputs!$G$5:$G$110="moeda")+(Inputs!$G$5:$G$110="acoes"))*Inputs!$B$1+((Inputs!$G$5:$G$110&lt;&gt;"moeda")*(Inputs!$G$5:$G$110&lt;&gt;"acoes")))*INDEX(Inputs!$K$5:$AJ$110,0,MATCH(N$2,Inputs!$K$4:$AJ$4,0)))))</f>
        <v>-30612</v>
      </c>
      <c r="O5" s="6">
        <f>IF(ISNA(MATCH(O$2,Inputs!$K$4:$AJ$4,0)),NA(),IF(SUMPRODUCT((Inputs!$A$5:$A$110=$B5)*ISNUMBER(INDEX(Inputs!$K$5:$AJ$110,0,MATCH(O$2,Inputs!$K$4:$AJ$4,0))))+SUMPRODUCT((Inputs!$C$5:$C$110=$B5)*ISNUMBER(INDEX(Inputs!$K$5:$AJ$110,0,MATCH(O$2,Inputs!$K$4:$AJ$4,0))))+SUMPRODUCT((Inputs!$E$5:$E$110=$B5)*ISNUMBER(INDEX(Inputs!$K$5:$AJ$110,0,MATCH(O$2,Inputs!$K$4:$AJ$4,0))))=0,NA(),SUMPRODUCT((Inputs!$A$5:$A$110=$B5)*Inputs!$B$5:$B$110*(((Inputs!$G$5:$G$110="moeda")+(Inputs!$G$5:$G$110="acoes"))*Inputs!$B$1+((Inputs!$G$5:$G$110&lt;&gt;"moeda")*(Inputs!$G$5:$G$110&lt;&gt;"acoes")))*INDEX(Inputs!$K$5:$AJ$110,0,MATCH(O$2,Inputs!$K$4:$AJ$4,0)))+SUMPRODUCT((Inputs!$C$5:$C$110=$B5)*Inputs!$D$5:$D$110*(((Inputs!$G$5:$G$110="moeda")+(Inputs!$G$5:$G$110="acoes"))*Inputs!$B$1+((Inputs!$G$5:$G$110&lt;&gt;"moeda")*(Inputs!$G$5:$G$110&lt;&gt;"acoes")))*INDEX(Inputs!$K$5:$AJ$110,0,MATCH(O$2,Inputs!$K$4:$AJ$4,0)))+SUMPRODUCT((Inputs!$E$5:$E$110=$B5)*Inputs!$F$5:$F$110*(((Inputs!$G$5:$G$110="moeda")+(Inputs!$G$5:$G$110="acoes"))*Inputs!$B$1+((Inputs!$G$5:$G$110&lt;&gt;"moeda")*(Inputs!$G$5:$G$110&lt;&gt;"acoes")))*INDEX(Inputs!$K$5:$AJ$110,0,MATCH(O$2,Inputs!$K$4:$AJ$4,0)))))</f>
        <v>-31916</v>
      </c>
      <c r="P5" s="6">
        <f>IF(ISNA(MATCH(P$2,Inputs!$K$4:$AJ$4,0)),NA(),IF(SUMPRODUCT((Inputs!$A$5:$A$110=$B5)*ISNUMBER(INDEX(Inputs!$K$5:$AJ$110,0,MATCH(P$2,Inputs!$K$4:$AJ$4,0))))+SUMPRODUCT((Inputs!$C$5:$C$110=$B5)*ISNUMBER(INDEX(Inputs!$K$5:$AJ$110,0,MATCH(P$2,Inputs!$K$4:$AJ$4,0))))+SUMPRODUCT((Inputs!$E$5:$E$110=$B5)*ISNUMBER(INDEX(Inputs!$K$5:$AJ$110,0,MATCH(P$2,Inputs!$K$4:$AJ$4,0))))=0,NA(),SUMPRODUCT((Inputs!$A$5:$A$110=$B5)*Inputs!$B$5:$B$110*(((Inputs!$G$5:$G$110="moeda")+(Inputs!$G$5:$G$110="acoes"))*Inputs!$B$1+((Inputs!$G$5:$G$110&lt;&gt;"moeda")*(Inputs!$G$5:$G$110&lt;&gt;"acoes")))*INDEX(Inputs!$K$5:$AJ$110,0,MATCH(P$2,Inputs!$K$4:$AJ$4,0)))+SUMPRODUCT((Inputs!$C$5:$C$110=$B5)*Inputs!$D$5:$D$110*(((Inputs!$G$5:$G$110="moeda")+(Inputs!$G$5:$G$110="acoes"))*Inputs!$B$1+((Inputs!$G$5:$G$110&lt;&gt;"moeda")*(Inputs!$G$5:$G$110&lt;&gt;"acoes")))*INDEX(Inputs!$K$5:$AJ$110,0,MATCH(P$2,Inputs!$K$4:$AJ$4,0)))+SUMPRODUCT((Inputs!$E$5:$E$110=$B5)*Inputs!$F$5:$F$110*(((Inputs!$G$5:$G$110="moeda")+(Inputs!$G$5:$G$110="acoes"))*Inputs!$B$1+((Inputs!$G$5:$G$110&lt;&gt;"moeda")*(Inputs!$G$5:$G$110&lt;&gt;"acoes")))*INDEX(Inputs!$K$5:$AJ$110,0,MATCH(P$2,Inputs!$K$4:$AJ$4,0)))))</f>
        <v>-33229</v>
      </c>
      <c r="Q5" s="6">
        <f>IF(ISNA(MATCH(Q$2,Inputs!$K$4:$AJ$4,0)),NA(),IF(SUMPRODUCT((Inputs!$A$5:$A$110=$B5)*ISNUMBER(INDEX(Inputs!$K$5:$AJ$110,0,MATCH(Q$2,Inputs!$K$4:$AJ$4,0))))+SUMPRODUCT((Inputs!$C$5:$C$110=$B5)*ISNUMBER(INDEX(Inputs!$K$5:$AJ$110,0,MATCH(Q$2,Inputs!$K$4:$AJ$4,0))))+SUMPRODUCT((Inputs!$E$5:$E$110=$B5)*ISNUMBER(INDEX(Inputs!$K$5:$AJ$110,0,MATCH(Q$2,Inputs!$K$4:$AJ$4,0))))=0,NA(),SUMPRODUCT((Inputs!$A$5:$A$110=$B5)*Inputs!$B$5:$B$110*(((Inputs!$G$5:$G$110="moeda")+(Inputs!$G$5:$G$110="acoes"))*Inputs!$B$1+((Inputs!$G$5:$G$110&lt;&gt;"moeda")*(Inputs!$G$5:$G$110&lt;&gt;"acoes")))*INDEX(Inputs!$K$5:$AJ$110,0,MATCH(Q$2,Inputs!$K$4:$AJ$4,0)))+SUMPRODUCT((Inputs!$C$5:$C$110=$B5)*Inputs!$D$5:$D$110*(((Inputs!$G$5:$G$110="moeda")+(Inputs!$G$5:$G$110="acoes"))*Inputs!$B$1+((Inputs!$G$5:$G$110&lt;&gt;"moeda")*(Inputs!$G$5:$G$110&lt;&gt;"acoes")))*INDEX(Inputs!$K$5:$AJ$110,0,MATCH(Q$2,Inputs!$K$4:$AJ$4,0)))+SUMPRODUCT((Inputs!$E$5:$E$110=$B5)*Inputs!$F$5:$F$110*(((Inputs!$G$5:$G$110="moeda")+(Inputs!$G$5:$G$110="acoes"))*Inputs!$B$1+((Inputs!$G$5:$G$110&lt;&gt;"moeda")*(Inputs!$G$5:$G$110&lt;&gt;"acoes")))*INDEX(Inputs!$K$5:$AJ$110,0,MATCH(Q$2,Inputs!$K$4:$AJ$4,0)))))</f>
        <v>-37575</v>
      </c>
      <c r="R5" s="3">
        <f>SUM(N5:Q5)</f>
        <v>-133332</v>
      </c>
      <c r="S5" s="6">
        <f>IF(ISNA(MATCH(S$2,Inputs!$K$4:$AJ$4,0)),NA(),IF(SUMPRODUCT((Inputs!$A$5:$A$110=$B5)*ISNUMBER(INDEX(Inputs!$K$5:$AJ$110,0,MATCH(S$2,Inputs!$K$4:$AJ$4,0))))+SUMPRODUCT((Inputs!$C$5:$C$110=$B5)*ISNUMBER(INDEX(Inputs!$K$5:$AJ$110,0,MATCH(S$2,Inputs!$K$4:$AJ$4,0))))+SUMPRODUCT((Inputs!$E$5:$E$110=$B5)*ISNUMBER(INDEX(Inputs!$K$5:$AJ$110,0,MATCH(S$2,Inputs!$K$4:$AJ$4,0))))=0,NA(),SUMPRODUCT((Inputs!$A$5:$A$110=$B5)*Inputs!$B$5:$B$110*(((Inputs!$G$5:$G$110="moeda")+(Inputs!$G$5:$G$110="acoes"))*Inputs!$B$1+((Inputs!$G$5:$G$110&lt;&gt;"moeda")*(Inputs!$G$5:$G$110&lt;&gt;"acoes")))*INDEX(Inputs!$K$5:$AJ$110,0,MATCH(S$2,Inputs!$K$4:$AJ$4,0)))+SUMPRODUCT((Inputs!$C$5:$C$110=$B5)*Inputs!$D$5:$D$110*(((Inputs!$G$5:$G$110="moeda")+(Inputs!$G$5:$G$110="acoes"))*Inputs!$B$1+((Inputs!$G$5:$G$110&lt;&gt;"moeda")*(Inputs!$G$5:$G$110&lt;&gt;"acoes")))*INDEX(Inputs!$K$5:$AJ$110,0,MATCH(S$2,Inputs!$K$4:$AJ$4,0)))+SUMPRODUCT((Inputs!$E$5:$E$110=$B5)*Inputs!$F$5:$F$110*(((Inputs!$G$5:$G$110="moeda")+(Inputs!$G$5:$G$110="acoes"))*Inputs!$B$1+((Inputs!$G$5:$G$110&lt;&gt;"moeda")*(Inputs!$G$5:$G$110&lt;&gt;"acoes")))*INDEX(Inputs!$K$5:$AJ$110,0,MATCH(S$2,Inputs!$K$4:$AJ$4,0)))))</f>
        <v>-33712</v>
      </c>
      <c r="T5" s="6">
        <f>IF(ISNA(MATCH(T$2,Inputs!$K$4:$AJ$4,0)),NA(),IF(SUMPRODUCT((Inputs!$A$5:$A$110=$B5)*ISNUMBER(INDEX(Inputs!$K$5:$AJ$110,0,MATCH(T$2,Inputs!$K$4:$AJ$4,0))))+SUMPRODUCT((Inputs!$C$5:$C$110=$B5)*ISNUMBER(INDEX(Inputs!$K$5:$AJ$110,0,MATCH(T$2,Inputs!$K$4:$AJ$4,0))))+SUMPRODUCT((Inputs!$E$5:$E$110=$B5)*ISNUMBER(INDEX(Inputs!$K$5:$AJ$110,0,MATCH(T$2,Inputs!$K$4:$AJ$4,0))))=0,NA(),SUMPRODUCT((Inputs!$A$5:$A$110=$B5)*Inputs!$B$5:$B$110*(((Inputs!$G$5:$G$110="moeda")+(Inputs!$G$5:$G$110="acoes"))*Inputs!$B$1+((Inputs!$G$5:$G$110&lt;&gt;"moeda")*(Inputs!$G$5:$G$110&lt;&gt;"acoes")))*INDEX(Inputs!$K$5:$AJ$110,0,MATCH(T$2,Inputs!$K$4:$AJ$4,0)))+SUMPRODUCT((Inputs!$C$5:$C$110=$B5)*Inputs!$D$5:$D$110*(((Inputs!$G$5:$G$110="moeda")+(Inputs!$G$5:$G$110="acoes"))*Inputs!$B$1+((Inputs!$G$5:$G$110&lt;&gt;"moeda")*(Inputs!$G$5:$G$110&lt;&gt;"acoes")))*INDEX(Inputs!$K$5:$AJ$110,0,MATCH(T$2,Inputs!$K$4:$AJ$4,0)))+SUMPRODUCT((Inputs!$E$5:$E$110=$B5)*Inputs!$F$5:$F$110*(((Inputs!$G$5:$G$110="moeda")+(Inputs!$G$5:$G$110="acoes"))*Inputs!$B$1+((Inputs!$G$5:$G$110&lt;&gt;"moeda")*(Inputs!$G$5:$G$110&lt;&gt;"acoes")))*INDEX(Inputs!$K$5:$AJ$110,0,MATCH(T$2,Inputs!$K$4:$AJ$4,0)))))</f>
        <v>-35507</v>
      </c>
      <c r="U5" s="6">
        <f>IF(ISNA(MATCH(U$2,Inputs!$K$4:$AJ$4,0)),NA(),IF(SUMPRODUCT((Inputs!$A$5:$A$110=$B5)*ISNUMBER(INDEX(Inputs!$K$5:$AJ$110,0,MATCH(U$2,Inputs!$K$4:$AJ$4,0))))+SUMPRODUCT((Inputs!$C$5:$C$110=$B5)*ISNUMBER(INDEX(Inputs!$K$5:$AJ$110,0,MATCH(U$2,Inputs!$K$4:$AJ$4,0))))+SUMPRODUCT((Inputs!$E$5:$E$110=$B5)*ISNUMBER(INDEX(Inputs!$K$5:$AJ$110,0,MATCH(U$2,Inputs!$K$4:$AJ$4,0))))=0,NA(),SUMPRODUCT((Inputs!$A$5:$A$110=$B5)*Inputs!$B$5:$B$110*(((Inputs!$G$5:$G$110="moeda")+(Inputs!$G$5:$G$110="acoes"))*Inputs!$B$1+((Inputs!$G$5:$G$110&lt;&gt;"moeda")*(Inputs!$G$5:$G$110&lt;&gt;"acoes")))*INDEX(Inputs!$K$5:$AJ$110,0,MATCH(U$2,Inputs!$K$4:$AJ$4,0)))+SUMPRODUCT((Inputs!$C$5:$C$110=$B5)*Inputs!$D$5:$D$110*(((Inputs!$G$5:$G$110="moeda")+(Inputs!$G$5:$G$110="acoes"))*Inputs!$B$1+((Inputs!$G$5:$G$110&lt;&gt;"moeda")*(Inputs!$G$5:$G$110&lt;&gt;"acoes")))*INDEX(Inputs!$K$5:$AJ$110,0,MATCH(U$2,Inputs!$K$4:$AJ$4,0)))+SUMPRODUCT((Inputs!$E$5:$E$110=$B5)*Inputs!$F$5:$F$110*(((Inputs!$G$5:$G$110="moeda")+(Inputs!$G$5:$G$110="acoes"))*Inputs!$B$1+((Inputs!$G$5:$G$110&lt;&gt;"moeda")*(Inputs!$G$5:$G$110&lt;&gt;"acoes")))*INDEX(Inputs!$K$5:$AJ$110,0,MATCH(U$2,Inputs!$K$4:$AJ$4,0)))))</f>
        <v>-36474</v>
      </c>
      <c r="V5" s="6">
        <f>IF(ISNA(MATCH(V$2,Inputs!$K$4:$AJ$4,0)),NA(),IF(SUMPRODUCT((Inputs!$A$5:$A$110=$B5)*ISNUMBER(INDEX(Inputs!$K$5:$AJ$110,0,MATCH(V$2,Inputs!$K$4:$AJ$4,0))))+SUMPRODUCT((Inputs!$C$5:$C$110=$B5)*ISNUMBER(INDEX(Inputs!$K$5:$AJ$110,0,MATCH(V$2,Inputs!$K$4:$AJ$4,0))))+SUMPRODUCT((Inputs!$E$5:$E$110=$B5)*ISNUMBER(INDEX(Inputs!$K$5:$AJ$110,0,MATCH(V$2,Inputs!$K$4:$AJ$4,0))))=0,NA(),SUMPRODUCT((Inputs!$A$5:$A$110=$B5)*Inputs!$B$5:$B$110*(((Inputs!$G$5:$G$110="moeda")+(Inputs!$G$5:$G$110="acoes"))*Inputs!$B$1+((Inputs!$G$5:$G$110&lt;&gt;"moeda")*(Inputs!$G$5:$G$110&lt;&gt;"acoes")))*INDEX(Inputs!$K$5:$AJ$110,0,MATCH(V$2,Inputs!$K$4:$AJ$4,0)))+SUMPRODUCT((Inputs!$C$5:$C$110=$B5)*Inputs!$D$5:$D$110*(((Inputs!$G$5:$G$110="moeda")+(Inputs!$G$5:$G$110="acoes"))*Inputs!$B$1+((Inputs!$G$5:$G$110&lt;&gt;"moeda")*(Inputs!$G$5:$G$110&lt;&gt;"acoes")))*INDEX(Inputs!$K$5:$AJ$110,0,MATCH(V$2,Inputs!$K$4:$AJ$4,0)))+SUMPRODUCT((Inputs!$E$5:$E$110=$B5)*Inputs!$F$5:$F$110*(((Inputs!$G$5:$G$110="moeda")+(Inputs!$G$5:$G$110="acoes"))*Inputs!$B$1+((Inputs!$G$5:$G$110&lt;&gt;"moeda")*(Inputs!$G$5:$G$110&lt;&gt;"acoes")))*INDEX(Inputs!$K$5:$AJ$110,0,MATCH(V$2,Inputs!$K$4:$AJ$4,0)))))</f>
        <v>-40613</v>
      </c>
      <c r="W5" s="3">
        <f>SUM(S5:V5)</f>
        <v>-146306</v>
      </c>
      <c r="X5" s="6">
        <f>IF(ISNA(MATCH(X$2,Inputs!$K$4:$AJ$4,0)),NA(),IF(SUMPRODUCT((Inputs!$A$5:$A$110=$B5)*ISNUMBER(INDEX(Inputs!$K$5:$AJ$110,0,MATCH(X$2,Inputs!$K$4:$AJ$4,0))))+SUMPRODUCT((Inputs!$C$5:$C$110=$B5)*ISNUMBER(INDEX(Inputs!$K$5:$AJ$110,0,MATCH(X$2,Inputs!$K$4:$AJ$4,0))))+SUMPRODUCT((Inputs!$E$5:$E$110=$B5)*ISNUMBER(INDEX(Inputs!$K$5:$AJ$110,0,MATCH(X$2,Inputs!$K$4:$AJ$4,0))))=0,NA(),SUMPRODUCT((Inputs!$A$5:$A$110=$B5)*Inputs!$B$5:$B$110*(((Inputs!$G$5:$G$110="moeda")+(Inputs!$G$5:$G$110="acoes"))*Inputs!$B$1+((Inputs!$G$5:$G$110&lt;&gt;"moeda")*(Inputs!$G$5:$G$110&lt;&gt;"acoes")))*INDEX(Inputs!$K$5:$AJ$110,0,MATCH(X$2,Inputs!$K$4:$AJ$4,0)))+SUMPRODUCT((Inputs!$C$5:$C$110=$B5)*Inputs!$D$5:$D$110*(((Inputs!$G$5:$G$110="moeda")+(Inputs!$G$5:$G$110="acoes"))*Inputs!$B$1+((Inputs!$G$5:$G$110&lt;&gt;"moeda")*(Inputs!$G$5:$G$110&lt;&gt;"acoes")))*INDEX(Inputs!$K$5:$AJ$110,0,MATCH(X$2,Inputs!$K$4:$AJ$4,0)))+SUMPRODUCT((Inputs!$E$5:$E$110=$B5)*Inputs!$F$5:$F$110*(((Inputs!$G$5:$G$110="moeda")+(Inputs!$G$5:$G$110="acoes"))*Inputs!$B$1+((Inputs!$G$5:$G$110&lt;&gt;"moeda")*(Inputs!$G$5:$G$110&lt;&gt;"acoes")))*INDEX(Inputs!$K$5:$AJ$110,0,MATCH(X$2,Inputs!$K$4:$AJ$4,0)))))</f>
        <v>-36361</v>
      </c>
      <c r="Y5" s="6">
        <f>IF(ISNA(MATCH(Y$2,Inputs!$K$4:$AJ$4,0)),NA(),IF(SUMPRODUCT((Inputs!$A$5:$A$110=$B5)*ISNUMBER(INDEX(Inputs!$K$5:$AJ$110,0,MATCH(Y$2,Inputs!$K$4:$AJ$4,0))))+SUMPRODUCT((Inputs!$C$5:$C$110=$B5)*ISNUMBER(INDEX(Inputs!$K$5:$AJ$110,0,MATCH(Y$2,Inputs!$K$4:$AJ$4,0))))+SUMPRODUCT((Inputs!$E$5:$E$110=$B5)*ISNUMBER(INDEX(Inputs!$K$5:$AJ$110,0,MATCH(Y$2,Inputs!$K$4:$AJ$4,0))))=0,NA(),SUMPRODUCT((Inputs!$A$5:$A$110=$B5)*Inputs!$B$5:$B$110*(((Inputs!$G$5:$G$110="moeda")+(Inputs!$G$5:$G$110="acoes"))*Inputs!$B$1+((Inputs!$G$5:$G$110&lt;&gt;"moeda")*(Inputs!$G$5:$G$110&lt;&gt;"acoes")))*INDEX(Inputs!$K$5:$AJ$110,0,MATCH(Y$2,Inputs!$K$4:$AJ$4,0)))+SUMPRODUCT((Inputs!$C$5:$C$110=$B5)*Inputs!$D$5:$D$110*(((Inputs!$G$5:$G$110="moeda")+(Inputs!$G$5:$G$110="acoes"))*Inputs!$B$1+((Inputs!$G$5:$G$110&lt;&gt;"moeda")*(Inputs!$G$5:$G$110&lt;&gt;"acoes")))*INDEX(Inputs!$K$5:$AJ$110,0,MATCH(Y$2,Inputs!$K$4:$AJ$4,0)))+SUMPRODUCT((Inputs!$E$5:$E$110=$B5)*Inputs!$F$5:$F$110*(((Inputs!$G$5:$G$110="moeda")+(Inputs!$G$5:$G$110="acoes"))*Inputs!$B$1+((Inputs!$G$5:$G$110&lt;&gt;"moeda")*(Inputs!$G$5:$G$110&lt;&gt;"acoes")))*INDEX(Inputs!$K$5:$AJ$110,0,MATCH(Y$2,Inputs!$K$4:$AJ$4,0)))))</f>
        <v>-39039</v>
      </c>
      <c r="Z5" s="6">
        <f>IF(ISNA(MATCH(Z$2,Inputs!$K$4:$AJ$4,0)),NA(),IF(SUMPRODUCT((Inputs!$A$5:$A$110=$B5)*ISNUMBER(INDEX(Inputs!$K$5:$AJ$110,0,MATCH(Z$2,Inputs!$K$4:$AJ$4,0))))+SUMPRODUCT((Inputs!$C$5:$C$110=$B5)*ISNUMBER(INDEX(Inputs!$K$5:$AJ$110,0,MATCH(Z$2,Inputs!$K$4:$AJ$4,0))))+SUMPRODUCT((Inputs!$E$5:$E$110=$B5)*ISNUMBER(INDEX(Inputs!$K$5:$AJ$110,0,MATCH(Z$2,Inputs!$K$4:$AJ$4,0))))=0,NA(),SUMPRODUCT((Inputs!$A$5:$A$110=$B5)*Inputs!$B$5:$B$110*(((Inputs!$G$5:$G$110="moeda")+(Inputs!$G$5:$G$110="acoes"))*Inputs!$B$1+((Inputs!$G$5:$G$110&lt;&gt;"moeda")*(Inputs!$G$5:$G$110&lt;&gt;"acoes")))*INDEX(Inputs!$K$5:$AJ$110,0,MATCH(Z$2,Inputs!$K$4:$AJ$4,0)))+SUMPRODUCT((Inputs!$C$5:$C$110=$B5)*Inputs!$D$5:$D$110*(((Inputs!$G$5:$G$110="moeda")+(Inputs!$G$5:$G$110="acoes"))*Inputs!$B$1+((Inputs!$G$5:$G$110&lt;&gt;"moeda")*(Inputs!$G$5:$G$110&lt;&gt;"acoes")))*INDEX(Inputs!$K$5:$AJ$110,0,MATCH(Z$2,Inputs!$K$4:$AJ$4,0)))+SUMPRODUCT((Inputs!$E$5:$E$110=$B5)*Inputs!$F$5:$F$110*(((Inputs!$G$5:$G$110="moeda")+(Inputs!$G$5:$G$110="acoes"))*Inputs!$B$1+((Inputs!$G$5:$G$110&lt;&gt;"moeda")*(Inputs!$G$5:$G$110&lt;&gt;"acoes")))*INDEX(Inputs!$K$5:$AJ$110,0,MATCH(Z$2,Inputs!$K$4:$AJ$4,0)))))</f>
        <v>-41369</v>
      </c>
      <c r="AA5" s="6">
        <f>IF(ISNA(MATCH(AA$2,Inputs!$K$4:$AJ$4,0)),NA(),IF(SUMPRODUCT((Inputs!$A$5:$A$110=$B5)*ISNUMBER(INDEX(Inputs!$K$5:$AJ$110,0,MATCH(AA$2,Inputs!$K$4:$AJ$4,0))))+SUMPRODUCT((Inputs!$C$5:$C$110=$B5)*ISNUMBER(INDEX(Inputs!$K$5:$AJ$110,0,MATCH(AA$2,Inputs!$K$4:$AJ$4,0))))+SUMPRODUCT((Inputs!$E$5:$E$110=$B5)*ISNUMBER(INDEX(Inputs!$K$5:$AJ$110,0,MATCH(AA$2,Inputs!$K$4:$AJ$4,0))))=0,NA(),SUMPRODUCT((Inputs!$A$5:$A$110=$B5)*Inputs!$B$5:$B$110*(((Inputs!$G$5:$G$110="moeda")+(Inputs!$G$5:$G$110="acoes"))*Inputs!$B$1+((Inputs!$G$5:$G$110&lt;&gt;"moeda")*(Inputs!$G$5:$G$110&lt;&gt;"acoes")))*INDEX(Inputs!$K$5:$AJ$110,0,MATCH(AA$2,Inputs!$K$4:$AJ$4,0)))+SUMPRODUCT((Inputs!$C$5:$C$110=$B5)*Inputs!$D$5:$D$110*(((Inputs!$G$5:$G$110="moeda")+(Inputs!$G$5:$G$110="acoes"))*Inputs!$B$1+((Inputs!$G$5:$G$110&lt;&gt;"moeda")*(Inputs!$G$5:$G$110&lt;&gt;"acoes")))*INDEX(Inputs!$K$5:$AJ$110,0,MATCH(AA$2,Inputs!$K$4:$AJ$4,0)))+SUMPRODUCT((Inputs!$E$5:$E$110=$B5)*Inputs!$F$5:$F$110*(((Inputs!$G$5:$G$110="moeda")+(Inputs!$G$5:$G$110="acoes"))*Inputs!$B$1+((Inputs!$G$5:$G$110&lt;&gt;"moeda")*(Inputs!$G$5:$G$110&lt;&gt;"acoes")))*INDEX(Inputs!$K$5:$AJ$110,0,MATCH(AA$2,Inputs!$K$4:$AJ$4,0)))))</f>
        <v>-45767</v>
      </c>
      <c r="AB5" s="3">
        <f>SUM(X5:AA5)</f>
        <v>-162536</v>
      </c>
      <c r="AC5" s="6">
        <f>IF(ISNA(MATCH(AC$2,Inputs!$K$4:$AJ$4,0)),NA(),IF(SUMPRODUCT((Inputs!$A$5:$A$110=$B5)*ISNUMBER(INDEX(Inputs!$K$5:$AJ$110,0,MATCH(AC$2,Inputs!$K$4:$AJ$4,0))))+SUMPRODUCT((Inputs!$C$5:$C$110=$B5)*ISNUMBER(INDEX(Inputs!$K$5:$AJ$110,0,MATCH(AC$2,Inputs!$K$4:$AJ$4,0))))+SUMPRODUCT((Inputs!$E$5:$E$110=$B5)*ISNUMBER(INDEX(Inputs!$K$5:$AJ$110,0,MATCH(AC$2,Inputs!$K$4:$AJ$4,0))))=0,NA(),SUMPRODUCT((Inputs!$A$5:$A$110=$B5)*Inputs!$B$5:$B$110*(((Inputs!$G$5:$G$110="moeda")+(Inputs!$G$5:$G$110="acoes"))*Inputs!$B$1+((Inputs!$G$5:$G$110&lt;&gt;"moeda")*(Inputs!$G$5:$G$110&lt;&gt;"acoes")))*INDEX(Inputs!$K$5:$AJ$110,0,MATCH(AC$2,Inputs!$K$4:$AJ$4,0)))+SUMPRODUCT((Inputs!$C$5:$C$110=$B5)*Inputs!$D$5:$D$110*(((Inputs!$G$5:$G$110="moeda")+(Inputs!$G$5:$G$110="acoes"))*Inputs!$B$1+((Inputs!$G$5:$G$110&lt;&gt;"moeda")*(Inputs!$G$5:$G$110&lt;&gt;"acoes")))*INDEX(Inputs!$K$5:$AJ$110,0,MATCH(AC$2,Inputs!$K$4:$AJ$4,0)))+SUMPRODUCT((Inputs!$E$5:$E$110=$B5)*Inputs!$F$5:$F$110*(((Inputs!$G$5:$G$110="moeda")+(Inputs!$G$5:$G$110="acoes"))*Inputs!$B$1+((Inputs!$G$5:$G$110&lt;&gt;"moeda")*(Inputs!$G$5:$G$110&lt;&gt;"acoes")))*INDEX(Inputs!$K$5:$AJ$110,0,MATCH(AC$2,Inputs!$K$4:$AJ$4,0)))))</f>
        <v>-41271</v>
      </c>
      <c r="AD5" s="6">
        <f>IF(ISNA(MATCH(AD$2,Inputs!$K$4:$AJ$4,0)),NA(),IF(SUMPRODUCT((Inputs!$A$5:$A$110=$B5)*ISNUMBER(INDEX(Inputs!$K$5:$AJ$110,0,MATCH(AD$2,Inputs!$K$4:$AJ$4,0))))+SUMPRODUCT((Inputs!$C$5:$C$110=$B5)*ISNUMBER(INDEX(Inputs!$K$5:$AJ$110,0,MATCH(AD$2,Inputs!$K$4:$AJ$4,0))))+SUMPRODUCT((Inputs!$E$5:$E$110=$B5)*ISNUMBER(INDEX(Inputs!$K$5:$AJ$110,0,MATCH(AD$2,Inputs!$K$4:$AJ$4,0))))=0,NA(),SUMPRODUCT((Inputs!$A$5:$A$110=$B5)*Inputs!$B$5:$B$110*(((Inputs!$G$5:$G$110="moeda")+(Inputs!$G$5:$G$110="acoes"))*Inputs!$B$1+((Inputs!$G$5:$G$110&lt;&gt;"moeda")*(Inputs!$G$5:$G$110&lt;&gt;"acoes")))*INDEX(Inputs!$K$5:$AJ$110,0,MATCH(AD$2,Inputs!$K$4:$AJ$4,0)))+SUMPRODUCT((Inputs!$C$5:$C$110=$B5)*Inputs!$D$5:$D$110*(((Inputs!$G$5:$G$110="moeda")+(Inputs!$G$5:$G$110="acoes"))*Inputs!$B$1+((Inputs!$G$5:$G$110&lt;&gt;"moeda")*(Inputs!$G$5:$G$110&lt;&gt;"acoes")))*INDEX(Inputs!$K$5:$AJ$110,0,MATCH(AD$2,Inputs!$K$4:$AJ$4,0)))+SUMPRODUCT((Inputs!$E$5:$E$110=$B5)*Inputs!$F$5:$F$110*(((Inputs!$G$5:$G$110="moeda")+(Inputs!$G$5:$G$110="acoes"))*Inputs!$B$1+((Inputs!$G$5:$G$110&lt;&gt;"moeda")*(Inputs!$G$5:$G$110&lt;&gt;"acoes")))*INDEX(Inputs!$K$5:$AJ$110,0,MATCH(AD$2,Inputs!$K$4:$AJ$4,0)))))</f>
        <v>-45943</v>
      </c>
      <c r="AE5" s="6" t="e">
        <f>IF(ISNA(MATCH(AE$2,Inputs!$K$4:$AJ$4,0)),NA(),IF(SUMPRODUCT((Inputs!$A$5:$A$110=$B5)*ISNUMBER(INDEX(Inputs!$K$5:$AJ$110,0,MATCH(AE$2,Inputs!$K$4:$AJ$4,0))))+SUMPRODUCT((Inputs!$C$5:$C$110=$B5)*ISNUMBER(INDEX(Inputs!$K$5:$AJ$110,0,MATCH(AE$2,Inputs!$K$4:$AJ$4,0))))+SUMPRODUCT((Inputs!$E$5:$E$110=$B5)*ISNUMBER(INDEX(Inputs!$K$5:$AJ$110,0,MATCH(AE$2,Inputs!$K$4:$AJ$4,0))))=0,NA(),SUMPRODUCT((Inputs!$A$5:$A$110=$B5)*Inputs!$B$5:$B$110*(((Inputs!$G$5:$G$110="moeda")+(Inputs!$G$5:$G$110="acoes"))*Inputs!$B$1+((Inputs!$G$5:$G$110&lt;&gt;"moeda")*(Inputs!$G$5:$G$110&lt;&gt;"acoes")))*INDEX(Inputs!$K$5:$AJ$110,0,MATCH(AE$2,Inputs!$K$4:$AJ$4,0)))+SUMPRODUCT((Inputs!$C$5:$C$110=$B5)*Inputs!$D$5:$D$110*(((Inputs!$G$5:$G$110="moeda")+(Inputs!$G$5:$G$110="acoes"))*Inputs!$B$1+((Inputs!$G$5:$G$110&lt;&gt;"moeda")*(Inputs!$G$5:$G$110&lt;&gt;"acoes")))*INDEX(Inputs!$K$5:$AJ$110,0,MATCH(AE$2,Inputs!$K$4:$AJ$4,0)))+SUMPRODUCT((Inputs!$E$5:$E$110=$B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" s="6" t="e">
        <f>IF(ISNA(MATCH(AF$2,Inputs!$K$4:$AJ$4,0)),NA(),IF(SUMPRODUCT((Inputs!$A$5:$A$110=$B5)*ISNUMBER(INDEX(Inputs!$K$5:$AJ$110,0,MATCH(AF$2,Inputs!$K$4:$AJ$4,0))))+SUMPRODUCT((Inputs!$C$5:$C$110=$B5)*ISNUMBER(INDEX(Inputs!$K$5:$AJ$110,0,MATCH(AF$2,Inputs!$K$4:$AJ$4,0))))+SUMPRODUCT((Inputs!$E$5:$E$110=$B5)*ISNUMBER(INDEX(Inputs!$K$5:$AJ$110,0,MATCH(AF$2,Inputs!$K$4:$AJ$4,0))))=0,NA(),SUMPRODUCT((Inputs!$A$5:$A$110=$B5)*Inputs!$B$5:$B$110*(((Inputs!$G$5:$G$110="moeda")+(Inputs!$G$5:$G$110="acoes"))*Inputs!$B$1+((Inputs!$G$5:$G$110&lt;&gt;"moeda")*(Inputs!$G$5:$G$110&lt;&gt;"acoes")))*INDEX(Inputs!$K$5:$AJ$110,0,MATCH(AF$2,Inputs!$K$4:$AJ$4,0)))+SUMPRODUCT((Inputs!$C$5:$C$110=$B5)*Inputs!$D$5:$D$110*(((Inputs!$G$5:$G$110="moeda")+(Inputs!$G$5:$G$110="acoes"))*Inputs!$B$1+((Inputs!$G$5:$G$110&lt;&gt;"moeda")*(Inputs!$G$5:$G$110&lt;&gt;"acoes")))*INDEX(Inputs!$K$5:$AJ$110,0,MATCH(AF$2,Inputs!$K$4:$AJ$4,0)))+SUMPRODUCT((Inputs!$E$5:$E$110=$B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" s="3" t="e">
        <f>SUM(AC5:AF5)</f>
        <v>#N/A</v>
      </c>
      <c r="AH5" s="6">
        <f>IF(ISNA(MATCH(AH$2,Inputs!$K$4:$AJ$4,0)),NA(),IF(SUMPRODUCT((Inputs!$A$5:$A$110=$B5)*ISNUMBER(INDEX(Inputs!$K$5:$AJ$110,0,MATCH(AH$2,Inputs!$K$4:$AJ$4,0))))+SUMPRODUCT((Inputs!$C$5:$C$110=$B5)*ISNUMBER(INDEX(Inputs!$K$5:$AJ$110,0,MATCH(AH$2,Inputs!$K$4:$AJ$4,0))))+SUMPRODUCT((Inputs!$E$5:$E$110=$B5)*ISNUMBER(INDEX(Inputs!$K$5:$AJ$110,0,MATCH(AH$2,Inputs!$K$4:$AJ$4,0))))=0,NA(),SUMPRODUCT((Inputs!$A$5:$A$110=$B5)*Inputs!$B$5:$B$110*(((Inputs!$G$5:$G$110="moeda")+(Inputs!$G$5:$G$110="acoes"))*Inputs!$B$1+((Inputs!$G$5:$G$110&lt;&gt;"moeda")*(Inputs!$G$5:$G$110&lt;&gt;"acoes")))*INDEX(Inputs!$K$5:$AJ$110,0,MATCH(AH$2,Inputs!$K$4:$AJ$4,0)))+SUMPRODUCT((Inputs!$C$5:$C$110=$B5)*Inputs!$D$5:$D$110*(((Inputs!$G$5:$G$110="moeda")+(Inputs!$G$5:$G$110="acoes"))*Inputs!$B$1+((Inputs!$G$5:$G$110&lt;&gt;"moeda")*(Inputs!$G$5:$G$110&lt;&gt;"acoes")))*INDEX(Inputs!$K$5:$AJ$110,0,MATCH(AH$2,Inputs!$K$4:$AJ$4,0)))+SUMPRODUCT((Inputs!$E$5:$E$110=$B5)*Inputs!$F$5:$F$110*(((Inputs!$G$5:$G$110="moeda")+(Inputs!$G$5:$G$110="acoes"))*Inputs!$B$1+((Inputs!$G$5:$G$110&lt;&gt;"moeda")*(Inputs!$G$5:$G$110&lt;&gt;"acoes")))*INDEX(Inputs!$K$5:$AJ$110,0,MATCH(AH$2,Inputs!$K$4:$AJ$4,0)))))</f>
        <v>-18982</v>
      </c>
      <c r="AI5" s="6">
        <f>IF(ISNA(MATCH(AI$2,Inputs!$K$4:$AJ$4,0)),NA(),IF(SUMPRODUCT((Inputs!$A$5:$A$110=$B5)*ISNUMBER(INDEX(Inputs!$K$5:$AJ$110,0,MATCH(AI$2,Inputs!$K$4:$AJ$4,0))))+SUMPRODUCT((Inputs!$C$5:$C$110=$B5)*ISNUMBER(INDEX(Inputs!$K$5:$AJ$110,0,MATCH(AI$2,Inputs!$K$4:$AJ$4,0))))+SUMPRODUCT((Inputs!$E$5:$E$110=$B5)*ISNUMBER(INDEX(Inputs!$K$5:$AJ$110,0,MATCH(AI$2,Inputs!$K$4:$AJ$4,0))))=0,NA(),SUMPRODUCT((Inputs!$A$5:$A$110=$B5)*Inputs!$B$5:$B$110*(((Inputs!$G$5:$G$110="moeda")+(Inputs!$G$5:$G$110="acoes"))*Inputs!$B$1+((Inputs!$G$5:$G$110&lt;&gt;"moeda")*(Inputs!$G$5:$G$110&lt;&gt;"acoes")))*INDEX(Inputs!$K$5:$AJ$110,0,MATCH(AI$2,Inputs!$K$4:$AJ$4,0)))+SUMPRODUCT((Inputs!$C$5:$C$110=$B5)*Inputs!$D$5:$D$110*(((Inputs!$G$5:$G$110="moeda")+(Inputs!$G$5:$G$110="acoes"))*Inputs!$B$1+((Inputs!$G$5:$G$110&lt;&gt;"moeda")*(Inputs!$G$5:$G$110&lt;&gt;"acoes")))*INDEX(Inputs!$K$5:$AJ$110,0,MATCH(AI$2,Inputs!$K$4:$AJ$4,0)))+SUMPRODUCT((Inputs!$E$5:$E$110=$B5)*Inputs!$F$5:$F$110*(((Inputs!$G$5:$G$110="moeda")+(Inputs!$G$5:$G$110="acoes"))*Inputs!$B$1+((Inputs!$G$5:$G$110&lt;&gt;"moeda")*(Inputs!$G$5:$G$110&lt;&gt;"acoes")))*INDEX(Inputs!$K$5:$AJ$110,0,MATCH(AI$2,Inputs!$K$4:$AJ$4,0)))))</f>
        <v>-18553</v>
      </c>
      <c r="AJ5" s="6">
        <f>IF(ISNA(MATCH(AJ$2,Inputs!$K$4:$AJ$4,0)),NA(),IF(SUMPRODUCT((Inputs!$A$5:$A$110=$B5)*ISNUMBER(INDEX(Inputs!$K$5:$AJ$110,0,MATCH(AJ$2,Inputs!$K$4:$AJ$4,0))))+SUMPRODUCT((Inputs!$C$5:$C$110=$B5)*ISNUMBER(INDEX(Inputs!$K$5:$AJ$110,0,MATCH(AJ$2,Inputs!$K$4:$AJ$4,0))))+SUMPRODUCT((Inputs!$E$5:$E$110=$B5)*ISNUMBER(INDEX(Inputs!$K$5:$AJ$110,0,MATCH(AJ$2,Inputs!$K$4:$AJ$4,0))))=0,NA(),SUMPRODUCT((Inputs!$A$5:$A$110=$B5)*Inputs!$B$5:$B$110*(((Inputs!$G$5:$G$110="moeda")+(Inputs!$G$5:$G$110="acoes"))*Inputs!$B$1+((Inputs!$G$5:$G$110&lt;&gt;"moeda")*(Inputs!$G$5:$G$110&lt;&gt;"acoes")))*INDEX(Inputs!$K$5:$AJ$110,0,MATCH(AJ$2,Inputs!$K$4:$AJ$4,0)))+SUMPRODUCT((Inputs!$C$5:$C$110=$B5)*Inputs!$D$5:$D$110*(((Inputs!$G$5:$G$110="moeda")+(Inputs!$G$5:$G$110="acoes"))*Inputs!$B$1+((Inputs!$G$5:$G$110&lt;&gt;"moeda")*(Inputs!$G$5:$G$110&lt;&gt;"acoes")))*INDEX(Inputs!$K$5:$AJ$110,0,MATCH(AJ$2,Inputs!$K$4:$AJ$4,0)))+SUMPRODUCT((Inputs!$E$5:$E$110=$B5)*Inputs!$F$5:$F$110*(((Inputs!$G$5:$G$110="moeda")+(Inputs!$G$5:$G$110="acoes"))*Inputs!$B$1+((Inputs!$G$5:$G$110&lt;&gt;"moeda")*(Inputs!$G$5:$G$110&lt;&gt;"acoes")))*INDEX(Inputs!$K$5:$AJ$110,0,MATCH(AJ$2,Inputs!$K$4:$AJ$4,0)))))</f>
        <v>-21117</v>
      </c>
      <c r="AK5" s="6">
        <f>IF(ISNA(MATCH(AK$2,Inputs!$K$4:$AJ$4,0)),NA(),IF(SUMPRODUCT((Inputs!$A$5:$A$110=$B5)*ISNUMBER(INDEX(Inputs!$K$5:$AJ$110,0,MATCH(AK$2,Inputs!$K$4:$AJ$4,0))))+SUMPRODUCT((Inputs!$C$5:$C$110=$B5)*ISNUMBER(INDEX(Inputs!$K$5:$AJ$110,0,MATCH(AK$2,Inputs!$K$4:$AJ$4,0))))+SUMPRODUCT((Inputs!$E$5:$E$110=$B5)*ISNUMBER(INDEX(Inputs!$K$5:$AJ$110,0,MATCH(AK$2,Inputs!$K$4:$AJ$4,0))))=0,NA(),SUMPRODUCT((Inputs!$A$5:$A$110=$B5)*Inputs!$B$5:$B$110*(((Inputs!$G$5:$G$110="moeda")+(Inputs!$G$5:$G$110="acoes"))*Inputs!$B$1+((Inputs!$G$5:$G$110&lt;&gt;"moeda")*(Inputs!$G$5:$G$110&lt;&gt;"acoes")))*INDEX(Inputs!$K$5:$AJ$110,0,MATCH(AK$2,Inputs!$K$4:$AJ$4,0)))+SUMPRODUCT((Inputs!$C$5:$C$110=$B5)*Inputs!$D$5:$D$110*(((Inputs!$G$5:$G$110="moeda")+(Inputs!$G$5:$G$110="acoes"))*Inputs!$B$1+((Inputs!$G$5:$G$110&lt;&gt;"moeda")*(Inputs!$G$5:$G$110&lt;&gt;"acoes")))*INDEX(Inputs!$K$5:$AJ$110,0,MATCH(AK$2,Inputs!$K$4:$AJ$4,0)))+SUMPRODUCT((Inputs!$E$5:$E$110=$B5)*Inputs!$F$5:$F$110*(((Inputs!$G$5:$G$110="moeda")+(Inputs!$G$5:$G$110="acoes"))*Inputs!$B$1+((Inputs!$G$5:$G$110&lt;&gt;"moeda")*(Inputs!$G$5:$G$110&lt;&gt;"acoes")))*INDEX(Inputs!$K$5:$AJ$110,0,MATCH(AK$2,Inputs!$K$4:$AJ$4,0)))))</f>
        <v>-26080</v>
      </c>
      <c r="AL5" s="3">
        <f>SUM(AH5:AK5)</f>
        <v>-84732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$110=$B6)*ISNUMBER(INDEX(Inputs!$K$5:$AJ$110,0,MATCH(D$2,Inputs!$K$4:$AJ$4,0))))+SUMPRODUCT((Inputs!$C$5:$C$110=$B6)*ISNUMBER(INDEX(Inputs!$K$5:$AJ$110,0,MATCH(D$2,Inputs!$K$4:$AJ$4,0))))+SUMPRODUCT((Inputs!$E$5:$E$110=$B6)*ISNUMBER(INDEX(Inputs!$K$5:$AJ$110,0,MATCH(D$2,Inputs!$K$4:$AJ$4,0))))=0,NA(),SUMPRODUCT((Inputs!$A$5:$A$110=$B6)*Inputs!$B$5:$B$110*(((Inputs!$G$5:$G$110="moeda")+(Inputs!$G$5:$G$110="acoes"))*Inputs!$B$1+((Inputs!$G$5:$G$110&lt;&gt;"moeda")*(Inputs!$G$5:$G$110&lt;&gt;"acoes")))*INDEX(Inputs!$K$5:$AJ$110,0,MATCH(D$2,Inputs!$K$4:$AJ$4,0)))+SUMPRODUCT((Inputs!$C$5:$C$110=$B6)*Inputs!$D$5:$D$110*(((Inputs!$G$5:$G$110="moeda")+(Inputs!$G$5:$G$110="acoes"))*Inputs!$B$1+((Inputs!$G$5:$G$110&lt;&gt;"moeda")*(Inputs!$G$5:$G$110&lt;&gt;"acoes")))*INDEX(Inputs!$K$5:$AJ$110,0,MATCH(D$2,Inputs!$K$4:$AJ$4,0)))+SUMPRODUCT((Inputs!$E$5:$E$110=$B6)*Inputs!$F$5:$F$110*(((Inputs!$G$5:$G$110="moeda")+(Inputs!$G$5:$G$110="acoes"))*Inputs!$B$1+((Inputs!$G$5:$G$110&lt;&gt;"moeda")*(Inputs!$G$5:$G$110&lt;&gt;"acoes")))*INDEX(Inputs!$K$5:$AJ$110,0,MATCH(D$2,Inputs!$K$4:$AJ$4,0)))))</f>
        <v>-12249</v>
      </c>
      <c r="E6" s="6">
        <f>IF(ISNA(MATCH(E$2,Inputs!$K$4:$AJ$4,0)),NA(),IF(SUMPRODUCT((Inputs!$A$5:$A$110=$B6)*ISNUMBER(INDEX(Inputs!$K$5:$AJ$110,0,MATCH(E$2,Inputs!$K$4:$AJ$4,0))))+SUMPRODUCT((Inputs!$C$5:$C$110=$B6)*ISNUMBER(INDEX(Inputs!$K$5:$AJ$110,0,MATCH(E$2,Inputs!$K$4:$AJ$4,0))))+SUMPRODUCT((Inputs!$E$5:$E$110=$B6)*ISNUMBER(INDEX(Inputs!$K$5:$AJ$110,0,MATCH(E$2,Inputs!$K$4:$AJ$4,0))))=0,NA(),SUMPRODUCT((Inputs!$A$5:$A$110=$B6)*Inputs!$B$5:$B$110*(((Inputs!$G$5:$G$110="moeda")+(Inputs!$G$5:$G$110="acoes"))*Inputs!$B$1+((Inputs!$G$5:$G$110&lt;&gt;"moeda")*(Inputs!$G$5:$G$110&lt;&gt;"acoes")))*INDEX(Inputs!$K$5:$AJ$110,0,MATCH(E$2,Inputs!$K$4:$AJ$4,0)))+SUMPRODUCT((Inputs!$C$5:$C$110=$B6)*Inputs!$D$5:$D$110*(((Inputs!$G$5:$G$110="moeda")+(Inputs!$G$5:$G$110="acoes"))*Inputs!$B$1+((Inputs!$G$5:$G$110&lt;&gt;"moeda")*(Inputs!$G$5:$G$110&lt;&gt;"acoes")))*INDEX(Inputs!$K$5:$AJ$110,0,MATCH(E$2,Inputs!$K$4:$AJ$4,0)))+SUMPRODUCT((Inputs!$E$5:$E$110=$B6)*Inputs!$F$5:$F$110*(((Inputs!$G$5:$G$110="moeda")+(Inputs!$G$5:$G$110="acoes"))*Inputs!$B$1+((Inputs!$G$5:$G$110&lt;&gt;"moeda")*(Inputs!$G$5:$G$110&lt;&gt;"acoes")))*INDEX(Inputs!$K$5:$AJ$110,0,MATCH(E$2,Inputs!$K$4:$AJ$4,0)))))</f>
        <v>-13562</v>
      </c>
      <c r="F6" s="6">
        <f>IF(ISNA(MATCH(F$2,Inputs!$K$4:$AJ$4,0)),NA(),IF(SUMPRODUCT((Inputs!$A$5:$A$110=$B6)*ISNUMBER(INDEX(Inputs!$K$5:$AJ$110,0,MATCH(F$2,Inputs!$K$4:$AJ$4,0))))+SUMPRODUCT((Inputs!$C$5:$C$110=$B6)*ISNUMBER(INDEX(Inputs!$K$5:$AJ$110,0,MATCH(F$2,Inputs!$K$4:$AJ$4,0))))+SUMPRODUCT((Inputs!$E$5:$E$110=$B6)*ISNUMBER(INDEX(Inputs!$K$5:$AJ$110,0,MATCH(F$2,Inputs!$K$4:$AJ$4,0))))=0,NA(),SUMPRODUCT((Inputs!$A$5:$A$110=$B6)*Inputs!$B$5:$B$110*(((Inputs!$G$5:$G$110="moeda")+(Inputs!$G$5:$G$110="acoes"))*Inputs!$B$1+((Inputs!$G$5:$G$110&lt;&gt;"moeda")*(Inputs!$G$5:$G$110&lt;&gt;"acoes")))*INDEX(Inputs!$K$5:$AJ$110,0,MATCH(F$2,Inputs!$K$4:$AJ$4,0)))+SUMPRODUCT((Inputs!$C$5:$C$110=$B6)*Inputs!$D$5:$D$110*(((Inputs!$G$5:$G$110="moeda")+(Inputs!$G$5:$G$110="acoes"))*Inputs!$B$1+((Inputs!$G$5:$G$110&lt;&gt;"moeda")*(Inputs!$G$5:$G$110&lt;&gt;"acoes")))*INDEX(Inputs!$K$5:$AJ$110,0,MATCH(F$2,Inputs!$K$4:$AJ$4,0)))+SUMPRODUCT((Inputs!$E$5:$E$110=$B6)*Inputs!$F$5:$F$110*(((Inputs!$G$5:$G$110="moeda")+(Inputs!$G$5:$G$110="acoes"))*Inputs!$B$1+((Inputs!$G$5:$G$110&lt;&gt;"moeda")*(Inputs!$G$5:$G$110&lt;&gt;"acoes")))*INDEX(Inputs!$K$5:$AJ$110,0,MATCH(F$2,Inputs!$K$4:$AJ$4,0)))))</f>
        <v>-13381</v>
      </c>
      <c r="G6" s="6">
        <f>IF(ISNA(MATCH(G$2,Inputs!$K$4:$AJ$4,0)),NA(),IF(SUMPRODUCT((Inputs!$A$5:$A$110=$B6)*ISNUMBER(INDEX(Inputs!$K$5:$AJ$110,0,MATCH(G$2,Inputs!$K$4:$AJ$4,0))))+SUMPRODUCT((Inputs!$C$5:$C$110=$B6)*ISNUMBER(INDEX(Inputs!$K$5:$AJ$110,0,MATCH(G$2,Inputs!$K$4:$AJ$4,0))))+SUMPRODUCT((Inputs!$E$5:$E$110=$B6)*ISNUMBER(INDEX(Inputs!$K$5:$AJ$110,0,MATCH(G$2,Inputs!$K$4:$AJ$4,0))))=0,NA(),SUMPRODUCT((Inputs!$A$5:$A$110=$B6)*Inputs!$B$5:$B$110*(((Inputs!$G$5:$G$110="moeda")+(Inputs!$G$5:$G$110="acoes"))*Inputs!$B$1+((Inputs!$G$5:$G$110&lt;&gt;"moeda")*(Inputs!$G$5:$G$110&lt;&gt;"acoes")))*INDEX(Inputs!$K$5:$AJ$110,0,MATCH(G$2,Inputs!$K$4:$AJ$4,0)))+SUMPRODUCT((Inputs!$C$5:$C$110=$B6)*Inputs!$D$5:$D$110*(((Inputs!$G$5:$G$110="moeda")+(Inputs!$G$5:$G$110="acoes"))*Inputs!$B$1+((Inputs!$G$5:$G$110&lt;&gt;"moeda")*(Inputs!$G$5:$G$110&lt;&gt;"acoes")))*INDEX(Inputs!$K$5:$AJ$110,0,MATCH(G$2,Inputs!$K$4:$AJ$4,0)))+SUMPRODUCT((Inputs!$E$5:$E$110=$B6)*Inputs!$F$5:$F$110*(((Inputs!$G$5:$G$110="moeda")+(Inputs!$G$5:$G$110="acoes"))*Inputs!$B$1+((Inputs!$G$5:$G$110&lt;&gt;"moeda")*(Inputs!$G$5:$G$110&lt;&gt;"acoes")))*INDEX(Inputs!$K$5:$AJ$110,0,MATCH(G$2,Inputs!$K$4:$AJ$4,0)))))</f>
        <v>-17237</v>
      </c>
      <c r="H6" s="3">
        <f>SUM(D6:G6)</f>
        <v>-56429</v>
      </c>
      <c r="I6" s="6">
        <f>IF(ISNA(MATCH(I$2,Inputs!$K$4:$AJ$4,0)),NA(),IF(SUMPRODUCT((Inputs!$A$5:$A$110=$B6)*ISNUMBER(INDEX(Inputs!$K$5:$AJ$110,0,MATCH(I$2,Inputs!$K$4:$AJ$4,0))))+SUMPRODUCT((Inputs!$C$5:$C$110=$B6)*ISNUMBER(INDEX(Inputs!$K$5:$AJ$110,0,MATCH(I$2,Inputs!$K$4:$AJ$4,0))))+SUMPRODUCT((Inputs!$E$5:$E$110=$B6)*ISNUMBER(INDEX(Inputs!$K$5:$AJ$110,0,MATCH(I$2,Inputs!$K$4:$AJ$4,0))))=0,NA(),SUMPRODUCT((Inputs!$A$5:$A$110=$B6)*Inputs!$B$5:$B$110*(((Inputs!$G$5:$G$110="moeda")+(Inputs!$G$5:$G$110="acoes"))*Inputs!$B$1+((Inputs!$G$5:$G$110&lt;&gt;"moeda")*(Inputs!$G$5:$G$110&lt;&gt;"acoes")))*INDEX(Inputs!$K$5:$AJ$110,0,MATCH(I$2,Inputs!$K$4:$AJ$4,0)))+SUMPRODUCT((Inputs!$C$5:$C$110=$B6)*Inputs!$D$5:$D$110*(((Inputs!$G$5:$G$110="moeda")+(Inputs!$G$5:$G$110="acoes"))*Inputs!$B$1+((Inputs!$G$5:$G$110&lt;&gt;"moeda")*(Inputs!$G$5:$G$110&lt;&gt;"acoes")))*INDEX(Inputs!$K$5:$AJ$110,0,MATCH(I$2,Inputs!$K$4:$AJ$4,0)))+SUMPRODUCT((Inputs!$E$5:$E$110=$B6)*Inputs!$F$5:$F$110*(((Inputs!$G$5:$G$110="moeda")+(Inputs!$G$5:$G$110="acoes"))*Inputs!$B$1+((Inputs!$G$5:$G$110&lt;&gt;"moeda")*(Inputs!$G$5:$G$110&lt;&gt;"acoes")))*INDEX(Inputs!$K$5:$AJ$110,0,MATCH(I$2,Inputs!$K$4:$AJ$4,0)))))</f>
        <v>-14727</v>
      </c>
      <c r="J6" s="6">
        <f>IF(ISNA(MATCH(J$2,Inputs!$K$4:$AJ$4,0)),NA(),IF(SUMPRODUCT((Inputs!$A$5:$A$110=$B6)*ISNUMBER(INDEX(Inputs!$K$5:$AJ$110,0,MATCH(J$2,Inputs!$K$4:$AJ$4,0))))+SUMPRODUCT((Inputs!$C$5:$C$110=$B6)*ISNUMBER(INDEX(Inputs!$K$5:$AJ$110,0,MATCH(J$2,Inputs!$K$4:$AJ$4,0))))+SUMPRODUCT((Inputs!$E$5:$E$110=$B6)*ISNUMBER(INDEX(Inputs!$K$5:$AJ$110,0,MATCH(J$2,Inputs!$K$4:$AJ$4,0))))=0,NA(),SUMPRODUCT((Inputs!$A$5:$A$110=$B6)*Inputs!$B$5:$B$110*(((Inputs!$G$5:$G$110="moeda")+(Inputs!$G$5:$G$110="acoes"))*Inputs!$B$1+((Inputs!$G$5:$G$110&lt;&gt;"moeda")*(Inputs!$G$5:$G$110&lt;&gt;"acoes")))*INDEX(Inputs!$K$5:$AJ$110,0,MATCH(J$2,Inputs!$K$4:$AJ$4,0)))+SUMPRODUCT((Inputs!$C$5:$C$110=$B6)*Inputs!$D$5:$D$110*(((Inputs!$G$5:$G$110="moeda")+(Inputs!$G$5:$G$110="acoes"))*Inputs!$B$1+((Inputs!$G$5:$G$110&lt;&gt;"moeda")*(Inputs!$G$5:$G$110&lt;&gt;"acoes")))*INDEX(Inputs!$K$5:$AJ$110,0,MATCH(J$2,Inputs!$K$4:$AJ$4,0)))+SUMPRODUCT((Inputs!$E$5:$E$110=$B6)*Inputs!$F$5:$F$110*(((Inputs!$G$5:$G$110="moeda")+(Inputs!$G$5:$G$110="acoes"))*Inputs!$B$1+((Inputs!$G$5:$G$110&lt;&gt;"moeda")*(Inputs!$G$5:$G$110&lt;&gt;"acoes")))*INDEX(Inputs!$K$5:$AJ$110,0,MATCH(J$2,Inputs!$K$4:$AJ$4,0)))))</f>
        <v>-16430</v>
      </c>
      <c r="K6" s="6">
        <f>IF(ISNA(MATCH(K$2,Inputs!$K$4:$AJ$4,0)),NA(),IF(SUMPRODUCT((Inputs!$A$5:$A$110=$B6)*ISNUMBER(INDEX(Inputs!$K$5:$AJ$110,0,MATCH(K$2,Inputs!$K$4:$AJ$4,0))))+SUMPRODUCT((Inputs!$C$5:$C$110=$B6)*ISNUMBER(INDEX(Inputs!$K$5:$AJ$110,0,MATCH(K$2,Inputs!$K$4:$AJ$4,0))))+SUMPRODUCT((Inputs!$E$5:$E$110=$B6)*ISNUMBER(INDEX(Inputs!$K$5:$AJ$110,0,MATCH(K$2,Inputs!$K$4:$AJ$4,0))))=0,NA(),SUMPRODUCT((Inputs!$A$5:$A$110=$B6)*Inputs!$B$5:$B$110*(((Inputs!$G$5:$G$110="moeda")+(Inputs!$G$5:$G$110="acoes"))*Inputs!$B$1+((Inputs!$G$5:$G$110&lt;&gt;"moeda")*(Inputs!$G$5:$G$110&lt;&gt;"acoes")))*INDEX(Inputs!$K$5:$AJ$110,0,MATCH(K$2,Inputs!$K$4:$AJ$4,0)))+SUMPRODUCT((Inputs!$C$5:$C$110=$B6)*Inputs!$D$5:$D$110*(((Inputs!$G$5:$G$110="moeda")+(Inputs!$G$5:$G$110="acoes"))*Inputs!$B$1+((Inputs!$G$5:$G$110&lt;&gt;"moeda")*(Inputs!$G$5:$G$110&lt;&gt;"acoes")))*INDEX(Inputs!$K$5:$AJ$110,0,MATCH(K$2,Inputs!$K$4:$AJ$4,0)))+SUMPRODUCT((Inputs!$E$5:$E$110=$B6)*Inputs!$F$5:$F$110*(((Inputs!$G$5:$G$110="moeda")+(Inputs!$G$5:$G$110="acoes"))*Inputs!$B$1+((Inputs!$G$5:$G$110&lt;&gt;"moeda")*(Inputs!$G$5:$G$110&lt;&gt;"acoes")))*INDEX(Inputs!$K$5:$AJ$110,0,MATCH(K$2,Inputs!$K$4:$AJ$4,0)))))</f>
        <v>-16866</v>
      </c>
      <c r="L6" s="6">
        <f>IF(ISNA(MATCH(L$2,Inputs!$K$4:$AJ$4,0)),NA(),IF(SUMPRODUCT((Inputs!$A$5:$A$110=$B6)*ISNUMBER(INDEX(Inputs!$K$5:$AJ$110,0,MATCH(L$2,Inputs!$K$4:$AJ$4,0))))+SUMPRODUCT((Inputs!$C$5:$C$110=$B6)*ISNUMBER(INDEX(Inputs!$K$5:$AJ$110,0,MATCH(L$2,Inputs!$K$4:$AJ$4,0))))+SUMPRODUCT((Inputs!$E$5:$E$110=$B6)*ISNUMBER(INDEX(Inputs!$K$5:$AJ$110,0,MATCH(L$2,Inputs!$K$4:$AJ$4,0))))=0,NA(),SUMPRODUCT((Inputs!$A$5:$A$110=$B6)*Inputs!$B$5:$B$110*(((Inputs!$G$5:$G$110="moeda")+(Inputs!$G$5:$G$110="acoes"))*Inputs!$B$1+((Inputs!$G$5:$G$110&lt;&gt;"moeda")*(Inputs!$G$5:$G$110&lt;&gt;"acoes")))*INDEX(Inputs!$K$5:$AJ$110,0,MATCH(L$2,Inputs!$K$4:$AJ$4,0)))+SUMPRODUCT((Inputs!$C$5:$C$110=$B6)*Inputs!$D$5:$D$110*(((Inputs!$G$5:$G$110="moeda")+(Inputs!$G$5:$G$110="acoes"))*Inputs!$B$1+((Inputs!$G$5:$G$110&lt;&gt;"moeda")*(Inputs!$G$5:$G$110&lt;&gt;"acoes")))*INDEX(Inputs!$K$5:$AJ$110,0,MATCH(L$2,Inputs!$K$4:$AJ$4,0)))+SUMPRODUCT((Inputs!$E$5:$E$110=$B6)*Inputs!$F$5:$F$110*(((Inputs!$G$5:$G$110="moeda")+(Inputs!$G$5:$G$110="acoes"))*Inputs!$B$1+((Inputs!$G$5:$G$110&lt;&gt;"moeda")*(Inputs!$G$5:$G$110&lt;&gt;"acoes")))*INDEX(Inputs!$K$5:$AJ$110,0,MATCH(L$2,Inputs!$K$4:$AJ$4,0)))))</f>
        <v>-18481</v>
      </c>
      <c r="M6" s="3">
        <f>SUM(I6:L6)</f>
        <v>-66504</v>
      </c>
      <c r="N6" s="6">
        <f>IF(ISNA(MATCH(N$2,Inputs!$K$4:$AJ$4,0)),NA(),IF(SUMPRODUCT((Inputs!$A$5:$A$110=$B6)*ISNUMBER(INDEX(Inputs!$K$5:$AJ$110,0,MATCH(N$2,Inputs!$K$4:$AJ$4,0))))+SUMPRODUCT((Inputs!$C$5:$C$110=$B6)*ISNUMBER(INDEX(Inputs!$K$5:$AJ$110,0,MATCH(N$2,Inputs!$K$4:$AJ$4,0))))+SUMPRODUCT((Inputs!$E$5:$E$110=$B6)*ISNUMBER(INDEX(Inputs!$K$5:$AJ$110,0,MATCH(N$2,Inputs!$K$4:$AJ$4,0))))=0,NA(),SUMPRODUCT((Inputs!$A$5:$A$110=$B6)*Inputs!$B$5:$B$110*(((Inputs!$G$5:$G$110="moeda")+(Inputs!$G$5:$G$110="acoes"))*Inputs!$B$1+((Inputs!$G$5:$G$110&lt;&gt;"moeda")*(Inputs!$G$5:$G$110&lt;&gt;"acoes")))*INDEX(Inputs!$K$5:$AJ$110,0,MATCH(N$2,Inputs!$K$4:$AJ$4,0)))+SUMPRODUCT((Inputs!$C$5:$C$110=$B6)*Inputs!$D$5:$D$110*(((Inputs!$G$5:$G$110="moeda")+(Inputs!$G$5:$G$110="acoes"))*Inputs!$B$1+((Inputs!$G$5:$G$110&lt;&gt;"moeda")*(Inputs!$G$5:$G$110&lt;&gt;"acoes")))*INDEX(Inputs!$K$5:$AJ$110,0,MATCH(N$2,Inputs!$K$4:$AJ$4,0)))+SUMPRODUCT((Inputs!$E$5:$E$110=$B6)*Inputs!$F$5:$F$110*(((Inputs!$G$5:$G$110="moeda")+(Inputs!$G$5:$G$110="acoes"))*Inputs!$B$1+((Inputs!$G$5:$G$110&lt;&gt;"moeda")*(Inputs!$G$5:$G$110&lt;&gt;"acoes")))*INDEX(Inputs!$K$5:$AJ$110,0,MATCH(N$2,Inputs!$K$4:$AJ$4,0)))))</f>
        <v>-18700</v>
      </c>
      <c r="O6" s="6">
        <f>IF(ISNA(MATCH(O$2,Inputs!$K$4:$AJ$4,0)),NA(),IF(SUMPRODUCT((Inputs!$A$5:$A$110=$B6)*ISNUMBER(INDEX(Inputs!$K$5:$AJ$110,0,MATCH(O$2,Inputs!$K$4:$AJ$4,0))))+SUMPRODUCT((Inputs!$C$5:$C$110=$B6)*ISNUMBER(INDEX(Inputs!$K$5:$AJ$110,0,MATCH(O$2,Inputs!$K$4:$AJ$4,0))))+SUMPRODUCT((Inputs!$E$5:$E$110=$B6)*ISNUMBER(INDEX(Inputs!$K$5:$AJ$110,0,MATCH(O$2,Inputs!$K$4:$AJ$4,0))))=0,NA(),SUMPRODUCT((Inputs!$A$5:$A$110=$B6)*Inputs!$B$5:$B$110*(((Inputs!$G$5:$G$110="moeda")+(Inputs!$G$5:$G$110="acoes"))*Inputs!$B$1+((Inputs!$G$5:$G$110&lt;&gt;"moeda")*(Inputs!$G$5:$G$110&lt;&gt;"acoes")))*INDEX(Inputs!$K$5:$AJ$110,0,MATCH(O$2,Inputs!$K$4:$AJ$4,0)))+SUMPRODUCT((Inputs!$C$5:$C$110=$B6)*Inputs!$D$5:$D$110*(((Inputs!$G$5:$G$110="moeda")+(Inputs!$G$5:$G$110="acoes"))*Inputs!$B$1+((Inputs!$G$5:$G$110&lt;&gt;"moeda")*(Inputs!$G$5:$G$110&lt;&gt;"acoes")))*INDEX(Inputs!$K$5:$AJ$110,0,MATCH(O$2,Inputs!$K$4:$AJ$4,0)))+SUMPRODUCT((Inputs!$E$5:$E$110=$B6)*Inputs!$F$5:$F$110*(((Inputs!$G$5:$G$110="moeda")+(Inputs!$G$5:$G$110="acoes"))*Inputs!$B$1+((Inputs!$G$5:$G$110&lt;&gt;"moeda")*(Inputs!$G$5:$G$110&lt;&gt;"acoes")))*INDEX(Inputs!$K$5:$AJ$110,0,MATCH(O$2,Inputs!$K$4:$AJ$4,0)))))</f>
        <v>-17571</v>
      </c>
      <c r="P6" s="6">
        <f>IF(ISNA(MATCH(P$2,Inputs!$K$4:$AJ$4,0)),NA(),IF(SUMPRODUCT((Inputs!$A$5:$A$110=$B6)*ISNUMBER(INDEX(Inputs!$K$5:$AJ$110,0,MATCH(P$2,Inputs!$K$4:$AJ$4,0))))+SUMPRODUCT((Inputs!$C$5:$C$110=$B6)*ISNUMBER(INDEX(Inputs!$K$5:$AJ$110,0,MATCH(P$2,Inputs!$K$4:$AJ$4,0))))+SUMPRODUCT((Inputs!$E$5:$E$110=$B6)*ISNUMBER(INDEX(Inputs!$K$5:$AJ$110,0,MATCH(P$2,Inputs!$K$4:$AJ$4,0))))=0,NA(),SUMPRODUCT((Inputs!$A$5:$A$110=$B6)*Inputs!$B$5:$B$110*(((Inputs!$G$5:$G$110="moeda")+(Inputs!$G$5:$G$110="acoes"))*Inputs!$B$1+((Inputs!$G$5:$G$110&lt;&gt;"moeda")*(Inputs!$G$5:$G$110&lt;&gt;"acoes")))*INDEX(Inputs!$K$5:$AJ$110,0,MATCH(P$2,Inputs!$K$4:$AJ$4,0)))+SUMPRODUCT((Inputs!$C$5:$C$110=$B6)*Inputs!$D$5:$D$110*(((Inputs!$G$5:$G$110="moeda")+(Inputs!$G$5:$G$110="acoes"))*Inputs!$B$1+((Inputs!$G$5:$G$110&lt;&gt;"moeda")*(Inputs!$G$5:$G$110&lt;&gt;"acoes")))*INDEX(Inputs!$K$5:$AJ$110,0,MATCH(P$2,Inputs!$K$4:$AJ$4,0)))+SUMPRODUCT((Inputs!$E$5:$E$110=$B6)*Inputs!$F$5:$F$110*(((Inputs!$G$5:$G$110="moeda")+(Inputs!$G$5:$G$110="acoes"))*Inputs!$B$1+((Inputs!$G$5:$G$110&lt;&gt;"moeda")*(Inputs!$G$5:$G$110&lt;&gt;"acoes")))*INDEX(Inputs!$K$5:$AJ$110,0,MATCH(P$2,Inputs!$K$4:$AJ$4,0)))))</f>
        <v>-18450</v>
      </c>
      <c r="Q6" s="6">
        <f>IF(ISNA(MATCH(Q$2,Inputs!$K$4:$AJ$4,0)),NA(),IF(SUMPRODUCT((Inputs!$A$5:$A$110=$B6)*ISNUMBER(INDEX(Inputs!$K$5:$AJ$110,0,MATCH(Q$2,Inputs!$K$4:$AJ$4,0))))+SUMPRODUCT((Inputs!$C$5:$C$110=$B6)*ISNUMBER(INDEX(Inputs!$K$5:$AJ$110,0,MATCH(Q$2,Inputs!$K$4:$AJ$4,0))))+SUMPRODUCT((Inputs!$E$5:$E$110=$B6)*ISNUMBER(INDEX(Inputs!$K$5:$AJ$110,0,MATCH(Q$2,Inputs!$K$4:$AJ$4,0))))=0,NA(),SUMPRODUCT((Inputs!$A$5:$A$110=$B6)*Inputs!$B$5:$B$110*(((Inputs!$G$5:$G$110="moeda")+(Inputs!$G$5:$G$110="acoes"))*Inputs!$B$1+((Inputs!$G$5:$G$110&lt;&gt;"moeda")*(Inputs!$G$5:$G$110&lt;&gt;"acoes")))*INDEX(Inputs!$K$5:$AJ$110,0,MATCH(Q$2,Inputs!$K$4:$AJ$4,0)))+SUMPRODUCT((Inputs!$C$5:$C$110=$B6)*Inputs!$D$5:$D$110*(((Inputs!$G$5:$G$110="moeda")+(Inputs!$G$5:$G$110="acoes"))*Inputs!$B$1+((Inputs!$G$5:$G$110&lt;&gt;"moeda")*(Inputs!$G$5:$G$110&lt;&gt;"acoes")))*INDEX(Inputs!$K$5:$AJ$110,0,MATCH(Q$2,Inputs!$K$4:$AJ$4,0)))+SUMPRODUCT((Inputs!$E$5:$E$110=$B6)*Inputs!$F$5:$F$110*(((Inputs!$G$5:$G$110="moeda")+(Inputs!$G$5:$G$110="acoes"))*Inputs!$B$1+((Inputs!$G$5:$G$110&lt;&gt;"moeda")*(Inputs!$G$5:$G$110&lt;&gt;"acoes")))*INDEX(Inputs!$K$5:$AJ$110,0,MATCH(Q$2,Inputs!$K$4:$AJ$4,0)))))</f>
        <v>-21722</v>
      </c>
      <c r="R6" s="3">
        <f>SUM(N6:Q6)</f>
        <v>-76443</v>
      </c>
      <c r="S6" s="6">
        <f>IF(ISNA(MATCH(S$2,Inputs!$K$4:$AJ$4,0)),NA(),IF(SUMPRODUCT((Inputs!$A$5:$A$110=$B6)*ISNUMBER(INDEX(Inputs!$K$5:$AJ$110,0,MATCH(S$2,Inputs!$K$4:$AJ$4,0))))+SUMPRODUCT((Inputs!$C$5:$C$110=$B6)*ISNUMBER(INDEX(Inputs!$K$5:$AJ$110,0,MATCH(S$2,Inputs!$K$4:$AJ$4,0))))+SUMPRODUCT((Inputs!$E$5:$E$110=$B6)*ISNUMBER(INDEX(Inputs!$K$5:$AJ$110,0,MATCH(S$2,Inputs!$K$4:$AJ$4,0))))=0,NA(),SUMPRODUCT((Inputs!$A$5:$A$110=$B6)*Inputs!$B$5:$B$110*(((Inputs!$G$5:$G$110="moeda")+(Inputs!$G$5:$G$110="acoes"))*Inputs!$B$1+((Inputs!$G$5:$G$110&lt;&gt;"moeda")*(Inputs!$G$5:$G$110&lt;&gt;"acoes")))*INDEX(Inputs!$K$5:$AJ$110,0,MATCH(S$2,Inputs!$K$4:$AJ$4,0)))+SUMPRODUCT((Inputs!$C$5:$C$110=$B6)*Inputs!$D$5:$D$110*(((Inputs!$G$5:$G$110="moeda")+(Inputs!$G$5:$G$110="acoes"))*Inputs!$B$1+((Inputs!$G$5:$G$110&lt;&gt;"moeda")*(Inputs!$G$5:$G$110&lt;&gt;"acoes")))*INDEX(Inputs!$K$5:$AJ$110,0,MATCH(S$2,Inputs!$K$4:$AJ$4,0)))+SUMPRODUCT((Inputs!$E$5:$E$110=$B6)*Inputs!$F$5:$F$110*(((Inputs!$G$5:$G$110="moeda")+(Inputs!$G$5:$G$110="acoes"))*Inputs!$B$1+((Inputs!$G$5:$G$110&lt;&gt;"moeda")*(Inputs!$G$5:$G$110&lt;&gt;"acoes")))*INDEX(Inputs!$K$5:$AJ$110,0,MATCH(S$2,Inputs!$K$4:$AJ$4,0)))))</f>
        <v>-17942</v>
      </c>
      <c r="T6" s="6">
        <f>IF(ISNA(MATCH(T$2,Inputs!$K$4:$AJ$4,0)),NA(),IF(SUMPRODUCT((Inputs!$A$5:$A$110=$B6)*ISNUMBER(INDEX(Inputs!$K$5:$AJ$110,0,MATCH(T$2,Inputs!$K$4:$AJ$4,0))))+SUMPRODUCT((Inputs!$C$5:$C$110=$B6)*ISNUMBER(INDEX(Inputs!$K$5:$AJ$110,0,MATCH(T$2,Inputs!$K$4:$AJ$4,0))))+SUMPRODUCT((Inputs!$E$5:$E$110=$B6)*ISNUMBER(INDEX(Inputs!$K$5:$AJ$110,0,MATCH(T$2,Inputs!$K$4:$AJ$4,0))))=0,NA(),SUMPRODUCT((Inputs!$A$5:$A$110=$B6)*Inputs!$B$5:$B$110*(((Inputs!$G$5:$G$110="moeda")+(Inputs!$G$5:$G$110="acoes"))*Inputs!$B$1+((Inputs!$G$5:$G$110&lt;&gt;"moeda")*(Inputs!$G$5:$G$110&lt;&gt;"acoes")))*INDEX(Inputs!$K$5:$AJ$110,0,MATCH(T$2,Inputs!$K$4:$AJ$4,0)))+SUMPRODUCT((Inputs!$C$5:$C$110=$B6)*Inputs!$D$5:$D$110*(((Inputs!$G$5:$G$110="moeda")+(Inputs!$G$5:$G$110="acoes"))*Inputs!$B$1+((Inputs!$G$5:$G$110&lt;&gt;"moeda")*(Inputs!$G$5:$G$110&lt;&gt;"acoes")))*INDEX(Inputs!$K$5:$AJ$110,0,MATCH(T$2,Inputs!$K$4:$AJ$4,0)))+SUMPRODUCT((Inputs!$E$5:$E$110=$B6)*Inputs!$F$5:$F$110*(((Inputs!$G$5:$G$110="moeda")+(Inputs!$G$5:$G$110="acoes"))*Inputs!$B$1+((Inputs!$G$5:$G$110&lt;&gt;"moeda")*(Inputs!$G$5:$G$110&lt;&gt;"acoes")))*INDEX(Inputs!$K$5:$AJ$110,0,MATCH(T$2,Inputs!$K$4:$AJ$4,0)))))</f>
        <v>-18102</v>
      </c>
      <c r="U6" s="6">
        <f>IF(ISNA(MATCH(U$2,Inputs!$K$4:$AJ$4,0)),NA(),IF(SUMPRODUCT((Inputs!$A$5:$A$110=$B6)*ISNUMBER(INDEX(Inputs!$K$5:$AJ$110,0,MATCH(U$2,Inputs!$K$4:$AJ$4,0))))+SUMPRODUCT((Inputs!$C$5:$C$110=$B6)*ISNUMBER(INDEX(Inputs!$K$5:$AJ$110,0,MATCH(U$2,Inputs!$K$4:$AJ$4,0))))+SUMPRODUCT((Inputs!$E$5:$E$110=$B6)*ISNUMBER(INDEX(Inputs!$K$5:$AJ$110,0,MATCH(U$2,Inputs!$K$4:$AJ$4,0))))=0,NA(),SUMPRODUCT((Inputs!$A$5:$A$110=$B6)*Inputs!$B$5:$B$110*(((Inputs!$G$5:$G$110="moeda")+(Inputs!$G$5:$G$110="acoes"))*Inputs!$B$1+((Inputs!$G$5:$G$110&lt;&gt;"moeda")*(Inputs!$G$5:$G$110&lt;&gt;"acoes")))*INDEX(Inputs!$K$5:$AJ$110,0,MATCH(U$2,Inputs!$K$4:$AJ$4,0)))+SUMPRODUCT((Inputs!$C$5:$C$110=$B6)*Inputs!$D$5:$D$110*(((Inputs!$G$5:$G$110="moeda")+(Inputs!$G$5:$G$110="acoes"))*Inputs!$B$1+((Inputs!$G$5:$G$110&lt;&gt;"moeda")*(Inputs!$G$5:$G$110&lt;&gt;"acoes")))*INDEX(Inputs!$K$5:$AJ$110,0,MATCH(U$2,Inputs!$K$4:$AJ$4,0)))+SUMPRODUCT((Inputs!$E$5:$E$110=$B6)*Inputs!$F$5:$F$110*(((Inputs!$G$5:$G$110="moeda")+(Inputs!$G$5:$G$110="acoes"))*Inputs!$B$1+((Inputs!$G$5:$G$110&lt;&gt;"moeda")*(Inputs!$G$5:$G$110&lt;&gt;"acoes")))*INDEX(Inputs!$K$5:$AJ$110,0,MATCH(U$2,Inputs!$K$4:$AJ$4,0)))))</f>
        <v>-19288</v>
      </c>
      <c r="V6" s="6">
        <f>IF(ISNA(MATCH(V$2,Inputs!$K$4:$AJ$4,0)),NA(),IF(SUMPRODUCT((Inputs!$A$5:$A$110=$B6)*ISNUMBER(INDEX(Inputs!$K$5:$AJ$110,0,MATCH(V$2,Inputs!$K$4:$AJ$4,0))))+SUMPRODUCT((Inputs!$C$5:$C$110=$B6)*ISNUMBER(INDEX(Inputs!$K$5:$AJ$110,0,MATCH(V$2,Inputs!$K$4:$AJ$4,0))))+SUMPRODUCT((Inputs!$E$5:$E$110=$B6)*ISNUMBER(INDEX(Inputs!$K$5:$AJ$110,0,MATCH(V$2,Inputs!$K$4:$AJ$4,0))))=0,NA(),SUMPRODUCT((Inputs!$A$5:$A$110=$B6)*Inputs!$B$5:$B$110*(((Inputs!$G$5:$G$110="moeda")+(Inputs!$G$5:$G$110="acoes"))*Inputs!$B$1+((Inputs!$G$5:$G$110&lt;&gt;"moeda")*(Inputs!$G$5:$G$110&lt;&gt;"acoes")))*INDEX(Inputs!$K$5:$AJ$110,0,MATCH(V$2,Inputs!$K$4:$AJ$4,0)))+SUMPRODUCT((Inputs!$C$5:$C$110=$B6)*Inputs!$D$5:$D$110*(((Inputs!$G$5:$G$110="moeda")+(Inputs!$G$5:$G$110="acoes"))*Inputs!$B$1+((Inputs!$G$5:$G$110&lt;&gt;"moeda")*(Inputs!$G$5:$G$110&lt;&gt;"acoes")))*INDEX(Inputs!$K$5:$AJ$110,0,MATCH(V$2,Inputs!$K$4:$AJ$4,0)))+SUMPRODUCT((Inputs!$E$5:$E$110=$B6)*Inputs!$F$5:$F$110*(((Inputs!$G$5:$G$110="moeda")+(Inputs!$G$5:$G$110="acoes"))*Inputs!$B$1+((Inputs!$G$5:$G$110&lt;&gt;"moeda")*(Inputs!$G$5:$G$110&lt;&gt;"acoes")))*INDEX(Inputs!$K$5:$AJ$110,0,MATCH(V$2,Inputs!$K$4:$AJ$4,0)))))</f>
        <v>-20679</v>
      </c>
      <c r="W6" s="3">
        <f>SUM(S6:V6)</f>
        <v>-76011</v>
      </c>
      <c r="X6" s="6">
        <f>IF(ISNA(MATCH(X$2,Inputs!$K$4:$AJ$4,0)),NA(),IF(SUMPRODUCT((Inputs!$A$5:$A$110=$B6)*ISNUMBER(INDEX(Inputs!$K$5:$AJ$110,0,MATCH(X$2,Inputs!$K$4:$AJ$4,0))))+SUMPRODUCT((Inputs!$C$5:$C$110=$B6)*ISNUMBER(INDEX(Inputs!$K$5:$AJ$110,0,MATCH(X$2,Inputs!$K$4:$AJ$4,0))))+SUMPRODUCT((Inputs!$E$5:$E$110=$B6)*ISNUMBER(INDEX(Inputs!$K$5:$AJ$110,0,MATCH(X$2,Inputs!$K$4:$AJ$4,0))))=0,NA(),SUMPRODUCT((Inputs!$A$5:$A$110=$B6)*Inputs!$B$5:$B$110*(((Inputs!$G$5:$G$110="moeda")+(Inputs!$G$5:$G$110="acoes"))*Inputs!$B$1+((Inputs!$G$5:$G$110&lt;&gt;"moeda")*(Inputs!$G$5:$G$110&lt;&gt;"acoes")))*INDEX(Inputs!$K$5:$AJ$110,0,MATCH(X$2,Inputs!$K$4:$AJ$4,0)))+SUMPRODUCT((Inputs!$C$5:$C$110=$B6)*Inputs!$D$5:$D$110*(((Inputs!$G$5:$G$110="moeda")+(Inputs!$G$5:$G$110="acoes"))*Inputs!$B$1+((Inputs!$G$5:$G$110&lt;&gt;"moeda")*(Inputs!$G$5:$G$110&lt;&gt;"acoes")))*INDEX(Inputs!$K$5:$AJ$110,0,MATCH(X$2,Inputs!$K$4:$AJ$4,0)))+SUMPRODUCT((Inputs!$E$5:$E$110=$B6)*Inputs!$F$5:$F$110*(((Inputs!$G$5:$G$110="moeda")+(Inputs!$G$5:$G$110="acoes"))*Inputs!$B$1+((Inputs!$G$5:$G$110&lt;&gt;"moeda")*(Inputs!$G$5:$G$110&lt;&gt;"acoes")))*INDEX(Inputs!$K$5:$AJ$110,0,MATCH(X$2,Inputs!$K$4:$AJ$4,0)))))</f>
        <v>-18780</v>
      </c>
      <c r="Y6" s="6">
        <f>IF(ISNA(MATCH(Y$2,Inputs!$K$4:$AJ$4,0)),NA(),IF(SUMPRODUCT((Inputs!$A$5:$A$110=$B6)*ISNUMBER(INDEX(Inputs!$K$5:$AJ$110,0,MATCH(Y$2,Inputs!$K$4:$AJ$4,0))))+SUMPRODUCT((Inputs!$C$5:$C$110=$B6)*ISNUMBER(INDEX(Inputs!$K$5:$AJ$110,0,MATCH(Y$2,Inputs!$K$4:$AJ$4,0))))+SUMPRODUCT((Inputs!$E$5:$E$110=$B6)*ISNUMBER(INDEX(Inputs!$K$5:$AJ$110,0,MATCH(Y$2,Inputs!$K$4:$AJ$4,0))))=0,NA(),SUMPRODUCT((Inputs!$A$5:$A$110=$B6)*Inputs!$B$5:$B$110*(((Inputs!$G$5:$G$110="moeda")+(Inputs!$G$5:$G$110="acoes"))*Inputs!$B$1+((Inputs!$G$5:$G$110&lt;&gt;"moeda")*(Inputs!$G$5:$G$110&lt;&gt;"acoes")))*INDEX(Inputs!$K$5:$AJ$110,0,MATCH(Y$2,Inputs!$K$4:$AJ$4,0)))+SUMPRODUCT((Inputs!$C$5:$C$110=$B6)*Inputs!$D$5:$D$110*(((Inputs!$G$5:$G$110="moeda")+(Inputs!$G$5:$G$110="acoes"))*Inputs!$B$1+((Inputs!$G$5:$G$110&lt;&gt;"moeda")*(Inputs!$G$5:$G$110&lt;&gt;"acoes")))*INDEX(Inputs!$K$5:$AJ$110,0,MATCH(Y$2,Inputs!$K$4:$AJ$4,0)))+SUMPRODUCT((Inputs!$E$5:$E$110=$B6)*Inputs!$F$5:$F$110*(((Inputs!$G$5:$G$110="moeda")+(Inputs!$G$5:$G$110="acoes"))*Inputs!$B$1+((Inputs!$G$5:$G$110&lt;&gt;"moeda")*(Inputs!$G$5:$G$110&lt;&gt;"acoes")))*INDEX(Inputs!$K$5:$AJ$110,0,MATCH(Y$2,Inputs!$K$4:$AJ$4,0)))))</f>
        <v>-21120</v>
      </c>
      <c r="Z6" s="6">
        <f>IF(ISNA(MATCH(Z$2,Inputs!$K$4:$AJ$4,0)),NA(),IF(SUMPRODUCT((Inputs!$A$5:$A$110=$B6)*ISNUMBER(INDEX(Inputs!$K$5:$AJ$110,0,MATCH(Z$2,Inputs!$K$4:$AJ$4,0))))+SUMPRODUCT((Inputs!$C$5:$C$110=$B6)*ISNUMBER(INDEX(Inputs!$K$5:$AJ$110,0,MATCH(Z$2,Inputs!$K$4:$AJ$4,0))))+SUMPRODUCT((Inputs!$E$5:$E$110=$B6)*ISNUMBER(INDEX(Inputs!$K$5:$AJ$110,0,MATCH(Z$2,Inputs!$K$4:$AJ$4,0))))=0,NA(),SUMPRODUCT((Inputs!$A$5:$A$110=$B6)*Inputs!$B$5:$B$110*(((Inputs!$G$5:$G$110="moeda")+(Inputs!$G$5:$G$110="acoes"))*Inputs!$B$1+((Inputs!$G$5:$G$110&lt;&gt;"moeda")*(Inputs!$G$5:$G$110&lt;&gt;"acoes")))*INDEX(Inputs!$K$5:$AJ$110,0,MATCH(Z$2,Inputs!$K$4:$AJ$4,0)))+SUMPRODUCT((Inputs!$C$5:$C$110=$B6)*Inputs!$D$5:$D$110*(((Inputs!$G$5:$G$110="moeda")+(Inputs!$G$5:$G$110="acoes"))*Inputs!$B$1+((Inputs!$G$5:$G$110&lt;&gt;"moeda")*(Inputs!$G$5:$G$110&lt;&gt;"acoes")))*INDEX(Inputs!$K$5:$AJ$110,0,MATCH(Z$2,Inputs!$K$4:$AJ$4,0)))+SUMPRODUCT((Inputs!$E$5:$E$110=$B6)*Inputs!$F$5:$F$110*(((Inputs!$G$5:$G$110="moeda")+(Inputs!$G$5:$G$110="acoes"))*Inputs!$B$1+((Inputs!$G$5:$G$110&lt;&gt;"moeda")*(Inputs!$G$5:$G$110&lt;&gt;"acoes")))*INDEX(Inputs!$K$5:$AJ$110,0,MATCH(Z$2,Inputs!$K$4:$AJ$4,0)))))</f>
        <v>-24138</v>
      </c>
      <c r="AA6" s="6">
        <f>IF(ISNA(MATCH(AA$2,Inputs!$K$4:$AJ$4,0)),NA(),IF(SUMPRODUCT((Inputs!$A$5:$A$110=$B6)*ISNUMBER(INDEX(Inputs!$K$5:$AJ$110,0,MATCH(AA$2,Inputs!$K$4:$AJ$4,0))))+SUMPRODUCT((Inputs!$C$5:$C$110=$B6)*ISNUMBER(INDEX(Inputs!$K$5:$AJ$110,0,MATCH(AA$2,Inputs!$K$4:$AJ$4,0))))+SUMPRODUCT((Inputs!$E$5:$E$110=$B6)*ISNUMBER(INDEX(Inputs!$K$5:$AJ$110,0,MATCH(AA$2,Inputs!$K$4:$AJ$4,0))))=0,NA(),SUMPRODUCT((Inputs!$A$5:$A$110=$B6)*Inputs!$B$5:$B$110*(((Inputs!$G$5:$G$110="moeda")+(Inputs!$G$5:$G$110="acoes"))*Inputs!$B$1+((Inputs!$G$5:$G$110&lt;&gt;"moeda")*(Inputs!$G$5:$G$110&lt;&gt;"acoes")))*INDEX(Inputs!$K$5:$AJ$110,0,MATCH(AA$2,Inputs!$K$4:$AJ$4,0)))+SUMPRODUCT((Inputs!$C$5:$C$110=$B6)*Inputs!$D$5:$D$110*(((Inputs!$G$5:$G$110="moeda")+(Inputs!$G$5:$G$110="acoes"))*Inputs!$B$1+((Inputs!$G$5:$G$110&lt;&gt;"moeda")*(Inputs!$G$5:$G$110&lt;&gt;"acoes")))*INDEX(Inputs!$K$5:$AJ$110,0,MATCH(AA$2,Inputs!$K$4:$AJ$4,0)))+SUMPRODUCT((Inputs!$E$5:$E$110=$B6)*Inputs!$F$5:$F$110*(((Inputs!$G$5:$G$110="moeda")+(Inputs!$G$5:$G$110="acoes"))*Inputs!$B$1+((Inputs!$G$5:$G$110&lt;&gt;"moeda")*(Inputs!$G$5:$G$110&lt;&gt;"acoes")))*INDEX(Inputs!$K$5:$AJ$110,0,MATCH(AA$2,Inputs!$K$4:$AJ$4,0)))))</f>
        <v>-26088</v>
      </c>
      <c r="AB6" s="3">
        <f>SUM(X6:AA6)</f>
        <v>-90126</v>
      </c>
      <c r="AC6" s="6">
        <f>IF(ISNA(MATCH(AC$2,Inputs!$K$4:$AJ$4,0)),NA(),IF(SUMPRODUCT((Inputs!$A$5:$A$110=$B6)*ISNUMBER(INDEX(Inputs!$K$5:$AJ$110,0,MATCH(AC$2,Inputs!$K$4:$AJ$4,0))))+SUMPRODUCT((Inputs!$C$5:$C$110=$B6)*ISNUMBER(INDEX(Inputs!$K$5:$AJ$110,0,MATCH(AC$2,Inputs!$K$4:$AJ$4,0))))+SUMPRODUCT((Inputs!$E$5:$E$110=$B6)*ISNUMBER(INDEX(Inputs!$K$5:$AJ$110,0,MATCH(AC$2,Inputs!$K$4:$AJ$4,0))))=0,NA(),SUMPRODUCT((Inputs!$A$5:$A$110=$B6)*Inputs!$B$5:$B$110*(((Inputs!$G$5:$G$110="moeda")+(Inputs!$G$5:$G$110="acoes"))*Inputs!$B$1+((Inputs!$G$5:$G$110&lt;&gt;"moeda")*(Inputs!$G$5:$G$110&lt;&gt;"acoes")))*INDEX(Inputs!$K$5:$AJ$110,0,MATCH(AC$2,Inputs!$K$4:$AJ$4,0)))+SUMPRODUCT((Inputs!$C$5:$C$110=$B6)*Inputs!$D$5:$D$110*(((Inputs!$G$5:$G$110="moeda")+(Inputs!$G$5:$G$110="acoes"))*Inputs!$B$1+((Inputs!$G$5:$G$110&lt;&gt;"moeda")*(Inputs!$G$5:$G$110&lt;&gt;"acoes")))*INDEX(Inputs!$K$5:$AJ$110,0,MATCH(AC$2,Inputs!$K$4:$AJ$4,0)))+SUMPRODUCT((Inputs!$E$5:$E$110=$B6)*Inputs!$F$5:$F$110*(((Inputs!$G$5:$G$110="moeda")+(Inputs!$G$5:$G$110="acoes"))*Inputs!$B$1+((Inputs!$G$5:$G$110&lt;&gt;"moeda")*(Inputs!$G$5:$G$110&lt;&gt;"acoes")))*INDEX(Inputs!$K$5:$AJ$110,0,MATCH(AC$2,Inputs!$K$4:$AJ$4,0)))))</f>
        <v>-22447</v>
      </c>
      <c r="AD6" s="6">
        <f>IF(ISNA(MATCH(AD$2,Inputs!$K$4:$AJ$4,0)),NA(),IF(SUMPRODUCT((Inputs!$A$5:$A$110=$B6)*ISNUMBER(INDEX(Inputs!$K$5:$AJ$110,0,MATCH(AD$2,Inputs!$K$4:$AJ$4,0))))+SUMPRODUCT((Inputs!$C$5:$C$110=$B6)*ISNUMBER(INDEX(Inputs!$K$5:$AJ$110,0,MATCH(AD$2,Inputs!$K$4:$AJ$4,0))))+SUMPRODUCT((Inputs!$E$5:$E$110=$B6)*ISNUMBER(INDEX(Inputs!$K$5:$AJ$110,0,MATCH(AD$2,Inputs!$K$4:$AJ$4,0))))=0,NA(),SUMPRODUCT((Inputs!$A$5:$A$110=$B6)*Inputs!$B$5:$B$110*(((Inputs!$G$5:$G$110="moeda")+(Inputs!$G$5:$G$110="acoes"))*Inputs!$B$1+((Inputs!$G$5:$G$110&lt;&gt;"moeda")*(Inputs!$G$5:$G$110&lt;&gt;"acoes")))*INDEX(Inputs!$K$5:$AJ$110,0,MATCH(AD$2,Inputs!$K$4:$AJ$4,0)))+SUMPRODUCT((Inputs!$C$5:$C$110=$B6)*Inputs!$D$5:$D$110*(((Inputs!$G$5:$G$110="moeda")+(Inputs!$G$5:$G$110="acoes"))*Inputs!$B$1+((Inputs!$G$5:$G$110&lt;&gt;"moeda")*(Inputs!$G$5:$G$110&lt;&gt;"acoes")))*INDEX(Inputs!$K$5:$AJ$110,0,MATCH(AD$2,Inputs!$K$4:$AJ$4,0)))+SUMPRODUCT((Inputs!$E$5:$E$110=$B6)*Inputs!$F$5:$F$110*(((Inputs!$G$5:$G$110="moeda")+(Inputs!$G$5:$G$110="acoes"))*Inputs!$B$1+((Inputs!$G$5:$G$110&lt;&gt;"moeda")*(Inputs!$G$5:$G$110&lt;&gt;"acoes")))*INDEX(Inputs!$K$5:$AJ$110,0,MATCH(AD$2,Inputs!$K$4:$AJ$4,0)))))</f>
        <v>-25979</v>
      </c>
      <c r="AE6" s="6" t="e">
        <f>IF(ISNA(MATCH(AE$2,Inputs!$K$4:$AJ$4,0)),NA(),IF(SUMPRODUCT((Inputs!$A$5:$A$110=$B6)*ISNUMBER(INDEX(Inputs!$K$5:$AJ$110,0,MATCH(AE$2,Inputs!$K$4:$AJ$4,0))))+SUMPRODUCT((Inputs!$C$5:$C$110=$B6)*ISNUMBER(INDEX(Inputs!$K$5:$AJ$110,0,MATCH(AE$2,Inputs!$K$4:$AJ$4,0))))+SUMPRODUCT((Inputs!$E$5:$E$110=$B6)*ISNUMBER(INDEX(Inputs!$K$5:$AJ$110,0,MATCH(AE$2,Inputs!$K$4:$AJ$4,0))))=0,NA(),SUMPRODUCT((Inputs!$A$5:$A$110=$B6)*Inputs!$B$5:$B$110*(((Inputs!$G$5:$G$110="moeda")+(Inputs!$G$5:$G$110="acoes"))*Inputs!$B$1+((Inputs!$G$5:$G$110&lt;&gt;"moeda")*(Inputs!$G$5:$G$110&lt;&gt;"acoes")))*INDEX(Inputs!$K$5:$AJ$110,0,MATCH(AE$2,Inputs!$K$4:$AJ$4,0)))+SUMPRODUCT((Inputs!$C$5:$C$110=$B6)*Inputs!$D$5:$D$110*(((Inputs!$G$5:$G$110="moeda")+(Inputs!$G$5:$G$110="acoes"))*Inputs!$B$1+((Inputs!$G$5:$G$110&lt;&gt;"moeda")*(Inputs!$G$5:$G$110&lt;&gt;"acoes")))*INDEX(Inputs!$K$5:$AJ$110,0,MATCH(AE$2,Inputs!$K$4:$AJ$4,0)))+SUMPRODUCT((Inputs!$E$5:$E$110=$B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" s="6" t="e">
        <f>IF(ISNA(MATCH(AF$2,Inputs!$K$4:$AJ$4,0)),NA(),IF(SUMPRODUCT((Inputs!$A$5:$A$110=$B6)*ISNUMBER(INDEX(Inputs!$K$5:$AJ$110,0,MATCH(AF$2,Inputs!$K$4:$AJ$4,0))))+SUMPRODUCT((Inputs!$C$5:$C$110=$B6)*ISNUMBER(INDEX(Inputs!$K$5:$AJ$110,0,MATCH(AF$2,Inputs!$K$4:$AJ$4,0))))+SUMPRODUCT((Inputs!$E$5:$E$110=$B6)*ISNUMBER(INDEX(Inputs!$K$5:$AJ$110,0,MATCH(AF$2,Inputs!$K$4:$AJ$4,0))))=0,NA(),SUMPRODUCT((Inputs!$A$5:$A$110=$B6)*Inputs!$B$5:$B$110*(((Inputs!$G$5:$G$110="moeda")+(Inputs!$G$5:$G$110="acoes"))*Inputs!$B$1+((Inputs!$G$5:$G$110&lt;&gt;"moeda")*(Inputs!$G$5:$G$110&lt;&gt;"acoes")))*INDEX(Inputs!$K$5:$AJ$110,0,MATCH(AF$2,Inputs!$K$4:$AJ$4,0)))+SUMPRODUCT((Inputs!$C$5:$C$110=$B6)*Inputs!$D$5:$D$110*(((Inputs!$G$5:$G$110="moeda")+(Inputs!$G$5:$G$110="acoes"))*Inputs!$B$1+((Inputs!$G$5:$G$110&lt;&gt;"moeda")*(Inputs!$G$5:$G$110&lt;&gt;"acoes")))*INDEX(Inputs!$K$5:$AJ$110,0,MATCH(AF$2,Inputs!$K$4:$AJ$4,0)))+SUMPRODUCT((Inputs!$E$5:$E$110=$B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" s="3" t="e">
        <f>SUM(AC6:AF6)</f>
        <v>#N/A</v>
      </c>
      <c r="AH6" s="6">
        <f>IF(ISNA(MATCH(AH$2,Inputs!$K$4:$AJ$4,0)),NA(),IF(SUMPRODUCT((Inputs!$A$5:$A$110=$B6)*ISNUMBER(INDEX(Inputs!$K$5:$AJ$110,0,MATCH(AH$2,Inputs!$K$4:$AJ$4,0))))+SUMPRODUCT((Inputs!$C$5:$C$110=$B6)*ISNUMBER(INDEX(Inputs!$K$5:$AJ$110,0,MATCH(AH$2,Inputs!$K$4:$AJ$4,0))))+SUMPRODUCT((Inputs!$E$5:$E$110=$B6)*ISNUMBER(INDEX(Inputs!$K$5:$AJ$110,0,MATCH(AH$2,Inputs!$K$4:$AJ$4,0))))=0,NA(),SUMPRODUCT((Inputs!$A$5:$A$110=$B6)*Inputs!$B$5:$B$110*(((Inputs!$G$5:$G$110="moeda")+(Inputs!$G$5:$G$110="acoes"))*Inputs!$B$1+((Inputs!$G$5:$G$110&lt;&gt;"moeda")*(Inputs!$G$5:$G$110&lt;&gt;"acoes")))*INDEX(Inputs!$K$5:$AJ$110,0,MATCH(AH$2,Inputs!$K$4:$AJ$4,0)))+SUMPRODUCT((Inputs!$C$5:$C$110=$B6)*Inputs!$D$5:$D$110*(((Inputs!$G$5:$G$110="moeda")+(Inputs!$G$5:$G$110="acoes"))*Inputs!$B$1+((Inputs!$G$5:$G$110&lt;&gt;"moeda")*(Inputs!$G$5:$G$110&lt;&gt;"acoes")))*INDEX(Inputs!$K$5:$AJ$110,0,MATCH(AH$2,Inputs!$K$4:$AJ$4,0)))+SUMPRODUCT((Inputs!$E$5:$E$110=$B6)*Inputs!$F$5:$F$110*(((Inputs!$G$5:$G$110="moeda")+(Inputs!$G$5:$G$110="acoes"))*Inputs!$B$1+((Inputs!$G$5:$G$110&lt;&gt;"moeda")*(Inputs!$G$5:$G$110&lt;&gt;"acoes")))*INDEX(Inputs!$K$5:$AJ$110,0,MATCH(AH$2,Inputs!$K$4:$AJ$4,0)))))</f>
        <v>-11092</v>
      </c>
      <c r="AI6" s="6">
        <f>IF(ISNA(MATCH(AI$2,Inputs!$K$4:$AJ$4,0)),NA(),IF(SUMPRODUCT((Inputs!$A$5:$A$110=$B6)*ISNUMBER(INDEX(Inputs!$K$5:$AJ$110,0,MATCH(AI$2,Inputs!$K$4:$AJ$4,0))))+SUMPRODUCT((Inputs!$C$5:$C$110=$B6)*ISNUMBER(INDEX(Inputs!$K$5:$AJ$110,0,MATCH(AI$2,Inputs!$K$4:$AJ$4,0))))+SUMPRODUCT((Inputs!$E$5:$E$110=$B6)*ISNUMBER(INDEX(Inputs!$K$5:$AJ$110,0,MATCH(AI$2,Inputs!$K$4:$AJ$4,0))))=0,NA(),SUMPRODUCT((Inputs!$A$5:$A$110=$B6)*Inputs!$B$5:$B$110*(((Inputs!$G$5:$G$110="moeda")+(Inputs!$G$5:$G$110="acoes"))*Inputs!$B$1+((Inputs!$G$5:$G$110&lt;&gt;"moeda")*(Inputs!$G$5:$G$110&lt;&gt;"acoes")))*INDEX(Inputs!$K$5:$AJ$110,0,MATCH(AI$2,Inputs!$K$4:$AJ$4,0)))+SUMPRODUCT((Inputs!$C$5:$C$110=$B6)*Inputs!$D$5:$D$110*(((Inputs!$G$5:$G$110="moeda")+(Inputs!$G$5:$G$110="acoes"))*Inputs!$B$1+((Inputs!$G$5:$G$110&lt;&gt;"moeda")*(Inputs!$G$5:$G$110&lt;&gt;"acoes")))*INDEX(Inputs!$K$5:$AJ$110,0,MATCH(AI$2,Inputs!$K$4:$AJ$4,0)))+SUMPRODUCT((Inputs!$E$5:$E$110=$B6)*Inputs!$F$5:$F$110*(((Inputs!$G$5:$G$110="moeda")+(Inputs!$G$5:$G$110="acoes"))*Inputs!$B$1+((Inputs!$G$5:$G$110&lt;&gt;"moeda")*(Inputs!$G$5:$G$110&lt;&gt;"acoes")))*INDEX(Inputs!$K$5:$AJ$110,0,MATCH(AI$2,Inputs!$K$4:$AJ$4,0)))))</f>
        <v>-9975</v>
      </c>
      <c r="AJ6" s="6">
        <f>IF(ISNA(MATCH(AJ$2,Inputs!$K$4:$AJ$4,0)),NA(),IF(SUMPRODUCT((Inputs!$A$5:$A$110=$B6)*ISNUMBER(INDEX(Inputs!$K$5:$AJ$110,0,MATCH(AJ$2,Inputs!$K$4:$AJ$4,0))))+SUMPRODUCT((Inputs!$C$5:$C$110=$B6)*ISNUMBER(INDEX(Inputs!$K$5:$AJ$110,0,MATCH(AJ$2,Inputs!$K$4:$AJ$4,0))))+SUMPRODUCT((Inputs!$E$5:$E$110=$B6)*ISNUMBER(INDEX(Inputs!$K$5:$AJ$110,0,MATCH(AJ$2,Inputs!$K$4:$AJ$4,0))))=0,NA(),SUMPRODUCT((Inputs!$A$5:$A$110=$B6)*Inputs!$B$5:$B$110*(((Inputs!$G$5:$G$110="moeda")+(Inputs!$G$5:$G$110="acoes"))*Inputs!$B$1+((Inputs!$G$5:$G$110&lt;&gt;"moeda")*(Inputs!$G$5:$G$110&lt;&gt;"acoes")))*INDEX(Inputs!$K$5:$AJ$110,0,MATCH(AJ$2,Inputs!$K$4:$AJ$4,0)))+SUMPRODUCT((Inputs!$C$5:$C$110=$B6)*Inputs!$D$5:$D$110*(((Inputs!$G$5:$G$110="moeda")+(Inputs!$G$5:$G$110="acoes"))*Inputs!$B$1+((Inputs!$G$5:$G$110&lt;&gt;"moeda")*(Inputs!$G$5:$G$110&lt;&gt;"acoes")))*INDEX(Inputs!$K$5:$AJ$110,0,MATCH(AJ$2,Inputs!$K$4:$AJ$4,0)))+SUMPRODUCT((Inputs!$E$5:$E$110=$B6)*Inputs!$F$5:$F$110*(((Inputs!$G$5:$G$110="moeda")+(Inputs!$G$5:$G$110="acoes"))*Inputs!$B$1+((Inputs!$G$5:$G$110&lt;&gt;"moeda")*(Inputs!$G$5:$G$110&lt;&gt;"acoes")))*INDEX(Inputs!$K$5:$AJ$110,0,MATCH(AJ$2,Inputs!$K$4:$AJ$4,0)))))</f>
        <v>-10365</v>
      </c>
      <c r="AK6" s="6">
        <f>IF(ISNA(MATCH(AK$2,Inputs!$K$4:$AJ$4,0)),NA(),IF(SUMPRODUCT((Inputs!$A$5:$A$110=$B6)*ISNUMBER(INDEX(Inputs!$K$5:$AJ$110,0,MATCH(AK$2,Inputs!$K$4:$AJ$4,0))))+SUMPRODUCT((Inputs!$C$5:$C$110=$B6)*ISNUMBER(INDEX(Inputs!$K$5:$AJ$110,0,MATCH(AK$2,Inputs!$K$4:$AJ$4,0))))+SUMPRODUCT((Inputs!$E$5:$E$110=$B6)*ISNUMBER(INDEX(Inputs!$K$5:$AJ$110,0,MATCH(AK$2,Inputs!$K$4:$AJ$4,0))))=0,NA(),SUMPRODUCT((Inputs!$A$5:$A$110=$B6)*Inputs!$B$5:$B$110*(((Inputs!$G$5:$G$110="moeda")+(Inputs!$G$5:$G$110="acoes"))*Inputs!$B$1+((Inputs!$G$5:$G$110&lt;&gt;"moeda")*(Inputs!$G$5:$G$110&lt;&gt;"acoes")))*INDEX(Inputs!$K$5:$AJ$110,0,MATCH(AK$2,Inputs!$K$4:$AJ$4,0)))+SUMPRODUCT((Inputs!$C$5:$C$110=$B6)*Inputs!$D$5:$D$110*(((Inputs!$G$5:$G$110="moeda")+(Inputs!$G$5:$G$110="acoes"))*Inputs!$B$1+((Inputs!$G$5:$G$110&lt;&gt;"moeda")*(Inputs!$G$5:$G$110&lt;&gt;"acoes")))*INDEX(Inputs!$K$5:$AJ$110,0,MATCH(AK$2,Inputs!$K$4:$AJ$4,0)))+SUMPRODUCT((Inputs!$E$5:$E$110=$B6)*Inputs!$F$5:$F$110*(((Inputs!$G$5:$G$110="moeda")+(Inputs!$G$5:$G$110="acoes"))*Inputs!$B$1+((Inputs!$G$5:$G$110&lt;&gt;"moeda")*(Inputs!$G$5:$G$110&lt;&gt;"acoes")))*INDEX(Inputs!$K$5:$AJ$110,0,MATCH(AK$2,Inputs!$K$4:$AJ$4,0)))))</f>
        <v>-11628</v>
      </c>
      <c r="AL6" s="3">
        <f>SUM(AH6:AK6)</f>
        <v>-43060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$110=$B7)*ISNUMBER(INDEX(Inputs!$K$5:$AJ$110,0,MATCH(D$2,Inputs!$K$4:$AJ$4,0))))+SUMPRODUCT((Inputs!$C$5:$C$110=$B7)*ISNUMBER(INDEX(Inputs!$K$5:$AJ$110,0,MATCH(D$2,Inputs!$K$4:$AJ$4,0))))+SUMPRODUCT((Inputs!$E$5:$E$110=$B7)*ISNUMBER(INDEX(Inputs!$K$5:$AJ$110,0,MATCH(D$2,Inputs!$K$4:$AJ$4,0))))=0,NA(),SUMPRODUCT((Inputs!$A$5:$A$110=$B7)*Inputs!$B$5:$B$110*(((Inputs!$G$5:$G$110="moeda")+(Inputs!$G$5:$G$110="acoes"))*Inputs!$B$1+((Inputs!$G$5:$G$110&lt;&gt;"moeda")*(Inputs!$G$5:$G$110&lt;&gt;"acoes")))*INDEX(Inputs!$K$5:$AJ$110,0,MATCH(D$2,Inputs!$K$4:$AJ$4,0)))+SUMPRODUCT((Inputs!$C$5:$C$110=$B7)*Inputs!$D$5:$D$110*(((Inputs!$G$5:$G$110="moeda")+(Inputs!$G$5:$G$110="acoes"))*Inputs!$B$1+((Inputs!$G$5:$G$110&lt;&gt;"moeda")*(Inputs!$G$5:$G$110&lt;&gt;"acoes")))*INDEX(Inputs!$K$5:$AJ$110,0,MATCH(D$2,Inputs!$K$4:$AJ$4,0)))+SUMPRODUCT((Inputs!$E$5:$E$110=$B7)*Inputs!$F$5:$F$110*(((Inputs!$G$5:$G$110="moeda")+(Inputs!$G$5:$G$110="acoes"))*Inputs!$B$1+((Inputs!$G$5:$G$110&lt;&gt;"moeda")*(Inputs!$G$5:$G$110&lt;&gt;"acoes")))*INDEX(Inputs!$K$5:$AJ$110,0,MATCH(D$2,Inputs!$K$4:$AJ$4,0)))))</f>
        <v>-2525</v>
      </c>
      <c r="E7" s="6">
        <f>IF(ISNA(MATCH(E$2,Inputs!$K$4:$AJ$4,0)),NA(),IF(SUMPRODUCT((Inputs!$A$5:$A$110=$B7)*ISNUMBER(INDEX(Inputs!$K$5:$AJ$110,0,MATCH(E$2,Inputs!$K$4:$AJ$4,0))))+SUMPRODUCT((Inputs!$C$5:$C$110=$B7)*ISNUMBER(INDEX(Inputs!$K$5:$AJ$110,0,MATCH(E$2,Inputs!$K$4:$AJ$4,0))))+SUMPRODUCT((Inputs!$E$5:$E$110=$B7)*ISNUMBER(INDEX(Inputs!$K$5:$AJ$110,0,MATCH(E$2,Inputs!$K$4:$AJ$4,0))))=0,NA(),SUMPRODUCT((Inputs!$A$5:$A$110=$B7)*Inputs!$B$5:$B$110*(((Inputs!$G$5:$G$110="moeda")+(Inputs!$G$5:$G$110="acoes"))*Inputs!$B$1+((Inputs!$G$5:$G$110&lt;&gt;"moeda")*(Inputs!$G$5:$G$110&lt;&gt;"acoes")))*INDEX(Inputs!$K$5:$AJ$110,0,MATCH(E$2,Inputs!$K$4:$AJ$4,0)))+SUMPRODUCT((Inputs!$C$5:$C$110=$B7)*Inputs!$D$5:$D$110*(((Inputs!$G$5:$G$110="moeda")+(Inputs!$G$5:$G$110="acoes"))*Inputs!$B$1+((Inputs!$G$5:$G$110&lt;&gt;"moeda")*(Inputs!$G$5:$G$110&lt;&gt;"acoes")))*INDEX(Inputs!$K$5:$AJ$110,0,MATCH(E$2,Inputs!$K$4:$AJ$4,0)))+SUMPRODUCT((Inputs!$E$5:$E$110=$B7)*Inputs!$F$5:$F$110*(((Inputs!$G$5:$G$110="moeda")+(Inputs!$G$5:$G$110="acoes"))*Inputs!$B$1+((Inputs!$G$5:$G$110&lt;&gt;"moeda")*(Inputs!$G$5:$G$110&lt;&gt;"acoes")))*INDEX(Inputs!$K$5:$AJ$110,0,MATCH(E$2,Inputs!$K$4:$AJ$4,0)))))</f>
        <v>-2730</v>
      </c>
      <c r="F7" s="6">
        <f>IF(ISNA(MATCH(F$2,Inputs!$K$4:$AJ$4,0)),NA(),IF(SUMPRODUCT((Inputs!$A$5:$A$110=$B7)*ISNUMBER(INDEX(Inputs!$K$5:$AJ$110,0,MATCH(F$2,Inputs!$K$4:$AJ$4,0))))+SUMPRODUCT((Inputs!$C$5:$C$110=$B7)*ISNUMBER(INDEX(Inputs!$K$5:$AJ$110,0,MATCH(F$2,Inputs!$K$4:$AJ$4,0))))+SUMPRODUCT((Inputs!$E$5:$E$110=$B7)*ISNUMBER(INDEX(Inputs!$K$5:$AJ$110,0,MATCH(F$2,Inputs!$K$4:$AJ$4,0))))=0,NA(),SUMPRODUCT((Inputs!$A$5:$A$110=$B7)*Inputs!$B$5:$B$110*(((Inputs!$G$5:$G$110="moeda")+(Inputs!$G$5:$G$110="acoes"))*Inputs!$B$1+((Inputs!$G$5:$G$110&lt;&gt;"moeda")*(Inputs!$G$5:$G$110&lt;&gt;"acoes")))*INDEX(Inputs!$K$5:$AJ$110,0,MATCH(F$2,Inputs!$K$4:$AJ$4,0)))+SUMPRODUCT((Inputs!$C$5:$C$110=$B7)*Inputs!$D$5:$D$110*(((Inputs!$G$5:$G$110="moeda")+(Inputs!$G$5:$G$110="acoes"))*Inputs!$B$1+((Inputs!$G$5:$G$110&lt;&gt;"moeda")*(Inputs!$G$5:$G$110&lt;&gt;"acoes")))*INDEX(Inputs!$K$5:$AJ$110,0,MATCH(F$2,Inputs!$K$4:$AJ$4,0)))+SUMPRODUCT((Inputs!$E$5:$E$110=$B7)*Inputs!$F$5:$F$110*(((Inputs!$G$5:$G$110="moeda")+(Inputs!$G$5:$G$110="acoes"))*Inputs!$B$1+((Inputs!$G$5:$G$110&lt;&gt;"moeda")*(Inputs!$G$5:$G$110&lt;&gt;"acoes")))*INDEX(Inputs!$K$5:$AJ$110,0,MATCH(F$2,Inputs!$K$4:$AJ$4,0)))))</f>
        <v>-3085</v>
      </c>
      <c r="G7" s="6">
        <f>IF(ISNA(MATCH(G$2,Inputs!$K$4:$AJ$4,0)),NA(),IF(SUMPRODUCT((Inputs!$A$5:$A$110=$B7)*ISNUMBER(INDEX(Inputs!$K$5:$AJ$110,0,MATCH(G$2,Inputs!$K$4:$AJ$4,0))))+SUMPRODUCT((Inputs!$C$5:$C$110=$B7)*ISNUMBER(INDEX(Inputs!$K$5:$AJ$110,0,MATCH(G$2,Inputs!$K$4:$AJ$4,0))))+SUMPRODUCT((Inputs!$E$5:$E$110=$B7)*ISNUMBER(INDEX(Inputs!$K$5:$AJ$110,0,MATCH(G$2,Inputs!$K$4:$AJ$4,0))))=0,NA(),SUMPRODUCT((Inputs!$A$5:$A$110=$B7)*Inputs!$B$5:$B$110*(((Inputs!$G$5:$G$110="moeda")+(Inputs!$G$5:$G$110="acoes"))*Inputs!$B$1+((Inputs!$G$5:$G$110&lt;&gt;"moeda")*(Inputs!$G$5:$G$110&lt;&gt;"acoes")))*INDEX(Inputs!$K$5:$AJ$110,0,MATCH(G$2,Inputs!$K$4:$AJ$4,0)))+SUMPRODUCT((Inputs!$C$5:$C$110=$B7)*Inputs!$D$5:$D$110*(((Inputs!$G$5:$G$110="moeda")+(Inputs!$G$5:$G$110="acoes"))*Inputs!$B$1+((Inputs!$G$5:$G$110&lt;&gt;"moeda")*(Inputs!$G$5:$G$110&lt;&gt;"acoes")))*INDEX(Inputs!$K$5:$AJ$110,0,MATCH(G$2,Inputs!$K$4:$AJ$4,0)))+SUMPRODUCT((Inputs!$E$5:$E$110=$B7)*Inputs!$F$5:$F$110*(((Inputs!$G$5:$G$110="moeda")+(Inputs!$G$5:$G$110="acoes"))*Inputs!$B$1+((Inputs!$G$5:$G$110&lt;&gt;"moeda")*(Inputs!$G$5:$G$110&lt;&gt;"acoes")))*INDEX(Inputs!$K$5:$AJ$110,0,MATCH(G$2,Inputs!$K$4:$AJ$4,0)))))</f>
        <v>-3215</v>
      </c>
      <c r="H7" s="3">
        <f>SUM(D7:G7)</f>
        <v>-11555</v>
      </c>
      <c r="I7" s="6">
        <f>IF(ISNA(MATCH(I$2,Inputs!$K$4:$AJ$4,0)),NA(),IF(SUMPRODUCT((Inputs!$A$5:$A$110=$B7)*ISNUMBER(INDEX(Inputs!$K$5:$AJ$110,0,MATCH(I$2,Inputs!$K$4:$AJ$4,0))))+SUMPRODUCT((Inputs!$C$5:$C$110=$B7)*ISNUMBER(INDEX(Inputs!$K$5:$AJ$110,0,MATCH(I$2,Inputs!$K$4:$AJ$4,0))))+SUMPRODUCT((Inputs!$E$5:$E$110=$B7)*ISNUMBER(INDEX(Inputs!$K$5:$AJ$110,0,MATCH(I$2,Inputs!$K$4:$AJ$4,0))))=0,NA(),SUMPRODUCT((Inputs!$A$5:$A$110=$B7)*Inputs!$B$5:$B$110*(((Inputs!$G$5:$G$110="moeda")+(Inputs!$G$5:$G$110="acoes"))*Inputs!$B$1+((Inputs!$G$5:$G$110&lt;&gt;"moeda")*(Inputs!$G$5:$G$110&lt;&gt;"acoes")))*INDEX(Inputs!$K$5:$AJ$110,0,MATCH(I$2,Inputs!$K$4:$AJ$4,0)))+SUMPRODUCT((Inputs!$C$5:$C$110=$B7)*Inputs!$D$5:$D$110*(((Inputs!$G$5:$G$110="moeda")+(Inputs!$G$5:$G$110="acoes"))*Inputs!$B$1+((Inputs!$G$5:$G$110&lt;&gt;"moeda")*(Inputs!$G$5:$G$110&lt;&gt;"acoes")))*INDEX(Inputs!$K$5:$AJ$110,0,MATCH(I$2,Inputs!$K$4:$AJ$4,0)))+SUMPRODUCT((Inputs!$E$5:$E$110=$B7)*Inputs!$F$5:$F$110*(((Inputs!$G$5:$G$110="moeda")+(Inputs!$G$5:$G$110="acoes"))*Inputs!$B$1+((Inputs!$G$5:$G$110&lt;&gt;"moeda")*(Inputs!$G$5:$G$110&lt;&gt;"acoes")))*INDEX(Inputs!$K$5:$AJ$110,0,MATCH(I$2,Inputs!$K$4:$AJ$4,0)))))</f>
        <v>-3591</v>
      </c>
      <c r="J7" s="6">
        <f>IF(ISNA(MATCH(J$2,Inputs!$K$4:$AJ$4,0)),NA(),IF(SUMPRODUCT((Inputs!$A$5:$A$110=$B7)*ISNUMBER(INDEX(Inputs!$K$5:$AJ$110,0,MATCH(J$2,Inputs!$K$4:$AJ$4,0))))+SUMPRODUCT((Inputs!$C$5:$C$110=$B7)*ISNUMBER(INDEX(Inputs!$K$5:$AJ$110,0,MATCH(J$2,Inputs!$K$4:$AJ$4,0))))+SUMPRODUCT((Inputs!$E$5:$E$110=$B7)*ISNUMBER(INDEX(Inputs!$K$5:$AJ$110,0,MATCH(J$2,Inputs!$K$4:$AJ$4,0))))=0,NA(),SUMPRODUCT((Inputs!$A$5:$A$110=$B7)*Inputs!$B$5:$B$110*(((Inputs!$G$5:$G$110="moeda")+(Inputs!$G$5:$G$110="acoes"))*Inputs!$B$1+((Inputs!$G$5:$G$110&lt;&gt;"moeda")*(Inputs!$G$5:$G$110&lt;&gt;"acoes")))*INDEX(Inputs!$K$5:$AJ$110,0,MATCH(J$2,Inputs!$K$4:$AJ$4,0)))+SUMPRODUCT((Inputs!$C$5:$C$110=$B7)*Inputs!$D$5:$D$110*(((Inputs!$G$5:$G$110="moeda")+(Inputs!$G$5:$G$110="acoes"))*Inputs!$B$1+((Inputs!$G$5:$G$110&lt;&gt;"moeda")*(Inputs!$G$5:$G$110&lt;&gt;"acoes")))*INDEX(Inputs!$K$5:$AJ$110,0,MATCH(J$2,Inputs!$K$4:$AJ$4,0)))+SUMPRODUCT((Inputs!$E$5:$E$110=$B7)*Inputs!$F$5:$F$110*(((Inputs!$G$5:$G$110="moeda")+(Inputs!$G$5:$G$110="acoes"))*Inputs!$B$1+((Inputs!$G$5:$G$110&lt;&gt;"moeda")*(Inputs!$G$5:$G$110&lt;&gt;"acoes")))*INDEX(Inputs!$K$5:$AJ$110,0,MATCH(J$2,Inputs!$K$4:$AJ$4,0)))))</f>
        <v>-3698</v>
      </c>
      <c r="K7" s="6">
        <f>IF(ISNA(MATCH(K$2,Inputs!$K$4:$AJ$4,0)),NA(),IF(SUMPRODUCT((Inputs!$A$5:$A$110=$B7)*ISNUMBER(INDEX(Inputs!$K$5:$AJ$110,0,MATCH(K$2,Inputs!$K$4:$AJ$4,0))))+SUMPRODUCT((Inputs!$C$5:$C$110=$B7)*ISNUMBER(INDEX(Inputs!$K$5:$AJ$110,0,MATCH(K$2,Inputs!$K$4:$AJ$4,0))))+SUMPRODUCT((Inputs!$E$5:$E$110=$B7)*ISNUMBER(INDEX(Inputs!$K$5:$AJ$110,0,MATCH(K$2,Inputs!$K$4:$AJ$4,0))))=0,NA(),SUMPRODUCT((Inputs!$A$5:$A$110=$B7)*Inputs!$B$5:$B$110*(((Inputs!$G$5:$G$110="moeda")+(Inputs!$G$5:$G$110="acoes"))*Inputs!$B$1+((Inputs!$G$5:$G$110&lt;&gt;"moeda")*(Inputs!$G$5:$G$110&lt;&gt;"acoes")))*INDEX(Inputs!$K$5:$AJ$110,0,MATCH(K$2,Inputs!$K$4:$AJ$4,0)))+SUMPRODUCT((Inputs!$C$5:$C$110=$B7)*Inputs!$D$5:$D$110*(((Inputs!$G$5:$G$110="moeda")+(Inputs!$G$5:$G$110="acoes"))*Inputs!$B$1+((Inputs!$G$5:$G$110&lt;&gt;"moeda")*(Inputs!$G$5:$G$110&lt;&gt;"acoes")))*INDEX(Inputs!$K$5:$AJ$110,0,MATCH(K$2,Inputs!$K$4:$AJ$4,0)))+SUMPRODUCT((Inputs!$E$5:$E$110=$B7)*Inputs!$F$5:$F$110*(((Inputs!$G$5:$G$110="moeda")+(Inputs!$G$5:$G$110="acoes"))*Inputs!$B$1+((Inputs!$G$5:$G$110&lt;&gt;"moeda")*(Inputs!$G$5:$G$110&lt;&gt;"acoes")))*INDEX(Inputs!$K$5:$AJ$110,0,MATCH(K$2,Inputs!$K$4:$AJ$4,0)))))</f>
        <v>-3933</v>
      </c>
      <c r="L7" s="6">
        <f>IF(ISNA(MATCH(L$2,Inputs!$K$4:$AJ$4,0)),NA(),IF(SUMPRODUCT((Inputs!$A$5:$A$110=$B7)*ISNUMBER(INDEX(Inputs!$K$5:$AJ$110,0,MATCH(L$2,Inputs!$K$4:$AJ$4,0))))+SUMPRODUCT((Inputs!$C$5:$C$110=$B7)*ISNUMBER(INDEX(Inputs!$K$5:$AJ$110,0,MATCH(L$2,Inputs!$K$4:$AJ$4,0))))+SUMPRODUCT((Inputs!$E$5:$E$110=$B7)*ISNUMBER(INDEX(Inputs!$K$5:$AJ$110,0,MATCH(L$2,Inputs!$K$4:$AJ$4,0))))=0,NA(),SUMPRODUCT((Inputs!$A$5:$A$110=$B7)*Inputs!$B$5:$B$110*(((Inputs!$G$5:$G$110="moeda")+(Inputs!$G$5:$G$110="acoes"))*Inputs!$B$1+((Inputs!$G$5:$G$110&lt;&gt;"moeda")*(Inputs!$G$5:$G$110&lt;&gt;"acoes")))*INDEX(Inputs!$K$5:$AJ$110,0,MATCH(L$2,Inputs!$K$4:$AJ$4,0)))+SUMPRODUCT((Inputs!$C$5:$C$110=$B7)*Inputs!$D$5:$D$110*(((Inputs!$G$5:$G$110="moeda")+(Inputs!$G$5:$G$110="acoes"))*Inputs!$B$1+((Inputs!$G$5:$G$110&lt;&gt;"moeda")*(Inputs!$G$5:$G$110&lt;&gt;"acoes")))*INDEX(Inputs!$K$5:$AJ$110,0,MATCH(L$2,Inputs!$K$4:$AJ$4,0)))+SUMPRODUCT((Inputs!$E$5:$E$110=$B7)*Inputs!$F$5:$F$110*(((Inputs!$G$5:$G$110="moeda")+(Inputs!$G$5:$G$110="acoes"))*Inputs!$B$1+((Inputs!$G$5:$G$110&lt;&gt;"moeda")*(Inputs!$G$5:$G$110&lt;&gt;"acoes")))*INDEX(Inputs!$K$5:$AJ$110,0,MATCH(L$2,Inputs!$K$4:$AJ$4,0)))))</f>
        <v>-4065</v>
      </c>
      <c r="M7" s="3">
        <f>SUM(I7:L7)</f>
        <v>-15287</v>
      </c>
      <c r="N7" s="6">
        <f>IF(ISNA(MATCH(N$2,Inputs!$K$4:$AJ$4,0)),NA(),IF(SUMPRODUCT((Inputs!$A$5:$A$110=$B7)*ISNUMBER(INDEX(Inputs!$K$5:$AJ$110,0,MATCH(N$2,Inputs!$K$4:$AJ$4,0))))+SUMPRODUCT((Inputs!$C$5:$C$110=$B7)*ISNUMBER(INDEX(Inputs!$K$5:$AJ$110,0,MATCH(N$2,Inputs!$K$4:$AJ$4,0))))+SUMPRODUCT((Inputs!$E$5:$E$110=$B7)*ISNUMBER(INDEX(Inputs!$K$5:$AJ$110,0,MATCH(N$2,Inputs!$K$4:$AJ$4,0))))=0,NA(),SUMPRODUCT((Inputs!$A$5:$A$110=$B7)*Inputs!$B$5:$B$110*(((Inputs!$G$5:$G$110="moeda")+(Inputs!$G$5:$G$110="acoes"))*Inputs!$B$1+((Inputs!$G$5:$G$110&lt;&gt;"moeda")*(Inputs!$G$5:$G$110&lt;&gt;"acoes")))*INDEX(Inputs!$K$5:$AJ$110,0,MATCH(N$2,Inputs!$K$4:$AJ$4,0)))+SUMPRODUCT((Inputs!$C$5:$C$110=$B7)*Inputs!$D$5:$D$110*(((Inputs!$G$5:$G$110="moeda")+(Inputs!$G$5:$G$110="acoes"))*Inputs!$B$1+((Inputs!$G$5:$G$110&lt;&gt;"moeda")*(Inputs!$G$5:$G$110&lt;&gt;"acoes")))*INDEX(Inputs!$K$5:$AJ$110,0,MATCH(N$2,Inputs!$K$4:$AJ$4,0)))+SUMPRODUCT((Inputs!$E$5:$E$110=$B7)*Inputs!$F$5:$F$110*(((Inputs!$G$5:$G$110="moeda")+(Inputs!$G$5:$G$110="acoes"))*Inputs!$B$1+((Inputs!$G$5:$G$110&lt;&gt;"moeda")*(Inputs!$G$5:$G$110&lt;&gt;"acoes")))*INDEX(Inputs!$K$5:$AJ$110,0,MATCH(N$2,Inputs!$K$4:$AJ$4,0)))))</f>
        <v>-3060</v>
      </c>
      <c r="O7" s="6">
        <f>IF(ISNA(MATCH(O$2,Inputs!$K$4:$AJ$4,0)),NA(),IF(SUMPRODUCT((Inputs!$A$5:$A$110=$B7)*ISNUMBER(INDEX(Inputs!$K$5:$AJ$110,0,MATCH(O$2,Inputs!$K$4:$AJ$4,0))))+SUMPRODUCT((Inputs!$C$5:$C$110=$B7)*ISNUMBER(INDEX(Inputs!$K$5:$AJ$110,0,MATCH(O$2,Inputs!$K$4:$AJ$4,0))))+SUMPRODUCT((Inputs!$E$5:$E$110=$B7)*ISNUMBER(INDEX(Inputs!$K$5:$AJ$110,0,MATCH(O$2,Inputs!$K$4:$AJ$4,0))))=0,NA(),SUMPRODUCT((Inputs!$A$5:$A$110=$B7)*Inputs!$B$5:$B$110*(((Inputs!$G$5:$G$110="moeda")+(Inputs!$G$5:$G$110="acoes"))*Inputs!$B$1+((Inputs!$G$5:$G$110&lt;&gt;"moeda")*(Inputs!$G$5:$G$110&lt;&gt;"acoes")))*INDEX(Inputs!$K$5:$AJ$110,0,MATCH(O$2,Inputs!$K$4:$AJ$4,0)))+SUMPRODUCT((Inputs!$C$5:$C$110=$B7)*Inputs!$D$5:$D$110*(((Inputs!$G$5:$G$110="moeda")+(Inputs!$G$5:$G$110="acoes"))*Inputs!$B$1+((Inputs!$G$5:$G$110&lt;&gt;"moeda")*(Inputs!$G$5:$G$110&lt;&gt;"acoes")))*INDEX(Inputs!$K$5:$AJ$110,0,MATCH(O$2,Inputs!$K$4:$AJ$4,0)))+SUMPRODUCT((Inputs!$E$5:$E$110=$B7)*Inputs!$F$5:$F$110*(((Inputs!$G$5:$G$110="moeda")+(Inputs!$G$5:$G$110="acoes"))*Inputs!$B$1+((Inputs!$G$5:$G$110&lt;&gt;"moeda")*(Inputs!$G$5:$G$110&lt;&gt;"acoes")))*INDEX(Inputs!$K$5:$AJ$110,0,MATCH(O$2,Inputs!$K$4:$AJ$4,0)))))</f>
        <v>-3279</v>
      </c>
      <c r="P7" s="6">
        <f>IF(ISNA(MATCH(P$2,Inputs!$K$4:$AJ$4,0)),NA(),IF(SUMPRODUCT((Inputs!$A$5:$A$110=$B7)*ISNUMBER(INDEX(Inputs!$K$5:$AJ$110,0,MATCH(P$2,Inputs!$K$4:$AJ$4,0))))+SUMPRODUCT((Inputs!$C$5:$C$110=$B7)*ISNUMBER(INDEX(Inputs!$K$5:$AJ$110,0,MATCH(P$2,Inputs!$K$4:$AJ$4,0))))+SUMPRODUCT((Inputs!$E$5:$E$110=$B7)*ISNUMBER(INDEX(Inputs!$K$5:$AJ$110,0,MATCH(P$2,Inputs!$K$4:$AJ$4,0))))=0,NA(),SUMPRODUCT((Inputs!$A$5:$A$110=$B7)*Inputs!$B$5:$B$110*(((Inputs!$G$5:$G$110="moeda")+(Inputs!$G$5:$G$110="acoes"))*Inputs!$B$1+((Inputs!$G$5:$G$110&lt;&gt;"moeda")*(Inputs!$G$5:$G$110&lt;&gt;"acoes")))*INDEX(Inputs!$K$5:$AJ$110,0,MATCH(P$2,Inputs!$K$4:$AJ$4,0)))+SUMPRODUCT((Inputs!$C$5:$C$110=$B7)*Inputs!$D$5:$D$110*(((Inputs!$G$5:$G$110="moeda")+(Inputs!$G$5:$G$110="acoes"))*Inputs!$B$1+((Inputs!$G$5:$G$110&lt;&gt;"moeda")*(Inputs!$G$5:$G$110&lt;&gt;"acoes")))*INDEX(Inputs!$K$5:$AJ$110,0,MATCH(P$2,Inputs!$K$4:$AJ$4,0)))+SUMPRODUCT((Inputs!$E$5:$E$110=$B7)*Inputs!$F$5:$F$110*(((Inputs!$G$5:$G$110="moeda")+(Inputs!$G$5:$G$110="acoes"))*Inputs!$B$1+((Inputs!$G$5:$G$110&lt;&gt;"moeda")*(Inputs!$G$5:$G$110&lt;&gt;"acoes")))*INDEX(Inputs!$K$5:$AJ$110,0,MATCH(P$2,Inputs!$K$4:$AJ$4,0)))))</f>
        <v>-3671</v>
      </c>
      <c r="Q7" s="6">
        <f>IF(ISNA(MATCH(Q$2,Inputs!$K$4:$AJ$4,0)),NA(),IF(SUMPRODUCT((Inputs!$A$5:$A$110=$B7)*ISNUMBER(INDEX(Inputs!$K$5:$AJ$110,0,MATCH(Q$2,Inputs!$K$4:$AJ$4,0))))+SUMPRODUCT((Inputs!$C$5:$C$110=$B7)*ISNUMBER(INDEX(Inputs!$K$5:$AJ$110,0,MATCH(Q$2,Inputs!$K$4:$AJ$4,0))))+SUMPRODUCT((Inputs!$E$5:$E$110=$B7)*ISNUMBER(INDEX(Inputs!$K$5:$AJ$110,0,MATCH(Q$2,Inputs!$K$4:$AJ$4,0))))=0,NA(),SUMPRODUCT((Inputs!$A$5:$A$110=$B7)*Inputs!$B$5:$B$110*(((Inputs!$G$5:$G$110="moeda")+(Inputs!$G$5:$G$110="acoes"))*Inputs!$B$1+((Inputs!$G$5:$G$110&lt;&gt;"moeda")*(Inputs!$G$5:$G$110&lt;&gt;"acoes")))*INDEX(Inputs!$K$5:$AJ$110,0,MATCH(Q$2,Inputs!$K$4:$AJ$4,0)))+SUMPRODUCT((Inputs!$C$5:$C$110=$B7)*Inputs!$D$5:$D$110*(((Inputs!$G$5:$G$110="moeda")+(Inputs!$G$5:$G$110="acoes"))*Inputs!$B$1+((Inputs!$G$5:$G$110&lt;&gt;"moeda")*(Inputs!$G$5:$G$110&lt;&gt;"acoes")))*INDEX(Inputs!$K$5:$AJ$110,0,MATCH(Q$2,Inputs!$K$4:$AJ$4,0)))+SUMPRODUCT((Inputs!$E$5:$E$110=$B7)*Inputs!$F$5:$F$110*(((Inputs!$G$5:$G$110="moeda")+(Inputs!$G$5:$G$110="acoes"))*Inputs!$B$1+((Inputs!$G$5:$G$110&lt;&gt;"moeda")*(Inputs!$G$5:$G$110&lt;&gt;"acoes")))*INDEX(Inputs!$K$5:$AJ$110,0,MATCH(Q$2,Inputs!$K$4:$AJ$4,0)))))</f>
        <v>-3316</v>
      </c>
      <c r="R7" s="3">
        <f>SUM(N7:Q7)</f>
        <v>-13326</v>
      </c>
      <c r="S7" s="6">
        <f>IF(ISNA(MATCH(S$2,Inputs!$K$4:$AJ$4,0)),NA(),IF(SUMPRODUCT((Inputs!$A$5:$A$110=$B7)*ISNUMBER(INDEX(Inputs!$K$5:$AJ$110,0,MATCH(S$2,Inputs!$K$4:$AJ$4,0))))+SUMPRODUCT((Inputs!$C$5:$C$110=$B7)*ISNUMBER(INDEX(Inputs!$K$5:$AJ$110,0,MATCH(S$2,Inputs!$K$4:$AJ$4,0))))+SUMPRODUCT((Inputs!$E$5:$E$110=$B7)*ISNUMBER(INDEX(Inputs!$K$5:$AJ$110,0,MATCH(S$2,Inputs!$K$4:$AJ$4,0))))=0,NA(),SUMPRODUCT((Inputs!$A$5:$A$110=$B7)*Inputs!$B$5:$B$110*(((Inputs!$G$5:$G$110="moeda")+(Inputs!$G$5:$G$110="acoes"))*Inputs!$B$1+((Inputs!$G$5:$G$110&lt;&gt;"moeda")*(Inputs!$G$5:$G$110&lt;&gt;"acoes")))*INDEX(Inputs!$K$5:$AJ$110,0,MATCH(S$2,Inputs!$K$4:$AJ$4,0)))+SUMPRODUCT((Inputs!$C$5:$C$110=$B7)*Inputs!$D$5:$D$110*(((Inputs!$G$5:$G$110="moeda")+(Inputs!$G$5:$G$110="acoes"))*Inputs!$B$1+((Inputs!$G$5:$G$110&lt;&gt;"moeda")*(Inputs!$G$5:$G$110&lt;&gt;"acoes")))*INDEX(Inputs!$K$5:$AJ$110,0,MATCH(S$2,Inputs!$K$4:$AJ$4,0)))+SUMPRODUCT((Inputs!$E$5:$E$110=$B7)*Inputs!$F$5:$F$110*(((Inputs!$G$5:$G$110="moeda")+(Inputs!$G$5:$G$110="acoes"))*Inputs!$B$1+((Inputs!$G$5:$G$110&lt;&gt;"moeda")*(Inputs!$G$5:$G$110&lt;&gt;"acoes")))*INDEX(Inputs!$K$5:$AJ$110,0,MATCH(S$2,Inputs!$K$4:$AJ$4,0)))))</f>
        <v>-3413</v>
      </c>
      <c r="T7" s="6">
        <f>IF(ISNA(MATCH(T$2,Inputs!$K$4:$AJ$4,0)),NA(),IF(SUMPRODUCT((Inputs!$A$5:$A$110=$B7)*ISNUMBER(INDEX(Inputs!$K$5:$AJ$110,0,MATCH(T$2,Inputs!$K$4:$AJ$4,0))))+SUMPRODUCT((Inputs!$C$5:$C$110=$B7)*ISNUMBER(INDEX(Inputs!$K$5:$AJ$110,0,MATCH(T$2,Inputs!$K$4:$AJ$4,0))))+SUMPRODUCT((Inputs!$E$5:$E$110=$B7)*ISNUMBER(INDEX(Inputs!$K$5:$AJ$110,0,MATCH(T$2,Inputs!$K$4:$AJ$4,0))))=0,NA(),SUMPRODUCT((Inputs!$A$5:$A$110=$B7)*Inputs!$B$5:$B$110*(((Inputs!$G$5:$G$110="moeda")+(Inputs!$G$5:$G$110="acoes"))*Inputs!$B$1+((Inputs!$G$5:$G$110&lt;&gt;"moeda")*(Inputs!$G$5:$G$110&lt;&gt;"acoes")))*INDEX(Inputs!$K$5:$AJ$110,0,MATCH(T$2,Inputs!$K$4:$AJ$4,0)))+SUMPRODUCT((Inputs!$C$5:$C$110=$B7)*Inputs!$D$5:$D$110*(((Inputs!$G$5:$G$110="moeda")+(Inputs!$G$5:$G$110="acoes"))*Inputs!$B$1+((Inputs!$G$5:$G$110&lt;&gt;"moeda")*(Inputs!$G$5:$G$110&lt;&gt;"acoes")))*INDEX(Inputs!$K$5:$AJ$110,0,MATCH(T$2,Inputs!$K$4:$AJ$4,0)))+SUMPRODUCT((Inputs!$E$5:$E$110=$B7)*Inputs!$F$5:$F$110*(((Inputs!$G$5:$G$110="moeda")+(Inputs!$G$5:$G$110="acoes"))*Inputs!$B$1+((Inputs!$G$5:$G$110&lt;&gt;"moeda")*(Inputs!$G$5:$G$110&lt;&gt;"acoes")))*INDEX(Inputs!$K$5:$AJ$110,0,MATCH(T$2,Inputs!$K$4:$AJ$4,0)))))</f>
        <v>-3708</v>
      </c>
      <c r="U7" s="6">
        <f>IF(ISNA(MATCH(U$2,Inputs!$K$4:$AJ$4,0)),NA(),IF(SUMPRODUCT((Inputs!$A$5:$A$110=$B7)*ISNUMBER(INDEX(Inputs!$K$5:$AJ$110,0,MATCH(U$2,Inputs!$K$4:$AJ$4,0))))+SUMPRODUCT((Inputs!$C$5:$C$110=$B7)*ISNUMBER(INDEX(Inputs!$K$5:$AJ$110,0,MATCH(U$2,Inputs!$K$4:$AJ$4,0))))+SUMPRODUCT((Inputs!$E$5:$E$110=$B7)*ISNUMBER(INDEX(Inputs!$K$5:$AJ$110,0,MATCH(U$2,Inputs!$K$4:$AJ$4,0))))=0,NA(),SUMPRODUCT((Inputs!$A$5:$A$110=$B7)*Inputs!$B$5:$B$110*(((Inputs!$G$5:$G$110="moeda")+(Inputs!$G$5:$G$110="acoes"))*Inputs!$B$1+((Inputs!$G$5:$G$110&lt;&gt;"moeda")*(Inputs!$G$5:$G$110&lt;&gt;"acoes")))*INDEX(Inputs!$K$5:$AJ$110,0,MATCH(U$2,Inputs!$K$4:$AJ$4,0)))+SUMPRODUCT((Inputs!$C$5:$C$110=$B7)*Inputs!$D$5:$D$110*(((Inputs!$G$5:$G$110="moeda")+(Inputs!$G$5:$G$110="acoes"))*Inputs!$B$1+((Inputs!$G$5:$G$110&lt;&gt;"moeda")*(Inputs!$G$5:$G$110&lt;&gt;"acoes")))*INDEX(Inputs!$K$5:$AJ$110,0,MATCH(U$2,Inputs!$K$4:$AJ$4,0)))+SUMPRODUCT((Inputs!$E$5:$E$110=$B7)*Inputs!$F$5:$F$110*(((Inputs!$G$5:$G$110="moeda")+(Inputs!$G$5:$G$110="acoes"))*Inputs!$B$1+((Inputs!$G$5:$G$110&lt;&gt;"moeda")*(Inputs!$G$5:$G$110&lt;&gt;"acoes")))*INDEX(Inputs!$K$5:$AJ$110,0,MATCH(U$2,Inputs!$K$4:$AJ$4,0)))))</f>
        <v>-3985</v>
      </c>
      <c r="V7" s="6">
        <f>IF(ISNA(MATCH(V$2,Inputs!$K$4:$AJ$4,0)),NA(),IF(SUMPRODUCT((Inputs!$A$5:$A$110=$B7)*ISNUMBER(INDEX(Inputs!$K$5:$AJ$110,0,MATCH(V$2,Inputs!$K$4:$AJ$4,0))))+SUMPRODUCT((Inputs!$C$5:$C$110=$B7)*ISNUMBER(INDEX(Inputs!$K$5:$AJ$110,0,MATCH(V$2,Inputs!$K$4:$AJ$4,0))))+SUMPRODUCT((Inputs!$E$5:$E$110=$B7)*ISNUMBER(INDEX(Inputs!$K$5:$AJ$110,0,MATCH(V$2,Inputs!$K$4:$AJ$4,0))))=0,NA(),SUMPRODUCT((Inputs!$A$5:$A$110=$B7)*Inputs!$B$5:$B$110*(((Inputs!$G$5:$G$110="moeda")+(Inputs!$G$5:$G$110="acoes"))*Inputs!$B$1+((Inputs!$G$5:$G$110&lt;&gt;"moeda")*(Inputs!$G$5:$G$110&lt;&gt;"acoes")))*INDEX(Inputs!$K$5:$AJ$110,0,MATCH(V$2,Inputs!$K$4:$AJ$4,0)))+SUMPRODUCT((Inputs!$C$5:$C$110=$B7)*Inputs!$D$5:$D$110*(((Inputs!$G$5:$G$110="moeda")+(Inputs!$G$5:$G$110="acoes"))*Inputs!$B$1+((Inputs!$G$5:$G$110&lt;&gt;"moeda")*(Inputs!$G$5:$G$110&lt;&gt;"acoes")))*INDEX(Inputs!$K$5:$AJ$110,0,MATCH(V$2,Inputs!$K$4:$AJ$4,0)))+SUMPRODUCT((Inputs!$E$5:$E$110=$B7)*Inputs!$F$5:$F$110*(((Inputs!$G$5:$G$110="moeda")+(Inputs!$G$5:$G$110="acoes"))*Inputs!$B$1+((Inputs!$G$5:$G$110&lt;&gt;"moeda")*(Inputs!$G$5:$G$110&lt;&gt;"acoes")))*INDEX(Inputs!$K$5:$AJ$110,0,MATCH(V$2,Inputs!$K$4:$AJ$4,0)))))</f>
        <v>-4205</v>
      </c>
      <c r="W7" s="3">
        <f>SUM(S7:V7)</f>
        <v>-15311</v>
      </c>
      <c r="X7" s="6">
        <f>IF(ISNA(MATCH(X$2,Inputs!$K$4:$AJ$4,0)),NA(),IF(SUMPRODUCT((Inputs!$A$5:$A$110=$B7)*ISNUMBER(INDEX(Inputs!$K$5:$AJ$110,0,MATCH(X$2,Inputs!$K$4:$AJ$4,0))))+SUMPRODUCT((Inputs!$C$5:$C$110=$B7)*ISNUMBER(INDEX(Inputs!$K$5:$AJ$110,0,MATCH(X$2,Inputs!$K$4:$AJ$4,0))))+SUMPRODUCT((Inputs!$E$5:$E$110=$B7)*ISNUMBER(INDEX(Inputs!$K$5:$AJ$110,0,MATCH(X$2,Inputs!$K$4:$AJ$4,0))))=0,NA(),SUMPRODUCT((Inputs!$A$5:$A$110=$B7)*Inputs!$B$5:$B$110*(((Inputs!$G$5:$G$110="moeda")+(Inputs!$G$5:$G$110="acoes"))*Inputs!$B$1+((Inputs!$G$5:$G$110&lt;&gt;"moeda")*(Inputs!$G$5:$G$110&lt;&gt;"acoes")))*INDEX(Inputs!$K$5:$AJ$110,0,MATCH(X$2,Inputs!$K$4:$AJ$4,0)))+SUMPRODUCT((Inputs!$C$5:$C$110=$B7)*Inputs!$D$5:$D$110*(((Inputs!$G$5:$G$110="moeda")+(Inputs!$G$5:$G$110="acoes"))*Inputs!$B$1+((Inputs!$G$5:$G$110&lt;&gt;"moeda")*(Inputs!$G$5:$G$110&lt;&gt;"acoes")))*INDEX(Inputs!$K$5:$AJ$110,0,MATCH(X$2,Inputs!$K$4:$AJ$4,0)))+SUMPRODUCT((Inputs!$E$5:$E$110=$B7)*Inputs!$F$5:$F$110*(((Inputs!$G$5:$G$110="moeda")+(Inputs!$G$5:$G$110="acoes"))*Inputs!$B$1+((Inputs!$G$5:$G$110&lt;&gt;"moeda")*(Inputs!$G$5:$G$110&lt;&gt;"acoes")))*INDEX(Inputs!$K$5:$AJ$110,0,MATCH(X$2,Inputs!$K$4:$AJ$4,0)))))</f>
        <v>-4487</v>
      </c>
      <c r="Y7" s="6">
        <f>IF(ISNA(MATCH(Y$2,Inputs!$K$4:$AJ$4,0)),NA(),IF(SUMPRODUCT((Inputs!$A$5:$A$110=$B7)*ISNUMBER(INDEX(Inputs!$K$5:$AJ$110,0,MATCH(Y$2,Inputs!$K$4:$AJ$4,0))))+SUMPRODUCT((Inputs!$C$5:$C$110=$B7)*ISNUMBER(INDEX(Inputs!$K$5:$AJ$110,0,MATCH(Y$2,Inputs!$K$4:$AJ$4,0))))+SUMPRODUCT((Inputs!$E$5:$E$110=$B7)*ISNUMBER(INDEX(Inputs!$K$5:$AJ$110,0,MATCH(Y$2,Inputs!$K$4:$AJ$4,0))))=0,NA(),SUMPRODUCT((Inputs!$A$5:$A$110=$B7)*Inputs!$B$5:$B$110*(((Inputs!$G$5:$G$110="moeda")+(Inputs!$G$5:$G$110="acoes"))*Inputs!$B$1+((Inputs!$G$5:$G$110&lt;&gt;"moeda")*(Inputs!$G$5:$G$110&lt;&gt;"acoes")))*INDEX(Inputs!$K$5:$AJ$110,0,MATCH(Y$2,Inputs!$K$4:$AJ$4,0)))+SUMPRODUCT((Inputs!$C$5:$C$110=$B7)*Inputs!$D$5:$D$110*(((Inputs!$G$5:$G$110="moeda")+(Inputs!$G$5:$G$110="acoes"))*Inputs!$B$1+((Inputs!$G$5:$G$110&lt;&gt;"moeda")*(Inputs!$G$5:$G$110&lt;&gt;"acoes")))*INDEX(Inputs!$K$5:$AJ$110,0,MATCH(Y$2,Inputs!$K$4:$AJ$4,0)))+SUMPRODUCT((Inputs!$E$5:$E$110=$B7)*Inputs!$F$5:$F$110*(((Inputs!$G$5:$G$110="moeda")+(Inputs!$G$5:$G$110="acoes"))*Inputs!$B$1+((Inputs!$G$5:$G$110&lt;&gt;"moeda")*(Inputs!$G$5:$G$110&lt;&gt;"acoes")))*INDEX(Inputs!$K$5:$AJ$110,0,MATCH(Y$2,Inputs!$K$4:$AJ$4,0)))))</f>
        <v>-4998</v>
      </c>
      <c r="Z7" s="6">
        <f>IF(ISNA(MATCH(Z$2,Inputs!$K$4:$AJ$4,0)),NA(),IF(SUMPRODUCT((Inputs!$A$5:$A$110=$B7)*ISNUMBER(INDEX(Inputs!$K$5:$AJ$110,0,MATCH(Z$2,Inputs!$K$4:$AJ$4,0))))+SUMPRODUCT((Inputs!$C$5:$C$110=$B7)*ISNUMBER(INDEX(Inputs!$K$5:$AJ$110,0,MATCH(Z$2,Inputs!$K$4:$AJ$4,0))))+SUMPRODUCT((Inputs!$E$5:$E$110=$B7)*ISNUMBER(INDEX(Inputs!$K$5:$AJ$110,0,MATCH(Z$2,Inputs!$K$4:$AJ$4,0))))=0,NA(),SUMPRODUCT((Inputs!$A$5:$A$110=$B7)*Inputs!$B$5:$B$110*(((Inputs!$G$5:$G$110="moeda")+(Inputs!$G$5:$G$110="acoes"))*Inputs!$B$1+((Inputs!$G$5:$G$110&lt;&gt;"moeda")*(Inputs!$G$5:$G$110&lt;&gt;"acoes")))*INDEX(Inputs!$K$5:$AJ$110,0,MATCH(Z$2,Inputs!$K$4:$AJ$4,0)))+SUMPRODUCT((Inputs!$C$5:$C$110=$B7)*Inputs!$D$5:$D$110*(((Inputs!$G$5:$G$110="moeda")+(Inputs!$G$5:$G$110="acoes"))*Inputs!$B$1+((Inputs!$G$5:$G$110&lt;&gt;"moeda")*(Inputs!$G$5:$G$110&lt;&gt;"acoes")))*INDEX(Inputs!$K$5:$AJ$110,0,MATCH(Z$2,Inputs!$K$4:$AJ$4,0)))+SUMPRODUCT((Inputs!$E$5:$E$110=$B7)*Inputs!$F$5:$F$110*(((Inputs!$G$5:$G$110="moeda")+(Inputs!$G$5:$G$110="acoes"))*Inputs!$B$1+((Inputs!$G$5:$G$110&lt;&gt;"moeda")*(Inputs!$G$5:$G$110&lt;&gt;"acoes")))*INDEX(Inputs!$K$5:$AJ$110,0,MATCH(Z$2,Inputs!$K$4:$AJ$4,0)))))</f>
        <v>-5611</v>
      </c>
      <c r="AA7" s="6">
        <f>IF(ISNA(MATCH(AA$2,Inputs!$K$4:$AJ$4,0)),NA(),IF(SUMPRODUCT((Inputs!$A$5:$A$110=$B7)*ISNUMBER(INDEX(Inputs!$K$5:$AJ$110,0,MATCH(AA$2,Inputs!$K$4:$AJ$4,0))))+SUMPRODUCT((Inputs!$C$5:$C$110=$B7)*ISNUMBER(INDEX(Inputs!$K$5:$AJ$110,0,MATCH(AA$2,Inputs!$K$4:$AJ$4,0))))+SUMPRODUCT((Inputs!$E$5:$E$110=$B7)*ISNUMBER(INDEX(Inputs!$K$5:$AJ$110,0,MATCH(AA$2,Inputs!$K$4:$AJ$4,0))))=0,NA(),SUMPRODUCT((Inputs!$A$5:$A$110=$B7)*Inputs!$B$5:$B$110*(((Inputs!$G$5:$G$110="moeda")+(Inputs!$G$5:$G$110="acoes"))*Inputs!$B$1+((Inputs!$G$5:$G$110&lt;&gt;"moeda")*(Inputs!$G$5:$G$110&lt;&gt;"acoes")))*INDEX(Inputs!$K$5:$AJ$110,0,MATCH(AA$2,Inputs!$K$4:$AJ$4,0)))+SUMPRODUCT((Inputs!$C$5:$C$110=$B7)*Inputs!$D$5:$D$110*(((Inputs!$G$5:$G$110="moeda")+(Inputs!$G$5:$G$110="acoes"))*Inputs!$B$1+((Inputs!$G$5:$G$110&lt;&gt;"moeda")*(Inputs!$G$5:$G$110&lt;&gt;"acoes")))*INDEX(Inputs!$K$5:$AJ$110,0,MATCH(AA$2,Inputs!$K$4:$AJ$4,0)))+SUMPRODUCT((Inputs!$E$5:$E$110=$B7)*Inputs!$F$5:$F$110*(((Inputs!$G$5:$G$110="moeda")+(Inputs!$G$5:$G$110="acoes"))*Inputs!$B$1+((Inputs!$G$5:$G$110&lt;&gt;"moeda")*(Inputs!$G$5:$G$110&lt;&gt;"acoes")))*INDEX(Inputs!$K$5:$AJ$110,0,MATCH(AA$2,Inputs!$K$4:$AJ$4,0)))))</f>
        <v>-6040</v>
      </c>
      <c r="AB7" s="3">
        <f>SUM(X7:AA7)</f>
        <v>-21136</v>
      </c>
      <c r="AC7" s="6">
        <f>IF(ISNA(MATCH(AC$2,Inputs!$K$4:$AJ$4,0)),NA(),IF(SUMPRODUCT((Inputs!$A$5:$A$110=$B7)*ISNUMBER(INDEX(Inputs!$K$5:$AJ$110,0,MATCH(AC$2,Inputs!$K$4:$AJ$4,0))))+SUMPRODUCT((Inputs!$C$5:$C$110=$B7)*ISNUMBER(INDEX(Inputs!$K$5:$AJ$110,0,MATCH(AC$2,Inputs!$K$4:$AJ$4,0))))+SUMPRODUCT((Inputs!$E$5:$E$110=$B7)*ISNUMBER(INDEX(Inputs!$K$5:$AJ$110,0,MATCH(AC$2,Inputs!$K$4:$AJ$4,0))))=0,NA(),SUMPRODUCT((Inputs!$A$5:$A$110=$B7)*Inputs!$B$5:$B$110*(((Inputs!$G$5:$G$110="moeda")+(Inputs!$G$5:$G$110="acoes"))*Inputs!$B$1+((Inputs!$G$5:$G$110&lt;&gt;"moeda")*(Inputs!$G$5:$G$110&lt;&gt;"acoes")))*INDEX(Inputs!$K$5:$AJ$110,0,MATCH(AC$2,Inputs!$K$4:$AJ$4,0)))+SUMPRODUCT((Inputs!$C$5:$C$110=$B7)*Inputs!$D$5:$D$110*(((Inputs!$G$5:$G$110="moeda")+(Inputs!$G$5:$G$110="acoes"))*Inputs!$B$1+((Inputs!$G$5:$G$110&lt;&gt;"moeda")*(Inputs!$G$5:$G$110&lt;&gt;"acoes")))*INDEX(Inputs!$K$5:$AJ$110,0,MATCH(AC$2,Inputs!$K$4:$AJ$4,0)))+SUMPRODUCT((Inputs!$E$5:$E$110=$B7)*Inputs!$F$5:$F$110*(((Inputs!$G$5:$G$110="moeda")+(Inputs!$G$5:$G$110="acoes"))*Inputs!$B$1+((Inputs!$G$5:$G$110&lt;&gt;"moeda")*(Inputs!$G$5:$G$110&lt;&gt;"acoes")))*INDEX(Inputs!$K$5:$AJ$110,0,MATCH(AC$2,Inputs!$K$4:$AJ$4,0)))))</f>
        <v>-6482</v>
      </c>
      <c r="AD7" s="6">
        <f>IF(ISNA(MATCH(AD$2,Inputs!$K$4:$AJ$4,0)),NA(),IF(SUMPRODUCT((Inputs!$A$5:$A$110=$B7)*ISNUMBER(INDEX(Inputs!$K$5:$AJ$110,0,MATCH(AD$2,Inputs!$K$4:$AJ$4,0))))+SUMPRODUCT((Inputs!$C$5:$C$110=$B7)*ISNUMBER(INDEX(Inputs!$K$5:$AJ$110,0,MATCH(AD$2,Inputs!$K$4:$AJ$4,0))))+SUMPRODUCT((Inputs!$E$5:$E$110=$B7)*ISNUMBER(INDEX(Inputs!$K$5:$AJ$110,0,MATCH(AD$2,Inputs!$K$4:$AJ$4,0))))=0,NA(),SUMPRODUCT((Inputs!$A$5:$A$110=$B7)*Inputs!$B$5:$B$110*(((Inputs!$G$5:$G$110="moeda")+(Inputs!$G$5:$G$110="acoes"))*Inputs!$B$1+((Inputs!$G$5:$G$110&lt;&gt;"moeda")*(Inputs!$G$5:$G$110&lt;&gt;"acoes")))*INDEX(Inputs!$K$5:$AJ$110,0,MATCH(AD$2,Inputs!$K$4:$AJ$4,0)))+SUMPRODUCT((Inputs!$C$5:$C$110=$B7)*Inputs!$D$5:$D$110*(((Inputs!$G$5:$G$110="moeda")+(Inputs!$G$5:$G$110="acoes"))*Inputs!$B$1+((Inputs!$G$5:$G$110&lt;&gt;"moeda")*(Inputs!$G$5:$G$110&lt;&gt;"acoes")))*INDEX(Inputs!$K$5:$AJ$110,0,MATCH(AD$2,Inputs!$K$4:$AJ$4,0)))+SUMPRODUCT((Inputs!$E$5:$E$110=$B7)*Inputs!$F$5:$F$110*(((Inputs!$G$5:$G$110="moeda")+(Inputs!$G$5:$G$110="acoes"))*Inputs!$B$1+((Inputs!$G$5:$G$110&lt;&gt;"moeda")*(Inputs!$G$5:$G$110&lt;&gt;"acoes")))*INDEX(Inputs!$K$5:$AJ$110,0,MATCH(AD$2,Inputs!$K$4:$AJ$4,0)))))</f>
        <v>-7104</v>
      </c>
      <c r="AE7" s="6" t="e">
        <f>IF(ISNA(MATCH(AE$2,Inputs!$K$4:$AJ$4,0)),NA(),IF(SUMPRODUCT((Inputs!$A$5:$A$110=$B7)*ISNUMBER(INDEX(Inputs!$K$5:$AJ$110,0,MATCH(AE$2,Inputs!$K$4:$AJ$4,0))))+SUMPRODUCT((Inputs!$C$5:$C$110=$B7)*ISNUMBER(INDEX(Inputs!$K$5:$AJ$110,0,MATCH(AE$2,Inputs!$K$4:$AJ$4,0))))+SUMPRODUCT((Inputs!$E$5:$E$110=$B7)*ISNUMBER(INDEX(Inputs!$K$5:$AJ$110,0,MATCH(AE$2,Inputs!$K$4:$AJ$4,0))))=0,NA(),SUMPRODUCT((Inputs!$A$5:$A$110=$B7)*Inputs!$B$5:$B$110*(((Inputs!$G$5:$G$110="moeda")+(Inputs!$G$5:$G$110="acoes"))*Inputs!$B$1+((Inputs!$G$5:$G$110&lt;&gt;"moeda")*(Inputs!$G$5:$G$110&lt;&gt;"acoes")))*INDEX(Inputs!$K$5:$AJ$110,0,MATCH(AE$2,Inputs!$K$4:$AJ$4,0)))+SUMPRODUCT((Inputs!$C$5:$C$110=$B7)*Inputs!$D$5:$D$110*(((Inputs!$G$5:$G$110="moeda")+(Inputs!$G$5:$G$110="acoes"))*Inputs!$B$1+((Inputs!$G$5:$G$110&lt;&gt;"moeda")*(Inputs!$G$5:$G$110&lt;&gt;"acoes")))*INDEX(Inputs!$K$5:$AJ$110,0,MATCH(AE$2,Inputs!$K$4:$AJ$4,0)))+SUMPRODUCT((Inputs!$E$5:$E$110=$B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7" s="6" t="e">
        <f>IF(ISNA(MATCH(AF$2,Inputs!$K$4:$AJ$4,0)),NA(),IF(SUMPRODUCT((Inputs!$A$5:$A$110=$B7)*ISNUMBER(INDEX(Inputs!$K$5:$AJ$110,0,MATCH(AF$2,Inputs!$K$4:$AJ$4,0))))+SUMPRODUCT((Inputs!$C$5:$C$110=$B7)*ISNUMBER(INDEX(Inputs!$K$5:$AJ$110,0,MATCH(AF$2,Inputs!$K$4:$AJ$4,0))))+SUMPRODUCT((Inputs!$E$5:$E$110=$B7)*ISNUMBER(INDEX(Inputs!$K$5:$AJ$110,0,MATCH(AF$2,Inputs!$K$4:$AJ$4,0))))=0,NA(),SUMPRODUCT((Inputs!$A$5:$A$110=$B7)*Inputs!$B$5:$B$110*(((Inputs!$G$5:$G$110="moeda")+(Inputs!$G$5:$G$110="acoes"))*Inputs!$B$1+((Inputs!$G$5:$G$110&lt;&gt;"moeda")*(Inputs!$G$5:$G$110&lt;&gt;"acoes")))*INDEX(Inputs!$K$5:$AJ$110,0,MATCH(AF$2,Inputs!$K$4:$AJ$4,0)))+SUMPRODUCT((Inputs!$C$5:$C$110=$B7)*Inputs!$D$5:$D$110*(((Inputs!$G$5:$G$110="moeda")+(Inputs!$G$5:$G$110="acoes"))*Inputs!$B$1+((Inputs!$G$5:$G$110&lt;&gt;"moeda")*(Inputs!$G$5:$G$110&lt;&gt;"acoes")))*INDEX(Inputs!$K$5:$AJ$110,0,MATCH(AF$2,Inputs!$K$4:$AJ$4,0)))+SUMPRODUCT((Inputs!$E$5:$E$110=$B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7" s="3" t="e">
        <f>SUM(AC7:AF7)</f>
        <v>#N/A</v>
      </c>
      <c r="AH7" s="6">
        <f>IF(ISNA(MATCH(AH$2,Inputs!$K$4:$AJ$4,0)),NA(),IF(SUMPRODUCT((Inputs!$A$5:$A$110=$B7)*ISNUMBER(INDEX(Inputs!$K$5:$AJ$110,0,MATCH(AH$2,Inputs!$K$4:$AJ$4,0))))+SUMPRODUCT((Inputs!$C$5:$C$110=$B7)*ISNUMBER(INDEX(Inputs!$K$5:$AJ$110,0,MATCH(AH$2,Inputs!$K$4:$AJ$4,0))))+SUMPRODUCT((Inputs!$E$5:$E$110=$B7)*ISNUMBER(INDEX(Inputs!$K$5:$AJ$110,0,MATCH(AH$2,Inputs!$K$4:$AJ$4,0))))=0,NA(),SUMPRODUCT((Inputs!$A$5:$A$110=$B7)*Inputs!$B$5:$B$110*(((Inputs!$G$5:$G$110="moeda")+(Inputs!$G$5:$G$110="acoes"))*Inputs!$B$1+((Inputs!$G$5:$G$110&lt;&gt;"moeda")*(Inputs!$G$5:$G$110&lt;&gt;"acoes")))*INDEX(Inputs!$K$5:$AJ$110,0,MATCH(AH$2,Inputs!$K$4:$AJ$4,0)))+SUMPRODUCT((Inputs!$C$5:$C$110=$B7)*Inputs!$D$5:$D$110*(((Inputs!$G$5:$G$110="moeda")+(Inputs!$G$5:$G$110="acoes"))*Inputs!$B$1+((Inputs!$G$5:$G$110&lt;&gt;"moeda")*(Inputs!$G$5:$G$110&lt;&gt;"acoes")))*INDEX(Inputs!$K$5:$AJ$110,0,MATCH(AH$2,Inputs!$K$4:$AJ$4,0)))+SUMPRODUCT((Inputs!$E$5:$E$110=$B7)*Inputs!$F$5:$F$110*(((Inputs!$G$5:$G$110="moeda")+(Inputs!$G$5:$G$110="acoes"))*Inputs!$B$1+((Inputs!$G$5:$G$110&lt;&gt;"moeda")*(Inputs!$G$5:$G$110&lt;&gt;"acoes")))*INDEX(Inputs!$K$5:$AJ$110,0,MATCH(AH$2,Inputs!$K$4:$AJ$4,0)))))</f>
        <v>-3108</v>
      </c>
      <c r="AI7" s="6">
        <f>IF(ISNA(MATCH(AI$2,Inputs!$K$4:$AJ$4,0)),NA(),IF(SUMPRODUCT((Inputs!$A$5:$A$110=$B7)*ISNUMBER(INDEX(Inputs!$K$5:$AJ$110,0,MATCH(AI$2,Inputs!$K$4:$AJ$4,0))))+SUMPRODUCT((Inputs!$C$5:$C$110=$B7)*ISNUMBER(INDEX(Inputs!$K$5:$AJ$110,0,MATCH(AI$2,Inputs!$K$4:$AJ$4,0))))+SUMPRODUCT((Inputs!$E$5:$E$110=$B7)*ISNUMBER(INDEX(Inputs!$K$5:$AJ$110,0,MATCH(AI$2,Inputs!$K$4:$AJ$4,0))))=0,NA(),SUMPRODUCT((Inputs!$A$5:$A$110=$B7)*Inputs!$B$5:$B$110*(((Inputs!$G$5:$G$110="moeda")+(Inputs!$G$5:$G$110="acoes"))*Inputs!$B$1+((Inputs!$G$5:$G$110&lt;&gt;"moeda")*(Inputs!$G$5:$G$110&lt;&gt;"acoes")))*INDEX(Inputs!$K$5:$AJ$110,0,MATCH(AI$2,Inputs!$K$4:$AJ$4,0)))+SUMPRODUCT((Inputs!$C$5:$C$110=$B7)*Inputs!$D$5:$D$110*(((Inputs!$G$5:$G$110="moeda")+(Inputs!$G$5:$G$110="acoes"))*Inputs!$B$1+((Inputs!$G$5:$G$110&lt;&gt;"moeda")*(Inputs!$G$5:$G$110&lt;&gt;"acoes")))*INDEX(Inputs!$K$5:$AJ$110,0,MATCH(AI$2,Inputs!$K$4:$AJ$4,0)))+SUMPRODUCT((Inputs!$E$5:$E$110=$B7)*Inputs!$F$5:$F$110*(((Inputs!$G$5:$G$110="moeda")+(Inputs!$G$5:$G$110="acoes"))*Inputs!$B$1+((Inputs!$G$5:$G$110&lt;&gt;"moeda")*(Inputs!$G$5:$G$110&lt;&gt;"acoes")))*INDEX(Inputs!$K$5:$AJ$110,0,MATCH(AI$2,Inputs!$K$4:$AJ$4,0)))))</f>
        <v>-3386</v>
      </c>
      <c r="AJ7" s="6">
        <f>IF(ISNA(MATCH(AJ$2,Inputs!$K$4:$AJ$4,0)),NA(),IF(SUMPRODUCT((Inputs!$A$5:$A$110=$B7)*ISNUMBER(INDEX(Inputs!$K$5:$AJ$110,0,MATCH(AJ$2,Inputs!$K$4:$AJ$4,0))))+SUMPRODUCT((Inputs!$C$5:$C$110=$B7)*ISNUMBER(INDEX(Inputs!$K$5:$AJ$110,0,MATCH(AJ$2,Inputs!$K$4:$AJ$4,0))))+SUMPRODUCT((Inputs!$E$5:$E$110=$B7)*ISNUMBER(INDEX(Inputs!$K$5:$AJ$110,0,MATCH(AJ$2,Inputs!$K$4:$AJ$4,0))))=0,NA(),SUMPRODUCT((Inputs!$A$5:$A$110=$B7)*Inputs!$B$5:$B$110*(((Inputs!$G$5:$G$110="moeda")+(Inputs!$G$5:$G$110="acoes"))*Inputs!$B$1+((Inputs!$G$5:$G$110&lt;&gt;"moeda")*(Inputs!$G$5:$G$110&lt;&gt;"acoes")))*INDEX(Inputs!$K$5:$AJ$110,0,MATCH(AJ$2,Inputs!$K$4:$AJ$4,0)))+SUMPRODUCT((Inputs!$C$5:$C$110=$B7)*Inputs!$D$5:$D$110*(((Inputs!$G$5:$G$110="moeda")+(Inputs!$G$5:$G$110="acoes"))*Inputs!$B$1+((Inputs!$G$5:$G$110&lt;&gt;"moeda")*(Inputs!$G$5:$G$110&lt;&gt;"acoes")))*INDEX(Inputs!$K$5:$AJ$110,0,MATCH(AJ$2,Inputs!$K$4:$AJ$4,0)))+SUMPRODUCT((Inputs!$E$5:$E$110=$B7)*Inputs!$F$5:$F$110*(((Inputs!$G$5:$G$110="moeda")+(Inputs!$G$5:$G$110="acoes"))*Inputs!$B$1+((Inputs!$G$5:$G$110&lt;&gt;"moeda")*(Inputs!$G$5:$G$110&lt;&gt;"acoes")))*INDEX(Inputs!$K$5:$AJ$110,0,MATCH(AJ$2,Inputs!$K$4:$AJ$4,0)))))</f>
        <v>-3478</v>
      </c>
      <c r="AK7" s="6">
        <f>IF(ISNA(MATCH(AK$2,Inputs!$K$4:$AJ$4,0)),NA(),IF(SUMPRODUCT((Inputs!$A$5:$A$110=$B7)*ISNUMBER(INDEX(Inputs!$K$5:$AJ$110,0,MATCH(AK$2,Inputs!$K$4:$AJ$4,0))))+SUMPRODUCT((Inputs!$C$5:$C$110=$B7)*ISNUMBER(INDEX(Inputs!$K$5:$AJ$110,0,MATCH(AK$2,Inputs!$K$4:$AJ$4,0))))+SUMPRODUCT((Inputs!$E$5:$E$110=$B7)*ISNUMBER(INDEX(Inputs!$K$5:$AJ$110,0,MATCH(AK$2,Inputs!$K$4:$AJ$4,0))))=0,NA(),SUMPRODUCT((Inputs!$A$5:$A$110=$B7)*Inputs!$B$5:$B$110*(((Inputs!$G$5:$G$110="moeda")+(Inputs!$G$5:$G$110="acoes"))*Inputs!$B$1+((Inputs!$G$5:$G$110&lt;&gt;"moeda")*(Inputs!$G$5:$G$110&lt;&gt;"acoes")))*INDEX(Inputs!$K$5:$AJ$110,0,MATCH(AK$2,Inputs!$K$4:$AJ$4,0)))+SUMPRODUCT((Inputs!$C$5:$C$110=$B7)*Inputs!$D$5:$D$110*(((Inputs!$G$5:$G$110="moeda")+(Inputs!$G$5:$G$110="acoes"))*Inputs!$B$1+((Inputs!$G$5:$G$110&lt;&gt;"moeda")*(Inputs!$G$5:$G$110&lt;&gt;"acoes")))*INDEX(Inputs!$K$5:$AJ$110,0,MATCH(AK$2,Inputs!$K$4:$AJ$4,0)))+SUMPRODUCT((Inputs!$E$5:$E$110=$B7)*Inputs!$F$5:$F$110*(((Inputs!$G$5:$G$110="moeda")+(Inputs!$G$5:$G$110="acoes"))*Inputs!$B$1+((Inputs!$G$5:$G$110&lt;&gt;"moeda")*(Inputs!$G$5:$G$110&lt;&gt;"acoes")))*INDEX(Inputs!$K$5:$AJ$110,0,MATCH(AK$2,Inputs!$K$4:$AJ$4,0)))))</f>
        <v>-3539</v>
      </c>
      <c r="AL7" s="3">
        <f>SUM(AH7:AK7)</f>
        <v>-13511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$110=$B8)*ISNUMBER(INDEX(Inputs!$K$5:$AJ$110,0,MATCH(D$2,Inputs!$K$4:$AJ$4,0))))+SUMPRODUCT((Inputs!$C$5:$C$110=$B8)*ISNUMBER(INDEX(Inputs!$K$5:$AJ$110,0,MATCH(D$2,Inputs!$K$4:$AJ$4,0))))+SUMPRODUCT((Inputs!$E$5:$E$110=$B8)*ISNUMBER(INDEX(Inputs!$K$5:$AJ$110,0,MATCH(D$2,Inputs!$K$4:$AJ$4,0))))=0,NA(),SUMPRODUCT((Inputs!$A$5:$A$110=$B8)*Inputs!$B$5:$B$110*(((Inputs!$G$5:$G$110="moeda")+(Inputs!$G$5:$G$110="acoes"))*Inputs!$B$1+((Inputs!$G$5:$G$110&lt;&gt;"moeda")*(Inputs!$G$5:$G$110&lt;&gt;"acoes")))*INDEX(Inputs!$K$5:$AJ$110,0,MATCH(D$2,Inputs!$K$4:$AJ$4,0)))+SUMPRODUCT((Inputs!$C$5:$C$110=$B8)*Inputs!$D$5:$D$110*(((Inputs!$G$5:$G$110="moeda")+(Inputs!$G$5:$G$110="acoes"))*Inputs!$B$1+((Inputs!$G$5:$G$110&lt;&gt;"moeda")*(Inputs!$G$5:$G$110&lt;&gt;"acoes")))*INDEX(Inputs!$K$5:$AJ$110,0,MATCH(D$2,Inputs!$K$4:$AJ$4,0)))+SUMPRODUCT((Inputs!$E$5:$E$110=$B8)*Inputs!$F$5:$F$110*(((Inputs!$G$5:$G$110="moeda")+(Inputs!$G$5:$G$110="acoes"))*Inputs!$B$1+((Inputs!$G$5:$G$110&lt;&gt;"moeda")*(Inputs!$G$5:$G$110&lt;&gt;"acoes")))*INDEX(Inputs!$K$5:$AJ$110,0,MATCH(D$2,Inputs!$K$4:$AJ$4,0)))))</f>
        <v>-76</v>
      </c>
      <c r="E8" s="6">
        <f>IF(ISNA(MATCH(E$2,Inputs!$K$4:$AJ$4,0)),NA(),IF(SUMPRODUCT((Inputs!$A$5:$A$110=$B8)*ISNUMBER(INDEX(Inputs!$K$5:$AJ$110,0,MATCH(E$2,Inputs!$K$4:$AJ$4,0))))+SUMPRODUCT((Inputs!$C$5:$C$110=$B8)*ISNUMBER(INDEX(Inputs!$K$5:$AJ$110,0,MATCH(E$2,Inputs!$K$4:$AJ$4,0))))+SUMPRODUCT((Inputs!$E$5:$E$110=$B8)*ISNUMBER(INDEX(Inputs!$K$5:$AJ$110,0,MATCH(E$2,Inputs!$K$4:$AJ$4,0))))=0,NA(),SUMPRODUCT((Inputs!$A$5:$A$110=$B8)*Inputs!$B$5:$B$110*(((Inputs!$G$5:$G$110="moeda")+(Inputs!$G$5:$G$110="acoes"))*Inputs!$B$1+((Inputs!$G$5:$G$110&lt;&gt;"moeda")*(Inputs!$G$5:$G$110&lt;&gt;"acoes")))*INDEX(Inputs!$K$5:$AJ$110,0,MATCH(E$2,Inputs!$K$4:$AJ$4,0)))+SUMPRODUCT((Inputs!$C$5:$C$110=$B8)*Inputs!$D$5:$D$110*(((Inputs!$G$5:$G$110="moeda")+(Inputs!$G$5:$G$110="acoes"))*Inputs!$B$1+((Inputs!$G$5:$G$110&lt;&gt;"moeda")*(Inputs!$G$5:$G$110&lt;&gt;"acoes")))*INDEX(Inputs!$K$5:$AJ$110,0,MATCH(E$2,Inputs!$K$4:$AJ$4,0)))+SUMPRODUCT((Inputs!$E$5:$E$110=$B8)*Inputs!$F$5:$F$110*(((Inputs!$G$5:$G$110="moeda")+(Inputs!$G$5:$G$110="acoes"))*Inputs!$B$1+((Inputs!$G$5:$G$110&lt;&gt;"moeda")*(Inputs!$G$5:$G$110&lt;&gt;"acoes")))*INDEX(Inputs!$K$5:$AJ$110,0,MATCH(E$2,Inputs!$K$4:$AJ$4,0)))))</f>
        <v>-76</v>
      </c>
      <c r="F8" s="6">
        <f>IF(ISNA(MATCH(F$2,Inputs!$K$4:$AJ$4,0)),NA(),IF(SUMPRODUCT((Inputs!$A$5:$A$110=$B8)*ISNUMBER(INDEX(Inputs!$K$5:$AJ$110,0,MATCH(F$2,Inputs!$K$4:$AJ$4,0))))+SUMPRODUCT((Inputs!$C$5:$C$110=$B8)*ISNUMBER(INDEX(Inputs!$K$5:$AJ$110,0,MATCH(F$2,Inputs!$K$4:$AJ$4,0))))+SUMPRODUCT((Inputs!$E$5:$E$110=$B8)*ISNUMBER(INDEX(Inputs!$K$5:$AJ$110,0,MATCH(F$2,Inputs!$K$4:$AJ$4,0))))=0,NA(),SUMPRODUCT((Inputs!$A$5:$A$110=$B8)*Inputs!$B$5:$B$110*(((Inputs!$G$5:$G$110="moeda")+(Inputs!$G$5:$G$110="acoes"))*Inputs!$B$1+((Inputs!$G$5:$G$110&lt;&gt;"moeda")*(Inputs!$G$5:$G$110&lt;&gt;"acoes")))*INDEX(Inputs!$K$5:$AJ$110,0,MATCH(F$2,Inputs!$K$4:$AJ$4,0)))+SUMPRODUCT((Inputs!$C$5:$C$110=$B8)*Inputs!$D$5:$D$110*(((Inputs!$G$5:$G$110="moeda")+(Inputs!$G$5:$G$110="acoes"))*Inputs!$B$1+((Inputs!$G$5:$G$110&lt;&gt;"moeda")*(Inputs!$G$5:$G$110&lt;&gt;"acoes")))*INDEX(Inputs!$K$5:$AJ$110,0,MATCH(F$2,Inputs!$K$4:$AJ$4,0)))+SUMPRODUCT((Inputs!$E$5:$E$110=$B8)*Inputs!$F$5:$F$110*(((Inputs!$G$5:$G$110="moeda")+(Inputs!$G$5:$G$110="acoes"))*Inputs!$B$1+((Inputs!$G$5:$G$110&lt;&gt;"moeda")*(Inputs!$G$5:$G$110&lt;&gt;"acoes")))*INDEX(Inputs!$K$5:$AJ$110,0,MATCH(F$2,Inputs!$K$4:$AJ$4,0)))))</f>
        <v>-77</v>
      </c>
      <c r="G8" s="6">
        <f>IF(ISNA(MATCH(G$2,Inputs!$K$4:$AJ$4,0)),NA(),IF(SUMPRODUCT((Inputs!$A$5:$A$110=$B8)*ISNUMBER(INDEX(Inputs!$K$5:$AJ$110,0,MATCH(G$2,Inputs!$K$4:$AJ$4,0))))+SUMPRODUCT((Inputs!$C$5:$C$110=$B8)*ISNUMBER(INDEX(Inputs!$K$5:$AJ$110,0,MATCH(G$2,Inputs!$K$4:$AJ$4,0))))+SUMPRODUCT((Inputs!$E$5:$E$110=$B8)*ISNUMBER(INDEX(Inputs!$K$5:$AJ$110,0,MATCH(G$2,Inputs!$K$4:$AJ$4,0))))=0,NA(),SUMPRODUCT((Inputs!$A$5:$A$110=$B8)*Inputs!$B$5:$B$110*(((Inputs!$G$5:$G$110="moeda")+(Inputs!$G$5:$G$110="acoes"))*Inputs!$B$1+((Inputs!$G$5:$G$110&lt;&gt;"moeda")*(Inputs!$G$5:$G$110&lt;&gt;"acoes")))*INDEX(Inputs!$K$5:$AJ$110,0,MATCH(G$2,Inputs!$K$4:$AJ$4,0)))+SUMPRODUCT((Inputs!$C$5:$C$110=$B8)*Inputs!$D$5:$D$110*(((Inputs!$G$5:$G$110="moeda")+(Inputs!$G$5:$G$110="acoes"))*Inputs!$B$1+((Inputs!$G$5:$G$110&lt;&gt;"moeda")*(Inputs!$G$5:$G$110&lt;&gt;"acoes")))*INDEX(Inputs!$K$5:$AJ$110,0,MATCH(G$2,Inputs!$K$4:$AJ$4,0)))+SUMPRODUCT((Inputs!$E$5:$E$110=$B8)*Inputs!$F$5:$F$110*(((Inputs!$G$5:$G$110="moeda")+(Inputs!$G$5:$G$110="acoes"))*Inputs!$B$1+((Inputs!$G$5:$G$110&lt;&gt;"moeda")*(Inputs!$G$5:$G$110&lt;&gt;"acoes")))*INDEX(Inputs!$K$5:$AJ$110,0,MATCH(G$2,Inputs!$K$4:$AJ$4,0)))))</f>
        <v>-117</v>
      </c>
      <c r="H8" s="3">
        <f>SUM(D8:G8)</f>
        <v>-346</v>
      </c>
      <c r="I8" s="6">
        <f>IF(ISNA(MATCH(I$2,Inputs!$K$4:$AJ$4,0)),NA(),IF(SUMPRODUCT((Inputs!$A$5:$A$110=$B8)*ISNUMBER(INDEX(Inputs!$K$5:$AJ$110,0,MATCH(I$2,Inputs!$K$4:$AJ$4,0))))+SUMPRODUCT((Inputs!$C$5:$C$110=$B8)*ISNUMBER(INDEX(Inputs!$K$5:$AJ$110,0,MATCH(I$2,Inputs!$K$4:$AJ$4,0))))+SUMPRODUCT((Inputs!$E$5:$E$110=$B8)*ISNUMBER(INDEX(Inputs!$K$5:$AJ$110,0,MATCH(I$2,Inputs!$K$4:$AJ$4,0))))=0,NA(),SUMPRODUCT((Inputs!$A$5:$A$110=$B8)*Inputs!$B$5:$B$110*(((Inputs!$G$5:$G$110="moeda")+(Inputs!$G$5:$G$110="acoes"))*Inputs!$B$1+((Inputs!$G$5:$G$110&lt;&gt;"moeda")*(Inputs!$G$5:$G$110&lt;&gt;"acoes")))*INDEX(Inputs!$K$5:$AJ$110,0,MATCH(I$2,Inputs!$K$4:$AJ$4,0)))+SUMPRODUCT((Inputs!$C$5:$C$110=$B8)*Inputs!$D$5:$D$110*(((Inputs!$G$5:$G$110="moeda")+(Inputs!$G$5:$G$110="acoes"))*Inputs!$B$1+((Inputs!$G$5:$G$110&lt;&gt;"moeda")*(Inputs!$G$5:$G$110&lt;&gt;"acoes")))*INDEX(Inputs!$K$5:$AJ$110,0,MATCH(I$2,Inputs!$K$4:$AJ$4,0)))+SUMPRODUCT((Inputs!$E$5:$E$110=$B8)*Inputs!$F$5:$F$110*(((Inputs!$G$5:$G$110="moeda")+(Inputs!$G$5:$G$110="acoes"))*Inputs!$B$1+((Inputs!$G$5:$G$110&lt;&gt;"moeda")*(Inputs!$G$5:$G$110&lt;&gt;"acoes")))*INDEX(Inputs!$K$5:$AJ$110,0,MATCH(I$2,Inputs!$K$4:$AJ$4,0)))))</f>
        <v>-83</v>
      </c>
      <c r="J8" s="6">
        <f>IF(ISNA(MATCH(J$2,Inputs!$K$4:$AJ$4,0)),NA(),IF(SUMPRODUCT((Inputs!$A$5:$A$110=$B8)*ISNUMBER(INDEX(Inputs!$K$5:$AJ$110,0,MATCH(J$2,Inputs!$K$4:$AJ$4,0))))+SUMPRODUCT((Inputs!$C$5:$C$110=$B8)*ISNUMBER(INDEX(Inputs!$K$5:$AJ$110,0,MATCH(J$2,Inputs!$K$4:$AJ$4,0))))+SUMPRODUCT((Inputs!$E$5:$E$110=$B8)*ISNUMBER(INDEX(Inputs!$K$5:$AJ$110,0,MATCH(J$2,Inputs!$K$4:$AJ$4,0))))=0,NA(),SUMPRODUCT((Inputs!$A$5:$A$110=$B8)*Inputs!$B$5:$B$110*(((Inputs!$G$5:$G$110="moeda")+(Inputs!$G$5:$G$110="acoes"))*Inputs!$B$1+((Inputs!$G$5:$G$110&lt;&gt;"moeda")*(Inputs!$G$5:$G$110&lt;&gt;"acoes")))*INDEX(Inputs!$K$5:$AJ$110,0,MATCH(J$2,Inputs!$K$4:$AJ$4,0)))+SUMPRODUCT((Inputs!$C$5:$C$110=$B8)*Inputs!$D$5:$D$110*(((Inputs!$G$5:$G$110="moeda")+(Inputs!$G$5:$G$110="acoes"))*Inputs!$B$1+((Inputs!$G$5:$G$110&lt;&gt;"moeda")*(Inputs!$G$5:$G$110&lt;&gt;"acoes")))*INDEX(Inputs!$K$5:$AJ$110,0,MATCH(J$2,Inputs!$K$4:$AJ$4,0)))+SUMPRODUCT((Inputs!$E$5:$E$110=$B8)*Inputs!$F$5:$F$110*(((Inputs!$G$5:$G$110="moeda")+(Inputs!$G$5:$G$110="acoes"))*Inputs!$B$1+((Inputs!$G$5:$G$110&lt;&gt;"moeda")*(Inputs!$G$5:$G$110&lt;&gt;"acoes")))*INDEX(Inputs!$K$5:$AJ$110,0,MATCH(J$2,Inputs!$K$4:$AJ$4,0)))))</f>
        <v>-83</v>
      </c>
      <c r="K8" s="6">
        <f>IF(ISNA(MATCH(K$2,Inputs!$K$4:$AJ$4,0)),NA(),IF(SUMPRODUCT((Inputs!$A$5:$A$110=$B8)*ISNUMBER(INDEX(Inputs!$K$5:$AJ$110,0,MATCH(K$2,Inputs!$K$4:$AJ$4,0))))+SUMPRODUCT((Inputs!$C$5:$C$110=$B8)*ISNUMBER(INDEX(Inputs!$K$5:$AJ$110,0,MATCH(K$2,Inputs!$K$4:$AJ$4,0))))+SUMPRODUCT((Inputs!$E$5:$E$110=$B8)*ISNUMBER(INDEX(Inputs!$K$5:$AJ$110,0,MATCH(K$2,Inputs!$K$4:$AJ$4,0))))=0,NA(),SUMPRODUCT((Inputs!$A$5:$A$110=$B8)*Inputs!$B$5:$B$110*(((Inputs!$G$5:$G$110="moeda")+(Inputs!$G$5:$G$110="acoes"))*Inputs!$B$1+((Inputs!$G$5:$G$110&lt;&gt;"moeda")*(Inputs!$G$5:$G$110&lt;&gt;"acoes")))*INDEX(Inputs!$K$5:$AJ$110,0,MATCH(K$2,Inputs!$K$4:$AJ$4,0)))+SUMPRODUCT((Inputs!$C$5:$C$110=$B8)*Inputs!$D$5:$D$110*(((Inputs!$G$5:$G$110="moeda")+(Inputs!$G$5:$G$110="acoes"))*Inputs!$B$1+((Inputs!$G$5:$G$110&lt;&gt;"moeda")*(Inputs!$G$5:$G$110&lt;&gt;"acoes")))*INDEX(Inputs!$K$5:$AJ$110,0,MATCH(K$2,Inputs!$K$4:$AJ$4,0)))+SUMPRODUCT((Inputs!$E$5:$E$110=$B8)*Inputs!$F$5:$F$110*(((Inputs!$G$5:$G$110="moeda")+(Inputs!$G$5:$G$110="acoes"))*Inputs!$B$1+((Inputs!$G$5:$G$110&lt;&gt;"moeda")*(Inputs!$G$5:$G$110&lt;&gt;"acoes")))*INDEX(Inputs!$K$5:$AJ$110,0,MATCH(K$2,Inputs!$K$4:$AJ$4,0)))))</f>
        <v>-101</v>
      </c>
      <c r="L8" s="6">
        <f>IF(ISNA(MATCH(L$2,Inputs!$K$4:$AJ$4,0)),NA(),IF(SUMPRODUCT((Inputs!$A$5:$A$110=$B8)*ISNUMBER(INDEX(Inputs!$K$5:$AJ$110,0,MATCH(L$2,Inputs!$K$4:$AJ$4,0))))+SUMPRODUCT((Inputs!$C$5:$C$110=$B8)*ISNUMBER(INDEX(Inputs!$K$5:$AJ$110,0,MATCH(L$2,Inputs!$K$4:$AJ$4,0))))+SUMPRODUCT((Inputs!$E$5:$E$110=$B8)*ISNUMBER(INDEX(Inputs!$K$5:$AJ$110,0,MATCH(L$2,Inputs!$K$4:$AJ$4,0))))=0,NA(),SUMPRODUCT((Inputs!$A$5:$A$110=$B8)*Inputs!$B$5:$B$110*(((Inputs!$G$5:$G$110="moeda")+(Inputs!$G$5:$G$110="acoes"))*Inputs!$B$1+((Inputs!$G$5:$G$110&lt;&gt;"moeda")*(Inputs!$G$5:$G$110&lt;&gt;"acoes")))*INDEX(Inputs!$K$5:$AJ$110,0,MATCH(L$2,Inputs!$K$4:$AJ$4,0)))+SUMPRODUCT((Inputs!$C$5:$C$110=$B8)*Inputs!$D$5:$D$110*(((Inputs!$G$5:$G$110="moeda")+(Inputs!$G$5:$G$110="acoes"))*Inputs!$B$1+((Inputs!$G$5:$G$110&lt;&gt;"moeda")*(Inputs!$G$5:$G$110&lt;&gt;"acoes")))*INDEX(Inputs!$K$5:$AJ$110,0,MATCH(L$2,Inputs!$K$4:$AJ$4,0)))+SUMPRODUCT((Inputs!$E$5:$E$110=$B8)*Inputs!$F$5:$F$110*(((Inputs!$G$5:$G$110="moeda")+(Inputs!$G$5:$G$110="acoes"))*Inputs!$B$1+((Inputs!$G$5:$G$110&lt;&gt;"moeda")*(Inputs!$G$5:$G$110&lt;&gt;"acoes")))*INDEX(Inputs!$K$5:$AJ$110,0,MATCH(L$2,Inputs!$K$4:$AJ$4,0)))))</f>
        <v>-90</v>
      </c>
      <c r="M8" s="3">
        <f>SUM(I8:L8)</f>
        <v>-357</v>
      </c>
      <c r="N8" s="6">
        <f>IF(ISNA(MATCH(N$2,Inputs!$K$4:$AJ$4,0)),NA(),IF(SUMPRODUCT((Inputs!$A$5:$A$110=$B8)*ISNUMBER(INDEX(Inputs!$K$5:$AJ$110,0,MATCH(N$2,Inputs!$K$4:$AJ$4,0))))+SUMPRODUCT((Inputs!$C$5:$C$110=$B8)*ISNUMBER(INDEX(Inputs!$K$5:$AJ$110,0,MATCH(N$2,Inputs!$K$4:$AJ$4,0))))+SUMPRODUCT((Inputs!$E$5:$E$110=$B8)*ISNUMBER(INDEX(Inputs!$K$5:$AJ$110,0,MATCH(N$2,Inputs!$K$4:$AJ$4,0))))=0,NA(),SUMPRODUCT((Inputs!$A$5:$A$110=$B8)*Inputs!$B$5:$B$110*(((Inputs!$G$5:$G$110="moeda")+(Inputs!$G$5:$G$110="acoes"))*Inputs!$B$1+((Inputs!$G$5:$G$110&lt;&gt;"moeda")*(Inputs!$G$5:$G$110&lt;&gt;"acoes")))*INDEX(Inputs!$K$5:$AJ$110,0,MATCH(N$2,Inputs!$K$4:$AJ$4,0)))+SUMPRODUCT((Inputs!$C$5:$C$110=$B8)*Inputs!$D$5:$D$110*(((Inputs!$G$5:$G$110="moeda")+(Inputs!$G$5:$G$110="acoes"))*Inputs!$B$1+((Inputs!$G$5:$G$110&lt;&gt;"moeda")*(Inputs!$G$5:$G$110&lt;&gt;"acoes")))*INDEX(Inputs!$K$5:$AJ$110,0,MATCH(N$2,Inputs!$K$4:$AJ$4,0)))+SUMPRODUCT((Inputs!$E$5:$E$110=$B8)*Inputs!$F$5:$F$110*(((Inputs!$G$5:$G$110="moeda")+(Inputs!$G$5:$G$110="acoes"))*Inputs!$B$1+((Inputs!$G$5:$G$110&lt;&gt;"moeda")*(Inputs!$G$5:$G$110&lt;&gt;"acoes")))*INDEX(Inputs!$K$5:$AJ$110,0,MATCH(N$2,Inputs!$K$4:$AJ$4,0)))))</f>
        <v>-80</v>
      </c>
      <c r="O8" s="6">
        <f>IF(ISNA(MATCH(O$2,Inputs!$K$4:$AJ$4,0)),NA(),IF(SUMPRODUCT((Inputs!$A$5:$A$110=$B8)*ISNUMBER(INDEX(Inputs!$K$5:$AJ$110,0,MATCH(O$2,Inputs!$K$4:$AJ$4,0))))+SUMPRODUCT((Inputs!$C$5:$C$110=$B8)*ISNUMBER(INDEX(Inputs!$K$5:$AJ$110,0,MATCH(O$2,Inputs!$K$4:$AJ$4,0))))+SUMPRODUCT((Inputs!$E$5:$E$110=$B8)*ISNUMBER(INDEX(Inputs!$K$5:$AJ$110,0,MATCH(O$2,Inputs!$K$4:$AJ$4,0))))=0,NA(),SUMPRODUCT((Inputs!$A$5:$A$110=$B8)*Inputs!$B$5:$B$110*(((Inputs!$G$5:$G$110="moeda")+(Inputs!$G$5:$G$110="acoes"))*Inputs!$B$1+((Inputs!$G$5:$G$110&lt;&gt;"moeda")*(Inputs!$G$5:$G$110&lt;&gt;"acoes")))*INDEX(Inputs!$K$5:$AJ$110,0,MATCH(O$2,Inputs!$K$4:$AJ$4,0)))+SUMPRODUCT((Inputs!$C$5:$C$110=$B8)*Inputs!$D$5:$D$110*(((Inputs!$G$5:$G$110="moeda")+(Inputs!$G$5:$G$110="acoes"))*Inputs!$B$1+((Inputs!$G$5:$G$110&lt;&gt;"moeda")*(Inputs!$G$5:$G$110&lt;&gt;"acoes")))*INDEX(Inputs!$K$5:$AJ$110,0,MATCH(O$2,Inputs!$K$4:$AJ$4,0)))+SUMPRODUCT((Inputs!$E$5:$E$110=$B8)*Inputs!$F$5:$F$110*(((Inputs!$G$5:$G$110="moeda")+(Inputs!$G$5:$G$110="acoes"))*Inputs!$B$1+((Inputs!$G$5:$G$110&lt;&gt;"moeda")*(Inputs!$G$5:$G$110&lt;&gt;"acoes")))*INDEX(Inputs!$K$5:$AJ$110,0,MATCH(O$2,Inputs!$K$4:$AJ$4,0)))))</f>
        <v>-43</v>
      </c>
      <c r="P8" s="6">
        <f>IF(ISNA(MATCH(P$2,Inputs!$K$4:$AJ$4,0)),NA(),IF(SUMPRODUCT((Inputs!$A$5:$A$110=$B8)*ISNUMBER(INDEX(Inputs!$K$5:$AJ$110,0,MATCH(P$2,Inputs!$K$4:$AJ$4,0))))+SUMPRODUCT((Inputs!$C$5:$C$110=$B8)*ISNUMBER(INDEX(Inputs!$K$5:$AJ$110,0,MATCH(P$2,Inputs!$K$4:$AJ$4,0))))+SUMPRODUCT((Inputs!$E$5:$E$110=$B8)*ISNUMBER(INDEX(Inputs!$K$5:$AJ$110,0,MATCH(P$2,Inputs!$K$4:$AJ$4,0))))=0,NA(),SUMPRODUCT((Inputs!$A$5:$A$110=$B8)*Inputs!$B$5:$B$110*(((Inputs!$G$5:$G$110="moeda")+(Inputs!$G$5:$G$110="acoes"))*Inputs!$B$1+((Inputs!$G$5:$G$110&lt;&gt;"moeda")*(Inputs!$G$5:$G$110&lt;&gt;"acoes")))*INDEX(Inputs!$K$5:$AJ$110,0,MATCH(P$2,Inputs!$K$4:$AJ$4,0)))+SUMPRODUCT((Inputs!$C$5:$C$110=$B8)*Inputs!$D$5:$D$110*(((Inputs!$G$5:$G$110="moeda")+(Inputs!$G$5:$G$110="acoes"))*Inputs!$B$1+((Inputs!$G$5:$G$110&lt;&gt;"moeda")*(Inputs!$G$5:$G$110&lt;&gt;"acoes")))*INDEX(Inputs!$K$5:$AJ$110,0,MATCH(P$2,Inputs!$K$4:$AJ$4,0)))+SUMPRODUCT((Inputs!$E$5:$E$110=$B8)*Inputs!$F$5:$F$110*(((Inputs!$G$5:$G$110="moeda")+(Inputs!$G$5:$G$110="acoes"))*Inputs!$B$1+((Inputs!$G$5:$G$110&lt;&gt;"moeda")*(Inputs!$G$5:$G$110&lt;&gt;"acoes")))*INDEX(Inputs!$K$5:$AJ$110,0,MATCH(P$2,Inputs!$K$4:$AJ$4,0)))))</f>
        <v>-116</v>
      </c>
      <c r="Q8" s="6">
        <f>IF(ISNA(MATCH(Q$2,Inputs!$K$4:$AJ$4,0)),NA(),IF(SUMPRODUCT((Inputs!$A$5:$A$110=$B8)*ISNUMBER(INDEX(Inputs!$K$5:$AJ$110,0,MATCH(Q$2,Inputs!$K$4:$AJ$4,0))))+SUMPRODUCT((Inputs!$C$5:$C$110=$B8)*ISNUMBER(INDEX(Inputs!$K$5:$AJ$110,0,MATCH(Q$2,Inputs!$K$4:$AJ$4,0))))+SUMPRODUCT((Inputs!$E$5:$E$110=$B8)*ISNUMBER(INDEX(Inputs!$K$5:$AJ$110,0,MATCH(Q$2,Inputs!$K$4:$AJ$4,0))))=0,NA(),SUMPRODUCT((Inputs!$A$5:$A$110=$B8)*Inputs!$B$5:$B$110*(((Inputs!$G$5:$G$110="moeda")+(Inputs!$G$5:$G$110="acoes"))*Inputs!$B$1+((Inputs!$G$5:$G$110&lt;&gt;"moeda")*(Inputs!$G$5:$G$110&lt;&gt;"acoes")))*INDEX(Inputs!$K$5:$AJ$110,0,MATCH(Q$2,Inputs!$K$4:$AJ$4,0)))+SUMPRODUCT((Inputs!$C$5:$C$110=$B8)*Inputs!$D$5:$D$110*(((Inputs!$G$5:$G$110="moeda")+(Inputs!$G$5:$G$110="acoes"))*Inputs!$B$1+((Inputs!$G$5:$G$110&lt;&gt;"moeda")*(Inputs!$G$5:$G$110&lt;&gt;"acoes")))*INDEX(Inputs!$K$5:$AJ$110,0,MATCH(Q$2,Inputs!$K$4:$AJ$4,0)))+SUMPRODUCT((Inputs!$E$5:$E$110=$B8)*Inputs!$F$5:$F$110*(((Inputs!$G$5:$G$110="moeda")+(Inputs!$G$5:$G$110="acoes"))*Inputs!$B$1+((Inputs!$G$5:$G$110&lt;&gt;"moeda")*(Inputs!$G$5:$G$110&lt;&gt;"acoes")))*INDEX(Inputs!$K$5:$AJ$110,0,MATCH(Q$2,Inputs!$K$4:$AJ$4,0)))))</f>
        <v>-69</v>
      </c>
      <c r="R8" s="3">
        <f>SUM(N8:Q8)</f>
        <v>-308</v>
      </c>
      <c r="S8" s="6">
        <f>IF(ISNA(MATCH(S$2,Inputs!$K$4:$AJ$4,0)),NA(),IF(SUMPRODUCT((Inputs!$A$5:$A$110=$B8)*ISNUMBER(INDEX(Inputs!$K$5:$AJ$110,0,MATCH(S$2,Inputs!$K$4:$AJ$4,0))))+SUMPRODUCT((Inputs!$C$5:$C$110=$B8)*ISNUMBER(INDEX(Inputs!$K$5:$AJ$110,0,MATCH(S$2,Inputs!$K$4:$AJ$4,0))))+SUMPRODUCT((Inputs!$E$5:$E$110=$B8)*ISNUMBER(INDEX(Inputs!$K$5:$AJ$110,0,MATCH(S$2,Inputs!$K$4:$AJ$4,0))))=0,NA(),SUMPRODUCT((Inputs!$A$5:$A$110=$B8)*Inputs!$B$5:$B$110*(((Inputs!$G$5:$G$110="moeda")+(Inputs!$G$5:$G$110="acoes"))*Inputs!$B$1+((Inputs!$G$5:$G$110&lt;&gt;"moeda")*(Inputs!$G$5:$G$110&lt;&gt;"acoes")))*INDEX(Inputs!$K$5:$AJ$110,0,MATCH(S$2,Inputs!$K$4:$AJ$4,0)))+SUMPRODUCT((Inputs!$C$5:$C$110=$B8)*Inputs!$D$5:$D$110*(((Inputs!$G$5:$G$110="moeda")+(Inputs!$G$5:$G$110="acoes"))*Inputs!$B$1+((Inputs!$G$5:$G$110&lt;&gt;"moeda")*(Inputs!$G$5:$G$110&lt;&gt;"acoes")))*INDEX(Inputs!$K$5:$AJ$110,0,MATCH(S$2,Inputs!$K$4:$AJ$4,0)))+SUMPRODUCT((Inputs!$E$5:$E$110=$B8)*Inputs!$F$5:$F$110*(((Inputs!$G$5:$G$110="moeda")+(Inputs!$G$5:$G$110="acoes"))*Inputs!$B$1+((Inputs!$G$5:$G$110&lt;&gt;"moeda")*(Inputs!$G$5:$G$110&lt;&gt;"acoes")))*INDEX(Inputs!$K$5:$AJ$110,0,MATCH(S$2,Inputs!$K$4:$AJ$4,0)))))</f>
        <v>-94</v>
      </c>
      <c r="T8" s="6">
        <f>IF(ISNA(MATCH(T$2,Inputs!$K$4:$AJ$4,0)),NA(),IF(SUMPRODUCT((Inputs!$A$5:$A$110=$B8)*ISNUMBER(INDEX(Inputs!$K$5:$AJ$110,0,MATCH(T$2,Inputs!$K$4:$AJ$4,0))))+SUMPRODUCT((Inputs!$C$5:$C$110=$B8)*ISNUMBER(INDEX(Inputs!$K$5:$AJ$110,0,MATCH(T$2,Inputs!$K$4:$AJ$4,0))))+SUMPRODUCT((Inputs!$E$5:$E$110=$B8)*ISNUMBER(INDEX(Inputs!$K$5:$AJ$110,0,MATCH(T$2,Inputs!$K$4:$AJ$4,0))))=0,NA(),SUMPRODUCT((Inputs!$A$5:$A$110=$B8)*Inputs!$B$5:$B$110*(((Inputs!$G$5:$G$110="moeda")+(Inputs!$G$5:$G$110="acoes"))*Inputs!$B$1+((Inputs!$G$5:$G$110&lt;&gt;"moeda")*(Inputs!$G$5:$G$110&lt;&gt;"acoes")))*INDEX(Inputs!$K$5:$AJ$110,0,MATCH(T$2,Inputs!$K$4:$AJ$4,0)))+SUMPRODUCT((Inputs!$C$5:$C$110=$B8)*Inputs!$D$5:$D$110*(((Inputs!$G$5:$G$110="moeda")+(Inputs!$G$5:$G$110="acoes"))*Inputs!$B$1+((Inputs!$G$5:$G$110&lt;&gt;"moeda")*(Inputs!$G$5:$G$110&lt;&gt;"acoes")))*INDEX(Inputs!$K$5:$AJ$110,0,MATCH(T$2,Inputs!$K$4:$AJ$4,0)))+SUMPRODUCT((Inputs!$E$5:$E$110=$B8)*Inputs!$F$5:$F$110*(((Inputs!$G$5:$G$110="moeda")+(Inputs!$G$5:$G$110="acoes"))*Inputs!$B$1+((Inputs!$G$5:$G$110&lt;&gt;"moeda")*(Inputs!$G$5:$G$110&lt;&gt;"acoes")))*INDEX(Inputs!$K$5:$AJ$110,0,MATCH(T$2,Inputs!$K$4:$AJ$4,0)))))</f>
        <v>-67</v>
      </c>
      <c r="U8" s="6">
        <f>IF(ISNA(MATCH(U$2,Inputs!$K$4:$AJ$4,0)),NA(),IF(SUMPRODUCT((Inputs!$A$5:$A$110=$B8)*ISNUMBER(INDEX(Inputs!$K$5:$AJ$110,0,MATCH(U$2,Inputs!$K$4:$AJ$4,0))))+SUMPRODUCT((Inputs!$C$5:$C$110=$B8)*ISNUMBER(INDEX(Inputs!$K$5:$AJ$110,0,MATCH(U$2,Inputs!$K$4:$AJ$4,0))))+SUMPRODUCT((Inputs!$E$5:$E$110=$B8)*ISNUMBER(INDEX(Inputs!$K$5:$AJ$110,0,MATCH(U$2,Inputs!$K$4:$AJ$4,0))))=0,NA(),SUMPRODUCT((Inputs!$A$5:$A$110=$B8)*Inputs!$B$5:$B$110*(((Inputs!$G$5:$G$110="moeda")+(Inputs!$G$5:$G$110="acoes"))*Inputs!$B$1+((Inputs!$G$5:$G$110&lt;&gt;"moeda")*(Inputs!$G$5:$G$110&lt;&gt;"acoes")))*INDEX(Inputs!$K$5:$AJ$110,0,MATCH(U$2,Inputs!$K$4:$AJ$4,0)))+SUMPRODUCT((Inputs!$C$5:$C$110=$B8)*Inputs!$D$5:$D$110*(((Inputs!$G$5:$G$110="moeda")+(Inputs!$G$5:$G$110="acoes"))*Inputs!$B$1+((Inputs!$G$5:$G$110&lt;&gt;"moeda")*(Inputs!$G$5:$G$110&lt;&gt;"acoes")))*INDEX(Inputs!$K$5:$AJ$110,0,MATCH(U$2,Inputs!$K$4:$AJ$4,0)))+SUMPRODUCT((Inputs!$E$5:$E$110=$B8)*Inputs!$F$5:$F$110*(((Inputs!$G$5:$G$110="moeda")+(Inputs!$G$5:$G$110="acoes"))*Inputs!$B$1+((Inputs!$G$5:$G$110&lt;&gt;"moeda")*(Inputs!$G$5:$G$110&lt;&gt;"acoes")))*INDEX(Inputs!$K$5:$AJ$110,0,MATCH(U$2,Inputs!$K$4:$AJ$4,0)))))</f>
        <v>-54</v>
      </c>
      <c r="V8" s="6">
        <f>IF(ISNA(MATCH(V$2,Inputs!$K$4:$AJ$4,0)),NA(),IF(SUMPRODUCT((Inputs!$A$5:$A$110=$B8)*ISNUMBER(INDEX(Inputs!$K$5:$AJ$110,0,MATCH(V$2,Inputs!$K$4:$AJ$4,0))))+SUMPRODUCT((Inputs!$C$5:$C$110=$B8)*ISNUMBER(INDEX(Inputs!$K$5:$AJ$110,0,MATCH(V$2,Inputs!$K$4:$AJ$4,0))))+SUMPRODUCT((Inputs!$E$5:$E$110=$B8)*ISNUMBER(INDEX(Inputs!$K$5:$AJ$110,0,MATCH(V$2,Inputs!$K$4:$AJ$4,0))))=0,NA(),SUMPRODUCT((Inputs!$A$5:$A$110=$B8)*Inputs!$B$5:$B$110*(((Inputs!$G$5:$G$110="moeda")+(Inputs!$G$5:$G$110="acoes"))*Inputs!$B$1+((Inputs!$G$5:$G$110&lt;&gt;"moeda")*(Inputs!$G$5:$G$110&lt;&gt;"acoes")))*INDEX(Inputs!$K$5:$AJ$110,0,MATCH(V$2,Inputs!$K$4:$AJ$4,0)))+SUMPRODUCT((Inputs!$C$5:$C$110=$B8)*Inputs!$D$5:$D$110*(((Inputs!$G$5:$G$110="moeda")+(Inputs!$G$5:$G$110="acoes"))*Inputs!$B$1+((Inputs!$G$5:$G$110&lt;&gt;"moeda")*(Inputs!$G$5:$G$110&lt;&gt;"acoes")))*INDEX(Inputs!$K$5:$AJ$110,0,MATCH(V$2,Inputs!$K$4:$AJ$4,0)))+SUMPRODUCT((Inputs!$E$5:$E$110=$B8)*Inputs!$F$5:$F$110*(((Inputs!$G$5:$G$110="moeda")+(Inputs!$G$5:$G$110="acoes"))*Inputs!$B$1+((Inputs!$G$5:$G$110&lt;&gt;"moeda")*(Inputs!$G$5:$G$110&lt;&gt;"acoes")))*INDEX(Inputs!$K$5:$AJ$110,0,MATCH(V$2,Inputs!$K$4:$AJ$4,0)))))</f>
        <v>-53</v>
      </c>
      <c r="W8" s="3">
        <f>SUM(S8:V8)</f>
        <v>-268</v>
      </c>
      <c r="X8" s="6">
        <f>IF(ISNA(MATCH(X$2,Inputs!$K$4:$AJ$4,0)),NA(),IF(SUMPRODUCT((Inputs!$A$5:$A$110=$B8)*ISNUMBER(INDEX(Inputs!$K$5:$AJ$110,0,MATCH(X$2,Inputs!$K$4:$AJ$4,0))))+SUMPRODUCT((Inputs!$C$5:$C$110=$B8)*ISNUMBER(INDEX(Inputs!$K$5:$AJ$110,0,MATCH(X$2,Inputs!$K$4:$AJ$4,0))))+SUMPRODUCT((Inputs!$E$5:$E$110=$B8)*ISNUMBER(INDEX(Inputs!$K$5:$AJ$110,0,MATCH(X$2,Inputs!$K$4:$AJ$4,0))))=0,NA(),SUMPRODUCT((Inputs!$A$5:$A$110=$B8)*Inputs!$B$5:$B$110*(((Inputs!$G$5:$G$110="moeda")+(Inputs!$G$5:$G$110="acoes"))*Inputs!$B$1+((Inputs!$G$5:$G$110&lt;&gt;"moeda")*(Inputs!$G$5:$G$110&lt;&gt;"acoes")))*INDEX(Inputs!$K$5:$AJ$110,0,MATCH(X$2,Inputs!$K$4:$AJ$4,0)))+SUMPRODUCT((Inputs!$C$5:$C$110=$B8)*Inputs!$D$5:$D$110*(((Inputs!$G$5:$G$110="moeda")+(Inputs!$G$5:$G$110="acoes"))*Inputs!$B$1+((Inputs!$G$5:$G$110&lt;&gt;"moeda")*(Inputs!$G$5:$G$110&lt;&gt;"acoes")))*INDEX(Inputs!$K$5:$AJ$110,0,MATCH(X$2,Inputs!$K$4:$AJ$4,0)))+SUMPRODUCT((Inputs!$E$5:$E$110=$B8)*Inputs!$F$5:$F$110*(((Inputs!$G$5:$G$110="moeda")+(Inputs!$G$5:$G$110="acoes"))*Inputs!$B$1+((Inputs!$G$5:$G$110&lt;&gt;"moeda")*(Inputs!$G$5:$G$110&lt;&gt;"acoes")))*INDEX(Inputs!$K$5:$AJ$110,0,MATCH(X$2,Inputs!$K$4:$AJ$4,0)))))</f>
        <v>-34</v>
      </c>
      <c r="Y8" s="6">
        <f>IF(ISNA(MATCH(Y$2,Inputs!$K$4:$AJ$4,0)),NA(),IF(SUMPRODUCT((Inputs!$A$5:$A$110=$B8)*ISNUMBER(INDEX(Inputs!$K$5:$AJ$110,0,MATCH(Y$2,Inputs!$K$4:$AJ$4,0))))+SUMPRODUCT((Inputs!$C$5:$C$110=$B8)*ISNUMBER(INDEX(Inputs!$K$5:$AJ$110,0,MATCH(Y$2,Inputs!$K$4:$AJ$4,0))))+SUMPRODUCT((Inputs!$E$5:$E$110=$B8)*ISNUMBER(INDEX(Inputs!$K$5:$AJ$110,0,MATCH(Y$2,Inputs!$K$4:$AJ$4,0))))=0,NA(),SUMPRODUCT((Inputs!$A$5:$A$110=$B8)*Inputs!$B$5:$B$110*(((Inputs!$G$5:$G$110="moeda")+(Inputs!$G$5:$G$110="acoes"))*Inputs!$B$1+((Inputs!$G$5:$G$110&lt;&gt;"moeda")*(Inputs!$G$5:$G$110&lt;&gt;"acoes")))*INDEX(Inputs!$K$5:$AJ$110,0,MATCH(Y$2,Inputs!$K$4:$AJ$4,0)))+SUMPRODUCT((Inputs!$C$5:$C$110=$B8)*Inputs!$D$5:$D$110*(((Inputs!$G$5:$G$110="moeda")+(Inputs!$G$5:$G$110="acoes"))*Inputs!$B$1+((Inputs!$G$5:$G$110&lt;&gt;"moeda")*(Inputs!$G$5:$G$110&lt;&gt;"acoes")))*INDEX(Inputs!$K$5:$AJ$110,0,MATCH(Y$2,Inputs!$K$4:$AJ$4,0)))+SUMPRODUCT((Inputs!$E$5:$E$110=$B8)*Inputs!$F$5:$F$110*(((Inputs!$G$5:$G$110="moeda")+(Inputs!$G$5:$G$110="acoes"))*Inputs!$B$1+((Inputs!$G$5:$G$110&lt;&gt;"moeda")*(Inputs!$G$5:$G$110&lt;&gt;"acoes")))*INDEX(Inputs!$K$5:$AJ$110,0,MATCH(Y$2,Inputs!$K$4:$AJ$4,0)))))</f>
        <v>-261</v>
      </c>
      <c r="Z8" s="6">
        <f>IF(ISNA(MATCH(Z$2,Inputs!$K$4:$AJ$4,0)),NA(),IF(SUMPRODUCT((Inputs!$A$5:$A$110=$B8)*ISNUMBER(INDEX(Inputs!$K$5:$AJ$110,0,MATCH(Z$2,Inputs!$K$4:$AJ$4,0))))+SUMPRODUCT((Inputs!$C$5:$C$110=$B8)*ISNUMBER(INDEX(Inputs!$K$5:$AJ$110,0,MATCH(Z$2,Inputs!$K$4:$AJ$4,0))))+SUMPRODUCT((Inputs!$E$5:$E$110=$B8)*ISNUMBER(INDEX(Inputs!$K$5:$AJ$110,0,MATCH(Z$2,Inputs!$K$4:$AJ$4,0))))=0,NA(),SUMPRODUCT((Inputs!$A$5:$A$110=$B8)*Inputs!$B$5:$B$110*(((Inputs!$G$5:$G$110="moeda")+(Inputs!$G$5:$G$110="acoes"))*Inputs!$B$1+((Inputs!$G$5:$G$110&lt;&gt;"moeda")*(Inputs!$G$5:$G$110&lt;&gt;"acoes")))*INDEX(Inputs!$K$5:$AJ$110,0,MATCH(Z$2,Inputs!$K$4:$AJ$4,0)))+SUMPRODUCT((Inputs!$C$5:$C$110=$B8)*Inputs!$D$5:$D$110*(((Inputs!$G$5:$G$110="moeda")+(Inputs!$G$5:$G$110="acoes"))*Inputs!$B$1+((Inputs!$G$5:$G$110&lt;&gt;"moeda")*(Inputs!$G$5:$G$110&lt;&gt;"acoes")))*INDEX(Inputs!$K$5:$AJ$110,0,MATCH(Z$2,Inputs!$K$4:$AJ$4,0)))+SUMPRODUCT((Inputs!$E$5:$E$110=$B8)*Inputs!$F$5:$F$110*(((Inputs!$G$5:$G$110="moeda")+(Inputs!$G$5:$G$110="acoes"))*Inputs!$B$1+((Inputs!$G$5:$G$110&lt;&gt;"moeda")*(Inputs!$G$5:$G$110&lt;&gt;"acoes")))*INDEX(Inputs!$K$5:$AJ$110,0,MATCH(Z$2,Inputs!$K$4:$AJ$4,0)))))</f>
        <v>-143</v>
      </c>
      <c r="AA8" s="6">
        <f>IF(ISNA(MATCH(AA$2,Inputs!$K$4:$AJ$4,0)),NA(),IF(SUMPRODUCT((Inputs!$A$5:$A$110=$B8)*ISNUMBER(INDEX(Inputs!$K$5:$AJ$110,0,MATCH(AA$2,Inputs!$K$4:$AJ$4,0))))+SUMPRODUCT((Inputs!$C$5:$C$110=$B8)*ISNUMBER(INDEX(Inputs!$K$5:$AJ$110,0,MATCH(AA$2,Inputs!$K$4:$AJ$4,0))))+SUMPRODUCT((Inputs!$E$5:$E$110=$B8)*ISNUMBER(INDEX(Inputs!$K$5:$AJ$110,0,MATCH(AA$2,Inputs!$K$4:$AJ$4,0))))=0,NA(),SUMPRODUCT((Inputs!$A$5:$A$110=$B8)*Inputs!$B$5:$B$110*(((Inputs!$G$5:$G$110="moeda")+(Inputs!$G$5:$G$110="acoes"))*Inputs!$B$1+((Inputs!$G$5:$G$110&lt;&gt;"moeda")*(Inputs!$G$5:$G$110&lt;&gt;"acoes")))*INDEX(Inputs!$K$5:$AJ$110,0,MATCH(AA$2,Inputs!$K$4:$AJ$4,0)))+SUMPRODUCT((Inputs!$C$5:$C$110=$B8)*Inputs!$D$5:$D$110*(((Inputs!$G$5:$G$110="moeda")+(Inputs!$G$5:$G$110="acoes"))*Inputs!$B$1+((Inputs!$G$5:$G$110&lt;&gt;"moeda")*(Inputs!$G$5:$G$110&lt;&gt;"acoes")))*INDEX(Inputs!$K$5:$AJ$110,0,MATCH(AA$2,Inputs!$K$4:$AJ$4,0)))+SUMPRODUCT((Inputs!$E$5:$E$110=$B8)*Inputs!$F$5:$F$110*(((Inputs!$G$5:$G$110="moeda")+(Inputs!$G$5:$G$110="acoes"))*Inputs!$B$1+((Inputs!$G$5:$G$110&lt;&gt;"moeda")*(Inputs!$G$5:$G$110&lt;&gt;"acoes")))*INDEX(Inputs!$K$5:$AJ$110,0,MATCH(AA$2,Inputs!$K$4:$AJ$4,0)))))</f>
        <v>-298</v>
      </c>
      <c r="AB8" s="3">
        <f>SUM(X8:AA8)</f>
        <v>-736</v>
      </c>
      <c r="AC8" s="6">
        <f>IF(ISNA(MATCH(AC$2,Inputs!$K$4:$AJ$4,0)),NA(),IF(SUMPRODUCT((Inputs!$A$5:$A$110=$B8)*ISNUMBER(INDEX(Inputs!$K$5:$AJ$110,0,MATCH(AC$2,Inputs!$K$4:$AJ$4,0))))+SUMPRODUCT((Inputs!$C$5:$C$110=$B8)*ISNUMBER(INDEX(Inputs!$K$5:$AJ$110,0,MATCH(AC$2,Inputs!$K$4:$AJ$4,0))))+SUMPRODUCT((Inputs!$E$5:$E$110=$B8)*ISNUMBER(INDEX(Inputs!$K$5:$AJ$110,0,MATCH(AC$2,Inputs!$K$4:$AJ$4,0))))=0,NA(),SUMPRODUCT((Inputs!$A$5:$A$110=$B8)*Inputs!$B$5:$B$110*(((Inputs!$G$5:$G$110="moeda")+(Inputs!$G$5:$G$110="acoes"))*Inputs!$B$1+((Inputs!$G$5:$G$110&lt;&gt;"moeda")*(Inputs!$G$5:$G$110&lt;&gt;"acoes")))*INDEX(Inputs!$K$5:$AJ$110,0,MATCH(AC$2,Inputs!$K$4:$AJ$4,0)))+SUMPRODUCT((Inputs!$C$5:$C$110=$B8)*Inputs!$D$5:$D$110*(((Inputs!$G$5:$G$110="moeda")+(Inputs!$G$5:$G$110="acoes"))*Inputs!$B$1+((Inputs!$G$5:$G$110&lt;&gt;"moeda")*(Inputs!$G$5:$G$110&lt;&gt;"acoes")))*INDEX(Inputs!$K$5:$AJ$110,0,MATCH(AC$2,Inputs!$K$4:$AJ$4,0)))+SUMPRODUCT((Inputs!$E$5:$E$110=$B8)*Inputs!$F$5:$F$110*(((Inputs!$G$5:$G$110="moeda")+(Inputs!$G$5:$G$110="acoes"))*Inputs!$B$1+((Inputs!$G$5:$G$110&lt;&gt;"moeda")*(Inputs!$G$5:$G$110&lt;&gt;"acoes")))*INDEX(Inputs!$K$5:$AJ$110,0,MATCH(AC$2,Inputs!$K$4:$AJ$4,0)))))</f>
        <v>-533</v>
      </c>
      <c r="AD8" s="6">
        <f>IF(ISNA(MATCH(AD$2,Inputs!$K$4:$AJ$4,0)),NA(),IF(SUMPRODUCT((Inputs!$A$5:$A$110=$B8)*ISNUMBER(INDEX(Inputs!$K$5:$AJ$110,0,MATCH(AD$2,Inputs!$K$4:$AJ$4,0))))+SUMPRODUCT((Inputs!$C$5:$C$110=$B8)*ISNUMBER(INDEX(Inputs!$K$5:$AJ$110,0,MATCH(AD$2,Inputs!$K$4:$AJ$4,0))))+SUMPRODUCT((Inputs!$E$5:$E$110=$B8)*ISNUMBER(INDEX(Inputs!$K$5:$AJ$110,0,MATCH(AD$2,Inputs!$K$4:$AJ$4,0))))=0,NA(),SUMPRODUCT((Inputs!$A$5:$A$110=$B8)*Inputs!$B$5:$B$110*(((Inputs!$G$5:$G$110="moeda")+(Inputs!$G$5:$G$110="acoes"))*Inputs!$B$1+((Inputs!$G$5:$G$110&lt;&gt;"moeda")*(Inputs!$G$5:$G$110&lt;&gt;"acoes")))*INDEX(Inputs!$K$5:$AJ$110,0,MATCH(AD$2,Inputs!$K$4:$AJ$4,0)))+SUMPRODUCT((Inputs!$C$5:$C$110=$B8)*Inputs!$D$5:$D$110*(((Inputs!$G$5:$G$110="moeda")+(Inputs!$G$5:$G$110="acoes"))*Inputs!$B$1+((Inputs!$G$5:$G$110&lt;&gt;"moeda")*(Inputs!$G$5:$G$110&lt;&gt;"acoes")))*INDEX(Inputs!$K$5:$AJ$110,0,MATCH(AD$2,Inputs!$K$4:$AJ$4,0)))+SUMPRODUCT((Inputs!$E$5:$E$110=$B8)*Inputs!$F$5:$F$110*(((Inputs!$G$5:$G$110="moeda")+(Inputs!$G$5:$G$110="acoes"))*Inputs!$B$1+((Inputs!$G$5:$G$110&lt;&gt;"moeda")*(Inputs!$G$5:$G$110&lt;&gt;"acoes")))*INDEX(Inputs!$K$5:$AJ$110,0,MATCH(AD$2,Inputs!$K$4:$AJ$4,0)))))</f>
        <v>-1278</v>
      </c>
      <c r="AE8" s="6" t="e">
        <f>IF(ISNA(MATCH(AE$2,Inputs!$K$4:$AJ$4,0)),NA(),IF(SUMPRODUCT((Inputs!$A$5:$A$110=$B8)*ISNUMBER(INDEX(Inputs!$K$5:$AJ$110,0,MATCH(AE$2,Inputs!$K$4:$AJ$4,0))))+SUMPRODUCT((Inputs!$C$5:$C$110=$B8)*ISNUMBER(INDEX(Inputs!$K$5:$AJ$110,0,MATCH(AE$2,Inputs!$K$4:$AJ$4,0))))+SUMPRODUCT((Inputs!$E$5:$E$110=$B8)*ISNUMBER(INDEX(Inputs!$K$5:$AJ$110,0,MATCH(AE$2,Inputs!$K$4:$AJ$4,0))))=0,NA(),SUMPRODUCT((Inputs!$A$5:$A$110=$B8)*Inputs!$B$5:$B$110*(((Inputs!$G$5:$G$110="moeda")+(Inputs!$G$5:$G$110="acoes"))*Inputs!$B$1+((Inputs!$G$5:$G$110&lt;&gt;"moeda")*(Inputs!$G$5:$G$110&lt;&gt;"acoes")))*INDEX(Inputs!$K$5:$AJ$110,0,MATCH(AE$2,Inputs!$K$4:$AJ$4,0)))+SUMPRODUCT((Inputs!$C$5:$C$110=$B8)*Inputs!$D$5:$D$110*(((Inputs!$G$5:$G$110="moeda")+(Inputs!$G$5:$G$110="acoes"))*Inputs!$B$1+((Inputs!$G$5:$G$110&lt;&gt;"moeda")*(Inputs!$G$5:$G$110&lt;&gt;"acoes")))*INDEX(Inputs!$K$5:$AJ$110,0,MATCH(AE$2,Inputs!$K$4:$AJ$4,0)))+SUMPRODUCT((Inputs!$E$5:$E$110=$B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8" s="6" t="e">
        <f>IF(ISNA(MATCH(AF$2,Inputs!$K$4:$AJ$4,0)),NA(),IF(SUMPRODUCT((Inputs!$A$5:$A$110=$B8)*ISNUMBER(INDEX(Inputs!$K$5:$AJ$110,0,MATCH(AF$2,Inputs!$K$4:$AJ$4,0))))+SUMPRODUCT((Inputs!$C$5:$C$110=$B8)*ISNUMBER(INDEX(Inputs!$K$5:$AJ$110,0,MATCH(AF$2,Inputs!$K$4:$AJ$4,0))))+SUMPRODUCT((Inputs!$E$5:$E$110=$B8)*ISNUMBER(INDEX(Inputs!$K$5:$AJ$110,0,MATCH(AF$2,Inputs!$K$4:$AJ$4,0))))=0,NA(),SUMPRODUCT((Inputs!$A$5:$A$110=$B8)*Inputs!$B$5:$B$110*(((Inputs!$G$5:$G$110="moeda")+(Inputs!$G$5:$G$110="acoes"))*Inputs!$B$1+((Inputs!$G$5:$G$110&lt;&gt;"moeda")*(Inputs!$G$5:$G$110&lt;&gt;"acoes")))*INDEX(Inputs!$K$5:$AJ$110,0,MATCH(AF$2,Inputs!$K$4:$AJ$4,0)))+SUMPRODUCT((Inputs!$C$5:$C$110=$B8)*Inputs!$D$5:$D$110*(((Inputs!$G$5:$G$110="moeda")+(Inputs!$G$5:$G$110="acoes"))*Inputs!$B$1+((Inputs!$G$5:$G$110&lt;&gt;"moeda")*(Inputs!$G$5:$G$110&lt;&gt;"acoes")))*INDEX(Inputs!$K$5:$AJ$110,0,MATCH(AF$2,Inputs!$K$4:$AJ$4,0)))+SUMPRODUCT((Inputs!$E$5:$E$110=$B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8" s="3" t="e">
        <f>SUM(AC8:AF8)</f>
        <v>#N/A</v>
      </c>
      <c r="AH8" s="6">
        <f>IF(ISNA(MATCH(AH$2,Inputs!$K$4:$AJ$4,0)),NA(),IF(SUMPRODUCT((Inputs!$A$5:$A$110=$B8)*ISNUMBER(INDEX(Inputs!$K$5:$AJ$110,0,MATCH(AH$2,Inputs!$K$4:$AJ$4,0))))+SUMPRODUCT((Inputs!$C$5:$C$110=$B8)*ISNUMBER(INDEX(Inputs!$K$5:$AJ$110,0,MATCH(AH$2,Inputs!$K$4:$AJ$4,0))))+SUMPRODUCT((Inputs!$E$5:$E$110=$B8)*ISNUMBER(INDEX(Inputs!$K$5:$AJ$110,0,MATCH(AH$2,Inputs!$K$4:$AJ$4,0))))=0,NA(),SUMPRODUCT((Inputs!$A$5:$A$110=$B8)*Inputs!$B$5:$B$110*(((Inputs!$G$5:$G$110="moeda")+(Inputs!$G$5:$G$110="acoes"))*Inputs!$B$1+((Inputs!$G$5:$G$110&lt;&gt;"moeda")*(Inputs!$G$5:$G$110&lt;&gt;"acoes")))*INDEX(Inputs!$K$5:$AJ$110,0,MATCH(AH$2,Inputs!$K$4:$AJ$4,0)))+SUMPRODUCT((Inputs!$C$5:$C$110=$B8)*Inputs!$D$5:$D$110*(((Inputs!$G$5:$G$110="moeda")+(Inputs!$G$5:$G$110="acoes"))*Inputs!$B$1+((Inputs!$G$5:$G$110&lt;&gt;"moeda")*(Inputs!$G$5:$G$110&lt;&gt;"acoes")))*INDEX(Inputs!$K$5:$AJ$110,0,MATCH(AH$2,Inputs!$K$4:$AJ$4,0)))+SUMPRODUCT((Inputs!$E$5:$E$110=$B8)*Inputs!$F$5:$F$110*(((Inputs!$G$5:$G$110="moeda")+(Inputs!$G$5:$G$110="acoes"))*Inputs!$B$1+((Inputs!$G$5:$G$110&lt;&gt;"moeda")*(Inputs!$G$5:$G$110&lt;&gt;"acoes")))*INDEX(Inputs!$K$5:$AJ$110,0,MATCH(AH$2,Inputs!$K$4:$AJ$4,0)))))</f>
        <v>-21</v>
      </c>
      <c r="AI8" s="6">
        <f>IF(ISNA(MATCH(AI$2,Inputs!$K$4:$AJ$4,0)),NA(),IF(SUMPRODUCT((Inputs!$A$5:$A$110=$B8)*ISNUMBER(INDEX(Inputs!$K$5:$AJ$110,0,MATCH(AI$2,Inputs!$K$4:$AJ$4,0))))+SUMPRODUCT((Inputs!$C$5:$C$110=$B8)*ISNUMBER(INDEX(Inputs!$K$5:$AJ$110,0,MATCH(AI$2,Inputs!$K$4:$AJ$4,0))))+SUMPRODUCT((Inputs!$E$5:$E$110=$B8)*ISNUMBER(INDEX(Inputs!$K$5:$AJ$110,0,MATCH(AI$2,Inputs!$K$4:$AJ$4,0))))=0,NA(),SUMPRODUCT((Inputs!$A$5:$A$110=$B8)*Inputs!$B$5:$B$110*(((Inputs!$G$5:$G$110="moeda")+(Inputs!$G$5:$G$110="acoes"))*Inputs!$B$1+((Inputs!$G$5:$G$110&lt;&gt;"moeda")*(Inputs!$G$5:$G$110&lt;&gt;"acoes")))*INDEX(Inputs!$K$5:$AJ$110,0,MATCH(AI$2,Inputs!$K$4:$AJ$4,0)))+SUMPRODUCT((Inputs!$C$5:$C$110=$B8)*Inputs!$D$5:$D$110*(((Inputs!$G$5:$G$110="moeda")+(Inputs!$G$5:$G$110="acoes"))*Inputs!$B$1+((Inputs!$G$5:$G$110&lt;&gt;"moeda")*(Inputs!$G$5:$G$110&lt;&gt;"acoes")))*INDEX(Inputs!$K$5:$AJ$110,0,MATCH(AI$2,Inputs!$K$4:$AJ$4,0)))+SUMPRODUCT((Inputs!$E$5:$E$110=$B8)*Inputs!$F$5:$F$110*(((Inputs!$G$5:$G$110="moeda")+(Inputs!$G$5:$G$110="acoes"))*Inputs!$B$1+((Inputs!$G$5:$G$110&lt;&gt;"moeda")*(Inputs!$G$5:$G$110&lt;&gt;"acoes")))*INDEX(Inputs!$K$5:$AJ$110,0,MATCH(AI$2,Inputs!$K$4:$AJ$4,0)))))</f>
        <v>-13</v>
      </c>
      <c r="AJ8" s="6">
        <f>IF(ISNA(MATCH(AJ$2,Inputs!$K$4:$AJ$4,0)),NA(),IF(SUMPRODUCT((Inputs!$A$5:$A$110=$B8)*ISNUMBER(INDEX(Inputs!$K$5:$AJ$110,0,MATCH(AJ$2,Inputs!$K$4:$AJ$4,0))))+SUMPRODUCT((Inputs!$C$5:$C$110=$B8)*ISNUMBER(INDEX(Inputs!$K$5:$AJ$110,0,MATCH(AJ$2,Inputs!$K$4:$AJ$4,0))))+SUMPRODUCT((Inputs!$E$5:$E$110=$B8)*ISNUMBER(INDEX(Inputs!$K$5:$AJ$110,0,MATCH(AJ$2,Inputs!$K$4:$AJ$4,0))))=0,NA(),SUMPRODUCT((Inputs!$A$5:$A$110=$B8)*Inputs!$B$5:$B$110*(((Inputs!$G$5:$G$110="moeda")+(Inputs!$G$5:$G$110="acoes"))*Inputs!$B$1+((Inputs!$G$5:$G$110&lt;&gt;"moeda")*(Inputs!$G$5:$G$110&lt;&gt;"acoes")))*INDEX(Inputs!$K$5:$AJ$110,0,MATCH(AJ$2,Inputs!$K$4:$AJ$4,0)))+SUMPRODUCT((Inputs!$C$5:$C$110=$B8)*Inputs!$D$5:$D$110*(((Inputs!$G$5:$G$110="moeda")+(Inputs!$G$5:$G$110="acoes"))*Inputs!$B$1+((Inputs!$G$5:$G$110&lt;&gt;"moeda")*(Inputs!$G$5:$G$110&lt;&gt;"acoes")))*INDEX(Inputs!$K$5:$AJ$110,0,MATCH(AJ$2,Inputs!$K$4:$AJ$4,0)))+SUMPRODUCT((Inputs!$E$5:$E$110=$B8)*Inputs!$F$5:$F$110*(((Inputs!$G$5:$G$110="moeda")+(Inputs!$G$5:$G$110="acoes"))*Inputs!$B$1+((Inputs!$G$5:$G$110&lt;&gt;"moeda")*(Inputs!$G$5:$G$110&lt;&gt;"acoes")))*INDEX(Inputs!$K$5:$AJ$110,0,MATCH(AJ$2,Inputs!$K$4:$AJ$4,0)))))</f>
        <v>-48</v>
      </c>
      <c r="AK8" s="6">
        <f>IF(ISNA(MATCH(AK$2,Inputs!$K$4:$AJ$4,0)),NA(),IF(SUMPRODUCT((Inputs!$A$5:$A$110=$B8)*ISNUMBER(INDEX(Inputs!$K$5:$AJ$110,0,MATCH(AK$2,Inputs!$K$4:$AJ$4,0))))+SUMPRODUCT((Inputs!$C$5:$C$110=$B8)*ISNUMBER(INDEX(Inputs!$K$5:$AJ$110,0,MATCH(AK$2,Inputs!$K$4:$AJ$4,0))))+SUMPRODUCT((Inputs!$E$5:$E$110=$B8)*ISNUMBER(INDEX(Inputs!$K$5:$AJ$110,0,MATCH(AK$2,Inputs!$K$4:$AJ$4,0))))=0,NA(),SUMPRODUCT((Inputs!$A$5:$A$110=$B8)*Inputs!$B$5:$B$110*(((Inputs!$G$5:$G$110="moeda")+(Inputs!$G$5:$G$110="acoes"))*Inputs!$B$1+((Inputs!$G$5:$G$110&lt;&gt;"moeda")*(Inputs!$G$5:$G$110&lt;&gt;"acoes")))*INDEX(Inputs!$K$5:$AJ$110,0,MATCH(AK$2,Inputs!$K$4:$AJ$4,0)))+SUMPRODUCT((Inputs!$C$5:$C$110=$B8)*Inputs!$D$5:$D$110*(((Inputs!$G$5:$G$110="moeda")+(Inputs!$G$5:$G$110="acoes"))*Inputs!$B$1+((Inputs!$G$5:$G$110&lt;&gt;"moeda")*(Inputs!$G$5:$G$110&lt;&gt;"acoes")))*INDEX(Inputs!$K$5:$AJ$110,0,MATCH(AK$2,Inputs!$K$4:$AJ$4,0)))+SUMPRODUCT((Inputs!$E$5:$E$110=$B8)*Inputs!$F$5:$F$110*(((Inputs!$G$5:$G$110="moeda")+(Inputs!$G$5:$G$110="acoes"))*Inputs!$B$1+((Inputs!$G$5:$G$110&lt;&gt;"moeda")*(Inputs!$G$5:$G$110&lt;&gt;"acoes")))*INDEX(Inputs!$K$5:$AJ$110,0,MATCH(AK$2,Inputs!$K$4:$AJ$4,0)))))</f>
        <v>-53</v>
      </c>
      <c r="AL8" s="3">
        <f>SUM(AH8:AK8)</f>
        <v>-135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$110=$B9)*ISNUMBER(INDEX(Inputs!$K$5:$AJ$110,0,MATCH(D$2,Inputs!$K$4:$AJ$4,0))))+SUMPRODUCT((Inputs!$C$5:$C$110=$B9)*ISNUMBER(INDEX(Inputs!$K$5:$AJ$110,0,MATCH(D$2,Inputs!$K$4:$AJ$4,0))))+SUMPRODUCT((Inputs!$E$5:$E$110=$B9)*ISNUMBER(INDEX(Inputs!$K$5:$AJ$110,0,MATCH(D$2,Inputs!$K$4:$AJ$4,0))))=0,NA(),SUMPRODUCT((Inputs!$A$5:$A$110=$B9)*Inputs!$B$5:$B$110*(((Inputs!$G$5:$G$110="moeda")+(Inputs!$G$5:$G$110="acoes"))*Inputs!$B$1+((Inputs!$G$5:$G$110&lt;&gt;"moeda")*(Inputs!$G$5:$G$110&lt;&gt;"acoes")))*INDEX(Inputs!$K$5:$AJ$110,0,MATCH(D$2,Inputs!$K$4:$AJ$4,0)))+SUMPRODUCT((Inputs!$C$5:$C$110=$B9)*Inputs!$D$5:$D$110*(((Inputs!$G$5:$G$110="moeda")+(Inputs!$G$5:$G$110="acoes"))*Inputs!$B$1+((Inputs!$G$5:$G$110&lt;&gt;"moeda")*(Inputs!$G$5:$G$110&lt;&gt;"acoes")))*INDEX(Inputs!$K$5:$AJ$110,0,MATCH(D$2,Inputs!$K$4:$AJ$4,0)))+SUMPRODUCT((Inputs!$E$5:$E$110=$B9)*Inputs!$F$5:$F$110*(((Inputs!$G$5:$G$110="moeda")+(Inputs!$G$5:$G$110="acoes"))*Inputs!$B$1+((Inputs!$G$5:$G$110&lt;&gt;"moeda")*(Inputs!$G$5:$G$110&lt;&gt;"acoes")))*INDEX(Inputs!$K$5:$AJ$110,0,MATCH(D$2,Inputs!$K$4:$AJ$4,0)))))</f>
        <v>4922</v>
      </c>
      <c r="E9" s="6">
        <f>IF(ISNA(MATCH(E$2,Inputs!$K$4:$AJ$4,0)),NA(),IF(SUMPRODUCT((Inputs!$A$5:$A$110=$B9)*ISNUMBER(INDEX(Inputs!$K$5:$AJ$110,0,MATCH(E$2,Inputs!$K$4:$AJ$4,0))))+SUMPRODUCT((Inputs!$C$5:$C$110=$B9)*ISNUMBER(INDEX(Inputs!$K$5:$AJ$110,0,MATCH(E$2,Inputs!$K$4:$AJ$4,0))))+SUMPRODUCT((Inputs!$E$5:$E$110=$B9)*ISNUMBER(INDEX(Inputs!$K$5:$AJ$110,0,MATCH(E$2,Inputs!$K$4:$AJ$4,0))))=0,NA(),SUMPRODUCT((Inputs!$A$5:$A$110=$B9)*Inputs!$B$5:$B$110*(((Inputs!$G$5:$G$110="moeda")+(Inputs!$G$5:$G$110="acoes"))*Inputs!$B$1+((Inputs!$G$5:$G$110&lt;&gt;"moeda")*(Inputs!$G$5:$G$110&lt;&gt;"acoes")))*INDEX(Inputs!$K$5:$AJ$110,0,MATCH(E$2,Inputs!$K$4:$AJ$4,0)))+SUMPRODUCT((Inputs!$C$5:$C$110=$B9)*Inputs!$D$5:$D$110*(((Inputs!$G$5:$G$110="moeda")+(Inputs!$G$5:$G$110="acoes"))*Inputs!$B$1+((Inputs!$G$5:$G$110&lt;&gt;"moeda")*(Inputs!$G$5:$G$110&lt;&gt;"acoes")))*INDEX(Inputs!$K$5:$AJ$110,0,MATCH(E$2,Inputs!$K$4:$AJ$4,0)))+SUMPRODUCT((Inputs!$E$5:$E$110=$B9)*Inputs!$F$5:$F$110*(((Inputs!$G$5:$G$110="moeda")+(Inputs!$G$5:$G$110="acoes"))*Inputs!$B$1+((Inputs!$G$5:$G$110&lt;&gt;"moeda")*(Inputs!$G$5:$G$110&lt;&gt;"acoes")))*INDEX(Inputs!$K$5:$AJ$110,0,MATCH(E$2,Inputs!$K$4:$AJ$4,0)))))</f>
        <v>2700</v>
      </c>
      <c r="F9" s="6">
        <f>IF(ISNA(MATCH(F$2,Inputs!$K$4:$AJ$4,0)),NA(),IF(SUMPRODUCT((Inputs!$A$5:$A$110=$B9)*ISNUMBER(INDEX(Inputs!$K$5:$AJ$110,0,MATCH(F$2,Inputs!$K$4:$AJ$4,0))))+SUMPRODUCT((Inputs!$C$5:$C$110=$B9)*ISNUMBER(INDEX(Inputs!$K$5:$AJ$110,0,MATCH(F$2,Inputs!$K$4:$AJ$4,0))))+SUMPRODUCT((Inputs!$E$5:$E$110=$B9)*ISNUMBER(INDEX(Inputs!$K$5:$AJ$110,0,MATCH(F$2,Inputs!$K$4:$AJ$4,0))))=0,NA(),SUMPRODUCT((Inputs!$A$5:$A$110=$B9)*Inputs!$B$5:$B$110*(((Inputs!$G$5:$G$110="moeda")+(Inputs!$G$5:$G$110="acoes"))*Inputs!$B$1+((Inputs!$G$5:$G$110&lt;&gt;"moeda")*(Inputs!$G$5:$G$110&lt;&gt;"acoes")))*INDEX(Inputs!$K$5:$AJ$110,0,MATCH(F$2,Inputs!$K$4:$AJ$4,0)))+SUMPRODUCT((Inputs!$C$5:$C$110=$B9)*Inputs!$D$5:$D$110*(((Inputs!$G$5:$G$110="moeda")+(Inputs!$G$5:$G$110="acoes"))*Inputs!$B$1+((Inputs!$G$5:$G$110&lt;&gt;"moeda")*(Inputs!$G$5:$G$110&lt;&gt;"acoes")))*INDEX(Inputs!$K$5:$AJ$110,0,MATCH(F$2,Inputs!$K$4:$AJ$4,0)))+SUMPRODUCT((Inputs!$E$5:$E$110=$B9)*Inputs!$F$5:$F$110*(((Inputs!$G$5:$G$110="moeda")+(Inputs!$G$5:$G$110="acoes"))*Inputs!$B$1+((Inputs!$G$5:$G$110&lt;&gt;"moeda")*(Inputs!$G$5:$G$110&lt;&gt;"acoes")))*INDEX(Inputs!$K$5:$AJ$110,0,MATCH(F$2,Inputs!$K$4:$AJ$4,0)))))</f>
        <v>2110</v>
      </c>
      <c r="G9" s="6">
        <f>IF(ISNA(MATCH(G$2,Inputs!$K$4:$AJ$4,0)),NA(),IF(SUMPRODUCT((Inputs!$A$5:$A$110=$B9)*ISNUMBER(INDEX(Inputs!$K$5:$AJ$110,0,MATCH(G$2,Inputs!$K$4:$AJ$4,0))))+SUMPRODUCT((Inputs!$C$5:$C$110=$B9)*ISNUMBER(INDEX(Inputs!$K$5:$AJ$110,0,MATCH(G$2,Inputs!$K$4:$AJ$4,0))))+SUMPRODUCT((Inputs!$E$5:$E$110=$B9)*ISNUMBER(INDEX(Inputs!$K$5:$AJ$110,0,MATCH(G$2,Inputs!$K$4:$AJ$4,0))))=0,NA(),SUMPRODUCT((Inputs!$A$5:$A$110=$B9)*Inputs!$B$5:$B$110*(((Inputs!$G$5:$G$110="moeda")+(Inputs!$G$5:$G$110="acoes"))*Inputs!$B$1+((Inputs!$G$5:$G$110&lt;&gt;"moeda")*(Inputs!$G$5:$G$110&lt;&gt;"acoes")))*INDEX(Inputs!$K$5:$AJ$110,0,MATCH(G$2,Inputs!$K$4:$AJ$4,0)))+SUMPRODUCT((Inputs!$C$5:$C$110=$B9)*Inputs!$D$5:$D$110*(((Inputs!$G$5:$G$110="moeda")+(Inputs!$G$5:$G$110="acoes"))*Inputs!$B$1+((Inputs!$G$5:$G$110&lt;&gt;"moeda")*(Inputs!$G$5:$G$110&lt;&gt;"acoes")))*INDEX(Inputs!$K$5:$AJ$110,0,MATCH(G$2,Inputs!$K$4:$AJ$4,0)))+SUMPRODUCT((Inputs!$E$5:$E$110=$B9)*Inputs!$F$5:$F$110*(((Inputs!$G$5:$G$110="moeda")+(Inputs!$G$5:$G$110="acoes"))*Inputs!$B$1+((Inputs!$G$5:$G$110&lt;&gt;"moeda")*(Inputs!$G$5:$G$110&lt;&gt;"acoes")))*INDEX(Inputs!$K$5:$AJ$110,0,MATCH(G$2,Inputs!$K$4:$AJ$4,0)))))</f>
        <v>2634</v>
      </c>
      <c r="H9" s="3">
        <f>SUM(D9:G9)</f>
        <v>12366</v>
      </c>
      <c r="I9" s="6">
        <f>IF(ISNA(MATCH(I$2,Inputs!$K$4:$AJ$4,0)),NA(),IF(SUMPRODUCT((Inputs!$A$5:$A$110=$B9)*ISNUMBER(INDEX(Inputs!$K$5:$AJ$110,0,MATCH(I$2,Inputs!$K$4:$AJ$4,0))))+SUMPRODUCT((Inputs!$C$5:$C$110=$B9)*ISNUMBER(INDEX(Inputs!$K$5:$AJ$110,0,MATCH(I$2,Inputs!$K$4:$AJ$4,0))))+SUMPRODUCT((Inputs!$E$5:$E$110=$B9)*ISNUMBER(INDEX(Inputs!$K$5:$AJ$110,0,MATCH(I$2,Inputs!$K$4:$AJ$4,0))))=0,NA(),SUMPRODUCT((Inputs!$A$5:$A$110=$B9)*Inputs!$B$5:$B$110*(((Inputs!$G$5:$G$110="moeda")+(Inputs!$G$5:$G$110="acoes"))*Inputs!$B$1+((Inputs!$G$5:$G$110&lt;&gt;"moeda")*(Inputs!$G$5:$G$110&lt;&gt;"acoes")))*INDEX(Inputs!$K$5:$AJ$110,0,MATCH(I$2,Inputs!$K$4:$AJ$4,0)))+SUMPRODUCT((Inputs!$C$5:$C$110=$B9)*Inputs!$D$5:$D$110*(((Inputs!$G$5:$G$110="moeda")+(Inputs!$G$5:$G$110="acoes"))*Inputs!$B$1+((Inputs!$G$5:$G$110&lt;&gt;"moeda")*(Inputs!$G$5:$G$110&lt;&gt;"acoes")))*INDEX(Inputs!$K$5:$AJ$110,0,MATCH(I$2,Inputs!$K$4:$AJ$4,0)))+SUMPRODUCT((Inputs!$E$5:$E$110=$B9)*Inputs!$F$5:$F$110*(((Inputs!$G$5:$G$110="moeda")+(Inputs!$G$5:$G$110="acoes"))*Inputs!$B$1+((Inputs!$G$5:$G$110&lt;&gt;"moeda")*(Inputs!$G$5:$G$110&lt;&gt;"acoes")))*INDEX(Inputs!$K$5:$AJ$110,0,MATCH(I$2,Inputs!$K$4:$AJ$4,0)))))</f>
        <v>-1077</v>
      </c>
      <c r="J9" s="6">
        <f>IF(ISNA(MATCH(J$2,Inputs!$K$4:$AJ$4,0)),NA(),IF(SUMPRODUCT((Inputs!$A$5:$A$110=$B9)*ISNUMBER(INDEX(Inputs!$K$5:$AJ$110,0,MATCH(J$2,Inputs!$K$4:$AJ$4,0))))+SUMPRODUCT((Inputs!$C$5:$C$110=$B9)*ISNUMBER(INDEX(Inputs!$K$5:$AJ$110,0,MATCH(J$2,Inputs!$K$4:$AJ$4,0))))+SUMPRODUCT((Inputs!$E$5:$E$110=$B9)*ISNUMBER(INDEX(Inputs!$K$5:$AJ$110,0,MATCH(J$2,Inputs!$K$4:$AJ$4,0))))=0,NA(),SUMPRODUCT((Inputs!$A$5:$A$110=$B9)*Inputs!$B$5:$B$110*(((Inputs!$G$5:$G$110="moeda")+(Inputs!$G$5:$G$110="acoes"))*Inputs!$B$1+((Inputs!$G$5:$G$110&lt;&gt;"moeda")*(Inputs!$G$5:$G$110&lt;&gt;"acoes")))*INDEX(Inputs!$K$5:$AJ$110,0,MATCH(J$2,Inputs!$K$4:$AJ$4,0)))+SUMPRODUCT((Inputs!$C$5:$C$110=$B9)*Inputs!$D$5:$D$110*(((Inputs!$G$5:$G$110="moeda")+(Inputs!$G$5:$G$110="acoes"))*Inputs!$B$1+((Inputs!$G$5:$G$110&lt;&gt;"moeda")*(Inputs!$G$5:$G$110&lt;&gt;"acoes")))*INDEX(Inputs!$K$5:$AJ$110,0,MATCH(J$2,Inputs!$K$4:$AJ$4,0)))+SUMPRODUCT((Inputs!$E$5:$E$110=$B9)*Inputs!$F$5:$F$110*(((Inputs!$G$5:$G$110="moeda")+(Inputs!$G$5:$G$110="acoes"))*Inputs!$B$1+((Inputs!$G$5:$G$110&lt;&gt;"moeda")*(Inputs!$G$5:$G$110&lt;&gt;"acoes")))*INDEX(Inputs!$K$5:$AJ$110,0,MATCH(J$2,Inputs!$K$4:$AJ$4,0)))))</f>
        <v>-356</v>
      </c>
      <c r="K9" s="6">
        <f>IF(ISNA(MATCH(K$2,Inputs!$K$4:$AJ$4,0)),NA(),IF(SUMPRODUCT((Inputs!$A$5:$A$110=$B9)*ISNUMBER(INDEX(Inputs!$K$5:$AJ$110,0,MATCH(K$2,Inputs!$K$4:$AJ$4,0))))+SUMPRODUCT((Inputs!$C$5:$C$110=$B9)*ISNUMBER(INDEX(Inputs!$K$5:$AJ$110,0,MATCH(K$2,Inputs!$K$4:$AJ$4,0))))+SUMPRODUCT((Inputs!$E$5:$E$110=$B9)*ISNUMBER(INDEX(Inputs!$K$5:$AJ$110,0,MATCH(K$2,Inputs!$K$4:$AJ$4,0))))=0,NA(),SUMPRODUCT((Inputs!$A$5:$A$110=$B9)*Inputs!$B$5:$B$110*(((Inputs!$G$5:$G$110="moeda")+(Inputs!$G$5:$G$110="acoes"))*Inputs!$B$1+((Inputs!$G$5:$G$110&lt;&gt;"moeda")*(Inputs!$G$5:$G$110&lt;&gt;"acoes")))*INDEX(Inputs!$K$5:$AJ$110,0,MATCH(K$2,Inputs!$K$4:$AJ$4,0)))+SUMPRODUCT((Inputs!$C$5:$C$110=$B9)*Inputs!$D$5:$D$110*(((Inputs!$G$5:$G$110="moeda")+(Inputs!$G$5:$G$110="acoes"))*Inputs!$B$1+((Inputs!$G$5:$G$110&lt;&gt;"moeda")*(Inputs!$G$5:$G$110&lt;&gt;"acoes")))*INDEX(Inputs!$K$5:$AJ$110,0,MATCH(K$2,Inputs!$K$4:$AJ$4,0)))+SUMPRODUCT((Inputs!$E$5:$E$110=$B9)*Inputs!$F$5:$F$110*(((Inputs!$G$5:$G$110="moeda")+(Inputs!$G$5:$G$110="acoes"))*Inputs!$B$1+((Inputs!$G$5:$G$110&lt;&gt;"moeda")*(Inputs!$G$5:$G$110&lt;&gt;"acoes")))*INDEX(Inputs!$K$5:$AJ$110,0,MATCH(K$2,Inputs!$K$4:$AJ$4,0)))))</f>
        <v>-801</v>
      </c>
      <c r="L9" s="6">
        <f>IF(ISNA(MATCH(L$2,Inputs!$K$4:$AJ$4,0)),NA(),IF(SUMPRODUCT((Inputs!$A$5:$A$110=$B9)*ISNUMBER(INDEX(Inputs!$K$5:$AJ$110,0,MATCH(L$2,Inputs!$K$4:$AJ$4,0))))+SUMPRODUCT((Inputs!$C$5:$C$110=$B9)*ISNUMBER(INDEX(Inputs!$K$5:$AJ$110,0,MATCH(L$2,Inputs!$K$4:$AJ$4,0))))+SUMPRODUCT((Inputs!$E$5:$E$110=$B9)*ISNUMBER(INDEX(Inputs!$K$5:$AJ$110,0,MATCH(L$2,Inputs!$K$4:$AJ$4,0))))=0,NA(),SUMPRODUCT((Inputs!$A$5:$A$110=$B9)*Inputs!$B$5:$B$110*(((Inputs!$G$5:$G$110="moeda")+(Inputs!$G$5:$G$110="acoes"))*Inputs!$B$1+((Inputs!$G$5:$G$110&lt;&gt;"moeda")*(Inputs!$G$5:$G$110&lt;&gt;"acoes")))*INDEX(Inputs!$K$5:$AJ$110,0,MATCH(L$2,Inputs!$K$4:$AJ$4,0)))+SUMPRODUCT((Inputs!$C$5:$C$110=$B9)*Inputs!$D$5:$D$110*(((Inputs!$G$5:$G$110="moeda")+(Inputs!$G$5:$G$110="acoes"))*Inputs!$B$1+((Inputs!$G$5:$G$110&lt;&gt;"moeda")*(Inputs!$G$5:$G$110&lt;&gt;"acoes")))*INDEX(Inputs!$K$5:$AJ$110,0,MATCH(L$2,Inputs!$K$4:$AJ$4,0)))+SUMPRODUCT((Inputs!$E$5:$E$110=$B9)*Inputs!$F$5:$F$110*(((Inputs!$G$5:$G$110="moeda")+(Inputs!$G$5:$G$110="acoes"))*Inputs!$B$1+((Inputs!$G$5:$G$110&lt;&gt;"moeda")*(Inputs!$G$5:$G$110&lt;&gt;"acoes")))*INDEX(Inputs!$K$5:$AJ$110,0,MATCH(L$2,Inputs!$K$4:$AJ$4,0)))))</f>
        <v>-923</v>
      </c>
      <c r="M9" s="3">
        <f>SUM(I9:L9)</f>
        <v>-3157</v>
      </c>
      <c r="N9" s="6">
        <f>IF(ISNA(MATCH(N$2,Inputs!$K$4:$AJ$4,0)),NA(),IF(SUMPRODUCT((Inputs!$A$5:$A$110=$B9)*ISNUMBER(INDEX(Inputs!$K$5:$AJ$110,0,MATCH(N$2,Inputs!$K$4:$AJ$4,0))))+SUMPRODUCT((Inputs!$C$5:$C$110=$B9)*ISNUMBER(INDEX(Inputs!$K$5:$AJ$110,0,MATCH(N$2,Inputs!$K$4:$AJ$4,0))))+SUMPRODUCT((Inputs!$E$5:$E$110=$B9)*ISNUMBER(INDEX(Inputs!$K$5:$AJ$110,0,MATCH(N$2,Inputs!$K$4:$AJ$4,0))))=0,NA(),SUMPRODUCT((Inputs!$A$5:$A$110=$B9)*Inputs!$B$5:$B$110*(((Inputs!$G$5:$G$110="moeda")+(Inputs!$G$5:$G$110="acoes"))*Inputs!$B$1+((Inputs!$G$5:$G$110&lt;&gt;"moeda")*(Inputs!$G$5:$G$110&lt;&gt;"acoes")))*INDEX(Inputs!$K$5:$AJ$110,0,MATCH(N$2,Inputs!$K$4:$AJ$4,0)))+SUMPRODUCT((Inputs!$C$5:$C$110=$B9)*Inputs!$D$5:$D$110*(((Inputs!$G$5:$G$110="moeda")+(Inputs!$G$5:$G$110="acoes"))*Inputs!$B$1+((Inputs!$G$5:$G$110&lt;&gt;"moeda")*(Inputs!$G$5:$G$110&lt;&gt;"acoes")))*INDEX(Inputs!$K$5:$AJ$110,0,MATCH(N$2,Inputs!$K$4:$AJ$4,0)))+SUMPRODUCT((Inputs!$E$5:$E$110=$B9)*Inputs!$F$5:$F$110*(((Inputs!$G$5:$G$110="moeda")+(Inputs!$G$5:$G$110="acoes"))*Inputs!$B$1+((Inputs!$G$5:$G$110&lt;&gt;"moeda")*(Inputs!$G$5:$G$110&lt;&gt;"acoes")))*INDEX(Inputs!$K$5:$AJ$110,0,MATCH(N$2,Inputs!$K$4:$AJ$4,0)))))</f>
        <v>870</v>
      </c>
      <c r="O9" s="6">
        <f>IF(ISNA(MATCH(O$2,Inputs!$K$4:$AJ$4,0)),NA(),IF(SUMPRODUCT((Inputs!$A$5:$A$110=$B9)*ISNUMBER(INDEX(Inputs!$K$5:$AJ$110,0,MATCH(O$2,Inputs!$K$4:$AJ$4,0))))+SUMPRODUCT((Inputs!$C$5:$C$110=$B9)*ISNUMBER(INDEX(Inputs!$K$5:$AJ$110,0,MATCH(O$2,Inputs!$K$4:$AJ$4,0))))+SUMPRODUCT((Inputs!$E$5:$E$110=$B9)*ISNUMBER(INDEX(Inputs!$K$5:$AJ$110,0,MATCH(O$2,Inputs!$K$4:$AJ$4,0))))=0,NA(),SUMPRODUCT((Inputs!$A$5:$A$110=$B9)*Inputs!$B$5:$B$110*(((Inputs!$G$5:$G$110="moeda")+(Inputs!$G$5:$G$110="acoes"))*Inputs!$B$1+((Inputs!$G$5:$G$110&lt;&gt;"moeda")*(Inputs!$G$5:$G$110&lt;&gt;"acoes")))*INDEX(Inputs!$K$5:$AJ$110,0,MATCH(O$2,Inputs!$K$4:$AJ$4,0)))+SUMPRODUCT((Inputs!$C$5:$C$110=$B9)*Inputs!$D$5:$D$110*(((Inputs!$G$5:$G$110="moeda")+(Inputs!$G$5:$G$110="acoes"))*Inputs!$B$1+((Inputs!$G$5:$G$110&lt;&gt;"moeda")*(Inputs!$G$5:$G$110&lt;&gt;"acoes")))*INDEX(Inputs!$K$5:$AJ$110,0,MATCH(O$2,Inputs!$K$4:$AJ$4,0)))+SUMPRODUCT((Inputs!$E$5:$E$110=$B9)*Inputs!$F$5:$F$110*(((Inputs!$G$5:$G$110="moeda")+(Inputs!$G$5:$G$110="acoes"))*Inputs!$B$1+((Inputs!$G$5:$G$110&lt;&gt;"moeda")*(Inputs!$G$5:$G$110&lt;&gt;"acoes")))*INDEX(Inputs!$K$5:$AJ$110,0,MATCH(O$2,Inputs!$K$4:$AJ$4,0)))))</f>
        <v>108</v>
      </c>
      <c r="P9" s="6">
        <f>IF(ISNA(MATCH(P$2,Inputs!$K$4:$AJ$4,0)),NA(),IF(SUMPRODUCT((Inputs!$A$5:$A$110=$B9)*ISNUMBER(INDEX(Inputs!$K$5:$AJ$110,0,MATCH(P$2,Inputs!$K$4:$AJ$4,0))))+SUMPRODUCT((Inputs!$C$5:$C$110=$B9)*ISNUMBER(INDEX(Inputs!$K$5:$AJ$110,0,MATCH(P$2,Inputs!$K$4:$AJ$4,0))))+SUMPRODUCT((Inputs!$E$5:$E$110=$B9)*ISNUMBER(INDEX(Inputs!$K$5:$AJ$110,0,MATCH(P$2,Inputs!$K$4:$AJ$4,0))))=0,NA(),SUMPRODUCT((Inputs!$A$5:$A$110=$B9)*Inputs!$B$5:$B$110*(((Inputs!$G$5:$G$110="moeda")+(Inputs!$G$5:$G$110="acoes"))*Inputs!$B$1+((Inputs!$G$5:$G$110&lt;&gt;"moeda")*(Inputs!$G$5:$G$110&lt;&gt;"acoes")))*INDEX(Inputs!$K$5:$AJ$110,0,MATCH(P$2,Inputs!$K$4:$AJ$4,0)))+SUMPRODUCT((Inputs!$C$5:$C$110=$B9)*Inputs!$D$5:$D$110*(((Inputs!$G$5:$G$110="moeda")+(Inputs!$G$5:$G$110="acoes"))*Inputs!$B$1+((Inputs!$G$5:$G$110&lt;&gt;"moeda")*(Inputs!$G$5:$G$110&lt;&gt;"acoes")))*INDEX(Inputs!$K$5:$AJ$110,0,MATCH(P$2,Inputs!$K$4:$AJ$4,0)))+SUMPRODUCT((Inputs!$E$5:$E$110=$B9)*Inputs!$F$5:$F$110*(((Inputs!$G$5:$G$110="moeda")+(Inputs!$G$5:$G$110="acoes"))*Inputs!$B$1+((Inputs!$G$5:$G$110&lt;&gt;"moeda")*(Inputs!$G$5:$G$110&lt;&gt;"acoes")))*INDEX(Inputs!$K$5:$AJ$110,0,MATCH(P$2,Inputs!$K$4:$AJ$4,0)))))</f>
        <v>-30</v>
      </c>
      <c r="Q9" s="6">
        <f>IF(ISNA(MATCH(Q$2,Inputs!$K$4:$AJ$4,0)),NA(),IF(SUMPRODUCT((Inputs!$A$5:$A$110=$B9)*ISNUMBER(INDEX(Inputs!$K$5:$AJ$110,0,MATCH(Q$2,Inputs!$K$4:$AJ$4,0))))+SUMPRODUCT((Inputs!$C$5:$C$110=$B9)*ISNUMBER(INDEX(Inputs!$K$5:$AJ$110,0,MATCH(Q$2,Inputs!$K$4:$AJ$4,0))))+SUMPRODUCT((Inputs!$E$5:$E$110=$B9)*ISNUMBER(INDEX(Inputs!$K$5:$AJ$110,0,MATCH(Q$2,Inputs!$K$4:$AJ$4,0))))=0,NA(),SUMPRODUCT((Inputs!$A$5:$A$110=$B9)*Inputs!$B$5:$B$110*(((Inputs!$G$5:$G$110="moeda")+(Inputs!$G$5:$G$110="acoes"))*Inputs!$B$1+((Inputs!$G$5:$G$110&lt;&gt;"moeda")*(Inputs!$G$5:$G$110&lt;&gt;"acoes")))*INDEX(Inputs!$K$5:$AJ$110,0,MATCH(Q$2,Inputs!$K$4:$AJ$4,0)))+SUMPRODUCT((Inputs!$C$5:$C$110=$B9)*Inputs!$D$5:$D$110*(((Inputs!$G$5:$G$110="moeda")+(Inputs!$G$5:$G$110="acoes"))*Inputs!$B$1+((Inputs!$G$5:$G$110&lt;&gt;"moeda")*(Inputs!$G$5:$G$110&lt;&gt;"acoes")))*INDEX(Inputs!$K$5:$AJ$110,0,MATCH(Q$2,Inputs!$K$4:$AJ$4,0)))+SUMPRODUCT((Inputs!$E$5:$E$110=$B9)*Inputs!$F$5:$F$110*(((Inputs!$G$5:$G$110="moeda")+(Inputs!$G$5:$G$110="acoes"))*Inputs!$B$1+((Inputs!$G$5:$G$110&lt;&gt;"moeda")*(Inputs!$G$5:$G$110&lt;&gt;"acoes")))*INDEX(Inputs!$K$5:$AJ$110,0,MATCH(Q$2,Inputs!$K$4:$AJ$4,0)))))</f>
        <v>784</v>
      </c>
      <c r="R9" s="3">
        <f>SUM(N9:Q9)</f>
        <v>1732</v>
      </c>
      <c r="S9" s="6">
        <f>IF(ISNA(MATCH(S$2,Inputs!$K$4:$AJ$4,0)),NA(),IF(SUMPRODUCT((Inputs!$A$5:$A$110=$B9)*ISNUMBER(INDEX(Inputs!$K$5:$AJ$110,0,MATCH(S$2,Inputs!$K$4:$AJ$4,0))))+SUMPRODUCT((Inputs!$C$5:$C$110=$B9)*ISNUMBER(INDEX(Inputs!$K$5:$AJ$110,0,MATCH(S$2,Inputs!$K$4:$AJ$4,0))))+SUMPRODUCT((Inputs!$E$5:$E$110=$B9)*ISNUMBER(INDEX(Inputs!$K$5:$AJ$110,0,MATCH(S$2,Inputs!$K$4:$AJ$4,0))))=0,NA(),SUMPRODUCT((Inputs!$A$5:$A$110=$B9)*Inputs!$B$5:$B$110*(((Inputs!$G$5:$G$110="moeda")+(Inputs!$G$5:$G$110="acoes"))*Inputs!$B$1+((Inputs!$G$5:$G$110&lt;&gt;"moeda")*(Inputs!$G$5:$G$110&lt;&gt;"acoes")))*INDEX(Inputs!$K$5:$AJ$110,0,MATCH(S$2,Inputs!$K$4:$AJ$4,0)))+SUMPRODUCT((Inputs!$C$5:$C$110=$B9)*Inputs!$D$5:$D$110*(((Inputs!$G$5:$G$110="moeda")+(Inputs!$G$5:$G$110="acoes"))*Inputs!$B$1+((Inputs!$G$5:$G$110&lt;&gt;"moeda")*(Inputs!$G$5:$G$110&lt;&gt;"acoes")))*INDEX(Inputs!$K$5:$AJ$110,0,MATCH(S$2,Inputs!$K$4:$AJ$4,0)))+SUMPRODUCT((Inputs!$E$5:$E$110=$B9)*Inputs!$F$5:$F$110*(((Inputs!$G$5:$G$110="moeda")+(Inputs!$G$5:$G$110="acoes"))*Inputs!$B$1+((Inputs!$G$5:$G$110&lt;&gt;"moeda")*(Inputs!$G$5:$G$110&lt;&gt;"acoes")))*INDEX(Inputs!$K$5:$AJ$110,0,MATCH(S$2,Inputs!$K$4:$AJ$4,0)))))</f>
        <v>2937</v>
      </c>
      <c r="T9" s="6">
        <f>IF(ISNA(MATCH(T$2,Inputs!$K$4:$AJ$4,0)),NA(),IF(SUMPRODUCT((Inputs!$A$5:$A$110=$B9)*ISNUMBER(INDEX(Inputs!$K$5:$AJ$110,0,MATCH(T$2,Inputs!$K$4:$AJ$4,0))))+SUMPRODUCT((Inputs!$C$5:$C$110=$B9)*ISNUMBER(INDEX(Inputs!$K$5:$AJ$110,0,MATCH(T$2,Inputs!$K$4:$AJ$4,0))))+SUMPRODUCT((Inputs!$E$5:$E$110=$B9)*ISNUMBER(INDEX(Inputs!$K$5:$AJ$110,0,MATCH(T$2,Inputs!$K$4:$AJ$4,0))))=0,NA(),SUMPRODUCT((Inputs!$A$5:$A$110=$B9)*Inputs!$B$5:$B$110*(((Inputs!$G$5:$G$110="moeda")+(Inputs!$G$5:$G$110="acoes"))*Inputs!$B$1+((Inputs!$G$5:$G$110&lt;&gt;"moeda")*(Inputs!$G$5:$G$110&lt;&gt;"acoes")))*INDEX(Inputs!$K$5:$AJ$110,0,MATCH(T$2,Inputs!$K$4:$AJ$4,0)))+SUMPRODUCT((Inputs!$C$5:$C$110=$B9)*Inputs!$D$5:$D$110*(((Inputs!$G$5:$G$110="moeda")+(Inputs!$G$5:$G$110="acoes"))*Inputs!$B$1+((Inputs!$G$5:$G$110&lt;&gt;"moeda")*(Inputs!$G$5:$G$110&lt;&gt;"acoes")))*INDEX(Inputs!$K$5:$AJ$110,0,MATCH(T$2,Inputs!$K$4:$AJ$4,0)))+SUMPRODUCT((Inputs!$E$5:$E$110=$B9)*Inputs!$F$5:$F$110*(((Inputs!$G$5:$G$110="moeda")+(Inputs!$G$5:$G$110="acoes"))*Inputs!$B$1+((Inputs!$G$5:$G$110&lt;&gt;"moeda")*(Inputs!$G$5:$G$110&lt;&gt;"acoes")))*INDEX(Inputs!$K$5:$AJ$110,0,MATCH(T$2,Inputs!$K$4:$AJ$4,0)))))</f>
        <v>193</v>
      </c>
      <c r="U9" s="6">
        <f>IF(ISNA(MATCH(U$2,Inputs!$K$4:$AJ$4,0)),NA(),IF(SUMPRODUCT((Inputs!$A$5:$A$110=$B9)*ISNUMBER(INDEX(Inputs!$K$5:$AJ$110,0,MATCH(U$2,Inputs!$K$4:$AJ$4,0))))+SUMPRODUCT((Inputs!$C$5:$C$110=$B9)*ISNUMBER(INDEX(Inputs!$K$5:$AJ$110,0,MATCH(U$2,Inputs!$K$4:$AJ$4,0))))+SUMPRODUCT((Inputs!$E$5:$E$110=$B9)*ISNUMBER(INDEX(Inputs!$K$5:$AJ$110,0,MATCH(U$2,Inputs!$K$4:$AJ$4,0))))=0,NA(),SUMPRODUCT((Inputs!$A$5:$A$110=$B9)*Inputs!$B$5:$B$110*(((Inputs!$G$5:$G$110="moeda")+(Inputs!$G$5:$G$110="acoes"))*Inputs!$B$1+((Inputs!$G$5:$G$110&lt;&gt;"moeda")*(Inputs!$G$5:$G$110&lt;&gt;"acoes")))*INDEX(Inputs!$K$5:$AJ$110,0,MATCH(U$2,Inputs!$K$4:$AJ$4,0)))+SUMPRODUCT((Inputs!$C$5:$C$110=$B9)*Inputs!$D$5:$D$110*(((Inputs!$G$5:$G$110="moeda")+(Inputs!$G$5:$G$110="acoes"))*Inputs!$B$1+((Inputs!$G$5:$G$110&lt;&gt;"moeda")*(Inputs!$G$5:$G$110&lt;&gt;"acoes")))*INDEX(Inputs!$K$5:$AJ$110,0,MATCH(U$2,Inputs!$K$4:$AJ$4,0)))+SUMPRODUCT((Inputs!$E$5:$E$110=$B9)*Inputs!$F$5:$F$110*(((Inputs!$G$5:$G$110="moeda")+(Inputs!$G$5:$G$110="acoes"))*Inputs!$B$1+((Inputs!$G$5:$G$110&lt;&gt;"moeda")*(Inputs!$G$5:$G$110&lt;&gt;"acoes")))*INDEX(Inputs!$K$5:$AJ$110,0,MATCH(U$2,Inputs!$K$4:$AJ$4,0)))))</f>
        <v>3239</v>
      </c>
      <c r="V9" s="6">
        <f>IF(ISNA(MATCH(V$2,Inputs!$K$4:$AJ$4,0)),NA(),IF(SUMPRODUCT((Inputs!$A$5:$A$110=$B9)*ISNUMBER(INDEX(Inputs!$K$5:$AJ$110,0,MATCH(V$2,Inputs!$K$4:$AJ$4,0))))+SUMPRODUCT((Inputs!$C$5:$C$110=$B9)*ISNUMBER(INDEX(Inputs!$K$5:$AJ$110,0,MATCH(V$2,Inputs!$K$4:$AJ$4,0))))+SUMPRODUCT((Inputs!$E$5:$E$110=$B9)*ISNUMBER(INDEX(Inputs!$K$5:$AJ$110,0,MATCH(V$2,Inputs!$K$4:$AJ$4,0))))=0,NA(),SUMPRODUCT((Inputs!$A$5:$A$110=$B9)*Inputs!$B$5:$B$110*(((Inputs!$G$5:$G$110="moeda")+(Inputs!$G$5:$G$110="acoes"))*Inputs!$B$1+((Inputs!$G$5:$G$110&lt;&gt;"moeda")*(Inputs!$G$5:$G$110&lt;&gt;"acoes")))*INDEX(Inputs!$K$5:$AJ$110,0,MATCH(V$2,Inputs!$K$4:$AJ$4,0)))+SUMPRODUCT((Inputs!$C$5:$C$110=$B9)*Inputs!$D$5:$D$110*(((Inputs!$G$5:$G$110="moeda")+(Inputs!$G$5:$G$110="acoes"))*Inputs!$B$1+((Inputs!$G$5:$G$110&lt;&gt;"moeda")*(Inputs!$G$5:$G$110&lt;&gt;"acoes")))*INDEX(Inputs!$K$5:$AJ$110,0,MATCH(V$2,Inputs!$K$4:$AJ$4,0)))+SUMPRODUCT((Inputs!$E$5:$E$110=$B9)*Inputs!$F$5:$F$110*(((Inputs!$G$5:$G$110="moeda")+(Inputs!$G$5:$G$110="acoes"))*Inputs!$B$1+((Inputs!$G$5:$G$110&lt;&gt;"moeda")*(Inputs!$G$5:$G$110&lt;&gt;"acoes")))*INDEX(Inputs!$K$5:$AJ$110,0,MATCH(V$2,Inputs!$K$4:$AJ$4,0)))))</f>
        <v>1324</v>
      </c>
      <c r="W9" s="3">
        <f>SUM(S9:V9)</f>
        <v>7693</v>
      </c>
      <c r="X9" s="6">
        <f>IF(ISNA(MATCH(X$2,Inputs!$K$4:$AJ$4,0)),NA(),IF(SUMPRODUCT((Inputs!$A$5:$A$110=$B9)*ISNUMBER(INDEX(Inputs!$K$5:$AJ$110,0,MATCH(X$2,Inputs!$K$4:$AJ$4,0))))+SUMPRODUCT((Inputs!$C$5:$C$110=$B9)*ISNUMBER(INDEX(Inputs!$K$5:$AJ$110,0,MATCH(X$2,Inputs!$K$4:$AJ$4,0))))+SUMPRODUCT((Inputs!$E$5:$E$110=$B9)*ISNUMBER(INDEX(Inputs!$K$5:$AJ$110,0,MATCH(X$2,Inputs!$K$4:$AJ$4,0))))=0,NA(),SUMPRODUCT((Inputs!$A$5:$A$110=$B9)*Inputs!$B$5:$B$110*(((Inputs!$G$5:$G$110="moeda")+(Inputs!$G$5:$G$110="acoes"))*Inputs!$B$1+((Inputs!$G$5:$G$110&lt;&gt;"moeda")*(Inputs!$G$5:$G$110&lt;&gt;"acoes")))*INDEX(Inputs!$K$5:$AJ$110,0,MATCH(X$2,Inputs!$K$4:$AJ$4,0)))+SUMPRODUCT((Inputs!$C$5:$C$110=$B9)*Inputs!$D$5:$D$110*(((Inputs!$G$5:$G$110="moeda")+(Inputs!$G$5:$G$110="acoes"))*Inputs!$B$1+((Inputs!$G$5:$G$110&lt;&gt;"moeda")*(Inputs!$G$5:$G$110&lt;&gt;"acoes")))*INDEX(Inputs!$K$5:$AJ$110,0,MATCH(X$2,Inputs!$K$4:$AJ$4,0)))+SUMPRODUCT((Inputs!$E$5:$E$110=$B9)*Inputs!$F$5:$F$110*(((Inputs!$G$5:$G$110="moeda")+(Inputs!$G$5:$G$110="acoes"))*Inputs!$B$1+((Inputs!$G$5:$G$110&lt;&gt;"moeda")*(Inputs!$G$5:$G$110&lt;&gt;"acoes")))*INDEX(Inputs!$K$5:$AJ$110,0,MATCH(X$2,Inputs!$K$4:$AJ$4,0)))))</f>
        <v>11217</v>
      </c>
      <c r="Y9" s="6">
        <f>IF(ISNA(MATCH(Y$2,Inputs!$K$4:$AJ$4,0)),NA(),IF(SUMPRODUCT((Inputs!$A$5:$A$110=$B9)*ISNUMBER(INDEX(Inputs!$K$5:$AJ$110,0,MATCH(Y$2,Inputs!$K$4:$AJ$4,0))))+SUMPRODUCT((Inputs!$C$5:$C$110=$B9)*ISNUMBER(INDEX(Inputs!$K$5:$AJ$110,0,MATCH(Y$2,Inputs!$K$4:$AJ$4,0))))+SUMPRODUCT((Inputs!$E$5:$E$110=$B9)*ISNUMBER(INDEX(Inputs!$K$5:$AJ$110,0,MATCH(Y$2,Inputs!$K$4:$AJ$4,0))))=0,NA(),SUMPRODUCT((Inputs!$A$5:$A$110=$B9)*Inputs!$B$5:$B$110*(((Inputs!$G$5:$G$110="moeda")+(Inputs!$G$5:$G$110="acoes"))*Inputs!$B$1+((Inputs!$G$5:$G$110&lt;&gt;"moeda")*(Inputs!$G$5:$G$110&lt;&gt;"acoes")))*INDEX(Inputs!$K$5:$AJ$110,0,MATCH(Y$2,Inputs!$K$4:$AJ$4,0)))+SUMPRODUCT((Inputs!$C$5:$C$110=$B9)*Inputs!$D$5:$D$110*(((Inputs!$G$5:$G$110="moeda")+(Inputs!$G$5:$G$110="acoes"))*Inputs!$B$1+((Inputs!$G$5:$G$110&lt;&gt;"moeda")*(Inputs!$G$5:$G$110&lt;&gt;"acoes")))*INDEX(Inputs!$K$5:$AJ$110,0,MATCH(Y$2,Inputs!$K$4:$AJ$4,0)))+SUMPRODUCT((Inputs!$E$5:$E$110=$B9)*Inputs!$F$5:$F$110*(((Inputs!$G$5:$G$110="moeda")+(Inputs!$G$5:$G$110="acoes"))*Inputs!$B$1+((Inputs!$G$5:$G$110&lt;&gt;"moeda")*(Inputs!$G$5:$G$110&lt;&gt;"acoes")))*INDEX(Inputs!$K$5:$AJ$110,0,MATCH(Y$2,Inputs!$K$4:$AJ$4,0)))))</f>
        <v>2923</v>
      </c>
      <c r="Z9" s="6">
        <f>IF(ISNA(MATCH(Z$2,Inputs!$K$4:$AJ$4,0)),NA(),IF(SUMPRODUCT((Inputs!$A$5:$A$110=$B9)*ISNUMBER(INDEX(Inputs!$K$5:$AJ$110,0,MATCH(Z$2,Inputs!$K$4:$AJ$4,0))))+SUMPRODUCT((Inputs!$C$5:$C$110=$B9)*ISNUMBER(INDEX(Inputs!$K$5:$AJ$110,0,MATCH(Z$2,Inputs!$K$4:$AJ$4,0))))+SUMPRODUCT((Inputs!$E$5:$E$110=$B9)*ISNUMBER(INDEX(Inputs!$K$5:$AJ$110,0,MATCH(Z$2,Inputs!$K$4:$AJ$4,0))))=0,NA(),SUMPRODUCT((Inputs!$A$5:$A$110=$B9)*Inputs!$B$5:$B$110*(((Inputs!$G$5:$G$110="moeda")+(Inputs!$G$5:$G$110="acoes"))*Inputs!$B$1+((Inputs!$G$5:$G$110&lt;&gt;"moeda")*(Inputs!$G$5:$G$110&lt;&gt;"acoes")))*INDEX(Inputs!$K$5:$AJ$110,0,MATCH(Z$2,Inputs!$K$4:$AJ$4,0)))+SUMPRODUCT((Inputs!$C$5:$C$110=$B9)*Inputs!$D$5:$D$110*(((Inputs!$G$5:$G$110="moeda")+(Inputs!$G$5:$G$110="acoes"))*Inputs!$B$1+((Inputs!$G$5:$G$110&lt;&gt;"moeda")*(Inputs!$G$5:$G$110&lt;&gt;"acoes")))*INDEX(Inputs!$K$5:$AJ$110,0,MATCH(Z$2,Inputs!$K$4:$AJ$4,0)))+SUMPRODUCT((Inputs!$E$5:$E$110=$B9)*Inputs!$F$5:$F$110*(((Inputs!$G$5:$G$110="moeda")+(Inputs!$G$5:$G$110="acoes"))*Inputs!$B$1+((Inputs!$G$5:$G$110&lt;&gt;"moeda")*(Inputs!$G$5:$G$110&lt;&gt;"acoes")))*INDEX(Inputs!$K$5:$AJ$110,0,MATCH(Z$2,Inputs!$K$4:$AJ$4,0)))))</f>
        <v>12902</v>
      </c>
      <c r="AA9" s="6">
        <f>IF(ISNA(MATCH(AA$2,Inputs!$K$4:$AJ$4,0)),NA(),IF(SUMPRODUCT((Inputs!$A$5:$A$110=$B9)*ISNUMBER(INDEX(Inputs!$K$5:$AJ$110,0,MATCH(AA$2,Inputs!$K$4:$AJ$4,0))))+SUMPRODUCT((Inputs!$C$5:$C$110=$B9)*ISNUMBER(INDEX(Inputs!$K$5:$AJ$110,0,MATCH(AA$2,Inputs!$K$4:$AJ$4,0))))+SUMPRODUCT((Inputs!$E$5:$E$110=$B9)*ISNUMBER(INDEX(Inputs!$K$5:$AJ$110,0,MATCH(AA$2,Inputs!$K$4:$AJ$4,0))))=0,NA(),SUMPRODUCT((Inputs!$A$5:$A$110=$B9)*Inputs!$B$5:$B$110*(((Inputs!$G$5:$G$110="moeda")+(Inputs!$G$5:$G$110="acoes"))*Inputs!$B$1+((Inputs!$G$5:$G$110&lt;&gt;"moeda")*(Inputs!$G$5:$G$110&lt;&gt;"acoes")))*INDEX(Inputs!$K$5:$AJ$110,0,MATCH(AA$2,Inputs!$K$4:$AJ$4,0)))+SUMPRODUCT((Inputs!$C$5:$C$110=$B9)*Inputs!$D$5:$D$110*(((Inputs!$G$5:$G$110="moeda")+(Inputs!$G$5:$G$110="acoes"))*Inputs!$B$1+((Inputs!$G$5:$G$110&lt;&gt;"moeda")*(Inputs!$G$5:$G$110&lt;&gt;"acoes")))*INDEX(Inputs!$K$5:$AJ$110,0,MATCH(AA$2,Inputs!$K$4:$AJ$4,0)))+SUMPRODUCT((Inputs!$E$5:$E$110=$B9)*Inputs!$F$5:$F$110*(((Inputs!$G$5:$G$110="moeda")+(Inputs!$G$5:$G$110="acoes"))*Inputs!$B$1+((Inputs!$G$5:$G$110&lt;&gt;"moeda")*(Inputs!$G$5:$G$110&lt;&gt;"acoes")))*INDEX(Inputs!$K$5:$AJ$110,0,MATCH(AA$2,Inputs!$K$4:$AJ$4,0)))))</f>
        <v>3481</v>
      </c>
      <c r="AB9" s="3">
        <f>SUM(X9:AA9)</f>
        <v>30523</v>
      </c>
      <c r="AC9" s="6">
        <f>IF(ISNA(MATCH(AC$2,Inputs!$K$4:$AJ$4,0)),NA(),IF(SUMPRODUCT((Inputs!$A$5:$A$110=$B9)*ISNUMBER(INDEX(Inputs!$K$5:$AJ$110,0,MATCH(AC$2,Inputs!$K$4:$AJ$4,0))))+SUMPRODUCT((Inputs!$C$5:$C$110=$B9)*ISNUMBER(INDEX(Inputs!$K$5:$AJ$110,0,MATCH(AC$2,Inputs!$K$4:$AJ$4,0))))+SUMPRODUCT((Inputs!$E$5:$E$110=$B9)*ISNUMBER(INDEX(Inputs!$K$5:$AJ$110,0,MATCH(AC$2,Inputs!$K$4:$AJ$4,0))))=0,NA(),SUMPRODUCT((Inputs!$A$5:$A$110=$B9)*Inputs!$B$5:$B$110*(((Inputs!$G$5:$G$110="moeda")+(Inputs!$G$5:$G$110="acoes"))*Inputs!$B$1+((Inputs!$G$5:$G$110&lt;&gt;"moeda")*(Inputs!$G$5:$G$110&lt;&gt;"acoes")))*INDEX(Inputs!$K$5:$AJ$110,0,MATCH(AC$2,Inputs!$K$4:$AJ$4,0)))+SUMPRODUCT((Inputs!$C$5:$C$110=$B9)*Inputs!$D$5:$D$110*(((Inputs!$G$5:$G$110="moeda")+(Inputs!$G$5:$G$110="acoes"))*Inputs!$B$1+((Inputs!$G$5:$G$110&lt;&gt;"moeda")*(Inputs!$G$5:$G$110&lt;&gt;"acoes")))*INDEX(Inputs!$K$5:$AJ$110,0,MATCH(AC$2,Inputs!$K$4:$AJ$4,0)))+SUMPRODUCT((Inputs!$E$5:$E$110=$B9)*Inputs!$F$5:$F$110*(((Inputs!$G$5:$G$110="moeda")+(Inputs!$G$5:$G$110="acoes"))*Inputs!$B$1+((Inputs!$G$5:$G$110&lt;&gt;"moeda")*(Inputs!$G$5:$G$110&lt;&gt;"acoes")))*INDEX(Inputs!$K$5:$AJ$110,0,MATCH(AC$2,Inputs!$K$4:$AJ$4,0)))))</f>
        <v>38249</v>
      </c>
      <c r="AD9" s="6">
        <f>IF(ISNA(MATCH(AD$2,Inputs!$K$4:$AJ$4,0)),NA(),IF(SUMPRODUCT((Inputs!$A$5:$A$110=$B9)*ISNUMBER(INDEX(Inputs!$K$5:$AJ$110,0,MATCH(AD$2,Inputs!$K$4:$AJ$4,0))))+SUMPRODUCT((Inputs!$C$5:$C$110=$B9)*ISNUMBER(INDEX(Inputs!$K$5:$AJ$110,0,MATCH(AD$2,Inputs!$K$4:$AJ$4,0))))+SUMPRODUCT((Inputs!$E$5:$E$110=$B9)*ISNUMBER(INDEX(Inputs!$K$5:$AJ$110,0,MATCH(AD$2,Inputs!$K$4:$AJ$4,0))))=0,NA(),SUMPRODUCT((Inputs!$A$5:$A$110=$B9)*Inputs!$B$5:$B$110*(((Inputs!$G$5:$G$110="moeda")+(Inputs!$G$5:$G$110="acoes"))*Inputs!$B$1+((Inputs!$G$5:$G$110&lt;&gt;"moeda")*(Inputs!$G$5:$G$110&lt;&gt;"acoes")))*INDEX(Inputs!$K$5:$AJ$110,0,MATCH(AD$2,Inputs!$K$4:$AJ$4,0)))+SUMPRODUCT((Inputs!$C$5:$C$110=$B9)*Inputs!$D$5:$D$110*(((Inputs!$G$5:$G$110="moeda")+(Inputs!$G$5:$G$110="acoes"))*Inputs!$B$1+((Inputs!$G$5:$G$110&lt;&gt;"moeda")*(Inputs!$G$5:$G$110&lt;&gt;"acoes")))*INDEX(Inputs!$K$5:$AJ$110,0,MATCH(AD$2,Inputs!$K$4:$AJ$4,0)))+SUMPRODUCT((Inputs!$E$5:$E$110=$B9)*Inputs!$F$5:$F$110*(((Inputs!$G$5:$G$110="moeda")+(Inputs!$G$5:$G$110="acoes"))*Inputs!$B$1+((Inputs!$G$5:$G$110&lt;&gt;"moeda")*(Inputs!$G$5:$G$110&lt;&gt;"acoes")))*INDEX(Inputs!$K$5:$AJ$110,0,MATCH(AD$2,Inputs!$K$4:$AJ$4,0)))))</f>
        <v>99261</v>
      </c>
      <c r="AE9" s="6" t="e">
        <f>IF(ISNA(MATCH(AE$2,Inputs!$K$4:$AJ$4,0)),NA(),IF(SUMPRODUCT((Inputs!$A$5:$A$110=$B9)*ISNUMBER(INDEX(Inputs!$K$5:$AJ$110,0,MATCH(AE$2,Inputs!$K$4:$AJ$4,0))))+SUMPRODUCT((Inputs!$C$5:$C$110=$B9)*ISNUMBER(INDEX(Inputs!$K$5:$AJ$110,0,MATCH(AE$2,Inputs!$K$4:$AJ$4,0))))+SUMPRODUCT((Inputs!$E$5:$E$110=$B9)*ISNUMBER(INDEX(Inputs!$K$5:$AJ$110,0,MATCH(AE$2,Inputs!$K$4:$AJ$4,0))))=0,NA(),SUMPRODUCT((Inputs!$A$5:$A$110=$B9)*Inputs!$B$5:$B$110*(((Inputs!$G$5:$G$110="moeda")+(Inputs!$G$5:$G$110="acoes"))*Inputs!$B$1+((Inputs!$G$5:$G$110&lt;&gt;"moeda")*(Inputs!$G$5:$G$110&lt;&gt;"acoes")))*INDEX(Inputs!$K$5:$AJ$110,0,MATCH(AE$2,Inputs!$K$4:$AJ$4,0)))+SUMPRODUCT((Inputs!$C$5:$C$110=$B9)*Inputs!$D$5:$D$110*(((Inputs!$G$5:$G$110="moeda")+(Inputs!$G$5:$G$110="acoes"))*Inputs!$B$1+((Inputs!$G$5:$G$110&lt;&gt;"moeda")*(Inputs!$G$5:$G$110&lt;&gt;"acoes")))*INDEX(Inputs!$K$5:$AJ$110,0,MATCH(AE$2,Inputs!$K$4:$AJ$4,0)))+SUMPRODUCT((Inputs!$E$5:$E$110=$B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9" s="6" t="e">
        <f>IF(ISNA(MATCH(AF$2,Inputs!$K$4:$AJ$4,0)),NA(),IF(SUMPRODUCT((Inputs!$A$5:$A$110=$B9)*ISNUMBER(INDEX(Inputs!$K$5:$AJ$110,0,MATCH(AF$2,Inputs!$K$4:$AJ$4,0))))+SUMPRODUCT((Inputs!$C$5:$C$110=$B9)*ISNUMBER(INDEX(Inputs!$K$5:$AJ$110,0,MATCH(AF$2,Inputs!$K$4:$AJ$4,0))))+SUMPRODUCT((Inputs!$E$5:$E$110=$B9)*ISNUMBER(INDEX(Inputs!$K$5:$AJ$110,0,MATCH(AF$2,Inputs!$K$4:$AJ$4,0))))=0,NA(),SUMPRODUCT((Inputs!$A$5:$A$110=$B9)*Inputs!$B$5:$B$110*(((Inputs!$G$5:$G$110="moeda")+(Inputs!$G$5:$G$110="acoes"))*Inputs!$B$1+((Inputs!$G$5:$G$110&lt;&gt;"moeda")*(Inputs!$G$5:$G$110&lt;&gt;"acoes")))*INDEX(Inputs!$K$5:$AJ$110,0,MATCH(AF$2,Inputs!$K$4:$AJ$4,0)))+SUMPRODUCT((Inputs!$C$5:$C$110=$B9)*Inputs!$D$5:$D$110*(((Inputs!$G$5:$G$110="moeda")+(Inputs!$G$5:$G$110="acoes"))*Inputs!$B$1+((Inputs!$G$5:$G$110&lt;&gt;"moeda")*(Inputs!$G$5:$G$110&lt;&gt;"acoes")))*INDEX(Inputs!$K$5:$AJ$110,0,MATCH(AF$2,Inputs!$K$4:$AJ$4,0)))+SUMPRODUCT((Inputs!$E$5:$E$110=$B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9" s="3" t="e">
        <f>SUM(AC9:AF9)</f>
        <v>#N/A</v>
      </c>
      <c r="AH9" s="6">
        <f>IF(ISNA(MATCH(AH$2,Inputs!$K$4:$AJ$4,0)),NA(),IF(SUMPRODUCT((Inputs!$A$5:$A$110=$B9)*ISNUMBER(INDEX(Inputs!$K$5:$AJ$110,0,MATCH(AH$2,Inputs!$K$4:$AJ$4,0))))+SUMPRODUCT((Inputs!$C$5:$C$110=$B9)*ISNUMBER(INDEX(Inputs!$K$5:$AJ$110,0,MATCH(AH$2,Inputs!$K$4:$AJ$4,0))))+SUMPRODUCT((Inputs!$E$5:$E$110=$B9)*ISNUMBER(INDEX(Inputs!$K$5:$AJ$110,0,MATCH(AH$2,Inputs!$K$4:$AJ$4,0))))=0,NA(),SUMPRODUCT((Inputs!$A$5:$A$110=$B9)*Inputs!$B$5:$B$110*(((Inputs!$G$5:$G$110="moeda")+(Inputs!$G$5:$G$110="acoes"))*Inputs!$B$1+((Inputs!$G$5:$G$110&lt;&gt;"moeda")*(Inputs!$G$5:$G$110&lt;&gt;"acoes")))*INDEX(Inputs!$K$5:$AJ$110,0,MATCH(AH$2,Inputs!$K$4:$AJ$4,0)))+SUMPRODUCT((Inputs!$C$5:$C$110=$B9)*Inputs!$D$5:$D$110*(((Inputs!$G$5:$G$110="moeda")+(Inputs!$G$5:$G$110="acoes"))*Inputs!$B$1+((Inputs!$G$5:$G$110&lt;&gt;"moeda")*(Inputs!$G$5:$G$110&lt;&gt;"acoes")))*INDEX(Inputs!$K$5:$AJ$110,0,MATCH(AH$2,Inputs!$K$4:$AJ$4,0)))+SUMPRODUCT((Inputs!$E$5:$E$110=$B9)*Inputs!$F$5:$F$110*(((Inputs!$G$5:$G$110="moeda")+(Inputs!$G$5:$G$110="acoes"))*Inputs!$B$1+((Inputs!$G$5:$G$110&lt;&gt;"moeda")*(Inputs!$G$5:$G$110&lt;&gt;"acoes")))*INDEX(Inputs!$K$5:$AJ$110,0,MATCH(AH$2,Inputs!$K$4:$AJ$4,0)))))</f>
        <v>-199</v>
      </c>
      <c r="AI9" s="6">
        <f>IF(ISNA(MATCH(AI$2,Inputs!$K$4:$AJ$4,0)),NA(),IF(SUMPRODUCT((Inputs!$A$5:$A$110=$B9)*ISNUMBER(INDEX(Inputs!$K$5:$AJ$110,0,MATCH(AI$2,Inputs!$K$4:$AJ$4,0))))+SUMPRODUCT((Inputs!$C$5:$C$110=$B9)*ISNUMBER(INDEX(Inputs!$K$5:$AJ$110,0,MATCH(AI$2,Inputs!$K$4:$AJ$4,0))))+SUMPRODUCT((Inputs!$E$5:$E$110=$B9)*ISNUMBER(INDEX(Inputs!$K$5:$AJ$110,0,MATCH(AI$2,Inputs!$K$4:$AJ$4,0))))=0,NA(),SUMPRODUCT((Inputs!$A$5:$A$110=$B9)*Inputs!$B$5:$B$110*(((Inputs!$G$5:$G$110="moeda")+(Inputs!$G$5:$G$110="acoes"))*Inputs!$B$1+((Inputs!$G$5:$G$110&lt;&gt;"moeda")*(Inputs!$G$5:$G$110&lt;&gt;"acoes")))*INDEX(Inputs!$K$5:$AJ$110,0,MATCH(AI$2,Inputs!$K$4:$AJ$4,0)))+SUMPRODUCT((Inputs!$C$5:$C$110=$B9)*Inputs!$D$5:$D$110*(((Inputs!$G$5:$G$110="moeda")+(Inputs!$G$5:$G$110="acoes"))*Inputs!$B$1+((Inputs!$G$5:$G$110&lt;&gt;"moeda")*(Inputs!$G$5:$G$110&lt;&gt;"acoes")))*INDEX(Inputs!$K$5:$AJ$110,0,MATCH(AI$2,Inputs!$K$4:$AJ$4,0)))+SUMPRODUCT((Inputs!$E$5:$E$110=$B9)*Inputs!$F$5:$F$110*(((Inputs!$G$5:$G$110="moeda")+(Inputs!$G$5:$G$110="acoes"))*Inputs!$B$1+((Inputs!$G$5:$G$110&lt;&gt;"moeda")*(Inputs!$G$5:$G$110&lt;&gt;"acoes")))*INDEX(Inputs!$K$5:$AJ$110,0,MATCH(AI$2,Inputs!$K$4:$AJ$4,0)))))</f>
        <v>1907</v>
      </c>
      <c r="AJ9" s="6">
        <f>IF(ISNA(MATCH(AJ$2,Inputs!$K$4:$AJ$4,0)),NA(),IF(SUMPRODUCT((Inputs!$A$5:$A$110=$B9)*ISNUMBER(INDEX(Inputs!$K$5:$AJ$110,0,MATCH(AJ$2,Inputs!$K$4:$AJ$4,0))))+SUMPRODUCT((Inputs!$C$5:$C$110=$B9)*ISNUMBER(INDEX(Inputs!$K$5:$AJ$110,0,MATCH(AJ$2,Inputs!$K$4:$AJ$4,0))))+SUMPRODUCT((Inputs!$E$5:$E$110=$B9)*ISNUMBER(INDEX(Inputs!$K$5:$AJ$110,0,MATCH(AJ$2,Inputs!$K$4:$AJ$4,0))))=0,NA(),SUMPRODUCT((Inputs!$A$5:$A$110=$B9)*Inputs!$B$5:$B$110*(((Inputs!$G$5:$G$110="moeda")+(Inputs!$G$5:$G$110="acoes"))*Inputs!$B$1+((Inputs!$G$5:$G$110&lt;&gt;"moeda")*(Inputs!$G$5:$G$110&lt;&gt;"acoes")))*INDEX(Inputs!$K$5:$AJ$110,0,MATCH(AJ$2,Inputs!$K$4:$AJ$4,0)))+SUMPRODUCT((Inputs!$C$5:$C$110=$B9)*Inputs!$D$5:$D$110*(((Inputs!$G$5:$G$110="moeda")+(Inputs!$G$5:$G$110="acoes"))*Inputs!$B$1+((Inputs!$G$5:$G$110&lt;&gt;"moeda")*(Inputs!$G$5:$G$110&lt;&gt;"acoes")))*INDEX(Inputs!$K$5:$AJ$110,0,MATCH(AJ$2,Inputs!$K$4:$AJ$4,0)))+SUMPRODUCT((Inputs!$E$5:$E$110=$B9)*Inputs!$F$5:$F$110*(((Inputs!$G$5:$G$110="moeda")+(Inputs!$G$5:$G$110="acoes"))*Inputs!$B$1+((Inputs!$G$5:$G$110&lt;&gt;"moeda")*(Inputs!$G$5:$G$110&lt;&gt;"acoes")))*INDEX(Inputs!$K$5:$AJ$110,0,MATCH(AJ$2,Inputs!$K$4:$AJ$4,0)))))</f>
        <v>2194</v>
      </c>
      <c r="AK9" s="6">
        <f>IF(ISNA(MATCH(AK$2,Inputs!$K$4:$AJ$4,0)),NA(),IF(SUMPRODUCT((Inputs!$A$5:$A$110=$B9)*ISNUMBER(INDEX(Inputs!$K$5:$AJ$110,0,MATCH(AK$2,Inputs!$K$4:$AJ$4,0))))+SUMPRODUCT((Inputs!$C$5:$C$110=$B9)*ISNUMBER(INDEX(Inputs!$K$5:$AJ$110,0,MATCH(AK$2,Inputs!$K$4:$AJ$4,0))))+SUMPRODUCT((Inputs!$E$5:$E$110=$B9)*ISNUMBER(INDEX(Inputs!$K$5:$AJ$110,0,MATCH(AK$2,Inputs!$K$4:$AJ$4,0))))=0,NA(),SUMPRODUCT((Inputs!$A$5:$A$110=$B9)*Inputs!$B$5:$B$110*(((Inputs!$G$5:$G$110="moeda")+(Inputs!$G$5:$G$110="acoes"))*Inputs!$B$1+((Inputs!$G$5:$G$110&lt;&gt;"moeda")*(Inputs!$G$5:$G$110&lt;&gt;"acoes")))*INDEX(Inputs!$K$5:$AJ$110,0,MATCH(AK$2,Inputs!$K$4:$AJ$4,0)))+SUMPRODUCT((Inputs!$C$5:$C$110=$B9)*Inputs!$D$5:$D$110*(((Inputs!$G$5:$G$110="moeda")+(Inputs!$G$5:$G$110="acoes"))*Inputs!$B$1+((Inputs!$G$5:$G$110&lt;&gt;"moeda")*(Inputs!$G$5:$G$110&lt;&gt;"acoes")))*INDEX(Inputs!$K$5:$AJ$110,0,MATCH(AK$2,Inputs!$K$4:$AJ$4,0)))+SUMPRODUCT((Inputs!$E$5:$E$110=$B9)*Inputs!$F$5:$F$110*(((Inputs!$G$5:$G$110="moeda")+(Inputs!$G$5:$G$110="acoes"))*Inputs!$B$1+((Inputs!$G$5:$G$110&lt;&gt;"moeda")*(Inputs!$G$5:$G$110&lt;&gt;"acoes")))*INDEX(Inputs!$K$5:$AJ$110,0,MATCH(AK$2,Inputs!$K$4:$AJ$4,0)))))</f>
        <v>3091</v>
      </c>
      <c r="AL9" s="3">
        <f>SUM(AH9:AK9)</f>
        <v>6993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$110=$B10)*ISNUMBER(INDEX(Inputs!$K$5:$AJ$110,0,MATCH(D$2,Inputs!$K$4:$AJ$4,0))))+SUMPRODUCT((Inputs!$C$5:$C$110=$B10)*ISNUMBER(INDEX(Inputs!$K$5:$AJ$110,0,MATCH(D$2,Inputs!$K$4:$AJ$4,0))))+SUMPRODUCT((Inputs!$E$5:$E$110=$B10)*ISNUMBER(INDEX(Inputs!$K$5:$AJ$110,0,MATCH(D$2,Inputs!$K$4:$AJ$4,0))))=0,NA(),SUMPRODUCT((Inputs!$A$5:$A$110=$B10)*Inputs!$B$5:$B$110*(((Inputs!$G$5:$G$110="moeda")+(Inputs!$G$5:$G$110="acoes"))*Inputs!$B$1+((Inputs!$G$5:$G$110&lt;&gt;"moeda")*(Inputs!$G$5:$G$110&lt;&gt;"acoes")))*INDEX(Inputs!$K$5:$AJ$110,0,MATCH(D$2,Inputs!$K$4:$AJ$4,0)))+SUMPRODUCT((Inputs!$C$5:$C$110=$B10)*Inputs!$D$5:$D$110*(((Inputs!$G$5:$G$110="moeda")+(Inputs!$G$5:$G$110="acoes"))*Inputs!$B$1+((Inputs!$G$5:$G$110&lt;&gt;"moeda")*(Inputs!$G$5:$G$110&lt;&gt;"acoes")))*INDEX(Inputs!$K$5:$AJ$110,0,MATCH(D$2,Inputs!$K$4:$AJ$4,0)))+SUMPRODUCT((Inputs!$E$5:$E$110=$B10)*Inputs!$F$5:$F$110*(((Inputs!$G$5:$G$110="moeda")+(Inputs!$G$5:$G$110="acoes"))*Inputs!$B$1+((Inputs!$G$5:$G$110&lt;&gt;"moeda")*(Inputs!$G$5:$G$110&lt;&gt;"acoes")))*INDEX(Inputs!$K$5:$AJ$110,0,MATCH(D$2,Inputs!$K$4:$AJ$4,0)))))</f>
        <v>-3353</v>
      </c>
      <c r="E10" s="6">
        <f>IF(ISNA(MATCH(E$2,Inputs!$K$4:$AJ$4,0)),NA(),IF(SUMPRODUCT((Inputs!$A$5:$A$110=$B10)*ISNUMBER(INDEX(Inputs!$K$5:$AJ$110,0,MATCH(E$2,Inputs!$K$4:$AJ$4,0))))+SUMPRODUCT((Inputs!$C$5:$C$110=$B10)*ISNUMBER(INDEX(Inputs!$K$5:$AJ$110,0,MATCH(E$2,Inputs!$K$4:$AJ$4,0))))+SUMPRODUCT((Inputs!$E$5:$E$110=$B10)*ISNUMBER(INDEX(Inputs!$K$5:$AJ$110,0,MATCH(E$2,Inputs!$K$4:$AJ$4,0))))=0,NA(),SUMPRODUCT((Inputs!$A$5:$A$110=$B10)*Inputs!$B$5:$B$110*(((Inputs!$G$5:$G$110="moeda")+(Inputs!$G$5:$G$110="acoes"))*Inputs!$B$1+((Inputs!$G$5:$G$110&lt;&gt;"moeda")*(Inputs!$G$5:$G$110&lt;&gt;"acoes")))*INDEX(Inputs!$K$5:$AJ$110,0,MATCH(E$2,Inputs!$K$4:$AJ$4,0)))+SUMPRODUCT((Inputs!$C$5:$C$110=$B10)*Inputs!$D$5:$D$110*(((Inputs!$G$5:$G$110="moeda")+(Inputs!$G$5:$G$110="acoes"))*Inputs!$B$1+((Inputs!$G$5:$G$110&lt;&gt;"moeda")*(Inputs!$G$5:$G$110&lt;&gt;"acoes")))*INDEX(Inputs!$K$5:$AJ$110,0,MATCH(E$2,Inputs!$K$4:$AJ$4,0)))+SUMPRODUCT((Inputs!$E$5:$E$110=$B10)*Inputs!$F$5:$F$110*(((Inputs!$G$5:$G$110="moeda")+(Inputs!$G$5:$G$110="acoes"))*Inputs!$B$1+((Inputs!$G$5:$G$110&lt;&gt;"moeda")*(Inputs!$G$5:$G$110&lt;&gt;"acoes")))*INDEX(Inputs!$K$5:$AJ$110,0,MATCH(E$2,Inputs!$K$4:$AJ$4,0)))))</f>
        <v>-3460</v>
      </c>
      <c r="F10" s="6">
        <f>IF(ISNA(MATCH(F$2,Inputs!$K$4:$AJ$4,0)),NA(),IF(SUMPRODUCT((Inputs!$A$5:$A$110=$B10)*ISNUMBER(INDEX(Inputs!$K$5:$AJ$110,0,MATCH(F$2,Inputs!$K$4:$AJ$4,0))))+SUMPRODUCT((Inputs!$C$5:$C$110=$B10)*ISNUMBER(INDEX(Inputs!$K$5:$AJ$110,0,MATCH(F$2,Inputs!$K$4:$AJ$4,0))))+SUMPRODUCT((Inputs!$E$5:$E$110=$B10)*ISNUMBER(INDEX(Inputs!$K$5:$AJ$110,0,MATCH(F$2,Inputs!$K$4:$AJ$4,0))))=0,NA(),SUMPRODUCT((Inputs!$A$5:$A$110=$B10)*Inputs!$B$5:$B$110*(((Inputs!$G$5:$G$110="moeda")+(Inputs!$G$5:$G$110="acoes"))*Inputs!$B$1+((Inputs!$G$5:$G$110&lt;&gt;"moeda")*(Inputs!$G$5:$G$110&lt;&gt;"acoes")))*INDEX(Inputs!$K$5:$AJ$110,0,MATCH(F$2,Inputs!$K$4:$AJ$4,0)))+SUMPRODUCT((Inputs!$C$5:$C$110=$B10)*Inputs!$D$5:$D$110*(((Inputs!$G$5:$G$110="moeda")+(Inputs!$G$5:$G$110="acoes"))*Inputs!$B$1+((Inputs!$G$5:$G$110&lt;&gt;"moeda")*(Inputs!$G$5:$G$110&lt;&gt;"acoes")))*INDEX(Inputs!$K$5:$AJ$110,0,MATCH(F$2,Inputs!$K$4:$AJ$4,0)))+SUMPRODUCT((Inputs!$E$5:$E$110=$B10)*Inputs!$F$5:$F$110*(((Inputs!$G$5:$G$110="moeda")+(Inputs!$G$5:$G$110="acoes"))*Inputs!$B$1+((Inputs!$G$5:$G$110&lt;&gt;"moeda")*(Inputs!$G$5:$G$110&lt;&gt;"acoes")))*INDEX(Inputs!$K$5:$AJ$110,0,MATCH(F$2,Inputs!$K$4:$AJ$4,0)))))</f>
        <v>-4128</v>
      </c>
      <c r="G10" s="6">
        <f>IF(ISNA(MATCH(G$2,Inputs!$K$4:$AJ$4,0)),NA(),IF(SUMPRODUCT((Inputs!$A$5:$A$110=$B10)*ISNUMBER(INDEX(Inputs!$K$5:$AJ$110,0,MATCH(G$2,Inputs!$K$4:$AJ$4,0))))+SUMPRODUCT((Inputs!$C$5:$C$110=$B10)*ISNUMBER(INDEX(Inputs!$K$5:$AJ$110,0,MATCH(G$2,Inputs!$K$4:$AJ$4,0))))+SUMPRODUCT((Inputs!$E$5:$E$110=$B10)*ISNUMBER(INDEX(Inputs!$K$5:$AJ$110,0,MATCH(G$2,Inputs!$K$4:$AJ$4,0))))=0,NA(),SUMPRODUCT((Inputs!$A$5:$A$110=$B10)*Inputs!$B$5:$B$110*(((Inputs!$G$5:$G$110="moeda")+(Inputs!$G$5:$G$110="acoes"))*Inputs!$B$1+((Inputs!$G$5:$G$110&lt;&gt;"moeda")*(Inputs!$G$5:$G$110&lt;&gt;"acoes")))*INDEX(Inputs!$K$5:$AJ$110,0,MATCH(G$2,Inputs!$K$4:$AJ$4,0)))+SUMPRODUCT((Inputs!$C$5:$C$110=$B10)*Inputs!$D$5:$D$110*(((Inputs!$G$5:$G$110="moeda")+(Inputs!$G$5:$G$110="acoes"))*Inputs!$B$1+((Inputs!$G$5:$G$110&lt;&gt;"moeda")*(Inputs!$G$5:$G$110&lt;&gt;"acoes")))*INDEX(Inputs!$K$5:$AJ$110,0,MATCH(G$2,Inputs!$K$4:$AJ$4,0)))+SUMPRODUCT((Inputs!$E$5:$E$110=$B10)*Inputs!$F$5:$F$110*(((Inputs!$G$5:$G$110="moeda")+(Inputs!$G$5:$G$110="acoes"))*Inputs!$B$1+((Inputs!$G$5:$G$110&lt;&gt;"moeda")*(Inputs!$G$5:$G$110&lt;&gt;"acoes")))*INDEX(Inputs!$K$5:$AJ$110,0,MATCH(G$2,Inputs!$K$4:$AJ$4,0)))))</f>
        <v>-3760</v>
      </c>
      <c r="H10" s="3">
        <f>SUM(D10:G10)</f>
        <v>-14701</v>
      </c>
      <c r="I10" s="6">
        <f>IF(ISNA(MATCH(I$2,Inputs!$K$4:$AJ$4,0)),NA(),IF(SUMPRODUCT((Inputs!$A$5:$A$110=$B10)*ISNUMBER(INDEX(Inputs!$K$5:$AJ$110,0,MATCH(I$2,Inputs!$K$4:$AJ$4,0))))+SUMPRODUCT((Inputs!$C$5:$C$110=$B10)*ISNUMBER(INDEX(Inputs!$K$5:$AJ$110,0,MATCH(I$2,Inputs!$K$4:$AJ$4,0))))+SUMPRODUCT((Inputs!$E$5:$E$110=$B10)*ISNUMBER(INDEX(Inputs!$K$5:$AJ$110,0,MATCH(I$2,Inputs!$K$4:$AJ$4,0))))=0,NA(),SUMPRODUCT((Inputs!$A$5:$A$110=$B10)*Inputs!$B$5:$B$110*(((Inputs!$G$5:$G$110="moeda")+(Inputs!$G$5:$G$110="acoes"))*Inputs!$B$1+((Inputs!$G$5:$G$110&lt;&gt;"moeda")*(Inputs!$G$5:$G$110&lt;&gt;"acoes")))*INDEX(Inputs!$K$5:$AJ$110,0,MATCH(I$2,Inputs!$K$4:$AJ$4,0)))+SUMPRODUCT((Inputs!$C$5:$C$110=$B10)*Inputs!$D$5:$D$110*(((Inputs!$G$5:$G$110="moeda")+(Inputs!$G$5:$G$110="acoes"))*Inputs!$B$1+((Inputs!$G$5:$G$110&lt;&gt;"moeda")*(Inputs!$G$5:$G$110&lt;&gt;"acoes")))*INDEX(Inputs!$K$5:$AJ$110,0,MATCH(I$2,Inputs!$K$4:$AJ$4,0)))+SUMPRODUCT((Inputs!$E$5:$E$110=$B10)*Inputs!$F$5:$F$110*(((Inputs!$G$5:$G$110="moeda")+(Inputs!$G$5:$G$110="acoes"))*Inputs!$B$1+((Inputs!$G$5:$G$110&lt;&gt;"moeda")*(Inputs!$G$5:$G$110&lt;&gt;"acoes")))*INDEX(Inputs!$K$5:$AJ$110,0,MATCH(I$2,Inputs!$K$4:$AJ$4,0)))))</f>
        <v>-2498</v>
      </c>
      <c r="J10" s="6">
        <f>IF(ISNA(MATCH(J$2,Inputs!$K$4:$AJ$4,0)),NA(),IF(SUMPRODUCT((Inputs!$A$5:$A$110=$B10)*ISNUMBER(INDEX(Inputs!$K$5:$AJ$110,0,MATCH(J$2,Inputs!$K$4:$AJ$4,0))))+SUMPRODUCT((Inputs!$C$5:$C$110=$B10)*ISNUMBER(INDEX(Inputs!$K$5:$AJ$110,0,MATCH(J$2,Inputs!$K$4:$AJ$4,0))))+SUMPRODUCT((Inputs!$E$5:$E$110=$B10)*ISNUMBER(INDEX(Inputs!$K$5:$AJ$110,0,MATCH(J$2,Inputs!$K$4:$AJ$4,0))))=0,NA(),SUMPRODUCT((Inputs!$A$5:$A$110=$B10)*Inputs!$B$5:$B$110*(((Inputs!$G$5:$G$110="moeda")+(Inputs!$G$5:$G$110="acoes"))*Inputs!$B$1+((Inputs!$G$5:$G$110&lt;&gt;"moeda")*(Inputs!$G$5:$G$110&lt;&gt;"acoes")))*INDEX(Inputs!$K$5:$AJ$110,0,MATCH(J$2,Inputs!$K$4:$AJ$4,0)))+SUMPRODUCT((Inputs!$C$5:$C$110=$B10)*Inputs!$D$5:$D$110*(((Inputs!$G$5:$G$110="moeda")+(Inputs!$G$5:$G$110="acoes"))*Inputs!$B$1+((Inputs!$G$5:$G$110&lt;&gt;"moeda")*(Inputs!$G$5:$G$110&lt;&gt;"acoes")))*INDEX(Inputs!$K$5:$AJ$110,0,MATCH(J$2,Inputs!$K$4:$AJ$4,0)))+SUMPRODUCT((Inputs!$E$5:$E$110=$B10)*Inputs!$F$5:$F$110*(((Inputs!$G$5:$G$110="moeda")+(Inputs!$G$5:$G$110="acoes"))*Inputs!$B$1+((Inputs!$G$5:$G$110&lt;&gt;"moeda")*(Inputs!$G$5:$G$110&lt;&gt;"acoes")))*INDEX(Inputs!$K$5:$AJ$110,0,MATCH(J$2,Inputs!$K$4:$AJ$4,0)))))</f>
        <v>-3012</v>
      </c>
      <c r="K10" s="6">
        <f>IF(ISNA(MATCH(K$2,Inputs!$K$4:$AJ$4,0)),NA(),IF(SUMPRODUCT((Inputs!$A$5:$A$110=$B10)*ISNUMBER(INDEX(Inputs!$K$5:$AJ$110,0,MATCH(K$2,Inputs!$K$4:$AJ$4,0))))+SUMPRODUCT((Inputs!$C$5:$C$110=$B10)*ISNUMBER(INDEX(Inputs!$K$5:$AJ$110,0,MATCH(K$2,Inputs!$K$4:$AJ$4,0))))+SUMPRODUCT((Inputs!$E$5:$E$110=$B10)*ISNUMBER(INDEX(Inputs!$K$5:$AJ$110,0,MATCH(K$2,Inputs!$K$4:$AJ$4,0))))=0,NA(),SUMPRODUCT((Inputs!$A$5:$A$110=$B10)*Inputs!$B$5:$B$110*(((Inputs!$G$5:$G$110="moeda")+(Inputs!$G$5:$G$110="acoes"))*Inputs!$B$1+((Inputs!$G$5:$G$110&lt;&gt;"moeda")*(Inputs!$G$5:$G$110&lt;&gt;"acoes")))*INDEX(Inputs!$K$5:$AJ$110,0,MATCH(K$2,Inputs!$K$4:$AJ$4,0)))+SUMPRODUCT((Inputs!$C$5:$C$110=$B10)*Inputs!$D$5:$D$110*(((Inputs!$G$5:$G$110="moeda")+(Inputs!$G$5:$G$110="acoes"))*Inputs!$B$1+((Inputs!$G$5:$G$110&lt;&gt;"moeda")*(Inputs!$G$5:$G$110&lt;&gt;"acoes")))*INDEX(Inputs!$K$5:$AJ$110,0,MATCH(K$2,Inputs!$K$4:$AJ$4,0)))+SUMPRODUCT((Inputs!$E$5:$E$110=$B10)*Inputs!$F$5:$F$110*(((Inputs!$G$5:$G$110="moeda")+(Inputs!$G$5:$G$110="acoes"))*Inputs!$B$1+((Inputs!$G$5:$G$110&lt;&gt;"moeda")*(Inputs!$G$5:$G$110&lt;&gt;"acoes")))*INDEX(Inputs!$K$5:$AJ$110,0,MATCH(K$2,Inputs!$K$4:$AJ$4,0)))))</f>
        <v>-2323</v>
      </c>
      <c r="L10" s="6">
        <f>IF(ISNA(MATCH(L$2,Inputs!$K$4:$AJ$4,0)),NA(),IF(SUMPRODUCT((Inputs!$A$5:$A$110=$B10)*ISNUMBER(INDEX(Inputs!$K$5:$AJ$110,0,MATCH(L$2,Inputs!$K$4:$AJ$4,0))))+SUMPRODUCT((Inputs!$C$5:$C$110=$B10)*ISNUMBER(INDEX(Inputs!$K$5:$AJ$110,0,MATCH(L$2,Inputs!$K$4:$AJ$4,0))))+SUMPRODUCT((Inputs!$E$5:$E$110=$B10)*ISNUMBER(INDEX(Inputs!$K$5:$AJ$110,0,MATCH(L$2,Inputs!$K$4:$AJ$4,0))))=0,NA(),SUMPRODUCT((Inputs!$A$5:$A$110=$B10)*Inputs!$B$5:$B$110*(((Inputs!$G$5:$G$110="moeda")+(Inputs!$G$5:$G$110="acoes"))*Inputs!$B$1+((Inputs!$G$5:$G$110&lt;&gt;"moeda")*(Inputs!$G$5:$G$110&lt;&gt;"acoes")))*INDEX(Inputs!$K$5:$AJ$110,0,MATCH(L$2,Inputs!$K$4:$AJ$4,0)))+SUMPRODUCT((Inputs!$C$5:$C$110=$B10)*Inputs!$D$5:$D$110*(((Inputs!$G$5:$G$110="moeda")+(Inputs!$G$5:$G$110="acoes"))*Inputs!$B$1+((Inputs!$G$5:$G$110&lt;&gt;"moeda")*(Inputs!$G$5:$G$110&lt;&gt;"acoes")))*INDEX(Inputs!$K$5:$AJ$110,0,MATCH(L$2,Inputs!$K$4:$AJ$4,0)))+SUMPRODUCT((Inputs!$E$5:$E$110=$B10)*Inputs!$F$5:$F$110*(((Inputs!$G$5:$G$110="moeda")+(Inputs!$G$5:$G$110="acoes"))*Inputs!$B$1+((Inputs!$G$5:$G$110&lt;&gt;"moeda")*(Inputs!$G$5:$G$110&lt;&gt;"acoes")))*INDEX(Inputs!$K$5:$AJ$110,0,MATCH(L$2,Inputs!$K$4:$AJ$4,0)))))</f>
        <v>-3523</v>
      </c>
      <c r="M10" s="3">
        <f>SUM(I10:L10)</f>
        <v>-11356</v>
      </c>
      <c r="N10" s="6">
        <f>IF(ISNA(MATCH(N$2,Inputs!$K$4:$AJ$4,0)),NA(),IF(SUMPRODUCT((Inputs!$A$5:$A$110=$B10)*ISNUMBER(INDEX(Inputs!$K$5:$AJ$110,0,MATCH(N$2,Inputs!$K$4:$AJ$4,0))))+SUMPRODUCT((Inputs!$C$5:$C$110=$B10)*ISNUMBER(INDEX(Inputs!$K$5:$AJ$110,0,MATCH(N$2,Inputs!$K$4:$AJ$4,0))))+SUMPRODUCT((Inputs!$E$5:$E$110=$B10)*ISNUMBER(INDEX(Inputs!$K$5:$AJ$110,0,MATCH(N$2,Inputs!$K$4:$AJ$4,0))))=0,NA(),SUMPRODUCT((Inputs!$A$5:$A$110=$B10)*Inputs!$B$5:$B$110*(((Inputs!$G$5:$G$110="moeda")+(Inputs!$G$5:$G$110="acoes"))*Inputs!$B$1+((Inputs!$G$5:$G$110&lt;&gt;"moeda")*(Inputs!$G$5:$G$110&lt;&gt;"acoes")))*INDEX(Inputs!$K$5:$AJ$110,0,MATCH(N$2,Inputs!$K$4:$AJ$4,0)))+SUMPRODUCT((Inputs!$C$5:$C$110=$B10)*Inputs!$D$5:$D$110*(((Inputs!$G$5:$G$110="moeda")+(Inputs!$G$5:$G$110="acoes"))*Inputs!$B$1+((Inputs!$G$5:$G$110&lt;&gt;"moeda")*(Inputs!$G$5:$G$110&lt;&gt;"acoes")))*INDEX(Inputs!$K$5:$AJ$110,0,MATCH(N$2,Inputs!$K$4:$AJ$4,0)))+SUMPRODUCT((Inputs!$E$5:$E$110=$B10)*Inputs!$F$5:$F$110*(((Inputs!$G$5:$G$110="moeda")+(Inputs!$G$5:$G$110="acoes"))*Inputs!$B$1+((Inputs!$G$5:$G$110&lt;&gt;"moeda")*(Inputs!$G$5:$G$110&lt;&gt;"acoes")))*INDEX(Inputs!$K$5:$AJ$110,0,MATCH(N$2,Inputs!$K$4:$AJ$4,0)))))</f>
        <v>-3154</v>
      </c>
      <c r="O10" s="6">
        <f>IF(ISNA(MATCH(O$2,Inputs!$K$4:$AJ$4,0)),NA(),IF(SUMPRODUCT((Inputs!$A$5:$A$110=$B10)*ISNUMBER(INDEX(Inputs!$K$5:$AJ$110,0,MATCH(O$2,Inputs!$K$4:$AJ$4,0))))+SUMPRODUCT((Inputs!$C$5:$C$110=$B10)*ISNUMBER(INDEX(Inputs!$K$5:$AJ$110,0,MATCH(O$2,Inputs!$K$4:$AJ$4,0))))+SUMPRODUCT((Inputs!$E$5:$E$110=$B10)*ISNUMBER(INDEX(Inputs!$K$5:$AJ$110,0,MATCH(O$2,Inputs!$K$4:$AJ$4,0))))=0,NA(),SUMPRODUCT((Inputs!$A$5:$A$110=$B10)*Inputs!$B$5:$B$110*(((Inputs!$G$5:$G$110="moeda")+(Inputs!$G$5:$G$110="acoes"))*Inputs!$B$1+((Inputs!$G$5:$G$110&lt;&gt;"moeda")*(Inputs!$G$5:$G$110&lt;&gt;"acoes")))*INDEX(Inputs!$K$5:$AJ$110,0,MATCH(O$2,Inputs!$K$4:$AJ$4,0)))+SUMPRODUCT((Inputs!$C$5:$C$110=$B10)*Inputs!$D$5:$D$110*(((Inputs!$G$5:$G$110="moeda")+(Inputs!$G$5:$G$110="acoes"))*Inputs!$B$1+((Inputs!$G$5:$G$110&lt;&gt;"moeda")*(Inputs!$G$5:$G$110&lt;&gt;"acoes")))*INDEX(Inputs!$K$5:$AJ$110,0,MATCH(O$2,Inputs!$K$4:$AJ$4,0)))+SUMPRODUCT((Inputs!$E$5:$E$110=$B10)*Inputs!$F$5:$F$110*(((Inputs!$G$5:$G$110="moeda")+(Inputs!$G$5:$G$110="acoes"))*Inputs!$B$1+((Inputs!$G$5:$G$110&lt;&gt;"moeda")*(Inputs!$G$5:$G$110&lt;&gt;"acoes")))*INDEX(Inputs!$K$5:$AJ$110,0,MATCH(O$2,Inputs!$K$4:$AJ$4,0)))))</f>
        <v>-3535</v>
      </c>
      <c r="P10" s="6">
        <f>IF(ISNA(MATCH(P$2,Inputs!$K$4:$AJ$4,0)),NA(),IF(SUMPRODUCT((Inputs!$A$5:$A$110=$B10)*ISNUMBER(INDEX(Inputs!$K$5:$AJ$110,0,MATCH(P$2,Inputs!$K$4:$AJ$4,0))))+SUMPRODUCT((Inputs!$C$5:$C$110=$B10)*ISNUMBER(INDEX(Inputs!$K$5:$AJ$110,0,MATCH(P$2,Inputs!$K$4:$AJ$4,0))))+SUMPRODUCT((Inputs!$E$5:$E$110=$B10)*ISNUMBER(INDEX(Inputs!$K$5:$AJ$110,0,MATCH(P$2,Inputs!$K$4:$AJ$4,0))))=0,NA(),SUMPRODUCT((Inputs!$A$5:$A$110=$B10)*Inputs!$B$5:$B$110*(((Inputs!$G$5:$G$110="moeda")+(Inputs!$G$5:$G$110="acoes"))*Inputs!$B$1+((Inputs!$G$5:$G$110&lt;&gt;"moeda")*(Inputs!$G$5:$G$110&lt;&gt;"acoes")))*INDEX(Inputs!$K$5:$AJ$110,0,MATCH(P$2,Inputs!$K$4:$AJ$4,0)))+SUMPRODUCT((Inputs!$C$5:$C$110=$B10)*Inputs!$D$5:$D$110*(((Inputs!$G$5:$G$110="moeda")+(Inputs!$G$5:$G$110="acoes"))*Inputs!$B$1+((Inputs!$G$5:$G$110&lt;&gt;"moeda")*(Inputs!$G$5:$G$110&lt;&gt;"acoes")))*INDEX(Inputs!$K$5:$AJ$110,0,MATCH(P$2,Inputs!$K$4:$AJ$4,0)))+SUMPRODUCT((Inputs!$E$5:$E$110=$B10)*Inputs!$F$5:$F$110*(((Inputs!$G$5:$G$110="moeda")+(Inputs!$G$5:$G$110="acoes"))*Inputs!$B$1+((Inputs!$G$5:$G$110&lt;&gt;"moeda")*(Inputs!$G$5:$G$110&lt;&gt;"acoes")))*INDEX(Inputs!$K$5:$AJ$110,0,MATCH(P$2,Inputs!$K$4:$AJ$4,0)))))</f>
        <v>-1508</v>
      </c>
      <c r="Q10" s="6">
        <f>IF(ISNA(MATCH(Q$2,Inputs!$K$4:$AJ$4,0)),NA(),IF(SUMPRODUCT((Inputs!$A$5:$A$110=$B10)*ISNUMBER(INDEX(Inputs!$K$5:$AJ$110,0,MATCH(Q$2,Inputs!$K$4:$AJ$4,0))))+SUMPRODUCT((Inputs!$C$5:$C$110=$B10)*ISNUMBER(INDEX(Inputs!$K$5:$AJ$110,0,MATCH(Q$2,Inputs!$K$4:$AJ$4,0))))+SUMPRODUCT((Inputs!$E$5:$E$110=$B10)*ISNUMBER(INDEX(Inputs!$K$5:$AJ$110,0,MATCH(Q$2,Inputs!$K$4:$AJ$4,0))))=0,NA(),SUMPRODUCT((Inputs!$A$5:$A$110=$B10)*Inputs!$B$5:$B$110*(((Inputs!$G$5:$G$110="moeda")+(Inputs!$G$5:$G$110="acoes"))*Inputs!$B$1+((Inputs!$G$5:$G$110&lt;&gt;"moeda")*(Inputs!$G$5:$G$110&lt;&gt;"acoes")))*INDEX(Inputs!$K$5:$AJ$110,0,MATCH(Q$2,Inputs!$K$4:$AJ$4,0)))+SUMPRODUCT((Inputs!$C$5:$C$110=$B10)*Inputs!$D$5:$D$110*(((Inputs!$G$5:$G$110="moeda")+(Inputs!$G$5:$G$110="acoes"))*Inputs!$B$1+((Inputs!$G$5:$G$110&lt;&gt;"moeda")*(Inputs!$G$5:$G$110&lt;&gt;"acoes")))*INDEX(Inputs!$K$5:$AJ$110,0,MATCH(Q$2,Inputs!$K$4:$AJ$4,0)))+SUMPRODUCT((Inputs!$E$5:$E$110=$B10)*Inputs!$F$5:$F$110*(((Inputs!$G$5:$G$110="moeda")+(Inputs!$G$5:$G$110="acoes"))*Inputs!$B$1+((Inputs!$G$5:$G$110&lt;&gt;"moeda")*(Inputs!$G$5:$G$110&lt;&gt;"acoes")))*INDEX(Inputs!$K$5:$AJ$110,0,MATCH(Q$2,Inputs!$K$4:$AJ$4,0)))))</f>
        <v>-3725</v>
      </c>
      <c r="R10" s="3">
        <f>SUM(N10:Q10)</f>
        <v>-11922</v>
      </c>
      <c r="S10" s="6">
        <f>IF(ISNA(MATCH(S$2,Inputs!$K$4:$AJ$4,0)),NA(),IF(SUMPRODUCT((Inputs!$A$5:$A$110=$B10)*ISNUMBER(INDEX(Inputs!$K$5:$AJ$110,0,MATCH(S$2,Inputs!$K$4:$AJ$4,0))))+SUMPRODUCT((Inputs!$C$5:$C$110=$B10)*ISNUMBER(INDEX(Inputs!$K$5:$AJ$110,0,MATCH(S$2,Inputs!$K$4:$AJ$4,0))))+SUMPRODUCT((Inputs!$E$5:$E$110=$B10)*ISNUMBER(INDEX(Inputs!$K$5:$AJ$110,0,MATCH(S$2,Inputs!$K$4:$AJ$4,0))))=0,NA(),SUMPRODUCT((Inputs!$A$5:$A$110=$B10)*Inputs!$B$5:$B$110*(((Inputs!$G$5:$G$110="moeda")+(Inputs!$G$5:$G$110="acoes"))*Inputs!$B$1+((Inputs!$G$5:$G$110&lt;&gt;"moeda")*(Inputs!$G$5:$G$110&lt;&gt;"acoes")))*INDEX(Inputs!$K$5:$AJ$110,0,MATCH(S$2,Inputs!$K$4:$AJ$4,0)))+SUMPRODUCT((Inputs!$C$5:$C$110=$B10)*Inputs!$D$5:$D$110*(((Inputs!$G$5:$G$110="moeda")+(Inputs!$G$5:$G$110="acoes"))*Inputs!$B$1+((Inputs!$G$5:$G$110&lt;&gt;"moeda")*(Inputs!$G$5:$G$110&lt;&gt;"acoes")))*INDEX(Inputs!$K$5:$AJ$110,0,MATCH(S$2,Inputs!$K$4:$AJ$4,0)))+SUMPRODUCT((Inputs!$E$5:$E$110=$B10)*Inputs!$F$5:$F$110*(((Inputs!$G$5:$G$110="moeda")+(Inputs!$G$5:$G$110="acoes"))*Inputs!$B$1+((Inputs!$G$5:$G$110&lt;&gt;"moeda")*(Inputs!$G$5:$G$110&lt;&gt;"acoes")))*INDEX(Inputs!$K$5:$AJ$110,0,MATCH(S$2,Inputs!$K$4:$AJ$4,0)))))</f>
        <v>-4653</v>
      </c>
      <c r="T10" s="6">
        <f>IF(ISNA(MATCH(T$2,Inputs!$K$4:$AJ$4,0)),NA(),IF(SUMPRODUCT((Inputs!$A$5:$A$110=$B10)*ISNUMBER(INDEX(Inputs!$K$5:$AJ$110,0,MATCH(T$2,Inputs!$K$4:$AJ$4,0))))+SUMPRODUCT((Inputs!$C$5:$C$110=$B10)*ISNUMBER(INDEX(Inputs!$K$5:$AJ$110,0,MATCH(T$2,Inputs!$K$4:$AJ$4,0))))+SUMPRODUCT((Inputs!$E$5:$E$110=$B10)*ISNUMBER(INDEX(Inputs!$K$5:$AJ$110,0,MATCH(T$2,Inputs!$K$4:$AJ$4,0))))=0,NA(),SUMPRODUCT((Inputs!$A$5:$A$110=$B10)*Inputs!$B$5:$B$110*(((Inputs!$G$5:$G$110="moeda")+(Inputs!$G$5:$G$110="acoes"))*Inputs!$B$1+((Inputs!$G$5:$G$110&lt;&gt;"moeda")*(Inputs!$G$5:$G$110&lt;&gt;"acoes")))*INDEX(Inputs!$K$5:$AJ$110,0,MATCH(T$2,Inputs!$K$4:$AJ$4,0)))+SUMPRODUCT((Inputs!$C$5:$C$110=$B10)*Inputs!$D$5:$D$110*(((Inputs!$G$5:$G$110="moeda")+(Inputs!$G$5:$G$110="acoes"))*Inputs!$B$1+((Inputs!$G$5:$G$110&lt;&gt;"moeda")*(Inputs!$G$5:$G$110&lt;&gt;"acoes")))*INDEX(Inputs!$K$5:$AJ$110,0,MATCH(T$2,Inputs!$K$4:$AJ$4,0)))+SUMPRODUCT((Inputs!$E$5:$E$110=$B10)*Inputs!$F$5:$F$110*(((Inputs!$G$5:$G$110="moeda")+(Inputs!$G$5:$G$110="acoes"))*Inputs!$B$1+((Inputs!$G$5:$G$110&lt;&gt;"moeda")*(Inputs!$G$5:$G$110&lt;&gt;"acoes")))*INDEX(Inputs!$K$5:$AJ$110,0,MATCH(T$2,Inputs!$K$4:$AJ$4,0)))))</f>
        <v>-3932</v>
      </c>
      <c r="U10" s="6">
        <f>IF(ISNA(MATCH(U$2,Inputs!$K$4:$AJ$4,0)),NA(),IF(SUMPRODUCT((Inputs!$A$5:$A$110=$B10)*ISNUMBER(INDEX(Inputs!$K$5:$AJ$110,0,MATCH(U$2,Inputs!$K$4:$AJ$4,0))))+SUMPRODUCT((Inputs!$C$5:$C$110=$B10)*ISNUMBER(INDEX(Inputs!$K$5:$AJ$110,0,MATCH(U$2,Inputs!$K$4:$AJ$4,0))))+SUMPRODUCT((Inputs!$E$5:$E$110=$B10)*ISNUMBER(INDEX(Inputs!$K$5:$AJ$110,0,MATCH(U$2,Inputs!$K$4:$AJ$4,0))))=0,NA(),SUMPRODUCT((Inputs!$A$5:$A$110=$B10)*Inputs!$B$5:$B$110*(((Inputs!$G$5:$G$110="moeda")+(Inputs!$G$5:$G$110="acoes"))*Inputs!$B$1+((Inputs!$G$5:$G$110&lt;&gt;"moeda")*(Inputs!$G$5:$G$110&lt;&gt;"acoes")))*INDEX(Inputs!$K$5:$AJ$110,0,MATCH(U$2,Inputs!$K$4:$AJ$4,0)))+SUMPRODUCT((Inputs!$C$5:$C$110=$B10)*Inputs!$D$5:$D$110*(((Inputs!$G$5:$G$110="moeda")+(Inputs!$G$5:$G$110="acoes"))*Inputs!$B$1+((Inputs!$G$5:$G$110&lt;&gt;"moeda")*(Inputs!$G$5:$G$110&lt;&gt;"acoes")))*INDEX(Inputs!$K$5:$AJ$110,0,MATCH(U$2,Inputs!$K$4:$AJ$4,0)))+SUMPRODUCT((Inputs!$E$5:$E$110=$B10)*Inputs!$F$5:$F$110*(((Inputs!$G$5:$G$110="moeda")+(Inputs!$G$5:$G$110="acoes"))*Inputs!$B$1+((Inputs!$G$5:$G$110&lt;&gt;"moeda")*(Inputs!$G$5:$G$110&lt;&gt;"acoes")))*INDEX(Inputs!$K$5:$AJ$110,0,MATCH(U$2,Inputs!$K$4:$AJ$4,0)))))</f>
        <v>-5405</v>
      </c>
      <c r="V10" s="6">
        <f>IF(ISNA(MATCH(V$2,Inputs!$K$4:$AJ$4,0)),NA(),IF(SUMPRODUCT((Inputs!$A$5:$A$110=$B10)*ISNUMBER(INDEX(Inputs!$K$5:$AJ$110,0,MATCH(V$2,Inputs!$K$4:$AJ$4,0))))+SUMPRODUCT((Inputs!$C$5:$C$110=$B10)*ISNUMBER(INDEX(Inputs!$K$5:$AJ$110,0,MATCH(V$2,Inputs!$K$4:$AJ$4,0))))+SUMPRODUCT((Inputs!$E$5:$E$110=$B10)*ISNUMBER(INDEX(Inputs!$K$5:$AJ$110,0,MATCH(V$2,Inputs!$K$4:$AJ$4,0))))=0,NA(),SUMPRODUCT((Inputs!$A$5:$A$110=$B10)*Inputs!$B$5:$B$110*(((Inputs!$G$5:$G$110="moeda")+(Inputs!$G$5:$G$110="acoes"))*Inputs!$B$1+((Inputs!$G$5:$G$110&lt;&gt;"moeda")*(Inputs!$G$5:$G$110&lt;&gt;"acoes")))*INDEX(Inputs!$K$5:$AJ$110,0,MATCH(V$2,Inputs!$K$4:$AJ$4,0)))+SUMPRODUCT((Inputs!$C$5:$C$110=$B10)*Inputs!$D$5:$D$110*(((Inputs!$G$5:$G$110="moeda")+(Inputs!$G$5:$G$110="acoes"))*Inputs!$B$1+((Inputs!$G$5:$G$110&lt;&gt;"moeda")*(Inputs!$G$5:$G$110&lt;&gt;"acoes")))*INDEX(Inputs!$K$5:$AJ$110,0,MATCH(V$2,Inputs!$K$4:$AJ$4,0)))+SUMPRODUCT((Inputs!$E$5:$E$110=$B10)*Inputs!$F$5:$F$110*(((Inputs!$G$5:$G$110="moeda")+(Inputs!$G$5:$G$110="acoes"))*Inputs!$B$1+((Inputs!$G$5:$G$110&lt;&gt;"moeda")*(Inputs!$G$5:$G$110&lt;&gt;"acoes")))*INDEX(Inputs!$K$5:$AJ$110,0,MATCH(V$2,Inputs!$K$4:$AJ$4,0)))))</f>
        <v>-5707</v>
      </c>
      <c r="W10" s="3">
        <f>SUM(S10:V10)</f>
        <v>-19697</v>
      </c>
      <c r="X10" s="6">
        <f>IF(ISNA(MATCH(X$2,Inputs!$K$4:$AJ$4,0)),NA(),IF(SUMPRODUCT((Inputs!$A$5:$A$110=$B10)*ISNUMBER(INDEX(Inputs!$K$5:$AJ$110,0,MATCH(X$2,Inputs!$K$4:$AJ$4,0))))+SUMPRODUCT((Inputs!$C$5:$C$110=$B10)*ISNUMBER(INDEX(Inputs!$K$5:$AJ$110,0,MATCH(X$2,Inputs!$K$4:$AJ$4,0))))+SUMPRODUCT((Inputs!$E$5:$E$110=$B10)*ISNUMBER(INDEX(Inputs!$K$5:$AJ$110,0,MATCH(X$2,Inputs!$K$4:$AJ$4,0))))=0,NA(),SUMPRODUCT((Inputs!$A$5:$A$110=$B10)*Inputs!$B$5:$B$110*(((Inputs!$G$5:$G$110="moeda")+(Inputs!$G$5:$G$110="acoes"))*Inputs!$B$1+((Inputs!$G$5:$G$110&lt;&gt;"moeda")*(Inputs!$G$5:$G$110&lt;&gt;"acoes")))*INDEX(Inputs!$K$5:$AJ$110,0,MATCH(X$2,Inputs!$K$4:$AJ$4,0)))+SUMPRODUCT((Inputs!$C$5:$C$110=$B10)*Inputs!$D$5:$D$110*(((Inputs!$G$5:$G$110="moeda")+(Inputs!$G$5:$G$110="acoes"))*Inputs!$B$1+((Inputs!$G$5:$G$110&lt;&gt;"moeda")*(Inputs!$G$5:$G$110&lt;&gt;"acoes")))*INDEX(Inputs!$K$5:$AJ$110,0,MATCH(X$2,Inputs!$K$4:$AJ$4,0)))+SUMPRODUCT((Inputs!$E$5:$E$110=$B10)*Inputs!$F$5:$F$110*(((Inputs!$G$5:$G$110="moeda")+(Inputs!$G$5:$G$110="acoes"))*Inputs!$B$1+((Inputs!$G$5:$G$110&lt;&gt;"moeda")*(Inputs!$G$5:$G$110&lt;&gt;"acoes")))*INDEX(Inputs!$K$5:$AJ$110,0,MATCH(X$2,Inputs!$K$4:$AJ$4,0)))))</f>
        <v>-7249</v>
      </c>
      <c r="Y10" s="6">
        <f>IF(ISNA(MATCH(Y$2,Inputs!$K$4:$AJ$4,0)),NA(),IF(SUMPRODUCT((Inputs!$A$5:$A$110=$B10)*ISNUMBER(INDEX(Inputs!$K$5:$AJ$110,0,MATCH(Y$2,Inputs!$K$4:$AJ$4,0))))+SUMPRODUCT((Inputs!$C$5:$C$110=$B10)*ISNUMBER(INDEX(Inputs!$K$5:$AJ$110,0,MATCH(Y$2,Inputs!$K$4:$AJ$4,0))))+SUMPRODUCT((Inputs!$E$5:$E$110=$B10)*ISNUMBER(INDEX(Inputs!$K$5:$AJ$110,0,MATCH(Y$2,Inputs!$K$4:$AJ$4,0))))=0,NA(),SUMPRODUCT((Inputs!$A$5:$A$110=$B10)*Inputs!$B$5:$B$110*(((Inputs!$G$5:$G$110="moeda")+(Inputs!$G$5:$G$110="acoes"))*Inputs!$B$1+((Inputs!$G$5:$G$110&lt;&gt;"moeda")*(Inputs!$G$5:$G$110&lt;&gt;"acoes")))*INDEX(Inputs!$K$5:$AJ$110,0,MATCH(Y$2,Inputs!$K$4:$AJ$4,0)))+SUMPRODUCT((Inputs!$C$5:$C$110=$B10)*Inputs!$D$5:$D$110*(((Inputs!$G$5:$G$110="moeda")+(Inputs!$G$5:$G$110="acoes"))*Inputs!$B$1+((Inputs!$G$5:$G$110&lt;&gt;"moeda")*(Inputs!$G$5:$G$110&lt;&gt;"acoes")))*INDEX(Inputs!$K$5:$AJ$110,0,MATCH(Y$2,Inputs!$K$4:$AJ$4,0)))+SUMPRODUCT((Inputs!$E$5:$E$110=$B10)*Inputs!$F$5:$F$110*(((Inputs!$G$5:$G$110="moeda")+(Inputs!$G$5:$G$110="acoes"))*Inputs!$B$1+((Inputs!$G$5:$G$110&lt;&gt;"moeda")*(Inputs!$G$5:$G$110&lt;&gt;"acoes")))*INDEX(Inputs!$K$5:$AJ$110,0,MATCH(Y$2,Inputs!$K$4:$AJ$4,0)))))</f>
        <v>-5737</v>
      </c>
      <c r="Z10" s="6">
        <f>IF(ISNA(MATCH(Z$2,Inputs!$K$4:$AJ$4,0)),NA(),IF(SUMPRODUCT((Inputs!$A$5:$A$110=$B10)*ISNUMBER(INDEX(Inputs!$K$5:$AJ$110,0,MATCH(Z$2,Inputs!$K$4:$AJ$4,0))))+SUMPRODUCT((Inputs!$C$5:$C$110=$B10)*ISNUMBER(INDEX(Inputs!$K$5:$AJ$110,0,MATCH(Z$2,Inputs!$K$4:$AJ$4,0))))+SUMPRODUCT((Inputs!$E$5:$E$110=$B10)*ISNUMBER(INDEX(Inputs!$K$5:$AJ$110,0,MATCH(Z$2,Inputs!$K$4:$AJ$4,0))))=0,NA(),SUMPRODUCT((Inputs!$A$5:$A$110=$B10)*Inputs!$B$5:$B$110*(((Inputs!$G$5:$G$110="moeda")+(Inputs!$G$5:$G$110="acoes"))*Inputs!$B$1+((Inputs!$G$5:$G$110&lt;&gt;"moeda")*(Inputs!$G$5:$G$110&lt;&gt;"acoes")))*INDEX(Inputs!$K$5:$AJ$110,0,MATCH(Z$2,Inputs!$K$4:$AJ$4,0)))+SUMPRODUCT((Inputs!$C$5:$C$110=$B10)*Inputs!$D$5:$D$110*(((Inputs!$G$5:$G$110="moeda")+(Inputs!$G$5:$G$110="acoes"))*Inputs!$B$1+((Inputs!$G$5:$G$110&lt;&gt;"moeda")*(Inputs!$G$5:$G$110&lt;&gt;"acoes")))*INDEX(Inputs!$K$5:$AJ$110,0,MATCH(Z$2,Inputs!$K$4:$AJ$4,0)))+SUMPRODUCT((Inputs!$E$5:$E$110=$B10)*Inputs!$F$5:$F$110*(((Inputs!$G$5:$G$110="moeda")+(Inputs!$G$5:$G$110="acoes"))*Inputs!$B$1+((Inputs!$G$5:$G$110&lt;&gt;"moeda")*(Inputs!$G$5:$G$110&lt;&gt;"acoes")))*INDEX(Inputs!$K$5:$AJ$110,0,MATCH(Z$2,Inputs!$K$4:$AJ$4,0)))))</f>
        <v>-9008</v>
      </c>
      <c r="AA10" s="6">
        <f>IF(ISNA(MATCH(AA$2,Inputs!$K$4:$AJ$4,0)),NA(),IF(SUMPRODUCT((Inputs!$A$5:$A$110=$B10)*ISNUMBER(INDEX(Inputs!$K$5:$AJ$110,0,MATCH(AA$2,Inputs!$K$4:$AJ$4,0))))+SUMPRODUCT((Inputs!$C$5:$C$110=$B10)*ISNUMBER(INDEX(Inputs!$K$5:$AJ$110,0,MATCH(AA$2,Inputs!$K$4:$AJ$4,0))))+SUMPRODUCT((Inputs!$E$5:$E$110=$B10)*ISNUMBER(INDEX(Inputs!$K$5:$AJ$110,0,MATCH(AA$2,Inputs!$K$4:$AJ$4,0))))=0,NA(),SUMPRODUCT((Inputs!$A$5:$A$110=$B10)*Inputs!$B$5:$B$110*(((Inputs!$G$5:$G$110="moeda")+(Inputs!$G$5:$G$110="acoes"))*Inputs!$B$1+((Inputs!$G$5:$G$110&lt;&gt;"moeda")*(Inputs!$G$5:$G$110&lt;&gt;"acoes")))*INDEX(Inputs!$K$5:$AJ$110,0,MATCH(AA$2,Inputs!$K$4:$AJ$4,0)))+SUMPRODUCT((Inputs!$C$5:$C$110=$B10)*Inputs!$D$5:$D$110*(((Inputs!$G$5:$G$110="moeda")+(Inputs!$G$5:$G$110="acoes"))*Inputs!$B$1+((Inputs!$G$5:$G$110&lt;&gt;"moeda")*(Inputs!$G$5:$G$110&lt;&gt;"acoes")))*INDEX(Inputs!$K$5:$AJ$110,0,MATCH(AA$2,Inputs!$K$4:$AJ$4,0)))+SUMPRODUCT((Inputs!$E$5:$E$110=$B10)*Inputs!$F$5:$F$110*(((Inputs!$G$5:$G$110="moeda")+(Inputs!$G$5:$G$110="acoes"))*Inputs!$B$1+((Inputs!$G$5:$G$110&lt;&gt;"moeda")*(Inputs!$G$5:$G$110&lt;&gt;"acoes")))*INDEX(Inputs!$K$5:$AJ$110,0,MATCH(AA$2,Inputs!$K$4:$AJ$4,0)))))</f>
        <v>-4662</v>
      </c>
      <c r="AB10" s="3">
        <f>SUM(X10:AA10)</f>
        <v>-26656</v>
      </c>
      <c r="AC10" s="6">
        <f>IF(ISNA(MATCH(AC$2,Inputs!$K$4:$AJ$4,0)),NA(),IF(SUMPRODUCT((Inputs!$A$5:$A$110=$B10)*ISNUMBER(INDEX(Inputs!$K$5:$AJ$110,0,MATCH(AC$2,Inputs!$K$4:$AJ$4,0))))+SUMPRODUCT((Inputs!$C$5:$C$110=$B10)*ISNUMBER(INDEX(Inputs!$K$5:$AJ$110,0,MATCH(AC$2,Inputs!$K$4:$AJ$4,0))))+SUMPRODUCT((Inputs!$E$5:$E$110=$B10)*ISNUMBER(INDEX(Inputs!$K$5:$AJ$110,0,MATCH(AC$2,Inputs!$K$4:$AJ$4,0))))=0,NA(),SUMPRODUCT((Inputs!$A$5:$A$110=$B10)*Inputs!$B$5:$B$110*(((Inputs!$G$5:$G$110="moeda")+(Inputs!$G$5:$G$110="acoes"))*Inputs!$B$1+((Inputs!$G$5:$G$110&lt;&gt;"moeda")*(Inputs!$G$5:$G$110&lt;&gt;"acoes")))*INDEX(Inputs!$K$5:$AJ$110,0,MATCH(AC$2,Inputs!$K$4:$AJ$4,0)))+SUMPRODUCT((Inputs!$C$5:$C$110=$B10)*Inputs!$D$5:$D$110*(((Inputs!$G$5:$G$110="moeda")+(Inputs!$G$5:$G$110="acoes"))*Inputs!$B$1+((Inputs!$G$5:$G$110&lt;&gt;"moeda")*(Inputs!$G$5:$G$110&lt;&gt;"acoes")))*INDEX(Inputs!$K$5:$AJ$110,0,MATCH(AC$2,Inputs!$K$4:$AJ$4,0)))+SUMPRODUCT((Inputs!$E$5:$E$110=$B10)*Inputs!$F$5:$F$110*(((Inputs!$G$5:$G$110="moeda")+(Inputs!$G$5:$G$110="acoes"))*Inputs!$B$1+((Inputs!$G$5:$G$110&lt;&gt;"moeda")*(Inputs!$G$5:$G$110&lt;&gt;"acoes")))*INDEX(Inputs!$K$5:$AJ$110,0,MATCH(AC$2,Inputs!$K$4:$AJ$4,0)))))</f>
        <v>-14834</v>
      </c>
      <c r="AD10" s="6">
        <f>IF(ISNA(MATCH(AD$2,Inputs!$K$4:$AJ$4,0)),NA(),IF(SUMPRODUCT((Inputs!$A$5:$A$110=$B10)*ISNUMBER(INDEX(Inputs!$K$5:$AJ$110,0,MATCH(AD$2,Inputs!$K$4:$AJ$4,0))))+SUMPRODUCT((Inputs!$C$5:$C$110=$B10)*ISNUMBER(INDEX(Inputs!$K$5:$AJ$110,0,MATCH(AD$2,Inputs!$K$4:$AJ$4,0))))+SUMPRODUCT((Inputs!$E$5:$E$110=$B10)*ISNUMBER(INDEX(Inputs!$K$5:$AJ$110,0,MATCH(AD$2,Inputs!$K$4:$AJ$4,0))))=0,NA(),SUMPRODUCT((Inputs!$A$5:$A$110=$B10)*Inputs!$B$5:$B$110*(((Inputs!$G$5:$G$110="moeda")+(Inputs!$G$5:$G$110="acoes"))*Inputs!$B$1+((Inputs!$G$5:$G$110&lt;&gt;"moeda")*(Inputs!$G$5:$G$110&lt;&gt;"acoes")))*INDEX(Inputs!$K$5:$AJ$110,0,MATCH(AD$2,Inputs!$K$4:$AJ$4,0)))+SUMPRODUCT((Inputs!$C$5:$C$110=$B10)*Inputs!$D$5:$D$110*(((Inputs!$G$5:$G$110="moeda")+(Inputs!$G$5:$G$110="acoes"))*Inputs!$B$1+((Inputs!$G$5:$G$110&lt;&gt;"moeda")*(Inputs!$G$5:$G$110&lt;&gt;"acoes")))*INDEX(Inputs!$K$5:$AJ$110,0,MATCH(AD$2,Inputs!$K$4:$AJ$4,0)))+SUMPRODUCT((Inputs!$E$5:$E$110=$B10)*Inputs!$F$5:$F$110*(((Inputs!$G$5:$G$110="moeda")+(Inputs!$G$5:$G$110="acoes"))*Inputs!$B$1+((Inputs!$G$5:$G$110&lt;&gt;"moeda")*(Inputs!$G$5:$G$110&lt;&gt;"acoes")))*INDEX(Inputs!$K$5:$AJ$110,0,MATCH(AD$2,Inputs!$K$4:$AJ$4,0)))))</f>
        <v>-26560</v>
      </c>
      <c r="AE10" s="6" t="e">
        <f>IF(ISNA(MATCH(AE$2,Inputs!$K$4:$AJ$4,0)),NA(),IF(SUMPRODUCT((Inputs!$A$5:$A$110=$B10)*ISNUMBER(INDEX(Inputs!$K$5:$AJ$110,0,MATCH(AE$2,Inputs!$K$4:$AJ$4,0))))+SUMPRODUCT((Inputs!$C$5:$C$110=$B10)*ISNUMBER(INDEX(Inputs!$K$5:$AJ$110,0,MATCH(AE$2,Inputs!$K$4:$AJ$4,0))))+SUMPRODUCT((Inputs!$E$5:$E$110=$B10)*ISNUMBER(INDEX(Inputs!$K$5:$AJ$110,0,MATCH(AE$2,Inputs!$K$4:$AJ$4,0))))=0,NA(),SUMPRODUCT((Inputs!$A$5:$A$110=$B10)*Inputs!$B$5:$B$110*(((Inputs!$G$5:$G$110="moeda")+(Inputs!$G$5:$G$110="acoes"))*Inputs!$B$1+((Inputs!$G$5:$G$110&lt;&gt;"moeda")*(Inputs!$G$5:$G$110&lt;&gt;"acoes")))*INDEX(Inputs!$K$5:$AJ$110,0,MATCH(AE$2,Inputs!$K$4:$AJ$4,0)))+SUMPRODUCT((Inputs!$C$5:$C$110=$B10)*Inputs!$D$5:$D$110*(((Inputs!$G$5:$G$110="moeda")+(Inputs!$G$5:$G$110="acoes"))*Inputs!$B$1+((Inputs!$G$5:$G$110&lt;&gt;"moeda")*(Inputs!$G$5:$G$110&lt;&gt;"acoes")))*INDEX(Inputs!$K$5:$AJ$110,0,MATCH(AE$2,Inputs!$K$4:$AJ$4,0)))+SUMPRODUCT((Inputs!$E$5:$E$110=$B10)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0" s="6" t="e">
        <f>IF(ISNA(MATCH(AF$2,Inputs!$K$4:$AJ$4,0)),NA(),IF(SUMPRODUCT((Inputs!$A$5:$A$110=$B10)*ISNUMBER(INDEX(Inputs!$K$5:$AJ$110,0,MATCH(AF$2,Inputs!$K$4:$AJ$4,0))))+SUMPRODUCT((Inputs!$C$5:$C$110=$B10)*ISNUMBER(INDEX(Inputs!$K$5:$AJ$110,0,MATCH(AF$2,Inputs!$K$4:$AJ$4,0))))+SUMPRODUCT((Inputs!$E$5:$E$110=$B10)*ISNUMBER(INDEX(Inputs!$K$5:$AJ$110,0,MATCH(AF$2,Inputs!$K$4:$AJ$4,0))))=0,NA(),SUMPRODUCT((Inputs!$A$5:$A$110=$B10)*Inputs!$B$5:$B$110*(((Inputs!$G$5:$G$110="moeda")+(Inputs!$G$5:$G$110="acoes"))*Inputs!$B$1+((Inputs!$G$5:$G$110&lt;&gt;"moeda")*(Inputs!$G$5:$G$110&lt;&gt;"acoes")))*INDEX(Inputs!$K$5:$AJ$110,0,MATCH(AF$2,Inputs!$K$4:$AJ$4,0)))+SUMPRODUCT((Inputs!$C$5:$C$110=$B10)*Inputs!$D$5:$D$110*(((Inputs!$G$5:$G$110="moeda")+(Inputs!$G$5:$G$110="acoes"))*Inputs!$B$1+((Inputs!$G$5:$G$110&lt;&gt;"moeda")*(Inputs!$G$5:$G$110&lt;&gt;"acoes")))*INDEX(Inputs!$K$5:$AJ$110,0,MATCH(AF$2,Inputs!$K$4:$AJ$4,0)))+SUMPRODUCT((Inputs!$E$5:$E$110=$B10)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$110=$B10)*ISNUMBER(INDEX(Inputs!$K$5:$AJ$110,0,MATCH(AH$2,Inputs!$K$4:$AJ$4,0))))+SUMPRODUCT((Inputs!$C$5:$C$110=$B10)*ISNUMBER(INDEX(Inputs!$K$5:$AJ$110,0,MATCH(AH$2,Inputs!$K$4:$AJ$4,0))))+SUMPRODUCT((Inputs!$E$5:$E$110=$B10)*ISNUMBER(INDEX(Inputs!$K$5:$AJ$110,0,MATCH(AH$2,Inputs!$K$4:$AJ$4,0))))=0,NA(),SUMPRODUCT((Inputs!$A$5:$A$110=$B10)*Inputs!$B$5:$B$110*(((Inputs!$G$5:$G$110="moeda")+(Inputs!$G$5:$G$110="acoes"))*Inputs!$B$1+((Inputs!$G$5:$G$110&lt;&gt;"moeda")*(Inputs!$G$5:$G$110&lt;&gt;"acoes")))*INDEX(Inputs!$K$5:$AJ$110,0,MATCH(AH$2,Inputs!$K$4:$AJ$4,0)))+SUMPRODUCT((Inputs!$C$5:$C$110=$B10)*Inputs!$D$5:$D$110*(((Inputs!$G$5:$G$110="moeda")+(Inputs!$G$5:$G$110="acoes"))*Inputs!$B$1+((Inputs!$G$5:$G$110&lt;&gt;"moeda")*(Inputs!$G$5:$G$110&lt;&gt;"acoes")))*INDEX(Inputs!$K$5:$AJ$110,0,MATCH(AH$2,Inputs!$K$4:$AJ$4,0)))+SUMPRODUCT((Inputs!$E$5:$E$110=$B10)*Inputs!$F$5:$F$110*(((Inputs!$G$5:$G$110="moeda")+(Inputs!$G$5:$G$110="acoes"))*Inputs!$B$1+((Inputs!$G$5:$G$110&lt;&gt;"moeda")*(Inputs!$G$5:$G$110&lt;&gt;"acoes")))*INDEX(Inputs!$K$5:$AJ$110,0,MATCH(AH$2,Inputs!$K$4:$AJ$4,0)))))</f>
        <v>-921</v>
      </c>
      <c r="AI10" s="6">
        <f>IF(ISNA(MATCH(AI$2,Inputs!$K$4:$AJ$4,0)),NA(),IF(SUMPRODUCT((Inputs!$A$5:$A$110=$B10)*ISNUMBER(INDEX(Inputs!$K$5:$AJ$110,0,MATCH(AI$2,Inputs!$K$4:$AJ$4,0))))+SUMPRODUCT((Inputs!$C$5:$C$110=$B10)*ISNUMBER(INDEX(Inputs!$K$5:$AJ$110,0,MATCH(AI$2,Inputs!$K$4:$AJ$4,0))))+SUMPRODUCT((Inputs!$E$5:$E$110=$B10)*ISNUMBER(INDEX(Inputs!$K$5:$AJ$110,0,MATCH(AI$2,Inputs!$K$4:$AJ$4,0))))=0,NA(),SUMPRODUCT((Inputs!$A$5:$A$110=$B10)*Inputs!$B$5:$B$110*(((Inputs!$G$5:$G$110="moeda")+(Inputs!$G$5:$G$110="acoes"))*Inputs!$B$1+((Inputs!$G$5:$G$110&lt;&gt;"moeda")*(Inputs!$G$5:$G$110&lt;&gt;"acoes")))*INDEX(Inputs!$K$5:$AJ$110,0,MATCH(AI$2,Inputs!$K$4:$AJ$4,0)))+SUMPRODUCT((Inputs!$C$5:$C$110=$B10)*Inputs!$D$5:$D$110*(((Inputs!$G$5:$G$110="moeda")+(Inputs!$G$5:$G$110="acoes"))*Inputs!$B$1+((Inputs!$G$5:$G$110&lt;&gt;"moeda")*(Inputs!$G$5:$G$110&lt;&gt;"acoes")))*INDEX(Inputs!$K$5:$AJ$110,0,MATCH(AI$2,Inputs!$K$4:$AJ$4,0)))+SUMPRODUCT((Inputs!$E$5:$E$110=$B10)*Inputs!$F$5:$F$110*(((Inputs!$G$5:$G$110="moeda")+(Inputs!$G$5:$G$110="acoes"))*Inputs!$B$1+((Inputs!$G$5:$G$110&lt;&gt;"moeda")*(Inputs!$G$5:$G$110&lt;&gt;"acoes")))*INDEX(Inputs!$K$5:$AJ$110,0,MATCH(AI$2,Inputs!$K$4:$AJ$4,0)))))</f>
        <v>-1318</v>
      </c>
      <c r="AJ10" s="6">
        <f>IF(ISNA(MATCH(AJ$2,Inputs!$K$4:$AJ$4,0)),NA(),IF(SUMPRODUCT((Inputs!$A$5:$A$110=$B10)*ISNUMBER(INDEX(Inputs!$K$5:$AJ$110,0,MATCH(AJ$2,Inputs!$K$4:$AJ$4,0))))+SUMPRODUCT((Inputs!$C$5:$C$110=$B10)*ISNUMBER(INDEX(Inputs!$K$5:$AJ$110,0,MATCH(AJ$2,Inputs!$K$4:$AJ$4,0))))+SUMPRODUCT((Inputs!$E$5:$E$110=$B10)*ISNUMBER(INDEX(Inputs!$K$5:$AJ$110,0,MATCH(AJ$2,Inputs!$K$4:$AJ$4,0))))=0,NA(),SUMPRODUCT((Inputs!$A$5:$A$110=$B10)*Inputs!$B$5:$B$110*(((Inputs!$G$5:$G$110="moeda")+(Inputs!$G$5:$G$110="acoes"))*Inputs!$B$1+((Inputs!$G$5:$G$110&lt;&gt;"moeda")*(Inputs!$G$5:$G$110&lt;&gt;"acoes")))*INDEX(Inputs!$K$5:$AJ$110,0,MATCH(AJ$2,Inputs!$K$4:$AJ$4,0)))+SUMPRODUCT((Inputs!$C$5:$C$110=$B10)*Inputs!$D$5:$D$110*(((Inputs!$G$5:$G$110="moeda")+(Inputs!$G$5:$G$110="acoes"))*Inputs!$B$1+((Inputs!$G$5:$G$110&lt;&gt;"moeda")*(Inputs!$G$5:$G$110&lt;&gt;"acoes")))*INDEX(Inputs!$K$5:$AJ$110,0,MATCH(AJ$2,Inputs!$K$4:$AJ$4,0)))+SUMPRODUCT((Inputs!$E$5:$E$110=$B10)*Inputs!$F$5:$F$110*(((Inputs!$G$5:$G$110="moeda")+(Inputs!$G$5:$G$110="acoes"))*Inputs!$B$1+((Inputs!$G$5:$G$110&lt;&gt;"moeda")*(Inputs!$G$5:$G$110&lt;&gt;"acoes")))*INDEX(Inputs!$K$5:$AJ$110,0,MATCH(AJ$2,Inputs!$K$4:$AJ$4,0)))))</f>
        <v>-2112</v>
      </c>
      <c r="AK10" s="6">
        <f>IF(ISNA(MATCH(AK$2,Inputs!$K$4:$AJ$4,0)),NA(),IF(SUMPRODUCT((Inputs!$A$5:$A$110=$B10)*ISNUMBER(INDEX(Inputs!$K$5:$AJ$110,0,MATCH(AK$2,Inputs!$K$4:$AJ$4,0))))+SUMPRODUCT((Inputs!$C$5:$C$110=$B10)*ISNUMBER(INDEX(Inputs!$K$5:$AJ$110,0,MATCH(AK$2,Inputs!$K$4:$AJ$4,0))))+SUMPRODUCT((Inputs!$E$5:$E$110=$B10)*ISNUMBER(INDEX(Inputs!$K$5:$AJ$110,0,MATCH(AK$2,Inputs!$K$4:$AJ$4,0))))=0,NA(),SUMPRODUCT((Inputs!$A$5:$A$110=$B10)*Inputs!$B$5:$B$110*(((Inputs!$G$5:$G$110="moeda")+(Inputs!$G$5:$G$110="acoes"))*Inputs!$B$1+((Inputs!$G$5:$G$110&lt;&gt;"moeda")*(Inputs!$G$5:$G$110&lt;&gt;"acoes")))*INDEX(Inputs!$K$5:$AJ$110,0,MATCH(AK$2,Inputs!$K$4:$AJ$4,0)))+SUMPRODUCT((Inputs!$C$5:$C$110=$B10)*Inputs!$D$5:$D$110*(((Inputs!$G$5:$G$110="moeda")+(Inputs!$G$5:$G$110="acoes"))*Inputs!$B$1+((Inputs!$G$5:$G$110&lt;&gt;"moeda")*(Inputs!$G$5:$G$110&lt;&gt;"acoes")))*INDEX(Inputs!$K$5:$AJ$110,0,MATCH(AK$2,Inputs!$K$4:$AJ$4,0)))+SUMPRODUCT((Inputs!$E$5:$E$110=$B10)*Inputs!$F$5:$F$110*(((Inputs!$G$5:$G$110="moeda")+(Inputs!$G$5:$G$110="acoes"))*Inputs!$B$1+((Inputs!$G$5:$G$110&lt;&gt;"moeda")*(Inputs!$G$5:$G$110&lt;&gt;"acoes")))*INDEX(Inputs!$K$5:$AJ$110,0,MATCH(AK$2,Inputs!$K$4:$AJ$4,0)))))</f>
        <v>-3462</v>
      </c>
      <c r="AL10" s="3">
        <f>SUM(AH10:AK10)</f>
        <v>-7813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$110=$B11)*ISNUMBER(INDEX(Inputs!$K$5:$AJ$110,0,MATCH(D$2,Inputs!$K$4:$AJ$4,0))))+SUMPRODUCT((Inputs!$C$5:$C$110=$B11)*ISNUMBER(INDEX(Inputs!$K$5:$AJ$110,0,MATCH(D$2,Inputs!$K$4:$AJ$4,0))))+SUMPRODUCT((Inputs!$E$5:$E$110=$B11)*ISNUMBER(INDEX(Inputs!$K$5:$AJ$110,0,MATCH(D$2,Inputs!$K$4:$AJ$4,0))))=0,NA(),SUMPRODUCT((Inputs!$A$5:$A$110=$B11)*Inputs!$B$5:$B$110*(((Inputs!$G$5:$G$110="moeda")+(Inputs!$G$5:$G$110="acoes"))*Inputs!$B$1+((Inputs!$G$5:$G$110&lt;&gt;"moeda")*(Inputs!$G$5:$G$110&lt;&gt;"acoes")))*INDEX(Inputs!$K$5:$AJ$110,0,MATCH(D$2,Inputs!$K$4:$AJ$4,0)))+SUMPRODUCT((Inputs!$C$5:$C$110=$B11)*Inputs!$D$5:$D$110*(((Inputs!$G$5:$G$110="moeda")+(Inputs!$G$5:$G$110="acoes"))*Inputs!$B$1+((Inputs!$G$5:$G$110&lt;&gt;"moeda")*(Inputs!$G$5:$G$110&lt;&gt;"acoes")))*INDEX(Inputs!$K$5:$AJ$110,0,MATCH(D$2,Inputs!$K$4:$AJ$4,0)))+SUMPRODUCT((Inputs!$E$5:$E$110=$B11)*Inputs!$F$5:$F$110*(((Inputs!$G$5:$G$110="moeda")+(Inputs!$G$5:$G$110="acoes"))*Inputs!$B$1+((Inputs!$G$5:$G$110&lt;&gt;"moeda")*(Inputs!$G$5:$G$110&lt;&gt;"acoes")))*INDEX(Inputs!$K$5:$AJ$110,0,MATCH(D$2,Inputs!$K$4:$AJ$4,0)))))</f>
        <v>0</v>
      </c>
      <c r="E11" s="6">
        <f>IF(ISNA(MATCH(E$2,Inputs!$K$4:$AJ$4,0)),NA(),IF(SUMPRODUCT((Inputs!$A$5:$A$110=$B11)*ISNUMBER(INDEX(Inputs!$K$5:$AJ$110,0,MATCH(E$2,Inputs!$K$4:$AJ$4,0))))+SUMPRODUCT((Inputs!$C$5:$C$110=$B11)*ISNUMBER(INDEX(Inputs!$K$5:$AJ$110,0,MATCH(E$2,Inputs!$K$4:$AJ$4,0))))+SUMPRODUCT((Inputs!$E$5:$E$110=$B11)*ISNUMBER(INDEX(Inputs!$K$5:$AJ$110,0,MATCH(E$2,Inputs!$K$4:$AJ$4,0))))=0,NA(),SUMPRODUCT((Inputs!$A$5:$A$110=$B11)*Inputs!$B$5:$B$110*(((Inputs!$G$5:$G$110="moeda")+(Inputs!$G$5:$G$110="acoes"))*Inputs!$B$1+((Inputs!$G$5:$G$110&lt;&gt;"moeda")*(Inputs!$G$5:$G$110&lt;&gt;"acoes")))*INDEX(Inputs!$K$5:$AJ$110,0,MATCH(E$2,Inputs!$K$4:$AJ$4,0)))+SUMPRODUCT((Inputs!$C$5:$C$110=$B11)*Inputs!$D$5:$D$110*(((Inputs!$G$5:$G$110="moeda")+(Inputs!$G$5:$G$110="acoes"))*Inputs!$B$1+((Inputs!$G$5:$G$110&lt;&gt;"moeda")*(Inputs!$G$5:$G$110&lt;&gt;"acoes")))*INDEX(Inputs!$K$5:$AJ$110,0,MATCH(E$2,Inputs!$K$4:$AJ$4,0)))+SUMPRODUCT((Inputs!$E$5:$E$110=$B11)*Inputs!$F$5:$F$110*(((Inputs!$G$5:$G$110="moeda")+(Inputs!$G$5:$G$110="acoes"))*Inputs!$B$1+((Inputs!$G$5:$G$110&lt;&gt;"moeda")*(Inputs!$G$5:$G$110&lt;&gt;"acoes")))*INDEX(Inputs!$K$5:$AJ$110,0,MATCH(E$2,Inputs!$K$4:$AJ$4,0)))))</f>
        <v>0</v>
      </c>
      <c r="F11" s="6">
        <f>IF(ISNA(MATCH(F$2,Inputs!$K$4:$AJ$4,0)),NA(),IF(SUMPRODUCT((Inputs!$A$5:$A$110=$B11)*ISNUMBER(INDEX(Inputs!$K$5:$AJ$110,0,MATCH(F$2,Inputs!$K$4:$AJ$4,0))))+SUMPRODUCT((Inputs!$C$5:$C$110=$B11)*ISNUMBER(INDEX(Inputs!$K$5:$AJ$110,0,MATCH(F$2,Inputs!$K$4:$AJ$4,0))))+SUMPRODUCT((Inputs!$E$5:$E$110=$B11)*ISNUMBER(INDEX(Inputs!$K$5:$AJ$110,0,MATCH(F$2,Inputs!$K$4:$AJ$4,0))))=0,NA(),SUMPRODUCT((Inputs!$A$5:$A$110=$B11)*Inputs!$B$5:$B$110*(((Inputs!$G$5:$G$110="moeda")+(Inputs!$G$5:$G$110="acoes"))*Inputs!$B$1+((Inputs!$G$5:$G$110&lt;&gt;"moeda")*(Inputs!$G$5:$G$110&lt;&gt;"acoes")))*INDEX(Inputs!$K$5:$AJ$110,0,MATCH(F$2,Inputs!$K$4:$AJ$4,0)))+SUMPRODUCT((Inputs!$C$5:$C$110=$B11)*Inputs!$D$5:$D$110*(((Inputs!$G$5:$G$110="moeda")+(Inputs!$G$5:$G$110="acoes"))*Inputs!$B$1+((Inputs!$G$5:$G$110&lt;&gt;"moeda")*(Inputs!$G$5:$G$110&lt;&gt;"acoes")))*INDEX(Inputs!$K$5:$AJ$110,0,MATCH(F$2,Inputs!$K$4:$AJ$4,0)))+SUMPRODUCT((Inputs!$E$5:$E$110=$B11)*Inputs!$F$5:$F$110*(((Inputs!$G$5:$G$110="moeda")+(Inputs!$G$5:$G$110="acoes"))*Inputs!$B$1+((Inputs!$G$5:$G$110&lt;&gt;"moeda")*(Inputs!$G$5:$G$110&lt;&gt;"acoes")))*INDEX(Inputs!$K$5:$AJ$110,0,MATCH(F$2,Inputs!$K$4:$AJ$4,0)))))</f>
        <v>0</v>
      </c>
      <c r="G11" s="6">
        <f>IF(ISNA(MATCH(G$2,Inputs!$K$4:$AJ$4,0)),NA(),IF(SUMPRODUCT((Inputs!$A$5:$A$110=$B11)*ISNUMBER(INDEX(Inputs!$K$5:$AJ$110,0,MATCH(G$2,Inputs!$K$4:$AJ$4,0))))+SUMPRODUCT((Inputs!$C$5:$C$110=$B11)*ISNUMBER(INDEX(Inputs!$K$5:$AJ$110,0,MATCH(G$2,Inputs!$K$4:$AJ$4,0))))+SUMPRODUCT((Inputs!$E$5:$E$110=$B11)*ISNUMBER(INDEX(Inputs!$K$5:$AJ$110,0,MATCH(G$2,Inputs!$K$4:$AJ$4,0))))=0,NA(),SUMPRODUCT((Inputs!$A$5:$A$110=$B11)*Inputs!$B$5:$B$110*(((Inputs!$G$5:$G$110="moeda")+(Inputs!$G$5:$G$110="acoes"))*Inputs!$B$1+((Inputs!$G$5:$G$110&lt;&gt;"moeda")*(Inputs!$G$5:$G$110&lt;&gt;"acoes")))*INDEX(Inputs!$K$5:$AJ$110,0,MATCH(G$2,Inputs!$K$4:$AJ$4,0)))+SUMPRODUCT((Inputs!$C$5:$C$110=$B11)*Inputs!$D$5:$D$110*(((Inputs!$G$5:$G$110="moeda")+(Inputs!$G$5:$G$110="acoes"))*Inputs!$B$1+((Inputs!$G$5:$G$110&lt;&gt;"moeda")*(Inputs!$G$5:$G$110&lt;&gt;"acoes")))*INDEX(Inputs!$K$5:$AJ$110,0,MATCH(G$2,Inputs!$K$4:$AJ$4,0)))+SUMPRODUCT((Inputs!$E$5:$E$110=$B11)*Inputs!$F$5:$F$110*(((Inputs!$G$5:$G$110="moeda")+(Inputs!$G$5:$G$110="acoes"))*Inputs!$B$1+((Inputs!$G$5:$G$110&lt;&gt;"moeda")*(Inputs!$G$5:$G$110&lt;&gt;"acoes")))*INDEX(Inputs!$K$5:$AJ$110,0,MATCH(G$2,Inputs!$K$4:$AJ$4,0)))))</f>
        <v>0</v>
      </c>
      <c r="H11" s="3">
        <f>SUM(D11:G11)</f>
        <v>0</v>
      </c>
      <c r="I11" s="6">
        <f>IF(ISNA(MATCH(I$2,Inputs!$K$4:$AJ$4,0)),NA(),IF(SUMPRODUCT((Inputs!$A$5:$A$110=$B11)*ISNUMBER(INDEX(Inputs!$K$5:$AJ$110,0,MATCH(I$2,Inputs!$K$4:$AJ$4,0))))+SUMPRODUCT((Inputs!$C$5:$C$110=$B11)*ISNUMBER(INDEX(Inputs!$K$5:$AJ$110,0,MATCH(I$2,Inputs!$K$4:$AJ$4,0))))+SUMPRODUCT((Inputs!$E$5:$E$110=$B11)*ISNUMBER(INDEX(Inputs!$K$5:$AJ$110,0,MATCH(I$2,Inputs!$K$4:$AJ$4,0))))=0,NA(),SUMPRODUCT((Inputs!$A$5:$A$110=$B11)*Inputs!$B$5:$B$110*(((Inputs!$G$5:$G$110="moeda")+(Inputs!$G$5:$G$110="acoes"))*Inputs!$B$1+((Inputs!$G$5:$G$110&lt;&gt;"moeda")*(Inputs!$G$5:$G$110&lt;&gt;"acoes")))*INDEX(Inputs!$K$5:$AJ$110,0,MATCH(I$2,Inputs!$K$4:$AJ$4,0)))+SUMPRODUCT((Inputs!$C$5:$C$110=$B11)*Inputs!$D$5:$D$110*(((Inputs!$G$5:$G$110="moeda")+(Inputs!$G$5:$G$110="acoes"))*Inputs!$B$1+((Inputs!$G$5:$G$110&lt;&gt;"moeda")*(Inputs!$G$5:$G$110&lt;&gt;"acoes")))*INDEX(Inputs!$K$5:$AJ$110,0,MATCH(I$2,Inputs!$K$4:$AJ$4,0)))+SUMPRODUCT((Inputs!$E$5:$E$110=$B11)*Inputs!$F$5:$F$110*(((Inputs!$G$5:$G$110="moeda")+(Inputs!$G$5:$G$110="acoes"))*Inputs!$B$1+((Inputs!$G$5:$G$110&lt;&gt;"moeda")*(Inputs!$G$5:$G$110&lt;&gt;"acoes")))*INDEX(Inputs!$K$5:$AJ$110,0,MATCH(I$2,Inputs!$K$4:$AJ$4,0)))))</f>
        <v>0</v>
      </c>
      <c r="J11" s="6">
        <f>IF(ISNA(MATCH(J$2,Inputs!$K$4:$AJ$4,0)),NA(),IF(SUMPRODUCT((Inputs!$A$5:$A$110=$B11)*ISNUMBER(INDEX(Inputs!$K$5:$AJ$110,0,MATCH(J$2,Inputs!$K$4:$AJ$4,0))))+SUMPRODUCT((Inputs!$C$5:$C$110=$B11)*ISNUMBER(INDEX(Inputs!$K$5:$AJ$110,0,MATCH(J$2,Inputs!$K$4:$AJ$4,0))))+SUMPRODUCT((Inputs!$E$5:$E$110=$B11)*ISNUMBER(INDEX(Inputs!$K$5:$AJ$110,0,MATCH(J$2,Inputs!$K$4:$AJ$4,0))))=0,NA(),SUMPRODUCT((Inputs!$A$5:$A$110=$B11)*Inputs!$B$5:$B$110*(((Inputs!$G$5:$G$110="moeda")+(Inputs!$G$5:$G$110="acoes"))*Inputs!$B$1+((Inputs!$G$5:$G$110&lt;&gt;"moeda")*(Inputs!$G$5:$G$110&lt;&gt;"acoes")))*INDEX(Inputs!$K$5:$AJ$110,0,MATCH(J$2,Inputs!$K$4:$AJ$4,0)))+SUMPRODUCT((Inputs!$C$5:$C$110=$B11)*Inputs!$D$5:$D$110*(((Inputs!$G$5:$G$110="moeda")+(Inputs!$G$5:$G$110="acoes"))*Inputs!$B$1+((Inputs!$G$5:$G$110&lt;&gt;"moeda")*(Inputs!$G$5:$G$110&lt;&gt;"acoes")))*INDEX(Inputs!$K$5:$AJ$110,0,MATCH(J$2,Inputs!$K$4:$AJ$4,0)))+SUMPRODUCT((Inputs!$E$5:$E$110=$B11)*Inputs!$F$5:$F$110*(((Inputs!$G$5:$G$110="moeda")+(Inputs!$G$5:$G$110="acoes"))*Inputs!$B$1+((Inputs!$G$5:$G$110&lt;&gt;"moeda")*(Inputs!$G$5:$G$110&lt;&gt;"acoes")))*INDEX(Inputs!$K$5:$AJ$110,0,MATCH(J$2,Inputs!$K$4:$AJ$4,0)))))</f>
        <v>0</v>
      </c>
      <c r="K11" s="6">
        <f>IF(ISNA(MATCH(K$2,Inputs!$K$4:$AJ$4,0)),NA(),IF(SUMPRODUCT((Inputs!$A$5:$A$110=$B11)*ISNUMBER(INDEX(Inputs!$K$5:$AJ$110,0,MATCH(K$2,Inputs!$K$4:$AJ$4,0))))+SUMPRODUCT((Inputs!$C$5:$C$110=$B11)*ISNUMBER(INDEX(Inputs!$K$5:$AJ$110,0,MATCH(K$2,Inputs!$K$4:$AJ$4,0))))+SUMPRODUCT((Inputs!$E$5:$E$110=$B11)*ISNUMBER(INDEX(Inputs!$K$5:$AJ$110,0,MATCH(K$2,Inputs!$K$4:$AJ$4,0))))=0,NA(),SUMPRODUCT((Inputs!$A$5:$A$110=$B11)*Inputs!$B$5:$B$110*(((Inputs!$G$5:$G$110="moeda")+(Inputs!$G$5:$G$110="acoes"))*Inputs!$B$1+((Inputs!$G$5:$G$110&lt;&gt;"moeda")*(Inputs!$G$5:$G$110&lt;&gt;"acoes")))*INDEX(Inputs!$K$5:$AJ$110,0,MATCH(K$2,Inputs!$K$4:$AJ$4,0)))+SUMPRODUCT((Inputs!$C$5:$C$110=$B11)*Inputs!$D$5:$D$110*(((Inputs!$G$5:$G$110="moeda")+(Inputs!$G$5:$G$110="acoes"))*Inputs!$B$1+((Inputs!$G$5:$G$110&lt;&gt;"moeda")*(Inputs!$G$5:$G$110&lt;&gt;"acoes")))*INDEX(Inputs!$K$5:$AJ$110,0,MATCH(K$2,Inputs!$K$4:$AJ$4,0)))+SUMPRODUCT((Inputs!$E$5:$E$110=$B11)*Inputs!$F$5:$F$110*(((Inputs!$G$5:$G$110="moeda")+(Inputs!$G$5:$G$110="acoes"))*Inputs!$B$1+((Inputs!$G$5:$G$110&lt;&gt;"moeda")*(Inputs!$G$5:$G$110&lt;&gt;"acoes")))*INDEX(Inputs!$K$5:$AJ$110,0,MATCH(K$2,Inputs!$K$4:$AJ$4,0)))))</f>
        <v>0</v>
      </c>
      <c r="L11" s="6">
        <f>IF(ISNA(MATCH(L$2,Inputs!$K$4:$AJ$4,0)),NA(),IF(SUMPRODUCT((Inputs!$A$5:$A$110=$B11)*ISNUMBER(INDEX(Inputs!$K$5:$AJ$110,0,MATCH(L$2,Inputs!$K$4:$AJ$4,0))))+SUMPRODUCT((Inputs!$C$5:$C$110=$B11)*ISNUMBER(INDEX(Inputs!$K$5:$AJ$110,0,MATCH(L$2,Inputs!$K$4:$AJ$4,0))))+SUMPRODUCT((Inputs!$E$5:$E$110=$B11)*ISNUMBER(INDEX(Inputs!$K$5:$AJ$110,0,MATCH(L$2,Inputs!$K$4:$AJ$4,0))))=0,NA(),SUMPRODUCT((Inputs!$A$5:$A$110=$B11)*Inputs!$B$5:$B$110*(((Inputs!$G$5:$G$110="moeda")+(Inputs!$G$5:$G$110="acoes"))*Inputs!$B$1+((Inputs!$G$5:$G$110&lt;&gt;"moeda")*(Inputs!$G$5:$G$110&lt;&gt;"acoes")))*INDEX(Inputs!$K$5:$AJ$110,0,MATCH(L$2,Inputs!$K$4:$AJ$4,0)))+SUMPRODUCT((Inputs!$C$5:$C$110=$B11)*Inputs!$D$5:$D$110*(((Inputs!$G$5:$G$110="moeda")+(Inputs!$G$5:$G$110="acoes"))*Inputs!$B$1+((Inputs!$G$5:$G$110&lt;&gt;"moeda")*(Inputs!$G$5:$G$110&lt;&gt;"acoes")))*INDEX(Inputs!$K$5:$AJ$110,0,MATCH(L$2,Inputs!$K$4:$AJ$4,0)))+SUMPRODUCT((Inputs!$E$5:$E$110=$B11)*Inputs!$F$5:$F$110*(((Inputs!$G$5:$G$110="moeda")+(Inputs!$G$5:$G$110="acoes"))*Inputs!$B$1+((Inputs!$G$5:$G$110&lt;&gt;"moeda")*(Inputs!$G$5:$G$110&lt;&gt;"acoes")))*INDEX(Inputs!$K$5:$AJ$110,0,MATCH(L$2,Inputs!$K$4:$AJ$4,0)))))</f>
        <v>0</v>
      </c>
      <c r="M11" s="3">
        <f>SUM(I11:L11)</f>
        <v>0</v>
      </c>
      <c r="N11" s="6">
        <f>IF(ISNA(MATCH(N$2,Inputs!$K$4:$AJ$4,0)),NA(),IF(SUMPRODUCT((Inputs!$A$5:$A$110=$B11)*ISNUMBER(INDEX(Inputs!$K$5:$AJ$110,0,MATCH(N$2,Inputs!$K$4:$AJ$4,0))))+SUMPRODUCT((Inputs!$C$5:$C$110=$B11)*ISNUMBER(INDEX(Inputs!$K$5:$AJ$110,0,MATCH(N$2,Inputs!$K$4:$AJ$4,0))))+SUMPRODUCT((Inputs!$E$5:$E$110=$B11)*ISNUMBER(INDEX(Inputs!$K$5:$AJ$110,0,MATCH(N$2,Inputs!$K$4:$AJ$4,0))))=0,NA(),SUMPRODUCT((Inputs!$A$5:$A$110=$B11)*Inputs!$B$5:$B$110*(((Inputs!$G$5:$G$110="moeda")+(Inputs!$G$5:$G$110="acoes"))*Inputs!$B$1+((Inputs!$G$5:$G$110&lt;&gt;"moeda")*(Inputs!$G$5:$G$110&lt;&gt;"acoes")))*INDEX(Inputs!$K$5:$AJ$110,0,MATCH(N$2,Inputs!$K$4:$AJ$4,0)))+SUMPRODUCT((Inputs!$C$5:$C$110=$B11)*Inputs!$D$5:$D$110*(((Inputs!$G$5:$G$110="moeda")+(Inputs!$G$5:$G$110="acoes"))*Inputs!$B$1+((Inputs!$G$5:$G$110&lt;&gt;"moeda")*(Inputs!$G$5:$G$110&lt;&gt;"acoes")))*INDEX(Inputs!$K$5:$AJ$110,0,MATCH(N$2,Inputs!$K$4:$AJ$4,0)))+SUMPRODUCT((Inputs!$E$5:$E$110=$B11)*Inputs!$F$5:$F$110*(((Inputs!$G$5:$G$110="moeda")+(Inputs!$G$5:$G$110="acoes"))*Inputs!$B$1+((Inputs!$G$5:$G$110&lt;&gt;"moeda")*(Inputs!$G$5:$G$110&lt;&gt;"acoes")))*INDEX(Inputs!$K$5:$AJ$110,0,MATCH(N$2,Inputs!$K$4:$AJ$4,0)))))</f>
        <v>0</v>
      </c>
      <c r="O11" s="6">
        <f>IF(ISNA(MATCH(O$2,Inputs!$K$4:$AJ$4,0)),NA(),IF(SUMPRODUCT((Inputs!$A$5:$A$110=$B11)*ISNUMBER(INDEX(Inputs!$K$5:$AJ$110,0,MATCH(O$2,Inputs!$K$4:$AJ$4,0))))+SUMPRODUCT((Inputs!$C$5:$C$110=$B11)*ISNUMBER(INDEX(Inputs!$K$5:$AJ$110,0,MATCH(O$2,Inputs!$K$4:$AJ$4,0))))+SUMPRODUCT((Inputs!$E$5:$E$110=$B11)*ISNUMBER(INDEX(Inputs!$K$5:$AJ$110,0,MATCH(O$2,Inputs!$K$4:$AJ$4,0))))=0,NA(),SUMPRODUCT((Inputs!$A$5:$A$110=$B11)*Inputs!$B$5:$B$110*(((Inputs!$G$5:$G$110="moeda")+(Inputs!$G$5:$G$110="acoes"))*Inputs!$B$1+((Inputs!$G$5:$G$110&lt;&gt;"moeda")*(Inputs!$G$5:$G$110&lt;&gt;"acoes")))*INDEX(Inputs!$K$5:$AJ$110,0,MATCH(O$2,Inputs!$K$4:$AJ$4,0)))+SUMPRODUCT((Inputs!$C$5:$C$110=$B11)*Inputs!$D$5:$D$110*(((Inputs!$G$5:$G$110="moeda")+(Inputs!$G$5:$G$110="acoes"))*Inputs!$B$1+((Inputs!$G$5:$G$110&lt;&gt;"moeda")*(Inputs!$G$5:$G$110&lt;&gt;"acoes")))*INDEX(Inputs!$K$5:$AJ$110,0,MATCH(O$2,Inputs!$K$4:$AJ$4,0)))+SUMPRODUCT((Inputs!$E$5:$E$110=$B11)*Inputs!$F$5:$F$110*(((Inputs!$G$5:$G$110="moeda")+(Inputs!$G$5:$G$110="acoes"))*Inputs!$B$1+((Inputs!$G$5:$G$110&lt;&gt;"moeda")*(Inputs!$G$5:$G$110&lt;&gt;"acoes")))*INDEX(Inputs!$K$5:$AJ$110,0,MATCH(O$2,Inputs!$K$4:$AJ$4,0)))))</f>
        <v>0</v>
      </c>
      <c r="P11" s="6">
        <f>IF(ISNA(MATCH(P$2,Inputs!$K$4:$AJ$4,0)),NA(),IF(SUMPRODUCT((Inputs!$A$5:$A$110=$B11)*ISNUMBER(INDEX(Inputs!$K$5:$AJ$110,0,MATCH(P$2,Inputs!$K$4:$AJ$4,0))))+SUMPRODUCT((Inputs!$C$5:$C$110=$B11)*ISNUMBER(INDEX(Inputs!$K$5:$AJ$110,0,MATCH(P$2,Inputs!$K$4:$AJ$4,0))))+SUMPRODUCT((Inputs!$E$5:$E$110=$B11)*ISNUMBER(INDEX(Inputs!$K$5:$AJ$110,0,MATCH(P$2,Inputs!$K$4:$AJ$4,0))))=0,NA(),SUMPRODUCT((Inputs!$A$5:$A$110=$B11)*Inputs!$B$5:$B$110*(((Inputs!$G$5:$G$110="moeda")+(Inputs!$G$5:$G$110="acoes"))*Inputs!$B$1+((Inputs!$G$5:$G$110&lt;&gt;"moeda")*(Inputs!$G$5:$G$110&lt;&gt;"acoes")))*INDEX(Inputs!$K$5:$AJ$110,0,MATCH(P$2,Inputs!$K$4:$AJ$4,0)))+SUMPRODUCT((Inputs!$C$5:$C$110=$B11)*Inputs!$D$5:$D$110*(((Inputs!$G$5:$G$110="moeda")+(Inputs!$G$5:$G$110="acoes"))*Inputs!$B$1+((Inputs!$G$5:$G$110&lt;&gt;"moeda")*(Inputs!$G$5:$G$110&lt;&gt;"acoes")))*INDEX(Inputs!$K$5:$AJ$110,0,MATCH(P$2,Inputs!$K$4:$AJ$4,0)))+SUMPRODUCT((Inputs!$E$5:$E$110=$B11)*Inputs!$F$5:$F$110*(((Inputs!$G$5:$G$110="moeda")+(Inputs!$G$5:$G$110="acoes"))*Inputs!$B$1+((Inputs!$G$5:$G$110&lt;&gt;"moeda")*(Inputs!$G$5:$G$110&lt;&gt;"acoes")))*INDEX(Inputs!$K$5:$AJ$110,0,MATCH(P$2,Inputs!$K$4:$AJ$4,0)))))</f>
        <v>0</v>
      </c>
      <c r="Q11" s="6">
        <f>IF(ISNA(MATCH(Q$2,Inputs!$K$4:$AJ$4,0)),NA(),IF(SUMPRODUCT((Inputs!$A$5:$A$110=$B11)*ISNUMBER(INDEX(Inputs!$K$5:$AJ$110,0,MATCH(Q$2,Inputs!$K$4:$AJ$4,0))))+SUMPRODUCT((Inputs!$C$5:$C$110=$B11)*ISNUMBER(INDEX(Inputs!$K$5:$AJ$110,0,MATCH(Q$2,Inputs!$K$4:$AJ$4,0))))+SUMPRODUCT((Inputs!$E$5:$E$110=$B11)*ISNUMBER(INDEX(Inputs!$K$5:$AJ$110,0,MATCH(Q$2,Inputs!$K$4:$AJ$4,0))))=0,NA(),SUMPRODUCT((Inputs!$A$5:$A$110=$B11)*Inputs!$B$5:$B$110*(((Inputs!$G$5:$G$110="moeda")+(Inputs!$G$5:$G$110="acoes"))*Inputs!$B$1+((Inputs!$G$5:$G$110&lt;&gt;"moeda")*(Inputs!$G$5:$G$110&lt;&gt;"acoes")))*INDEX(Inputs!$K$5:$AJ$110,0,MATCH(Q$2,Inputs!$K$4:$AJ$4,0)))+SUMPRODUCT((Inputs!$C$5:$C$110=$B11)*Inputs!$D$5:$D$110*(((Inputs!$G$5:$G$110="moeda")+(Inputs!$G$5:$G$110="acoes"))*Inputs!$B$1+((Inputs!$G$5:$G$110&lt;&gt;"moeda")*(Inputs!$G$5:$G$110&lt;&gt;"acoes")))*INDEX(Inputs!$K$5:$AJ$110,0,MATCH(Q$2,Inputs!$K$4:$AJ$4,0)))+SUMPRODUCT((Inputs!$E$5:$E$110=$B11)*Inputs!$F$5:$F$110*(((Inputs!$G$5:$G$110="moeda")+(Inputs!$G$5:$G$110="acoes"))*Inputs!$B$1+((Inputs!$G$5:$G$110&lt;&gt;"moeda")*(Inputs!$G$5:$G$110&lt;&gt;"acoes")))*INDEX(Inputs!$K$5:$AJ$110,0,MATCH(Q$2,Inputs!$K$4:$AJ$4,0)))))</f>
        <v>0</v>
      </c>
      <c r="R11" s="3">
        <f>SUM(N11:Q11)</f>
        <v>0</v>
      </c>
      <c r="S11" s="6">
        <f>IF(ISNA(MATCH(S$2,Inputs!$K$4:$AJ$4,0)),NA(),IF(SUMPRODUCT((Inputs!$A$5:$A$110=$B11)*ISNUMBER(INDEX(Inputs!$K$5:$AJ$110,0,MATCH(S$2,Inputs!$K$4:$AJ$4,0))))+SUMPRODUCT((Inputs!$C$5:$C$110=$B11)*ISNUMBER(INDEX(Inputs!$K$5:$AJ$110,0,MATCH(S$2,Inputs!$K$4:$AJ$4,0))))+SUMPRODUCT((Inputs!$E$5:$E$110=$B11)*ISNUMBER(INDEX(Inputs!$K$5:$AJ$110,0,MATCH(S$2,Inputs!$K$4:$AJ$4,0))))=0,NA(),SUMPRODUCT((Inputs!$A$5:$A$110=$B11)*Inputs!$B$5:$B$110*(((Inputs!$G$5:$G$110="moeda")+(Inputs!$G$5:$G$110="acoes"))*Inputs!$B$1+((Inputs!$G$5:$G$110&lt;&gt;"moeda")*(Inputs!$G$5:$G$110&lt;&gt;"acoes")))*INDEX(Inputs!$K$5:$AJ$110,0,MATCH(S$2,Inputs!$K$4:$AJ$4,0)))+SUMPRODUCT((Inputs!$C$5:$C$110=$B11)*Inputs!$D$5:$D$110*(((Inputs!$G$5:$G$110="moeda")+(Inputs!$G$5:$G$110="acoes"))*Inputs!$B$1+((Inputs!$G$5:$G$110&lt;&gt;"moeda")*(Inputs!$G$5:$G$110&lt;&gt;"acoes")))*INDEX(Inputs!$K$5:$AJ$110,0,MATCH(S$2,Inputs!$K$4:$AJ$4,0)))+SUMPRODUCT((Inputs!$E$5:$E$110=$B11)*Inputs!$F$5:$F$110*(((Inputs!$G$5:$G$110="moeda")+(Inputs!$G$5:$G$110="acoes"))*Inputs!$B$1+((Inputs!$G$5:$G$110&lt;&gt;"moeda")*(Inputs!$G$5:$G$110&lt;&gt;"acoes")))*INDEX(Inputs!$K$5:$AJ$110,0,MATCH(S$2,Inputs!$K$4:$AJ$4,0)))))</f>
        <v>0</v>
      </c>
      <c r="T11" s="6">
        <f>IF(ISNA(MATCH(T$2,Inputs!$K$4:$AJ$4,0)),NA(),IF(SUMPRODUCT((Inputs!$A$5:$A$110=$B11)*ISNUMBER(INDEX(Inputs!$K$5:$AJ$110,0,MATCH(T$2,Inputs!$K$4:$AJ$4,0))))+SUMPRODUCT((Inputs!$C$5:$C$110=$B11)*ISNUMBER(INDEX(Inputs!$K$5:$AJ$110,0,MATCH(T$2,Inputs!$K$4:$AJ$4,0))))+SUMPRODUCT((Inputs!$E$5:$E$110=$B11)*ISNUMBER(INDEX(Inputs!$K$5:$AJ$110,0,MATCH(T$2,Inputs!$K$4:$AJ$4,0))))=0,NA(),SUMPRODUCT((Inputs!$A$5:$A$110=$B11)*Inputs!$B$5:$B$110*(((Inputs!$G$5:$G$110="moeda")+(Inputs!$G$5:$G$110="acoes"))*Inputs!$B$1+((Inputs!$G$5:$G$110&lt;&gt;"moeda")*(Inputs!$G$5:$G$110&lt;&gt;"acoes")))*INDEX(Inputs!$K$5:$AJ$110,0,MATCH(T$2,Inputs!$K$4:$AJ$4,0)))+SUMPRODUCT((Inputs!$C$5:$C$110=$B11)*Inputs!$D$5:$D$110*(((Inputs!$G$5:$G$110="moeda")+(Inputs!$G$5:$G$110="acoes"))*Inputs!$B$1+((Inputs!$G$5:$G$110&lt;&gt;"moeda")*(Inputs!$G$5:$G$110&lt;&gt;"acoes")))*INDEX(Inputs!$K$5:$AJ$110,0,MATCH(T$2,Inputs!$K$4:$AJ$4,0)))+SUMPRODUCT((Inputs!$E$5:$E$110=$B11)*Inputs!$F$5:$F$110*(((Inputs!$G$5:$G$110="moeda")+(Inputs!$G$5:$G$110="acoes"))*Inputs!$B$1+((Inputs!$G$5:$G$110&lt;&gt;"moeda")*(Inputs!$G$5:$G$110&lt;&gt;"acoes")))*INDEX(Inputs!$K$5:$AJ$110,0,MATCH(T$2,Inputs!$K$4:$AJ$4,0)))))</f>
        <v>0</v>
      </c>
      <c r="U11" s="6">
        <f>IF(ISNA(MATCH(U$2,Inputs!$K$4:$AJ$4,0)),NA(),IF(SUMPRODUCT((Inputs!$A$5:$A$110=$B11)*ISNUMBER(INDEX(Inputs!$K$5:$AJ$110,0,MATCH(U$2,Inputs!$K$4:$AJ$4,0))))+SUMPRODUCT((Inputs!$C$5:$C$110=$B11)*ISNUMBER(INDEX(Inputs!$K$5:$AJ$110,0,MATCH(U$2,Inputs!$K$4:$AJ$4,0))))+SUMPRODUCT((Inputs!$E$5:$E$110=$B11)*ISNUMBER(INDEX(Inputs!$K$5:$AJ$110,0,MATCH(U$2,Inputs!$K$4:$AJ$4,0))))=0,NA(),SUMPRODUCT((Inputs!$A$5:$A$110=$B11)*Inputs!$B$5:$B$110*(((Inputs!$G$5:$G$110="moeda")+(Inputs!$G$5:$G$110="acoes"))*Inputs!$B$1+((Inputs!$G$5:$G$110&lt;&gt;"moeda")*(Inputs!$G$5:$G$110&lt;&gt;"acoes")))*INDEX(Inputs!$K$5:$AJ$110,0,MATCH(U$2,Inputs!$K$4:$AJ$4,0)))+SUMPRODUCT((Inputs!$C$5:$C$110=$B11)*Inputs!$D$5:$D$110*(((Inputs!$G$5:$G$110="moeda")+(Inputs!$G$5:$G$110="acoes"))*Inputs!$B$1+((Inputs!$G$5:$G$110&lt;&gt;"moeda")*(Inputs!$G$5:$G$110&lt;&gt;"acoes")))*INDEX(Inputs!$K$5:$AJ$110,0,MATCH(U$2,Inputs!$K$4:$AJ$4,0)))+SUMPRODUCT((Inputs!$E$5:$E$110=$B11)*Inputs!$F$5:$F$110*(((Inputs!$G$5:$G$110="moeda")+(Inputs!$G$5:$G$110="acoes"))*Inputs!$B$1+((Inputs!$G$5:$G$110&lt;&gt;"moeda")*(Inputs!$G$5:$G$110&lt;&gt;"acoes")))*INDEX(Inputs!$K$5:$AJ$110,0,MATCH(U$2,Inputs!$K$4:$AJ$4,0)))))</f>
        <v>0</v>
      </c>
      <c r="V11" s="6">
        <f>IF(ISNA(MATCH(V$2,Inputs!$K$4:$AJ$4,0)),NA(),IF(SUMPRODUCT((Inputs!$A$5:$A$110=$B11)*ISNUMBER(INDEX(Inputs!$K$5:$AJ$110,0,MATCH(V$2,Inputs!$K$4:$AJ$4,0))))+SUMPRODUCT((Inputs!$C$5:$C$110=$B11)*ISNUMBER(INDEX(Inputs!$K$5:$AJ$110,0,MATCH(V$2,Inputs!$K$4:$AJ$4,0))))+SUMPRODUCT((Inputs!$E$5:$E$110=$B11)*ISNUMBER(INDEX(Inputs!$K$5:$AJ$110,0,MATCH(V$2,Inputs!$K$4:$AJ$4,0))))=0,NA(),SUMPRODUCT((Inputs!$A$5:$A$110=$B11)*Inputs!$B$5:$B$110*(((Inputs!$G$5:$G$110="moeda")+(Inputs!$G$5:$G$110="acoes"))*Inputs!$B$1+((Inputs!$G$5:$G$110&lt;&gt;"moeda")*(Inputs!$G$5:$G$110&lt;&gt;"acoes")))*INDEX(Inputs!$K$5:$AJ$110,0,MATCH(V$2,Inputs!$K$4:$AJ$4,0)))+SUMPRODUCT((Inputs!$C$5:$C$110=$B11)*Inputs!$D$5:$D$110*(((Inputs!$G$5:$G$110="moeda")+(Inputs!$G$5:$G$110="acoes"))*Inputs!$B$1+((Inputs!$G$5:$G$110&lt;&gt;"moeda")*(Inputs!$G$5:$G$110&lt;&gt;"acoes")))*INDEX(Inputs!$K$5:$AJ$110,0,MATCH(V$2,Inputs!$K$4:$AJ$4,0)))+SUMPRODUCT((Inputs!$E$5:$E$110=$B11)*Inputs!$F$5:$F$110*(((Inputs!$G$5:$G$110="moeda")+(Inputs!$G$5:$G$110="acoes"))*Inputs!$B$1+((Inputs!$G$5:$G$110&lt;&gt;"moeda")*(Inputs!$G$5:$G$110&lt;&gt;"acoes")))*INDEX(Inputs!$K$5:$AJ$110,0,MATCH(V$2,Inputs!$K$4:$AJ$4,0)))))</f>
        <v>0</v>
      </c>
      <c r="W11" s="3">
        <f>SUM(S11:V11)</f>
        <v>0</v>
      </c>
      <c r="X11" s="6">
        <f>IF(ISNA(MATCH(X$2,Inputs!$K$4:$AJ$4,0)),NA(),IF(SUMPRODUCT((Inputs!$A$5:$A$110=$B11)*ISNUMBER(INDEX(Inputs!$K$5:$AJ$110,0,MATCH(X$2,Inputs!$K$4:$AJ$4,0))))+SUMPRODUCT((Inputs!$C$5:$C$110=$B11)*ISNUMBER(INDEX(Inputs!$K$5:$AJ$110,0,MATCH(X$2,Inputs!$K$4:$AJ$4,0))))+SUMPRODUCT((Inputs!$E$5:$E$110=$B11)*ISNUMBER(INDEX(Inputs!$K$5:$AJ$110,0,MATCH(X$2,Inputs!$K$4:$AJ$4,0))))=0,NA(),SUMPRODUCT((Inputs!$A$5:$A$110=$B11)*Inputs!$B$5:$B$110*(((Inputs!$G$5:$G$110="moeda")+(Inputs!$G$5:$G$110="acoes"))*Inputs!$B$1+((Inputs!$G$5:$G$110&lt;&gt;"moeda")*(Inputs!$G$5:$G$110&lt;&gt;"acoes")))*INDEX(Inputs!$K$5:$AJ$110,0,MATCH(X$2,Inputs!$K$4:$AJ$4,0)))+SUMPRODUCT((Inputs!$C$5:$C$110=$B11)*Inputs!$D$5:$D$110*(((Inputs!$G$5:$G$110="moeda")+(Inputs!$G$5:$G$110="acoes"))*Inputs!$B$1+((Inputs!$G$5:$G$110&lt;&gt;"moeda")*(Inputs!$G$5:$G$110&lt;&gt;"acoes")))*INDEX(Inputs!$K$5:$AJ$110,0,MATCH(X$2,Inputs!$K$4:$AJ$4,0)))+SUMPRODUCT((Inputs!$E$5:$E$110=$B11)*Inputs!$F$5:$F$110*(((Inputs!$G$5:$G$110="moeda")+(Inputs!$G$5:$G$110="acoes"))*Inputs!$B$1+((Inputs!$G$5:$G$110&lt;&gt;"moeda")*(Inputs!$G$5:$G$110&lt;&gt;"acoes")))*INDEX(Inputs!$K$5:$AJ$110,0,MATCH(X$2,Inputs!$K$4:$AJ$4,0)))))</f>
        <v>0</v>
      </c>
      <c r="Y11" s="6">
        <f>IF(ISNA(MATCH(Y$2,Inputs!$K$4:$AJ$4,0)),NA(),IF(SUMPRODUCT((Inputs!$A$5:$A$110=$B11)*ISNUMBER(INDEX(Inputs!$K$5:$AJ$110,0,MATCH(Y$2,Inputs!$K$4:$AJ$4,0))))+SUMPRODUCT((Inputs!$C$5:$C$110=$B11)*ISNUMBER(INDEX(Inputs!$K$5:$AJ$110,0,MATCH(Y$2,Inputs!$K$4:$AJ$4,0))))+SUMPRODUCT((Inputs!$E$5:$E$110=$B11)*ISNUMBER(INDEX(Inputs!$K$5:$AJ$110,0,MATCH(Y$2,Inputs!$K$4:$AJ$4,0))))=0,NA(),SUMPRODUCT((Inputs!$A$5:$A$110=$B11)*Inputs!$B$5:$B$110*(((Inputs!$G$5:$G$110="moeda")+(Inputs!$G$5:$G$110="acoes"))*Inputs!$B$1+((Inputs!$G$5:$G$110&lt;&gt;"moeda")*(Inputs!$G$5:$G$110&lt;&gt;"acoes")))*INDEX(Inputs!$K$5:$AJ$110,0,MATCH(Y$2,Inputs!$K$4:$AJ$4,0)))+SUMPRODUCT((Inputs!$C$5:$C$110=$B11)*Inputs!$D$5:$D$110*(((Inputs!$G$5:$G$110="moeda")+(Inputs!$G$5:$G$110="acoes"))*Inputs!$B$1+((Inputs!$G$5:$G$110&lt;&gt;"moeda")*(Inputs!$G$5:$G$110&lt;&gt;"acoes")))*INDEX(Inputs!$K$5:$AJ$110,0,MATCH(Y$2,Inputs!$K$4:$AJ$4,0)))+SUMPRODUCT((Inputs!$E$5:$E$110=$B11)*Inputs!$F$5:$F$110*(((Inputs!$G$5:$G$110="moeda")+(Inputs!$G$5:$G$110="acoes"))*Inputs!$B$1+((Inputs!$G$5:$G$110&lt;&gt;"moeda")*(Inputs!$G$5:$G$110&lt;&gt;"acoes")))*INDEX(Inputs!$K$5:$AJ$110,0,MATCH(Y$2,Inputs!$K$4:$AJ$4,0)))))</f>
        <v>0</v>
      </c>
      <c r="Z11" s="6">
        <f>IF(ISNA(MATCH(Z$2,Inputs!$K$4:$AJ$4,0)),NA(),IF(SUMPRODUCT((Inputs!$A$5:$A$110=$B11)*ISNUMBER(INDEX(Inputs!$K$5:$AJ$110,0,MATCH(Z$2,Inputs!$K$4:$AJ$4,0))))+SUMPRODUCT((Inputs!$C$5:$C$110=$B11)*ISNUMBER(INDEX(Inputs!$K$5:$AJ$110,0,MATCH(Z$2,Inputs!$K$4:$AJ$4,0))))+SUMPRODUCT((Inputs!$E$5:$E$110=$B11)*ISNUMBER(INDEX(Inputs!$K$5:$AJ$110,0,MATCH(Z$2,Inputs!$K$4:$AJ$4,0))))=0,NA(),SUMPRODUCT((Inputs!$A$5:$A$110=$B11)*Inputs!$B$5:$B$110*(((Inputs!$G$5:$G$110="moeda")+(Inputs!$G$5:$G$110="acoes"))*Inputs!$B$1+((Inputs!$G$5:$G$110&lt;&gt;"moeda")*(Inputs!$G$5:$G$110&lt;&gt;"acoes")))*INDEX(Inputs!$K$5:$AJ$110,0,MATCH(Z$2,Inputs!$K$4:$AJ$4,0)))+SUMPRODUCT((Inputs!$C$5:$C$110=$B11)*Inputs!$D$5:$D$110*(((Inputs!$G$5:$G$110="moeda")+(Inputs!$G$5:$G$110="acoes"))*Inputs!$B$1+((Inputs!$G$5:$G$110&lt;&gt;"moeda")*(Inputs!$G$5:$G$110&lt;&gt;"acoes")))*INDEX(Inputs!$K$5:$AJ$110,0,MATCH(Z$2,Inputs!$K$4:$AJ$4,0)))+SUMPRODUCT((Inputs!$E$5:$E$110=$B11)*Inputs!$F$5:$F$110*(((Inputs!$G$5:$G$110="moeda")+(Inputs!$G$5:$G$110="acoes"))*Inputs!$B$1+((Inputs!$G$5:$G$110&lt;&gt;"moeda")*(Inputs!$G$5:$G$110&lt;&gt;"acoes")))*INDEX(Inputs!$K$5:$AJ$110,0,MATCH(Z$2,Inputs!$K$4:$AJ$4,0)))))</f>
        <v>0</v>
      </c>
      <c r="AA11" s="6">
        <f>IF(ISNA(MATCH(AA$2,Inputs!$K$4:$AJ$4,0)),NA(),IF(SUMPRODUCT((Inputs!$A$5:$A$110=$B11)*ISNUMBER(INDEX(Inputs!$K$5:$AJ$110,0,MATCH(AA$2,Inputs!$K$4:$AJ$4,0))))+SUMPRODUCT((Inputs!$C$5:$C$110=$B11)*ISNUMBER(INDEX(Inputs!$K$5:$AJ$110,0,MATCH(AA$2,Inputs!$K$4:$AJ$4,0))))+SUMPRODUCT((Inputs!$E$5:$E$110=$B11)*ISNUMBER(INDEX(Inputs!$K$5:$AJ$110,0,MATCH(AA$2,Inputs!$K$4:$AJ$4,0))))=0,NA(),SUMPRODUCT((Inputs!$A$5:$A$110=$B11)*Inputs!$B$5:$B$110*(((Inputs!$G$5:$G$110="moeda")+(Inputs!$G$5:$G$110="acoes"))*Inputs!$B$1+((Inputs!$G$5:$G$110&lt;&gt;"moeda")*(Inputs!$G$5:$G$110&lt;&gt;"acoes")))*INDEX(Inputs!$K$5:$AJ$110,0,MATCH(AA$2,Inputs!$K$4:$AJ$4,0)))+SUMPRODUCT((Inputs!$C$5:$C$110=$B11)*Inputs!$D$5:$D$110*(((Inputs!$G$5:$G$110="moeda")+(Inputs!$G$5:$G$110="acoes"))*Inputs!$B$1+((Inputs!$G$5:$G$110&lt;&gt;"moeda")*(Inputs!$G$5:$G$110&lt;&gt;"acoes")))*INDEX(Inputs!$K$5:$AJ$110,0,MATCH(AA$2,Inputs!$K$4:$AJ$4,0)))+SUMPRODUCT((Inputs!$E$5:$E$110=$B11)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1" s="3">
        <f>SUM(X11:AA11)</f>
        <v>0</v>
      </c>
      <c r="AC11" s="6">
        <f>IF(ISNA(MATCH(AC$2,Inputs!$K$4:$AJ$4,0)),NA(),IF(SUMPRODUCT((Inputs!$A$5:$A$110=$B11)*ISNUMBER(INDEX(Inputs!$K$5:$AJ$110,0,MATCH(AC$2,Inputs!$K$4:$AJ$4,0))))+SUMPRODUCT((Inputs!$C$5:$C$110=$B11)*ISNUMBER(INDEX(Inputs!$K$5:$AJ$110,0,MATCH(AC$2,Inputs!$K$4:$AJ$4,0))))+SUMPRODUCT((Inputs!$E$5:$E$110=$B11)*ISNUMBER(INDEX(Inputs!$K$5:$AJ$110,0,MATCH(AC$2,Inputs!$K$4:$AJ$4,0))))=0,NA(),SUMPRODUCT((Inputs!$A$5:$A$110=$B11)*Inputs!$B$5:$B$110*(((Inputs!$G$5:$G$110="moeda")+(Inputs!$G$5:$G$110="acoes"))*Inputs!$B$1+((Inputs!$G$5:$G$110&lt;&gt;"moeda")*(Inputs!$G$5:$G$110&lt;&gt;"acoes")))*INDEX(Inputs!$K$5:$AJ$110,0,MATCH(AC$2,Inputs!$K$4:$AJ$4,0)))+SUMPRODUCT((Inputs!$C$5:$C$110=$B11)*Inputs!$D$5:$D$110*(((Inputs!$G$5:$G$110="moeda")+(Inputs!$G$5:$G$110="acoes"))*Inputs!$B$1+((Inputs!$G$5:$G$110&lt;&gt;"moeda")*(Inputs!$G$5:$G$110&lt;&gt;"acoes")))*INDEX(Inputs!$K$5:$AJ$110,0,MATCH(AC$2,Inputs!$K$4:$AJ$4,0)))+SUMPRODUCT((Inputs!$E$5:$E$110=$B11)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1" s="6">
        <f>IF(ISNA(MATCH(AD$2,Inputs!$K$4:$AJ$4,0)),NA(),IF(SUMPRODUCT((Inputs!$A$5:$A$110=$B11)*ISNUMBER(INDEX(Inputs!$K$5:$AJ$110,0,MATCH(AD$2,Inputs!$K$4:$AJ$4,0))))+SUMPRODUCT((Inputs!$C$5:$C$110=$B11)*ISNUMBER(INDEX(Inputs!$K$5:$AJ$110,0,MATCH(AD$2,Inputs!$K$4:$AJ$4,0))))+SUMPRODUCT((Inputs!$E$5:$E$110=$B11)*ISNUMBER(INDEX(Inputs!$K$5:$AJ$110,0,MATCH(AD$2,Inputs!$K$4:$AJ$4,0))))=0,NA(),SUMPRODUCT((Inputs!$A$5:$A$110=$B11)*Inputs!$B$5:$B$110*(((Inputs!$G$5:$G$110="moeda")+(Inputs!$G$5:$G$110="acoes"))*Inputs!$B$1+((Inputs!$G$5:$G$110&lt;&gt;"moeda")*(Inputs!$G$5:$G$110&lt;&gt;"acoes")))*INDEX(Inputs!$K$5:$AJ$110,0,MATCH(AD$2,Inputs!$K$4:$AJ$4,0)))+SUMPRODUCT((Inputs!$C$5:$C$110=$B11)*Inputs!$D$5:$D$110*(((Inputs!$G$5:$G$110="moeda")+(Inputs!$G$5:$G$110="acoes"))*Inputs!$B$1+((Inputs!$G$5:$G$110&lt;&gt;"moeda")*(Inputs!$G$5:$G$110&lt;&gt;"acoes")))*INDEX(Inputs!$K$5:$AJ$110,0,MATCH(AD$2,Inputs!$K$4:$AJ$4,0)))+SUMPRODUCT((Inputs!$E$5:$E$110=$B11)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1" s="6" t="e">
        <f>IF(ISNA(MATCH(AE$2,Inputs!$K$4:$AJ$4,0)),NA(),IF(SUMPRODUCT((Inputs!$A$5:$A$110=$B11)*ISNUMBER(INDEX(Inputs!$K$5:$AJ$110,0,MATCH(AE$2,Inputs!$K$4:$AJ$4,0))))+SUMPRODUCT((Inputs!$C$5:$C$110=$B11)*ISNUMBER(INDEX(Inputs!$K$5:$AJ$110,0,MATCH(AE$2,Inputs!$K$4:$AJ$4,0))))+SUMPRODUCT((Inputs!$E$5:$E$110=$B11)*ISNUMBER(INDEX(Inputs!$K$5:$AJ$110,0,MATCH(AE$2,Inputs!$K$4:$AJ$4,0))))=0,NA(),SUMPRODUCT((Inputs!$A$5:$A$110=$B11)*Inputs!$B$5:$B$110*(((Inputs!$G$5:$G$110="moeda")+(Inputs!$G$5:$G$110="acoes"))*Inputs!$B$1+((Inputs!$G$5:$G$110&lt;&gt;"moeda")*(Inputs!$G$5:$G$110&lt;&gt;"acoes")))*INDEX(Inputs!$K$5:$AJ$110,0,MATCH(AE$2,Inputs!$K$4:$AJ$4,0)))+SUMPRODUCT((Inputs!$C$5:$C$110=$B11)*Inputs!$D$5:$D$110*(((Inputs!$G$5:$G$110="moeda")+(Inputs!$G$5:$G$110="acoes"))*Inputs!$B$1+((Inputs!$G$5:$G$110&lt;&gt;"moeda")*(Inputs!$G$5:$G$110&lt;&gt;"acoes")))*INDEX(Inputs!$K$5:$AJ$110,0,MATCH(AE$2,Inputs!$K$4:$AJ$4,0)))+SUMPRODUCT((Inputs!$E$5:$E$110=$B11)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1" s="6" t="e">
        <f>IF(ISNA(MATCH(AF$2,Inputs!$K$4:$AJ$4,0)),NA(),IF(SUMPRODUCT((Inputs!$A$5:$A$110=$B11)*ISNUMBER(INDEX(Inputs!$K$5:$AJ$110,0,MATCH(AF$2,Inputs!$K$4:$AJ$4,0))))+SUMPRODUCT((Inputs!$C$5:$C$110=$B11)*ISNUMBER(INDEX(Inputs!$K$5:$AJ$110,0,MATCH(AF$2,Inputs!$K$4:$AJ$4,0))))+SUMPRODUCT((Inputs!$E$5:$E$110=$B11)*ISNUMBER(INDEX(Inputs!$K$5:$AJ$110,0,MATCH(AF$2,Inputs!$K$4:$AJ$4,0))))=0,NA(),SUMPRODUCT((Inputs!$A$5:$A$110=$B11)*Inputs!$B$5:$B$110*(((Inputs!$G$5:$G$110="moeda")+(Inputs!$G$5:$G$110="acoes"))*Inputs!$B$1+((Inputs!$G$5:$G$110&lt;&gt;"moeda")*(Inputs!$G$5:$G$110&lt;&gt;"acoes")))*INDEX(Inputs!$K$5:$AJ$110,0,MATCH(AF$2,Inputs!$K$4:$AJ$4,0)))+SUMPRODUCT((Inputs!$C$5:$C$110=$B11)*Inputs!$D$5:$D$110*(((Inputs!$G$5:$G$110="moeda")+(Inputs!$G$5:$G$110="acoes"))*Inputs!$B$1+((Inputs!$G$5:$G$110&lt;&gt;"moeda")*(Inputs!$G$5:$G$110&lt;&gt;"acoes")))*INDEX(Inputs!$K$5:$AJ$110,0,MATCH(AF$2,Inputs!$K$4:$AJ$4,0)))+SUMPRODUCT((Inputs!$E$5:$E$110=$B11)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1" s="3" t="e">
        <f>SUM(AC11:AF11)</f>
        <v>#N/A</v>
      </c>
      <c r="AH11" s="6">
        <f>IF(ISNA(MATCH(AH$2,Inputs!$K$4:$AJ$4,0)),NA(),IF(SUMPRODUCT((Inputs!$A$5:$A$110=$B11)*ISNUMBER(INDEX(Inputs!$K$5:$AJ$110,0,MATCH(AH$2,Inputs!$K$4:$AJ$4,0))))+SUMPRODUCT((Inputs!$C$5:$C$110=$B11)*ISNUMBER(INDEX(Inputs!$K$5:$AJ$110,0,MATCH(AH$2,Inputs!$K$4:$AJ$4,0))))+SUMPRODUCT((Inputs!$E$5:$E$110=$B11)*ISNUMBER(INDEX(Inputs!$K$5:$AJ$110,0,MATCH(AH$2,Inputs!$K$4:$AJ$4,0))))=0,NA(),SUMPRODUCT((Inputs!$A$5:$A$110=$B11)*Inputs!$B$5:$B$110*(((Inputs!$G$5:$G$110="moeda")+(Inputs!$G$5:$G$110="acoes"))*Inputs!$B$1+((Inputs!$G$5:$G$110&lt;&gt;"moeda")*(Inputs!$G$5:$G$110&lt;&gt;"acoes")))*INDEX(Inputs!$K$5:$AJ$110,0,MATCH(AH$2,Inputs!$K$4:$AJ$4,0)))+SUMPRODUCT((Inputs!$C$5:$C$110=$B11)*Inputs!$D$5:$D$110*(((Inputs!$G$5:$G$110="moeda")+(Inputs!$G$5:$G$110="acoes"))*Inputs!$B$1+((Inputs!$G$5:$G$110&lt;&gt;"moeda")*(Inputs!$G$5:$G$110&lt;&gt;"acoes")))*INDEX(Inputs!$K$5:$AJ$110,0,MATCH(AH$2,Inputs!$K$4:$AJ$4,0)))+SUMPRODUCT((Inputs!$E$5:$E$110=$B11)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1" s="6">
        <f>IF(ISNA(MATCH(AI$2,Inputs!$K$4:$AJ$4,0)),NA(),IF(SUMPRODUCT((Inputs!$A$5:$A$110=$B11)*ISNUMBER(INDEX(Inputs!$K$5:$AJ$110,0,MATCH(AI$2,Inputs!$K$4:$AJ$4,0))))+SUMPRODUCT((Inputs!$C$5:$C$110=$B11)*ISNUMBER(INDEX(Inputs!$K$5:$AJ$110,0,MATCH(AI$2,Inputs!$K$4:$AJ$4,0))))+SUMPRODUCT((Inputs!$E$5:$E$110=$B11)*ISNUMBER(INDEX(Inputs!$K$5:$AJ$110,0,MATCH(AI$2,Inputs!$K$4:$AJ$4,0))))=0,NA(),SUMPRODUCT((Inputs!$A$5:$A$110=$B11)*Inputs!$B$5:$B$110*(((Inputs!$G$5:$G$110="moeda")+(Inputs!$G$5:$G$110="acoes"))*Inputs!$B$1+((Inputs!$G$5:$G$110&lt;&gt;"moeda")*(Inputs!$G$5:$G$110&lt;&gt;"acoes")))*INDEX(Inputs!$K$5:$AJ$110,0,MATCH(AI$2,Inputs!$K$4:$AJ$4,0)))+SUMPRODUCT((Inputs!$C$5:$C$110=$B11)*Inputs!$D$5:$D$110*(((Inputs!$G$5:$G$110="moeda")+(Inputs!$G$5:$G$110="acoes"))*Inputs!$B$1+((Inputs!$G$5:$G$110&lt;&gt;"moeda")*(Inputs!$G$5:$G$110&lt;&gt;"acoes")))*INDEX(Inputs!$K$5:$AJ$110,0,MATCH(AI$2,Inputs!$K$4:$AJ$4,0)))+SUMPRODUCT((Inputs!$E$5:$E$110=$B11)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1" s="6">
        <f>IF(ISNA(MATCH(AJ$2,Inputs!$K$4:$AJ$4,0)),NA(),IF(SUMPRODUCT((Inputs!$A$5:$A$110=$B11)*ISNUMBER(INDEX(Inputs!$K$5:$AJ$110,0,MATCH(AJ$2,Inputs!$K$4:$AJ$4,0))))+SUMPRODUCT((Inputs!$C$5:$C$110=$B11)*ISNUMBER(INDEX(Inputs!$K$5:$AJ$110,0,MATCH(AJ$2,Inputs!$K$4:$AJ$4,0))))+SUMPRODUCT((Inputs!$E$5:$E$110=$B11)*ISNUMBER(INDEX(Inputs!$K$5:$AJ$110,0,MATCH(AJ$2,Inputs!$K$4:$AJ$4,0))))=0,NA(),SUMPRODUCT((Inputs!$A$5:$A$110=$B11)*Inputs!$B$5:$B$110*(((Inputs!$G$5:$G$110="moeda")+(Inputs!$G$5:$G$110="acoes"))*Inputs!$B$1+((Inputs!$G$5:$G$110&lt;&gt;"moeda")*(Inputs!$G$5:$G$110&lt;&gt;"acoes")))*INDEX(Inputs!$K$5:$AJ$110,0,MATCH(AJ$2,Inputs!$K$4:$AJ$4,0)))+SUMPRODUCT((Inputs!$C$5:$C$110=$B11)*Inputs!$D$5:$D$110*(((Inputs!$G$5:$G$110="moeda")+(Inputs!$G$5:$G$110="acoes"))*Inputs!$B$1+((Inputs!$G$5:$G$110&lt;&gt;"moeda")*(Inputs!$G$5:$G$110&lt;&gt;"acoes")))*INDEX(Inputs!$K$5:$AJ$110,0,MATCH(AJ$2,Inputs!$K$4:$AJ$4,0)))+SUMPRODUCT((Inputs!$E$5:$E$110=$B11)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1" s="6">
        <f>IF(ISNA(MATCH(AK$2,Inputs!$K$4:$AJ$4,0)),NA(),IF(SUMPRODUCT((Inputs!$A$5:$A$110=$B11)*ISNUMBER(INDEX(Inputs!$K$5:$AJ$110,0,MATCH(AK$2,Inputs!$K$4:$AJ$4,0))))+SUMPRODUCT((Inputs!$C$5:$C$110=$B11)*ISNUMBER(INDEX(Inputs!$K$5:$AJ$110,0,MATCH(AK$2,Inputs!$K$4:$AJ$4,0))))+SUMPRODUCT((Inputs!$E$5:$E$110=$B11)*ISNUMBER(INDEX(Inputs!$K$5:$AJ$110,0,MATCH(AK$2,Inputs!$K$4:$AJ$4,0))))=0,NA(),SUMPRODUCT((Inputs!$A$5:$A$110=$B11)*Inputs!$B$5:$B$110*(((Inputs!$G$5:$G$110="moeda")+(Inputs!$G$5:$G$110="acoes"))*Inputs!$B$1+((Inputs!$G$5:$G$110&lt;&gt;"moeda")*(Inputs!$G$5:$G$110&lt;&gt;"acoes")))*INDEX(Inputs!$K$5:$AJ$110,0,MATCH(AK$2,Inputs!$K$4:$AJ$4,0)))+SUMPRODUCT((Inputs!$C$5:$C$110=$B11)*Inputs!$D$5:$D$110*(((Inputs!$G$5:$G$110="moeda")+(Inputs!$G$5:$G$110="acoes"))*Inputs!$B$1+((Inputs!$G$5:$G$110&lt;&gt;"moeda")*(Inputs!$G$5:$G$110&lt;&gt;"acoes")))*INDEX(Inputs!$K$5:$AJ$110,0,MATCH(AK$2,Inputs!$K$4:$AJ$4,0)))+SUMPRODUCT((Inputs!$E$5:$E$110=$B11)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1" s="3">
        <f>SUM(AH11:AK11)</f>
        <v>0</v>
      </c>
    </row>
    <row r="12">
      <c r="B12" s="46" t="n">
        <v>9</v>
      </c>
      <c r="C12" s="26" t="inlineStr">
        <is>
          <t>Minority Interest Expense, after tax (enter as - )</t>
        </is>
      </c>
      <c r="D12" s="6" t="e">
        <f>IF(ISNA(MATCH(D$2,Inputs!$K$4:$AJ$4,0)),NA(),IF(SUMPRODUCT((Inputs!$A$5:$A$110=$B12)*ISNUMBER(INDEX(Inputs!$K$5:$AJ$110,0,MATCH(D$2,Inputs!$K$4:$AJ$4,0))))+SUMPRODUCT((Inputs!$C$5:$C$110=$B12)*ISNUMBER(INDEX(Inputs!$K$5:$AJ$110,0,MATCH(D$2,Inputs!$K$4:$AJ$4,0))))+SUMPRODUCT((Inputs!$E$5:$E$110=$B12)*ISNUMBER(INDEX(Inputs!$K$5:$AJ$110,0,MATCH(D$2,Inputs!$K$4:$AJ$4,0))))=0,NA(),SUMPRODUCT((Inputs!$A$5:$A$110=$B12)*Inputs!$B$5:$B$110*(((Inputs!$G$5:$G$110="moeda")+(Inputs!$G$5:$G$110="acoes"))*Inputs!$B$1+((Inputs!$G$5:$G$110&lt;&gt;"moeda")*(Inputs!$G$5:$G$110&lt;&gt;"acoes")))*INDEX(Inputs!$K$5:$AJ$110,0,MATCH(D$2,Inputs!$K$4:$AJ$4,0)))+SUMPRODUCT((Inputs!$C$5:$C$110=$B12)*Inputs!$D$5:$D$110*(((Inputs!$G$5:$G$110="moeda")+(Inputs!$G$5:$G$110="acoes"))*Inputs!$B$1+((Inputs!$G$5:$G$110&lt;&gt;"moeda")*(Inputs!$G$5:$G$110&lt;&gt;"acoes")))*INDEX(Inputs!$K$5:$AJ$110,0,MATCH(D$2,Inputs!$K$4:$AJ$4,0)))+SUMPRODUCT((Inputs!$E$5:$E$110=$B12)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12" s="6" t="e">
        <f>IF(ISNA(MATCH(E$2,Inputs!$K$4:$AJ$4,0)),NA(),IF(SUMPRODUCT((Inputs!$A$5:$A$110=$B12)*ISNUMBER(INDEX(Inputs!$K$5:$AJ$110,0,MATCH(E$2,Inputs!$K$4:$AJ$4,0))))+SUMPRODUCT((Inputs!$C$5:$C$110=$B12)*ISNUMBER(INDEX(Inputs!$K$5:$AJ$110,0,MATCH(E$2,Inputs!$K$4:$AJ$4,0))))+SUMPRODUCT((Inputs!$E$5:$E$110=$B12)*ISNUMBER(INDEX(Inputs!$K$5:$AJ$110,0,MATCH(E$2,Inputs!$K$4:$AJ$4,0))))=0,NA(),SUMPRODUCT((Inputs!$A$5:$A$110=$B12)*Inputs!$B$5:$B$110*(((Inputs!$G$5:$G$110="moeda")+(Inputs!$G$5:$G$110="acoes"))*Inputs!$B$1+((Inputs!$G$5:$G$110&lt;&gt;"moeda")*(Inputs!$G$5:$G$110&lt;&gt;"acoes")))*INDEX(Inputs!$K$5:$AJ$110,0,MATCH(E$2,Inputs!$K$4:$AJ$4,0)))+SUMPRODUCT((Inputs!$C$5:$C$110=$B12)*Inputs!$D$5:$D$110*(((Inputs!$G$5:$G$110="moeda")+(Inputs!$G$5:$G$110="acoes"))*Inputs!$B$1+((Inputs!$G$5:$G$110&lt;&gt;"moeda")*(Inputs!$G$5:$G$110&lt;&gt;"acoes")))*INDEX(Inputs!$K$5:$AJ$110,0,MATCH(E$2,Inputs!$K$4:$AJ$4,0)))+SUMPRODUCT((Inputs!$E$5:$E$110=$B12)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12" s="6" t="e">
        <f>IF(ISNA(MATCH(F$2,Inputs!$K$4:$AJ$4,0)),NA(),IF(SUMPRODUCT((Inputs!$A$5:$A$110=$B12)*ISNUMBER(INDEX(Inputs!$K$5:$AJ$110,0,MATCH(F$2,Inputs!$K$4:$AJ$4,0))))+SUMPRODUCT((Inputs!$C$5:$C$110=$B12)*ISNUMBER(INDEX(Inputs!$K$5:$AJ$110,0,MATCH(F$2,Inputs!$K$4:$AJ$4,0))))+SUMPRODUCT((Inputs!$E$5:$E$110=$B12)*ISNUMBER(INDEX(Inputs!$K$5:$AJ$110,0,MATCH(F$2,Inputs!$K$4:$AJ$4,0))))=0,NA(),SUMPRODUCT((Inputs!$A$5:$A$110=$B12)*Inputs!$B$5:$B$110*(((Inputs!$G$5:$G$110="moeda")+(Inputs!$G$5:$G$110="acoes"))*Inputs!$B$1+((Inputs!$G$5:$G$110&lt;&gt;"moeda")*(Inputs!$G$5:$G$110&lt;&gt;"acoes")))*INDEX(Inputs!$K$5:$AJ$110,0,MATCH(F$2,Inputs!$K$4:$AJ$4,0)))+SUMPRODUCT((Inputs!$C$5:$C$110=$B12)*Inputs!$D$5:$D$110*(((Inputs!$G$5:$G$110="moeda")+(Inputs!$G$5:$G$110="acoes"))*Inputs!$B$1+((Inputs!$G$5:$G$110&lt;&gt;"moeda")*(Inputs!$G$5:$G$110&lt;&gt;"acoes")))*INDEX(Inputs!$K$5:$AJ$110,0,MATCH(F$2,Inputs!$K$4:$AJ$4,0)))+SUMPRODUCT((Inputs!$E$5:$E$110=$B12)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12" s="6" t="e">
        <f>IF(ISNA(MATCH(G$2,Inputs!$K$4:$AJ$4,0)),NA(),IF(SUMPRODUCT((Inputs!$A$5:$A$110=$B12)*ISNUMBER(INDEX(Inputs!$K$5:$AJ$110,0,MATCH(G$2,Inputs!$K$4:$AJ$4,0))))+SUMPRODUCT((Inputs!$C$5:$C$110=$B12)*ISNUMBER(INDEX(Inputs!$K$5:$AJ$110,0,MATCH(G$2,Inputs!$K$4:$AJ$4,0))))+SUMPRODUCT((Inputs!$E$5:$E$110=$B12)*ISNUMBER(INDEX(Inputs!$K$5:$AJ$110,0,MATCH(G$2,Inputs!$K$4:$AJ$4,0))))=0,NA(),SUMPRODUCT((Inputs!$A$5:$A$110=$B12)*Inputs!$B$5:$B$110*(((Inputs!$G$5:$G$110="moeda")+(Inputs!$G$5:$G$110="acoes"))*Inputs!$B$1+((Inputs!$G$5:$G$110&lt;&gt;"moeda")*(Inputs!$G$5:$G$110&lt;&gt;"acoes")))*INDEX(Inputs!$K$5:$AJ$110,0,MATCH(G$2,Inputs!$K$4:$AJ$4,0)))+SUMPRODUCT((Inputs!$C$5:$C$110=$B12)*Inputs!$D$5:$D$110*(((Inputs!$G$5:$G$110="moeda")+(Inputs!$G$5:$G$110="acoes"))*Inputs!$B$1+((Inputs!$G$5:$G$110&lt;&gt;"moeda")*(Inputs!$G$5:$G$110&lt;&gt;"acoes")))*INDEX(Inputs!$K$5:$AJ$110,0,MATCH(G$2,Inputs!$K$4:$AJ$4,0)))+SUMPRODUCT((Inputs!$E$5:$E$110=$B12)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12" s="3" t="e">
        <f>SUM(D12:G12)</f>
        <v>#N/A</v>
      </c>
      <c r="I12" s="6" t="e">
        <f>IF(ISNA(MATCH(I$2,Inputs!$K$4:$AJ$4,0)),NA(),IF(SUMPRODUCT((Inputs!$A$5:$A$110=$B12)*ISNUMBER(INDEX(Inputs!$K$5:$AJ$110,0,MATCH(I$2,Inputs!$K$4:$AJ$4,0))))+SUMPRODUCT((Inputs!$C$5:$C$110=$B12)*ISNUMBER(INDEX(Inputs!$K$5:$AJ$110,0,MATCH(I$2,Inputs!$K$4:$AJ$4,0))))+SUMPRODUCT((Inputs!$E$5:$E$110=$B12)*ISNUMBER(INDEX(Inputs!$K$5:$AJ$110,0,MATCH(I$2,Inputs!$K$4:$AJ$4,0))))=0,NA(),SUMPRODUCT((Inputs!$A$5:$A$110=$B12)*Inputs!$B$5:$B$110*(((Inputs!$G$5:$G$110="moeda")+(Inputs!$G$5:$G$110="acoes"))*Inputs!$B$1+((Inputs!$G$5:$G$110&lt;&gt;"moeda")*(Inputs!$G$5:$G$110&lt;&gt;"acoes")))*INDEX(Inputs!$K$5:$AJ$110,0,MATCH(I$2,Inputs!$K$4:$AJ$4,0)))+SUMPRODUCT((Inputs!$C$5:$C$110=$B12)*Inputs!$D$5:$D$110*(((Inputs!$G$5:$G$110="moeda")+(Inputs!$G$5:$G$110="acoes"))*Inputs!$B$1+((Inputs!$G$5:$G$110&lt;&gt;"moeda")*(Inputs!$G$5:$G$110&lt;&gt;"acoes")))*INDEX(Inputs!$K$5:$AJ$110,0,MATCH(I$2,Inputs!$K$4:$AJ$4,0)))+SUMPRODUCT((Inputs!$E$5:$E$110=$B12)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12" s="6" t="e">
        <f>IF(ISNA(MATCH(J$2,Inputs!$K$4:$AJ$4,0)),NA(),IF(SUMPRODUCT((Inputs!$A$5:$A$110=$B12)*ISNUMBER(INDEX(Inputs!$K$5:$AJ$110,0,MATCH(J$2,Inputs!$K$4:$AJ$4,0))))+SUMPRODUCT((Inputs!$C$5:$C$110=$B12)*ISNUMBER(INDEX(Inputs!$K$5:$AJ$110,0,MATCH(J$2,Inputs!$K$4:$AJ$4,0))))+SUMPRODUCT((Inputs!$E$5:$E$110=$B12)*ISNUMBER(INDEX(Inputs!$K$5:$AJ$110,0,MATCH(J$2,Inputs!$K$4:$AJ$4,0))))=0,NA(),SUMPRODUCT((Inputs!$A$5:$A$110=$B12)*Inputs!$B$5:$B$110*(((Inputs!$G$5:$G$110="moeda")+(Inputs!$G$5:$G$110="acoes"))*Inputs!$B$1+((Inputs!$G$5:$G$110&lt;&gt;"moeda")*(Inputs!$G$5:$G$110&lt;&gt;"acoes")))*INDEX(Inputs!$K$5:$AJ$110,0,MATCH(J$2,Inputs!$K$4:$AJ$4,0)))+SUMPRODUCT((Inputs!$C$5:$C$110=$B12)*Inputs!$D$5:$D$110*(((Inputs!$G$5:$G$110="moeda")+(Inputs!$G$5:$G$110="acoes"))*Inputs!$B$1+((Inputs!$G$5:$G$110&lt;&gt;"moeda")*(Inputs!$G$5:$G$110&lt;&gt;"acoes")))*INDEX(Inputs!$K$5:$AJ$110,0,MATCH(J$2,Inputs!$K$4:$AJ$4,0)))+SUMPRODUCT((Inputs!$E$5:$E$110=$B12)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12" s="6" t="e">
        <f>IF(ISNA(MATCH(K$2,Inputs!$K$4:$AJ$4,0)),NA(),IF(SUMPRODUCT((Inputs!$A$5:$A$110=$B12)*ISNUMBER(INDEX(Inputs!$K$5:$AJ$110,0,MATCH(K$2,Inputs!$K$4:$AJ$4,0))))+SUMPRODUCT((Inputs!$C$5:$C$110=$B12)*ISNUMBER(INDEX(Inputs!$K$5:$AJ$110,0,MATCH(K$2,Inputs!$K$4:$AJ$4,0))))+SUMPRODUCT((Inputs!$E$5:$E$110=$B12)*ISNUMBER(INDEX(Inputs!$K$5:$AJ$110,0,MATCH(K$2,Inputs!$K$4:$AJ$4,0))))=0,NA(),SUMPRODUCT((Inputs!$A$5:$A$110=$B12)*Inputs!$B$5:$B$110*(((Inputs!$G$5:$G$110="moeda")+(Inputs!$G$5:$G$110="acoes"))*Inputs!$B$1+((Inputs!$G$5:$G$110&lt;&gt;"moeda")*(Inputs!$G$5:$G$110&lt;&gt;"acoes")))*INDEX(Inputs!$K$5:$AJ$110,0,MATCH(K$2,Inputs!$K$4:$AJ$4,0)))+SUMPRODUCT((Inputs!$C$5:$C$110=$B12)*Inputs!$D$5:$D$110*(((Inputs!$G$5:$G$110="moeda")+(Inputs!$G$5:$G$110="acoes"))*Inputs!$B$1+((Inputs!$G$5:$G$110&lt;&gt;"moeda")*(Inputs!$G$5:$G$110&lt;&gt;"acoes")))*INDEX(Inputs!$K$5:$AJ$110,0,MATCH(K$2,Inputs!$K$4:$AJ$4,0)))+SUMPRODUCT((Inputs!$E$5:$E$110=$B12)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12" s="6" t="e">
        <f>IF(ISNA(MATCH(L$2,Inputs!$K$4:$AJ$4,0)),NA(),IF(SUMPRODUCT((Inputs!$A$5:$A$110=$B12)*ISNUMBER(INDEX(Inputs!$K$5:$AJ$110,0,MATCH(L$2,Inputs!$K$4:$AJ$4,0))))+SUMPRODUCT((Inputs!$C$5:$C$110=$B12)*ISNUMBER(INDEX(Inputs!$K$5:$AJ$110,0,MATCH(L$2,Inputs!$K$4:$AJ$4,0))))+SUMPRODUCT((Inputs!$E$5:$E$110=$B12)*ISNUMBER(INDEX(Inputs!$K$5:$AJ$110,0,MATCH(L$2,Inputs!$K$4:$AJ$4,0))))=0,NA(),SUMPRODUCT((Inputs!$A$5:$A$110=$B12)*Inputs!$B$5:$B$110*(((Inputs!$G$5:$G$110="moeda")+(Inputs!$G$5:$G$110="acoes"))*Inputs!$B$1+((Inputs!$G$5:$G$110&lt;&gt;"moeda")*(Inputs!$G$5:$G$110&lt;&gt;"acoes")))*INDEX(Inputs!$K$5:$AJ$110,0,MATCH(L$2,Inputs!$K$4:$AJ$4,0)))+SUMPRODUCT((Inputs!$C$5:$C$110=$B12)*Inputs!$D$5:$D$110*(((Inputs!$G$5:$G$110="moeda")+(Inputs!$G$5:$G$110="acoes"))*Inputs!$B$1+((Inputs!$G$5:$G$110&lt;&gt;"moeda")*(Inputs!$G$5:$G$110&lt;&gt;"acoes")))*INDEX(Inputs!$K$5:$AJ$110,0,MATCH(L$2,Inputs!$K$4:$AJ$4,0)))+SUMPRODUCT((Inputs!$E$5:$E$110=$B12)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12" s="3" t="e">
        <f>SUM(I12:L12)</f>
        <v>#N/A</v>
      </c>
      <c r="N12" s="6" t="e">
        <f>IF(ISNA(MATCH(N$2,Inputs!$K$4:$AJ$4,0)),NA(),IF(SUMPRODUCT((Inputs!$A$5:$A$110=$B12)*ISNUMBER(INDEX(Inputs!$K$5:$AJ$110,0,MATCH(N$2,Inputs!$K$4:$AJ$4,0))))+SUMPRODUCT((Inputs!$C$5:$C$110=$B12)*ISNUMBER(INDEX(Inputs!$K$5:$AJ$110,0,MATCH(N$2,Inputs!$K$4:$AJ$4,0))))+SUMPRODUCT((Inputs!$E$5:$E$110=$B12)*ISNUMBER(INDEX(Inputs!$K$5:$AJ$110,0,MATCH(N$2,Inputs!$K$4:$AJ$4,0))))=0,NA(),SUMPRODUCT((Inputs!$A$5:$A$110=$B12)*Inputs!$B$5:$B$110*(((Inputs!$G$5:$G$110="moeda")+(Inputs!$G$5:$G$110="acoes"))*Inputs!$B$1+((Inputs!$G$5:$G$110&lt;&gt;"moeda")*(Inputs!$G$5:$G$110&lt;&gt;"acoes")))*INDEX(Inputs!$K$5:$AJ$110,0,MATCH(N$2,Inputs!$K$4:$AJ$4,0)))+SUMPRODUCT((Inputs!$C$5:$C$110=$B12)*Inputs!$D$5:$D$110*(((Inputs!$G$5:$G$110="moeda")+(Inputs!$G$5:$G$110="acoes"))*Inputs!$B$1+((Inputs!$G$5:$G$110&lt;&gt;"moeda")*(Inputs!$G$5:$G$110&lt;&gt;"acoes")))*INDEX(Inputs!$K$5:$AJ$110,0,MATCH(N$2,Inputs!$K$4:$AJ$4,0)))+SUMPRODUCT((Inputs!$E$5:$E$110=$B12)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12" s="6" t="e">
        <f>IF(ISNA(MATCH(O$2,Inputs!$K$4:$AJ$4,0)),NA(),IF(SUMPRODUCT((Inputs!$A$5:$A$110=$B12)*ISNUMBER(INDEX(Inputs!$K$5:$AJ$110,0,MATCH(O$2,Inputs!$K$4:$AJ$4,0))))+SUMPRODUCT((Inputs!$C$5:$C$110=$B12)*ISNUMBER(INDEX(Inputs!$K$5:$AJ$110,0,MATCH(O$2,Inputs!$K$4:$AJ$4,0))))+SUMPRODUCT((Inputs!$E$5:$E$110=$B12)*ISNUMBER(INDEX(Inputs!$K$5:$AJ$110,0,MATCH(O$2,Inputs!$K$4:$AJ$4,0))))=0,NA(),SUMPRODUCT((Inputs!$A$5:$A$110=$B12)*Inputs!$B$5:$B$110*(((Inputs!$G$5:$G$110="moeda")+(Inputs!$G$5:$G$110="acoes"))*Inputs!$B$1+((Inputs!$G$5:$G$110&lt;&gt;"moeda")*(Inputs!$G$5:$G$110&lt;&gt;"acoes")))*INDEX(Inputs!$K$5:$AJ$110,0,MATCH(O$2,Inputs!$K$4:$AJ$4,0)))+SUMPRODUCT((Inputs!$C$5:$C$110=$B12)*Inputs!$D$5:$D$110*(((Inputs!$G$5:$G$110="moeda")+(Inputs!$G$5:$G$110="acoes"))*Inputs!$B$1+((Inputs!$G$5:$G$110&lt;&gt;"moeda")*(Inputs!$G$5:$G$110&lt;&gt;"acoes")))*INDEX(Inputs!$K$5:$AJ$110,0,MATCH(O$2,Inputs!$K$4:$AJ$4,0)))+SUMPRODUCT((Inputs!$E$5:$E$110=$B12)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12" s="6" t="e">
        <f>IF(ISNA(MATCH(P$2,Inputs!$K$4:$AJ$4,0)),NA(),IF(SUMPRODUCT((Inputs!$A$5:$A$110=$B12)*ISNUMBER(INDEX(Inputs!$K$5:$AJ$110,0,MATCH(P$2,Inputs!$K$4:$AJ$4,0))))+SUMPRODUCT((Inputs!$C$5:$C$110=$B12)*ISNUMBER(INDEX(Inputs!$K$5:$AJ$110,0,MATCH(P$2,Inputs!$K$4:$AJ$4,0))))+SUMPRODUCT((Inputs!$E$5:$E$110=$B12)*ISNUMBER(INDEX(Inputs!$K$5:$AJ$110,0,MATCH(P$2,Inputs!$K$4:$AJ$4,0))))=0,NA(),SUMPRODUCT((Inputs!$A$5:$A$110=$B12)*Inputs!$B$5:$B$110*(((Inputs!$G$5:$G$110="moeda")+(Inputs!$G$5:$G$110="acoes"))*Inputs!$B$1+((Inputs!$G$5:$G$110&lt;&gt;"moeda")*(Inputs!$G$5:$G$110&lt;&gt;"acoes")))*INDEX(Inputs!$K$5:$AJ$110,0,MATCH(P$2,Inputs!$K$4:$AJ$4,0)))+SUMPRODUCT((Inputs!$C$5:$C$110=$B12)*Inputs!$D$5:$D$110*(((Inputs!$G$5:$G$110="moeda")+(Inputs!$G$5:$G$110="acoes"))*Inputs!$B$1+((Inputs!$G$5:$G$110&lt;&gt;"moeda")*(Inputs!$G$5:$G$110&lt;&gt;"acoes")))*INDEX(Inputs!$K$5:$AJ$110,0,MATCH(P$2,Inputs!$K$4:$AJ$4,0)))+SUMPRODUCT((Inputs!$E$5:$E$110=$B12)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12" s="6" t="e">
        <f>IF(ISNA(MATCH(Q$2,Inputs!$K$4:$AJ$4,0)),NA(),IF(SUMPRODUCT((Inputs!$A$5:$A$110=$B12)*ISNUMBER(INDEX(Inputs!$K$5:$AJ$110,0,MATCH(Q$2,Inputs!$K$4:$AJ$4,0))))+SUMPRODUCT((Inputs!$C$5:$C$110=$B12)*ISNUMBER(INDEX(Inputs!$K$5:$AJ$110,0,MATCH(Q$2,Inputs!$K$4:$AJ$4,0))))+SUMPRODUCT((Inputs!$E$5:$E$110=$B12)*ISNUMBER(INDEX(Inputs!$K$5:$AJ$110,0,MATCH(Q$2,Inputs!$K$4:$AJ$4,0))))=0,NA(),SUMPRODUCT((Inputs!$A$5:$A$110=$B12)*Inputs!$B$5:$B$110*(((Inputs!$G$5:$G$110="moeda")+(Inputs!$G$5:$G$110="acoes"))*Inputs!$B$1+((Inputs!$G$5:$G$110&lt;&gt;"moeda")*(Inputs!$G$5:$G$110&lt;&gt;"acoes")))*INDEX(Inputs!$K$5:$AJ$110,0,MATCH(Q$2,Inputs!$K$4:$AJ$4,0)))+SUMPRODUCT((Inputs!$C$5:$C$110=$B12)*Inputs!$D$5:$D$110*(((Inputs!$G$5:$G$110="moeda")+(Inputs!$G$5:$G$110="acoes"))*Inputs!$B$1+((Inputs!$G$5:$G$110&lt;&gt;"moeda")*(Inputs!$G$5:$G$110&lt;&gt;"acoes")))*INDEX(Inputs!$K$5:$AJ$110,0,MATCH(Q$2,Inputs!$K$4:$AJ$4,0)))+SUMPRODUCT((Inputs!$E$5:$E$110=$B12)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12" s="3" t="e">
        <f>SUM(N12:Q12)</f>
        <v>#N/A</v>
      </c>
      <c r="S12" s="6" t="e">
        <f>IF(ISNA(MATCH(S$2,Inputs!$K$4:$AJ$4,0)),NA(),IF(SUMPRODUCT((Inputs!$A$5:$A$110=$B12)*ISNUMBER(INDEX(Inputs!$K$5:$AJ$110,0,MATCH(S$2,Inputs!$K$4:$AJ$4,0))))+SUMPRODUCT((Inputs!$C$5:$C$110=$B12)*ISNUMBER(INDEX(Inputs!$K$5:$AJ$110,0,MATCH(S$2,Inputs!$K$4:$AJ$4,0))))+SUMPRODUCT((Inputs!$E$5:$E$110=$B12)*ISNUMBER(INDEX(Inputs!$K$5:$AJ$110,0,MATCH(S$2,Inputs!$K$4:$AJ$4,0))))=0,NA(),SUMPRODUCT((Inputs!$A$5:$A$110=$B12)*Inputs!$B$5:$B$110*(((Inputs!$G$5:$G$110="moeda")+(Inputs!$G$5:$G$110="acoes"))*Inputs!$B$1+((Inputs!$G$5:$G$110&lt;&gt;"moeda")*(Inputs!$G$5:$G$110&lt;&gt;"acoes")))*INDEX(Inputs!$K$5:$AJ$110,0,MATCH(S$2,Inputs!$K$4:$AJ$4,0)))+SUMPRODUCT((Inputs!$C$5:$C$110=$B12)*Inputs!$D$5:$D$110*(((Inputs!$G$5:$G$110="moeda")+(Inputs!$G$5:$G$110="acoes"))*Inputs!$B$1+((Inputs!$G$5:$G$110&lt;&gt;"moeda")*(Inputs!$G$5:$G$110&lt;&gt;"acoes")))*INDEX(Inputs!$K$5:$AJ$110,0,MATCH(S$2,Inputs!$K$4:$AJ$4,0)))+SUMPRODUCT((Inputs!$E$5:$E$110=$B12)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12" s="6" t="e">
        <f>IF(ISNA(MATCH(T$2,Inputs!$K$4:$AJ$4,0)),NA(),IF(SUMPRODUCT((Inputs!$A$5:$A$110=$B12)*ISNUMBER(INDEX(Inputs!$K$5:$AJ$110,0,MATCH(T$2,Inputs!$K$4:$AJ$4,0))))+SUMPRODUCT((Inputs!$C$5:$C$110=$B12)*ISNUMBER(INDEX(Inputs!$K$5:$AJ$110,0,MATCH(T$2,Inputs!$K$4:$AJ$4,0))))+SUMPRODUCT((Inputs!$E$5:$E$110=$B12)*ISNUMBER(INDEX(Inputs!$K$5:$AJ$110,0,MATCH(T$2,Inputs!$K$4:$AJ$4,0))))=0,NA(),SUMPRODUCT((Inputs!$A$5:$A$110=$B12)*Inputs!$B$5:$B$110*(((Inputs!$G$5:$G$110="moeda")+(Inputs!$G$5:$G$110="acoes"))*Inputs!$B$1+((Inputs!$G$5:$G$110&lt;&gt;"moeda")*(Inputs!$G$5:$G$110&lt;&gt;"acoes")))*INDEX(Inputs!$K$5:$AJ$110,0,MATCH(T$2,Inputs!$K$4:$AJ$4,0)))+SUMPRODUCT((Inputs!$C$5:$C$110=$B12)*Inputs!$D$5:$D$110*(((Inputs!$G$5:$G$110="moeda")+(Inputs!$G$5:$G$110="acoes"))*Inputs!$B$1+((Inputs!$G$5:$G$110&lt;&gt;"moeda")*(Inputs!$G$5:$G$110&lt;&gt;"acoes")))*INDEX(Inputs!$K$5:$AJ$110,0,MATCH(T$2,Inputs!$K$4:$AJ$4,0)))+SUMPRODUCT((Inputs!$E$5:$E$110=$B12)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12" s="6" t="e">
        <f>IF(ISNA(MATCH(U$2,Inputs!$K$4:$AJ$4,0)),NA(),IF(SUMPRODUCT((Inputs!$A$5:$A$110=$B12)*ISNUMBER(INDEX(Inputs!$K$5:$AJ$110,0,MATCH(U$2,Inputs!$K$4:$AJ$4,0))))+SUMPRODUCT((Inputs!$C$5:$C$110=$B12)*ISNUMBER(INDEX(Inputs!$K$5:$AJ$110,0,MATCH(U$2,Inputs!$K$4:$AJ$4,0))))+SUMPRODUCT((Inputs!$E$5:$E$110=$B12)*ISNUMBER(INDEX(Inputs!$K$5:$AJ$110,0,MATCH(U$2,Inputs!$K$4:$AJ$4,0))))=0,NA(),SUMPRODUCT((Inputs!$A$5:$A$110=$B12)*Inputs!$B$5:$B$110*(((Inputs!$G$5:$G$110="moeda")+(Inputs!$G$5:$G$110="acoes"))*Inputs!$B$1+((Inputs!$G$5:$G$110&lt;&gt;"moeda")*(Inputs!$G$5:$G$110&lt;&gt;"acoes")))*INDEX(Inputs!$K$5:$AJ$110,0,MATCH(U$2,Inputs!$K$4:$AJ$4,0)))+SUMPRODUCT((Inputs!$C$5:$C$110=$B12)*Inputs!$D$5:$D$110*(((Inputs!$G$5:$G$110="moeda")+(Inputs!$G$5:$G$110="acoes"))*Inputs!$B$1+((Inputs!$G$5:$G$110&lt;&gt;"moeda")*(Inputs!$G$5:$G$110&lt;&gt;"acoes")))*INDEX(Inputs!$K$5:$AJ$110,0,MATCH(U$2,Inputs!$K$4:$AJ$4,0)))+SUMPRODUCT((Inputs!$E$5:$E$110=$B12)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12" s="6" t="e">
        <f>IF(ISNA(MATCH(V$2,Inputs!$K$4:$AJ$4,0)),NA(),IF(SUMPRODUCT((Inputs!$A$5:$A$110=$B12)*ISNUMBER(INDEX(Inputs!$K$5:$AJ$110,0,MATCH(V$2,Inputs!$K$4:$AJ$4,0))))+SUMPRODUCT((Inputs!$C$5:$C$110=$B12)*ISNUMBER(INDEX(Inputs!$K$5:$AJ$110,0,MATCH(V$2,Inputs!$K$4:$AJ$4,0))))+SUMPRODUCT((Inputs!$E$5:$E$110=$B12)*ISNUMBER(INDEX(Inputs!$K$5:$AJ$110,0,MATCH(V$2,Inputs!$K$4:$AJ$4,0))))=0,NA(),SUMPRODUCT((Inputs!$A$5:$A$110=$B12)*Inputs!$B$5:$B$110*(((Inputs!$G$5:$G$110="moeda")+(Inputs!$G$5:$G$110="acoes"))*Inputs!$B$1+((Inputs!$G$5:$G$110&lt;&gt;"moeda")*(Inputs!$G$5:$G$110&lt;&gt;"acoes")))*INDEX(Inputs!$K$5:$AJ$110,0,MATCH(V$2,Inputs!$K$4:$AJ$4,0)))+SUMPRODUCT((Inputs!$C$5:$C$110=$B12)*Inputs!$D$5:$D$110*(((Inputs!$G$5:$G$110="moeda")+(Inputs!$G$5:$G$110="acoes"))*Inputs!$B$1+((Inputs!$G$5:$G$110&lt;&gt;"moeda")*(Inputs!$G$5:$G$110&lt;&gt;"acoes")))*INDEX(Inputs!$K$5:$AJ$110,0,MATCH(V$2,Inputs!$K$4:$AJ$4,0)))+SUMPRODUCT((Inputs!$E$5:$E$110=$B12)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12" s="3" t="e">
        <f>SUM(S12:V12)</f>
        <v>#N/A</v>
      </c>
      <c r="X12" s="6" t="e">
        <f>IF(ISNA(MATCH(X$2,Inputs!$K$4:$AJ$4,0)),NA(),IF(SUMPRODUCT((Inputs!$A$5:$A$110=$B12)*ISNUMBER(INDEX(Inputs!$K$5:$AJ$110,0,MATCH(X$2,Inputs!$K$4:$AJ$4,0))))+SUMPRODUCT((Inputs!$C$5:$C$110=$B12)*ISNUMBER(INDEX(Inputs!$K$5:$AJ$110,0,MATCH(X$2,Inputs!$K$4:$AJ$4,0))))+SUMPRODUCT((Inputs!$E$5:$E$110=$B12)*ISNUMBER(INDEX(Inputs!$K$5:$AJ$110,0,MATCH(X$2,Inputs!$K$4:$AJ$4,0))))=0,NA(),SUMPRODUCT((Inputs!$A$5:$A$110=$B12)*Inputs!$B$5:$B$110*(((Inputs!$G$5:$G$110="moeda")+(Inputs!$G$5:$G$110="acoes"))*Inputs!$B$1+((Inputs!$G$5:$G$110&lt;&gt;"moeda")*(Inputs!$G$5:$G$110&lt;&gt;"acoes")))*INDEX(Inputs!$K$5:$AJ$110,0,MATCH(X$2,Inputs!$K$4:$AJ$4,0)))+SUMPRODUCT((Inputs!$C$5:$C$110=$B12)*Inputs!$D$5:$D$110*(((Inputs!$G$5:$G$110="moeda")+(Inputs!$G$5:$G$110="acoes"))*Inputs!$B$1+((Inputs!$G$5:$G$110&lt;&gt;"moeda")*(Inputs!$G$5:$G$110&lt;&gt;"acoes")))*INDEX(Inputs!$K$5:$AJ$110,0,MATCH(X$2,Inputs!$K$4:$AJ$4,0)))+SUMPRODUCT((Inputs!$E$5:$E$110=$B12)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12" s="6" t="e">
        <f>IF(ISNA(MATCH(Y$2,Inputs!$K$4:$AJ$4,0)),NA(),IF(SUMPRODUCT((Inputs!$A$5:$A$110=$B12)*ISNUMBER(INDEX(Inputs!$K$5:$AJ$110,0,MATCH(Y$2,Inputs!$K$4:$AJ$4,0))))+SUMPRODUCT((Inputs!$C$5:$C$110=$B12)*ISNUMBER(INDEX(Inputs!$K$5:$AJ$110,0,MATCH(Y$2,Inputs!$K$4:$AJ$4,0))))+SUMPRODUCT((Inputs!$E$5:$E$110=$B12)*ISNUMBER(INDEX(Inputs!$K$5:$AJ$110,0,MATCH(Y$2,Inputs!$K$4:$AJ$4,0))))=0,NA(),SUMPRODUCT((Inputs!$A$5:$A$110=$B12)*Inputs!$B$5:$B$110*(((Inputs!$G$5:$G$110="moeda")+(Inputs!$G$5:$G$110="acoes"))*Inputs!$B$1+((Inputs!$G$5:$G$110&lt;&gt;"moeda")*(Inputs!$G$5:$G$110&lt;&gt;"acoes")))*INDEX(Inputs!$K$5:$AJ$110,0,MATCH(Y$2,Inputs!$K$4:$AJ$4,0)))+SUMPRODUCT((Inputs!$C$5:$C$110=$B12)*Inputs!$D$5:$D$110*(((Inputs!$G$5:$G$110="moeda")+(Inputs!$G$5:$G$110="acoes"))*Inputs!$B$1+((Inputs!$G$5:$G$110&lt;&gt;"moeda")*(Inputs!$G$5:$G$110&lt;&gt;"acoes")))*INDEX(Inputs!$K$5:$AJ$110,0,MATCH(Y$2,Inputs!$K$4:$AJ$4,0)))+SUMPRODUCT((Inputs!$E$5:$E$110=$B12)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12" s="6" t="e">
        <f>IF(ISNA(MATCH(Z$2,Inputs!$K$4:$AJ$4,0)),NA(),IF(SUMPRODUCT((Inputs!$A$5:$A$110=$B12)*ISNUMBER(INDEX(Inputs!$K$5:$AJ$110,0,MATCH(Z$2,Inputs!$K$4:$AJ$4,0))))+SUMPRODUCT((Inputs!$C$5:$C$110=$B12)*ISNUMBER(INDEX(Inputs!$K$5:$AJ$110,0,MATCH(Z$2,Inputs!$K$4:$AJ$4,0))))+SUMPRODUCT((Inputs!$E$5:$E$110=$B12)*ISNUMBER(INDEX(Inputs!$K$5:$AJ$110,0,MATCH(Z$2,Inputs!$K$4:$AJ$4,0))))=0,NA(),SUMPRODUCT((Inputs!$A$5:$A$110=$B12)*Inputs!$B$5:$B$110*(((Inputs!$G$5:$G$110="moeda")+(Inputs!$G$5:$G$110="acoes"))*Inputs!$B$1+((Inputs!$G$5:$G$110&lt;&gt;"moeda")*(Inputs!$G$5:$G$110&lt;&gt;"acoes")))*INDEX(Inputs!$K$5:$AJ$110,0,MATCH(Z$2,Inputs!$K$4:$AJ$4,0)))+SUMPRODUCT((Inputs!$C$5:$C$110=$B12)*Inputs!$D$5:$D$110*(((Inputs!$G$5:$G$110="moeda")+(Inputs!$G$5:$G$110="acoes"))*Inputs!$B$1+((Inputs!$G$5:$G$110&lt;&gt;"moeda")*(Inputs!$G$5:$G$110&lt;&gt;"acoes")))*INDEX(Inputs!$K$5:$AJ$110,0,MATCH(Z$2,Inputs!$K$4:$AJ$4,0)))+SUMPRODUCT((Inputs!$E$5:$E$110=$B12)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12" s="6" t="e">
        <f>IF(ISNA(MATCH(AA$2,Inputs!$K$4:$AJ$4,0)),NA(),IF(SUMPRODUCT((Inputs!$A$5:$A$110=$B12)*ISNUMBER(INDEX(Inputs!$K$5:$AJ$110,0,MATCH(AA$2,Inputs!$K$4:$AJ$4,0))))+SUMPRODUCT((Inputs!$C$5:$C$110=$B12)*ISNUMBER(INDEX(Inputs!$K$5:$AJ$110,0,MATCH(AA$2,Inputs!$K$4:$AJ$4,0))))+SUMPRODUCT((Inputs!$E$5:$E$110=$B12)*ISNUMBER(INDEX(Inputs!$K$5:$AJ$110,0,MATCH(AA$2,Inputs!$K$4:$AJ$4,0))))=0,NA(),SUMPRODUCT((Inputs!$A$5:$A$110=$B12)*Inputs!$B$5:$B$110*(((Inputs!$G$5:$G$110="moeda")+(Inputs!$G$5:$G$110="acoes"))*Inputs!$B$1+((Inputs!$G$5:$G$110&lt;&gt;"moeda")*(Inputs!$G$5:$G$110&lt;&gt;"acoes")))*INDEX(Inputs!$K$5:$AJ$110,0,MATCH(AA$2,Inputs!$K$4:$AJ$4,0)))+SUMPRODUCT((Inputs!$C$5:$C$110=$B12)*Inputs!$D$5:$D$110*(((Inputs!$G$5:$G$110="moeda")+(Inputs!$G$5:$G$110="acoes"))*Inputs!$B$1+((Inputs!$G$5:$G$110&lt;&gt;"moeda")*(Inputs!$G$5:$G$110&lt;&gt;"acoes")))*INDEX(Inputs!$K$5:$AJ$110,0,MATCH(AA$2,Inputs!$K$4:$AJ$4,0)))+SUMPRODUCT((Inputs!$E$5:$E$110=$B12)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12" s="3" t="e">
        <f>SUM(X12:AA12)</f>
        <v>#N/A</v>
      </c>
      <c r="AC12" s="6" t="e">
        <f>IF(ISNA(MATCH(AC$2,Inputs!$K$4:$AJ$4,0)),NA(),IF(SUMPRODUCT((Inputs!$A$5:$A$110=$B12)*ISNUMBER(INDEX(Inputs!$K$5:$AJ$110,0,MATCH(AC$2,Inputs!$K$4:$AJ$4,0))))+SUMPRODUCT((Inputs!$C$5:$C$110=$B12)*ISNUMBER(INDEX(Inputs!$K$5:$AJ$110,0,MATCH(AC$2,Inputs!$K$4:$AJ$4,0))))+SUMPRODUCT((Inputs!$E$5:$E$110=$B12)*ISNUMBER(INDEX(Inputs!$K$5:$AJ$110,0,MATCH(AC$2,Inputs!$K$4:$AJ$4,0))))=0,NA(),SUMPRODUCT((Inputs!$A$5:$A$110=$B12)*Inputs!$B$5:$B$110*(((Inputs!$G$5:$G$110="moeda")+(Inputs!$G$5:$G$110="acoes"))*Inputs!$B$1+((Inputs!$G$5:$G$110&lt;&gt;"moeda")*(Inputs!$G$5:$G$110&lt;&gt;"acoes")))*INDEX(Inputs!$K$5:$AJ$110,0,MATCH(AC$2,Inputs!$K$4:$AJ$4,0)))+SUMPRODUCT((Inputs!$C$5:$C$110=$B12)*Inputs!$D$5:$D$110*(((Inputs!$G$5:$G$110="moeda")+(Inputs!$G$5:$G$110="acoes"))*Inputs!$B$1+((Inputs!$G$5:$G$110&lt;&gt;"moeda")*(Inputs!$G$5:$G$110&lt;&gt;"acoes")))*INDEX(Inputs!$K$5:$AJ$110,0,MATCH(AC$2,Inputs!$K$4:$AJ$4,0)))+SUMPRODUCT((Inputs!$E$5:$E$110=$B12)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12" s="6" t="e">
        <f>IF(ISNA(MATCH(AD$2,Inputs!$K$4:$AJ$4,0)),NA(),IF(SUMPRODUCT((Inputs!$A$5:$A$110=$B12)*ISNUMBER(INDEX(Inputs!$K$5:$AJ$110,0,MATCH(AD$2,Inputs!$K$4:$AJ$4,0))))+SUMPRODUCT((Inputs!$C$5:$C$110=$B12)*ISNUMBER(INDEX(Inputs!$K$5:$AJ$110,0,MATCH(AD$2,Inputs!$K$4:$AJ$4,0))))+SUMPRODUCT((Inputs!$E$5:$E$110=$B12)*ISNUMBER(INDEX(Inputs!$K$5:$AJ$110,0,MATCH(AD$2,Inputs!$K$4:$AJ$4,0))))=0,NA(),SUMPRODUCT((Inputs!$A$5:$A$110=$B12)*Inputs!$B$5:$B$110*(((Inputs!$G$5:$G$110="moeda")+(Inputs!$G$5:$G$110="acoes"))*Inputs!$B$1+((Inputs!$G$5:$G$110&lt;&gt;"moeda")*(Inputs!$G$5:$G$110&lt;&gt;"acoes")))*INDEX(Inputs!$K$5:$AJ$110,0,MATCH(AD$2,Inputs!$K$4:$AJ$4,0)))+SUMPRODUCT((Inputs!$C$5:$C$110=$B12)*Inputs!$D$5:$D$110*(((Inputs!$G$5:$G$110="moeda")+(Inputs!$G$5:$G$110="acoes"))*Inputs!$B$1+((Inputs!$G$5:$G$110&lt;&gt;"moeda")*(Inputs!$G$5:$G$110&lt;&gt;"acoes")))*INDEX(Inputs!$K$5:$AJ$110,0,MATCH(AD$2,Inputs!$K$4:$AJ$4,0)))+SUMPRODUCT((Inputs!$E$5:$E$110=$B12)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12" s="6" t="e">
        <f>IF(ISNA(MATCH(AE$2,Inputs!$K$4:$AJ$4,0)),NA(),IF(SUMPRODUCT((Inputs!$A$5:$A$110=$B12)*ISNUMBER(INDEX(Inputs!$K$5:$AJ$110,0,MATCH(AE$2,Inputs!$K$4:$AJ$4,0))))+SUMPRODUCT((Inputs!$C$5:$C$110=$B12)*ISNUMBER(INDEX(Inputs!$K$5:$AJ$110,0,MATCH(AE$2,Inputs!$K$4:$AJ$4,0))))+SUMPRODUCT((Inputs!$E$5:$E$110=$B12)*ISNUMBER(INDEX(Inputs!$K$5:$AJ$110,0,MATCH(AE$2,Inputs!$K$4:$AJ$4,0))))=0,NA(),SUMPRODUCT((Inputs!$A$5:$A$110=$B12)*Inputs!$B$5:$B$110*(((Inputs!$G$5:$G$110="moeda")+(Inputs!$G$5:$G$110="acoes"))*Inputs!$B$1+((Inputs!$G$5:$G$110&lt;&gt;"moeda")*(Inputs!$G$5:$G$110&lt;&gt;"acoes")))*INDEX(Inputs!$K$5:$AJ$110,0,MATCH(AE$2,Inputs!$K$4:$AJ$4,0)))+SUMPRODUCT((Inputs!$C$5:$C$110=$B12)*Inputs!$D$5:$D$110*(((Inputs!$G$5:$G$110="moeda")+(Inputs!$G$5:$G$110="acoes"))*Inputs!$B$1+((Inputs!$G$5:$G$110&lt;&gt;"moeda")*(Inputs!$G$5:$G$110&lt;&gt;"acoes")))*INDEX(Inputs!$K$5:$AJ$110,0,MATCH(AE$2,Inputs!$K$4:$AJ$4,0)))+SUMPRODUCT((Inputs!$E$5:$E$110=$B12)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2" s="6" t="e">
        <f>IF(ISNA(MATCH(AF$2,Inputs!$K$4:$AJ$4,0)),NA(),IF(SUMPRODUCT((Inputs!$A$5:$A$110=$B12)*ISNUMBER(INDEX(Inputs!$K$5:$AJ$110,0,MATCH(AF$2,Inputs!$K$4:$AJ$4,0))))+SUMPRODUCT((Inputs!$C$5:$C$110=$B12)*ISNUMBER(INDEX(Inputs!$K$5:$AJ$110,0,MATCH(AF$2,Inputs!$K$4:$AJ$4,0))))+SUMPRODUCT((Inputs!$E$5:$E$110=$B12)*ISNUMBER(INDEX(Inputs!$K$5:$AJ$110,0,MATCH(AF$2,Inputs!$K$4:$AJ$4,0))))=0,NA(),SUMPRODUCT((Inputs!$A$5:$A$110=$B12)*Inputs!$B$5:$B$110*(((Inputs!$G$5:$G$110="moeda")+(Inputs!$G$5:$G$110="acoes"))*Inputs!$B$1+((Inputs!$G$5:$G$110&lt;&gt;"moeda")*(Inputs!$G$5:$G$110&lt;&gt;"acoes")))*INDEX(Inputs!$K$5:$AJ$110,0,MATCH(AF$2,Inputs!$K$4:$AJ$4,0)))+SUMPRODUCT((Inputs!$C$5:$C$110=$B12)*Inputs!$D$5:$D$110*(((Inputs!$G$5:$G$110="moeda")+(Inputs!$G$5:$G$110="acoes"))*Inputs!$B$1+((Inputs!$G$5:$G$110&lt;&gt;"moeda")*(Inputs!$G$5:$G$110&lt;&gt;"acoes")))*INDEX(Inputs!$K$5:$AJ$110,0,MATCH(AF$2,Inputs!$K$4:$AJ$4,0)))+SUMPRODUCT((Inputs!$E$5:$E$110=$B12)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2" s="3" t="e">
        <f>SUM(AC12:AF12)</f>
        <v>#N/A</v>
      </c>
      <c r="AH12" s="6" t="e">
        <f>IF(ISNA(MATCH(AH$2,Inputs!$K$4:$AJ$4,0)),NA(),IF(SUMPRODUCT((Inputs!$A$5:$A$110=$B12)*ISNUMBER(INDEX(Inputs!$K$5:$AJ$110,0,MATCH(AH$2,Inputs!$K$4:$AJ$4,0))))+SUMPRODUCT((Inputs!$C$5:$C$110=$B12)*ISNUMBER(INDEX(Inputs!$K$5:$AJ$110,0,MATCH(AH$2,Inputs!$K$4:$AJ$4,0))))+SUMPRODUCT((Inputs!$E$5:$E$110=$B12)*ISNUMBER(INDEX(Inputs!$K$5:$AJ$110,0,MATCH(AH$2,Inputs!$K$4:$AJ$4,0))))=0,NA(),SUMPRODUCT((Inputs!$A$5:$A$110=$B12)*Inputs!$B$5:$B$110*(((Inputs!$G$5:$G$110="moeda")+(Inputs!$G$5:$G$110="acoes"))*Inputs!$B$1+((Inputs!$G$5:$G$110&lt;&gt;"moeda")*(Inputs!$G$5:$G$110&lt;&gt;"acoes")))*INDEX(Inputs!$K$5:$AJ$110,0,MATCH(AH$2,Inputs!$K$4:$AJ$4,0)))+SUMPRODUCT((Inputs!$C$5:$C$110=$B12)*Inputs!$D$5:$D$110*(((Inputs!$G$5:$G$110="moeda")+(Inputs!$G$5:$G$110="acoes"))*Inputs!$B$1+((Inputs!$G$5:$G$110&lt;&gt;"moeda")*(Inputs!$G$5:$G$110&lt;&gt;"acoes")))*INDEX(Inputs!$K$5:$AJ$110,0,MATCH(AH$2,Inputs!$K$4:$AJ$4,0)))+SUMPRODUCT((Inputs!$E$5:$E$110=$B12)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12" s="6" t="e">
        <f>IF(ISNA(MATCH(AI$2,Inputs!$K$4:$AJ$4,0)),NA(),IF(SUMPRODUCT((Inputs!$A$5:$A$110=$B12)*ISNUMBER(INDEX(Inputs!$K$5:$AJ$110,0,MATCH(AI$2,Inputs!$K$4:$AJ$4,0))))+SUMPRODUCT((Inputs!$C$5:$C$110=$B12)*ISNUMBER(INDEX(Inputs!$K$5:$AJ$110,0,MATCH(AI$2,Inputs!$K$4:$AJ$4,0))))+SUMPRODUCT((Inputs!$E$5:$E$110=$B12)*ISNUMBER(INDEX(Inputs!$K$5:$AJ$110,0,MATCH(AI$2,Inputs!$K$4:$AJ$4,0))))=0,NA(),SUMPRODUCT((Inputs!$A$5:$A$110=$B12)*Inputs!$B$5:$B$110*(((Inputs!$G$5:$G$110="moeda")+(Inputs!$G$5:$G$110="acoes"))*Inputs!$B$1+((Inputs!$G$5:$G$110&lt;&gt;"moeda")*(Inputs!$G$5:$G$110&lt;&gt;"acoes")))*INDEX(Inputs!$K$5:$AJ$110,0,MATCH(AI$2,Inputs!$K$4:$AJ$4,0)))+SUMPRODUCT((Inputs!$C$5:$C$110=$B12)*Inputs!$D$5:$D$110*(((Inputs!$G$5:$G$110="moeda")+(Inputs!$G$5:$G$110="acoes"))*Inputs!$B$1+((Inputs!$G$5:$G$110&lt;&gt;"moeda")*(Inputs!$G$5:$G$110&lt;&gt;"acoes")))*INDEX(Inputs!$K$5:$AJ$110,0,MATCH(AI$2,Inputs!$K$4:$AJ$4,0)))+SUMPRODUCT((Inputs!$E$5:$E$110=$B12)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12" s="6" t="e">
        <f>IF(ISNA(MATCH(AJ$2,Inputs!$K$4:$AJ$4,0)),NA(),IF(SUMPRODUCT((Inputs!$A$5:$A$110=$B12)*ISNUMBER(INDEX(Inputs!$K$5:$AJ$110,0,MATCH(AJ$2,Inputs!$K$4:$AJ$4,0))))+SUMPRODUCT((Inputs!$C$5:$C$110=$B12)*ISNUMBER(INDEX(Inputs!$K$5:$AJ$110,0,MATCH(AJ$2,Inputs!$K$4:$AJ$4,0))))+SUMPRODUCT((Inputs!$E$5:$E$110=$B12)*ISNUMBER(INDEX(Inputs!$K$5:$AJ$110,0,MATCH(AJ$2,Inputs!$K$4:$AJ$4,0))))=0,NA(),SUMPRODUCT((Inputs!$A$5:$A$110=$B12)*Inputs!$B$5:$B$110*(((Inputs!$G$5:$G$110="moeda")+(Inputs!$G$5:$G$110="acoes"))*Inputs!$B$1+((Inputs!$G$5:$G$110&lt;&gt;"moeda")*(Inputs!$G$5:$G$110&lt;&gt;"acoes")))*INDEX(Inputs!$K$5:$AJ$110,0,MATCH(AJ$2,Inputs!$K$4:$AJ$4,0)))+SUMPRODUCT((Inputs!$C$5:$C$110=$B12)*Inputs!$D$5:$D$110*(((Inputs!$G$5:$G$110="moeda")+(Inputs!$G$5:$G$110="acoes"))*Inputs!$B$1+((Inputs!$G$5:$G$110&lt;&gt;"moeda")*(Inputs!$G$5:$G$110&lt;&gt;"acoes")))*INDEX(Inputs!$K$5:$AJ$110,0,MATCH(AJ$2,Inputs!$K$4:$AJ$4,0)))+SUMPRODUCT((Inputs!$E$5:$E$110=$B12)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12" s="6" t="e">
        <f>IF(ISNA(MATCH(AK$2,Inputs!$K$4:$AJ$4,0)),NA(),IF(SUMPRODUCT((Inputs!$A$5:$A$110=$B12)*ISNUMBER(INDEX(Inputs!$K$5:$AJ$110,0,MATCH(AK$2,Inputs!$K$4:$AJ$4,0))))+SUMPRODUCT((Inputs!$C$5:$C$110=$B12)*ISNUMBER(INDEX(Inputs!$K$5:$AJ$110,0,MATCH(AK$2,Inputs!$K$4:$AJ$4,0))))+SUMPRODUCT((Inputs!$E$5:$E$110=$B12)*ISNUMBER(INDEX(Inputs!$K$5:$AJ$110,0,MATCH(AK$2,Inputs!$K$4:$AJ$4,0))))=0,NA(),SUMPRODUCT((Inputs!$A$5:$A$110=$B12)*Inputs!$B$5:$B$110*(((Inputs!$G$5:$G$110="moeda")+(Inputs!$G$5:$G$110="acoes"))*Inputs!$B$1+((Inputs!$G$5:$G$110&lt;&gt;"moeda")*(Inputs!$G$5:$G$110&lt;&gt;"acoes")))*INDEX(Inputs!$K$5:$AJ$110,0,MATCH(AK$2,Inputs!$K$4:$AJ$4,0)))+SUMPRODUCT((Inputs!$C$5:$C$110=$B12)*Inputs!$D$5:$D$110*(((Inputs!$G$5:$G$110="moeda")+(Inputs!$G$5:$G$110="acoes"))*Inputs!$B$1+((Inputs!$G$5:$G$110&lt;&gt;"moeda")*(Inputs!$G$5:$G$110&lt;&gt;"acoes")))*INDEX(Inputs!$K$5:$AJ$110,0,MATCH(AK$2,Inputs!$K$4:$AJ$4,0)))+SUMPRODUCT((Inputs!$E$5:$E$110=$B12)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12" s="3" t="e">
        <f>SUM(AH12:AK12)</f>
        <v>#N/A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$110=$B13)*ISNUMBER(INDEX(Inputs!$K$5:$AJ$110,0,MATCH(D$2,Inputs!$K$4:$AJ$4,0))))+SUMPRODUCT((Inputs!$C$5:$C$110=$B13)*ISNUMBER(INDEX(Inputs!$K$5:$AJ$110,0,MATCH(D$2,Inputs!$K$4:$AJ$4,0))))+SUMPRODUCT((Inputs!$E$5:$E$110=$B13)*ISNUMBER(INDEX(Inputs!$K$5:$AJ$110,0,MATCH(D$2,Inputs!$K$4:$AJ$4,0))))=0,NA(),SUMPRODUCT((Inputs!$A$5:$A$110=$B13)*Inputs!$B$5:$B$110*(((Inputs!$G$5:$G$110="moeda")+(Inputs!$G$5:$G$110="acoes"))*Inputs!$B$1+((Inputs!$G$5:$G$110&lt;&gt;"moeda")*(Inputs!$G$5:$G$110&lt;&gt;"acoes")))*INDEX(Inputs!$K$5:$AJ$110,0,MATCH(D$2,Inputs!$K$4:$AJ$4,0)))+SUMPRODUCT((Inputs!$C$5:$C$110=$B13)*Inputs!$D$5:$D$110*(((Inputs!$G$5:$G$110="moeda")+(Inputs!$G$5:$G$110="acoes"))*Inputs!$B$1+((Inputs!$G$5:$G$110&lt;&gt;"moeda")*(Inputs!$G$5:$G$110&lt;&gt;"acoes")))*INDEX(Inputs!$K$5:$AJ$110,0,MATCH(D$2,Inputs!$K$4:$AJ$4,0)))+SUMPRODUCT((Inputs!$E$5:$E$110=$B13)*Inputs!$F$5:$F$110*(((Inputs!$G$5:$G$110="moeda")+(Inputs!$G$5:$G$110="acoes"))*Inputs!$B$1+((Inputs!$G$5:$G$110&lt;&gt;"moeda")*(Inputs!$G$5:$G$110&lt;&gt;"acoes")))*INDEX(Inputs!$K$5:$AJ$110,0,MATCH(D$2,Inputs!$K$4:$AJ$4,0)))))</f>
        <v>0</v>
      </c>
      <c r="E13" s="6">
        <f>IF(ISNA(MATCH(E$2,Inputs!$K$4:$AJ$4,0)),NA(),IF(SUMPRODUCT((Inputs!$A$5:$A$110=$B13)*ISNUMBER(INDEX(Inputs!$K$5:$AJ$110,0,MATCH(E$2,Inputs!$K$4:$AJ$4,0))))+SUMPRODUCT((Inputs!$C$5:$C$110=$B13)*ISNUMBER(INDEX(Inputs!$K$5:$AJ$110,0,MATCH(E$2,Inputs!$K$4:$AJ$4,0))))+SUMPRODUCT((Inputs!$E$5:$E$110=$B13)*ISNUMBER(INDEX(Inputs!$K$5:$AJ$110,0,MATCH(E$2,Inputs!$K$4:$AJ$4,0))))=0,NA(),SUMPRODUCT((Inputs!$A$5:$A$110=$B13)*Inputs!$B$5:$B$110*(((Inputs!$G$5:$G$110="moeda")+(Inputs!$G$5:$G$110="acoes"))*Inputs!$B$1+((Inputs!$G$5:$G$110&lt;&gt;"moeda")*(Inputs!$G$5:$G$110&lt;&gt;"acoes")))*INDEX(Inputs!$K$5:$AJ$110,0,MATCH(E$2,Inputs!$K$4:$AJ$4,0)))+SUMPRODUCT((Inputs!$C$5:$C$110=$B13)*Inputs!$D$5:$D$110*(((Inputs!$G$5:$G$110="moeda")+(Inputs!$G$5:$G$110="acoes"))*Inputs!$B$1+((Inputs!$G$5:$G$110&lt;&gt;"moeda")*(Inputs!$G$5:$G$110&lt;&gt;"acoes")))*INDEX(Inputs!$K$5:$AJ$110,0,MATCH(E$2,Inputs!$K$4:$AJ$4,0)))+SUMPRODUCT((Inputs!$E$5:$E$110=$B13)*Inputs!$F$5:$F$110*(((Inputs!$G$5:$G$110="moeda")+(Inputs!$G$5:$G$110="acoes"))*Inputs!$B$1+((Inputs!$G$5:$G$110&lt;&gt;"moeda")*(Inputs!$G$5:$G$110&lt;&gt;"acoes")))*INDEX(Inputs!$K$5:$AJ$110,0,MATCH(E$2,Inputs!$K$4:$AJ$4,0)))))</f>
        <v>0</v>
      </c>
      <c r="F13" s="6">
        <f>IF(ISNA(MATCH(F$2,Inputs!$K$4:$AJ$4,0)),NA(),IF(SUMPRODUCT((Inputs!$A$5:$A$110=$B13)*ISNUMBER(INDEX(Inputs!$K$5:$AJ$110,0,MATCH(F$2,Inputs!$K$4:$AJ$4,0))))+SUMPRODUCT((Inputs!$C$5:$C$110=$B13)*ISNUMBER(INDEX(Inputs!$K$5:$AJ$110,0,MATCH(F$2,Inputs!$K$4:$AJ$4,0))))+SUMPRODUCT((Inputs!$E$5:$E$110=$B13)*ISNUMBER(INDEX(Inputs!$K$5:$AJ$110,0,MATCH(F$2,Inputs!$K$4:$AJ$4,0))))=0,NA(),SUMPRODUCT((Inputs!$A$5:$A$110=$B13)*Inputs!$B$5:$B$110*(((Inputs!$G$5:$G$110="moeda")+(Inputs!$G$5:$G$110="acoes"))*Inputs!$B$1+((Inputs!$G$5:$G$110&lt;&gt;"moeda")*(Inputs!$G$5:$G$110&lt;&gt;"acoes")))*INDEX(Inputs!$K$5:$AJ$110,0,MATCH(F$2,Inputs!$K$4:$AJ$4,0)))+SUMPRODUCT((Inputs!$C$5:$C$110=$B13)*Inputs!$D$5:$D$110*(((Inputs!$G$5:$G$110="moeda")+(Inputs!$G$5:$G$110="acoes"))*Inputs!$B$1+((Inputs!$G$5:$G$110&lt;&gt;"moeda")*(Inputs!$G$5:$G$110&lt;&gt;"acoes")))*INDEX(Inputs!$K$5:$AJ$110,0,MATCH(F$2,Inputs!$K$4:$AJ$4,0)))+SUMPRODUCT((Inputs!$E$5:$E$110=$B13)*Inputs!$F$5:$F$110*(((Inputs!$G$5:$G$110="moeda")+(Inputs!$G$5:$G$110="acoes"))*Inputs!$B$1+((Inputs!$G$5:$G$110&lt;&gt;"moeda")*(Inputs!$G$5:$G$110&lt;&gt;"acoes")))*INDEX(Inputs!$K$5:$AJ$110,0,MATCH(F$2,Inputs!$K$4:$AJ$4,0)))))</f>
        <v>0</v>
      </c>
      <c r="G13" s="6">
        <f>IF(ISNA(MATCH(G$2,Inputs!$K$4:$AJ$4,0)),NA(),IF(SUMPRODUCT((Inputs!$A$5:$A$110=$B13)*ISNUMBER(INDEX(Inputs!$K$5:$AJ$110,0,MATCH(G$2,Inputs!$K$4:$AJ$4,0))))+SUMPRODUCT((Inputs!$C$5:$C$110=$B13)*ISNUMBER(INDEX(Inputs!$K$5:$AJ$110,0,MATCH(G$2,Inputs!$K$4:$AJ$4,0))))+SUMPRODUCT((Inputs!$E$5:$E$110=$B13)*ISNUMBER(INDEX(Inputs!$K$5:$AJ$110,0,MATCH(G$2,Inputs!$K$4:$AJ$4,0))))=0,NA(),SUMPRODUCT((Inputs!$A$5:$A$110=$B13)*Inputs!$B$5:$B$110*(((Inputs!$G$5:$G$110="moeda")+(Inputs!$G$5:$G$110="acoes"))*Inputs!$B$1+((Inputs!$G$5:$G$110&lt;&gt;"moeda")*(Inputs!$G$5:$G$110&lt;&gt;"acoes")))*INDEX(Inputs!$K$5:$AJ$110,0,MATCH(G$2,Inputs!$K$4:$AJ$4,0)))+SUMPRODUCT((Inputs!$C$5:$C$110=$B13)*Inputs!$D$5:$D$110*(((Inputs!$G$5:$G$110="moeda")+(Inputs!$G$5:$G$110="acoes"))*Inputs!$B$1+((Inputs!$G$5:$G$110&lt;&gt;"moeda")*(Inputs!$G$5:$G$110&lt;&gt;"acoes")))*INDEX(Inputs!$K$5:$AJ$110,0,MATCH(G$2,Inputs!$K$4:$AJ$4,0)))+SUMPRODUCT((Inputs!$E$5:$E$110=$B13)*Inputs!$F$5:$F$110*(((Inputs!$G$5:$G$110="moeda")+(Inputs!$G$5:$G$110="acoes"))*Inputs!$B$1+((Inputs!$G$5:$G$110&lt;&gt;"moeda")*(Inputs!$G$5:$G$110&lt;&gt;"acoes")))*INDEX(Inputs!$K$5:$AJ$110,0,MATCH(G$2,Inputs!$K$4:$AJ$4,0)))))</f>
        <v>0</v>
      </c>
      <c r="H13" s="3">
        <f>SUM(D13:G13)</f>
        <v>0</v>
      </c>
      <c r="I13" s="6">
        <f>IF(ISNA(MATCH(I$2,Inputs!$K$4:$AJ$4,0)),NA(),IF(SUMPRODUCT((Inputs!$A$5:$A$110=$B13)*ISNUMBER(INDEX(Inputs!$K$5:$AJ$110,0,MATCH(I$2,Inputs!$K$4:$AJ$4,0))))+SUMPRODUCT((Inputs!$C$5:$C$110=$B13)*ISNUMBER(INDEX(Inputs!$K$5:$AJ$110,0,MATCH(I$2,Inputs!$K$4:$AJ$4,0))))+SUMPRODUCT((Inputs!$E$5:$E$110=$B13)*ISNUMBER(INDEX(Inputs!$K$5:$AJ$110,0,MATCH(I$2,Inputs!$K$4:$AJ$4,0))))=0,NA(),SUMPRODUCT((Inputs!$A$5:$A$110=$B13)*Inputs!$B$5:$B$110*(((Inputs!$G$5:$G$110="moeda")+(Inputs!$G$5:$G$110="acoes"))*Inputs!$B$1+((Inputs!$G$5:$G$110&lt;&gt;"moeda")*(Inputs!$G$5:$G$110&lt;&gt;"acoes")))*INDEX(Inputs!$K$5:$AJ$110,0,MATCH(I$2,Inputs!$K$4:$AJ$4,0)))+SUMPRODUCT((Inputs!$C$5:$C$110=$B13)*Inputs!$D$5:$D$110*(((Inputs!$G$5:$G$110="moeda")+(Inputs!$G$5:$G$110="acoes"))*Inputs!$B$1+((Inputs!$G$5:$G$110&lt;&gt;"moeda")*(Inputs!$G$5:$G$110&lt;&gt;"acoes")))*INDEX(Inputs!$K$5:$AJ$110,0,MATCH(I$2,Inputs!$K$4:$AJ$4,0)))+SUMPRODUCT((Inputs!$E$5:$E$110=$B13)*Inputs!$F$5:$F$110*(((Inputs!$G$5:$G$110="moeda")+(Inputs!$G$5:$G$110="acoes"))*Inputs!$B$1+((Inputs!$G$5:$G$110&lt;&gt;"moeda")*(Inputs!$G$5:$G$110&lt;&gt;"acoes")))*INDEX(Inputs!$K$5:$AJ$110,0,MATCH(I$2,Inputs!$K$4:$AJ$4,0)))))</f>
        <v>0</v>
      </c>
      <c r="J13" s="6">
        <f>IF(ISNA(MATCH(J$2,Inputs!$K$4:$AJ$4,0)),NA(),IF(SUMPRODUCT((Inputs!$A$5:$A$110=$B13)*ISNUMBER(INDEX(Inputs!$K$5:$AJ$110,0,MATCH(J$2,Inputs!$K$4:$AJ$4,0))))+SUMPRODUCT((Inputs!$C$5:$C$110=$B13)*ISNUMBER(INDEX(Inputs!$K$5:$AJ$110,0,MATCH(J$2,Inputs!$K$4:$AJ$4,0))))+SUMPRODUCT((Inputs!$E$5:$E$110=$B13)*ISNUMBER(INDEX(Inputs!$K$5:$AJ$110,0,MATCH(J$2,Inputs!$K$4:$AJ$4,0))))=0,NA(),SUMPRODUCT((Inputs!$A$5:$A$110=$B13)*Inputs!$B$5:$B$110*(((Inputs!$G$5:$G$110="moeda")+(Inputs!$G$5:$G$110="acoes"))*Inputs!$B$1+((Inputs!$G$5:$G$110&lt;&gt;"moeda")*(Inputs!$G$5:$G$110&lt;&gt;"acoes")))*INDEX(Inputs!$K$5:$AJ$110,0,MATCH(J$2,Inputs!$K$4:$AJ$4,0)))+SUMPRODUCT((Inputs!$C$5:$C$110=$B13)*Inputs!$D$5:$D$110*(((Inputs!$G$5:$G$110="moeda")+(Inputs!$G$5:$G$110="acoes"))*Inputs!$B$1+((Inputs!$G$5:$G$110&lt;&gt;"moeda")*(Inputs!$G$5:$G$110&lt;&gt;"acoes")))*INDEX(Inputs!$K$5:$AJ$110,0,MATCH(J$2,Inputs!$K$4:$AJ$4,0)))+SUMPRODUCT((Inputs!$E$5:$E$110=$B13)*Inputs!$F$5:$F$110*(((Inputs!$G$5:$G$110="moeda")+(Inputs!$G$5:$G$110="acoes"))*Inputs!$B$1+((Inputs!$G$5:$G$110&lt;&gt;"moeda")*(Inputs!$G$5:$G$110&lt;&gt;"acoes")))*INDEX(Inputs!$K$5:$AJ$110,0,MATCH(J$2,Inputs!$K$4:$AJ$4,0)))))</f>
        <v>0</v>
      </c>
      <c r="K13" s="6">
        <f>IF(ISNA(MATCH(K$2,Inputs!$K$4:$AJ$4,0)),NA(),IF(SUMPRODUCT((Inputs!$A$5:$A$110=$B13)*ISNUMBER(INDEX(Inputs!$K$5:$AJ$110,0,MATCH(K$2,Inputs!$K$4:$AJ$4,0))))+SUMPRODUCT((Inputs!$C$5:$C$110=$B13)*ISNUMBER(INDEX(Inputs!$K$5:$AJ$110,0,MATCH(K$2,Inputs!$K$4:$AJ$4,0))))+SUMPRODUCT((Inputs!$E$5:$E$110=$B13)*ISNUMBER(INDEX(Inputs!$K$5:$AJ$110,0,MATCH(K$2,Inputs!$K$4:$AJ$4,0))))=0,NA(),SUMPRODUCT((Inputs!$A$5:$A$110=$B13)*Inputs!$B$5:$B$110*(((Inputs!$G$5:$G$110="moeda")+(Inputs!$G$5:$G$110="acoes"))*Inputs!$B$1+((Inputs!$G$5:$G$110&lt;&gt;"moeda")*(Inputs!$G$5:$G$110&lt;&gt;"acoes")))*INDEX(Inputs!$K$5:$AJ$110,0,MATCH(K$2,Inputs!$K$4:$AJ$4,0)))+SUMPRODUCT((Inputs!$C$5:$C$110=$B13)*Inputs!$D$5:$D$110*(((Inputs!$G$5:$G$110="moeda")+(Inputs!$G$5:$G$110="acoes"))*Inputs!$B$1+((Inputs!$G$5:$G$110&lt;&gt;"moeda")*(Inputs!$G$5:$G$110&lt;&gt;"acoes")))*INDEX(Inputs!$K$5:$AJ$110,0,MATCH(K$2,Inputs!$K$4:$AJ$4,0)))+SUMPRODUCT((Inputs!$E$5:$E$110=$B13)*Inputs!$F$5:$F$110*(((Inputs!$G$5:$G$110="moeda")+(Inputs!$G$5:$G$110="acoes"))*Inputs!$B$1+((Inputs!$G$5:$G$110&lt;&gt;"moeda")*(Inputs!$G$5:$G$110&lt;&gt;"acoes")))*INDEX(Inputs!$K$5:$AJ$110,0,MATCH(K$2,Inputs!$K$4:$AJ$4,0)))))</f>
        <v>0</v>
      </c>
      <c r="L13" s="6">
        <f>IF(ISNA(MATCH(L$2,Inputs!$K$4:$AJ$4,0)),NA(),IF(SUMPRODUCT((Inputs!$A$5:$A$110=$B13)*ISNUMBER(INDEX(Inputs!$K$5:$AJ$110,0,MATCH(L$2,Inputs!$K$4:$AJ$4,0))))+SUMPRODUCT((Inputs!$C$5:$C$110=$B13)*ISNUMBER(INDEX(Inputs!$K$5:$AJ$110,0,MATCH(L$2,Inputs!$K$4:$AJ$4,0))))+SUMPRODUCT((Inputs!$E$5:$E$110=$B13)*ISNUMBER(INDEX(Inputs!$K$5:$AJ$110,0,MATCH(L$2,Inputs!$K$4:$AJ$4,0))))=0,NA(),SUMPRODUCT((Inputs!$A$5:$A$110=$B13)*Inputs!$B$5:$B$110*(((Inputs!$G$5:$G$110="moeda")+(Inputs!$G$5:$G$110="acoes"))*Inputs!$B$1+((Inputs!$G$5:$G$110&lt;&gt;"moeda")*(Inputs!$G$5:$G$110&lt;&gt;"acoes")))*INDEX(Inputs!$K$5:$AJ$110,0,MATCH(L$2,Inputs!$K$4:$AJ$4,0)))+SUMPRODUCT((Inputs!$C$5:$C$110=$B13)*Inputs!$D$5:$D$110*(((Inputs!$G$5:$G$110="moeda")+(Inputs!$G$5:$G$110="acoes"))*Inputs!$B$1+((Inputs!$G$5:$G$110&lt;&gt;"moeda")*(Inputs!$G$5:$G$110&lt;&gt;"acoes")))*INDEX(Inputs!$K$5:$AJ$110,0,MATCH(L$2,Inputs!$K$4:$AJ$4,0)))+SUMPRODUCT((Inputs!$E$5:$E$110=$B13)*Inputs!$F$5:$F$110*(((Inputs!$G$5:$G$110="moeda")+(Inputs!$G$5:$G$110="acoes"))*Inputs!$B$1+((Inputs!$G$5:$G$110&lt;&gt;"moeda")*(Inputs!$G$5:$G$110&lt;&gt;"acoes")))*INDEX(Inputs!$K$5:$AJ$110,0,MATCH(L$2,Inputs!$K$4:$AJ$4,0)))))</f>
        <v>0</v>
      </c>
      <c r="M13" s="3">
        <f>SUM(I13:L13)</f>
        <v>0</v>
      </c>
      <c r="N13" s="6">
        <f>IF(ISNA(MATCH(N$2,Inputs!$K$4:$AJ$4,0)),NA(),IF(SUMPRODUCT((Inputs!$A$5:$A$110=$B13)*ISNUMBER(INDEX(Inputs!$K$5:$AJ$110,0,MATCH(N$2,Inputs!$K$4:$AJ$4,0))))+SUMPRODUCT((Inputs!$C$5:$C$110=$B13)*ISNUMBER(INDEX(Inputs!$K$5:$AJ$110,0,MATCH(N$2,Inputs!$K$4:$AJ$4,0))))+SUMPRODUCT((Inputs!$E$5:$E$110=$B13)*ISNUMBER(INDEX(Inputs!$K$5:$AJ$110,0,MATCH(N$2,Inputs!$K$4:$AJ$4,0))))=0,NA(),SUMPRODUCT((Inputs!$A$5:$A$110=$B13)*Inputs!$B$5:$B$110*(((Inputs!$G$5:$G$110="moeda")+(Inputs!$G$5:$G$110="acoes"))*Inputs!$B$1+((Inputs!$G$5:$G$110&lt;&gt;"moeda")*(Inputs!$G$5:$G$110&lt;&gt;"acoes")))*INDEX(Inputs!$K$5:$AJ$110,0,MATCH(N$2,Inputs!$K$4:$AJ$4,0)))+SUMPRODUCT((Inputs!$C$5:$C$110=$B13)*Inputs!$D$5:$D$110*(((Inputs!$G$5:$G$110="moeda")+(Inputs!$G$5:$G$110="acoes"))*Inputs!$B$1+((Inputs!$G$5:$G$110&lt;&gt;"moeda")*(Inputs!$G$5:$G$110&lt;&gt;"acoes")))*INDEX(Inputs!$K$5:$AJ$110,0,MATCH(N$2,Inputs!$K$4:$AJ$4,0)))+SUMPRODUCT((Inputs!$E$5:$E$110=$B13)*Inputs!$F$5:$F$110*(((Inputs!$G$5:$G$110="moeda")+(Inputs!$G$5:$G$110="acoes"))*Inputs!$B$1+((Inputs!$G$5:$G$110&lt;&gt;"moeda")*(Inputs!$G$5:$G$110&lt;&gt;"acoes")))*INDEX(Inputs!$K$5:$AJ$110,0,MATCH(N$2,Inputs!$K$4:$AJ$4,0)))))</f>
        <v>0</v>
      </c>
      <c r="O13" s="6">
        <f>IF(ISNA(MATCH(O$2,Inputs!$K$4:$AJ$4,0)),NA(),IF(SUMPRODUCT((Inputs!$A$5:$A$110=$B13)*ISNUMBER(INDEX(Inputs!$K$5:$AJ$110,0,MATCH(O$2,Inputs!$K$4:$AJ$4,0))))+SUMPRODUCT((Inputs!$C$5:$C$110=$B13)*ISNUMBER(INDEX(Inputs!$K$5:$AJ$110,0,MATCH(O$2,Inputs!$K$4:$AJ$4,0))))+SUMPRODUCT((Inputs!$E$5:$E$110=$B13)*ISNUMBER(INDEX(Inputs!$K$5:$AJ$110,0,MATCH(O$2,Inputs!$K$4:$AJ$4,0))))=0,NA(),SUMPRODUCT((Inputs!$A$5:$A$110=$B13)*Inputs!$B$5:$B$110*(((Inputs!$G$5:$G$110="moeda")+(Inputs!$G$5:$G$110="acoes"))*Inputs!$B$1+((Inputs!$G$5:$G$110&lt;&gt;"moeda")*(Inputs!$G$5:$G$110&lt;&gt;"acoes")))*INDEX(Inputs!$K$5:$AJ$110,0,MATCH(O$2,Inputs!$K$4:$AJ$4,0)))+SUMPRODUCT((Inputs!$C$5:$C$110=$B13)*Inputs!$D$5:$D$110*(((Inputs!$G$5:$G$110="moeda")+(Inputs!$G$5:$G$110="acoes"))*Inputs!$B$1+((Inputs!$G$5:$G$110&lt;&gt;"moeda")*(Inputs!$G$5:$G$110&lt;&gt;"acoes")))*INDEX(Inputs!$K$5:$AJ$110,0,MATCH(O$2,Inputs!$K$4:$AJ$4,0)))+SUMPRODUCT((Inputs!$E$5:$E$110=$B13)*Inputs!$F$5:$F$110*(((Inputs!$G$5:$G$110="moeda")+(Inputs!$G$5:$G$110="acoes"))*Inputs!$B$1+((Inputs!$G$5:$G$110&lt;&gt;"moeda")*(Inputs!$G$5:$G$110&lt;&gt;"acoes")))*INDEX(Inputs!$K$5:$AJ$110,0,MATCH(O$2,Inputs!$K$4:$AJ$4,0)))))</f>
        <v>0</v>
      </c>
      <c r="P13" s="6">
        <f>IF(ISNA(MATCH(P$2,Inputs!$K$4:$AJ$4,0)),NA(),IF(SUMPRODUCT((Inputs!$A$5:$A$110=$B13)*ISNUMBER(INDEX(Inputs!$K$5:$AJ$110,0,MATCH(P$2,Inputs!$K$4:$AJ$4,0))))+SUMPRODUCT((Inputs!$C$5:$C$110=$B13)*ISNUMBER(INDEX(Inputs!$K$5:$AJ$110,0,MATCH(P$2,Inputs!$K$4:$AJ$4,0))))+SUMPRODUCT((Inputs!$E$5:$E$110=$B13)*ISNUMBER(INDEX(Inputs!$K$5:$AJ$110,0,MATCH(P$2,Inputs!$K$4:$AJ$4,0))))=0,NA(),SUMPRODUCT((Inputs!$A$5:$A$110=$B13)*Inputs!$B$5:$B$110*(((Inputs!$G$5:$G$110="moeda")+(Inputs!$G$5:$G$110="acoes"))*Inputs!$B$1+((Inputs!$G$5:$G$110&lt;&gt;"moeda")*(Inputs!$G$5:$G$110&lt;&gt;"acoes")))*INDEX(Inputs!$K$5:$AJ$110,0,MATCH(P$2,Inputs!$K$4:$AJ$4,0)))+SUMPRODUCT((Inputs!$C$5:$C$110=$B13)*Inputs!$D$5:$D$110*(((Inputs!$G$5:$G$110="moeda")+(Inputs!$G$5:$G$110="acoes"))*Inputs!$B$1+((Inputs!$G$5:$G$110&lt;&gt;"moeda")*(Inputs!$G$5:$G$110&lt;&gt;"acoes")))*INDEX(Inputs!$K$5:$AJ$110,0,MATCH(P$2,Inputs!$K$4:$AJ$4,0)))+SUMPRODUCT((Inputs!$E$5:$E$110=$B13)*Inputs!$F$5:$F$110*(((Inputs!$G$5:$G$110="moeda")+(Inputs!$G$5:$G$110="acoes"))*Inputs!$B$1+((Inputs!$G$5:$G$110&lt;&gt;"moeda")*(Inputs!$G$5:$G$110&lt;&gt;"acoes")))*INDEX(Inputs!$K$5:$AJ$110,0,MATCH(P$2,Inputs!$K$4:$AJ$4,0)))))</f>
        <v>0</v>
      </c>
      <c r="Q13" s="6">
        <f>IF(ISNA(MATCH(Q$2,Inputs!$K$4:$AJ$4,0)),NA(),IF(SUMPRODUCT((Inputs!$A$5:$A$110=$B13)*ISNUMBER(INDEX(Inputs!$K$5:$AJ$110,0,MATCH(Q$2,Inputs!$K$4:$AJ$4,0))))+SUMPRODUCT((Inputs!$C$5:$C$110=$B13)*ISNUMBER(INDEX(Inputs!$K$5:$AJ$110,0,MATCH(Q$2,Inputs!$K$4:$AJ$4,0))))+SUMPRODUCT((Inputs!$E$5:$E$110=$B13)*ISNUMBER(INDEX(Inputs!$K$5:$AJ$110,0,MATCH(Q$2,Inputs!$K$4:$AJ$4,0))))=0,NA(),SUMPRODUCT((Inputs!$A$5:$A$110=$B13)*Inputs!$B$5:$B$110*(((Inputs!$G$5:$G$110="moeda")+(Inputs!$G$5:$G$110="acoes"))*Inputs!$B$1+((Inputs!$G$5:$G$110&lt;&gt;"moeda")*(Inputs!$G$5:$G$110&lt;&gt;"acoes")))*INDEX(Inputs!$K$5:$AJ$110,0,MATCH(Q$2,Inputs!$K$4:$AJ$4,0)))+SUMPRODUCT((Inputs!$C$5:$C$110=$B13)*Inputs!$D$5:$D$110*(((Inputs!$G$5:$G$110="moeda")+(Inputs!$G$5:$G$110="acoes"))*Inputs!$B$1+((Inputs!$G$5:$G$110&lt;&gt;"moeda")*(Inputs!$G$5:$G$110&lt;&gt;"acoes")))*INDEX(Inputs!$K$5:$AJ$110,0,MATCH(Q$2,Inputs!$K$4:$AJ$4,0)))+SUMPRODUCT((Inputs!$E$5:$E$110=$B13)*Inputs!$F$5:$F$110*(((Inputs!$G$5:$G$110="moeda")+(Inputs!$G$5:$G$110="acoes"))*Inputs!$B$1+((Inputs!$G$5:$G$110&lt;&gt;"moeda")*(Inputs!$G$5:$G$110&lt;&gt;"acoes")))*INDEX(Inputs!$K$5:$AJ$110,0,MATCH(Q$2,Inputs!$K$4:$AJ$4,0)))))</f>
        <v>0</v>
      </c>
      <c r="R13" s="3">
        <f>SUM(N13:Q13)</f>
        <v>0</v>
      </c>
      <c r="S13" s="6">
        <f>IF(ISNA(MATCH(S$2,Inputs!$K$4:$AJ$4,0)),NA(),IF(SUMPRODUCT((Inputs!$A$5:$A$110=$B13)*ISNUMBER(INDEX(Inputs!$K$5:$AJ$110,0,MATCH(S$2,Inputs!$K$4:$AJ$4,0))))+SUMPRODUCT((Inputs!$C$5:$C$110=$B13)*ISNUMBER(INDEX(Inputs!$K$5:$AJ$110,0,MATCH(S$2,Inputs!$K$4:$AJ$4,0))))+SUMPRODUCT((Inputs!$E$5:$E$110=$B13)*ISNUMBER(INDEX(Inputs!$K$5:$AJ$110,0,MATCH(S$2,Inputs!$K$4:$AJ$4,0))))=0,NA(),SUMPRODUCT((Inputs!$A$5:$A$110=$B13)*Inputs!$B$5:$B$110*(((Inputs!$G$5:$G$110="moeda")+(Inputs!$G$5:$G$110="acoes"))*Inputs!$B$1+((Inputs!$G$5:$G$110&lt;&gt;"moeda")*(Inputs!$G$5:$G$110&lt;&gt;"acoes")))*INDEX(Inputs!$K$5:$AJ$110,0,MATCH(S$2,Inputs!$K$4:$AJ$4,0)))+SUMPRODUCT((Inputs!$C$5:$C$110=$B13)*Inputs!$D$5:$D$110*(((Inputs!$G$5:$G$110="moeda")+(Inputs!$G$5:$G$110="acoes"))*Inputs!$B$1+((Inputs!$G$5:$G$110&lt;&gt;"moeda")*(Inputs!$G$5:$G$110&lt;&gt;"acoes")))*INDEX(Inputs!$K$5:$AJ$110,0,MATCH(S$2,Inputs!$K$4:$AJ$4,0)))+SUMPRODUCT((Inputs!$E$5:$E$110=$B13)*Inputs!$F$5:$F$110*(((Inputs!$G$5:$G$110="moeda")+(Inputs!$G$5:$G$110="acoes"))*Inputs!$B$1+((Inputs!$G$5:$G$110&lt;&gt;"moeda")*(Inputs!$G$5:$G$110&lt;&gt;"acoes")))*INDEX(Inputs!$K$5:$AJ$110,0,MATCH(S$2,Inputs!$K$4:$AJ$4,0)))))</f>
        <v>0</v>
      </c>
      <c r="T13" s="6">
        <f>IF(ISNA(MATCH(T$2,Inputs!$K$4:$AJ$4,0)),NA(),IF(SUMPRODUCT((Inputs!$A$5:$A$110=$B13)*ISNUMBER(INDEX(Inputs!$K$5:$AJ$110,0,MATCH(T$2,Inputs!$K$4:$AJ$4,0))))+SUMPRODUCT((Inputs!$C$5:$C$110=$B13)*ISNUMBER(INDEX(Inputs!$K$5:$AJ$110,0,MATCH(T$2,Inputs!$K$4:$AJ$4,0))))+SUMPRODUCT((Inputs!$E$5:$E$110=$B13)*ISNUMBER(INDEX(Inputs!$K$5:$AJ$110,0,MATCH(T$2,Inputs!$K$4:$AJ$4,0))))=0,NA(),SUMPRODUCT((Inputs!$A$5:$A$110=$B13)*Inputs!$B$5:$B$110*(((Inputs!$G$5:$G$110="moeda")+(Inputs!$G$5:$G$110="acoes"))*Inputs!$B$1+((Inputs!$G$5:$G$110&lt;&gt;"moeda")*(Inputs!$G$5:$G$110&lt;&gt;"acoes")))*INDEX(Inputs!$K$5:$AJ$110,0,MATCH(T$2,Inputs!$K$4:$AJ$4,0)))+SUMPRODUCT((Inputs!$C$5:$C$110=$B13)*Inputs!$D$5:$D$110*(((Inputs!$G$5:$G$110="moeda")+(Inputs!$G$5:$G$110="acoes"))*Inputs!$B$1+((Inputs!$G$5:$G$110&lt;&gt;"moeda")*(Inputs!$G$5:$G$110&lt;&gt;"acoes")))*INDEX(Inputs!$K$5:$AJ$110,0,MATCH(T$2,Inputs!$K$4:$AJ$4,0)))+SUMPRODUCT((Inputs!$E$5:$E$110=$B13)*Inputs!$F$5:$F$110*(((Inputs!$G$5:$G$110="moeda")+(Inputs!$G$5:$G$110="acoes"))*Inputs!$B$1+((Inputs!$G$5:$G$110&lt;&gt;"moeda")*(Inputs!$G$5:$G$110&lt;&gt;"acoes")))*INDEX(Inputs!$K$5:$AJ$110,0,MATCH(T$2,Inputs!$K$4:$AJ$4,0)))))</f>
        <v>-2466</v>
      </c>
      <c r="U13" s="6">
        <f>IF(ISNA(MATCH(U$2,Inputs!$K$4:$AJ$4,0)),NA(),IF(SUMPRODUCT((Inputs!$A$5:$A$110=$B13)*ISNUMBER(INDEX(Inputs!$K$5:$AJ$110,0,MATCH(U$2,Inputs!$K$4:$AJ$4,0))))+SUMPRODUCT((Inputs!$C$5:$C$110=$B13)*ISNUMBER(INDEX(Inputs!$K$5:$AJ$110,0,MATCH(U$2,Inputs!$K$4:$AJ$4,0))))+SUMPRODUCT((Inputs!$E$5:$E$110=$B13)*ISNUMBER(INDEX(Inputs!$K$5:$AJ$110,0,MATCH(U$2,Inputs!$K$4:$AJ$4,0))))=0,NA(),SUMPRODUCT((Inputs!$A$5:$A$110=$B13)*Inputs!$B$5:$B$110*(((Inputs!$G$5:$G$110="moeda")+(Inputs!$G$5:$G$110="acoes"))*Inputs!$B$1+((Inputs!$G$5:$G$110&lt;&gt;"moeda")*(Inputs!$G$5:$G$110&lt;&gt;"acoes")))*INDEX(Inputs!$K$5:$AJ$110,0,MATCH(U$2,Inputs!$K$4:$AJ$4,0)))+SUMPRODUCT((Inputs!$C$5:$C$110=$B13)*Inputs!$D$5:$D$110*(((Inputs!$G$5:$G$110="moeda")+(Inputs!$G$5:$G$110="acoes"))*Inputs!$B$1+((Inputs!$G$5:$G$110&lt;&gt;"moeda")*(Inputs!$G$5:$G$110&lt;&gt;"acoes")))*INDEX(Inputs!$K$5:$AJ$110,0,MATCH(U$2,Inputs!$K$4:$AJ$4,0)))+SUMPRODUCT((Inputs!$E$5:$E$110=$B13)*Inputs!$F$5:$F$110*(((Inputs!$G$5:$G$110="moeda")+(Inputs!$G$5:$G$110="acoes"))*Inputs!$B$1+((Inputs!$G$5:$G$110&lt;&gt;"moeda")*(Inputs!$G$5:$G$110&lt;&gt;"acoes")))*INDEX(Inputs!$K$5:$AJ$110,0,MATCH(U$2,Inputs!$K$4:$AJ$4,0)))))</f>
        <v>-2455</v>
      </c>
      <c r="V13" s="6">
        <f>IF(ISNA(MATCH(V$2,Inputs!$K$4:$AJ$4,0)),NA(),IF(SUMPRODUCT((Inputs!$A$5:$A$110=$B13)*ISNUMBER(INDEX(Inputs!$K$5:$AJ$110,0,MATCH(V$2,Inputs!$K$4:$AJ$4,0))))+SUMPRODUCT((Inputs!$C$5:$C$110=$B13)*ISNUMBER(INDEX(Inputs!$K$5:$AJ$110,0,MATCH(V$2,Inputs!$K$4:$AJ$4,0))))+SUMPRODUCT((Inputs!$E$5:$E$110=$B13)*ISNUMBER(INDEX(Inputs!$K$5:$AJ$110,0,MATCH(V$2,Inputs!$K$4:$AJ$4,0))))=0,NA(),SUMPRODUCT((Inputs!$A$5:$A$110=$B13)*Inputs!$B$5:$B$110*(((Inputs!$G$5:$G$110="moeda")+(Inputs!$G$5:$G$110="acoes"))*Inputs!$B$1+((Inputs!$G$5:$G$110&lt;&gt;"moeda")*(Inputs!$G$5:$G$110&lt;&gt;"acoes")))*INDEX(Inputs!$K$5:$AJ$110,0,MATCH(V$2,Inputs!$K$4:$AJ$4,0)))+SUMPRODUCT((Inputs!$C$5:$C$110=$B13)*Inputs!$D$5:$D$110*(((Inputs!$G$5:$G$110="moeda")+(Inputs!$G$5:$G$110="acoes"))*Inputs!$B$1+((Inputs!$G$5:$G$110&lt;&gt;"moeda")*(Inputs!$G$5:$G$110&lt;&gt;"acoes")))*INDEX(Inputs!$K$5:$AJ$110,0,MATCH(V$2,Inputs!$K$4:$AJ$4,0)))+SUMPRODUCT((Inputs!$E$5:$E$110=$B13)*Inputs!$F$5:$F$110*(((Inputs!$G$5:$G$110="moeda")+(Inputs!$G$5:$G$110="acoes"))*Inputs!$B$1+((Inputs!$G$5:$G$110&lt;&gt;"moeda")*(Inputs!$G$5:$G$110&lt;&gt;"acoes")))*INDEX(Inputs!$K$5:$AJ$110,0,MATCH(V$2,Inputs!$K$4:$AJ$4,0)))))</f>
        <v>-2442</v>
      </c>
      <c r="W13" s="3">
        <f>SUM(S13:V13)</f>
        <v>-7363</v>
      </c>
      <c r="X13" s="6">
        <f>IF(ISNA(MATCH(X$2,Inputs!$K$4:$AJ$4,0)),NA(),IF(SUMPRODUCT((Inputs!$A$5:$A$110=$B13)*ISNUMBER(INDEX(Inputs!$K$5:$AJ$110,0,MATCH(X$2,Inputs!$K$4:$AJ$4,0))))+SUMPRODUCT((Inputs!$C$5:$C$110=$B13)*ISNUMBER(INDEX(Inputs!$K$5:$AJ$110,0,MATCH(X$2,Inputs!$K$4:$AJ$4,0))))+SUMPRODUCT((Inputs!$E$5:$E$110=$B13)*ISNUMBER(INDEX(Inputs!$K$5:$AJ$110,0,MATCH(X$2,Inputs!$K$4:$AJ$4,0))))=0,NA(),SUMPRODUCT((Inputs!$A$5:$A$110=$B13)*Inputs!$B$5:$B$110*(((Inputs!$G$5:$G$110="moeda")+(Inputs!$G$5:$G$110="acoes"))*Inputs!$B$1+((Inputs!$G$5:$G$110&lt;&gt;"moeda")*(Inputs!$G$5:$G$110&lt;&gt;"acoes")))*INDEX(Inputs!$K$5:$AJ$110,0,MATCH(X$2,Inputs!$K$4:$AJ$4,0)))+SUMPRODUCT((Inputs!$C$5:$C$110=$B13)*Inputs!$D$5:$D$110*(((Inputs!$G$5:$G$110="moeda")+(Inputs!$G$5:$G$110="acoes"))*Inputs!$B$1+((Inputs!$G$5:$G$110&lt;&gt;"moeda")*(Inputs!$G$5:$G$110&lt;&gt;"acoes")))*INDEX(Inputs!$K$5:$AJ$110,0,MATCH(X$2,Inputs!$K$4:$AJ$4,0)))+SUMPRODUCT((Inputs!$E$5:$E$110=$B13)*Inputs!$F$5:$F$110*(((Inputs!$G$5:$G$110="moeda")+(Inputs!$G$5:$G$110="acoes"))*Inputs!$B$1+((Inputs!$G$5:$G$110&lt;&gt;"moeda")*(Inputs!$G$5:$G$110&lt;&gt;"acoes")))*INDEX(Inputs!$K$5:$AJ$110,0,MATCH(X$2,Inputs!$K$4:$AJ$4,0)))))</f>
        <v>-2434</v>
      </c>
      <c r="Y13" s="6">
        <f>IF(ISNA(MATCH(Y$2,Inputs!$K$4:$AJ$4,0)),NA(),IF(SUMPRODUCT((Inputs!$A$5:$A$110=$B13)*ISNUMBER(INDEX(Inputs!$K$5:$AJ$110,0,MATCH(Y$2,Inputs!$K$4:$AJ$4,0))))+SUMPRODUCT((Inputs!$C$5:$C$110=$B13)*ISNUMBER(INDEX(Inputs!$K$5:$AJ$110,0,MATCH(Y$2,Inputs!$K$4:$AJ$4,0))))+SUMPRODUCT((Inputs!$E$5:$E$110=$B13)*ISNUMBER(INDEX(Inputs!$K$5:$AJ$110,0,MATCH(Y$2,Inputs!$K$4:$AJ$4,0))))=0,NA(),SUMPRODUCT((Inputs!$A$5:$A$110=$B13)*Inputs!$B$5:$B$110*(((Inputs!$G$5:$G$110="moeda")+(Inputs!$G$5:$G$110="acoes"))*Inputs!$B$1+((Inputs!$G$5:$G$110&lt;&gt;"moeda")*(Inputs!$G$5:$G$110&lt;&gt;"acoes")))*INDEX(Inputs!$K$5:$AJ$110,0,MATCH(Y$2,Inputs!$K$4:$AJ$4,0)))+SUMPRODUCT((Inputs!$C$5:$C$110=$B13)*Inputs!$D$5:$D$110*(((Inputs!$G$5:$G$110="moeda")+(Inputs!$G$5:$G$110="acoes"))*Inputs!$B$1+((Inputs!$G$5:$G$110&lt;&gt;"moeda")*(Inputs!$G$5:$G$110&lt;&gt;"acoes")))*INDEX(Inputs!$K$5:$AJ$110,0,MATCH(Y$2,Inputs!$K$4:$AJ$4,0)))+SUMPRODUCT((Inputs!$E$5:$E$110=$B13)*Inputs!$F$5:$F$110*(((Inputs!$G$5:$G$110="moeda")+(Inputs!$G$5:$G$110="acoes"))*Inputs!$B$1+((Inputs!$G$5:$G$110&lt;&gt;"moeda")*(Inputs!$G$5:$G$110&lt;&gt;"acoes")))*INDEX(Inputs!$K$5:$AJ$110,0,MATCH(Y$2,Inputs!$K$4:$AJ$4,0)))))</f>
        <v>-2543</v>
      </c>
      <c r="Z13" s="6">
        <f>IF(ISNA(MATCH(Z$2,Inputs!$K$4:$AJ$4,0)),NA(),IF(SUMPRODUCT((Inputs!$A$5:$A$110=$B13)*ISNUMBER(INDEX(Inputs!$K$5:$AJ$110,0,MATCH(Z$2,Inputs!$K$4:$AJ$4,0))))+SUMPRODUCT((Inputs!$C$5:$C$110=$B13)*ISNUMBER(INDEX(Inputs!$K$5:$AJ$110,0,MATCH(Z$2,Inputs!$K$4:$AJ$4,0))))+SUMPRODUCT((Inputs!$E$5:$E$110=$B13)*ISNUMBER(INDEX(Inputs!$K$5:$AJ$110,0,MATCH(Z$2,Inputs!$K$4:$AJ$4,0))))=0,NA(),SUMPRODUCT((Inputs!$A$5:$A$110=$B13)*Inputs!$B$5:$B$110*(((Inputs!$G$5:$G$110="moeda")+(Inputs!$G$5:$G$110="acoes"))*Inputs!$B$1+((Inputs!$G$5:$G$110&lt;&gt;"moeda")*(Inputs!$G$5:$G$110&lt;&gt;"acoes")))*INDEX(Inputs!$K$5:$AJ$110,0,MATCH(Z$2,Inputs!$K$4:$AJ$4,0)))+SUMPRODUCT((Inputs!$C$5:$C$110=$B13)*Inputs!$D$5:$D$110*(((Inputs!$G$5:$G$110="moeda")+(Inputs!$G$5:$G$110="acoes"))*Inputs!$B$1+((Inputs!$G$5:$G$110&lt;&gt;"moeda")*(Inputs!$G$5:$G$110&lt;&gt;"acoes")))*INDEX(Inputs!$K$5:$AJ$110,0,MATCH(Z$2,Inputs!$K$4:$AJ$4,0)))+SUMPRODUCT((Inputs!$E$5:$E$110=$B13)*Inputs!$F$5:$F$110*(((Inputs!$G$5:$G$110="moeda")+(Inputs!$G$5:$G$110="acoes"))*Inputs!$B$1+((Inputs!$G$5:$G$110&lt;&gt;"moeda")*(Inputs!$G$5:$G$110&lt;&gt;"acoes")))*INDEX(Inputs!$K$5:$AJ$110,0,MATCH(Z$2,Inputs!$K$4:$AJ$4,0)))))</f>
        <v>-2536</v>
      </c>
      <c r="AA13" s="6">
        <f>IF(ISNA(MATCH(AA$2,Inputs!$K$4:$AJ$4,0)),NA(),IF(SUMPRODUCT((Inputs!$A$5:$A$110=$B13)*ISNUMBER(INDEX(Inputs!$K$5:$AJ$110,0,MATCH(AA$2,Inputs!$K$4:$AJ$4,0))))+SUMPRODUCT((Inputs!$C$5:$C$110=$B13)*ISNUMBER(INDEX(Inputs!$K$5:$AJ$110,0,MATCH(AA$2,Inputs!$K$4:$AJ$4,0))))+SUMPRODUCT((Inputs!$E$5:$E$110=$B13)*ISNUMBER(INDEX(Inputs!$K$5:$AJ$110,0,MATCH(AA$2,Inputs!$K$4:$AJ$4,0))))=0,NA(),SUMPRODUCT((Inputs!$A$5:$A$110=$B13)*Inputs!$B$5:$B$110*(((Inputs!$G$5:$G$110="moeda")+(Inputs!$G$5:$G$110="acoes"))*Inputs!$B$1+((Inputs!$G$5:$G$110&lt;&gt;"moeda")*(Inputs!$G$5:$G$110&lt;&gt;"acoes")))*INDEX(Inputs!$K$5:$AJ$110,0,MATCH(AA$2,Inputs!$K$4:$AJ$4,0)))+SUMPRODUCT((Inputs!$C$5:$C$110=$B13)*Inputs!$D$5:$D$110*(((Inputs!$G$5:$G$110="moeda")+(Inputs!$G$5:$G$110="acoes"))*Inputs!$B$1+((Inputs!$G$5:$G$110&lt;&gt;"moeda")*(Inputs!$G$5:$G$110&lt;&gt;"acoes")))*INDEX(Inputs!$K$5:$AJ$110,0,MATCH(AA$2,Inputs!$K$4:$AJ$4,0)))+SUMPRODUCT((Inputs!$E$5:$E$110=$B13)*Inputs!$F$5:$F$110*(((Inputs!$G$5:$G$110="moeda")+(Inputs!$G$5:$G$110="acoes"))*Inputs!$B$1+((Inputs!$G$5:$G$110&lt;&gt;"moeda")*(Inputs!$G$5:$G$110&lt;&gt;"acoes")))*INDEX(Inputs!$K$5:$AJ$110,0,MATCH(AA$2,Inputs!$K$4:$AJ$4,0)))))</f>
        <v>-2536</v>
      </c>
      <c r="AB13" s="3">
        <f>SUM(X13:AA13)</f>
        <v>-10049</v>
      </c>
      <c r="AC13" s="6">
        <f>IF(ISNA(MATCH(AC$2,Inputs!$K$4:$AJ$4,0)),NA(),IF(SUMPRODUCT((Inputs!$A$5:$A$110=$B13)*ISNUMBER(INDEX(Inputs!$K$5:$AJ$110,0,MATCH(AC$2,Inputs!$K$4:$AJ$4,0))))+SUMPRODUCT((Inputs!$C$5:$C$110=$B13)*ISNUMBER(INDEX(Inputs!$K$5:$AJ$110,0,MATCH(AC$2,Inputs!$K$4:$AJ$4,0))))+SUMPRODUCT((Inputs!$E$5:$E$110=$B13)*ISNUMBER(INDEX(Inputs!$K$5:$AJ$110,0,MATCH(AC$2,Inputs!$K$4:$AJ$4,0))))=0,NA(),SUMPRODUCT((Inputs!$A$5:$A$110=$B13)*Inputs!$B$5:$B$110*(((Inputs!$G$5:$G$110="moeda")+(Inputs!$G$5:$G$110="acoes"))*Inputs!$B$1+((Inputs!$G$5:$G$110&lt;&gt;"moeda")*(Inputs!$G$5:$G$110&lt;&gt;"acoes")))*INDEX(Inputs!$K$5:$AJ$110,0,MATCH(AC$2,Inputs!$K$4:$AJ$4,0)))+SUMPRODUCT((Inputs!$C$5:$C$110=$B13)*Inputs!$D$5:$D$110*(((Inputs!$G$5:$G$110="moeda")+(Inputs!$G$5:$G$110="acoes"))*Inputs!$B$1+((Inputs!$G$5:$G$110&lt;&gt;"moeda")*(Inputs!$G$5:$G$110&lt;&gt;"acoes")))*INDEX(Inputs!$K$5:$AJ$110,0,MATCH(AC$2,Inputs!$K$4:$AJ$4,0)))+SUMPRODUCT((Inputs!$E$5:$E$110=$B13)*Inputs!$F$5:$F$110*(((Inputs!$G$5:$G$110="moeda")+(Inputs!$G$5:$G$110="acoes"))*Inputs!$B$1+((Inputs!$G$5:$G$110&lt;&gt;"moeda")*(Inputs!$G$5:$G$110&lt;&gt;"acoes")))*INDEX(Inputs!$K$5:$AJ$110,0,MATCH(AC$2,Inputs!$K$4:$AJ$4,0)))))</f>
        <v>-2542</v>
      </c>
      <c r="AD13" s="6">
        <f>IF(ISNA(MATCH(AD$2,Inputs!$K$4:$AJ$4,0)),NA(),IF(SUMPRODUCT((Inputs!$A$5:$A$110=$B13)*ISNUMBER(INDEX(Inputs!$K$5:$AJ$110,0,MATCH(AD$2,Inputs!$K$4:$AJ$4,0))))+SUMPRODUCT((Inputs!$C$5:$C$110=$B13)*ISNUMBER(INDEX(Inputs!$K$5:$AJ$110,0,MATCH(AD$2,Inputs!$K$4:$AJ$4,0))))+SUMPRODUCT((Inputs!$E$5:$E$110=$B13)*ISNUMBER(INDEX(Inputs!$K$5:$AJ$110,0,MATCH(AD$2,Inputs!$K$4:$AJ$4,0))))=0,NA(),SUMPRODUCT((Inputs!$A$5:$A$110=$B13)*Inputs!$B$5:$B$110*(((Inputs!$G$5:$G$110="moeda")+(Inputs!$G$5:$G$110="acoes"))*Inputs!$B$1+((Inputs!$G$5:$G$110&lt;&gt;"moeda")*(Inputs!$G$5:$G$110&lt;&gt;"acoes")))*INDEX(Inputs!$K$5:$AJ$110,0,MATCH(AD$2,Inputs!$K$4:$AJ$4,0)))+SUMPRODUCT((Inputs!$C$5:$C$110=$B13)*Inputs!$D$5:$D$110*(((Inputs!$G$5:$G$110="moeda")+(Inputs!$G$5:$G$110="acoes"))*Inputs!$B$1+((Inputs!$G$5:$G$110&lt;&gt;"moeda")*(Inputs!$G$5:$G$110&lt;&gt;"acoes")))*INDEX(Inputs!$K$5:$AJ$110,0,MATCH(AD$2,Inputs!$K$4:$AJ$4,0)))+SUMPRODUCT((Inputs!$E$5:$E$110=$B13)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3" s="6" t="e">
        <f>IF(ISNA(MATCH(AE$2,Inputs!$K$4:$AJ$4,0)),NA(),IF(SUMPRODUCT((Inputs!$A$5:$A$110=$B13)*ISNUMBER(INDEX(Inputs!$K$5:$AJ$110,0,MATCH(AE$2,Inputs!$K$4:$AJ$4,0))))+SUMPRODUCT((Inputs!$C$5:$C$110=$B13)*ISNUMBER(INDEX(Inputs!$K$5:$AJ$110,0,MATCH(AE$2,Inputs!$K$4:$AJ$4,0))))+SUMPRODUCT((Inputs!$E$5:$E$110=$B13)*ISNUMBER(INDEX(Inputs!$K$5:$AJ$110,0,MATCH(AE$2,Inputs!$K$4:$AJ$4,0))))=0,NA(),SUMPRODUCT((Inputs!$A$5:$A$110=$B13)*Inputs!$B$5:$B$110*(((Inputs!$G$5:$G$110="moeda")+(Inputs!$G$5:$G$110="acoes"))*Inputs!$B$1+((Inputs!$G$5:$G$110&lt;&gt;"moeda")*(Inputs!$G$5:$G$110&lt;&gt;"acoes")))*INDEX(Inputs!$K$5:$AJ$110,0,MATCH(AE$2,Inputs!$K$4:$AJ$4,0)))+SUMPRODUCT((Inputs!$C$5:$C$110=$B13)*Inputs!$D$5:$D$110*(((Inputs!$G$5:$G$110="moeda")+(Inputs!$G$5:$G$110="acoes"))*Inputs!$B$1+((Inputs!$G$5:$G$110&lt;&gt;"moeda")*(Inputs!$G$5:$G$110&lt;&gt;"acoes")))*INDEX(Inputs!$K$5:$AJ$110,0,MATCH(AE$2,Inputs!$K$4:$AJ$4,0)))+SUMPRODUCT((Inputs!$E$5:$E$110=$B13)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3" s="6" t="e">
        <f>IF(ISNA(MATCH(AF$2,Inputs!$K$4:$AJ$4,0)),NA(),IF(SUMPRODUCT((Inputs!$A$5:$A$110=$B13)*ISNUMBER(INDEX(Inputs!$K$5:$AJ$110,0,MATCH(AF$2,Inputs!$K$4:$AJ$4,0))))+SUMPRODUCT((Inputs!$C$5:$C$110=$B13)*ISNUMBER(INDEX(Inputs!$K$5:$AJ$110,0,MATCH(AF$2,Inputs!$K$4:$AJ$4,0))))+SUMPRODUCT((Inputs!$E$5:$E$110=$B13)*ISNUMBER(INDEX(Inputs!$K$5:$AJ$110,0,MATCH(AF$2,Inputs!$K$4:$AJ$4,0))))=0,NA(),SUMPRODUCT((Inputs!$A$5:$A$110=$B13)*Inputs!$B$5:$B$110*(((Inputs!$G$5:$G$110="moeda")+(Inputs!$G$5:$G$110="acoes"))*Inputs!$B$1+((Inputs!$G$5:$G$110&lt;&gt;"moeda")*(Inputs!$G$5:$G$110&lt;&gt;"acoes")))*INDEX(Inputs!$K$5:$AJ$110,0,MATCH(AF$2,Inputs!$K$4:$AJ$4,0)))+SUMPRODUCT((Inputs!$C$5:$C$110=$B13)*Inputs!$D$5:$D$110*(((Inputs!$G$5:$G$110="moeda")+(Inputs!$G$5:$G$110="acoes"))*Inputs!$B$1+((Inputs!$G$5:$G$110&lt;&gt;"moeda")*(Inputs!$G$5:$G$110&lt;&gt;"acoes")))*INDEX(Inputs!$K$5:$AJ$110,0,MATCH(AF$2,Inputs!$K$4:$AJ$4,0)))+SUMPRODUCT((Inputs!$E$5:$E$110=$B13)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$110=$B13)*ISNUMBER(INDEX(Inputs!$K$5:$AJ$110,0,MATCH(AH$2,Inputs!$K$4:$AJ$4,0))))+SUMPRODUCT((Inputs!$C$5:$C$110=$B13)*ISNUMBER(INDEX(Inputs!$K$5:$AJ$110,0,MATCH(AH$2,Inputs!$K$4:$AJ$4,0))))+SUMPRODUCT((Inputs!$E$5:$E$110=$B13)*ISNUMBER(INDEX(Inputs!$K$5:$AJ$110,0,MATCH(AH$2,Inputs!$K$4:$AJ$4,0))))=0,NA(),SUMPRODUCT((Inputs!$A$5:$A$110=$B13)*Inputs!$B$5:$B$110*(((Inputs!$G$5:$G$110="moeda")+(Inputs!$G$5:$G$110="acoes"))*Inputs!$B$1+((Inputs!$G$5:$G$110&lt;&gt;"moeda")*(Inputs!$G$5:$G$110&lt;&gt;"acoes")))*INDEX(Inputs!$K$5:$AJ$110,0,MATCH(AH$2,Inputs!$K$4:$AJ$4,0)))+SUMPRODUCT((Inputs!$C$5:$C$110=$B13)*Inputs!$D$5:$D$110*(((Inputs!$G$5:$G$110="moeda")+(Inputs!$G$5:$G$110="acoes"))*Inputs!$B$1+((Inputs!$G$5:$G$110&lt;&gt;"moeda")*(Inputs!$G$5:$G$110&lt;&gt;"acoes")))*INDEX(Inputs!$K$5:$AJ$110,0,MATCH(AH$2,Inputs!$K$4:$AJ$4,0)))+SUMPRODUCT((Inputs!$E$5:$E$110=$B13)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3" s="6">
        <f>IF(ISNA(MATCH(AI$2,Inputs!$K$4:$AJ$4,0)),NA(),IF(SUMPRODUCT((Inputs!$A$5:$A$110=$B13)*ISNUMBER(INDEX(Inputs!$K$5:$AJ$110,0,MATCH(AI$2,Inputs!$K$4:$AJ$4,0))))+SUMPRODUCT((Inputs!$C$5:$C$110=$B13)*ISNUMBER(INDEX(Inputs!$K$5:$AJ$110,0,MATCH(AI$2,Inputs!$K$4:$AJ$4,0))))+SUMPRODUCT((Inputs!$E$5:$E$110=$B13)*ISNUMBER(INDEX(Inputs!$K$5:$AJ$110,0,MATCH(AI$2,Inputs!$K$4:$AJ$4,0))))=0,NA(),SUMPRODUCT((Inputs!$A$5:$A$110=$B13)*Inputs!$B$5:$B$110*(((Inputs!$G$5:$G$110="moeda")+(Inputs!$G$5:$G$110="acoes"))*Inputs!$B$1+((Inputs!$G$5:$G$110&lt;&gt;"moeda")*(Inputs!$G$5:$G$110&lt;&gt;"acoes")))*INDEX(Inputs!$K$5:$AJ$110,0,MATCH(AI$2,Inputs!$K$4:$AJ$4,0)))+SUMPRODUCT((Inputs!$C$5:$C$110=$B13)*Inputs!$D$5:$D$110*(((Inputs!$G$5:$G$110="moeda")+(Inputs!$G$5:$G$110="acoes"))*Inputs!$B$1+((Inputs!$G$5:$G$110&lt;&gt;"moeda")*(Inputs!$G$5:$G$110&lt;&gt;"acoes")))*INDEX(Inputs!$K$5:$AJ$110,0,MATCH(AI$2,Inputs!$K$4:$AJ$4,0)))+SUMPRODUCT((Inputs!$E$5:$E$110=$B13)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3" s="6">
        <f>IF(ISNA(MATCH(AJ$2,Inputs!$K$4:$AJ$4,0)),NA(),IF(SUMPRODUCT((Inputs!$A$5:$A$110=$B13)*ISNUMBER(INDEX(Inputs!$K$5:$AJ$110,0,MATCH(AJ$2,Inputs!$K$4:$AJ$4,0))))+SUMPRODUCT((Inputs!$C$5:$C$110=$B13)*ISNUMBER(INDEX(Inputs!$K$5:$AJ$110,0,MATCH(AJ$2,Inputs!$K$4:$AJ$4,0))))+SUMPRODUCT((Inputs!$E$5:$E$110=$B13)*ISNUMBER(INDEX(Inputs!$K$5:$AJ$110,0,MATCH(AJ$2,Inputs!$K$4:$AJ$4,0))))=0,NA(),SUMPRODUCT((Inputs!$A$5:$A$110=$B13)*Inputs!$B$5:$B$110*(((Inputs!$G$5:$G$110="moeda")+(Inputs!$G$5:$G$110="acoes"))*Inputs!$B$1+((Inputs!$G$5:$G$110&lt;&gt;"moeda")*(Inputs!$G$5:$G$110&lt;&gt;"acoes")))*INDEX(Inputs!$K$5:$AJ$110,0,MATCH(AJ$2,Inputs!$K$4:$AJ$4,0)))+SUMPRODUCT((Inputs!$C$5:$C$110=$B13)*Inputs!$D$5:$D$110*(((Inputs!$G$5:$G$110="moeda")+(Inputs!$G$5:$G$110="acoes"))*Inputs!$B$1+((Inputs!$G$5:$G$110&lt;&gt;"moeda")*(Inputs!$G$5:$G$110&lt;&gt;"acoes")))*INDEX(Inputs!$K$5:$AJ$110,0,MATCH(AJ$2,Inputs!$K$4:$AJ$4,0)))+SUMPRODUCT((Inputs!$E$5:$E$110=$B13)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3" s="6">
        <f>IF(ISNA(MATCH(AK$2,Inputs!$K$4:$AJ$4,0)),NA(),IF(SUMPRODUCT((Inputs!$A$5:$A$110=$B13)*ISNUMBER(INDEX(Inputs!$K$5:$AJ$110,0,MATCH(AK$2,Inputs!$K$4:$AJ$4,0))))+SUMPRODUCT((Inputs!$C$5:$C$110=$B13)*ISNUMBER(INDEX(Inputs!$K$5:$AJ$110,0,MATCH(AK$2,Inputs!$K$4:$AJ$4,0))))+SUMPRODUCT((Inputs!$E$5:$E$110=$B13)*ISNUMBER(INDEX(Inputs!$K$5:$AJ$110,0,MATCH(AK$2,Inputs!$K$4:$AJ$4,0))))=0,NA(),SUMPRODUCT((Inputs!$A$5:$A$110=$B13)*Inputs!$B$5:$B$110*(((Inputs!$G$5:$G$110="moeda")+(Inputs!$G$5:$G$110="acoes"))*Inputs!$B$1+((Inputs!$G$5:$G$110&lt;&gt;"moeda")*(Inputs!$G$5:$G$110&lt;&gt;"acoes")))*INDEX(Inputs!$K$5:$AJ$110,0,MATCH(AK$2,Inputs!$K$4:$AJ$4,0)))+SUMPRODUCT((Inputs!$C$5:$C$110=$B13)*Inputs!$D$5:$D$110*(((Inputs!$G$5:$G$110="moeda")+(Inputs!$G$5:$G$110="acoes"))*Inputs!$B$1+((Inputs!$G$5:$G$110&lt;&gt;"moeda")*(Inputs!$G$5:$G$110&lt;&gt;"acoes")))*INDEX(Inputs!$K$5:$AJ$110,0,MATCH(AK$2,Inputs!$K$4:$AJ$4,0)))+SUMPRODUCT((Inputs!$E$5:$E$110=$B13)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3" s="3">
        <f>SUM(AH13:AK13)</f>
        <v>0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$110=$B15)*ISNUMBER(INDEX(Inputs!$K$5:$AJ$110,0,MATCH(D$2,Inputs!$K$4:$AJ$4,0))))+SUMPRODUCT((Inputs!$C$5:$C$110=$B15)*ISNUMBER(INDEX(Inputs!$K$5:$AJ$110,0,MATCH(D$2,Inputs!$K$4:$AJ$4,0))))+SUMPRODUCT((Inputs!$E$5:$E$110=$B15)*ISNUMBER(INDEX(Inputs!$K$5:$AJ$110,0,MATCH(D$2,Inputs!$K$4:$AJ$4,0))))=0,NA(),SUMPRODUCT((Inputs!$A$5:$A$110=$B15)*Inputs!$B$5:$B$110*(((Inputs!$G$5:$G$110="moeda")+(Inputs!$G$5:$G$110="acoes"))*Inputs!$B$1+((Inputs!$G$5:$G$110&lt;&gt;"moeda")*(Inputs!$G$5:$G$110&lt;&gt;"acoes")))*INDEX(Inputs!$K$5:$AJ$110,0,MATCH(D$2,Inputs!$K$4:$AJ$4,0)))+SUMPRODUCT((Inputs!$C$5:$C$110=$B15)*Inputs!$D$5:$D$110*(((Inputs!$G$5:$G$110="moeda")+(Inputs!$G$5:$G$110="acoes"))*Inputs!$B$1+((Inputs!$G$5:$G$110&lt;&gt;"moeda")*(Inputs!$G$5:$G$110&lt;&gt;"acoes")))*INDEX(Inputs!$K$5:$AJ$110,0,MATCH(D$2,Inputs!$K$4:$AJ$4,0)))+SUMPRODUCT((Inputs!$E$5:$E$110=$B15)*Inputs!$F$5:$F$110*(((Inputs!$G$5:$G$110="moeda")+(Inputs!$G$5:$G$110="acoes"))*Inputs!$B$1+((Inputs!$G$5:$G$110&lt;&gt;"moeda")*(Inputs!$G$5:$G$110&lt;&gt;"acoes")))*INDEX(Inputs!$K$5:$AJ$110,0,MATCH(D$2,Inputs!$K$4:$AJ$4,0)))))</f>
        <v>135104</v>
      </c>
      <c r="E15" s="6">
        <f>IF(ISNA(MATCH(E$2,Inputs!$K$4:$AJ$4,0)),NA(),IF(SUMPRODUCT((Inputs!$A$5:$A$110=$B15)*ISNUMBER(INDEX(Inputs!$K$5:$AJ$110,0,MATCH(E$2,Inputs!$K$4:$AJ$4,0))))+SUMPRODUCT((Inputs!$C$5:$C$110=$B15)*ISNUMBER(INDEX(Inputs!$K$5:$AJ$110,0,MATCH(E$2,Inputs!$K$4:$AJ$4,0))))+SUMPRODUCT((Inputs!$E$5:$E$110=$B15)*ISNUMBER(INDEX(Inputs!$K$5:$AJ$110,0,MATCH(E$2,Inputs!$K$4:$AJ$4,0))))=0,NA(),SUMPRODUCT((Inputs!$A$5:$A$110=$B15)*Inputs!$B$5:$B$110*(((Inputs!$G$5:$G$110="moeda")+(Inputs!$G$5:$G$110="acoes"))*Inputs!$B$1+((Inputs!$G$5:$G$110&lt;&gt;"moeda")*(Inputs!$G$5:$G$110&lt;&gt;"acoes")))*INDEX(Inputs!$K$5:$AJ$110,0,MATCH(E$2,Inputs!$K$4:$AJ$4,0)))+SUMPRODUCT((Inputs!$C$5:$C$110=$B15)*Inputs!$D$5:$D$110*(((Inputs!$G$5:$G$110="moeda")+(Inputs!$G$5:$G$110="acoes"))*Inputs!$B$1+((Inputs!$G$5:$G$110&lt;&gt;"moeda")*(Inputs!$G$5:$G$110&lt;&gt;"acoes")))*INDEX(Inputs!$K$5:$AJ$110,0,MATCH(E$2,Inputs!$K$4:$AJ$4,0)))+SUMPRODUCT((Inputs!$E$5:$E$110=$B15)*Inputs!$F$5:$F$110*(((Inputs!$G$5:$G$110="moeda")+(Inputs!$G$5:$G$110="acoes"))*Inputs!$B$1+((Inputs!$G$5:$G$110&lt;&gt;"moeda")*(Inputs!$G$5:$G$110&lt;&gt;"acoes")))*INDEX(Inputs!$K$5:$AJ$110,0,MATCH(E$2,Inputs!$K$4:$AJ$4,0)))))</f>
        <v>135863</v>
      </c>
      <c r="F15" s="6">
        <f>IF(ISNA(MATCH(F$2,Inputs!$K$4:$AJ$4,0)),NA(),IF(SUMPRODUCT((Inputs!$A$5:$A$110=$B15)*ISNUMBER(INDEX(Inputs!$K$5:$AJ$110,0,MATCH(F$2,Inputs!$K$4:$AJ$4,0))))+SUMPRODUCT((Inputs!$C$5:$C$110=$B15)*ISNUMBER(INDEX(Inputs!$K$5:$AJ$110,0,MATCH(F$2,Inputs!$K$4:$AJ$4,0))))+SUMPRODUCT((Inputs!$E$5:$E$110=$B15)*ISNUMBER(INDEX(Inputs!$K$5:$AJ$110,0,MATCH(F$2,Inputs!$K$4:$AJ$4,0))))=0,NA(),SUMPRODUCT((Inputs!$A$5:$A$110=$B15)*Inputs!$B$5:$B$110*(((Inputs!$G$5:$G$110="moeda")+(Inputs!$G$5:$G$110="acoes"))*Inputs!$B$1+((Inputs!$G$5:$G$110&lt;&gt;"moeda")*(Inputs!$G$5:$G$110&lt;&gt;"acoes")))*INDEX(Inputs!$K$5:$AJ$110,0,MATCH(F$2,Inputs!$K$4:$AJ$4,0)))+SUMPRODUCT((Inputs!$C$5:$C$110=$B15)*Inputs!$D$5:$D$110*(((Inputs!$G$5:$G$110="moeda")+(Inputs!$G$5:$G$110="acoes"))*Inputs!$B$1+((Inputs!$G$5:$G$110&lt;&gt;"moeda")*(Inputs!$G$5:$G$110&lt;&gt;"acoes")))*INDEX(Inputs!$K$5:$AJ$110,0,MATCH(F$2,Inputs!$K$4:$AJ$4,0)))+SUMPRODUCT((Inputs!$E$5:$E$110=$B15)*Inputs!$F$5:$F$110*(((Inputs!$G$5:$G$110="moeda")+(Inputs!$G$5:$G$110="acoes"))*Inputs!$B$1+((Inputs!$G$5:$G$110&lt;&gt;"moeda")*(Inputs!$G$5:$G$110&lt;&gt;"acoes")))*INDEX(Inputs!$K$5:$AJ$110,0,MATCH(F$2,Inputs!$K$4:$AJ$4,0)))))</f>
        <v>142003</v>
      </c>
      <c r="G15" s="6">
        <f>IF(ISNA(MATCH(G$2,Inputs!$K$4:$AJ$4,0)),NA(),IF(SUMPRODUCT((Inputs!$A$5:$A$110=$B15)*ISNUMBER(INDEX(Inputs!$K$5:$AJ$110,0,MATCH(G$2,Inputs!$K$4:$AJ$4,0))))+SUMPRODUCT((Inputs!$C$5:$C$110=$B15)*ISNUMBER(INDEX(Inputs!$K$5:$AJ$110,0,MATCH(G$2,Inputs!$K$4:$AJ$4,0))))+SUMPRODUCT((Inputs!$E$5:$E$110=$B15)*ISNUMBER(INDEX(Inputs!$K$5:$AJ$110,0,MATCH(G$2,Inputs!$K$4:$AJ$4,0))))=0,NA(),SUMPRODUCT((Inputs!$A$5:$A$110=$B15)*Inputs!$B$5:$B$110*(((Inputs!$G$5:$G$110="moeda")+(Inputs!$G$5:$G$110="acoes"))*Inputs!$B$1+((Inputs!$G$5:$G$110&lt;&gt;"moeda")*(Inputs!$G$5:$G$110&lt;&gt;"acoes")))*INDEX(Inputs!$K$5:$AJ$110,0,MATCH(G$2,Inputs!$K$4:$AJ$4,0)))+SUMPRODUCT((Inputs!$C$5:$C$110=$B15)*Inputs!$D$5:$D$110*(((Inputs!$G$5:$G$110="moeda")+(Inputs!$G$5:$G$110="acoes"))*Inputs!$B$1+((Inputs!$G$5:$G$110&lt;&gt;"moeda")*(Inputs!$G$5:$G$110&lt;&gt;"acoes")))*INDEX(Inputs!$K$5:$AJ$110,0,MATCH(G$2,Inputs!$K$4:$AJ$4,0)))+SUMPRODUCT((Inputs!$E$5:$E$110=$B15)*Inputs!$F$5:$F$110*(((Inputs!$G$5:$G$110="moeda")+(Inputs!$G$5:$G$110="acoes"))*Inputs!$B$1+((Inputs!$G$5:$G$110&lt;&gt;"moeda")*(Inputs!$G$5:$G$110&lt;&gt;"acoes")))*INDEX(Inputs!$K$5:$AJ$110,0,MATCH(G$2,Inputs!$K$4:$AJ$4,0)))))</f>
        <v>139649</v>
      </c>
      <c r="H15" s="3">
        <f>G15</f>
        <v>139649</v>
      </c>
      <c r="I15" s="6">
        <f>IF(ISNA(MATCH(I$2,Inputs!$K$4:$AJ$4,0)),NA(),IF(SUMPRODUCT((Inputs!$A$5:$A$110=$B15)*ISNUMBER(INDEX(Inputs!$K$5:$AJ$110,0,MATCH(I$2,Inputs!$K$4:$AJ$4,0))))+SUMPRODUCT((Inputs!$C$5:$C$110=$B15)*ISNUMBER(INDEX(Inputs!$K$5:$AJ$110,0,MATCH(I$2,Inputs!$K$4:$AJ$4,0))))+SUMPRODUCT((Inputs!$E$5:$E$110=$B15)*ISNUMBER(INDEX(Inputs!$K$5:$AJ$110,0,MATCH(I$2,Inputs!$K$4:$AJ$4,0))))=0,NA(),SUMPRODUCT((Inputs!$A$5:$A$110=$B15)*Inputs!$B$5:$B$110*(((Inputs!$G$5:$G$110="moeda")+(Inputs!$G$5:$G$110="acoes"))*Inputs!$B$1+((Inputs!$G$5:$G$110&lt;&gt;"moeda")*(Inputs!$G$5:$G$110&lt;&gt;"acoes")))*INDEX(Inputs!$K$5:$AJ$110,0,MATCH(I$2,Inputs!$K$4:$AJ$4,0)))+SUMPRODUCT((Inputs!$C$5:$C$110=$B15)*Inputs!$D$5:$D$110*(((Inputs!$G$5:$G$110="moeda")+(Inputs!$G$5:$G$110="acoes"))*Inputs!$B$1+((Inputs!$G$5:$G$110&lt;&gt;"moeda")*(Inputs!$G$5:$G$110&lt;&gt;"acoes")))*INDEX(Inputs!$K$5:$AJ$110,0,MATCH(I$2,Inputs!$K$4:$AJ$4,0)))+SUMPRODUCT((Inputs!$E$5:$E$110=$B15)*Inputs!$F$5:$F$110*(((Inputs!$G$5:$G$110="moeda")+(Inputs!$G$5:$G$110="acoes"))*Inputs!$B$1+((Inputs!$G$5:$G$110&lt;&gt;"moeda")*(Inputs!$G$5:$G$110&lt;&gt;"acoes")))*INDEX(Inputs!$K$5:$AJ$110,0,MATCH(I$2,Inputs!$K$4:$AJ$4,0)))))</f>
        <v>133970</v>
      </c>
      <c r="J15" s="6">
        <f>IF(ISNA(MATCH(J$2,Inputs!$K$4:$AJ$4,0)),NA(),IF(SUMPRODUCT((Inputs!$A$5:$A$110=$B15)*ISNUMBER(INDEX(Inputs!$K$5:$AJ$110,0,MATCH(J$2,Inputs!$K$4:$AJ$4,0))))+SUMPRODUCT((Inputs!$C$5:$C$110=$B15)*ISNUMBER(INDEX(Inputs!$K$5:$AJ$110,0,MATCH(J$2,Inputs!$K$4:$AJ$4,0))))+SUMPRODUCT((Inputs!$E$5:$E$110=$B15)*ISNUMBER(INDEX(Inputs!$K$5:$AJ$110,0,MATCH(J$2,Inputs!$K$4:$AJ$4,0))))=0,NA(),SUMPRODUCT((Inputs!$A$5:$A$110=$B15)*Inputs!$B$5:$B$110*(((Inputs!$G$5:$G$110="moeda")+(Inputs!$G$5:$G$110="acoes"))*Inputs!$B$1+((Inputs!$G$5:$G$110&lt;&gt;"moeda")*(Inputs!$G$5:$G$110&lt;&gt;"acoes")))*INDEX(Inputs!$K$5:$AJ$110,0,MATCH(J$2,Inputs!$K$4:$AJ$4,0)))+SUMPRODUCT((Inputs!$C$5:$C$110=$B15)*Inputs!$D$5:$D$110*(((Inputs!$G$5:$G$110="moeda")+(Inputs!$G$5:$G$110="acoes"))*Inputs!$B$1+((Inputs!$G$5:$G$110&lt;&gt;"moeda")*(Inputs!$G$5:$G$110&lt;&gt;"acoes")))*INDEX(Inputs!$K$5:$AJ$110,0,MATCH(J$2,Inputs!$K$4:$AJ$4,0)))+SUMPRODUCT((Inputs!$E$5:$E$110=$B15)*Inputs!$F$5:$F$110*(((Inputs!$G$5:$G$110="moeda")+(Inputs!$G$5:$G$110="acoes"))*Inputs!$B$1+((Inputs!$G$5:$G$110&lt;&gt;"moeda")*(Inputs!$G$5:$G$110&lt;&gt;"acoes")))*INDEX(Inputs!$K$5:$AJ$110,0,MATCH(J$2,Inputs!$K$4:$AJ$4,0)))))</f>
        <v>124997</v>
      </c>
      <c r="K15" s="6">
        <f>IF(ISNA(MATCH(K$2,Inputs!$K$4:$AJ$4,0)),NA(),IF(SUMPRODUCT((Inputs!$A$5:$A$110=$B15)*ISNUMBER(INDEX(Inputs!$K$5:$AJ$110,0,MATCH(K$2,Inputs!$K$4:$AJ$4,0))))+SUMPRODUCT((Inputs!$C$5:$C$110=$B15)*ISNUMBER(INDEX(Inputs!$K$5:$AJ$110,0,MATCH(K$2,Inputs!$K$4:$AJ$4,0))))+SUMPRODUCT((Inputs!$E$5:$E$110=$B15)*ISNUMBER(INDEX(Inputs!$K$5:$AJ$110,0,MATCH(K$2,Inputs!$K$4:$AJ$4,0))))=0,NA(),SUMPRODUCT((Inputs!$A$5:$A$110=$B15)*Inputs!$B$5:$B$110*(((Inputs!$G$5:$G$110="moeda")+(Inputs!$G$5:$G$110="acoes"))*Inputs!$B$1+((Inputs!$G$5:$G$110&lt;&gt;"moeda")*(Inputs!$G$5:$G$110&lt;&gt;"acoes")))*INDEX(Inputs!$K$5:$AJ$110,0,MATCH(K$2,Inputs!$K$4:$AJ$4,0)))+SUMPRODUCT((Inputs!$C$5:$C$110=$B15)*Inputs!$D$5:$D$110*(((Inputs!$G$5:$G$110="moeda")+(Inputs!$G$5:$G$110="acoes"))*Inputs!$B$1+((Inputs!$G$5:$G$110&lt;&gt;"moeda")*(Inputs!$G$5:$G$110&lt;&gt;"acoes")))*INDEX(Inputs!$K$5:$AJ$110,0,MATCH(K$2,Inputs!$K$4:$AJ$4,0)))+SUMPRODUCT((Inputs!$E$5:$E$110=$B15)*Inputs!$F$5:$F$110*(((Inputs!$G$5:$G$110="moeda")+(Inputs!$G$5:$G$110="acoes"))*Inputs!$B$1+((Inputs!$G$5:$G$110&lt;&gt;"moeda")*(Inputs!$G$5:$G$110&lt;&gt;"acoes")))*INDEX(Inputs!$K$5:$AJ$110,0,MATCH(K$2,Inputs!$K$4:$AJ$4,0)))))</f>
        <v>116259</v>
      </c>
      <c r="L15" s="6">
        <f>IF(ISNA(MATCH(L$2,Inputs!$K$4:$AJ$4,0)),NA(),IF(SUMPRODUCT((Inputs!$A$5:$A$110=$B15)*ISNUMBER(INDEX(Inputs!$K$5:$AJ$110,0,MATCH(L$2,Inputs!$K$4:$AJ$4,0))))+SUMPRODUCT((Inputs!$C$5:$C$110=$B15)*ISNUMBER(INDEX(Inputs!$K$5:$AJ$110,0,MATCH(L$2,Inputs!$K$4:$AJ$4,0))))+SUMPRODUCT((Inputs!$E$5:$E$110=$B15)*ISNUMBER(INDEX(Inputs!$K$5:$AJ$110,0,MATCH(L$2,Inputs!$K$4:$AJ$4,0))))=0,NA(),SUMPRODUCT((Inputs!$A$5:$A$110=$B15)*Inputs!$B$5:$B$110*(((Inputs!$G$5:$G$110="moeda")+(Inputs!$G$5:$G$110="acoes"))*Inputs!$B$1+((Inputs!$G$5:$G$110&lt;&gt;"moeda")*(Inputs!$G$5:$G$110&lt;&gt;"acoes")))*INDEX(Inputs!$K$5:$AJ$110,0,MATCH(L$2,Inputs!$K$4:$AJ$4,0)))+SUMPRODUCT((Inputs!$C$5:$C$110=$B15)*Inputs!$D$5:$D$110*(((Inputs!$G$5:$G$110="moeda")+(Inputs!$G$5:$G$110="acoes"))*Inputs!$B$1+((Inputs!$G$5:$G$110&lt;&gt;"moeda")*(Inputs!$G$5:$G$110&lt;&gt;"acoes")))*INDEX(Inputs!$K$5:$AJ$110,0,MATCH(L$2,Inputs!$K$4:$AJ$4,0)))+SUMPRODUCT((Inputs!$E$5:$E$110=$B15)*Inputs!$F$5:$F$110*(((Inputs!$G$5:$G$110="moeda")+(Inputs!$G$5:$G$110="acoes"))*Inputs!$B$1+((Inputs!$G$5:$G$110&lt;&gt;"moeda")*(Inputs!$G$5:$G$110&lt;&gt;"acoes")))*INDEX(Inputs!$K$5:$AJ$110,0,MATCH(L$2,Inputs!$K$4:$AJ$4,0)))))</f>
        <v>113762</v>
      </c>
      <c r="M15" s="3">
        <f>L15</f>
        <v>113762</v>
      </c>
      <c r="N15" s="6">
        <f>IF(ISNA(MATCH(N$2,Inputs!$K$4:$AJ$4,0)),NA(),IF(SUMPRODUCT((Inputs!$A$5:$A$110=$B15)*ISNUMBER(INDEX(Inputs!$K$5:$AJ$110,0,MATCH(N$2,Inputs!$K$4:$AJ$4,0))))+SUMPRODUCT((Inputs!$C$5:$C$110=$B15)*ISNUMBER(INDEX(Inputs!$K$5:$AJ$110,0,MATCH(N$2,Inputs!$K$4:$AJ$4,0))))+SUMPRODUCT((Inputs!$E$5:$E$110=$B15)*ISNUMBER(INDEX(Inputs!$K$5:$AJ$110,0,MATCH(N$2,Inputs!$K$4:$AJ$4,0))))=0,NA(),SUMPRODUCT((Inputs!$A$5:$A$110=$B15)*Inputs!$B$5:$B$110*(((Inputs!$G$5:$G$110="moeda")+(Inputs!$G$5:$G$110="acoes"))*Inputs!$B$1+((Inputs!$G$5:$G$110&lt;&gt;"moeda")*(Inputs!$G$5:$G$110&lt;&gt;"acoes")))*INDEX(Inputs!$K$5:$AJ$110,0,MATCH(N$2,Inputs!$K$4:$AJ$4,0)))+SUMPRODUCT((Inputs!$C$5:$C$110=$B15)*Inputs!$D$5:$D$110*(((Inputs!$G$5:$G$110="moeda")+(Inputs!$G$5:$G$110="acoes"))*Inputs!$B$1+((Inputs!$G$5:$G$110&lt;&gt;"moeda")*(Inputs!$G$5:$G$110&lt;&gt;"acoes")))*INDEX(Inputs!$K$5:$AJ$110,0,MATCH(N$2,Inputs!$K$4:$AJ$4,0)))+SUMPRODUCT((Inputs!$E$5:$E$110=$B15)*Inputs!$F$5:$F$110*(((Inputs!$G$5:$G$110="moeda")+(Inputs!$G$5:$G$110="acoes"))*Inputs!$B$1+((Inputs!$G$5:$G$110&lt;&gt;"moeda")*(Inputs!$G$5:$G$110&lt;&gt;"acoes")))*INDEX(Inputs!$K$5:$AJ$110,0,MATCH(N$2,Inputs!$K$4:$AJ$4,0)))))</f>
        <v>115102</v>
      </c>
      <c r="O15" s="6">
        <f>IF(ISNA(MATCH(O$2,Inputs!$K$4:$AJ$4,0)),NA(),IF(SUMPRODUCT((Inputs!$A$5:$A$110=$B15)*ISNUMBER(INDEX(Inputs!$K$5:$AJ$110,0,MATCH(O$2,Inputs!$K$4:$AJ$4,0))))+SUMPRODUCT((Inputs!$C$5:$C$110=$B15)*ISNUMBER(INDEX(Inputs!$K$5:$AJ$110,0,MATCH(O$2,Inputs!$K$4:$AJ$4,0))))+SUMPRODUCT((Inputs!$E$5:$E$110=$B15)*ISNUMBER(INDEX(Inputs!$K$5:$AJ$110,0,MATCH(O$2,Inputs!$K$4:$AJ$4,0))))=0,NA(),SUMPRODUCT((Inputs!$A$5:$A$110=$B15)*Inputs!$B$5:$B$110*(((Inputs!$G$5:$G$110="moeda")+(Inputs!$G$5:$G$110="acoes"))*Inputs!$B$1+((Inputs!$G$5:$G$110&lt;&gt;"moeda")*(Inputs!$G$5:$G$110&lt;&gt;"acoes")))*INDEX(Inputs!$K$5:$AJ$110,0,MATCH(O$2,Inputs!$K$4:$AJ$4,0)))+SUMPRODUCT((Inputs!$C$5:$C$110=$B15)*Inputs!$D$5:$D$110*(((Inputs!$G$5:$G$110="moeda")+(Inputs!$G$5:$G$110="acoes"))*Inputs!$B$1+((Inputs!$G$5:$G$110&lt;&gt;"moeda")*(Inputs!$G$5:$G$110&lt;&gt;"acoes")))*INDEX(Inputs!$K$5:$AJ$110,0,MATCH(O$2,Inputs!$K$4:$AJ$4,0)))+SUMPRODUCT((Inputs!$E$5:$E$110=$B15)*Inputs!$F$5:$F$110*(((Inputs!$G$5:$G$110="moeda")+(Inputs!$G$5:$G$110="acoes"))*Inputs!$B$1+((Inputs!$G$5:$G$110&lt;&gt;"moeda")*(Inputs!$G$5:$G$110&lt;&gt;"acoes")))*INDEX(Inputs!$K$5:$AJ$110,0,MATCH(O$2,Inputs!$K$4:$AJ$4,0)))))</f>
        <v>118332</v>
      </c>
      <c r="P15" s="6">
        <f>IF(ISNA(MATCH(P$2,Inputs!$K$4:$AJ$4,0)),NA(),IF(SUMPRODUCT((Inputs!$A$5:$A$110=$B15)*ISNUMBER(INDEX(Inputs!$K$5:$AJ$110,0,MATCH(P$2,Inputs!$K$4:$AJ$4,0))))+SUMPRODUCT((Inputs!$C$5:$C$110=$B15)*ISNUMBER(INDEX(Inputs!$K$5:$AJ$110,0,MATCH(P$2,Inputs!$K$4:$AJ$4,0))))+SUMPRODUCT((Inputs!$E$5:$E$110=$B15)*ISNUMBER(INDEX(Inputs!$K$5:$AJ$110,0,MATCH(P$2,Inputs!$K$4:$AJ$4,0))))=0,NA(),SUMPRODUCT((Inputs!$A$5:$A$110=$B15)*Inputs!$B$5:$B$110*(((Inputs!$G$5:$G$110="moeda")+(Inputs!$G$5:$G$110="acoes"))*Inputs!$B$1+((Inputs!$G$5:$G$110&lt;&gt;"moeda")*(Inputs!$G$5:$G$110&lt;&gt;"acoes")))*INDEX(Inputs!$K$5:$AJ$110,0,MATCH(P$2,Inputs!$K$4:$AJ$4,0)))+SUMPRODUCT((Inputs!$C$5:$C$110=$B15)*Inputs!$D$5:$D$110*(((Inputs!$G$5:$G$110="moeda")+(Inputs!$G$5:$G$110="acoes"))*Inputs!$B$1+((Inputs!$G$5:$G$110&lt;&gt;"moeda")*(Inputs!$G$5:$G$110&lt;&gt;"acoes")))*INDEX(Inputs!$K$5:$AJ$110,0,MATCH(P$2,Inputs!$K$4:$AJ$4,0)))+SUMPRODUCT((Inputs!$E$5:$E$110=$B15)*Inputs!$F$5:$F$110*(((Inputs!$G$5:$G$110="moeda")+(Inputs!$G$5:$G$110="acoes"))*Inputs!$B$1+((Inputs!$G$5:$G$110&lt;&gt;"moeda")*(Inputs!$G$5:$G$110&lt;&gt;"acoes")))*INDEX(Inputs!$K$5:$AJ$110,0,MATCH(P$2,Inputs!$K$4:$AJ$4,0)))))</f>
        <v>119935</v>
      </c>
      <c r="Q15" s="6">
        <f>IF(ISNA(MATCH(Q$2,Inputs!$K$4:$AJ$4,0)),NA(),IF(SUMPRODUCT((Inputs!$A$5:$A$110=$B15)*ISNUMBER(INDEX(Inputs!$K$5:$AJ$110,0,MATCH(Q$2,Inputs!$K$4:$AJ$4,0))))+SUMPRODUCT((Inputs!$C$5:$C$110=$B15)*ISNUMBER(INDEX(Inputs!$K$5:$AJ$110,0,MATCH(Q$2,Inputs!$K$4:$AJ$4,0))))+SUMPRODUCT((Inputs!$E$5:$E$110=$B15)*ISNUMBER(INDEX(Inputs!$K$5:$AJ$110,0,MATCH(Q$2,Inputs!$K$4:$AJ$4,0))))=0,NA(),SUMPRODUCT((Inputs!$A$5:$A$110=$B15)*Inputs!$B$5:$B$110*(((Inputs!$G$5:$G$110="moeda")+(Inputs!$G$5:$G$110="acoes"))*Inputs!$B$1+((Inputs!$G$5:$G$110&lt;&gt;"moeda")*(Inputs!$G$5:$G$110&lt;&gt;"acoes")))*INDEX(Inputs!$K$5:$AJ$110,0,MATCH(Q$2,Inputs!$K$4:$AJ$4,0)))+SUMPRODUCT((Inputs!$C$5:$C$110=$B15)*Inputs!$D$5:$D$110*(((Inputs!$G$5:$G$110="moeda")+(Inputs!$G$5:$G$110="acoes"))*Inputs!$B$1+((Inputs!$G$5:$G$110&lt;&gt;"moeda")*(Inputs!$G$5:$G$110&lt;&gt;"acoes")))*INDEX(Inputs!$K$5:$AJ$110,0,MATCH(Q$2,Inputs!$K$4:$AJ$4,0)))+SUMPRODUCT((Inputs!$E$5:$E$110=$B15)*Inputs!$F$5:$F$110*(((Inputs!$G$5:$G$110="moeda")+(Inputs!$G$5:$G$110="acoes"))*Inputs!$B$1+((Inputs!$G$5:$G$110&lt;&gt;"moeda")*(Inputs!$G$5:$G$110&lt;&gt;"acoes")))*INDEX(Inputs!$K$5:$AJ$110,0,MATCH(Q$2,Inputs!$K$4:$AJ$4,0)))))</f>
        <v>110916</v>
      </c>
      <c r="R15" s="3">
        <f>Q15</f>
        <v>110916</v>
      </c>
      <c r="S15" s="6">
        <f>IF(ISNA(MATCH(S$2,Inputs!$K$4:$AJ$4,0)),NA(),IF(SUMPRODUCT((Inputs!$A$5:$A$110=$B15)*ISNUMBER(INDEX(Inputs!$K$5:$AJ$110,0,MATCH(S$2,Inputs!$K$4:$AJ$4,0))))+SUMPRODUCT((Inputs!$C$5:$C$110=$B15)*ISNUMBER(INDEX(Inputs!$K$5:$AJ$110,0,MATCH(S$2,Inputs!$K$4:$AJ$4,0))))+SUMPRODUCT((Inputs!$E$5:$E$110=$B15)*ISNUMBER(INDEX(Inputs!$K$5:$AJ$110,0,MATCH(S$2,Inputs!$K$4:$AJ$4,0))))=0,NA(),SUMPRODUCT((Inputs!$A$5:$A$110=$B15)*Inputs!$B$5:$B$110*(((Inputs!$G$5:$G$110="moeda")+(Inputs!$G$5:$G$110="acoes"))*Inputs!$B$1+((Inputs!$G$5:$G$110&lt;&gt;"moeda")*(Inputs!$G$5:$G$110&lt;&gt;"acoes")))*INDEX(Inputs!$K$5:$AJ$110,0,MATCH(S$2,Inputs!$K$4:$AJ$4,0)))+SUMPRODUCT((Inputs!$C$5:$C$110=$B15)*Inputs!$D$5:$D$110*(((Inputs!$G$5:$G$110="moeda")+(Inputs!$G$5:$G$110="acoes"))*Inputs!$B$1+((Inputs!$G$5:$G$110&lt;&gt;"moeda")*(Inputs!$G$5:$G$110&lt;&gt;"acoes")))*INDEX(Inputs!$K$5:$AJ$110,0,MATCH(S$2,Inputs!$K$4:$AJ$4,0)))+SUMPRODUCT((Inputs!$E$5:$E$110=$B15)*Inputs!$F$5:$F$110*(((Inputs!$G$5:$G$110="moeda")+(Inputs!$G$5:$G$110="acoes"))*Inputs!$B$1+((Inputs!$G$5:$G$110&lt;&gt;"moeda")*(Inputs!$G$5:$G$110&lt;&gt;"acoes")))*INDEX(Inputs!$K$5:$AJ$110,0,MATCH(S$2,Inputs!$K$4:$AJ$4,0)))))</f>
        <v>108090</v>
      </c>
      <c r="T15" s="6">
        <f>IF(ISNA(MATCH(T$2,Inputs!$K$4:$AJ$4,0)),NA(),IF(SUMPRODUCT((Inputs!$A$5:$A$110=$B15)*ISNUMBER(INDEX(Inputs!$K$5:$AJ$110,0,MATCH(T$2,Inputs!$K$4:$AJ$4,0))))+SUMPRODUCT((Inputs!$C$5:$C$110=$B15)*ISNUMBER(INDEX(Inputs!$K$5:$AJ$110,0,MATCH(T$2,Inputs!$K$4:$AJ$4,0))))+SUMPRODUCT((Inputs!$E$5:$E$110=$B15)*ISNUMBER(INDEX(Inputs!$K$5:$AJ$110,0,MATCH(T$2,Inputs!$K$4:$AJ$4,0))))=0,NA(),SUMPRODUCT((Inputs!$A$5:$A$110=$B15)*Inputs!$B$5:$B$110*(((Inputs!$G$5:$G$110="moeda")+(Inputs!$G$5:$G$110="acoes"))*Inputs!$B$1+((Inputs!$G$5:$G$110&lt;&gt;"moeda")*(Inputs!$G$5:$G$110&lt;&gt;"acoes")))*INDEX(Inputs!$K$5:$AJ$110,0,MATCH(T$2,Inputs!$K$4:$AJ$4,0)))+SUMPRODUCT((Inputs!$C$5:$C$110=$B15)*Inputs!$D$5:$D$110*(((Inputs!$G$5:$G$110="moeda")+(Inputs!$G$5:$G$110="acoes"))*Inputs!$B$1+((Inputs!$G$5:$G$110&lt;&gt;"moeda")*(Inputs!$G$5:$G$110&lt;&gt;"acoes")))*INDEX(Inputs!$K$5:$AJ$110,0,MATCH(T$2,Inputs!$K$4:$AJ$4,0)))+SUMPRODUCT((Inputs!$E$5:$E$110=$B15)*Inputs!$F$5:$F$110*(((Inputs!$G$5:$G$110="moeda")+(Inputs!$G$5:$G$110="acoes"))*Inputs!$B$1+((Inputs!$G$5:$G$110&lt;&gt;"moeda")*(Inputs!$G$5:$G$110&lt;&gt;"acoes")))*INDEX(Inputs!$K$5:$AJ$110,0,MATCH(T$2,Inputs!$K$4:$AJ$4,0)))))</f>
        <v>100725</v>
      </c>
      <c r="U15" s="6">
        <f>IF(ISNA(MATCH(U$2,Inputs!$K$4:$AJ$4,0)),NA(),IF(SUMPRODUCT((Inputs!$A$5:$A$110=$B15)*ISNUMBER(INDEX(Inputs!$K$5:$AJ$110,0,MATCH(U$2,Inputs!$K$4:$AJ$4,0))))+SUMPRODUCT((Inputs!$C$5:$C$110=$B15)*ISNUMBER(INDEX(Inputs!$K$5:$AJ$110,0,MATCH(U$2,Inputs!$K$4:$AJ$4,0))))+SUMPRODUCT((Inputs!$E$5:$E$110=$B15)*ISNUMBER(INDEX(Inputs!$K$5:$AJ$110,0,MATCH(U$2,Inputs!$K$4:$AJ$4,0))))=0,NA(),SUMPRODUCT((Inputs!$A$5:$A$110=$B15)*Inputs!$B$5:$B$110*(((Inputs!$G$5:$G$110="moeda")+(Inputs!$G$5:$G$110="acoes"))*Inputs!$B$1+((Inputs!$G$5:$G$110&lt;&gt;"moeda")*(Inputs!$G$5:$G$110&lt;&gt;"acoes")))*INDEX(Inputs!$K$5:$AJ$110,0,MATCH(U$2,Inputs!$K$4:$AJ$4,0)))+SUMPRODUCT((Inputs!$C$5:$C$110=$B15)*Inputs!$D$5:$D$110*(((Inputs!$G$5:$G$110="moeda")+(Inputs!$G$5:$G$110="acoes"))*Inputs!$B$1+((Inputs!$G$5:$G$110&lt;&gt;"moeda")*(Inputs!$G$5:$G$110&lt;&gt;"acoes")))*INDEX(Inputs!$K$5:$AJ$110,0,MATCH(U$2,Inputs!$K$4:$AJ$4,0)))+SUMPRODUCT((Inputs!$E$5:$E$110=$B15)*Inputs!$F$5:$F$110*(((Inputs!$G$5:$G$110="moeda")+(Inputs!$G$5:$G$110="acoes"))*Inputs!$B$1+((Inputs!$G$5:$G$110&lt;&gt;"moeda")*(Inputs!$G$5:$G$110&lt;&gt;"acoes")))*INDEX(Inputs!$K$5:$AJ$110,0,MATCH(U$2,Inputs!$K$4:$AJ$4,0)))))</f>
        <v>93230</v>
      </c>
      <c r="V15" s="6">
        <f>IF(ISNA(MATCH(V$2,Inputs!$K$4:$AJ$4,0)),NA(),IF(SUMPRODUCT((Inputs!$A$5:$A$110=$B15)*ISNUMBER(INDEX(Inputs!$K$5:$AJ$110,0,MATCH(V$2,Inputs!$K$4:$AJ$4,0))))+SUMPRODUCT((Inputs!$C$5:$C$110=$B15)*ISNUMBER(INDEX(Inputs!$K$5:$AJ$110,0,MATCH(V$2,Inputs!$K$4:$AJ$4,0))))+SUMPRODUCT((Inputs!$E$5:$E$110=$B15)*ISNUMBER(INDEX(Inputs!$K$5:$AJ$110,0,MATCH(V$2,Inputs!$K$4:$AJ$4,0))))=0,NA(),SUMPRODUCT((Inputs!$A$5:$A$110=$B15)*Inputs!$B$5:$B$110*(((Inputs!$G$5:$G$110="moeda")+(Inputs!$G$5:$G$110="acoes"))*Inputs!$B$1+((Inputs!$G$5:$G$110&lt;&gt;"moeda")*(Inputs!$G$5:$G$110&lt;&gt;"acoes")))*INDEX(Inputs!$K$5:$AJ$110,0,MATCH(V$2,Inputs!$K$4:$AJ$4,0)))+SUMPRODUCT((Inputs!$C$5:$C$110=$B15)*Inputs!$D$5:$D$110*(((Inputs!$G$5:$G$110="moeda")+(Inputs!$G$5:$G$110="acoes"))*Inputs!$B$1+((Inputs!$G$5:$G$110&lt;&gt;"moeda")*(Inputs!$G$5:$G$110&lt;&gt;"acoes")))*INDEX(Inputs!$K$5:$AJ$110,0,MATCH(V$2,Inputs!$K$4:$AJ$4,0)))+SUMPRODUCT((Inputs!$E$5:$E$110=$B15)*Inputs!$F$5:$F$110*(((Inputs!$G$5:$G$110="moeda")+(Inputs!$G$5:$G$110="acoes"))*Inputs!$B$1+((Inputs!$G$5:$G$110&lt;&gt;"moeda")*(Inputs!$G$5:$G$110&lt;&gt;"acoes")))*INDEX(Inputs!$K$5:$AJ$110,0,MATCH(V$2,Inputs!$K$4:$AJ$4,0)))))</f>
        <v>95657</v>
      </c>
      <c r="W15" s="3">
        <f>V15</f>
        <v>95657</v>
      </c>
      <c r="X15" s="6">
        <f>IF(ISNA(MATCH(X$2,Inputs!$K$4:$AJ$4,0)),NA(),IF(SUMPRODUCT((Inputs!$A$5:$A$110=$B15)*ISNUMBER(INDEX(Inputs!$K$5:$AJ$110,0,MATCH(X$2,Inputs!$K$4:$AJ$4,0))))+SUMPRODUCT((Inputs!$C$5:$C$110=$B15)*ISNUMBER(INDEX(Inputs!$K$5:$AJ$110,0,MATCH(X$2,Inputs!$K$4:$AJ$4,0))))+SUMPRODUCT((Inputs!$E$5:$E$110=$B15)*ISNUMBER(INDEX(Inputs!$K$5:$AJ$110,0,MATCH(X$2,Inputs!$K$4:$AJ$4,0))))=0,NA(),SUMPRODUCT((Inputs!$A$5:$A$110=$B15)*Inputs!$B$5:$B$110*(((Inputs!$G$5:$G$110="moeda")+(Inputs!$G$5:$G$110="acoes"))*Inputs!$B$1+((Inputs!$G$5:$G$110&lt;&gt;"moeda")*(Inputs!$G$5:$G$110&lt;&gt;"acoes")))*INDEX(Inputs!$K$5:$AJ$110,0,MATCH(X$2,Inputs!$K$4:$AJ$4,0)))+SUMPRODUCT((Inputs!$C$5:$C$110=$B15)*Inputs!$D$5:$D$110*(((Inputs!$G$5:$G$110="moeda")+(Inputs!$G$5:$G$110="acoes"))*Inputs!$B$1+((Inputs!$G$5:$G$110&lt;&gt;"moeda")*(Inputs!$G$5:$G$110&lt;&gt;"acoes")))*INDEX(Inputs!$K$5:$AJ$110,0,MATCH(X$2,Inputs!$K$4:$AJ$4,0)))+SUMPRODUCT((Inputs!$E$5:$E$110=$B15)*Inputs!$F$5:$F$110*(((Inputs!$G$5:$G$110="moeda")+(Inputs!$G$5:$G$110="acoes"))*Inputs!$B$1+((Inputs!$G$5:$G$110&lt;&gt;"moeda")*(Inputs!$G$5:$G$110&lt;&gt;"acoes")))*INDEX(Inputs!$K$5:$AJ$110,0,MATCH(X$2,Inputs!$K$4:$AJ$4,0)))))</f>
        <v>95328</v>
      </c>
      <c r="Y15" s="6">
        <f>IF(ISNA(MATCH(Y$2,Inputs!$K$4:$AJ$4,0)),NA(),IF(SUMPRODUCT((Inputs!$A$5:$A$110=$B15)*ISNUMBER(INDEX(Inputs!$K$5:$AJ$110,0,MATCH(Y$2,Inputs!$K$4:$AJ$4,0))))+SUMPRODUCT((Inputs!$C$5:$C$110=$B15)*ISNUMBER(INDEX(Inputs!$K$5:$AJ$110,0,MATCH(Y$2,Inputs!$K$4:$AJ$4,0))))+SUMPRODUCT((Inputs!$E$5:$E$110=$B15)*ISNUMBER(INDEX(Inputs!$K$5:$AJ$110,0,MATCH(Y$2,Inputs!$K$4:$AJ$4,0))))=0,NA(),SUMPRODUCT((Inputs!$A$5:$A$110=$B15)*Inputs!$B$5:$B$110*(((Inputs!$G$5:$G$110="moeda")+(Inputs!$G$5:$G$110="acoes"))*Inputs!$B$1+((Inputs!$G$5:$G$110&lt;&gt;"moeda")*(Inputs!$G$5:$G$110&lt;&gt;"acoes")))*INDEX(Inputs!$K$5:$AJ$110,0,MATCH(Y$2,Inputs!$K$4:$AJ$4,0)))+SUMPRODUCT((Inputs!$C$5:$C$110=$B15)*Inputs!$D$5:$D$110*(((Inputs!$G$5:$G$110="moeda")+(Inputs!$G$5:$G$110="acoes"))*Inputs!$B$1+((Inputs!$G$5:$G$110&lt;&gt;"moeda")*(Inputs!$G$5:$G$110&lt;&gt;"acoes")))*INDEX(Inputs!$K$5:$AJ$110,0,MATCH(Y$2,Inputs!$K$4:$AJ$4,0)))+SUMPRODUCT((Inputs!$E$5:$E$110=$B15)*Inputs!$F$5:$F$110*(((Inputs!$G$5:$G$110="moeda")+(Inputs!$G$5:$G$110="acoes"))*Inputs!$B$1+((Inputs!$G$5:$G$110&lt;&gt;"moeda")*(Inputs!$G$5:$G$110&lt;&gt;"acoes")))*INDEX(Inputs!$K$5:$AJ$110,0,MATCH(Y$2,Inputs!$K$4:$AJ$4,0)))))</f>
        <v>95148</v>
      </c>
      <c r="Z15" s="6">
        <f>IF(ISNA(MATCH(Z$2,Inputs!$K$4:$AJ$4,0)),NA(),IF(SUMPRODUCT((Inputs!$A$5:$A$110=$B15)*ISNUMBER(INDEX(Inputs!$K$5:$AJ$110,0,MATCH(Z$2,Inputs!$K$4:$AJ$4,0))))+SUMPRODUCT((Inputs!$C$5:$C$110=$B15)*ISNUMBER(INDEX(Inputs!$K$5:$AJ$110,0,MATCH(Z$2,Inputs!$K$4:$AJ$4,0))))+SUMPRODUCT((Inputs!$E$5:$E$110=$B15)*ISNUMBER(INDEX(Inputs!$K$5:$AJ$110,0,MATCH(Z$2,Inputs!$K$4:$AJ$4,0))))=0,NA(),SUMPRODUCT((Inputs!$A$5:$A$110=$B15)*Inputs!$B$5:$B$110*(((Inputs!$G$5:$G$110="moeda")+(Inputs!$G$5:$G$110="acoes"))*Inputs!$B$1+((Inputs!$G$5:$G$110&lt;&gt;"moeda")*(Inputs!$G$5:$G$110&lt;&gt;"acoes")))*INDEX(Inputs!$K$5:$AJ$110,0,MATCH(Z$2,Inputs!$K$4:$AJ$4,0)))+SUMPRODUCT((Inputs!$C$5:$C$110=$B15)*Inputs!$D$5:$D$110*(((Inputs!$G$5:$G$110="moeda")+(Inputs!$G$5:$G$110="acoes"))*Inputs!$B$1+((Inputs!$G$5:$G$110&lt;&gt;"moeda")*(Inputs!$G$5:$G$110&lt;&gt;"acoes")))*INDEX(Inputs!$K$5:$AJ$110,0,MATCH(Z$2,Inputs!$K$4:$AJ$4,0)))+SUMPRODUCT((Inputs!$E$5:$E$110=$B15)*Inputs!$F$5:$F$110*(((Inputs!$G$5:$G$110="moeda")+(Inputs!$G$5:$G$110="acoes"))*Inputs!$B$1+((Inputs!$G$5:$G$110&lt;&gt;"moeda")*(Inputs!$G$5:$G$110&lt;&gt;"acoes")))*INDEX(Inputs!$K$5:$AJ$110,0,MATCH(Z$2,Inputs!$K$4:$AJ$4,0)))))</f>
        <v>98496</v>
      </c>
      <c r="AA15" s="6">
        <f>IF(ISNA(MATCH(AA$2,Inputs!$K$4:$AJ$4,0)),NA(),IF(SUMPRODUCT((Inputs!$A$5:$A$110=$B15)*ISNUMBER(INDEX(Inputs!$K$5:$AJ$110,0,MATCH(AA$2,Inputs!$K$4:$AJ$4,0))))+SUMPRODUCT((Inputs!$C$5:$C$110=$B15)*ISNUMBER(INDEX(Inputs!$K$5:$AJ$110,0,MATCH(AA$2,Inputs!$K$4:$AJ$4,0))))+SUMPRODUCT((Inputs!$E$5:$E$110=$B15)*ISNUMBER(INDEX(Inputs!$K$5:$AJ$110,0,MATCH(AA$2,Inputs!$K$4:$AJ$4,0))))=0,NA(),SUMPRODUCT((Inputs!$A$5:$A$110=$B15)*Inputs!$B$5:$B$110*(((Inputs!$G$5:$G$110="moeda")+(Inputs!$G$5:$G$110="acoes"))*Inputs!$B$1+((Inputs!$G$5:$G$110&lt;&gt;"moeda")*(Inputs!$G$5:$G$110&lt;&gt;"acoes")))*INDEX(Inputs!$K$5:$AJ$110,0,MATCH(AA$2,Inputs!$K$4:$AJ$4,0)))+SUMPRODUCT((Inputs!$C$5:$C$110=$B15)*Inputs!$D$5:$D$110*(((Inputs!$G$5:$G$110="moeda")+(Inputs!$G$5:$G$110="acoes"))*Inputs!$B$1+((Inputs!$G$5:$G$110&lt;&gt;"moeda")*(Inputs!$G$5:$G$110&lt;&gt;"acoes")))*INDEX(Inputs!$K$5:$AJ$110,0,MATCH(AA$2,Inputs!$K$4:$AJ$4,0)))+SUMPRODUCT((Inputs!$E$5:$E$110=$B15)*Inputs!$F$5:$F$110*(((Inputs!$G$5:$G$110="moeda")+(Inputs!$G$5:$G$110="acoes"))*Inputs!$B$1+((Inputs!$G$5:$G$110&lt;&gt;"moeda")*(Inputs!$G$5:$G$110&lt;&gt;"acoes")))*INDEX(Inputs!$K$5:$AJ$110,0,MATCH(AA$2,Inputs!$K$4:$AJ$4,0)))))</f>
        <v>126843</v>
      </c>
      <c r="AB15" s="3">
        <f>AA15</f>
        <v>126843</v>
      </c>
      <c r="AC15" s="6">
        <f>IF(ISNA(MATCH(AC$2,Inputs!$K$4:$AJ$4,0)),NA(),IF(SUMPRODUCT((Inputs!$A$5:$A$110=$B15)*ISNUMBER(INDEX(Inputs!$K$5:$AJ$110,0,MATCH(AC$2,Inputs!$K$4:$AJ$4,0))))+SUMPRODUCT((Inputs!$C$5:$C$110=$B15)*ISNUMBER(INDEX(Inputs!$K$5:$AJ$110,0,MATCH(AC$2,Inputs!$K$4:$AJ$4,0))))+SUMPRODUCT((Inputs!$E$5:$E$110=$B15)*ISNUMBER(INDEX(Inputs!$K$5:$AJ$110,0,MATCH(AC$2,Inputs!$K$4:$AJ$4,0))))=0,NA(),SUMPRODUCT((Inputs!$A$5:$A$110=$B15)*Inputs!$B$5:$B$110*(((Inputs!$G$5:$G$110="moeda")+(Inputs!$G$5:$G$110="acoes"))*Inputs!$B$1+((Inputs!$G$5:$G$110&lt;&gt;"moeda")*(Inputs!$G$5:$G$110&lt;&gt;"acoes")))*INDEX(Inputs!$K$5:$AJ$110,0,MATCH(AC$2,Inputs!$K$4:$AJ$4,0)))+SUMPRODUCT((Inputs!$C$5:$C$110=$B15)*Inputs!$D$5:$D$110*(((Inputs!$G$5:$G$110="moeda")+(Inputs!$G$5:$G$110="acoes"))*Inputs!$B$1+((Inputs!$G$5:$G$110&lt;&gt;"moeda")*(Inputs!$G$5:$G$110&lt;&gt;"acoes")))*INDEX(Inputs!$K$5:$AJ$110,0,MATCH(AC$2,Inputs!$K$4:$AJ$4,0)))+SUMPRODUCT((Inputs!$E$5:$E$110=$B15)*Inputs!$F$5:$F$110*(((Inputs!$G$5:$G$110="moeda")+(Inputs!$G$5:$G$110="acoes"))*Inputs!$B$1+((Inputs!$G$5:$G$110&lt;&gt;"moeda")*(Inputs!$G$5:$G$110&lt;&gt;"acoes")))*INDEX(Inputs!$K$5:$AJ$110,0,MATCH(AC$2,Inputs!$K$4:$AJ$4,0)))))</f>
        <v>126840</v>
      </c>
      <c r="AD15" s="6">
        <f>IF(ISNA(MATCH(AD$2,Inputs!$K$4:$AJ$4,0)),NA(),IF(SUMPRODUCT((Inputs!$A$5:$A$110=$B15)*ISNUMBER(INDEX(Inputs!$K$5:$AJ$110,0,MATCH(AD$2,Inputs!$K$4:$AJ$4,0))))+SUMPRODUCT((Inputs!$C$5:$C$110=$B15)*ISNUMBER(INDEX(Inputs!$K$5:$AJ$110,0,MATCH(AD$2,Inputs!$K$4:$AJ$4,0))))+SUMPRODUCT((Inputs!$E$5:$E$110=$B15)*ISNUMBER(INDEX(Inputs!$K$5:$AJ$110,0,MATCH(AD$2,Inputs!$K$4:$AJ$4,0))))=0,NA(),SUMPRODUCT((Inputs!$A$5:$A$110=$B15)*Inputs!$B$5:$B$110*(((Inputs!$G$5:$G$110="moeda")+(Inputs!$G$5:$G$110="acoes"))*Inputs!$B$1+((Inputs!$G$5:$G$110&lt;&gt;"moeda")*(Inputs!$G$5:$G$110&lt;&gt;"acoes")))*INDEX(Inputs!$K$5:$AJ$110,0,MATCH(AD$2,Inputs!$K$4:$AJ$4,0)))+SUMPRODUCT((Inputs!$C$5:$C$110=$B15)*Inputs!$D$5:$D$110*(((Inputs!$G$5:$G$110="moeda")+(Inputs!$G$5:$G$110="acoes"))*Inputs!$B$1+((Inputs!$G$5:$G$110&lt;&gt;"moeda")*(Inputs!$G$5:$G$110&lt;&gt;"acoes")))*INDEX(Inputs!$K$5:$AJ$110,0,MATCH(AD$2,Inputs!$K$4:$AJ$4,0)))+SUMPRODUCT((Inputs!$E$5:$E$110=$B15)*Inputs!$F$5:$F$110*(((Inputs!$G$5:$G$110="moeda")+(Inputs!$G$5:$G$110="acoes"))*Inputs!$B$1+((Inputs!$G$5:$G$110&lt;&gt;"moeda")*(Inputs!$G$5:$G$110&lt;&gt;"acoes")))*INDEX(Inputs!$K$5:$AJ$110,0,MATCH(AD$2,Inputs!$K$4:$AJ$4,0)))))</f>
        <v>242474</v>
      </c>
      <c r="AE15" s="6" t="e">
        <f>IF(ISNA(MATCH(AE$2,Inputs!$K$4:$AJ$4,0)),NA(),IF(SUMPRODUCT((Inputs!$A$5:$A$110=$B15)*ISNUMBER(INDEX(Inputs!$K$5:$AJ$110,0,MATCH(AE$2,Inputs!$K$4:$AJ$4,0))))+SUMPRODUCT((Inputs!$C$5:$C$110=$B15)*ISNUMBER(INDEX(Inputs!$K$5:$AJ$110,0,MATCH(AE$2,Inputs!$K$4:$AJ$4,0))))+SUMPRODUCT((Inputs!$E$5:$E$110=$B15)*ISNUMBER(INDEX(Inputs!$K$5:$AJ$110,0,MATCH(AE$2,Inputs!$K$4:$AJ$4,0))))=0,NA(),SUMPRODUCT((Inputs!$A$5:$A$110=$B15)*Inputs!$B$5:$B$110*(((Inputs!$G$5:$G$110="moeda")+(Inputs!$G$5:$G$110="acoes"))*Inputs!$B$1+((Inputs!$G$5:$G$110&lt;&gt;"moeda")*(Inputs!$G$5:$G$110&lt;&gt;"acoes")))*INDEX(Inputs!$K$5:$AJ$110,0,MATCH(AE$2,Inputs!$K$4:$AJ$4,0)))+SUMPRODUCT((Inputs!$C$5:$C$110=$B15)*Inputs!$D$5:$D$110*(((Inputs!$G$5:$G$110="moeda")+(Inputs!$G$5:$G$110="acoes"))*Inputs!$B$1+((Inputs!$G$5:$G$110&lt;&gt;"moeda")*(Inputs!$G$5:$G$110&lt;&gt;"acoes")))*INDEX(Inputs!$K$5:$AJ$110,0,MATCH(AE$2,Inputs!$K$4:$AJ$4,0)))+SUMPRODUCT((Inputs!$E$5:$E$110=$B15)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5" s="6" t="e">
        <f>IF(ISNA(MATCH(AF$2,Inputs!$K$4:$AJ$4,0)),NA(),IF(SUMPRODUCT((Inputs!$A$5:$A$110=$B15)*ISNUMBER(INDEX(Inputs!$K$5:$AJ$110,0,MATCH(AF$2,Inputs!$K$4:$AJ$4,0))))+SUMPRODUCT((Inputs!$C$5:$C$110=$B15)*ISNUMBER(INDEX(Inputs!$K$5:$AJ$110,0,MATCH(AF$2,Inputs!$K$4:$AJ$4,0))))+SUMPRODUCT((Inputs!$E$5:$E$110=$B15)*ISNUMBER(INDEX(Inputs!$K$5:$AJ$110,0,MATCH(AF$2,Inputs!$K$4:$AJ$4,0))))=0,NA(),SUMPRODUCT((Inputs!$A$5:$A$110=$B15)*Inputs!$B$5:$B$110*(((Inputs!$G$5:$G$110="moeda")+(Inputs!$G$5:$G$110="acoes"))*Inputs!$B$1+((Inputs!$G$5:$G$110&lt;&gt;"moeda")*(Inputs!$G$5:$G$110&lt;&gt;"acoes")))*INDEX(Inputs!$K$5:$AJ$110,0,MATCH(AF$2,Inputs!$K$4:$AJ$4,0)))+SUMPRODUCT((Inputs!$C$5:$C$110=$B15)*Inputs!$D$5:$D$110*(((Inputs!$G$5:$G$110="moeda")+(Inputs!$G$5:$G$110="acoes"))*Inputs!$B$1+((Inputs!$G$5:$G$110&lt;&gt;"moeda")*(Inputs!$G$5:$G$110&lt;&gt;"acoes")))*INDEX(Inputs!$K$5:$AJ$110,0,MATCH(AF$2,Inputs!$K$4:$AJ$4,0)))+SUMPRODUCT((Inputs!$E$5:$E$110=$B15)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5" s="3" t="e">
        <f>AF15</f>
        <v>#N/A</v>
      </c>
      <c r="AH15" s="6">
        <f>IF(ISNA(MATCH(AH$2,Inputs!$K$4:$AJ$4,0)),NA(),IF(SUMPRODUCT((Inputs!$A$5:$A$110=$B15)*ISNUMBER(INDEX(Inputs!$K$5:$AJ$110,0,MATCH(AH$2,Inputs!$K$4:$AJ$4,0))))+SUMPRODUCT((Inputs!$C$5:$C$110=$B15)*ISNUMBER(INDEX(Inputs!$K$5:$AJ$110,0,MATCH(AH$2,Inputs!$K$4:$AJ$4,0))))+SUMPRODUCT((Inputs!$E$5:$E$110=$B15)*ISNUMBER(INDEX(Inputs!$K$5:$AJ$110,0,MATCH(AH$2,Inputs!$K$4:$AJ$4,0))))=0,NA(),SUMPRODUCT((Inputs!$A$5:$A$110=$B15)*Inputs!$B$5:$B$110*(((Inputs!$G$5:$G$110="moeda")+(Inputs!$G$5:$G$110="acoes"))*Inputs!$B$1+((Inputs!$G$5:$G$110&lt;&gt;"moeda")*(Inputs!$G$5:$G$110&lt;&gt;"acoes")))*INDEX(Inputs!$K$5:$AJ$110,0,MATCH(AH$2,Inputs!$K$4:$AJ$4,0)))+SUMPRODUCT((Inputs!$C$5:$C$110=$B15)*Inputs!$D$5:$D$110*(((Inputs!$G$5:$G$110="moeda")+(Inputs!$G$5:$G$110="acoes"))*Inputs!$B$1+((Inputs!$G$5:$G$110&lt;&gt;"moeda")*(Inputs!$G$5:$G$110&lt;&gt;"acoes")))*INDEX(Inputs!$K$5:$AJ$110,0,MATCH(AH$2,Inputs!$K$4:$AJ$4,0)))+SUMPRODUCT((Inputs!$E$5:$E$110=$B15)*Inputs!$F$5:$F$110*(((Inputs!$G$5:$G$110="moeda")+(Inputs!$G$5:$G$110="acoes"))*Inputs!$B$1+((Inputs!$G$5:$G$110&lt;&gt;"moeda")*(Inputs!$G$5:$G$110&lt;&gt;"acoes")))*INDEX(Inputs!$K$5:$AJ$110,0,MATCH(AH$2,Inputs!$K$4:$AJ$4,0)))))</f>
        <v>117229</v>
      </c>
      <c r="AI15" s="6">
        <f>IF(ISNA(MATCH(AI$2,Inputs!$K$4:$AJ$4,0)),NA(),IF(SUMPRODUCT((Inputs!$A$5:$A$110=$B15)*ISNUMBER(INDEX(Inputs!$K$5:$AJ$110,0,MATCH(AI$2,Inputs!$K$4:$AJ$4,0))))+SUMPRODUCT((Inputs!$C$5:$C$110=$B15)*ISNUMBER(INDEX(Inputs!$K$5:$AJ$110,0,MATCH(AI$2,Inputs!$K$4:$AJ$4,0))))+SUMPRODUCT((Inputs!$E$5:$E$110=$B15)*ISNUMBER(INDEX(Inputs!$K$5:$AJ$110,0,MATCH(AI$2,Inputs!$K$4:$AJ$4,0))))=0,NA(),SUMPRODUCT((Inputs!$A$5:$A$110=$B15)*Inputs!$B$5:$B$110*(((Inputs!$G$5:$G$110="moeda")+(Inputs!$G$5:$G$110="acoes"))*Inputs!$B$1+((Inputs!$G$5:$G$110&lt;&gt;"moeda")*(Inputs!$G$5:$G$110&lt;&gt;"acoes")))*INDEX(Inputs!$K$5:$AJ$110,0,MATCH(AI$2,Inputs!$K$4:$AJ$4,0)))+SUMPRODUCT((Inputs!$C$5:$C$110=$B15)*Inputs!$D$5:$D$110*(((Inputs!$G$5:$G$110="moeda")+(Inputs!$G$5:$G$110="acoes"))*Inputs!$B$1+((Inputs!$G$5:$G$110&lt;&gt;"moeda")*(Inputs!$G$5:$G$110&lt;&gt;"acoes")))*INDEX(Inputs!$K$5:$AJ$110,0,MATCH(AI$2,Inputs!$K$4:$AJ$4,0)))+SUMPRODUCT((Inputs!$E$5:$E$110=$B15)*Inputs!$F$5:$F$110*(((Inputs!$G$5:$G$110="moeda")+(Inputs!$G$5:$G$110="acoes"))*Inputs!$B$1+((Inputs!$G$5:$G$110&lt;&gt;"moeda")*(Inputs!$G$5:$G$110&lt;&gt;"acoes")))*INDEX(Inputs!$K$5:$AJ$110,0,MATCH(AI$2,Inputs!$K$4:$AJ$4,0)))))</f>
        <v>121080</v>
      </c>
      <c r="AJ15" s="6">
        <f>IF(ISNA(MATCH(AJ$2,Inputs!$K$4:$AJ$4,0)),NA(),IF(SUMPRODUCT((Inputs!$A$5:$A$110=$B15)*ISNUMBER(INDEX(Inputs!$K$5:$AJ$110,0,MATCH(AJ$2,Inputs!$K$4:$AJ$4,0))))+SUMPRODUCT((Inputs!$C$5:$C$110=$B15)*ISNUMBER(INDEX(Inputs!$K$5:$AJ$110,0,MATCH(AJ$2,Inputs!$K$4:$AJ$4,0))))+SUMPRODUCT((Inputs!$E$5:$E$110=$B15)*ISNUMBER(INDEX(Inputs!$K$5:$AJ$110,0,MATCH(AJ$2,Inputs!$K$4:$AJ$4,0))))=0,NA(),SUMPRODUCT((Inputs!$A$5:$A$110=$B15)*Inputs!$B$5:$B$110*(((Inputs!$G$5:$G$110="moeda")+(Inputs!$G$5:$G$110="acoes"))*Inputs!$B$1+((Inputs!$G$5:$G$110&lt;&gt;"moeda")*(Inputs!$G$5:$G$110&lt;&gt;"acoes")))*INDEX(Inputs!$K$5:$AJ$110,0,MATCH(AJ$2,Inputs!$K$4:$AJ$4,0)))+SUMPRODUCT((Inputs!$C$5:$C$110=$B15)*Inputs!$D$5:$D$110*(((Inputs!$G$5:$G$110="moeda")+(Inputs!$G$5:$G$110="acoes"))*Inputs!$B$1+((Inputs!$G$5:$G$110&lt;&gt;"moeda")*(Inputs!$G$5:$G$110&lt;&gt;"acoes")))*INDEX(Inputs!$K$5:$AJ$110,0,MATCH(AJ$2,Inputs!$K$4:$AJ$4,0)))+SUMPRODUCT((Inputs!$E$5:$E$110=$B15)*Inputs!$F$5:$F$110*(((Inputs!$G$5:$G$110="moeda")+(Inputs!$G$5:$G$110="acoes"))*Inputs!$B$1+((Inputs!$G$5:$G$110&lt;&gt;"moeda")*(Inputs!$G$5:$G$110&lt;&gt;"acoes")))*INDEX(Inputs!$K$5:$AJ$110,0,MATCH(AJ$2,Inputs!$K$4:$AJ$4,0)))))</f>
        <v>132596</v>
      </c>
      <c r="AK15" s="6">
        <f>IF(ISNA(MATCH(AK$2,Inputs!$K$4:$AJ$4,0)),NA(),IF(SUMPRODUCT((Inputs!$A$5:$A$110=$B15)*ISNUMBER(INDEX(Inputs!$K$5:$AJ$110,0,MATCH(AK$2,Inputs!$K$4:$AJ$4,0))))+SUMPRODUCT((Inputs!$C$5:$C$110=$B15)*ISNUMBER(INDEX(Inputs!$K$5:$AJ$110,0,MATCH(AK$2,Inputs!$K$4:$AJ$4,0))))+SUMPRODUCT((Inputs!$E$5:$E$110=$B15)*ISNUMBER(INDEX(Inputs!$K$5:$AJ$110,0,MATCH(AK$2,Inputs!$K$4:$AJ$4,0))))=0,NA(),SUMPRODUCT((Inputs!$A$5:$A$110=$B15)*Inputs!$B$5:$B$110*(((Inputs!$G$5:$G$110="moeda")+(Inputs!$G$5:$G$110="acoes"))*Inputs!$B$1+((Inputs!$G$5:$G$110&lt;&gt;"moeda")*(Inputs!$G$5:$G$110&lt;&gt;"acoes")))*INDEX(Inputs!$K$5:$AJ$110,0,MATCH(AK$2,Inputs!$K$4:$AJ$4,0)))+SUMPRODUCT((Inputs!$C$5:$C$110=$B15)*Inputs!$D$5:$D$110*(((Inputs!$G$5:$G$110="moeda")+(Inputs!$G$5:$G$110="acoes"))*Inputs!$B$1+((Inputs!$G$5:$G$110&lt;&gt;"moeda")*(Inputs!$G$5:$G$110&lt;&gt;"acoes")))*INDEX(Inputs!$K$5:$AJ$110,0,MATCH(AK$2,Inputs!$K$4:$AJ$4,0)))+SUMPRODUCT((Inputs!$E$5:$E$110=$B15)*Inputs!$F$5:$F$110*(((Inputs!$G$5:$G$110="moeda")+(Inputs!$G$5:$G$110="acoes"))*Inputs!$B$1+((Inputs!$G$5:$G$110&lt;&gt;"moeda")*(Inputs!$G$5:$G$110&lt;&gt;"acoes")))*INDEX(Inputs!$K$5:$AJ$110,0,MATCH(AK$2,Inputs!$K$4:$AJ$4,0)))))</f>
        <v>136694</v>
      </c>
      <c r="AL15" s="3">
        <f>AK15</f>
        <v>136694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$110=$B16)*ISNUMBER(INDEX(Inputs!$K$5:$AJ$110,0,MATCH(D$2,Inputs!$K$4:$AJ$4,0))))+SUMPRODUCT((Inputs!$C$5:$C$110=$B16)*ISNUMBER(INDEX(Inputs!$K$5:$AJ$110,0,MATCH(D$2,Inputs!$K$4:$AJ$4,0))))+SUMPRODUCT((Inputs!$E$5:$E$110=$B16)*ISNUMBER(INDEX(Inputs!$K$5:$AJ$110,0,MATCH(D$2,Inputs!$K$4:$AJ$4,0))))=0,NA(),SUMPRODUCT((Inputs!$A$5:$A$110=$B16)*Inputs!$B$5:$B$110*(((Inputs!$G$5:$G$110="moeda")+(Inputs!$G$5:$G$110="acoes"))*Inputs!$B$1+((Inputs!$G$5:$G$110&lt;&gt;"moeda")*(Inputs!$G$5:$G$110&lt;&gt;"acoes")))*INDEX(Inputs!$K$5:$AJ$110,0,MATCH(D$2,Inputs!$K$4:$AJ$4,0)))+SUMPRODUCT((Inputs!$C$5:$C$110=$B16)*Inputs!$D$5:$D$110*(((Inputs!$G$5:$G$110="moeda")+(Inputs!$G$5:$G$110="acoes"))*Inputs!$B$1+((Inputs!$G$5:$G$110&lt;&gt;"moeda")*(Inputs!$G$5:$G$110&lt;&gt;"acoes")))*INDEX(Inputs!$K$5:$AJ$110,0,MATCH(D$2,Inputs!$K$4:$AJ$4,0)))+SUMPRODUCT((Inputs!$E$5:$E$110=$B16)*Inputs!$F$5:$F$110*(((Inputs!$G$5:$G$110="moeda")+(Inputs!$G$5:$G$110="acoes"))*Inputs!$B$1+((Inputs!$G$5:$G$110&lt;&gt;"moeda")*(Inputs!$G$5:$G$110&lt;&gt;"acoes")))*INDEX(Inputs!$K$5:$AJ$110,0,MATCH(D$2,Inputs!$K$4:$AJ$4,0)))))</f>
        <v>28006</v>
      </c>
      <c r="E16" s="6">
        <f>IF(ISNA(MATCH(E$2,Inputs!$K$4:$AJ$4,0)),NA(),IF(SUMPRODUCT((Inputs!$A$5:$A$110=$B16)*ISNUMBER(INDEX(Inputs!$K$5:$AJ$110,0,MATCH(E$2,Inputs!$K$4:$AJ$4,0))))+SUMPRODUCT((Inputs!$C$5:$C$110=$B16)*ISNUMBER(INDEX(Inputs!$K$5:$AJ$110,0,MATCH(E$2,Inputs!$K$4:$AJ$4,0))))+SUMPRODUCT((Inputs!$E$5:$E$110=$B16)*ISNUMBER(INDEX(Inputs!$K$5:$AJ$110,0,MATCH(E$2,Inputs!$K$4:$AJ$4,0))))=0,NA(),SUMPRODUCT((Inputs!$A$5:$A$110=$B16)*Inputs!$B$5:$B$110*(((Inputs!$G$5:$G$110="moeda")+(Inputs!$G$5:$G$110="acoes"))*Inputs!$B$1+((Inputs!$G$5:$G$110&lt;&gt;"moeda")*(Inputs!$G$5:$G$110&lt;&gt;"acoes")))*INDEX(Inputs!$K$5:$AJ$110,0,MATCH(E$2,Inputs!$K$4:$AJ$4,0)))+SUMPRODUCT((Inputs!$C$5:$C$110=$B16)*Inputs!$D$5:$D$110*(((Inputs!$G$5:$G$110="moeda")+(Inputs!$G$5:$G$110="acoes"))*Inputs!$B$1+((Inputs!$G$5:$G$110&lt;&gt;"moeda")*(Inputs!$G$5:$G$110&lt;&gt;"acoes")))*INDEX(Inputs!$K$5:$AJ$110,0,MATCH(E$2,Inputs!$K$4:$AJ$4,0)))+SUMPRODUCT((Inputs!$E$5:$E$110=$B16)*Inputs!$F$5:$F$110*(((Inputs!$G$5:$G$110="moeda")+(Inputs!$G$5:$G$110="acoes"))*Inputs!$B$1+((Inputs!$G$5:$G$110&lt;&gt;"moeda")*(Inputs!$G$5:$G$110&lt;&gt;"acoes")))*INDEX(Inputs!$K$5:$AJ$110,0,MATCH(E$2,Inputs!$K$4:$AJ$4,0)))))</f>
        <v>31967</v>
      </c>
      <c r="F16" s="6">
        <f>IF(ISNA(MATCH(F$2,Inputs!$K$4:$AJ$4,0)),NA(),IF(SUMPRODUCT((Inputs!$A$5:$A$110=$B16)*ISNUMBER(INDEX(Inputs!$K$5:$AJ$110,0,MATCH(F$2,Inputs!$K$4:$AJ$4,0))))+SUMPRODUCT((Inputs!$C$5:$C$110=$B16)*ISNUMBER(INDEX(Inputs!$K$5:$AJ$110,0,MATCH(F$2,Inputs!$K$4:$AJ$4,0))))+SUMPRODUCT((Inputs!$E$5:$E$110=$B16)*ISNUMBER(INDEX(Inputs!$K$5:$AJ$110,0,MATCH(F$2,Inputs!$K$4:$AJ$4,0))))=0,NA(),SUMPRODUCT((Inputs!$A$5:$A$110=$B16)*Inputs!$B$5:$B$110*(((Inputs!$G$5:$G$110="moeda")+(Inputs!$G$5:$G$110="acoes"))*Inputs!$B$1+((Inputs!$G$5:$G$110&lt;&gt;"moeda")*(Inputs!$G$5:$G$110&lt;&gt;"acoes")))*INDEX(Inputs!$K$5:$AJ$110,0,MATCH(F$2,Inputs!$K$4:$AJ$4,0)))+SUMPRODUCT((Inputs!$C$5:$C$110=$B16)*Inputs!$D$5:$D$110*(((Inputs!$G$5:$G$110="moeda")+(Inputs!$G$5:$G$110="acoes"))*Inputs!$B$1+((Inputs!$G$5:$G$110&lt;&gt;"moeda")*(Inputs!$G$5:$G$110&lt;&gt;"acoes")))*INDEX(Inputs!$K$5:$AJ$110,0,MATCH(F$2,Inputs!$K$4:$AJ$4,0)))+SUMPRODUCT((Inputs!$E$5:$E$110=$B16)*Inputs!$F$5:$F$110*(((Inputs!$G$5:$G$110="moeda")+(Inputs!$G$5:$G$110="acoes"))*Inputs!$B$1+((Inputs!$G$5:$G$110&lt;&gt;"moeda")*(Inputs!$G$5:$G$110&lt;&gt;"acoes")))*INDEX(Inputs!$K$5:$AJ$110,0,MATCH(F$2,Inputs!$K$4:$AJ$4,0)))))</f>
        <v>34047</v>
      </c>
      <c r="G16" s="6">
        <f>IF(ISNA(MATCH(G$2,Inputs!$K$4:$AJ$4,0)),NA(),IF(SUMPRODUCT((Inputs!$A$5:$A$110=$B16)*ISNUMBER(INDEX(Inputs!$K$5:$AJ$110,0,MATCH(G$2,Inputs!$K$4:$AJ$4,0))))+SUMPRODUCT((Inputs!$C$5:$C$110=$B16)*ISNUMBER(INDEX(Inputs!$K$5:$AJ$110,0,MATCH(G$2,Inputs!$K$4:$AJ$4,0))))+SUMPRODUCT((Inputs!$E$5:$E$110=$B16)*ISNUMBER(INDEX(Inputs!$K$5:$AJ$110,0,MATCH(G$2,Inputs!$K$4:$AJ$4,0))))=0,NA(),SUMPRODUCT((Inputs!$A$5:$A$110=$B16)*Inputs!$B$5:$B$110*(((Inputs!$G$5:$G$110="moeda")+(Inputs!$G$5:$G$110="acoes"))*Inputs!$B$1+((Inputs!$G$5:$G$110&lt;&gt;"moeda")*(Inputs!$G$5:$G$110&lt;&gt;"acoes")))*INDEX(Inputs!$K$5:$AJ$110,0,MATCH(G$2,Inputs!$K$4:$AJ$4,0)))+SUMPRODUCT((Inputs!$C$5:$C$110=$B16)*Inputs!$D$5:$D$110*(((Inputs!$G$5:$G$110="moeda")+(Inputs!$G$5:$G$110="acoes"))*Inputs!$B$1+((Inputs!$G$5:$G$110&lt;&gt;"moeda")*(Inputs!$G$5:$G$110&lt;&gt;"acoes")))*INDEX(Inputs!$K$5:$AJ$110,0,MATCH(G$2,Inputs!$K$4:$AJ$4,0)))+SUMPRODUCT((Inputs!$E$5:$E$110=$B16)*Inputs!$F$5:$F$110*(((Inputs!$G$5:$G$110="moeda")+(Inputs!$G$5:$G$110="acoes"))*Inputs!$B$1+((Inputs!$G$5:$G$110&lt;&gt;"moeda")*(Inputs!$G$5:$G$110&lt;&gt;"acoes")))*INDEX(Inputs!$K$5:$AJ$110,0,MATCH(G$2,Inputs!$K$4:$AJ$4,0)))))</f>
        <v>39304</v>
      </c>
      <c r="H16" s="3">
        <f>G16</f>
        <v>39304</v>
      </c>
      <c r="I16" s="6">
        <f>IF(ISNA(MATCH(I$2,Inputs!$K$4:$AJ$4,0)),NA(),IF(SUMPRODUCT((Inputs!$A$5:$A$110=$B16)*ISNUMBER(INDEX(Inputs!$K$5:$AJ$110,0,MATCH(I$2,Inputs!$K$4:$AJ$4,0))))+SUMPRODUCT((Inputs!$C$5:$C$110=$B16)*ISNUMBER(INDEX(Inputs!$K$5:$AJ$110,0,MATCH(I$2,Inputs!$K$4:$AJ$4,0))))+SUMPRODUCT((Inputs!$E$5:$E$110=$B16)*ISNUMBER(INDEX(Inputs!$K$5:$AJ$110,0,MATCH(I$2,Inputs!$K$4:$AJ$4,0))))=0,NA(),SUMPRODUCT((Inputs!$A$5:$A$110=$B16)*Inputs!$B$5:$B$110*(((Inputs!$G$5:$G$110="moeda")+(Inputs!$G$5:$G$110="acoes"))*Inputs!$B$1+((Inputs!$G$5:$G$110&lt;&gt;"moeda")*(Inputs!$G$5:$G$110&lt;&gt;"acoes")))*INDEX(Inputs!$K$5:$AJ$110,0,MATCH(I$2,Inputs!$K$4:$AJ$4,0)))+SUMPRODUCT((Inputs!$C$5:$C$110=$B16)*Inputs!$D$5:$D$110*(((Inputs!$G$5:$G$110="moeda")+(Inputs!$G$5:$G$110="acoes"))*Inputs!$B$1+((Inputs!$G$5:$G$110&lt;&gt;"moeda")*(Inputs!$G$5:$G$110&lt;&gt;"acoes")))*INDEX(Inputs!$K$5:$AJ$110,0,MATCH(I$2,Inputs!$K$4:$AJ$4,0)))+SUMPRODUCT((Inputs!$E$5:$E$110=$B16)*Inputs!$F$5:$F$110*(((Inputs!$G$5:$G$110="moeda")+(Inputs!$G$5:$G$110="acoes"))*Inputs!$B$1+((Inputs!$G$5:$G$110&lt;&gt;"moeda")*(Inputs!$G$5:$G$110&lt;&gt;"acoes")))*INDEX(Inputs!$K$5:$AJ$110,0,MATCH(I$2,Inputs!$K$4:$AJ$4,0)))))</f>
        <v>34703</v>
      </c>
      <c r="J16" s="6">
        <f>IF(ISNA(MATCH(J$2,Inputs!$K$4:$AJ$4,0)),NA(),IF(SUMPRODUCT((Inputs!$A$5:$A$110=$B16)*ISNUMBER(INDEX(Inputs!$K$5:$AJ$110,0,MATCH(J$2,Inputs!$K$4:$AJ$4,0))))+SUMPRODUCT((Inputs!$C$5:$C$110=$B16)*ISNUMBER(INDEX(Inputs!$K$5:$AJ$110,0,MATCH(J$2,Inputs!$K$4:$AJ$4,0))))+SUMPRODUCT((Inputs!$E$5:$E$110=$B16)*ISNUMBER(INDEX(Inputs!$K$5:$AJ$110,0,MATCH(J$2,Inputs!$K$4:$AJ$4,0))))=0,NA(),SUMPRODUCT((Inputs!$A$5:$A$110=$B16)*Inputs!$B$5:$B$110*(((Inputs!$G$5:$G$110="moeda")+(Inputs!$G$5:$G$110="acoes"))*Inputs!$B$1+((Inputs!$G$5:$G$110&lt;&gt;"moeda")*(Inputs!$G$5:$G$110&lt;&gt;"acoes")))*INDEX(Inputs!$K$5:$AJ$110,0,MATCH(J$2,Inputs!$K$4:$AJ$4,0)))+SUMPRODUCT((Inputs!$C$5:$C$110=$B16)*Inputs!$D$5:$D$110*(((Inputs!$G$5:$G$110="moeda")+(Inputs!$G$5:$G$110="acoes"))*Inputs!$B$1+((Inputs!$G$5:$G$110&lt;&gt;"moeda")*(Inputs!$G$5:$G$110&lt;&gt;"acoes")))*INDEX(Inputs!$K$5:$AJ$110,0,MATCH(J$2,Inputs!$K$4:$AJ$4,0)))+SUMPRODUCT((Inputs!$E$5:$E$110=$B16)*Inputs!$F$5:$F$110*(((Inputs!$G$5:$G$110="moeda")+(Inputs!$G$5:$G$110="acoes"))*Inputs!$B$1+((Inputs!$G$5:$G$110&lt;&gt;"moeda")*(Inputs!$G$5:$G$110&lt;&gt;"acoes")))*INDEX(Inputs!$K$5:$AJ$110,0,MATCH(J$2,Inputs!$K$4:$AJ$4,0)))))</f>
        <v>35707</v>
      </c>
      <c r="K16" s="6">
        <f>IF(ISNA(MATCH(K$2,Inputs!$K$4:$AJ$4,0)),NA(),IF(SUMPRODUCT((Inputs!$A$5:$A$110=$B16)*ISNUMBER(INDEX(Inputs!$K$5:$AJ$110,0,MATCH(K$2,Inputs!$K$4:$AJ$4,0))))+SUMPRODUCT((Inputs!$C$5:$C$110=$B16)*ISNUMBER(INDEX(Inputs!$K$5:$AJ$110,0,MATCH(K$2,Inputs!$K$4:$AJ$4,0))))+SUMPRODUCT((Inputs!$E$5:$E$110=$B16)*ISNUMBER(INDEX(Inputs!$K$5:$AJ$110,0,MATCH(K$2,Inputs!$K$4:$AJ$4,0))))=0,NA(),SUMPRODUCT((Inputs!$A$5:$A$110=$B16)*Inputs!$B$5:$B$110*(((Inputs!$G$5:$G$110="moeda")+(Inputs!$G$5:$G$110="acoes"))*Inputs!$B$1+((Inputs!$G$5:$G$110&lt;&gt;"moeda")*(Inputs!$G$5:$G$110&lt;&gt;"acoes")))*INDEX(Inputs!$K$5:$AJ$110,0,MATCH(K$2,Inputs!$K$4:$AJ$4,0)))+SUMPRODUCT((Inputs!$C$5:$C$110=$B16)*Inputs!$D$5:$D$110*(((Inputs!$G$5:$G$110="moeda")+(Inputs!$G$5:$G$110="acoes"))*Inputs!$B$1+((Inputs!$G$5:$G$110&lt;&gt;"moeda")*(Inputs!$G$5:$G$110&lt;&gt;"acoes")))*INDEX(Inputs!$K$5:$AJ$110,0,MATCH(K$2,Inputs!$K$4:$AJ$4,0)))+SUMPRODUCT((Inputs!$E$5:$E$110=$B16)*Inputs!$F$5:$F$110*(((Inputs!$G$5:$G$110="moeda")+(Inputs!$G$5:$G$110="acoes"))*Inputs!$B$1+((Inputs!$G$5:$G$110&lt;&gt;"moeda")*(Inputs!$G$5:$G$110&lt;&gt;"acoes")))*INDEX(Inputs!$K$5:$AJ$110,0,MATCH(K$2,Inputs!$K$4:$AJ$4,0)))))</f>
        <v>34697</v>
      </c>
      <c r="L16" s="6">
        <f>IF(ISNA(MATCH(L$2,Inputs!$K$4:$AJ$4,0)),NA(),IF(SUMPRODUCT((Inputs!$A$5:$A$110=$B16)*ISNUMBER(INDEX(Inputs!$K$5:$AJ$110,0,MATCH(L$2,Inputs!$K$4:$AJ$4,0))))+SUMPRODUCT((Inputs!$C$5:$C$110=$B16)*ISNUMBER(INDEX(Inputs!$K$5:$AJ$110,0,MATCH(L$2,Inputs!$K$4:$AJ$4,0))))+SUMPRODUCT((Inputs!$E$5:$E$110=$B16)*ISNUMBER(INDEX(Inputs!$K$5:$AJ$110,0,MATCH(L$2,Inputs!$K$4:$AJ$4,0))))=0,NA(),SUMPRODUCT((Inputs!$A$5:$A$110=$B16)*Inputs!$B$5:$B$110*(((Inputs!$G$5:$G$110="moeda")+(Inputs!$G$5:$G$110="acoes"))*Inputs!$B$1+((Inputs!$G$5:$G$110&lt;&gt;"moeda")*(Inputs!$G$5:$G$110&lt;&gt;"acoes")))*INDEX(Inputs!$K$5:$AJ$110,0,MATCH(L$2,Inputs!$K$4:$AJ$4,0)))+SUMPRODUCT((Inputs!$C$5:$C$110=$B16)*Inputs!$D$5:$D$110*(((Inputs!$G$5:$G$110="moeda")+(Inputs!$G$5:$G$110="acoes"))*Inputs!$B$1+((Inputs!$G$5:$G$110&lt;&gt;"moeda")*(Inputs!$G$5:$G$110&lt;&gt;"acoes")))*INDEX(Inputs!$K$5:$AJ$110,0,MATCH(L$2,Inputs!$K$4:$AJ$4,0)))+SUMPRODUCT((Inputs!$E$5:$E$110=$B16)*Inputs!$F$5:$F$110*(((Inputs!$G$5:$G$110="moeda")+(Inputs!$G$5:$G$110="acoes"))*Inputs!$B$1+((Inputs!$G$5:$G$110&lt;&gt;"moeda")*(Inputs!$G$5:$G$110&lt;&gt;"acoes")))*INDEX(Inputs!$K$5:$AJ$110,0,MATCH(L$2,Inputs!$K$4:$AJ$4,0)))))</f>
        <v>40258</v>
      </c>
      <c r="M16" s="3">
        <f>L16</f>
        <v>40258</v>
      </c>
      <c r="N16" s="6">
        <f>IF(ISNA(MATCH(N$2,Inputs!$K$4:$AJ$4,0)),NA(),IF(SUMPRODUCT((Inputs!$A$5:$A$110=$B16)*ISNUMBER(INDEX(Inputs!$K$5:$AJ$110,0,MATCH(N$2,Inputs!$K$4:$AJ$4,0))))+SUMPRODUCT((Inputs!$C$5:$C$110=$B16)*ISNUMBER(INDEX(Inputs!$K$5:$AJ$110,0,MATCH(N$2,Inputs!$K$4:$AJ$4,0))))+SUMPRODUCT((Inputs!$E$5:$E$110=$B16)*ISNUMBER(INDEX(Inputs!$K$5:$AJ$110,0,MATCH(N$2,Inputs!$K$4:$AJ$4,0))))=0,NA(),SUMPRODUCT((Inputs!$A$5:$A$110=$B16)*Inputs!$B$5:$B$110*(((Inputs!$G$5:$G$110="moeda")+(Inputs!$G$5:$G$110="acoes"))*Inputs!$B$1+((Inputs!$G$5:$G$110&lt;&gt;"moeda")*(Inputs!$G$5:$G$110&lt;&gt;"acoes")))*INDEX(Inputs!$K$5:$AJ$110,0,MATCH(N$2,Inputs!$K$4:$AJ$4,0)))+SUMPRODUCT((Inputs!$C$5:$C$110=$B16)*Inputs!$D$5:$D$110*(((Inputs!$G$5:$G$110="moeda")+(Inputs!$G$5:$G$110="acoes"))*Inputs!$B$1+((Inputs!$G$5:$G$110&lt;&gt;"moeda")*(Inputs!$G$5:$G$110&lt;&gt;"acoes")))*INDEX(Inputs!$K$5:$AJ$110,0,MATCH(N$2,Inputs!$K$4:$AJ$4,0)))+SUMPRODUCT((Inputs!$E$5:$E$110=$B16)*Inputs!$F$5:$F$110*(((Inputs!$G$5:$G$110="moeda")+(Inputs!$G$5:$G$110="acoes"))*Inputs!$B$1+((Inputs!$G$5:$G$110&lt;&gt;"moeda")*(Inputs!$G$5:$G$110&lt;&gt;"acoes")))*INDEX(Inputs!$K$5:$AJ$110,0,MATCH(N$2,Inputs!$K$4:$AJ$4,0)))))</f>
        <v>36036</v>
      </c>
      <c r="O16" s="6">
        <f>IF(ISNA(MATCH(O$2,Inputs!$K$4:$AJ$4,0)),NA(),IF(SUMPRODUCT((Inputs!$A$5:$A$110=$B16)*ISNUMBER(INDEX(Inputs!$K$5:$AJ$110,0,MATCH(O$2,Inputs!$K$4:$AJ$4,0))))+SUMPRODUCT((Inputs!$C$5:$C$110=$B16)*ISNUMBER(INDEX(Inputs!$K$5:$AJ$110,0,MATCH(O$2,Inputs!$K$4:$AJ$4,0))))+SUMPRODUCT((Inputs!$E$5:$E$110=$B16)*ISNUMBER(INDEX(Inputs!$K$5:$AJ$110,0,MATCH(O$2,Inputs!$K$4:$AJ$4,0))))=0,NA(),SUMPRODUCT((Inputs!$A$5:$A$110=$B16)*Inputs!$B$5:$B$110*(((Inputs!$G$5:$G$110="moeda")+(Inputs!$G$5:$G$110="acoes"))*Inputs!$B$1+((Inputs!$G$5:$G$110&lt;&gt;"moeda")*(Inputs!$G$5:$G$110&lt;&gt;"acoes")))*INDEX(Inputs!$K$5:$AJ$110,0,MATCH(O$2,Inputs!$K$4:$AJ$4,0)))+SUMPRODUCT((Inputs!$C$5:$C$110=$B16)*Inputs!$D$5:$D$110*(((Inputs!$G$5:$G$110="moeda")+(Inputs!$G$5:$G$110="acoes"))*Inputs!$B$1+((Inputs!$G$5:$G$110&lt;&gt;"moeda")*(Inputs!$G$5:$G$110&lt;&gt;"acoes")))*INDEX(Inputs!$K$5:$AJ$110,0,MATCH(O$2,Inputs!$K$4:$AJ$4,0)))+SUMPRODUCT((Inputs!$E$5:$E$110=$B16)*Inputs!$F$5:$F$110*(((Inputs!$G$5:$G$110="moeda")+(Inputs!$G$5:$G$110="acoes"))*Inputs!$B$1+((Inputs!$G$5:$G$110&lt;&gt;"moeda")*(Inputs!$G$5:$G$110&lt;&gt;"acoes")))*INDEX(Inputs!$K$5:$AJ$110,0,MATCH(O$2,Inputs!$K$4:$AJ$4,0)))))</f>
        <v>38804</v>
      </c>
      <c r="P16" s="6">
        <f>IF(ISNA(MATCH(P$2,Inputs!$K$4:$AJ$4,0)),NA(),IF(SUMPRODUCT((Inputs!$A$5:$A$110=$B16)*ISNUMBER(INDEX(Inputs!$K$5:$AJ$110,0,MATCH(P$2,Inputs!$K$4:$AJ$4,0))))+SUMPRODUCT((Inputs!$C$5:$C$110=$B16)*ISNUMBER(INDEX(Inputs!$K$5:$AJ$110,0,MATCH(P$2,Inputs!$K$4:$AJ$4,0))))+SUMPRODUCT((Inputs!$E$5:$E$110=$B16)*ISNUMBER(INDEX(Inputs!$K$5:$AJ$110,0,MATCH(P$2,Inputs!$K$4:$AJ$4,0))))=0,NA(),SUMPRODUCT((Inputs!$A$5:$A$110=$B16)*Inputs!$B$5:$B$110*(((Inputs!$G$5:$G$110="moeda")+(Inputs!$G$5:$G$110="acoes"))*Inputs!$B$1+((Inputs!$G$5:$G$110&lt;&gt;"moeda")*(Inputs!$G$5:$G$110&lt;&gt;"acoes")))*INDEX(Inputs!$K$5:$AJ$110,0,MATCH(P$2,Inputs!$K$4:$AJ$4,0)))+SUMPRODUCT((Inputs!$C$5:$C$110=$B16)*Inputs!$D$5:$D$110*(((Inputs!$G$5:$G$110="moeda")+(Inputs!$G$5:$G$110="acoes"))*Inputs!$B$1+((Inputs!$G$5:$G$110&lt;&gt;"moeda")*(Inputs!$G$5:$G$110&lt;&gt;"acoes")))*INDEX(Inputs!$K$5:$AJ$110,0,MATCH(P$2,Inputs!$K$4:$AJ$4,0)))+SUMPRODUCT((Inputs!$E$5:$E$110=$B16)*Inputs!$F$5:$F$110*(((Inputs!$G$5:$G$110="moeda")+(Inputs!$G$5:$G$110="acoes"))*Inputs!$B$1+((Inputs!$G$5:$G$110&lt;&gt;"moeda")*(Inputs!$G$5:$G$110&lt;&gt;"acoes")))*INDEX(Inputs!$K$5:$AJ$110,0,MATCH(P$2,Inputs!$K$4:$AJ$4,0)))))</f>
        <v>41020</v>
      </c>
      <c r="Q16" s="6">
        <f>IF(ISNA(MATCH(Q$2,Inputs!$K$4:$AJ$4,0)),NA(),IF(SUMPRODUCT((Inputs!$A$5:$A$110=$B16)*ISNUMBER(INDEX(Inputs!$K$5:$AJ$110,0,MATCH(Q$2,Inputs!$K$4:$AJ$4,0))))+SUMPRODUCT((Inputs!$C$5:$C$110=$B16)*ISNUMBER(INDEX(Inputs!$K$5:$AJ$110,0,MATCH(Q$2,Inputs!$K$4:$AJ$4,0))))+SUMPRODUCT((Inputs!$E$5:$E$110=$B16)*ISNUMBER(INDEX(Inputs!$K$5:$AJ$110,0,MATCH(Q$2,Inputs!$K$4:$AJ$4,0))))=0,NA(),SUMPRODUCT((Inputs!$A$5:$A$110=$B16)*Inputs!$B$5:$B$110*(((Inputs!$G$5:$G$110="moeda")+(Inputs!$G$5:$G$110="acoes"))*Inputs!$B$1+((Inputs!$G$5:$G$110&lt;&gt;"moeda")*(Inputs!$G$5:$G$110&lt;&gt;"acoes")))*INDEX(Inputs!$K$5:$AJ$110,0,MATCH(Q$2,Inputs!$K$4:$AJ$4,0)))+SUMPRODUCT((Inputs!$C$5:$C$110=$B16)*Inputs!$D$5:$D$110*(((Inputs!$G$5:$G$110="moeda")+(Inputs!$G$5:$G$110="acoes"))*Inputs!$B$1+((Inputs!$G$5:$G$110&lt;&gt;"moeda")*(Inputs!$G$5:$G$110&lt;&gt;"acoes")))*INDEX(Inputs!$K$5:$AJ$110,0,MATCH(Q$2,Inputs!$K$4:$AJ$4,0)))+SUMPRODUCT((Inputs!$E$5:$E$110=$B16)*Inputs!$F$5:$F$110*(((Inputs!$G$5:$G$110="moeda")+(Inputs!$G$5:$G$110="acoes"))*Inputs!$B$1+((Inputs!$G$5:$G$110&lt;&gt;"moeda")*(Inputs!$G$5:$G$110&lt;&gt;"acoes")))*INDEX(Inputs!$K$5:$AJ$110,0,MATCH(Q$2,Inputs!$K$4:$AJ$4,0)))))</f>
        <v>47964</v>
      </c>
      <c r="R16" s="3">
        <f>Q16</f>
        <v>47964</v>
      </c>
      <c r="S16" s="6">
        <f>IF(ISNA(MATCH(S$2,Inputs!$K$4:$AJ$4,0)),NA(),IF(SUMPRODUCT((Inputs!$A$5:$A$110=$B16)*ISNUMBER(INDEX(Inputs!$K$5:$AJ$110,0,MATCH(S$2,Inputs!$K$4:$AJ$4,0))))+SUMPRODUCT((Inputs!$C$5:$C$110=$B16)*ISNUMBER(INDEX(Inputs!$K$5:$AJ$110,0,MATCH(S$2,Inputs!$K$4:$AJ$4,0))))+SUMPRODUCT((Inputs!$E$5:$E$110=$B16)*ISNUMBER(INDEX(Inputs!$K$5:$AJ$110,0,MATCH(S$2,Inputs!$K$4:$AJ$4,0))))=0,NA(),SUMPRODUCT((Inputs!$A$5:$A$110=$B16)*Inputs!$B$5:$B$110*(((Inputs!$G$5:$G$110="moeda")+(Inputs!$G$5:$G$110="acoes"))*Inputs!$B$1+((Inputs!$G$5:$G$110&lt;&gt;"moeda")*(Inputs!$G$5:$G$110&lt;&gt;"acoes")))*INDEX(Inputs!$K$5:$AJ$110,0,MATCH(S$2,Inputs!$K$4:$AJ$4,0)))+SUMPRODUCT((Inputs!$C$5:$C$110=$B16)*Inputs!$D$5:$D$110*(((Inputs!$G$5:$G$110="moeda")+(Inputs!$G$5:$G$110="acoes"))*Inputs!$B$1+((Inputs!$G$5:$G$110&lt;&gt;"moeda")*(Inputs!$G$5:$G$110&lt;&gt;"acoes")))*INDEX(Inputs!$K$5:$AJ$110,0,MATCH(S$2,Inputs!$K$4:$AJ$4,0)))+SUMPRODUCT((Inputs!$E$5:$E$110=$B16)*Inputs!$F$5:$F$110*(((Inputs!$G$5:$G$110="moeda")+(Inputs!$G$5:$G$110="acoes"))*Inputs!$B$1+((Inputs!$G$5:$G$110&lt;&gt;"moeda")*(Inputs!$G$5:$G$110&lt;&gt;"acoes")))*INDEX(Inputs!$K$5:$AJ$110,0,MATCH(S$2,Inputs!$K$4:$AJ$4,0)))))</f>
        <v>44552</v>
      </c>
      <c r="T16" s="6">
        <f>IF(ISNA(MATCH(T$2,Inputs!$K$4:$AJ$4,0)),NA(),IF(SUMPRODUCT((Inputs!$A$5:$A$110=$B16)*ISNUMBER(INDEX(Inputs!$K$5:$AJ$110,0,MATCH(T$2,Inputs!$K$4:$AJ$4,0))))+SUMPRODUCT((Inputs!$C$5:$C$110=$B16)*ISNUMBER(INDEX(Inputs!$K$5:$AJ$110,0,MATCH(T$2,Inputs!$K$4:$AJ$4,0))))+SUMPRODUCT((Inputs!$E$5:$E$110=$B16)*ISNUMBER(INDEX(Inputs!$K$5:$AJ$110,0,MATCH(T$2,Inputs!$K$4:$AJ$4,0))))=0,NA(),SUMPRODUCT((Inputs!$A$5:$A$110=$B16)*Inputs!$B$5:$B$110*(((Inputs!$G$5:$G$110="moeda")+(Inputs!$G$5:$G$110="acoes"))*Inputs!$B$1+((Inputs!$G$5:$G$110&lt;&gt;"moeda")*(Inputs!$G$5:$G$110&lt;&gt;"acoes")))*INDEX(Inputs!$K$5:$AJ$110,0,MATCH(T$2,Inputs!$K$4:$AJ$4,0)))+SUMPRODUCT((Inputs!$C$5:$C$110=$B16)*Inputs!$D$5:$D$110*(((Inputs!$G$5:$G$110="moeda")+(Inputs!$G$5:$G$110="acoes"))*Inputs!$B$1+((Inputs!$G$5:$G$110&lt;&gt;"moeda")*(Inputs!$G$5:$G$110&lt;&gt;"acoes")))*INDEX(Inputs!$K$5:$AJ$110,0,MATCH(T$2,Inputs!$K$4:$AJ$4,0)))+SUMPRODUCT((Inputs!$E$5:$E$110=$B16)*Inputs!$F$5:$F$110*(((Inputs!$G$5:$G$110="moeda")+(Inputs!$G$5:$G$110="acoes"))*Inputs!$B$1+((Inputs!$G$5:$G$110&lt;&gt;"moeda")*(Inputs!$G$5:$G$110&lt;&gt;"acoes")))*INDEX(Inputs!$K$5:$AJ$110,0,MATCH(T$2,Inputs!$K$4:$AJ$4,0)))))</f>
        <v>47087</v>
      </c>
      <c r="U16" s="6">
        <f>IF(ISNA(MATCH(U$2,Inputs!$K$4:$AJ$4,0)),NA(),IF(SUMPRODUCT((Inputs!$A$5:$A$110=$B16)*ISNUMBER(INDEX(Inputs!$K$5:$AJ$110,0,MATCH(U$2,Inputs!$K$4:$AJ$4,0))))+SUMPRODUCT((Inputs!$C$5:$C$110=$B16)*ISNUMBER(INDEX(Inputs!$K$5:$AJ$110,0,MATCH(U$2,Inputs!$K$4:$AJ$4,0))))+SUMPRODUCT((Inputs!$E$5:$E$110=$B16)*ISNUMBER(INDEX(Inputs!$K$5:$AJ$110,0,MATCH(U$2,Inputs!$K$4:$AJ$4,0))))=0,NA(),SUMPRODUCT((Inputs!$A$5:$A$110=$B16)*Inputs!$B$5:$B$110*(((Inputs!$G$5:$G$110="moeda")+(Inputs!$G$5:$G$110="acoes"))*Inputs!$B$1+((Inputs!$G$5:$G$110&lt;&gt;"moeda")*(Inputs!$G$5:$G$110&lt;&gt;"acoes")))*INDEX(Inputs!$K$5:$AJ$110,0,MATCH(U$2,Inputs!$K$4:$AJ$4,0)))+SUMPRODUCT((Inputs!$C$5:$C$110=$B16)*Inputs!$D$5:$D$110*(((Inputs!$G$5:$G$110="moeda")+(Inputs!$G$5:$G$110="acoes"))*Inputs!$B$1+((Inputs!$G$5:$G$110&lt;&gt;"moeda")*(Inputs!$G$5:$G$110&lt;&gt;"acoes")))*INDEX(Inputs!$K$5:$AJ$110,0,MATCH(U$2,Inputs!$K$4:$AJ$4,0)))+SUMPRODUCT((Inputs!$E$5:$E$110=$B16)*Inputs!$F$5:$F$110*(((Inputs!$G$5:$G$110="moeda")+(Inputs!$G$5:$G$110="acoes"))*Inputs!$B$1+((Inputs!$G$5:$G$110&lt;&gt;"moeda")*(Inputs!$G$5:$G$110&lt;&gt;"acoes")))*INDEX(Inputs!$K$5:$AJ$110,0,MATCH(U$2,Inputs!$K$4:$AJ$4,0)))))</f>
        <v>49104</v>
      </c>
      <c r="V16" s="6">
        <f>IF(ISNA(MATCH(V$2,Inputs!$K$4:$AJ$4,0)),NA(),IF(SUMPRODUCT((Inputs!$A$5:$A$110=$B16)*ISNUMBER(INDEX(Inputs!$K$5:$AJ$110,0,MATCH(V$2,Inputs!$K$4:$AJ$4,0))))+SUMPRODUCT((Inputs!$C$5:$C$110=$B16)*ISNUMBER(INDEX(Inputs!$K$5:$AJ$110,0,MATCH(V$2,Inputs!$K$4:$AJ$4,0))))+SUMPRODUCT((Inputs!$E$5:$E$110=$B16)*ISNUMBER(INDEX(Inputs!$K$5:$AJ$110,0,MATCH(V$2,Inputs!$K$4:$AJ$4,0))))=0,NA(),SUMPRODUCT((Inputs!$A$5:$A$110=$B16)*Inputs!$B$5:$B$110*(((Inputs!$G$5:$G$110="moeda")+(Inputs!$G$5:$G$110="acoes"))*Inputs!$B$1+((Inputs!$G$5:$G$110&lt;&gt;"moeda")*(Inputs!$G$5:$G$110&lt;&gt;"acoes")))*INDEX(Inputs!$K$5:$AJ$110,0,MATCH(V$2,Inputs!$K$4:$AJ$4,0)))+SUMPRODUCT((Inputs!$C$5:$C$110=$B16)*Inputs!$D$5:$D$110*(((Inputs!$G$5:$G$110="moeda")+(Inputs!$G$5:$G$110="acoes"))*Inputs!$B$1+((Inputs!$G$5:$G$110&lt;&gt;"moeda")*(Inputs!$G$5:$G$110&lt;&gt;"acoes")))*INDEX(Inputs!$K$5:$AJ$110,0,MATCH(V$2,Inputs!$K$4:$AJ$4,0)))+SUMPRODUCT((Inputs!$E$5:$E$110=$B16)*Inputs!$F$5:$F$110*(((Inputs!$G$5:$G$110="moeda")+(Inputs!$G$5:$G$110="acoes"))*Inputs!$B$1+((Inputs!$G$5:$G$110&lt;&gt;"moeda")*(Inputs!$G$5:$G$110&lt;&gt;"acoes")))*INDEX(Inputs!$K$5:$AJ$110,0,MATCH(V$2,Inputs!$K$4:$AJ$4,0)))))</f>
        <v>52340</v>
      </c>
      <c r="W16" s="3">
        <f>V16</f>
        <v>52340</v>
      </c>
      <c r="X16" s="6">
        <f>IF(ISNA(MATCH(X$2,Inputs!$K$4:$AJ$4,0)),NA(),IF(SUMPRODUCT((Inputs!$A$5:$A$110=$B16)*ISNUMBER(INDEX(Inputs!$K$5:$AJ$110,0,MATCH(X$2,Inputs!$K$4:$AJ$4,0))))+SUMPRODUCT((Inputs!$C$5:$C$110=$B16)*ISNUMBER(INDEX(Inputs!$K$5:$AJ$110,0,MATCH(X$2,Inputs!$K$4:$AJ$4,0))))+SUMPRODUCT((Inputs!$E$5:$E$110=$B16)*ISNUMBER(INDEX(Inputs!$K$5:$AJ$110,0,MATCH(X$2,Inputs!$K$4:$AJ$4,0))))=0,NA(),SUMPRODUCT((Inputs!$A$5:$A$110=$B16)*Inputs!$B$5:$B$110*(((Inputs!$G$5:$G$110="moeda")+(Inputs!$G$5:$G$110="acoes"))*Inputs!$B$1+((Inputs!$G$5:$G$110&lt;&gt;"moeda")*(Inputs!$G$5:$G$110&lt;&gt;"acoes")))*INDEX(Inputs!$K$5:$AJ$110,0,MATCH(X$2,Inputs!$K$4:$AJ$4,0)))+SUMPRODUCT((Inputs!$C$5:$C$110=$B16)*Inputs!$D$5:$D$110*(((Inputs!$G$5:$G$110="moeda")+(Inputs!$G$5:$G$110="acoes"))*Inputs!$B$1+((Inputs!$G$5:$G$110&lt;&gt;"moeda")*(Inputs!$G$5:$G$110&lt;&gt;"acoes")))*INDEX(Inputs!$K$5:$AJ$110,0,MATCH(X$2,Inputs!$K$4:$AJ$4,0)))+SUMPRODUCT((Inputs!$E$5:$E$110=$B16)*Inputs!$F$5:$F$110*(((Inputs!$G$5:$G$110="moeda")+(Inputs!$G$5:$G$110="acoes"))*Inputs!$B$1+((Inputs!$G$5:$G$110&lt;&gt;"moeda")*(Inputs!$G$5:$G$110&lt;&gt;"acoes")))*INDEX(Inputs!$K$5:$AJ$110,0,MATCH(X$2,Inputs!$K$4:$AJ$4,0)))))</f>
        <v>51000</v>
      </c>
      <c r="Y16" s="6">
        <f>IF(ISNA(MATCH(Y$2,Inputs!$K$4:$AJ$4,0)),NA(),IF(SUMPRODUCT((Inputs!$A$5:$A$110=$B16)*ISNUMBER(INDEX(Inputs!$K$5:$AJ$110,0,MATCH(Y$2,Inputs!$K$4:$AJ$4,0))))+SUMPRODUCT((Inputs!$C$5:$C$110=$B16)*ISNUMBER(INDEX(Inputs!$K$5:$AJ$110,0,MATCH(Y$2,Inputs!$K$4:$AJ$4,0))))+SUMPRODUCT((Inputs!$E$5:$E$110=$B16)*ISNUMBER(INDEX(Inputs!$K$5:$AJ$110,0,MATCH(Y$2,Inputs!$K$4:$AJ$4,0))))=0,NA(),SUMPRODUCT((Inputs!$A$5:$A$110=$B16)*Inputs!$B$5:$B$110*(((Inputs!$G$5:$G$110="moeda")+(Inputs!$G$5:$G$110="acoes"))*Inputs!$B$1+((Inputs!$G$5:$G$110&lt;&gt;"moeda")*(Inputs!$G$5:$G$110&lt;&gt;"acoes")))*INDEX(Inputs!$K$5:$AJ$110,0,MATCH(Y$2,Inputs!$K$4:$AJ$4,0)))+SUMPRODUCT((Inputs!$C$5:$C$110=$B16)*Inputs!$D$5:$D$110*(((Inputs!$G$5:$G$110="moeda")+(Inputs!$G$5:$G$110="acoes"))*Inputs!$B$1+((Inputs!$G$5:$G$110&lt;&gt;"moeda")*(Inputs!$G$5:$G$110&lt;&gt;"acoes")))*INDEX(Inputs!$K$5:$AJ$110,0,MATCH(Y$2,Inputs!$K$4:$AJ$4,0)))+SUMPRODUCT((Inputs!$E$5:$E$110=$B16)*Inputs!$F$5:$F$110*(((Inputs!$G$5:$G$110="moeda")+(Inputs!$G$5:$G$110="acoes"))*Inputs!$B$1+((Inputs!$G$5:$G$110&lt;&gt;"moeda")*(Inputs!$G$5:$G$110&lt;&gt;"acoes")))*INDEX(Inputs!$K$5:$AJ$110,0,MATCH(Y$2,Inputs!$K$4:$AJ$4,0)))))</f>
        <v>55048</v>
      </c>
      <c r="Z16" s="6">
        <f>IF(ISNA(MATCH(Z$2,Inputs!$K$4:$AJ$4,0)),NA(),IF(SUMPRODUCT((Inputs!$A$5:$A$110=$B16)*ISNUMBER(INDEX(Inputs!$K$5:$AJ$110,0,MATCH(Z$2,Inputs!$K$4:$AJ$4,0))))+SUMPRODUCT((Inputs!$C$5:$C$110=$B16)*ISNUMBER(INDEX(Inputs!$K$5:$AJ$110,0,MATCH(Z$2,Inputs!$K$4:$AJ$4,0))))+SUMPRODUCT((Inputs!$E$5:$E$110=$B16)*ISNUMBER(INDEX(Inputs!$K$5:$AJ$110,0,MATCH(Z$2,Inputs!$K$4:$AJ$4,0))))=0,NA(),SUMPRODUCT((Inputs!$A$5:$A$110=$B16)*Inputs!$B$5:$B$110*(((Inputs!$G$5:$G$110="moeda")+(Inputs!$G$5:$G$110="acoes"))*Inputs!$B$1+((Inputs!$G$5:$G$110&lt;&gt;"moeda")*(Inputs!$G$5:$G$110&lt;&gt;"acoes")))*INDEX(Inputs!$K$5:$AJ$110,0,MATCH(Z$2,Inputs!$K$4:$AJ$4,0)))+SUMPRODUCT((Inputs!$C$5:$C$110=$B16)*Inputs!$D$5:$D$110*(((Inputs!$G$5:$G$110="moeda")+(Inputs!$G$5:$G$110="acoes"))*Inputs!$B$1+((Inputs!$G$5:$G$110&lt;&gt;"moeda")*(Inputs!$G$5:$G$110&lt;&gt;"acoes")))*INDEX(Inputs!$K$5:$AJ$110,0,MATCH(Z$2,Inputs!$K$4:$AJ$4,0)))+SUMPRODUCT((Inputs!$E$5:$E$110=$B16)*Inputs!$F$5:$F$110*(((Inputs!$G$5:$G$110="moeda")+(Inputs!$G$5:$G$110="acoes"))*Inputs!$B$1+((Inputs!$G$5:$G$110&lt;&gt;"moeda")*(Inputs!$G$5:$G$110&lt;&gt;"acoes")))*INDEX(Inputs!$K$5:$AJ$110,0,MATCH(Z$2,Inputs!$K$4:$AJ$4,0)))))</f>
        <v>57148</v>
      </c>
      <c r="AA16" s="6">
        <f>IF(ISNA(MATCH(AA$2,Inputs!$K$4:$AJ$4,0)),NA(),IF(SUMPRODUCT((Inputs!$A$5:$A$110=$B16)*ISNUMBER(INDEX(Inputs!$K$5:$AJ$110,0,MATCH(AA$2,Inputs!$K$4:$AJ$4,0))))+SUMPRODUCT((Inputs!$C$5:$C$110=$B16)*ISNUMBER(INDEX(Inputs!$K$5:$AJ$110,0,MATCH(AA$2,Inputs!$K$4:$AJ$4,0))))+SUMPRODUCT((Inputs!$E$5:$E$110=$B16)*ISNUMBER(INDEX(Inputs!$K$5:$AJ$110,0,MATCH(AA$2,Inputs!$K$4:$AJ$4,0))))=0,NA(),SUMPRODUCT((Inputs!$A$5:$A$110=$B16)*Inputs!$B$5:$B$110*(((Inputs!$G$5:$G$110="moeda")+(Inputs!$G$5:$G$110="acoes"))*Inputs!$B$1+((Inputs!$G$5:$G$110&lt;&gt;"moeda")*(Inputs!$G$5:$G$110&lt;&gt;"acoes")))*INDEX(Inputs!$K$5:$AJ$110,0,MATCH(AA$2,Inputs!$K$4:$AJ$4,0)))+SUMPRODUCT((Inputs!$C$5:$C$110=$B16)*Inputs!$D$5:$D$110*(((Inputs!$G$5:$G$110="moeda")+(Inputs!$G$5:$G$110="acoes"))*Inputs!$B$1+((Inputs!$G$5:$G$110&lt;&gt;"moeda")*(Inputs!$G$5:$G$110&lt;&gt;"acoes")))*INDEX(Inputs!$K$5:$AJ$110,0,MATCH(AA$2,Inputs!$K$4:$AJ$4,0)))+SUMPRODUCT((Inputs!$E$5:$E$110=$B16)*Inputs!$F$5:$F$110*(((Inputs!$G$5:$G$110="moeda")+(Inputs!$G$5:$G$110="acoes"))*Inputs!$B$1+((Inputs!$G$5:$G$110&lt;&gt;"moeda")*(Inputs!$G$5:$G$110&lt;&gt;"acoes")))*INDEX(Inputs!$K$5:$AJ$110,0,MATCH(AA$2,Inputs!$K$4:$AJ$4,0)))))</f>
        <v>62886</v>
      </c>
      <c r="AB16" s="3">
        <f>AA16</f>
        <v>62886</v>
      </c>
      <c r="AC16" s="6">
        <f>IF(ISNA(MATCH(AC$2,Inputs!$K$4:$AJ$4,0)),NA(),IF(SUMPRODUCT((Inputs!$A$5:$A$110=$B16)*ISNUMBER(INDEX(Inputs!$K$5:$AJ$110,0,MATCH(AC$2,Inputs!$K$4:$AJ$4,0))))+SUMPRODUCT((Inputs!$C$5:$C$110=$B16)*ISNUMBER(INDEX(Inputs!$K$5:$AJ$110,0,MATCH(AC$2,Inputs!$K$4:$AJ$4,0))))+SUMPRODUCT((Inputs!$E$5:$E$110=$B16)*ISNUMBER(INDEX(Inputs!$K$5:$AJ$110,0,MATCH(AC$2,Inputs!$K$4:$AJ$4,0))))=0,NA(),SUMPRODUCT((Inputs!$A$5:$A$110=$B16)*Inputs!$B$5:$B$110*(((Inputs!$G$5:$G$110="moeda")+(Inputs!$G$5:$G$110="acoes"))*Inputs!$B$1+((Inputs!$G$5:$G$110&lt;&gt;"moeda")*(Inputs!$G$5:$G$110&lt;&gt;"acoes")))*INDEX(Inputs!$K$5:$AJ$110,0,MATCH(AC$2,Inputs!$K$4:$AJ$4,0)))+SUMPRODUCT((Inputs!$C$5:$C$110=$B16)*Inputs!$D$5:$D$110*(((Inputs!$G$5:$G$110="moeda")+(Inputs!$G$5:$G$110="acoes"))*Inputs!$B$1+((Inputs!$G$5:$G$110&lt;&gt;"moeda")*(Inputs!$G$5:$G$110&lt;&gt;"acoes")))*INDEX(Inputs!$K$5:$AJ$110,0,MATCH(AC$2,Inputs!$K$4:$AJ$4,0)))+SUMPRODUCT((Inputs!$E$5:$E$110=$B16)*Inputs!$F$5:$F$110*(((Inputs!$G$5:$G$110="moeda")+(Inputs!$G$5:$G$110="acoes"))*Inputs!$B$1+((Inputs!$G$5:$G$110&lt;&gt;"moeda")*(Inputs!$G$5:$G$110&lt;&gt;"acoes")))*INDEX(Inputs!$K$5:$AJ$110,0,MATCH(AC$2,Inputs!$K$4:$AJ$4,0)))))</f>
        <v>62999</v>
      </c>
      <c r="AD16" s="6">
        <f>IF(ISNA(MATCH(AD$2,Inputs!$K$4:$AJ$4,0)),NA(),IF(SUMPRODUCT((Inputs!$A$5:$A$110=$B16)*ISNUMBER(INDEX(Inputs!$K$5:$AJ$110,0,MATCH(AD$2,Inputs!$K$4:$AJ$4,0))))+SUMPRODUCT((Inputs!$C$5:$C$110=$B16)*ISNUMBER(INDEX(Inputs!$K$5:$AJ$110,0,MATCH(AD$2,Inputs!$K$4:$AJ$4,0))))+SUMPRODUCT((Inputs!$E$5:$E$110=$B16)*ISNUMBER(INDEX(Inputs!$K$5:$AJ$110,0,MATCH(AD$2,Inputs!$K$4:$AJ$4,0))))=0,NA(),SUMPRODUCT((Inputs!$A$5:$A$110=$B16)*Inputs!$B$5:$B$110*(((Inputs!$G$5:$G$110="moeda")+(Inputs!$G$5:$G$110="acoes"))*Inputs!$B$1+((Inputs!$G$5:$G$110&lt;&gt;"moeda")*(Inputs!$G$5:$G$110&lt;&gt;"acoes")))*INDEX(Inputs!$K$5:$AJ$110,0,MATCH(AD$2,Inputs!$K$4:$AJ$4,0)))+SUMPRODUCT((Inputs!$C$5:$C$110=$B16)*Inputs!$D$5:$D$110*(((Inputs!$G$5:$G$110="moeda")+(Inputs!$G$5:$G$110="acoes"))*Inputs!$B$1+((Inputs!$G$5:$G$110&lt;&gt;"moeda")*(Inputs!$G$5:$G$110&lt;&gt;"acoes")))*INDEX(Inputs!$K$5:$AJ$110,0,MATCH(AD$2,Inputs!$K$4:$AJ$4,0)))+SUMPRODUCT((Inputs!$E$5:$E$110=$B16)*Inputs!$F$5:$F$110*(((Inputs!$G$5:$G$110="moeda")+(Inputs!$G$5:$G$110="acoes"))*Inputs!$B$1+((Inputs!$G$5:$G$110&lt;&gt;"moeda")*(Inputs!$G$5:$G$110&lt;&gt;"acoes")))*INDEX(Inputs!$K$5:$AJ$110,0,MATCH(AD$2,Inputs!$K$4:$AJ$4,0)))))</f>
        <v>69175</v>
      </c>
      <c r="AE16" s="6" t="e">
        <f>IF(ISNA(MATCH(AE$2,Inputs!$K$4:$AJ$4,0)),NA(),IF(SUMPRODUCT((Inputs!$A$5:$A$110=$B16)*ISNUMBER(INDEX(Inputs!$K$5:$AJ$110,0,MATCH(AE$2,Inputs!$K$4:$AJ$4,0))))+SUMPRODUCT((Inputs!$C$5:$C$110=$B16)*ISNUMBER(INDEX(Inputs!$K$5:$AJ$110,0,MATCH(AE$2,Inputs!$K$4:$AJ$4,0))))+SUMPRODUCT((Inputs!$E$5:$E$110=$B16)*ISNUMBER(INDEX(Inputs!$K$5:$AJ$110,0,MATCH(AE$2,Inputs!$K$4:$AJ$4,0))))=0,NA(),SUMPRODUCT((Inputs!$A$5:$A$110=$B16)*Inputs!$B$5:$B$110*(((Inputs!$G$5:$G$110="moeda")+(Inputs!$G$5:$G$110="acoes"))*Inputs!$B$1+((Inputs!$G$5:$G$110&lt;&gt;"moeda")*(Inputs!$G$5:$G$110&lt;&gt;"acoes")))*INDEX(Inputs!$K$5:$AJ$110,0,MATCH(AE$2,Inputs!$K$4:$AJ$4,0)))+SUMPRODUCT((Inputs!$C$5:$C$110=$B16)*Inputs!$D$5:$D$110*(((Inputs!$G$5:$G$110="moeda")+(Inputs!$G$5:$G$110="acoes"))*Inputs!$B$1+((Inputs!$G$5:$G$110&lt;&gt;"moeda")*(Inputs!$G$5:$G$110&lt;&gt;"acoes")))*INDEX(Inputs!$K$5:$AJ$110,0,MATCH(AE$2,Inputs!$K$4:$AJ$4,0)))+SUMPRODUCT((Inputs!$E$5:$E$110=$B16)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6" s="6" t="e">
        <f>IF(ISNA(MATCH(AF$2,Inputs!$K$4:$AJ$4,0)),NA(),IF(SUMPRODUCT((Inputs!$A$5:$A$110=$B16)*ISNUMBER(INDEX(Inputs!$K$5:$AJ$110,0,MATCH(AF$2,Inputs!$K$4:$AJ$4,0))))+SUMPRODUCT((Inputs!$C$5:$C$110=$B16)*ISNUMBER(INDEX(Inputs!$K$5:$AJ$110,0,MATCH(AF$2,Inputs!$K$4:$AJ$4,0))))+SUMPRODUCT((Inputs!$E$5:$E$110=$B16)*ISNUMBER(INDEX(Inputs!$K$5:$AJ$110,0,MATCH(AF$2,Inputs!$K$4:$AJ$4,0))))=0,NA(),SUMPRODUCT((Inputs!$A$5:$A$110=$B16)*Inputs!$B$5:$B$110*(((Inputs!$G$5:$G$110="moeda")+(Inputs!$G$5:$G$110="acoes"))*Inputs!$B$1+((Inputs!$G$5:$G$110&lt;&gt;"moeda")*(Inputs!$G$5:$G$110&lt;&gt;"acoes")))*INDEX(Inputs!$K$5:$AJ$110,0,MATCH(AF$2,Inputs!$K$4:$AJ$4,0)))+SUMPRODUCT((Inputs!$C$5:$C$110=$B16)*Inputs!$D$5:$D$110*(((Inputs!$G$5:$G$110="moeda")+(Inputs!$G$5:$G$110="acoes"))*Inputs!$B$1+((Inputs!$G$5:$G$110&lt;&gt;"moeda")*(Inputs!$G$5:$G$110&lt;&gt;"acoes")))*INDEX(Inputs!$K$5:$AJ$110,0,MATCH(AF$2,Inputs!$K$4:$AJ$4,0)))+SUMPRODUCT((Inputs!$E$5:$E$110=$B16)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6" s="3" t="e">
        <f>AF16</f>
        <v>#N/A</v>
      </c>
      <c r="AH16" s="6">
        <f>IF(ISNA(MATCH(AH$2,Inputs!$K$4:$AJ$4,0)),NA(),IF(SUMPRODUCT((Inputs!$A$5:$A$110=$B16)*ISNUMBER(INDEX(Inputs!$K$5:$AJ$110,0,MATCH(AH$2,Inputs!$K$4:$AJ$4,0))))+SUMPRODUCT((Inputs!$C$5:$C$110=$B16)*ISNUMBER(INDEX(Inputs!$K$5:$AJ$110,0,MATCH(AH$2,Inputs!$K$4:$AJ$4,0))))+SUMPRODUCT((Inputs!$E$5:$E$110=$B16)*ISNUMBER(INDEX(Inputs!$K$5:$AJ$110,0,MATCH(AH$2,Inputs!$K$4:$AJ$4,0))))=0,NA(),SUMPRODUCT((Inputs!$A$5:$A$110=$B16)*Inputs!$B$5:$B$110*(((Inputs!$G$5:$G$110="moeda")+(Inputs!$G$5:$G$110="acoes"))*Inputs!$B$1+((Inputs!$G$5:$G$110&lt;&gt;"moeda")*(Inputs!$G$5:$G$110&lt;&gt;"acoes")))*INDEX(Inputs!$K$5:$AJ$110,0,MATCH(AH$2,Inputs!$K$4:$AJ$4,0)))+SUMPRODUCT((Inputs!$C$5:$C$110=$B16)*Inputs!$D$5:$D$110*(((Inputs!$G$5:$G$110="moeda")+(Inputs!$G$5:$G$110="acoes"))*Inputs!$B$1+((Inputs!$G$5:$G$110&lt;&gt;"moeda")*(Inputs!$G$5:$G$110&lt;&gt;"acoes")))*INDEX(Inputs!$K$5:$AJ$110,0,MATCH(AH$2,Inputs!$K$4:$AJ$4,0)))+SUMPRODUCT((Inputs!$E$5:$E$110=$B16)*Inputs!$F$5:$F$110*(((Inputs!$G$5:$G$110="moeda")+(Inputs!$G$5:$G$110="acoes"))*Inputs!$B$1+((Inputs!$G$5:$G$110&lt;&gt;"moeda")*(Inputs!$G$5:$G$110&lt;&gt;"acoes")))*INDEX(Inputs!$K$5:$AJ$110,0,MATCH(AH$2,Inputs!$K$4:$AJ$4,0)))))</f>
        <v>21825</v>
      </c>
      <c r="AI16" s="6">
        <f>IF(ISNA(MATCH(AI$2,Inputs!$K$4:$AJ$4,0)),NA(),IF(SUMPRODUCT((Inputs!$A$5:$A$110=$B16)*ISNUMBER(INDEX(Inputs!$K$5:$AJ$110,0,MATCH(AI$2,Inputs!$K$4:$AJ$4,0))))+SUMPRODUCT((Inputs!$C$5:$C$110=$B16)*ISNUMBER(INDEX(Inputs!$K$5:$AJ$110,0,MATCH(AI$2,Inputs!$K$4:$AJ$4,0))))+SUMPRODUCT((Inputs!$E$5:$E$110=$B16)*ISNUMBER(INDEX(Inputs!$K$5:$AJ$110,0,MATCH(AI$2,Inputs!$K$4:$AJ$4,0))))=0,NA(),SUMPRODUCT((Inputs!$A$5:$A$110=$B16)*Inputs!$B$5:$B$110*(((Inputs!$G$5:$G$110="moeda")+(Inputs!$G$5:$G$110="acoes"))*Inputs!$B$1+((Inputs!$G$5:$G$110&lt;&gt;"moeda")*(Inputs!$G$5:$G$110&lt;&gt;"acoes")))*INDEX(Inputs!$K$5:$AJ$110,0,MATCH(AI$2,Inputs!$K$4:$AJ$4,0)))+SUMPRODUCT((Inputs!$C$5:$C$110=$B16)*Inputs!$D$5:$D$110*(((Inputs!$G$5:$G$110="moeda")+(Inputs!$G$5:$G$110="acoes"))*Inputs!$B$1+((Inputs!$G$5:$G$110&lt;&gt;"moeda")*(Inputs!$G$5:$G$110&lt;&gt;"acoes")))*INDEX(Inputs!$K$5:$AJ$110,0,MATCH(AI$2,Inputs!$K$4:$AJ$4,0)))+SUMPRODUCT((Inputs!$E$5:$E$110=$B16)*Inputs!$F$5:$F$110*(((Inputs!$G$5:$G$110="moeda")+(Inputs!$G$5:$G$110="acoes"))*Inputs!$B$1+((Inputs!$G$5:$G$110&lt;&gt;"moeda")*(Inputs!$G$5:$G$110&lt;&gt;"acoes")))*INDEX(Inputs!$K$5:$AJ$110,0,MATCH(AI$2,Inputs!$K$4:$AJ$4,0)))))</f>
        <v>21201</v>
      </c>
      <c r="AJ16" s="6">
        <f>IF(ISNA(MATCH(AJ$2,Inputs!$K$4:$AJ$4,0)),NA(),IF(SUMPRODUCT((Inputs!$A$5:$A$110=$B16)*ISNUMBER(INDEX(Inputs!$K$5:$AJ$110,0,MATCH(AJ$2,Inputs!$K$4:$AJ$4,0))))+SUMPRODUCT((Inputs!$C$5:$C$110=$B16)*ISNUMBER(INDEX(Inputs!$K$5:$AJ$110,0,MATCH(AJ$2,Inputs!$K$4:$AJ$4,0))))+SUMPRODUCT((Inputs!$E$5:$E$110=$B16)*ISNUMBER(INDEX(Inputs!$K$5:$AJ$110,0,MATCH(AJ$2,Inputs!$K$4:$AJ$4,0))))=0,NA(),SUMPRODUCT((Inputs!$A$5:$A$110=$B16)*Inputs!$B$5:$B$110*(((Inputs!$G$5:$G$110="moeda")+(Inputs!$G$5:$G$110="acoes"))*Inputs!$B$1+((Inputs!$G$5:$G$110&lt;&gt;"moeda")*(Inputs!$G$5:$G$110&lt;&gt;"acoes")))*INDEX(Inputs!$K$5:$AJ$110,0,MATCH(AJ$2,Inputs!$K$4:$AJ$4,0)))+SUMPRODUCT((Inputs!$C$5:$C$110=$B16)*Inputs!$D$5:$D$110*(((Inputs!$G$5:$G$110="moeda")+(Inputs!$G$5:$G$110="acoes"))*Inputs!$B$1+((Inputs!$G$5:$G$110&lt;&gt;"moeda")*(Inputs!$G$5:$G$110&lt;&gt;"acoes")))*INDEX(Inputs!$K$5:$AJ$110,0,MATCH(AJ$2,Inputs!$K$4:$AJ$4,0)))+SUMPRODUCT((Inputs!$E$5:$E$110=$B16)*Inputs!$F$5:$F$110*(((Inputs!$G$5:$G$110="moeda")+(Inputs!$G$5:$G$110="acoes"))*Inputs!$B$1+((Inputs!$G$5:$G$110&lt;&gt;"moeda")*(Inputs!$G$5:$G$110&lt;&gt;"acoes")))*INDEX(Inputs!$K$5:$AJ$110,0,MATCH(AJ$2,Inputs!$K$4:$AJ$4,0)))))</f>
        <v>24925</v>
      </c>
      <c r="AK16" s="6">
        <f>IF(ISNA(MATCH(AK$2,Inputs!$K$4:$AJ$4,0)),NA(),IF(SUMPRODUCT((Inputs!$A$5:$A$110=$B16)*ISNUMBER(INDEX(Inputs!$K$5:$AJ$110,0,MATCH(AK$2,Inputs!$K$4:$AJ$4,0))))+SUMPRODUCT((Inputs!$C$5:$C$110=$B16)*ISNUMBER(INDEX(Inputs!$K$5:$AJ$110,0,MATCH(AK$2,Inputs!$K$4:$AJ$4,0))))+SUMPRODUCT((Inputs!$E$5:$E$110=$B16)*ISNUMBER(INDEX(Inputs!$K$5:$AJ$110,0,MATCH(AK$2,Inputs!$K$4:$AJ$4,0))))=0,NA(),SUMPRODUCT((Inputs!$A$5:$A$110=$B16)*Inputs!$B$5:$B$110*(((Inputs!$G$5:$G$110="moeda")+(Inputs!$G$5:$G$110="acoes"))*Inputs!$B$1+((Inputs!$G$5:$G$110&lt;&gt;"moeda")*(Inputs!$G$5:$G$110&lt;&gt;"acoes")))*INDEX(Inputs!$K$5:$AJ$110,0,MATCH(AK$2,Inputs!$K$4:$AJ$4,0)))+SUMPRODUCT((Inputs!$C$5:$C$110=$B16)*Inputs!$D$5:$D$110*(((Inputs!$G$5:$G$110="moeda")+(Inputs!$G$5:$G$110="acoes"))*Inputs!$B$1+((Inputs!$G$5:$G$110&lt;&gt;"moeda")*(Inputs!$G$5:$G$110&lt;&gt;"acoes")))*INDEX(Inputs!$K$5:$AJ$110,0,MATCH(AK$2,Inputs!$K$4:$AJ$4,0)))+SUMPRODUCT((Inputs!$E$5:$E$110=$B16)*Inputs!$F$5:$F$110*(((Inputs!$G$5:$G$110="moeda")+(Inputs!$G$5:$G$110="acoes"))*Inputs!$B$1+((Inputs!$G$5:$G$110&lt;&gt;"moeda")*(Inputs!$G$5:$G$110&lt;&gt;"acoes")))*INDEX(Inputs!$K$5:$AJ$110,0,MATCH(AK$2,Inputs!$K$4:$AJ$4,0)))))</f>
        <v>30930</v>
      </c>
      <c r="AL16" s="3">
        <f>AK16</f>
        <v>30930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$110=$B17)*ISNUMBER(INDEX(Inputs!$K$5:$AJ$110,0,MATCH(D$2,Inputs!$K$4:$AJ$4,0))))+SUMPRODUCT((Inputs!$C$5:$C$110=$B17)*ISNUMBER(INDEX(Inputs!$K$5:$AJ$110,0,MATCH(D$2,Inputs!$K$4:$AJ$4,0))))+SUMPRODUCT((Inputs!$E$5:$E$110=$B17)*ISNUMBER(INDEX(Inputs!$K$5:$AJ$110,0,MATCH(D$2,Inputs!$K$4:$AJ$4,0))))=0,NA(),SUMPRODUCT((Inputs!$A$5:$A$110=$B17)*Inputs!$B$5:$B$110*(((Inputs!$G$5:$G$110="moeda")+(Inputs!$G$5:$G$110="acoes"))*Inputs!$B$1+((Inputs!$G$5:$G$110&lt;&gt;"moeda")*(Inputs!$G$5:$G$110&lt;&gt;"acoes")))*INDEX(Inputs!$K$5:$AJ$110,0,MATCH(D$2,Inputs!$K$4:$AJ$4,0)))+SUMPRODUCT((Inputs!$C$5:$C$110=$B17)*Inputs!$D$5:$D$110*(((Inputs!$G$5:$G$110="moeda")+(Inputs!$G$5:$G$110="acoes"))*Inputs!$B$1+((Inputs!$G$5:$G$110&lt;&gt;"moeda")*(Inputs!$G$5:$G$110&lt;&gt;"acoes")))*INDEX(Inputs!$K$5:$AJ$110,0,MATCH(D$2,Inputs!$K$4:$AJ$4,0)))+SUMPRODUCT((Inputs!$E$5:$E$110=$B17)*Inputs!$F$5:$F$110*(((Inputs!$G$5:$G$110="moeda")+(Inputs!$G$5:$G$110="acoes"))*Inputs!$B$1+((Inputs!$G$5:$G$110&lt;&gt;"moeda")*(Inputs!$G$5:$G$110&lt;&gt;"acoes")))*INDEX(Inputs!$K$5:$AJ$110,0,MATCH(D$2,Inputs!$K$4:$AJ$4,0)))))</f>
        <v>888</v>
      </c>
      <c r="E17" s="6">
        <f>IF(ISNA(MATCH(E$2,Inputs!$K$4:$AJ$4,0)),NA(),IF(SUMPRODUCT((Inputs!$A$5:$A$110=$B17)*ISNUMBER(INDEX(Inputs!$K$5:$AJ$110,0,MATCH(E$2,Inputs!$K$4:$AJ$4,0))))+SUMPRODUCT((Inputs!$C$5:$C$110=$B17)*ISNUMBER(INDEX(Inputs!$K$5:$AJ$110,0,MATCH(E$2,Inputs!$K$4:$AJ$4,0))))+SUMPRODUCT((Inputs!$E$5:$E$110=$B17)*ISNUMBER(INDEX(Inputs!$K$5:$AJ$110,0,MATCH(E$2,Inputs!$K$4:$AJ$4,0))))=0,NA(),SUMPRODUCT((Inputs!$A$5:$A$110=$B17)*Inputs!$B$5:$B$110*(((Inputs!$G$5:$G$110="moeda")+(Inputs!$G$5:$G$110="acoes"))*Inputs!$B$1+((Inputs!$G$5:$G$110&lt;&gt;"moeda")*(Inputs!$G$5:$G$110&lt;&gt;"acoes")))*INDEX(Inputs!$K$5:$AJ$110,0,MATCH(E$2,Inputs!$K$4:$AJ$4,0)))+SUMPRODUCT((Inputs!$C$5:$C$110=$B17)*Inputs!$D$5:$D$110*(((Inputs!$G$5:$G$110="moeda")+(Inputs!$G$5:$G$110="acoes"))*Inputs!$B$1+((Inputs!$G$5:$G$110&lt;&gt;"moeda")*(Inputs!$G$5:$G$110&lt;&gt;"acoes")))*INDEX(Inputs!$K$5:$AJ$110,0,MATCH(E$2,Inputs!$K$4:$AJ$4,0)))+SUMPRODUCT((Inputs!$E$5:$E$110=$B17)*Inputs!$F$5:$F$110*(((Inputs!$G$5:$G$110="moeda")+(Inputs!$G$5:$G$110="acoes"))*Inputs!$B$1+((Inputs!$G$5:$G$110&lt;&gt;"moeda")*(Inputs!$G$5:$G$110&lt;&gt;"acoes")))*INDEX(Inputs!$K$5:$AJ$110,0,MATCH(E$2,Inputs!$K$4:$AJ$4,0)))))</f>
        <v>907</v>
      </c>
      <c r="F17" s="6">
        <f>IF(ISNA(MATCH(F$2,Inputs!$K$4:$AJ$4,0)),NA(),IF(SUMPRODUCT((Inputs!$A$5:$A$110=$B17)*ISNUMBER(INDEX(Inputs!$K$5:$AJ$110,0,MATCH(F$2,Inputs!$K$4:$AJ$4,0))))+SUMPRODUCT((Inputs!$C$5:$C$110=$B17)*ISNUMBER(INDEX(Inputs!$K$5:$AJ$110,0,MATCH(F$2,Inputs!$K$4:$AJ$4,0))))+SUMPRODUCT((Inputs!$E$5:$E$110=$B17)*ISNUMBER(INDEX(Inputs!$K$5:$AJ$110,0,MATCH(F$2,Inputs!$K$4:$AJ$4,0))))=0,NA(),SUMPRODUCT((Inputs!$A$5:$A$110=$B17)*Inputs!$B$5:$B$110*(((Inputs!$G$5:$G$110="moeda")+(Inputs!$G$5:$G$110="acoes"))*Inputs!$B$1+((Inputs!$G$5:$G$110&lt;&gt;"moeda")*(Inputs!$G$5:$G$110&lt;&gt;"acoes")))*INDEX(Inputs!$K$5:$AJ$110,0,MATCH(F$2,Inputs!$K$4:$AJ$4,0)))+SUMPRODUCT((Inputs!$C$5:$C$110=$B17)*Inputs!$D$5:$D$110*(((Inputs!$G$5:$G$110="moeda")+(Inputs!$G$5:$G$110="acoes"))*Inputs!$B$1+((Inputs!$G$5:$G$110&lt;&gt;"moeda")*(Inputs!$G$5:$G$110&lt;&gt;"acoes")))*INDEX(Inputs!$K$5:$AJ$110,0,MATCH(F$2,Inputs!$K$4:$AJ$4,0)))+SUMPRODUCT((Inputs!$E$5:$E$110=$B17)*Inputs!$F$5:$F$110*(((Inputs!$G$5:$G$110="moeda")+(Inputs!$G$5:$G$110="acoes"))*Inputs!$B$1+((Inputs!$G$5:$G$110&lt;&gt;"moeda")*(Inputs!$G$5:$G$110&lt;&gt;"acoes")))*INDEX(Inputs!$K$5:$AJ$110,0,MATCH(F$2,Inputs!$K$4:$AJ$4,0)))))</f>
        <v>1278</v>
      </c>
      <c r="G17" s="6">
        <f>IF(ISNA(MATCH(G$2,Inputs!$K$4:$AJ$4,0)),NA(),IF(SUMPRODUCT((Inputs!$A$5:$A$110=$B17)*ISNUMBER(INDEX(Inputs!$K$5:$AJ$110,0,MATCH(G$2,Inputs!$K$4:$AJ$4,0))))+SUMPRODUCT((Inputs!$C$5:$C$110=$B17)*ISNUMBER(INDEX(Inputs!$K$5:$AJ$110,0,MATCH(G$2,Inputs!$K$4:$AJ$4,0))))+SUMPRODUCT((Inputs!$E$5:$E$110=$B17)*ISNUMBER(INDEX(Inputs!$K$5:$AJ$110,0,MATCH(G$2,Inputs!$K$4:$AJ$4,0))))=0,NA(),SUMPRODUCT((Inputs!$A$5:$A$110=$B17)*Inputs!$B$5:$B$110*(((Inputs!$G$5:$G$110="moeda")+(Inputs!$G$5:$G$110="acoes"))*Inputs!$B$1+((Inputs!$G$5:$G$110&lt;&gt;"moeda")*(Inputs!$G$5:$G$110&lt;&gt;"acoes")))*INDEX(Inputs!$K$5:$AJ$110,0,MATCH(G$2,Inputs!$K$4:$AJ$4,0)))+SUMPRODUCT((Inputs!$C$5:$C$110=$B17)*Inputs!$D$5:$D$110*(((Inputs!$G$5:$G$110="moeda")+(Inputs!$G$5:$G$110="acoes"))*Inputs!$B$1+((Inputs!$G$5:$G$110&lt;&gt;"moeda")*(Inputs!$G$5:$G$110&lt;&gt;"acoes")))*INDEX(Inputs!$K$5:$AJ$110,0,MATCH(G$2,Inputs!$K$4:$AJ$4,0)))+SUMPRODUCT((Inputs!$E$5:$E$110=$B17)*Inputs!$F$5:$F$110*(((Inputs!$G$5:$G$110="moeda")+(Inputs!$G$5:$G$110="acoes"))*Inputs!$B$1+((Inputs!$G$5:$G$110&lt;&gt;"moeda")*(Inputs!$G$5:$G$110&lt;&gt;"acoes")))*INDEX(Inputs!$K$5:$AJ$110,0,MATCH(G$2,Inputs!$K$4:$AJ$4,0)))))</f>
        <v>1170</v>
      </c>
      <c r="H17" s="3">
        <f>G17</f>
        <v>1170</v>
      </c>
      <c r="I17" s="6">
        <f>IF(ISNA(MATCH(I$2,Inputs!$K$4:$AJ$4,0)),NA(),IF(SUMPRODUCT((Inputs!$A$5:$A$110=$B17)*ISNUMBER(INDEX(Inputs!$K$5:$AJ$110,0,MATCH(I$2,Inputs!$K$4:$AJ$4,0))))+SUMPRODUCT((Inputs!$C$5:$C$110=$B17)*ISNUMBER(INDEX(Inputs!$K$5:$AJ$110,0,MATCH(I$2,Inputs!$K$4:$AJ$4,0))))+SUMPRODUCT((Inputs!$E$5:$E$110=$B17)*ISNUMBER(INDEX(Inputs!$K$5:$AJ$110,0,MATCH(I$2,Inputs!$K$4:$AJ$4,0))))=0,NA(),SUMPRODUCT((Inputs!$A$5:$A$110=$B17)*Inputs!$B$5:$B$110*(((Inputs!$G$5:$G$110="moeda")+(Inputs!$G$5:$G$110="acoes"))*Inputs!$B$1+((Inputs!$G$5:$G$110&lt;&gt;"moeda")*(Inputs!$G$5:$G$110&lt;&gt;"acoes")))*INDEX(Inputs!$K$5:$AJ$110,0,MATCH(I$2,Inputs!$K$4:$AJ$4,0)))+SUMPRODUCT((Inputs!$C$5:$C$110=$B17)*Inputs!$D$5:$D$110*(((Inputs!$G$5:$G$110="moeda")+(Inputs!$G$5:$G$110="acoes"))*Inputs!$B$1+((Inputs!$G$5:$G$110&lt;&gt;"moeda")*(Inputs!$G$5:$G$110&lt;&gt;"acoes")))*INDEX(Inputs!$K$5:$AJ$110,0,MATCH(I$2,Inputs!$K$4:$AJ$4,0)))+SUMPRODUCT((Inputs!$E$5:$E$110=$B17)*Inputs!$F$5:$F$110*(((Inputs!$G$5:$G$110="moeda")+(Inputs!$G$5:$G$110="acoes"))*Inputs!$B$1+((Inputs!$G$5:$G$110&lt;&gt;"moeda")*(Inputs!$G$5:$G$110&lt;&gt;"acoes")))*INDEX(Inputs!$K$5:$AJ$110,0,MATCH(I$2,Inputs!$K$4:$AJ$4,0)))))</f>
        <v>1369</v>
      </c>
      <c r="J17" s="6">
        <f>IF(ISNA(MATCH(J$2,Inputs!$K$4:$AJ$4,0)),NA(),IF(SUMPRODUCT((Inputs!$A$5:$A$110=$B17)*ISNUMBER(INDEX(Inputs!$K$5:$AJ$110,0,MATCH(J$2,Inputs!$K$4:$AJ$4,0))))+SUMPRODUCT((Inputs!$C$5:$C$110=$B17)*ISNUMBER(INDEX(Inputs!$K$5:$AJ$110,0,MATCH(J$2,Inputs!$K$4:$AJ$4,0))))+SUMPRODUCT((Inputs!$E$5:$E$110=$B17)*ISNUMBER(INDEX(Inputs!$K$5:$AJ$110,0,MATCH(J$2,Inputs!$K$4:$AJ$4,0))))=0,NA(),SUMPRODUCT((Inputs!$A$5:$A$110=$B17)*Inputs!$B$5:$B$110*(((Inputs!$G$5:$G$110="moeda")+(Inputs!$G$5:$G$110="acoes"))*Inputs!$B$1+((Inputs!$G$5:$G$110&lt;&gt;"moeda")*(Inputs!$G$5:$G$110&lt;&gt;"acoes")))*INDEX(Inputs!$K$5:$AJ$110,0,MATCH(J$2,Inputs!$K$4:$AJ$4,0)))+SUMPRODUCT((Inputs!$C$5:$C$110=$B17)*Inputs!$D$5:$D$110*(((Inputs!$G$5:$G$110="moeda")+(Inputs!$G$5:$G$110="acoes"))*Inputs!$B$1+((Inputs!$G$5:$G$110&lt;&gt;"moeda")*(Inputs!$G$5:$G$110&lt;&gt;"acoes")))*INDEX(Inputs!$K$5:$AJ$110,0,MATCH(J$2,Inputs!$K$4:$AJ$4,0)))+SUMPRODUCT((Inputs!$E$5:$E$110=$B17)*Inputs!$F$5:$F$110*(((Inputs!$G$5:$G$110="moeda")+(Inputs!$G$5:$G$110="acoes"))*Inputs!$B$1+((Inputs!$G$5:$G$110&lt;&gt;"moeda")*(Inputs!$G$5:$G$110&lt;&gt;"acoes")))*INDEX(Inputs!$K$5:$AJ$110,0,MATCH(J$2,Inputs!$K$4:$AJ$4,0)))))</f>
        <v>1980</v>
      </c>
      <c r="K17" s="6">
        <f>IF(ISNA(MATCH(K$2,Inputs!$K$4:$AJ$4,0)),NA(),IF(SUMPRODUCT((Inputs!$A$5:$A$110=$B17)*ISNUMBER(INDEX(Inputs!$K$5:$AJ$110,0,MATCH(K$2,Inputs!$K$4:$AJ$4,0))))+SUMPRODUCT((Inputs!$C$5:$C$110=$B17)*ISNUMBER(INDEX(Inputs!$K$5:$AJ$110,0,MATCH(K$2,Inputs!$K$4:$AJ$4,0))))+SUMPRODUCT((Inputs!$E$5:$E$110=$B17)*ISNUMBER(INDEX(Inputs!$K$5:$AJ$110,0,MATCH(K$2,Inputs!$K$4:$AJ$4,0))))=0,NA(),SUMPRODUCT((Inputs!$A$5:$A$110=$B17)*Inputs!$B$5:$B$110*(((Inputs!$G$5:$G$110="moeda")+(Inputs!$G$5:$G$110="acoes"))*Inputs!$B$1+((Inputs!$G$5:$G$110&lt;&gt;"moeda")*(Inputs!$G$5:$G$110&lt;&gt;"acoes")))*INDEX(Inputs!$K$5:$AJ$110,0,MATCH(K$2,Inputs!$K$4:$AJ$4,0)))+SUMPRODUCT((Inputs!$C$5:$C$110=$B17)*Inputs!$D$5:$D$110*(((Inputs!$G$5:$G$110="moeda")+(Inputs!$G$5:$G$110="acoes"))*Inputs!$B$1+((Inputs!$G$5:$G$110&lt;&gt;"moeda")*(Inputs!$G$5:$G$110&lt;&gt;"acoes")))*INDEX(Inputs!$K$5:$AJ$110,0,MATCH(K$2,Inputs!$K$4:$AJ$4,0)))+SUMPRODUCT((Inputs!$E$5:$E$110=$B17)*Inputs!$F$5:$F$110*(((Inputs!$G$5:$G$110="moeda")+(Inputs!$G$5:$G$110="acoes"))*Inputs!$B$1+((Inputs!$G$5:$G$110&lt;&gt;"moeda")*(Inputs!$G$5:$G$110&lt;&gt;"acoes")))*INDEX(Inputs!$K$5:$AJ$110,0,MATCH(K$2,Inputs!$K$4:$AJ$4,0)))))</f>
        <v>3156</v>
      </c>
      <c r="L17" s="6">
        <f>IF(ISNA(MATCH(L$2,Inputs!$K$4:$AJ$4,0)),NA(),IF(SUMPRODUCT((Inputs!$A$5:$A$110=$B17)*ISNUMBER(INDEX(Inputs!$K$5:$AJ$110,0,MATCH(L$2,Inputs!$K$4:$AJ$4,0))))+SUMPRODUCT((Inputs!$C$5:$C$110=$B17)*ISNUMBER(INDEX(Inputs!$K$5:$AJ$110,0,MATCH(L$2,Inputs!$K$4:$AJ$4,0))))+SUMPRODUCT((Inputs!$E$5:$E$110=$B17)*ISNUMBER(INDEX(Inputs!$K$5:$AJ$110,0,MATCH(L$2,Inputs!$K$4:$AJ$4,0))))=0,NA(),SUMPRODUCT((Inputs!$A$5:$A$110=$B17)*Inputs!$B$5:$B$110*(((Inputs!$G$5:$G$110="moeda")+(Inputs!$G$5:$G$110="acoes"))*Inputs!$B$1+((Inputs!$G$5:$G$110&lt;&gt;"moeda")*(Inputs!$G$5:$G$110&lt;&gt;"acoes")))*INDEX(Inputs!$K$5:$AJ$110,0,MATCH(L$2,Inputs!$K$4:$AJ$4,0)))+SUMPRODUCT((Inputs!$C$5:$C$110=$B17)*Inputs!$D$5:$D$110*(((Inputs!$G$5:$G$110="moeda")+(Inputs!$G$5:$G$110="acoes"))*Inputs!$B$1+((Inputs!$G$5:$G$110&lt;&gt;"moeda")*(Inputs!$G$5:$G$110&lt;&gt;"acoes")))*INDEX(Inputs!$K$5:$AJ$110,0,MATCH(L$2,Inputs!$K$4:$AJ$4,0)))+SUMPRODUCT((Inputs!$E$5:$E$110=$B17)*Inputs!$F$5:$F$110*(((Inputs!$G$5:$G$110="moeda")+(Inputs!$G$5:$G$110="acoes"))*Inputs!$B$1+((Inputs!$G$5:$G$110&lt;&gt;"moeda")*(Inputs!$G$5:$G$110&lt;&gt;"acoes")))*INDEX(Inputs!$K$5:$AJ$110,0,MATCH(L$2,Inputs!$K$4:$AJ$4,0)))))</f>
        <v>2670</v>
      </c>
      <c r="M17" s="3">
        <f>L17</f>
        <v>2670</v>
      </c>
      <c r="N17" s="6">
        <f>IF(ISNA(MATCH(N$2,Inputs!$K$4:$AJ$4,0)),NA(),IF(SUMPRODUCT((Inputs!$A$5:$A$110=$B17)*ISNUMBER(INDEX(Inputs!$K$5:$AJ$110,0,MATCH(N$2,Inputs!$K$4:$AJ$4,0))))+SUMPRODUCT((Inputs!$C$5:$C$110=$B17)*ISNUMBER(INDEX(Inputs!$K$5:$AJ$110,0,MATCH(N$2,Inputs!$K$4:$AJ$4,0))))+SUMPRODUCT((Inputs!$E$5:$E$110=$B17)*ISNUMBER(INDEX(Inputs!$K$5:$AJ$110,0,MATCH(N$2,Inputs!$K$4:$AJ$4,0))))=0,NA(),SUMPRODUCT((Inputs!$A$5:$A$110=$B17)*Inputs!$B$5:$B$110*(((Inputs!$G$5:$G$110="moeda")+(Inputs!$G$5:$G$110="acoes"))*Inputs!$B$1+((Inputs!$G$5:$G$110&lt;&gt;"moeda")*(Inputs!$G$5:$G$110&lt;&gt;"acoes")))*INDEX(Inputs!$K$5:$AJ$110,0,MATCH(N$2,Inputs!$K$4:$AJ$4,0)))+SUMPRODUCT((Inputs!$C$5:$C$110=$B17)*Inputs!$D$5:$D$110*(((Inputs!$G$5:$G$110="moeda")+(Inputs!$G$5:$G$110="acoes"))*Inputs!$B$1+((Inputs!$G$5:$G$110&lt;&gt;"moeda")*(Inputs!$G$5:$G$110&lt;&gt;"acoes")))*INDEX(Inputs!$K$5:$AJ$110,0,MATCH(N$2,Inputs!$K$4:$AJ$4,0)))+SUMPRODUCT((Inputs!$E$5:$E$110=$B17)*Inputs!$F$5:$F$110*(((Inputs!$G$5:$G$110="moeda")+(Inputs!$G$5:$G$110="acoes"))*Inputs!$B$1+((Inputs!$G$5:$G$110&lt;&gt;"moeda")*(Inputs!$G$5:$G$110&lt;&gt;"acoes")))*INDEX(Inputs!$K$5:$AJ$110,0,MATCH(N$2,Inputs!$K$4:$AJ$4,0)))))</f>
        <v>2315</v>
      </c>
      <c r="O17" s="6">
        <f>IF(ISNA(MATCH(O$2,Inputs!$K$4:$AJ$4,0)),NA(),IF(SUMPRODUCT((Inputs!$A$5:$A$110=$B17)*ISNUMBER(INDEX(Inputs!$K$5:$AJ$110,0,MATCH(O$2,Inputs!$K$4:$AJ$4,0))))+SUMPRODUCT((Inputs!$C$5:$C$110=$B17)*ISNUMBER(INDEX(Inputs!$K$5:$AJ$110,0,MATCH(O$2,Inputs!$K$4:$AJ$4,0))))+SUMPRODUCT((Inputs!$E$5:$E$110=$B17)*ISNUMBER(INDEX(Inputs!$K$5:$AJ$110,0,MATCH(O$2,Inputs!$K$4:$AJ$4,0))))=0,NA(),SUMPRODUCT((Inputs!$A$5:$A$110=$B17)*Inputs!$B$5:$B$110*(((Inputs!$G$5:$G$110="moeda")+(Inputs!$G$5:$G$110="acoes"))*Inputs!$B$1+((Inputs!$G$5:$G$110&lt;&gt;"moeda")*(Inputs!$G$5:$G$110&lt;&gt;"acoes")))*INDEX(Inputs!$K$5:$AJ$110,0,MATCH(O$2,Inputs!$K$4:$AJ$4,0)))+SUMPRODUCT((Inputs!$C$5:$C$110=$B17)*Inputs!$D$5:$D$110*(((Inputs!$G$5:$G$110="moeda")+(Inputs!$G$5:$G$110="acoes"))*Inputs!$B$1+((Inputs!$G$5:$G$110&lt;&gt;"moeda")*(Inputs!$G$5:$G$110&lt;&gt;"acoes")))*INDEX(Inputs!$K$5:$AJ$110,0,MATCH(O$2,Inputs!$K$4:$AJ$4,0)))+SUMPRODUCT((Inputs!$E$5:$E$110=$B17)*Inputs!$F$5:$F$110*(((Inputs!$G$5:$G$110="moeda")+(Inputs!$G$5:$G$110="acoes"))*Inputs!$B$1+((Inputs!$G$5:$G$110&lt;&gt;"moeda")*(Inputs!$G$5:$G$110&lt;&gt;"acoes")))*INDEX(Inputs!$K$5:$AJ$110,0,MATCH(O$2,Inputs!$K$4:$AJ$4,0)))))</f>
        <v>2231</v>
      </c>
      <c r="P17" s="6">
        <f>IF(ISNA(MATCH(P$2,Inputs!$K$4:$AJ$4,0)),NA(),IF(SUMPRODUCT((Inputs!$A$5:$A$110=$B17)*ISNUMBER(INDEX(Inputs!$K$5:$AJ$110,0,MATCH(P$2,Inputs!$K$4:$AJ$4,0))))+SUMPRODUCT((Inputs!$C$5:$C$110=$B17)*ISNUMBER(INDEX(Inputs!$K$5:$AJ$110,0,MATCH(P$2,Inputs!$K$4:$AJ$4,0))))+SUMPRODUCT((Inputs!$E$5:$E$110=$B17)*ISNUMBER(INDEX(Inputs!$K$5:$AJ$110,0,MATCH(P$2,Inputs!$K$4:$AJ$4,0))))=0,NA(),SUMPRODUCT((Inputs!$A$5:$A$110=$B17)*Inputs!$B$5:$B$110*(((Inputs!$G$5:$G$110="moeda")+(Inputs!$G$5:$G$110="acoes"))*Inputs!$B$1+((Inputs!$G$5:$G$110&lt;&gt;"moeda")*(Inputs!$G$5:$G$110&lt;&gt;"acoes")))*INDEX(Inputs!$K$5:$AJ$110,0,MATCH(P$2,Inputs!$K$4:$AJ$4,0)))+SUMPRODUCT((Inputs!$C$5:$C$110=$B17)*Inputs!$D$5:$D$110*(((Inputs!$G$5:$G$110="moeda")+(Inputs!$G$5:$G$110="acoes"))*Inputs!$B$1+((Inputs!$G$5:$G$110&lt;&gt;"moeda")*(Inputs!$G$5:$G$110&lt;&gt;"acoes")))*INDEX(Inputs!$K$5:$AJ$110,0,MATCH(P$2,Inputs!$K$4:$AJ$4,0)))+SUMPRODUCT((Inputs!$E$5:$E$110=$B17)*Inputs!$F$5:$F$110*(((Inputs!$G$5:$G$110="moeda")+(Inputs!$G$5:$G$110="acoes"))*Inputs!$B$1+((Inputs!$G$5:$G$110&lt;&gt;"moeda")*(Inputs!$G$5:$G$110&lt;&gt;"acoes")))*INDEX(Inputs!$K$5:$AJ$110,0,MATCH(P$2,Inputs!$K$4:$AJ$4,0)))))</f>
        <v>2957</v>
      </c>
      <c r="Q17" s="6">
        <f>IF(ISNA(MATCH(Q$2,Inputs!$K$4:$AJ$4,0)),NA(),IF(SUMPRODUCT((Inputs!$A$5:$A$110=$B17)*ISNUMBER(INDEX(Inputs!$K$5:$AJ$110,0,MATCH(Q$2,Inputs!$K$4:$AJ$4,0))))+SUMPRODUCT((Inputs!$C$5:$C$110=$B17)*ISNUMBER(INDEX(Inputs!$K$5:$AJ$110,0,MATCH(Q$2,Inputs!$K$4:$AJ$4,0))))+SUMPRODUCT((Inputs!$E$5:$E$110=$B17)*ISNUMBER(INDEX(Inputs!$K$5:$AJ$110,0,MATCH(Q$2,Inputs!$K$4:$AJ$4,0))))=0,NA(),SUMPRODUCT((Inputs!$A$5:$A$110=$B17)*Inputs!$B$5:$B$110*(((Inputs!$G$5:$G$110="moeda")+(Inputs!$G$5:$G$110="acoes"))*Inputs!$B$1+((Inputs!$G$5:$G$110&lt;&gt;"moeda")*(Inputs!$G$5:$G$110&lt;&gt;"acoes")))*INDEX(Inputs!$K$5:$AJ$110,0,MATCH(Q$2,Inputs!$K$4:$AJ$4,0)))+SUMPRODUCT((Inputs!$C$5:$C$110=$B17)*Inputs!$D$5:$D$110*(((Inputs!$G$5:$G$110="moeda")+(Inputs!$G$5:$G$110="acoes"))*Inputs!$B$1+((Inputs!$G$5:$G$110&lt;&gt;"moeda")*(Inputs!$G$5:$G$110&lt;&gt;"acoes")))*INDEX(Inputs!$K$5:$AJ$110,0,MATCH(Q$2,Inputs!$K$4:$AJ$4,0)))+SUMPRODUCT((Inputs!$E$5:$E$110=$B17)*Inputs!$F$5:$F$110*(((Inputs!$G$5:$G$110="moeda")+(Inputs!$G$5:$G$110="acoes"))*Inputs!$B$1+((Inputs!$G$5:$G$110&lt;&gt;"moeda")*(Inputs!$G$5:$G$110&lt;&gt;"acoes")))*INDEX(Inputs!$K$5:$AJ$110,0,MATCH(Q$2,Inputs!$K$4:$AJ$4,0)))))</f>
        <v>0</v>
      </c>
      <c r="R17" s="3">
        <f>Q17</f>
        <v>0</v>
      </c>
      <c r="S17" s="6">
        <f>IF(ISNA(MATCH(S$2,Inputs!$K$4:$AJ$4,0)),NA(),IF(SUMPRODUCT((Inputs!$A$5:$A$110=$B17)*ISNUMBER(INDEX(Inputs!$K$5:$AJ$110,0,MATCH(S$2,Inputs!$K$4:$AJ$4,0))))+SUMPRODUCT((Inputs!$C$5:$C$110=$B17)*ISNUMBER(INDEX(Inputs!$K$5:$AJ$110,0,MATCH(S$2,Inputs!$K$4:$AJ$4,0))))+SUMPRODUCT((Inputs!$E$5:$E$110=$B17)*ISNUMBER(INDEX(Inputs!$K$5:$AJ$110,0,MATCH(S$2,Inputs!$K$4:$AJ$4,0))))=0,NA(),SUMPRODUCT((Inputs!$A$5:$A$110=$B17)*Inputs!$B$5:$B$110*(((Inputs!$G$5:$G$110="moeda")+(Inputs!$G$5:$G$110="acoes"))*Inputs!$B$1+((Inputs!$G$5:$G$110&lt;&gt;"moeda")*(Inputs!$G$5:$G$110&lt;&gt;"acoes")))*INDEX(Inputs!$K$5:$AJ$110,0,MATCH(S$2,Inputs!$K$4:$AJ$4,0)))+SUMPRODUCT((Inputs!$C$5:$C$110=$B17)*Inputs!$D$5:$D$110*(((Inputs!$G$5:$G$110="moeda")+(Inputs!$G$5:$G$110="acoes"))*Inputs!$B$1+((Inputs!$G$5:$G$110&lt;&gt;"moeda")*(Inputs!$G$5:$G$110&lt;&gt;"acoes")))*INDEX(Inputs!$K$5:$AJ$110,0,MATCH(S$2,Inputs!$K$4:$AJ$4,0)))+SUMPRODUCT((Inputs!$E$5:$E$110=$B17)*Inputs!$F$5:$F$110*(((Inputs!$G$5:$G$110="moeda")+(Inputs!$G$5:$G$110="acoes"))*Inputs!$B$1+((Inputs!$G$5:$G$110&lt;&gt;"moeda")*(Inputs!$G$5:$G$110&lt;&gt;"acoes")))*INDEX(Inputs!$K$5:$AJ$110,0,MATCH(S$2,Inputs!$K$4:$AJ$4,0)))))</f>
        <v>0</v>
      </c>
      <c r="T17" s="6">
        <f>IF(ISNA(MATCH(T$2,Inputs!$K$4:$AJ$4,0)),NA(),IF(SUMPRODUCT((Inputs!$A$5:$A$110=$B17)*ISNUMBER(INDEX(Inputs!$K$5:$AJ$110,0,MATCH(T$2,Inputs!$K$4:$AJ$4,0))))+SUMPRODUCT((Inputs!$C$5:$C$110=$B17)*ISNUMBER(INDEX(Inputs!$K$5:$AJ$110,0,MATCH(T$2,Inputs!$K$4:$AJ$4,0))))+SUMPRODUCT((Inputs!$E$5:$E$110=$B17)*ISNUMBER(INDEX(Inputs!$K$5:$AJ$110,0,MATCH(T$2,Inputs!$K$4:$AJ$4,0))))=0,NA(),SUMPRODUCT((Inputs!$A$5:$A$110=$B17)*Inputs!$B$5:$B$110*(((Inputs!$G$5:$G$110="moeda")+(Inputs!$G$5:$G$110="acoes"))*Inputs!$B$1+((Inputs!$G$5:$G$110&lt;&gt;"moeda")*(Inputs!$G$5:$G$110&lt;&gt;"acoes")))*INDEX(Inputs!$K$5:$AJ$110,0,MATCH(T$2,Inputs!$K$4:$AJ$4,0)))+SUMPRODUCT((Inputs!$C$5:$C$110=$B17)*Inputs!$D$5:$D$110*(((Inputs!$G$5:$G$110="moeda")+(Inputs!$G$5:$G$110="acoes"))*Inputs!$B$1+((Inputs!$G$5:$G$110&lt;&gt;"moeda")*(Inputs!$G$5:$G$110&lt;&gt;"acoes")))*INDEX(Inputs!$K$5:$AJ$110,0,MATCH(T$2,Inputs!$K$4:$AJ$4,0)))+SUMPRODUCT((Inputs!$E$5:$E$110=$B17)*Inputs!$F$5:$F$110*(((Inputs!$G$5:$G$110="moeda")+(Inputs!$G$5:$G$110="acoes"))*Inputs!$B$1+((Inputs!$G$5:$G$110&lt;&gt;"moeda")*(Inputs!$G$5:$G$110&lt;&gt;"acoes")))*INDEX(Inputs!$K$5:$AJ$110,0,MATCH(T$2,Inputs!$K$4:$AJ$4,0)))))</f>
        <v>0</v>
      </c>
      <c r="U17" s="6">
        <f>IF(ISNA(MATCH(U$2,Inputs!$K$4:$AJ$4,0)),NA(),IF(SUMPRODUCT((Inputs!$A$5:$A$110=$B17)*ISNUMBER(INDEX(Inputs!$K$5:$AJ$110,0,MATCH(U$2,Inputs!$K$4:$AJ$4,0))))+SUMPRODUCT((Inputs!$C$5:$C$110=$B17)*ISNUMBER(INDEX(Inputs!$K$5:$AJ$110,0,MATCH(U$2,Inputs!$K$4:$AJ$4,0))))+SUMPRODUCT((Inputs!$E$5:$E$110=$B17)*ISNUMBER(INDEX(Inputs!$K$5:$AJ$110,0,MATCH(U$2,Inputs!$K$4:$AJ$4,0))))=0,NA(),SUMPRODUCT((Inputs!$A$5:$A$110=$B17)*Inputs!$B$5:$B$110*(((Inputs!$G$5:$G$110="moeda")+(Inputs!$G$5:$G$110="acoes"))*Inputs!$B$1+((Inputs!$G$5:$G$110&lt;&gt;"moeda")*(Inputs!$G$5:$G$110&lt;&gt;"acoes")))*INDEX(Inputs!$K$5:$AJ$110,0,MATCH(U$2,Inputs!$K$4:$AJ$4,0)))+SUMPRODUCT((Inputs!$C$5:$C$110=$B17)*Inputs!$D$5:$D$110*(((Inputs!$G$5:$G$110="moeda")+(Inputs!$G$5:$G$110="acoes"))*Inputs!$B$1+((Inputs!$G$5:$G$110&lt;&gt;"moeda")*(Inputs!$G$5:$G$110&lt;&gt;"acoes")))*INDEX(Inputs!$K$5:$AJ$110,0,MATCH(U$2,Inputs!$K$4:$AJ$4,0)))+SUMPRODUCT((Inputs!$E$5:$E$110=$B17)*Inputs!$F$5:$F$110*(((Inputs!$G$5:$G$110="moeda")+(Inputs!$G$5:$G$110="acoes"))*Inputs!$B$1+((Inputs!$G$5:$G$110&lt;&gt;"moeda")*(Inputs!$G$5:$G$110&lt;&gt;"acoes")))*INDEX(Inputs!$K$5:$AJ$110,0,MATCH(U$2,Inputs!$K$4:$AJ$4,0)))))</f>
        <v>0</v>
      </c>
      <c r="V17" s="6">
        <f>IF(ISNA(MATCH(V$2,Inputs!$K$4:$AJ$4,0)),NA(),IF(SUMPRODUCT((Inputs!$A$5:$A$110=$B17)*ISNUMBER(INDEX(Inputs!$K$5:$AJ$110,0,MATCH(V$2,Inputs!$K$4:$AJ$4,0))))+SUMPRODUCT((Inputs!$C$5:$C$110=$B17)*ISNUMBER(INDEX(Inputs!$K$5:$AJ$110,0,MATCH(V$2,Inputs!$K$4:$AJ$4,0))))+SUMPRODUCT((Inputs!$E$5:$E$110=$B17)*ISNUMBER(INDEX(Inputs!$K$5:$AJ$110,0,MATCH(V$2,Inputs!$K$4:$AJ$4,0))))=0,NA(),SUMPRODUCT((Inputs!$A$5:$A$110=$B17)*Inputs!$B$5:$B$110*(((Inputs!$G$5:$G$110="moeda")+(Inputs!$G$5:$G$110="acoes"))*Inputs!$B$1+((Inputs!$G$5:$G$110&lt;&gt;"moeda")*(Inputs!$G$5:$G$110&lt;&gt;"acoes")))*INDEX(Inputs!$K$5:$AJ$110,0,MATCH(V$2,Inputs!$K$4:$AJ$4,0)))+SUMPRODUCT((Inputs!$C$5:$C$110=$B17)*Inputs!$D$5:$D$110*(((Inputs!$G$5:$G$110="moeda")+(Inputs!$G$5:$G$110="acoes"))*Inputs!$B$1+((Inputs!$G$5:$G$110&lt;&gt;"moeda")*(Inputs!$G$5:$G$110&lt;&gt;"acoes")))*INDEX(Inputs!$K$5:$AJ$110,0,MATCH(V$2,Inputs!$K$4:$AJ$4,0)))+SUMPRODUCT((Inputs!$E$5:$E$110=$B17)*Inputs!$F$5:$F$110*(((Inputs!$G$5:$G$110="moeda")+(Inputs!$G$5:$G$110="acoes"))*Inputs!$B$1+((Inputs!$G$5:$G$110&lt;&gt;"moeda")*(Inputs!$G$5:$G$110&lt;&gt;"acoes")))*INDEX(Inputs!$K$5:$AJ$110,0,MATCH(V$2,Inputs!$K$4:$AJ$4,0)))))</f>
        <v>0</v>
      </c>
      <c r="W17" s="3">
        <f>V17</f>
        <v>0</v>
      </c>
      <c r="X17" s="6">
        <f>IF(ISNA(MATCH(X$2,Inputs!$K$4:$AJ$4,0)),NA(),IF(SUMPRODUCT((Inputs!$A$5:$A$110=$B17)*ISNUMBER(INDEX(Inputs!$K$5:$AJ$110,0,MATCH(X$2,Inputs!$K$4:$AJ$4,0))))+SUMPRODUCT((Inputs!$C$5:$C$110=$B17)*ISNUMBER(INDEX(Inputs!$K$5:$AJ$110,0,MATCH(X$2,Inputs!$K$4:$AJ$4,0))))+SUMPRODUCT((Inputs!$E$5:$E$110=$B17)*ISNUMBER(INDEX(Inputs!$K$5:$AJ$110,0,MATCH(X$2,Inputs!$K$4:$AJ$4,0))))=0,NA(),SUMPRODUCT((Inputs!$A$5:$A$110=$B17)*Inputs!$B$5:$B$110*(((Inputs!$G$5:$G$110="moeda")+(Inputs!$G$5:$G$110="acoes"))*Inputs!$B$1+((Inputs!$G$5:$G$110&lt;&gt;"moeda")*(Inputs!$G$5:$G$110&lt;&gt;"acoes")))*INDEX(Inputs!$K$5:$AJ$110,0,MATCH(X$2,Inputs!$K$4:$AJ$4,0)))+SUMPRODUCT((Inputs!$C$5:$C$110=$B17)*Inputs!$D$5:$D$110*(((Inputs!$G$5:$G$110="moeda")+(Inputs!$G$5:$G$110="acoes"))*Inputs!$B$1+((Inputs!$G$5:$G$110&lt;&gt;"moeda")*(Inputs!$G$5:$G$110&lt;&gt;"acoes")))*INDEX(Inputs!$K$5:$AJ$110,0,MATCH(X$2,Inputs!$K$4:$AJ$4,0)))+SUMPRODUCT((Inputs!$E$5:$E$110=$B17)*Inputs!$F$5:$F$110*(((Inputs!$G$5:$G$110="moeda")+(Inputs!$G$5:$G$110="acoes"))*Inputs!$B$1+((Inputs!$G$5:$G$110&lt;&gt;"moeda")*(Inputs!$G$5:$G$110&lt;&gt;"acoes")))*INDEX(Inputs!$K$5:$AJ$110,0,MATCH(X$2,Inputs!$K$4:$AJ$4,0)))))</f>
        <v>0</v>
      </c>
      <c r="Y17" s="6">
        <f>IF(ISNA(MATCH(Y$2,Inputs!$K$4:$AJ$4,0)),NA(),IF(SUMPRODUCT((Inputs!$A$5:$A$110=$B17)*ISNUMBER(INDEX(Inputs!$K$5:$AJ$110,0,MATCH(Y$2,Inputs!$K$4:$AJ$4,0))))+SUMPRODUCT((Inputs!$C$5:$C$110=$B17)*ISNUMBER(INDEX(Inputs!$K$5:$AJ$110,0,MATCH(Y$2,Inputs!$K$4:$AJ$4,0))))+SUMPRODUCT((Inputs!$E$5:$E$110=$B17)*ISNUMBER(INDEX(Inputs!$K$5:$AJ$110,0,MATCH(Y$2,Inputs!$K$4:$AJ$4,0))))=0,NA(),SUMPRODUCT((Inputs!$A$5:$A$110=$B17)*Inputs!$B$5:$B$110*(((Inputs!$G$5:$G$110="moeda")+(Inputs!$G$5:$G$110="acoes"))*Inputs!$B$1+((Inputs!$G$5:$G$110&lt;&gt;"moeda")*(Inputs!$G$5:$G$110&lt;&gt;"acoes")))*INDEX(Inputs!$K$5:$AJ$110,0,MATCH(Y$2,Inputs!$K$4:$AJ$4,0)))+SUMPRODUCT((Inputs!$C$5:$C$110=$B17)*Inputs!$D$5:$D$110*(((Inputs!$G$5:$G$110="moeda")+(Inputs!$G$5:$G$110="acoes"))*Inputs!$B$1+((Inputs!$G$5:$G$110&lt;&gt;"moeda")*(Inputs!$G$5:$G$110&lt;&gt;"acoes")))*INDEX(Inputs!$K$5:$AJ$110,0,MATCH(Y$2,Inputs!$K$4:$AJ$4,0)))+SUMPRODUCT((Inputs!$E$5:$E$110=$B17)*Inputs!$F$5:$F$110*(((Inputs!$G$5:$G$110="moeda")+(Inputs!$G$5:$G$110="acoes"))*Inputs!$B$1+((Inputs!$G$5:$G$110&lt;&gt;"moeda")*(Inputs!$G$5:$G$110&lt;&gt;"acoes")))*INDEX(Inputs!$K$5:$AJ$110,0,MATCH(Y$2,Inputs!$K$4:$AJ$4,0)))))</f>
        <v>0</v>
      </c>
      <c r="Z17" s="6">
        <f>IF(ISNA(MATCH(Z$2,Inputs!$K$4:$AJ$4,0)),NA(),IF(SUMPRODUCT((Inputs!$A$5:$A$110=$B17)*ISNUMBER(INDEX(Inputs!$K$5:$AJ$110,0,MATCH(Z$2,Inputs!$K$4:$AJ$4,0))))+SUMPRODUCT((Inputs!$C$5:$C$110=$B17)*ISNUMBER(INDEX(Inputs!$K$5:$AJ$110,0,MATCH(Z$2,Inputs!$K$4:$AJ$4,0))))+SUMPRODUCT((Inputs!$E$5:$E$110=$B17)*ISNUMBER(INDEX(Inputs!$K$5:$AJ$110,0,MATCH(Z$2,Inputs!$K$4:$AJ$4,0))))=0,NA(),SUMPRODUCT((Inputs!$A$5:$A$110=$B17)*Inputs!$B$5:$B$110*(((Inputs!$G$5:$G$110="moeda")+(Inputs!$G$5:$G$110="acoes"))*Inputs!$B$1+((Inputs!$G$5:$G$110&lt;&gt;"moeda")*(Inputs!$G$5:$G$110&lt;&gt;"acoes")))*INDEX(Inputs!$K$5:$AJ$110,0,MATCH(Z$2,Inputs!$K$4:$AJ$4,0)))+SUMPRODUCT((Inputs!$C$5:$C$110=$B17)*Inputs!$D$5:$D$110*(((Inputs!$G$5:$G$110="moeda")+(Inputs!$G$5:$G$110="acoes"))*Inputs!$B$1+((Inputs!$G$5:$G$110&lt;&gt;"moeda")*(Inputs!$G$5:$G$110&lt;&gt;"acoes")))*INDEX(Inputs!$K$5:$AJ$110,0,MATCH(Z$2,Inputs!$K$4:$AJ$4,0)))+SUMPRODUCT((Inputs!$E$5:$E$110=$B17)*Inputs!$F$5:$F$110*(((Inputs!$G$5:$G$110="moeda")+(Inputs!$G$5:$G$110="acoes"))*Inputs!$B$1+((Inputs!$G$5:$G$110&lt;&gt;"moeda")*(Inputs!$G$5:$G$110&lt;&gt;"acoes")))*INDEX(Inputs!$K$5:$AJ$110,0,MATCH(Z$2,Inputs!$K$4:$AJ$4,0)))))</f>
        <v>0</v>
      </c>
      <c r="AA17" s="6">
        <f>IF(ISNA(MATCH(AA$2,Inputs!$K$4:$AJ$4,0)),NA(),IF(SUMPRODUCT((Inputs!$A$5:$A$110=$B17)*ISNUMBER(INDEX(Inputs!$K$5:$AJ$110,0,MATCH(AA$2,Inputs!$K$4:$AJ$4,0))))+SUMPRODUCT((Inputs!$C$5:$C$110=$B17)*ISNUMBER(INDEX(Inputs!$K$5:$AJ$110,0,MATCH(AA$2,Inputs!$K$4:$AJ$4,0))))+SUMPRODUCT((Inputs!$E$5:$E$110=$B17)*ISNUMBER(INDEX(Inputs!$K$5:$AJ$110,0,MATCH(AA$2,Inputs!$K$4:$AJ$4,0))))=0,NA(),SUMPRODUCT((Inputs!$A$5:$A$110=$B17)*Inputs!$B$5:$B$110*(((Inputs!$G$5:$G$110="moeda")+(Inputs!$G$5:$G$110="acoes"))*Inputs!$B$1+((Inputs!$G$5:$G$110&lt;&gt;"moeda")*(Inputs!$G$5:$G$110&lt;&gt;"acoes")))*INDEX(Inputs!$K$5:$AJ$110,0,MATCH(AA$2,Inputs!$K$4:$AJ$4,0)))+SUMPRODUCT((Inputs!$C$5:$C$110=$B17)*Inputs!$D$5:$D$110*(((Inputs!$G$5:$G$110="moeda")+(Inputs!$G$5:$G$110="acoes"))*Inputs!$B$1+((Inputs!$G$5:$G$110&lt;&gt;"moeda")*(Inputs!$G$5:$G$110&lt;&gt;"acoes")))*INDEX(Inputs!$K$5:$AJ$110,0,MATCH(AA$2,Inputs!$K$4:$AJ$4,0)))+SUMPRODUCT((Inputs!$E$5:$E$110=$B17)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7" s="3">
        <f>AA17</f>
        <v>0</v>
      </c>
      <c r="AC17" s="6">
        <f>IF(ISNA(MATCH(AC$2,Inputs!$K$4:$AJ$4,0)),NA(),IF(SUMPRODUCT((Inputs!$A$5:$A$110=$B17)*ISNUMBER(INDEX(Inputs!$K$5:$AJ$110,0,MATCH(AC$2,Inputs!$K$4:$AJ$4,0))))+SUMPRODUCT((Inputs!$C$5:$C$110=$B17)*ISNUMBER(INDEX(Inputs!$K$5:$AJ$110,0,MATCH(AC$2,Inputs!$K$4:$AJ$4,0))))+SUMPRODUCT((Inputs!$E$5:$E$110=$B17)*ISNUMBER(INDEX(Inputs!$K$5:$AJ$110,0,MATCH(AC$2,Inputs!$K$4:$AJ$4,0))))=0,NA(),SUMPRODUCT((Inputs!$A$5:$A$110=$B17)*Inputs!$B$5:$B$110*(((Inputs!$G$5:$G$110="moeda")+(Inputs!$G$5:$G$110="acoes"))*Inputs!$B$1+((Inputs!$G$5:$G$110&lt;&gt;"moeda")*(Inputs!$G$5:$G$110&lt;&gt;"acoes")))*INDEX(Inputs!$K$5:$AJ$110,0,MATCH(AC$2,Inputs!$K$4:$AJ$4,0)))+SUMPRODUCT((Inputs!$C$5:$C$110=$B17)*Inputs!$D$5:$D$110*(((Inputs!$G$5:$G$110="moeda")+(Inputs!$G$5:$G$110="acoes"))*Inputs!$B$1+((Inputs!$G$5:$G$110&lt;&gt;"moeda")*(Inputs!$G$5:$G$110&lt;&gt;"acoes")))*INDEX(Inputs!$K$5:$AJ$110,0,MATCH(AC$2,Inputs!$K$4:$AJ$4,0)))+SUMPRODUCT((Inputs!$E$5:$E$110=$B17)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7" s="6">
        <f>IF(ISNA(MATCH(AD$2,Inputs!$K$4:$AJ$4,0)),NA(),IF(SUMPRODUCT((Inputs!$A$5:$A$110=$B17)*ISNUMBER(INDEX(Inputs!$K$5:$AJ$110,0,MATCH(AD$2,Inputs!$K$4:$AJ$4,0))))+SUMPRODUCT((Inputs!$C$5:$C$110=$B17)*ISNUMBER(INDEX(Inputs!$K$5:$AJ$110,0,MATCH(AD$2,Inputs!$K$4:$AJ$4,0))))+SUMPRODUCT((Inputs!$E$5:$E$110=$B17)*ISNUMBER(INDEX(Inputs!$K$5:$AJ$110,0,MATCH(AD$2,Inputs!$K$4:$AJ$4,0))))=0,NA(),SUMPRODUCT((Inputs!$A$5:$A$110=$B17)*Inputs!$B$5:$B$110*(((Inputs!$G$5:$G$110="moeda")+(Inputs!$G$5:$G$110="acoes"))*Inputs!$B$1+((Inputs!$G$5:$G$110&lt;&gt;"moeda")*(Inputs!$G$5:$G$110&lt;&gt;"acoes")))*INDEX(Inputs!$K$5:$AJ$110,0,MATCH(AD$2,Inputs!$K$4:$AJ$4,0)))+SUMPRODUCT((Inputs!$C$5:$C$110=$B17)*Inputs!$D$5:$D$110*(((Inputs!$G$5:$G$110="moeda")+(Inputs!$G$5:$G$110="acoes"))*Inputs!$B$1+((Inputs!$G$5:$G$110&lt;&gt;"moeda")*(Inputs!$G$5:$G$110&lt;&gt;"acoes")))*INDEX(Inputs!$K$5:$AJ$110,0,MATCH(AD$2,Inputs!$K$4:$AJ$4,0)))+SUMPRODUCT((Inputs!$E$5:$E$110=$B17)*Inputs!$F$5:$F$110*(((Inputs!$G$5:$G$110="moeda")+(Inputs!$G$5:$G$110="acoes"))*Inputs!$B$1+((Inputs!$G$5:$G$110&lt;&gt;"moeda")*(Inputs!$G$5:$G$110&lt;&gt;"acoes")))*INDEX(Inputs!$K$5:$AJ$110,0,MATCH(AD$2,Inputs!$K$4:$AJ$4,0)))))</f>
        <v>9991</v>
      </c>
      <c r="AE17" s="6" t="e">
        <f>IF(ISNA(MATCH(AE$2,Inputs!$K$4:$AJ$4,0)),NA(),IF(SUMPRODUCT((Inputs!$A$5:$A$110=$B17)*ISNUMBER(INDEX(Inputs!$K$5:$AJ$110,0,MATCH(AE$2,Inputs!$K$4:$AJ$4,0))))+SUMPRODUCT((Inputs!$C$5:$C$110=$B17)*ISNUMBER(INDEX(Inputs!$K$5:$AJ$110,0,MATCH(AE$2,Inputs!$K$4:$AJ$4,0))))+SUMPRODUCT((Inputs!$E$5:$E$110=$B17)*ISNUMBER(INDEX(Inputs!$K$5:$AJ$110,0,MATCH(AE$2,Inputs!$K$4:$AJ$4,0))))=0,NA(),SUMPRODUCT((Inputs!$A$5:$A$110=$B17)*Inputs!$B$5:$B$110*(((Inputs!$G$5:$G$110="moeda")+(Inputs!$G$5:$G$110="acoes"))*Inputs!$B$1+((Inputs!$G$5:$G$110&lt;&gt;"moeda")*(Inputs!$G$5:$G$110&lt;&gt;"acoes")))*INDEX(Inputs!$K$5:$AJ$110,0,MATCH(AE$2,Inputs!$K$4:$AJ$4,0)))+SUMPRODUCT((Inputs!$C$5:$C$110=$B17)*Inputs!$D$5:$D$110*(((Inputs!$G$5:$G$110="moeda")+(Inputs!$G$5:$G$110="acoes"))*Inputs!$B$1+((Inputs!$G$5:$G$110&lt;&gt;"moeda")*(Inputs!$G$5:$G$110&lt;&gt;"acoes")))*INDEX(Inputs!$K$5:$AJ$110,0,MATCH(AE$2,Inputs!$K$4:$AJ$4,0)))+SUMPRODUCT((Inputs!$E$5:$E$110=$B17)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7" s="6" t="e">
        <f>IF(ISNA(MATCH(AF$2,Inputs!$K$4:$AJ$4,0)),NA(),IF(SUMPRODUCT((Inputs!$A$5:$A$110=$B17)*ISNUMBER(INDEX(Inputs!$K$5:$AJ$110,0,MATCH(AF$2,Inputs!$K$4:$AJ$4,0))))+SUMPRODUCT((Inputs!$C$5:$C$110=$B17)*ISNUMBER(INDEX(Inputs!$K$5:$AJ$110,0,MATCH(AF$2,Inputs!$K$4:$AJ$4,0))))+SUMPRODUCT((Inputs!$E$5:$E$110=$B17)*ISNUMBER(INDEX(Inputs!$K$5:$AJ$110,0,MATCH(AF$2,Inputs!$K$4:$AJ$4,0))))=0,NA(),SUMPRODUCT((Inputs!$A$5:$A$110=$B17)*Inputs!$B$5:$B$110*(((Inputs!$G$5:$G$110="moeda")+(Inputs!$G$5:$G$110="acoes"))*Inputs!$B$1+((Inputs!$G$5:$G$110&lt;&gt;"moeda")*(Inputs!$G$5:$G$110&lt;&gt;"acoes")))*INDEX(Inputs!$K$5:$AJ$110,0,MATCH(AF$2,Inputs!$K$4:$AJ$4,0)))+SUMPRODUCT((Inputs!$C$5:$C$110=$B17)*Inputs!$D$5:$D$110*(((Inputs!$G$5:$G$110="moeda")+(Inputs!$G$5:$G$110="acoes"))*Inputs!$B$1+((Inputs!$G$5:$G$110&lt;&gt;"moeda")*(Inputs!$G$5:$G$110&lt;&gt;"acoes")))*INDEX(Inputs!$K$5:$AJ$110,0,MATCH(AF$2,Inputs!$K$4:$AJ$4,0)))+SUMPRODUCT((Inputs!$E$5:$E$110=$B17)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7" s="3" t="e">
        <f>AF17</f>
        <v>#N/A</v>
      </c>
      <c r="AH17" s="6">
        <f>IF(ISNA(MATCH(AH$2,Inputs!$K$4:$AJ$4,0)),NA(),IF(SUMPRODUCT((Inputs!$A$5:$A$110=$B17)*ISNUMBER(INDEX(Inputs!$K$5:$AJ$110,0,MATCH(AH$2,Inputs!$K$4:$AJ$4,0))))+SUMPRODUCT((Inputs!$C$5:$C$110=$B17)*ISNUMBER(INDEX(Inputs!$K$5:$AJ$110,0,MATCH(AH$2,Inputs!$K$4:$AJ$4,0))))+SUMPRODUCT((Inputs!$E$5:$E$110=$B17)*ISNUMBER(INDEX(Inputs!$K$5:$AJ$110,0,MATCH(AH$2,Inputs!$K$4:$AJ$4,0))))=0,NA(),SUMPRODUCT((Inputs!$A$5:$A$110=$B17)*Inputs!$B$5:$B$110*(((Inputs!$G$5:$G$110="moeda")+(Inputs!$G$5:$G$110="acoes"))*Inputs!$B$1+((Inputs!$G$5:$G$110&lt;&gt;"moeda")*(Inputs!$G$5:$G$110&lt;&gt;"acoes")))*INDEX(Inputs!$K$5:$AJ$110,0,MATCH(AH$2,Inputs!$K$4:$AJ$4,0)))+SUMPRODUCT((Inputs!$C$5:$C$110=$B17)*Inputs!$D$5:$D$110*(((Inputs!$G$5:$G$110="moeda")+(Inputs!$G$5:$G$110="acoes"))*Inputs!$B$1+((Inputs!$G$5:$G$110&lt;&gt;"moeda")*(Inputs!$G$5:$G$110&lt;&gt;"acoes")))*INDEX(Inputs!$K$5:$AJ$110,0,MATCH(AH$2,Inputs!$K$4:$AJ$4,0)))+SUMPRODUCT((Inputs!$E$5:$E$110=$B17)*Inputs!$F$5:$F$110*(((Inputs!$G$5:$G$110="moeda")+(Inputs!$G$5:$G$110="acoes"))*Inputs!$B$1+((Inputs!$G$5:$G$110&lt;&gt;"moeda")*(Inputs!$G$5:$G$110&lt;&gt;"acoes")))*INDEX(Inputs!$K$5:$AJ$110,0,MATCH(AH$2,Inputs!$K$4:$AJ$4,0)))))</f>
        <v>889</v>
      </c>
      <c r="AI17" s="6">
        <f>IF(ISNA(MATCH(AI$2,Inputs!$K$4:$AJ$4,0)),NA(),IF(SUMPRODUCT((Inputs!$A$5:$A$110=$B17)*ISNUMBER(INDEX(Inputs!$K$5:$AJ$110,0,MATCH(AI$2,Inputs!$K$4:$AJ$4,0))))+SUMPRODUCT((Inputs!$C$5:$C$110=$B17)*ISNUMBER(INDEX(Inputs!$K$5:$AJ$110,0,MATCH(AI$2,Inputs!$K$4:$AJ$4,0))))+SUMPRODUCT((Inputs!$E$5:$E$110=$B17)*ISNUMBER(INDEX(Inputs!$K$5:$AJ$110,0,MATCH(AI$2,Inputs!$K$4:$AJ$4,0))))=0,NA(),SUMPRODUCT((Inputs!$A$5:$A$110=$B17)*Inputs!$B$5:$B$110*(((Inputs!$G$5:$G$110="moeda")+(Inputs!$G$5:$G$110="acoes"))*Inputs!$B$1+((Inputs!$G$5:$G$110&lt;&gt;"moeda")*(Inputs!$G$5:$G$110&lt;&gt;"acoes")))*INDEX(Inputs!$K$5:$AJ$110,0,MATCH(AI$2,Inputs!$K$4:$AJ$4,0)))+SUMPRODUCT((Inputs!$C$5:$C$110=$B17)*Inputs!$D$5:$D$110*(((Inputs!$G$5:$G$110="moeda")+(Inputs!$G$5:$G$110="acoes"))*Inputs!$B$1+((Inputs!$G$5:$G$110&lt;&gt;"moeda")*(Inputs!$G$5:$G$110&lt;&gt;"acoes")))*INDEX(Inputs!$K$5:$AJ$110,0,MATCH(AI$2,Inputs!$K$4:$AJ$4,0)))+SUMPRODUCT((Inputs!$E$5:$E$110=$B17)*Inputs!$F$5:$F$110*(((Inputs!$G$5:$G$110="moeda")+(Inputs!$G$5:$G$110="acoes"))*Inputs!$B$1+((Inputs!$G$5:$G$110&lt;&gt;"moeda")*(Inputs!$G$5:$G$110&lt;&gt;"acoes")))*INDEX(Inputs!$K$5:$AJ$110,0,MATCH(AI$2,Inputs!$K$4:$AJ$4,0)))))</f>
        <v>815</v>
      </c>
      <c r="AJ17" s="6">
        <f>IF(ISNA(MATCH(AJ$2,Inputs!$K$4:$AJ$4,0)),NA(),IF(SUMPRODUCT((Inputs!$A$5:$A$110=$B17)*ISNUMBER(INDEX(Inputs!$K$5:$AJ$110,0,MATCH(AJ$2,Inputs!$K$4:$AJ$4,0))))+SUMPRODUCT((Inputs!$C$5:$C$110=$B17)*ISNUMBER(INDEX(Inputs!$K$5:$AJ$110,0,MATCH(AJ$2,Inputs!$K$4:$AJ$4,0))))+SUMPRODUCT((Inputs!$E$5:$E$110=$B17)*ISNUMBER(INDEX(Inputs!$K$5:$AJ$110,0,MATCH(AJ$2,Inputs!$K$4:$AJ$4,0))))=0,NA(),SUMPRODUCT((Inputs!$A$5:$A$110=$B17)*Inputs!$B$5:$B$110*(((Inputs!$G$5:$G$110="moeda")+(Inputs!$G$5:$G$110="acoes"))*Inputs!$B$1+((Inputs!$G$5:$G$110&lt;&gt;"moeda")*(Inputs!$G$5:$G$110&lt;&gt;"acoes")))*INDEX(Inputs!$K$5:$AJ$110,0,MATCH(AJ$2,Inputs!$K$4:$AJ$4,0)))+SUMPRODUCT((Inputs!$C$5:$C$110=$B17)*Inputs!$D$5:$D$110*(((Inputs!$G$5:$G$110="moeda")+(Inputs!$G$5:$G$110="acoes"))*Inputs!$B$1+((Inputs!$G$5:$G$110&lt;&gt;"moeda")*(Inputs!$G$5:$G$110&lt;&gt;"acoes")))*INDEX(Inputs!$K$5:$AJ$110,0,MATCH(AJ$2,Inputs!$K$4:$AJ$4,0)))+SUMPRODUCT((Inputs!$E$5:$E$110=$B17)*Inputs!$F$5:$F$110*(((Inputs!$G$5:$G$110="moeda")+(Inputs!$G$5:$G$110="acoes"))*Inputs!$B$1+((Inputs!$G$5:$G$110&lt;&gt;"moeda")*(Inputs!$G$5:$G$110&lt;&gt;"acoes")))*INDEX(Inputs!$K$5:$AJ$110,0,MATCH(AJ$2,Inputs!$K$4:$AJ$4,0)))))</f>
        <v>835</v>
      </c>
      <c r="AK17" s="6">
        <f>IF(ISNA(MATCH(AK$2,Inputs!$K$4:$AJ$4,0)),NA(),IF(SUMPRODUCT((Inputs!$A$5:$A$110=$B17)*ISNUMBER(INDEX(Inputs!$K$5:$AJ$110,0,MATCH(AK$2,Inputs!$K$4:$AJ$4,0))))+SUMPRODUCT((Inputs!$C$5:$C$110=$B17)*ISNUMBER(INDEX(Inputs!$K$5:$AJ$110,0,MATCH(AK$2,Inputs!$K$4:$AJ$4,0))))+SUMPRODUCT((Inputs!$E$5:$E$110=$B17)*ISNUMBER(INDEX(Inputs!$K$5:$AJ$110,0,MATCH(AK$2,Inputs!$K$4:$AJ$4,0))))=0,NA(),SUMPRODUCT((Inputs!$A$5:$A$110=$B17)*Inputs!$B$5:$B$110*(((Inputs!$G$5:$G$110="moeda")+(Inputs!$G$5:$G$110="acoes"))*Inputs!$B$1+((Inputs!$G$5:$G$110&lt;&gt;"moeda")*(Inputs!$G$5:$G$110&lt;&gt;"acoes")))*INDEX(Inputs!$K$5:$AJ$110,0,MATCH(AK$2,Inputs!$K$4:$AJ$4,0)))+SUMPRODUCT((Inputs!$C$5:$C$110=$B17)*Inputs!$D$5:$D$110*(((Inputs!$G$5:$G$110="moeda")+(Inputs!$G$5:$G$110="acoes"))*Inputs!$B$1+((Inputs!$G$5:$G$110&lt;&gt;"moeda")*(Inputs!$G$5:$G$110&lt;&gt;"acoes")))*INDEX(Inputs!$K$5:$AJ$110,0,MATCH(AK$2,Inputs!$K$4:$AJ$4,0)))+SUMPRODUCT((Inputs!$E$5:$E$110=$B17)*Inputs!$F$5:$F$110*(((Inputs!$G$5:$G$110="moeda")+(Inputs!$G$5:$G$110="acoes"))*Inputs!$B$1+((Inputs!$G$5:$G$110&lt;&gt;"moeda")*(Inputs!$G$5:$G$110&lt;&gt;"acoes")))*INDEX(Inputs!$K$5:$AJ$110,0,MATCH(AK$2,Inputs!$K$4:$AJ$4,0)))))</f>
        <v>728</v>
      </c>
      <c r="AL17" s="3">
        <f>AK17</f>
        <v>728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$110=$B18)*ISNUMBER(INDEX(Inputs!$K$5:$AJ$110,0,MATCH(D$2,Inputs!$K$4:$AJ$4,0))))+SUMPRODUCT((Inputs!$C$5:$C$110=$B18)*ISNUMBER(INDEX(Inputs!$K$5:$AJ$110,0,MATCH(D$2,Inputs!$K$4:$AJ$4,0))))+SUMPRODUCT((Inputs!$E$5:$E$110=$B18)*ISNUMBER(INDEX(Inputs!$K$5:$AJ$110,0,MATCH(D$2,Inputs!$K$4:$AJ$4,0))))=0,NA(),SUMPRODUCT((Inputs!$A$5:$A$110=$B18)*Inputs!$B$5:$B$110*(((Inputs!$G$5:$G$110="moeda")+(Inputs!$G$5:$G$110="acoes"))*Inputs!$B$1+((Inputs!$G$5:$G$110&lt;&gt;"moeda")*(Inputs!$G$5:$G$110&lt;&gt;"acoes")))*INDEX(Inputs!$K$5:$AJ$110,0,MATCH(D$2,Inputs!$K$4:$AJ$4,0)))+SUMPRODUCT((Inputs!$C$5:$C$110=$B18)*Inputs!$D$5:$D$110*(((Inputs!$G$5:$G$110="moeda")+(Inputs!$G$5:$G$110="acoes"))*Inputs!$B$1+((Inputs!$G$5:$G$110&lt;&gt;"moeda")*(Inputs!$G$5:$G$110&lt;&gt;"acoes")))*INDEX(Inputs!$K$5:$AJ$110,0,MATCH(D$2,Inputs!$K$4:$AJ$4,0)))+SUMPRODUCT((Inputs!$E$5:$E$110=$B18)*Inputs!$F$5:$F$110*(((Inputs!$G$5:$G$110="moeda")+(Inputs!$G$5:$G$110="acoes"))*Inputs!$B$1+((Inputs!$G$5:$G$110&lt;&gt;"moeda")*(Inputs!$G$5:$G$110&lt;&gt;"acoes")))*INDEX(Inputs!$K$5:$AJ$110,0,MATCH(D$2,Inputs!$K$4:$AJ$4,0)))))</f>
        <v>1129</v>
      </c>
      <c r="E18" s="6">
        <f>IF(ISNA(MATCH(E$2,Inputs!$K$4:$AJ$4,0)),NA(),IF(SUMPRODUCT((Inputs!$A$5:$A$110=$B18)*ISNUMBER(INDEX(Inputs!$K$5:$AJ$110,0,MATCH(E$2,Inputs!$K$4:$AJ$4,0))))+SUMPRODUCT((Inputs!$C$5:$C$110=$B18)*ISNUMBER(INDEX(Inputs!$K$5:$AJ$110,0,MATCH(E$2,Inputs!$K$4:$AJ$4,0))))+SUMPRODUCT((Inputs!$E$5:$E$110=$B18)*ISNUMBER(INDEX(Inputs!$K$5:$AJ$110,0,MATCH(E$2,Inputs!$K$4:$AJ$4,0))))=0,NA(),SUMPRODUCT((Inputs!$A$5:$A$110=$B18)*Inputs!$B$5:$B$110*(((Inputs!$G$5:$G$110="moeda")+(Inputs!$G$5:$G$110="acoes"))*Inputs!$B$1+((Inputs!$G$5:$G$110&lt;&gt;"moeda")*(Inputs!$G$5:$G$110&lt;&gt;"acoes")))*INDEX(Inputs!$K$5:$AJ$110,0,MATCH(E$2,Inputs!$K$4:$AJ$4,0)))+SUMPRODUCT((Inputs!$C$5:$C$110=$B18)*Inputs!$D$5:$D$110*(((Inputs!$G$5:$G$110="moeda")+(Inputs!$G$5:$G$110="acoes"))*Inputs!$B$1+((Inputs!$G$5:$G$110&lt;&gt;"moeda")*(Inputs!$G$5:$G$110&lt;&gt;"acoes")))*INDEX(Inputs!$K$5:$AJ$110,0,MATCH(E$2,Inputs!$K$4:$AJ$4,0)))+SUMPRODUCT((Inputs!$E$5:$E$110=$B18)*Inputs!$F$5:$F$110*(((Inputs!$G$5:$G$110="moeda")+(Inputs!$G$5:$G$110="acoes"))*Inputs!$B$1+((Inputs!$G$5:$G$110&lt;&gt;"moeda")*(Inputs!$G$5:$G$110&lt;&gt;"acoes")))*INDEX(Inputs!$K$5:$AJ$110,0,MATCH(E$2,Inputs!$K$4:$AJ$4,0)))))</f>
        <v>1153</v>
      </c>
      <c r="F18" s="6">
        <f>IF(ISNA(MATCH(F$2,Inputs!$K$4:$AJ$4,0)),NA(),IF(SUMPRODUCT((Inputs!$A$5:$A$110=$B18)*ISNUMBER(INDEX(Inputs!$K$5:$AJ$110,0,MATCH(F$2,Inputs!$K$4:$AJ$4,0))))+SUMPRODUCT((Inputs!$C$5:$C$110=$B18)*ISNUMBER(INDEX(Inputs!$K$5:$AJ$110,0,MATCH(F$2,Inputs!$K$4:$AJ$4,0))))+SUMPRODUCT((Inputs!$E$5:$E$110=$B18)*ISNUMBER(INDEX(Inputs!$K$5:$AJ$110,0,MATCH(F$2,Inputs!$K$4:$AJ$4,0))))=0,NA(),SUMPRODUCT((Inputs!$A$5:$A$110=$B18)*Inputs!$B$5:$B$110*(((Inputs!$G$5:$G$110="moeda")+(Inputs!$G$5:$G$110="acoes"))*Inputs!$B$1+((Inputs!$G$5:$G$110&lt;&gt;"moeda")*(Inputs!$G$5:$G$110&lt;&gt;"acoes")))*INDEX(Inputs!$K$5:$AJ$110,0,MATCH(F$2,Inputs!$K$4:$AJ$4,0)))+SUMPRODUCT((Inputs!$C$5:$C$110=$B18)*Inputs!$D$5:$D$110*(((Inputs!$G$5:$G$110="moeda")+(Inputs!$G$5:$G$110="acoes"))*Inputs!$B$1+((Inputs!$G$5:$G$110&lt;&gt;"moeda")*(Inputs!$G$5:$G$110&lt;&gt;"acoes")))*INDEX(Inputs!$K$5:$AJ$110,0,MATCH(F$2,Inputs!$K$4:$AJ$4,0)))+SUMPRODUCT((Inputs!$E$5:$E$110=$B18)*Inputs!$F$5:$F$110*(((Inputs!$G$5:$G$110="moeda")+(Inputs!$G$5:$G$110="acoes"))*Inputs!$B$1+((Inputs!$G$5:$G$110&lt;&gt;"moeda")*(Inputs!$G$5:$G$110&lt;&gt;"acoes")))*INDEX(Inputs!$K$5:$AJ$110,0,MATCH(F$2,Inputs!$K$4:$AJ$4,0)))))</f>
        <v>1195</v>
      </c>
      <c r="G18" s="6">
        <f>IF(ISNA(MATCH(G$2,Inputs!$K$4:$AJ$4,0)),NA(),IF(SUMPRODUCT((Inputs!$A$5:$A$110=$B18)*ISNUMBER(INDEX(Inputs!$K$5:$AJ$110,0,MATCH(G$2,Inputs!$K$4:$AJ$4,0))))+SUMPRODUCT((Inputs!$C$5:$C$110=$B18)*ISNUMBER(INDEX(Inputs!$K$5:$AJ$110,0,MATCH(G$2,Inputs!$K$4:$AJ$4,0))))+SUMPRODUCT((Inputs!$E$5:$E$110=$B18)*ISNUMBER(INDEX(Inputs!$K$5:$AJ$110,0,MATCH(G$2,Inputs!$K$4:$AJ$4,0))))=0,NA(),SUMPRODUCT((Inputs!$A$5:$A$110=$B18)*Inputs!$B$5:$B$110*(((Inputs!$G$5:$G$110="moeda")+(Inputs!$G$5:$G$110="acoes"))*Inputs!$B$1+((Inputs!$G$5:$G$110&lt;&gt;"moeda")*(Inputs!$G$5:$G$110&lt;&gt;"acoes")))*INDEX(Inputs!$K$5:$AJ$110,0,MATCH(G$2,Inputs!$K$4:$AJ$4,0)))+SUMPRODUCT((Inputs!$C$5:$C$110=$B18)*Inputs!$D$5:$D$110*(((Inputs!$G$5:$G$110="moeda")+(Inputs!$G$5:$G$110="acoes"))*Inputs!$B$1+((Inputs!$G$5:$G$110&lt;&gt;"moeda")*(Inputs!$G$5:$G$110&lt;&gt;"acoes")))*INDEX(Inputs!$K$5:$AJ$110,0,MATCH(G$2,Inputs!$K$4:$AJ$4,0)))+SUMPRODUCT((Inputs!$E$5:$E$110=$B18)*Inputs!$F$5:$F$110*(((Inputs!$G$5:$G$110="moeda")+(Inputs!$G$5:$G$110="acoes"))*Inputs!$B$1+((Inputs!$G$5:$G$110&lt;&gt;"moeda")*(Inputs!$G$5:$G$110&lt;&gt;"acoes")))*INDEX(Inputs!$K$5:$AJ$110,0,MATCH(G$2,Inputs!$K$4:$AJ$4,0)))))</f>
        <v>1284</v>
      </c>
      <c r="H18" s="3">
        <f>G18</f>
        <v>1284</v>
      </c>
      <c r="I18" s="6">
        <f>IF(ISNA(MATCH(I$2,Inputs!$K$4:$AJ$4,0)),NA(),IF(SUMPRODUCT((Inputs!$A$5:$A$110=$B18)*ISNUMBER(INDEX(Inputs!$K$5:$AJ$110,0,MATCH(I$2,Inputs!$K$4:$AJ$4,0))))+SUMPRODUCT((Inputs!$C$5:$C$110=$B18)*ISNUMBER(INDEX(Inputs!$K$5:$AJ$110,0,MATCH(I$2,Inputs!$K$4:$AJ$4,0))))+SUMPRODUCT((Inputs!$E$5:$E$110=$B18)*ISNUMBER(INDEX(Inputs!$K$5:$AJ$110,0,MATCH(I$2,Inputs!$K$4:$AJ$4,0))))=0,NA(),SUMPRODUCT((Inputs!$A$5:$A$110=$B18)*Inputs!$B$5:$B$110*(((Inputs!$G$5:$G$110="moeda")+(Inputs!$G$5:$G$110="acoes"))*Inputs!$B$1+((Inputs!$G$5:$G$110&lt;&gt;"moeda")*(Inputs!$G$5:$G$110&lt;&gt;"acoes")))*INDEX(Inputs!$K$5:$AJ$110,0,MATCH(I$2,Inputs!$K$4:$AJ$4,0)))+SUMPRODUCT((Inputs!$C$5:$C$110=$B18)*Inputs!$D$5:$D$110*(((Inputs!$G$5:$G$110="moeda")+(Inputs!$G$5:$G$110="acoes"))*Inputs!$B$1+((Inputs!$G$5:$G$110&lt;&gt;"moeda")*(Inputs!$G$5:$G$110&lt;&gt;"acoes")))*INDEX(Inputs!$K$5:$AJ$110,0,MATCH(I$2,Inputs!$K$4:$AJ$4,0)))+SUMPRODUCT((Inputs!$E$5:$E$110=$B18)*Inputs!$F$5:$F$110*(((Inputs!$G$5:$G$110="moeda")+(Inputs!$G$5:$G$110="acoes"))*Inputs!$B$1+((Inputs!$G$5:$G$110&lt;&gt;"moeda")*(Inputs!$G$5:$G$110&lt;&gt;"acoes")))*INDEX(Inputs!$K$5:$AJ$110,0,MATCH(I$2,Inputs!$K$4:$AJ$4,0)))))</f>
        <v>1388</v>
      </c>
      <c r="J18" s="6">
        <f>IF(ISNA(MATCH(J$2,Inputs!$K$4:$AJ$4,0)),NA(),IF(SUMPRODUCT((Inputs!$A$5:$A$110=$B18)*ISNUMBER(INDEX(Inputs!$K$5:$AJ$110,0,MATCH(J$2,Inputs!$K$4:$AJ$4,0))))+SUMPRODUCT((Inputs!$C$5:$C$110=$B18)*ISNUMBER(INDEX(Inputs!$K$5:$AJ$110,0,MATCH(J$2,Inputs!$K$4:$AJ$4,0))))+SUMPRODUCT((Inputs!$E$5:$E$110=$B18)*ISNUMBER(INDEX(Inputs!$K$5:$AJ$110,0,MATCH(J$2,Inputs!$K$4:$AJ$4,0))))=0,NA(),SUMPRODUCT((Inputs!$A$5:$A$110=$B18)*Inputs!$B$5:$B$110*(((Inputs!$G$5:$G$110="moeda")+(Inputs!$G$5:$G$110="acoes"))*Inputs!$B$1+((Inputs!$G$5:$G$110&lt;&gt;"moeda")*(Inputs!$G$5:$G$110&lt;&gt;"acoes")))*INDEX(Inputs!$K$5:$AJ$110,0,MATCH(J$2,Inputs!$K$4:$AJ$4,0)))+SUMPRODUCT((Inputs!$C$5:$C$110=$B18)*Inputs!$D$5:$D$110*(((Inputs!$G$5:$G$110="moeda")+(Inputs!$G$5:$G$110="acoes"))*Inputs!$B$1+((Inputs!$G$5:$G$110&lt;&gt;"moeda")*(Inputs!$G$5:$G$110&lt;&gt;"acoes")))*INDEX(Inputs!$K$5:$AJ$110,0,MATCH(J$2,Inputs!$K$4:$AJ$4,0)))+SUMPRODUCT((Inputs!$E$5:$E$110=$B18)*Inputs!$F$5:$F$110*(((Inputs!$G$5:$G$110="moeda")+(Inputs!$G$5:$G$110="acoes"))*Inputs!$B$1+((Inputs!$G$5:$G$110&lt;&gt;"moeda")*(Inputs!$G$5:$G$110&lt;&gt;"acoes")))*INDEX(Inputs!$K$5:$AJ$110,0,MATCH(J$2,Inputs!$K$4:$AJ$4,0)))))</f>
        <v>1490</v>
      </c>
      <c r="K18" s="6">
        <f>IF(ISNA(MATCH(K$2,Inputs!$K$4:$AJ$4,0)),NA(),IF(SUMPRODUCT((Inputs!$A$5:$A$110=$B18)*ISNUMBER(INDEX(Inputs!$K$5:$AJ$110,0,MATCH(K$2,Inputs!$K$4:$AJ$4,0))))+SUMPRODUCT((Inputs!$C$5:$C$110=$B18)*ISNUMBER(INDEX(Inputs!$K$5:$AJ$110,0,MATCH(K$2,Inputs!$K$4:$AJ$4,0))))+SUMPRODUCT((Inputs!$E$5:$E$110=$B18)*ISNUMBER(INDEX(Inputs!$K$5:$AJ$110,0,MATCH(K$2,Inputs!$K$4:$AJ$4,0))))=0,NA(),SUMPRODUCT((Inputs!$A$5:$A$110=$B18)*Inputs!$B$5:$B$110*(((Inputs!$G$5:$G$110="moeda")+(Inputs!$G$5:$G$110="acoes"))*Inputs!$B$1+((Inputs!$G$5:$G$110&lt;&gt;"moeda")*(Inputs!$G$5:$G$110&lt;&gt;"acoes")))*INDEX(Inputs!$K$5:$AJ$110,0,MATCH(K$2,Inputs!$K$4:$AJ$4,0)))+SUMPRODUCT((Inputs!$C$5:$C$110=$B18)*Inputs!$D$5:$D$110*(((Inputs!$G$5:$G$110="moeda")+(Inputs!$G$5:$G$110="acoes"))*Inputs!$B$1+((Inputs!$G$5:$G$110&lt;&gt;"moeda")*(Inputs!$G$5:$G$110&lt;&gt;"acoes")))*INDEX(Inputs!$K$5:$AJ$110,0,MATCH(K$2,Inputs!$K$4:$AJ$4,0)))+SUMPRODUCT((Inputs!$E$5:$E$110=$B18)*Inputs!$F$5:$F$110*(((Inputs!$G$5:$G$110="moeda")+(Inputs!$G$5:$G$110="acoes"))*Inputs!$B$1+((Inputs!$G$5:$G$110&lt;&gt;"moeda")*(Inputs!$G$5:$G$110&lt;&gt;"acoes")))*INDEX(Inputs!$K$5:$AJ$110,0,MATCH(K$2,Inputs!$K$4:$AJ$4,0)))))</f>
        <v>2991</v>
      </c>
      <c r="L18" s="6">
        <f>IF(ISNA(MATCH(L$2,Inputs!$K$4:$AJ$4,0)),NA(),IF(SUMPRODUCT((Inputs!$A$5:$A$110=$B18)*ISNUMBER(INDEX(Inputs!$K$5:$AJ$110,0,MATCH(L$2,Inputs!$K$4:$AJ$4,0))))+SUMPRODUCT((Inputs!$C$5:$C$110=$B18)*ISNUMBER(INDEX(Inputs!$K$5:$AJ$110,0,MATCH(L$2,Inputs!$K$4:$AJ$4,0))))+SUMPRODUCT((Inputs!$E$5:$E$110=$B18)*ISNUMBER(INDEX(Inputs!$K$5:$AJ$110,0,MATCH(L$2,Inputs!$K$4:$AJ$4,0))))=0,NA(),SUMPRODUCT((Inputs!$A$5:$A$110=$B18)*Inputs!$B$5:$B$110*(((Inputs!$G$5:$G$110="moeda")+(Inputs!$G$5:$G$110="acoes"))*Inputs!$B$1+((Inputs!$G$5:$G$110&lt;&gt;"moeda")*(Inputs!$G$5:$G$110&lt;&gt;"acoes")))*INDEX(Inputs!$K$5:$AJ$110,0,MATCH(L$2,Inputs!$K$4:$AJ$4,0)))+SUMPRODUCT((Inputs!$C$5:$C$110=$B18)*Inputs!$D$5:$D$110*(((Inputs!$G$5:$G$110="moeda")+(Inputs!$G$5:$G$110="acoes"))*Inputs!$B$1+((Inputs!$G$5:$G$110&lt;&gt;"moeda")*(Inputs!$G$5:$G$110&lt;&gt;"acoes")))*INDEX(Inputs!$K$5:$AJ$110,0,MATCH(L$2,Inputs!$K$4:$AJ$4,0)))+SUMPRODUCT((Inputs!$E$5:$E$110=$B18)*Inputs!$F$5:$F$110*(((Inputs!$G$5:$G$110="moeda")+(Inputs!$G$5:$G$110="acoes"))*Inputs!$B$1+((Inputs!$G$5:$G$110&lt;&gt;"moeda")*(Inputs!$G$5:$G$110&lt;&gt;"acoes")))*INDEX(Inputs!$K$5:$AJ$110,0,MATCH(L$2,Inputs!$K$4:$AJ$4,0)))))</f>
        <v>5261</v>
      </c>
      <c r="M18" s="3">
        <f>L18</f>
        <v>5261</v>
      </c>
      <c r="N18" s="6">
        <f>IF(ISNA(MATCH(N$2,Inputs!$K$4:$AJ$4,0)),NA(),IF(SUMPRODUCT((Inputs!$A$5:$A$110=$B18)*ISNUMBER(INDEX(Inputs!$K$5:$AJ$110,0,MATCH(N$2,Inputs!$K$4:$AJ$4,0))))+SUMPRODUCT((Inputs!$C$5:$C$110=$B18)*ISNUMBER(INDEX(Inputs!$K$5:$AJ$110,0,MATCH(N$2,Inputs!$K$4:$AJ$4,0))))+SUMPRODUCT((Inputs!$E$5:$E$110=$B18)*ISNUMBER(INDEX(Inputs!$K$5:$AJ$110,0,MATCH(N$2,Inputs!$K$4:$AJ$4,0))))=0,NA(),SUMPRODUCT((Inputs!$A$5:$A$110=$B18)*Inputs!$B$5:$B$110*(((Inputs!$G$5:$G$110="moeda")+(Inputs!$G$5:$G$110="acoes"))*Inputs!$B$1+((Inputs!$G$5:$G$110&lt;&gt;"moeda")*(Inputs!$G$5:$G$110&lt;&gt;"acoes")))*INDEX(Inputs!$K$5:$AJ$110,0,MATCH(N$2,Inputs!$K$4:$AJ$4,0)))+SUMPRODUCT((Inputs!$C$5:$C$110=$B18)*Inputs!$D$5:$D$110*(((Inputs!$G$5:$G$110="moeda")+(Inputs!$G$5:$G$110="acoes"))*Inputs!$B$1+((Inputs!$G$5:$G$110&lt;&gt;"moeda")*(Inputs!$G$5:$G$110&lt;&gt;"acoes")))*INDEX(Inputs!$K$5:$AJ$110,0,MATCH(N$2,Inputs!$K$4:$AJ$4,0)))+SUMPRODUCT((Inputs!$E$5:$E$110=$B18)*Inputs!$F$5:$F$110*(((Inputs!$G$5:$G$110="moeda")+(Inputs!$G$5:$G$110="acoes"))*Inputs!$B$1+((Inputs!$G$5:$G$110&lt;&gt;"moeda")*(Inputs!$G$5:$G$110&lt;&gt;"acoes")))*INDEX(Inputs!$K$5:$AJ$110,0,MATCH(N$2,Inputs!$K$4:$AJ$4,0)))))</f>
        <v>6885</v>
      </c>
      <c r="O18" s="6">
        <f>IF(ISNA(MATCH(O$2,Inputs!$K$4:$AJ$4,0)),NA(),IF(SUMPRODUCT((Inputs!$A$5:$A$110=$B18)*ISNUMBER(INDEX(Inputs!$K$5:$AJ$110,0,MATCH(O$2,Inputs!$K$4:$AJ$4,0))))+SUMPRODUCT((Inputs!$C$5:$C$110=$B18)*ISNUMBER(INDEX(Inputs!$K$5:$AJ$110,0,MATCH(O$2,Inputs!$K$4:$AJ$4,0))))+SUMPRODUCT((Inputs!$E$5:$E$110=$B18)*ISNUMBER(INDEX(Inputs!$K$5:$AJ$110,0,MATCH(O$2,Inputs!$K$4:$AJ$4,0))))=0,NA(),SUMPRODUCT((Inputs!$A$5:$A$110=$B18)*Inputs!$B$5:$B$110*(((Inputs!$G$5:$G$110="moeda")+(Inputs!$G$5:$G$110="acoes"))*Inputs!$B$1+((Inputs!$G$5:$G$110&lt;&gt;"moeda")*(Inputs!$G$5:$G$110&lt;&gt;"acoes")))*INDEX(Inputs!$K$5:$AJ$110,0,MATCH(O$2,Inputs!$K$4:$AJ$4,0)))+SUMPRODUCT((Inputs!$C$5:$C$110=$B18)*Inputs!$D$5:$D$110*(((Inputs!$G$5:$G$110="moeda")+(Inputs!$G$5:$G$110="acoes"))*Inputs!$B$1+((Inputs!$G$5:$G$110&lt;&gt;"moeda")*(Inputs!$G$5:$G$110&lt;&gt;"acoes")))*INDEX(Inputs!$K$5:$AJ$110,0,MATCH(O$2,Inputs!$K$4:$AJ$4,0)))+SUMPRODUCT((Inputs!$E$5:$E$110=$B18)*Inputs!$F$5:$F$110*(((Inputs!$G$5:$G$110="moeda")+(Inputs!$G$5:$G$110="acoes"))*Inputs!$B$1+((Inputs!$G$5:$G$110&lt;&gt;"moeda")*(Inputs!$G$5:$G$110&lt;&gt;"acoes")))*INDEX(Inputs!$K$5:$AJ$110,0,MATCH(O$2,Inputs!$K$4:$AJ$4,0)))))</f>
        <v>9357</v>
      </c>
      <c r="P18" s="6">
        <f>IF(ISNA(MATCH(P$2,Inputs!$K$4:$AJ$4,0)),NA(),IF(SUMPRODUCT((Inputs!$A$5:$A$110=$B18)*ISNUMBER(INDEX(Inputs!$K$5:$AJ$110,0,MATCH(P$2,Inputs!$K$4:$AJ$4,0))))+SUMPRODUCT((Inputs!$C$5:$C$110=$B18)*ISNUMBER(INDEX(Inputs!$K$5:$AJ$110,0,MATCH(P$2,Inputs!$K$4:$AJ$4,0))))+SUMPRODUCT((Inputs!$E$5:$E$110=$B18)*ISNUMBER(INDEX(Inputs!$K$5:$AJ$110,0,MATCH(P$2,Inputs!$K$4:$AJ$4,0))))=0,NA(),SUMPRODUCT((Inputs!$A$5:$A$110=$B18)*Inputs!$B$5:$B$110*(((Inputs!$G$5:$G$110="moeda")+(Inputs!$G$5:$G$110="acoes"))*Inputs!$B$1+((Inputs!$G$5:$G$110&lt;&gt;"moeda")*(Inputs!$G$5:$G$110&lt;&gt;"acoes")))*INDEX(Inputs!$K$5:$AJ$110,0,MATCH(P$2,Inputs!$K$4:$AJ$4,0)))+SUMPRODUCT((Inputs!$C$5:$C$110=$B18)*Inputs!$D$5:$D$110*(((Inputs!$G$5:$G$110="moeda")+(Inputs!$G$5:$G$110="acoes"))*Inputs!$B$1+((Inputs!$G$5:$G$110&lt;&gt;"moeda")*(Inputs!$G$5:$G$110&lt;&gt;"acoes")))*INDEX(Inputs!$K$5:$AJ$110,0,MATCH(P$2,Inputs!$K$4:$AJ$4,0)))+SUMPRODUCT((Inputs!$E$5:$E$110=$B18)*Inputs!$F$5:$F$110*(((Inputs!$G$5:$G$110="moeda")+(Inputs!$G$5:$G$110="acoes"))*Inputs!$B$1+((Inputs!$G$5:$G$110&lt;&gt;"moeda")*(Inputs!$G$5:$G$110&lt;&gt;"acoes")))*INDEX(Inputs!$K$5:$AJ$110,0,MATCH(P$2,Inputs!$K$4:$AJ$4,0)))))</f>
        <v>10983</v>
      </c>
      <c r="Q18" s="6">
        <f>IF(ISNA(MATCH(Q$2,Inputs!$K$4:$AJ$4,0)),NA(),IF(SUMPRODUCT((Inputs!$A$5:$A$110=$B18)*ISNUMBER(INDEX(Inputs!$K$5:$AJ$110,0,MATCH(Q$2,Inputs!$K$4:$AJ$4,0))))+SUMPRODUCT((Inputs!$C$5:$C$110=$B18)*ISNUMBER(INDEX(Inputs!$K$5:$AJ$110,0,MATCH(Q$2,Inputs!$K$4:$AJ$4,0))))+SUMPRODUCT((Inputs!$E$5:$E$110=$B18)*ISNUMBER(INDEX(Inputs!$K$5:$AJ$110,0,MATCH(Q$2,Inputs!$K$4:$AJ$4,0))))=0,NA(),SUMPRODUCT((Inputs!$A$5:$A$110=$B18)*Inputs!$B$5:$B$110*(((Inputs!$G$5:$G$110="moeda")+(Inputs!$G$5:$G$110="acoes"))*Inputs!$B$1+((Inputs!$G$5:$G$110&lt;&gt;"moeda")*(Inputs!$G$5:$G$110&lt;&gt;"acoes")))*INDEX(Inputs!$K$5:$AJ$110,0,MATCH(Q$2,Inputs!$K$4:$AJ$4,0)))+SUMPRODUCT((Inputs!$C$5:$C$110=$B18)*Inputs!$D$5:$D$110*(((Inputs!$G$5:$G$110="moeda")+(Inputs!$G$5:$G$110="acoes"))*Inputs!$B$1+((Inputs!$G$5:$G$110&lt;&gt;"moeda")*(Inputs!$G$5:$G$110&lt;&gt;"acoes")))*INDEX(Inputs!$K$5:$AJ$110,0,MATCH(Q$2,Inputs!$K$4:$AJ$4,0)))+SUMPRODUCT((Inputs!$E$5:$E$110=$B18)*Inputs!$F$5:$F$110*(((Inputs!$G$5:$G$110="moeda")+(Inputs!$G$5:$G$110="acoes"))*Inputs!$B$1+((Inputs!$G$5:$G$110&lt;&gt;"moeda")*(Inputs!$G$5:$G$110&lt;&gt;"acoes")))*INDEX(Inputs!$K$5:$AJ$110,0,MATCH(Q$2,Inputs!$K$4:$AJ$4,0)))))</f>
        <v>12169</v>
      </c>
      <c r="R18" s="3">
        <f>Q18</f>
        <v>12169</v>
      </c>
      <c r="S18" s="6">
        <f>IF(ISNA(MATCH(S$2,Inputs!$K$4:$AJ$4,0)),NA(),IF(SUMPRODUCT((Inputs!$A$5:$A$110=$B18)*ISNUMBER(INDEX(Inputs!$K$5:$AJ$110,0,MATCH(S$2,Inputs!$K$4:$AJ$4,0))))+SUMPRODUCT((Inputs!$C$5:$C$110=$B18)*ISNUMBER(INDEX(Inputs!$K$5:$AJ$110,0,MATCH(S$2,Inputs!$K$4:$AJ$4,0))))+SUMPRODUCT((Inputs!$E$5:$E$110=$B18)*ISNUMBER(INDEX(Inputs!$K$5:$AJ$110,0,MATCH(S$2,Inputs!$K$4:$AJ$4,0))))=0,NA(),SUMPRODUCT((Inputs!$A$5:$A$110=$B18)*Inputs!$B$5:$B$110*(((Inputs!$G$5:$G$110="moeda")+(Inputs!$G$5:$G$110="acoes"))*Inputs!$B$1+((Inputs!$G$5:$G$110&lt;&gt;"moeda")*(Inputs!$G$5:$G$110&lt;&gt;"acoes")))*INDEX(Inputs!$K$5:$AJ$110,0,MATCH(S$2,Inputs!$K$4:$AJ$4,0)))+SUMPRODUCT((Inputs!$C$5:$C$110=$B18)*Inputs!$D$5:$D$110*(((Inputs!$G$5:$G$110="moeda")+(Inputs!$G$5:$G$110="acoes"))*Inputs!$B$1+((Inputs!$G$5:$G$110&lt;&gt;"moeda")*(Inputs!$G$5:$G$110&lt;&gt;"acoes")))*INDEX(Inputs!$K$5:$AJ$110,0,MATCH(S$2,Inputs!$K$4:$AJ$4,0)))+SUMPRODUCT((Inputs!$E$5:$E$110=$B18)*Inputs!$F$5:$F$110*(((Inputs!$G$5:$G$110="moeda")+(Inputs!$G$5:$G$110="acoes"))*Inputs!$B$1+((Inputs!$G$5:$G$110&lt;&gt;"moeda")*(Inputs!$G$5:$G$110&lt;&gt;"acoes")))*INDEX(Inputs!$K$5:$AJ$110,0,MATCH(S$2,Inputs!$K$4:$AJ$4,0)))))</f>
        <v>11687</v>
      </c>
      <c r="T18" s="6">
        <f>IF(ISNA(MATCH(T$2,Inputs!$K$4:$AJ$4,0)),NA(),IF(SUMPRODUCT((Inputs!$A$5:$A$110=$B18)*ISNUMBER(INDEX(Inputs!$K$5:$AJ$110,0,MATCH(T$2,Inputs!$K$4:$AJ$4,0))))+SUMPRODUCT((Inputs!$C$5:$C$110=$B18)*ISNUMBER(INDEX(Inputs!$K$5:$AJ$110,0,MATCH(T$2,Inputs!$K$4:$AJ$4,0))))+SUMPRODUCT((Inputs!$E$5:$E$110=$B18)*ISNUMBER(INDEX(Inputs!$K$5:$AJ$110,0,MATCH(T$2,Inputs!$K$4:$AJ$4,0))))=0,NA(),SUMPRODUCT((Inputs!$A$5:$A$110=$B18)*Inputs!$B$5:$B$110*(((Inputs!$G$5:$G$110="moeda")+(Inputs!$G$5:$G$110="acoes"))*Inputs!$B$1+((Inputs!$G$5:$G$110&lt;&gt;"moeda")*(Inputs!$G$5:$G$110&lt;&gt;"acoes")))*INDEX(Inputs!$K$5:$AJ$110,0,MATCH(T$2,Inputs!$K$4:$AJ$4,0)))+SUMPRODUCT((Inputs!$C$5:$C$110=$B18)*Inputs!$D$5:$D$110*(((Inputs!$G$5:$G$110="moeda")+(Inputs!$G$5:$G$110="acoes"))*Inputs!$B$1+((Inputs!$G$5:$G$110&lt;&gt;"moeda")*(Inputs!$G$5:$G$110&lt;&gt;"acoes")))*INDEX(Inputs!$K$5:$AJ$110,0,MATCH(T$2,Inputs!$K$4:$AJ$4,0)))+SUMPRODUCT((Inputs!$E$5:$E$110=$B18)*Inputs!$F$5:$F$110*(((Inputs!$G$5:$G$110="moeda")+(Inputs!$G$5:$G$110="acoes"))*Inputs!$B$1+((Inputs!$G$5:$G$110&lt;&gt;"moeda")*(Inputs!$G$5:$G$110&lt;&gt;"acoes")))*INDEX(Inputs!$K$5:$AJ$110,0,MATCH(T$2,Inputs!$K$4:$AJ$4,0)))))</f>
        <v>14958</v>
      </c>
      <c r="U18" s="6">
        <f>IF(ISNA(MATCH(U$2,Inputs!$K$4:$AJ$4,0)),NA(),IF(SUMPRODUCT((Inputs!$A$5:$A$110=$B18)*ISNUMBER(INDEX(Inputs!$K$5:$AJ$110,0,MATCH(U$2,Inputs!$K$4:$AJ$4,0))))+SUMPRODUCT((Inputs!$C$5:$C$110=$B18)*ISNUMBER(INDEX(Inputs!$K$5:$AJ$110,0,MATCH(U$2,Inputs!$K$4:$AJ$4,0))))+SUMPRODUCT((Inputs!$E$5:$E$110=$B18)*ISNUMBER(INDEX(Inputs!$K$5:$AJ$110,0,MATCH(U$2,Inputs!$K$4:$AJ$4,0))))=0,NA(),SUMPRODUCT((Inputs!$A$5:$A$110=$B18)*Inputs!$B$5:$B$110*(((Inputs!$G$5:$G$110="moeda")+(Inputs!$G$5:$G$110="acoes"))*Inputs!$B$1+((Inputs!$G$5:$G$110&lt;&gt;"moeda")*(Inputs!$G$5:$G$110&lt;&gt;"acoes")))*INDEX(Inputs!$K$5:$AJ$110,0,MATCH(U$2,Inputs!$K$4:$AJ$4,0)))+SUMPRODUCT((Inputs!$C$5:$C$110=$B18)*Inputs!$D$5:$D$110*(((Inputs!$G$5:$G$110="moeda")+(Inputs!$G$5:$G$110="acoes"))*Inputs!$B$1+((Inputs!$G$5:$G$110&lt;&gt;"moeda")*(Inputs!$G$5:$G$110&lt;&gt;"acoes")))*INDEX(Inputs!$K$5:$AJ$110,0,MATCH(U$2,Inputs!$K$4:$AJ$4,0)))+SUMPRODUCT((Inputs!$E$5:$E$110=$B18)*Inputs!$F$5:$F$110*(((Inputs!$G$5:$G$110="moeda")+(Inputs!$G$5:$G$110="acoes"))*Inputs!$B$1+((Inputs!$G$5:$G$110&lt;&gt;"moeda")*(Inputs!$G$5:$G$110&lt;&gt;"acoes")))*INDEX(Inputs!$K$5:$AJ$110,0,MATCH(U$2,Inputs!$K$4:$AJ$4,0)))))</f>
        <v>15915</v>
      </c>
      <c r="V18" s="6">
        <f>IF(ISNA(MATCH(V$2,Inputs!$K$4:$AJ$4,0)),NA(),IF(SUMPRODUCT((Inputs!$A$5:$A$110=$B18)*ISNUMBER(INDEX(Inputs!$K$5:$AJ$110,0,MATCH(V$2,Inputs!$K$4:$AJ$4,0))))+SUMPRODUCT((Inputs!$C$5:$C$110=$B18)*ISNUMBER(INDEX(Inputs!$K$5:$AJ$110,0,MATCH(V$2,Inputs!$K$4:$AJ$4,0))))+SUMPRODUCT((Inputs!$E$5:$E$110=$B18)*ISNUMBER(INDEX(Inputs!$K$5:$AJ$110,0,MATCH(V$2,Inputs!$K$4:$AJ$4,0))))=0,NA(),SUMPRODUCT((Inputs!$A$5:$A$110=$B18)*Inputs!$B$5:$B$110*(((Inputs!$G$5:$G$110="moeda")+(Inputs!$G$5:$G$110="acoes"))*Inputs!$B$1+((Inputs!$G$5:$G$110&lt;&gt;"moeda")*(Inputs!$G$5:$G$110&lt;&gt;"acoes")))*INDEX(Inputs!$K$5:$AJ$110,0,MATCH(V$2,Inputs!$K$4:$AJ$4,0)))+SUMPRODUCT((Inputs!$C$5:$C$110=$B18)*Inputs!$D$5:$D$110*(((Inputs!$G$5:$G$110="moeda")+(Inputs!$G$5:$G$110="acoes"))*Inputs!$B$1+((Inputs!$G$5:$G$110&lt;&gt;"moeda")*(Inputs!$G$5:$G$110&lt;&gt;"acoes")))*INDEX(Inputs!$K$5:$AJ$110,0,MATCH(V$2,Inputs!$K$4:$AJ$4,0)))+SUMPRODUCT((Inputs!$E$5:$E$110=$B18)*Inputs!$F$5:$F$110*(((Inputs!$G$5:$G$110="moeda")+(Inputs!$G$5:$G$110="acoes"))*Inputs!$B$1+((Inputs!$G$5:$G$110&lt;&gt;"moeda")*(Inputs!$G$5:$G$110&lt;&gt;"acoes")))*INDEX(Inputs!$K$5:$AJ$110,0,MATCH(V$2,Inputs!$K$4:$AJ$4,0)))))</f>
        <v>17180</v>
      </c>
      <c r="W18" s="3">
        <f>V18</f>
        <v>17180</v>
      </c>
      <c r="X18" s="6">
        <f>IF(ISNA(MATCH(X$2,Inputs!$K$4:$AJ$4,0)),NA(),IF(SUMPRODUCT((Inputs!$A$5:$A$110=$B18)*ISNUMBER(INDEX(Inputs!$K$5:$AJ$110,0,MATCH(X$2,Inputs!$K$4:$AJ$4,0))))+SUMPRODUCT((Inputs!$C$5:$C$110=$B18)*ISNUMBER(INDEX(Inputs!$K$5:$AJ$110,0,MATCH(X$2,Inputs!$K$4:$AJ$4,0))))+SUMPRODUCT((Inputs!$E$5:$E$110=$B18)*ISNUMBER(INDEX(Inputs!$K$5:$AJ$110,0,MATCH(X$2,Inputs!$K$4:$AJ$4,0))))=0,NA(),SUMPRODUCT((Inputs!$A$5:$A$110=$B18)*Inputs!$B$5:$B$110*(((Inputs!$G$5:$G$110="moeda")+(Inputs!$G$5:$G$110="acoes"))*Inputs!$B$1+((Inputs!$G$5:$G$110&lt;&gt;"moeda")*(Inputs!$G$5:$G$110&lt;&gt;"acoes")))*INDEX(Inputs!$K$5:$AJ$110,0,MATCH(X$2,Inputs!$K$4:$AJ$4,0)))+SUMPRODUCT((Inputs!$C$5:$C$110=$B18)*Inputs!$D$5:$D$110*(((Inputs!$G$5:$G$110="moeda")+(Inputs!$G$5:$G$110="acoes"))*Inputs!$B$1+((Inputs!$G$5:$G$110&lt;&gt;"moeda")*(Inputs!$G$5:$G$110&lt;&gt;"acoes")))*INDEX(Inputs!$K$5:$AJ$110,0,MATCH(X$2,Inputs!$K$4:$AJ$4,0)))+SUMPRODUCT((Inputs!$E$5:$E$110=$B18)*Inputs!$F$5:$F$110*(((Inputs!$G$5:$G$110="moeda")+(Inputs!$G$5:$G$110="acoes"))*Inputs!$B$1+((Inputs!$G$5:$G$110&lt;&gt;"moeda")*(Inputs!$G$5:$G$110&lt;&gt;"acoes")))*INDEX(Inputs!$K$5:$AJ$110,0,MATCH(X$2,Inputs!$K$4:$AJ$4,0)))))</f>
        <v>18386</v>
      </c>
      <c r="Y18" s="6">
        <f>IF(ISNA(MATCH(Y$2,Inputs!$K$4:$AJ$4,0)),NA(),IF(SUMPRODUCT((Inputs!$A$5:$A$110=$B18)*ISNUMBER(INDEX(Inputs!$K$5:$AJ$110,0,MATCH(Y$2,Inputs!$K$4:$AJ$4,0))))+SUMPRODUCT((Inputs!$C$5:$C$110=$B18)*ISNUMBER(INDEX(Inputs!$K$5:$AJ$110,0,MATCH(Y$2,Inputs!$K$4:$AJ$4,0))))+SUMPRODUCT((Inputs!$E$5:$E$110=$B18)*ISNUMBER(INDEX(Inputs!$K$5:$AJ$110,0,MATCH(Y$2,Inputs!$K$4:$AJ$4,0))))=0,NA(),SUMPRODUCT((Inputs!$A$5:$A$110=$B18)*Inputs!$B$5:$B$110*(((Inputs!$G$5:$G$110="moeda")+(Inputs!$G$5:$G$110="acoes"))*Inputs!$B$1+((Inputs!$G$5:$G$110&lt;&gt;"moeda")*(Inputs!$G$5:$G$110&lt;&gt;"acoes")))*INDEX(Inputs!$K$5:$AJ$110,0,MATCH(Y$2,Inputs!$K$4:$AJ$4,0)))+SUMPRODUCT((Inputs!$C$5:$C$110=$B18)*Inputs!$D$5:$D$110*(((Inputs!$G$5:$G$110="moeda")+(Inputs!$G$5:$G$110="acoes"))*Inputs!$B$1+((Inputs!$G$5:$G$110&lt;&gt;"moeda")*(Inputs!$G$5:$G$110&lt;&gt;"acoes")))*INDEX(Inputs!$K$5:$AJ$110,0,MATCH(Y$2,Inputs!$K$4:$AJ$4,0)))+SUMPRODUCT((Inputs!$E$5:$E$110=$B18)*Inputs!$F$5:$F$110*(((Inputs!$G$5:$G$110="moeda")+(Inputs!$G$5:$G$110="acoes"))*Inputs!$B$1+((Inputs!$G$5:$G$110&lt;&gt;"moeda")*(Inputs!$G$5:$G$110&lt;&gt;"acoes")))*INDEX(Inputs!$K$5:$AJ$110,0,MATCH(Y$2,Inputs!$K$4:$AJ$4,0)))))</f>
        <v>19289</v>
      </c>
      <c r="Z18" s="6">
        <f>IF(ISNA(MATCH(Z$2,Inputs!$K$4:$AJ$4,0)),NA(),IF(SUMPRODUCT((Inputs!$A$5:$A$110=$B18)*ISNUMBER(INDEX(Inputs!$K$5:$AJ$110,0,MATCH(Z$2,Inputs!$K$4:$AJ$4,0))))+SUMPRODUCT((Inputs!$C$5:$C$110=$B18)*ISNUMBER(INDEX(Inputs!$K$5:$AJ$110,0,MATCH(Z$2,Inputs!$K$4:$AJ$4,0))))+SUMPRODUCT((Inputs!$E$5:$E$110=$B18)*ISNUMBER(INDEX(Inputs!$K$5:$AJ$110,0,MATCH(Z$2,Inputs!$K$4:$AJ$4,0))))=0,NA(),SUMPRODUCT((Inputs!$A$5:$A$110=$B18)*Inputs!$B$5:$B$110*(((Inputs!$G$5:$G$110="moeda")+(Inputs!$G$5:$G$110="acoes"))*Inputs!$B$1+((Inputs!$G$5:$G$110&lt;&gt;"moeda")*(Inputs!$G$5:$G$110&lt;&gt;"acoes")))*INDEX(Inputs!$K$5:$AJ$110,0,MATCH(Z$2,Inputs!$K$4:$AJ$4,0)))+SUMPRODUCT((Inputs!$C$5:$C$110=$B18)*Inputs!$D$5:$D$110*(((Inputs!$G$5:$G$110="moeda")+(Inputs!$G$5:$G$110="acoes"))*Inputs!$B$1+((Inputs!$G$5:$G$110&lt;&gt;"moeda")*(Inputs!$G$5:$G$110&lt;&gt;"acoes")))*INDEX(Inputs!$K$5:$AJ$110,0,MATCH(Z$2,Inputs!$K$4:$AJ$4,0)))+SUMPRODUCT((Inputs!$E$5:$E$110=$B18)*Inputs!$F$5:$F$110*(((Inputs!$G$5:$G$110="moeda")+(Inputs!$G$5:$G$110="acoes"))*Inputs!$B$1+((Inputs!$G$5:$G$110&lt;&gt;"moeda")*(Inputs!$G$5:$G$110&lt;&gt;"acoes")))*INDEX(Inputs!$K$5:$AJ$110,0,MATCH(Z$2,Inputs!$K$4:$AJ$4,0)))))</f>
        <v>10331</v>
      </c>
      <c r="AA18" s="6">
        <f>IF(ISNA(MATCH(AA$2,Inputs!$K$4:$AJ$4,0)),NA(),IF(SUMPRODUCT((Inputs!$A$5:$A$110=$B18)*ISNUMBER(INDEX(Inputs!$K$5:$AJ$110,0,MATCH(AA$2,Inputs!$K$4:$AJ$4,0))))+SUMPRODUCT((Inputs!$C$5:$C$110=$B18)*ISNUMBER(INDEX(Inputs!$K$5:$AJ$110,0,MATCH(AA$2,Inputs!$K$4:$AJ$4,0))))+SUMPRODUCT((Inputs!$E$5:$E$110=$B18)*ISNUMBER(INDEX(Inputs!$K$5:$AJ$110,0,MATCH(AA$2,Inputs!$K$4:$AJ$4,0))))=0,NA(),SUMPRODUCT((Inputs!$A$5:$A$110=$B18)*Inputs!$B$5:$B$110*(((Inputs!$G$5:$G$110="moeda")+(Inputs!$G$5:$G$110="acoes"))*Inputs!$B$1+((Inputs!$G$5:$G$110&lt;&gt;"moeda")*(Inputs!$G$5:$G$110&lt;&gt;"acoes")))*INDEX(Inputs!$K$5:$AJ$110,0,MATCH(AA$2,Inputs!$K$4:$AJ$4,0)))+SUMPRODUCT((Inputs!$C$5:$C$110=$B18)*Inputs!$D$5:$D$110*(((Inputs!$G$5:$G$110="moeda")+(Inputs!$G$5:$G$110="acoes"))*Inputs!$B$1+((Inputs!$G$5:$G$110&lt;&gt;"moeda")*(Inputs!$G$5:$G$110&lt;&gt;"acoes")))*INDEX(Inputs!$K$5:$AJ$110,0,MATCH(AA$2,Inputs!$K$4:$AJ$4,0)))+SUMPRODUCT((Inputs!$E$5:$E$110=$B18)*Inputs!$F$5:$F$110*(((Inputs!$G$5:$G$110="moeda")+(Inputs!$G$5:$G$110="acoes"))*Inputs!$B$1+((Inputs!$G$5:$G$110&lt;&gt;"moeda")*(Inputs!$G$5:$G$110&lt;&gt;"acoes")))*INDEX(Inputs!$K$5:$AJ$110,0,MATCH(AA$2,Inputs!$K$4:$AJ$4,0)))))</f>
        <v>9113</v>
      </c>
      <c r="AB18" s="3">
        <f>AA18</f>
        <v>9113</v>
      </c>
      <c r="AC18" s="6">
        <f>IF(ISNA(MATCH(AC$2,Inputs!$K$4:$AJ$4,0)),NA(),IF(SUMPRODUCT((Inputs!$A$5:$A$110=$B18)*ISNUMBER(INDEX(Inputs!$K$5:$AJ$110,0,MATCH(AC$2,Inputs!$K$4:$AJ$4,0))))+SUMPRODUCT((Inputs!$C$5:$C$110=$B18)*ISNUMBER(INDEX(Inputs!$K$5:$AJ$110,0,MATCH(AC$2,Inputs!$K$4:$AJ$4,0))))+SUMPRODUCT((Inputs!$E$5:$E$110=$B18)*ISNUMBER(INDEX(Inputs!$K$5:$AJ$110,0,MATCH(AC$2,Inputs!$K$4:$AJ$4,0))))=0,NA(),SUMPRODUCT((Inputs!$A$5:$A$110=$B18)*Inputs!$B$5:$B$110*(((Inputs!$G$5:$G$110="moeda")+(Inputs!$G$5:$G$110="acoes"))*Inputs!$B$1+((Inputs!$G$5:$G$110&lt;&gt;"moeda")*(Inputs!$G$5:$G$110&lt;&gt;"acoes")))*INDEX(Inputs!$K$5:$AJ$110,0,MATCH(AC$2,Inputs!$K$4:$AJ$4,0)))+SUMPRODUCT((Inputs!$C$5:$C$110=$B18)*Inputs!$D$5:$D$110*(((Inputs!$G$5:$G$110="moeda")+(Inputs!$G$5:$G$110="acoes"))*Inputs!$B$1+((Inputs!$G$5:$G$110&lt;&gt;"moeda")*(Inputs!$G$5:$G$110&lt;&gt;"acoes")))*INDEX(Inputs!$K$5:$AJ$110,0,MATCH(AC$2,Inputs!$K$4:$AJ$4,0)))+SUMPRODUCT((Inputs!$E$5:$E$110=$B18)*Inputs!$F$5:$F$110*(((Inputs!$G$5:$G$110="moeda")+(Inputs!$G$5:$G$110="acoes"))*Inputs!$B$1+((Inputs!$G$5:$G$110&lt;&gt;"moeda")*(Inputs!$G$5:$G$110&lt;&gt;"acoes")))*INDEX(Inputs!$K$5:$AJ$110,0,MATCH(AC$2,Inputs!$K$4:$AJ$4,0)))))</f>
        <v>1995</v>
      </c>
      <c r="AD18" s="6">
        <f>IF(ISNA(MATCH(AD$2,Inputs!$K$4:$AJ$4,0)),NA(),IF(SUMPRODUCT((Inputs!$A$5:$A$110=$B18)*ISNUMBER(INDEX(Inputs!$K$5:$AJ$110,0,MATCH(AD$2,Inputs!$K$4:$AJ$4,0))))+SUMPRODUCT((Inputs!$C$5:$C$110=$B18)*ISNUMBER(INDEX(Inputs!$K$5:$AJ$110,0,MATCH(AD$2,Inputs!$K$4:$AJ$4,0))))+SUMPRODUCT((Inputs!$E$5:$E$110=$B18)*ISNUMBER(INDEX(Inputs!$K$5:$AJ$110,0,MATCH(AD$2,Inputs!$K$4:$AJ$4,0))))=0,NA(),SUMPRODUCT((Inputs!$A$5:$A$110=$B18)*Inputs!$B$5:$B$110*(((Inputs!$G$5:$G$110="moeda")+(Inputs!$G$5:$G$110="acoes"))*Inputs!$B$1+((Inputs!$G$5:$G$110&lt;&gt;"moeda")*(Inputs!$G$5:$G$110&lt;&gt;"acoes")))*INDEX(Inputs!$K$5:$AJ$110,0,MATCH(AD$2,Inputs!$K$4:$AJ$4,0)))+SUMPRODUCT((Inputs!$C$5:$C$110=$B18)*Inputs!$D$5:$D$110*(((Inputs!$G$5:$G$110="moeda")+(Inputs!$G$5:$G$110="acoes"))*Inputs!$B$1+((Inputs!$G$5:$G$110&lt;&gt;"moeda")*(Inputs!$G$5:$G$110&lt;&gt;"acoes")))*INDEX(Inputs!$K$5:$AJ$110,0,MATCH(AD$2,Inputs!$K$4:$AJ$4,0)))+SUMPRODUCT((Inputs!$E$5:$E$110=$B18)*Inputs!$F$5:$F$110*(((Inputs!$G$5:$G$110="moeda")+(Inputs!$G$5:$G$110="acoes"))*Inputs!$B$1+((Inputs!$G$5:$G$110&lt;&gt;"moeda")*(Inputs!$G$5:$G$110&lt;&gt;"acoes")))*INDEX(Inputs!$K$5:$AJ$110,0,MATCH(AD$2,Inputs!$K$4:$AJ$4,0)))))</f>
        <v>1448</v>
      </c>
      <c r="AE18" s="6" t="e">
        <f>IF(ISNA(MATCH(AE$2,Inputs!$K$4:$AJ$4,0)),NA(),IF(SUMPRODUCT((Inputs!$A$5:$A$110=$B18)*ISNUMBER(INDEX(Inputs!$K$5:$AJ$110,0,MATCH(AE$2,Inputs!$K$4:$AJ$4,0))))+SUMPRODUCT((Inputs!$C$5:$C$110=$B18)*ISNUMBER(INDEX(Inputs!$K$5:$AJ$110,0,MATCH(AE$2,Inputs!$K$4:$AJ$4,0))))+SUMPRODUCT((Inputs!$E$5:$E$110=$B18)*ISNUMBER(INDEX(Inputs!$K$5:$AJ$110,0,MATCH(AE$2,Inputs!$K$4:$AJ$4,0))))=0,NA(),SUMPRODUCT((Inputs!$A$5:$A$110=$B18)*Inputs!$B$5:$B$110*(((Inputs!$G$5:$G$110="moeda")+(Inputs!$G$5:$G$110="acoes"))*Inputs!$B$1+((Inputs!$G$5:$G$110&lt;&gt;"moeda")*(Inputs!$G$5:$G$110&lt;&gt;"acoes")))*INDEX(Inputs!$K$5:$AJ$110,0,MATCH(AE$2,Inputs!$K$4:$AJ$4,0)))+SUMPRODUCT((Inputs!$C$5:$C$110=$B18)*Inputs!$D$5:$D$110*(((Inputs!$G$5:$G$110="moeda")+(Inputs!$G$5:$G$110="acoes"))*Inputs!$B$1+((Inputs!$G$5:$G$110&lt;&gt;"moeda")*(Inputs!$G$5:$G$110&lt;&gt;"acoes")))*INDEX(Inputs!$K$5:$AJ$110,0,MATCH(AE$2,Inputs!$K$4:$AJ$4,0)))+SUMPRODUCT((Inputs!$E$5:$E$110=$B18)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8" s="6" t="e">
        <f>IF(ISNA(MATCH(AF$2,Inputs!$K$4:$AJ$4,0)),NA(),IF(SUMPRODUCT((Inputs!$A$5:$A$110=$B18)*ISNUMBER(INDEX(Inputs!$K$5:$AJ$110,0,MATCH(AF$2,Inputs!$K$4:$AJ$4,0))))+SUMPRODUCT((Inputs!$C$5:$C$110=$B18)*ISNUMBER(INDEX(Inputs!$K$5:$AJ$110,0,MATCH(AF$2,Inputs!$K$4:$AJ$4,0))))+SUMPRODUCT((Inputs!$E$5:$E$110=$B18)*ISNUMBER(INDEX(Inputs!$K$5:$AJ$110,0,MATCH(AF$2,Inputs!$K$4:$AJ$4,0))))=0,NA(),SUMPRODUCT((Inputs!$A$5:$A$110=$B18)*Inputs!$B$5:$B$110*(((Inputs!$G$5:$G$110="moeda")+(Inputs!$G$5:$G$110="acoes"))*Inputs!$B$1+((Inputs!$G$5:$G$110&lt;&gt;"moeda")*(Inputs!$G$5:$G$110&lt;&gt;"acoes")))*INDEX(Inputs!$K$5:$AJ$110,0,MATCH(AF$2,Inputs!$K$4:$AJ$4,0)))+SUMPRODUCT((Inputs!$C$5:$C$110=$B18)*Inputs!$D$5:$D$110*(((Inputs!$G$5:$G$110="moeda")+(Inputs!$G$5:$G$110="acoes"))*Inputs!$B$1+((Inputs!$G$5:$G$110&lt;&gt;"moeda")*(Inputs!$G$5:$G$110&lt;&gt;"acoes")))*INDEX(Inputs!$K$5:$AJ$110,0,MATCH(AF$2,Inputs!$K$4:$AJ$4,0)))+SUMPRODUCT((Inputs!$E$5:$E$110=$B18)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8" s="3" t="e">
        <f>AF18</f>
        <v>#N/A</v>
      </c>
      <c r="AH18" s="6">
        <f>IF(ISNA(MATCH(AH$2,Inputs!$K$4:$AJ$4,0)),NA(),IF(SUMPRODUCT((Inputs!$A$5:$A$110=$B18)*ISNUMBER(INDEX(Inputs!$K$5:$AJ$110,0,MATCH(AH$2,Inputs!$K$4:$AJ$4,0))))+SUMPRODUCT((Inputs!$C$5:$C$110=$B18)*ISNUMBER(INDEX(Inputs!$K$5:$AJ$110,0,MATCH(AH$2,Inputs!$K$4:$AJ$4,0))))+SUMPRODUCT((Inputs!$E$5:$E$110=$B18)*ISNUMBER(INDEX(Inputs!$K$5:$AJ$110,0,MATCH(AH$2,Inputs!$K$4:$AJ$4,0))))=0,NA(),SUMPRODUCT((Inputs!$A$5:$A$110=$B18)*Inputs!$B$5:$B$110*(((Inputs!$G$5:$G$110="moeda")+(Inputs!$G$5:$G$110="acoes"))*Inputs!$B$1+((Inputs!$G$5:$G$110&lt;&gt;"moeda")*(Inputs!$G$5:$G$110&lt;&gt;"acoes")))*INDEX(Inputs!$K$5:$AJ$110,0,MATCH(AH$2,Inputs!$K$4:$AJ$4,0)))+SUMPRODUCT((Inputs!$C$5:$C$110=$B18)*Inputs!$D$5:$D$110*(((Inputs!$G$5:$G$110="moeda")+(Inputs!$G$5:$G$110="acoes"))*Inputs!$B$1+((Inputs!$G$5:$G$110&lt;&gt;"moeda")*(Inputs!$G$5:$G$110&lt;&gt;"acoes")))*INDEX(Inputs!$K$5:$AJ$110,0,MATCH(AH$2,Inputs!$K$4:$AJ$4,0)))+SUMPRODUCT((Inputs!$E$5:$E$110=$B18)*Inputs!$F$5:$F$110*(((Inputs!$G$5:$G$110="moeda")+(Inputs!$G$5:$G$110="acoes"))*Inputs!$B$1+((Inputs!$G$5:$G$110&lt;&gt;"moeda")*(Inputs!$G$5:$G$110&lt;&gt;"acoes")))*INDEX(Inputs!$K$5:$AJ$110,0,MATCH(AH$2,Inputs!$K$4:$AJ$4,0)))))</f>
        <v>730</v>
      </c>
      <c r="AI18" s="6">
        <f>IF(ISNA(MATCH(AI$2,Inputs!$K$4:$AJ$4,0)),NA(),IF(SUMPRODUCT((Inputs!$A$5:$A$110=$B18)*ISNUMBER(INDEX(Inputs!$K$5:$AJ$110,0,MATCH(AI$2,Inputs!$K$4:$AJ$4,0))))+SUMPRODUCT((Inputs!$C$5:$C$110=$B18)*ISNUMBER(INDEX(Inputs!$K$5:$AJ$110,0,MATCH(AI$2,Inputs!$K$4:$AJ$4,0))))+SUMPRODUCT((Inputs!$E$5:$E$110=$B18)*ISNUMBER(INDEX(Inputs!$K$5:$AJ$110,0,MATCH(AI$2,Inputs!$K$4:$AJ$4,0))))=0,NA(),SUMPRODUCT((Inputs!$A$5:$A$110=$B18)*Inputs!$B$5:$B$110*(((Inputs!$G$5:$G$110="moeda")+(Inputs!$G$5:$G$110="acoes"))*Inputs!$B$1+((Inputs!$G$5:$G$110&lt;&gt;"moeda")*(Inputs!$G$5:$G$110&lt;&gt;"acoes")))*INDEX(Inputs!$K$5:$AJ$110,0,MATCH(AI$2,Inputs!$K$4:$AJ$4,0)))+SUMPRODUCT((Inputs!$C$5:$C$110=$B18)*Inputs!$D$5:$D$110*(((Inputs!$G$5:$G$110="moeda")+(Inputs!$G$5:$G$110="acoes"))*Inputs!$B$1+((Inputs!$G$5:$G$110&lt;&gt;"moeda")*(Inputs!$G$5:$G$110&lt;&gt;"acoes")))*INDEX(Inputs!$K$5:$AJ$110,0,MATCH(AI$2,Inputs!$K$4:$AJ$4,0)))+SUMPRODUCT((Inputs!$E$5:$E$110=$B18)*Inputs!$F$5:$F$110*(((Inputs!$G$5:$G$110="moeda")+(Inputs!$G$5:$G$110="acoes"))*Inputs!$B$1+((Inputs!$G$5:$G$110&lt;&gt;"moeda")*(Inputs!$G$5:$G$110&lt;&gt;"acoes")))*INDEX(Inputs!$K$5:$AJ$110,0,MATCH(AI$2,Inputs!$K$4:$AJ$4,0)))))</f>
        <v>895</v>
      </c>
      <c r="AJ18" s="6">
        <f>IF(ISNA(MATCH(AJ$2,Inputs!$K$4:$AJ$4,0)),NA(),IF(SUMPRODUCT((Inputs!$A$5:$A$110=$B18)*ISNUMBER(INDEX(Inputs!$K$5:$AJ$110,0,MATCH(AJ$2,Inputs!$K$4:$AJ$4,0))))+SUMPRODUCT((Inputs!$C$5:$C$110=$B18)*ISNUMBER(INDEX(Inputs!$K$5:$AJ$110,0,MATCH(AJ$2,Inputs!$K$4:$AJ$4,0))))+SUMPRODUCT((Inputs!$E$5:$E$110=$B18)*ISNUMBER(INDEX(Inputs!$K$5:$AJ$110,0,MATCH(AJ$2,Inputs!$K$4:$AJ$4,0))))=0,NA(),SUMPRODUCT((Inputs!$A$5:$A$110=$B18)*Inputs!$B$5:$B$110*(((Inputs!$G$5:$G$110="moeda")+(Inputs!$G$5:$G$110="acoes"))*Inputs!$B$1+((Inputs!$G$5:$G$110&lt;&gt;"moeda")*(Inputs!$G$5:$G$110&lt;&gt;"acoes")))*INDEX(Inputs!$K$5:$AJ$110,0,MATCH(AJ$2,Inputs!$K$4:$AJ$4,0)))+SUMPRODUCT((Inputs!$C$5:$C$110=$B18)*Inputs!$D$5:$D$110*(((Inputs!$G$5:$G$110="moeda")+(Inputs!$G$5:$G$110="acoes"))*Inputs!$B$1+((Inputs!$G$5:$G$110&lt;&gt;"moeda")*(Inputs!$G$5:$G$110&lt;&gt;"acoes")))*INDEX(Inputs!$K$5:$AJ$110,0,MATCH(AJ$2,Inputs!$K$4:$AJ$4,0)))+SUMPRODUCT((Inputs!$E$5:$E$110=$B18)*Inputs!$F$5:$F$110*(((Inputs!$G$5:$G$110="moeda")+(Inputs!$G$5:$G$110="acoes"))*Inputs!$B$1+((Inputs!$G$5:$G$110&lt;&gt;"moeda")*(Inputs!$G$5:$G$110&lt;&gt;"acoes")))*INDEX(Inputs!$K$5:$AJ$110,0,MATCH(AJ$2,Inputs!$K$4:$AJ$4,0)))))</f>
        <v>972</v>
      </c>
      <c r="AK18" s="6">
        <f>IF(ISNA(MATCH(AK$2,Inputs!$K$4:$AJ$4,0)),NA(),IF(SUMPRODUCT((Inputs!$A$5:$A$110=$B18)*ISNUMBER(INDEX(Inputs!$K$5:$AJ$110,0,MATCH(AK$2,Inputs!$K$4:$AJ$4,0))))+SUMPRODUCT((Inputs!$C$5:$C$110=$B18)*ISNUMBER(INDEX(Inputs!$K$5:$AJ$110,0,MATCH(AK$2,Inputs!$K$4:$AJ$4,0))))+SUMPRODUCT((Inputs!$E$5:$E$110=$B18)*ISNUMBER(INDEX(Inputs!$K$5:$AJ$110,0,MATCH(AK$2,Inputs!$K$4:$AJ$4,0))))=0,NA(),SUMPRODUCT((Inputs!$A$5:$A$110=$B18)*Inputs!$B$5:$B$110*(((Inputs!$G$5:$G$110="moeda")+(Inputs!$G$5:$G$110="acoes"))*Inputs!$B$1+((Inputs!$G$5:$G$110&lt;&gt;"moeda")*(Inputs!$G$5:$G$110&lt;&gt;"acoes")))*INDEX(Inputs!$K$5:$AJ$110,0,MATCH(AK$2,Inputs!$K$4:$AJ$4,0)))+SUMPRODUCT((Inputs!$C$5:$C$110=$B18)*Inputs!$D$5:$D$110*(((Inputs!$G$5:$G$110="moeda")+(Inputs!$G$5:$G$110="acoes"))*Inputs!$B$1+((Inputs!$G$5:$G$110&lt;&gt;"moeda")*(Inputs!$G$5:$G$110&lt;&gt;"acoes")))*INDEX(Inputs!$K$5:$AJ$110,0,MATCH(AK$2,Inputs!$K$4:$AJ$4,0)))+SUMPRODUCT((Inputs!$E$5:$E$110=$B18)*Inputs!$F$5:$F$110*(((Inputs!$G$5:$G$110="moeda")+(Inputs!$G$5:$G$110="acoes"))*Inputs!$B$1+((Inputs!$G$5:$G$110&lt;&gt;"moeda")*(Inputs!$G$5:$G$110&lt;&gt;"acoes")))*INDEX(Inputs!$K$5:$AJ$110,0,MATCH(AK$2,Inputs!$K$4:$AJ$4,0)))))</f>
        <v>1084</v>
      </c>
      <c r="AL18" s="3">
        <f>AK18</f>
        <v>1084</v>
      </c>
    </row>
    <row r="19">
      <c r="B19" s="46" t="n">
        <v>15</v>
      </c>
      <c r="C19" s="26" t="inlineStr">
        <is>
          <t>Prepaid expenses</t>
        </is>
      </c>
      <c r="D19" s="6" t="e">
        <f>IF(ISNA(MATCH(D$2,Inputs!$K$4:$AJ$4,0)),NA(),IF(SUMPRODUCT((Inputs!$A$5:$A$110=$B19)*ISNUMBER(INDEX(Inputs!$K$5:$AJ$110,0,MATCH(D$2,Inputs!$K$4:$AJ$4,0))))+SUMPRODUCT((Inputs!$C$5:$C$110=$B19)*ISNUMBER(INDEX(Inputs!$K$5:$AJ$110,0,MATCH(D$2,Inputs!$K$4:$AJ$4,0))))+SUMPRODUCT((Inputs!$E$5:$E$110=$B19)*ISNUMBER(INDEX(Inputs!$K$5:$AJ$110,0,MATCH(D$2,Inputs!$K$4:$AJ$4,0))))=0,NA(),SUMPRODUCT((Inputs!$A$5:$A$110=$B19)*Inputs!$B$5:$B$110*(((Inputs!$G$5:$G$110="moeda")+(Inputs!$G$5:$G$110="acoes"))*Inputs!$B$1+((Inputs!$G$5:$G$110&lt;&gt;"moeda")*(Inputs!$G$5:$G$110&lt;&gt;"acoes")))*INDEX(Inputs!$K$5:$AJ$110,0,MATCH(D$2,Inputs!$K$4:$AJ$4,0)))+SUMPRODUCT((Inputs!$C$5:$C$110=$B19)*Inputs!$D$5:$D$110*(((Inputs!$G$5:$G$110="moeda")+(Inputs!$G$5:$G$110="acoes"))*Inputs!$B$1+((Inputs!$G$5:$G$110&lt;&gt;"moeda")*(Inputs!$G$5:$G$110&lt;&gt;"acoes")))*INDEX(Inputs!$K$5:$AJ$110,0,MATCH(D$2,Inputs!$K$4:$AJ$4,0)))+SUMPRODUCT((Inputs!$E$5:$E$110=$B19)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19" s="6" t="e">
        <f>IF(ISNA(MATCH(E$2,Inputs!$K$4:$AJ$4,0)),NA(),IF(SUMPRODUCT((Inputs!$A$5:$A$110=$B19)*ISNUMBER(INDEX(Inputs!$K$5:$AJ$110,0,MATCH(E$2,Inputs!$K$4:$AJ$4,0))))+SUMPRODUCT((Inputs!$C$5:$C$110=$B19)*ISNUMBER(INDEX(Inputs!$K$5:$AJ$110,0,MATCH(E$2,Inputs!$K$4:$AJ$4,0))))+SUMPRODUCT((Inputs!$E$5:$E$110=$B19)*ISNUMBER(INDEX(Inputs!$K$5:$AJ$110,0,MATCH(E$2,Inputs!$K$4:$AJ$4,0))))=0,NA(),SUMPRODUCT((Inputs!$A$5:$A$110=$B19)*Inputs!$B$5:$B$110*(((Inputs!$G$5:$G$110="moeda")+(Inputs!$G$5:$G$110="acoes"))*Inputs!$B$1+((Inputs!$G$5:$G$110&lt;&gt;"moeda")*(Inputs!$G$5:$G$110&lt;&gt;"acoes")))*INDEX(Inputs!$K$5:$AJ$110,0,MATCH(E$2,Inputs!$K$4:$AJ$4,0)))+SUMPRODUCT((Inputs!$C$5:$C$110=$B19)*Inputs!$D$5:$D$110*(((Inputs!$G$5:$G$110="moeda")+(Inputs!$G$5:$G$110="acoes"))*Inputs!$B$1+((Inputs!$G$5:$G$110&lt;&gt;"moeda")*(Inputs!$G$5:$G$110&lt;&gt;"acoes")))*INDEX(Inputs!$K$5:$AJ$110,0,MATCH(E$2,Inputs!$K$4:$AJ$4,0)))+SUMPRODUCT((Inputs!$E$5:$E$110=$B19)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19" s="6" t="e">
        <f>IF(ISNA(MATCH(F$2,Inputs!$K$4:$AJ$4,0)),NA(),IF(SUMPRODUCT((Inputs!$A$5:$A$110=$B19)*ISNUMBER(INDEX(Inputs!$K$5:$AJ$110,0,MATCH(F$2,Inputs!$K$4:$AJ$4,0))))+SUMPRODUCT((Inputs!$C$5:$C$110=$B19)*ISNUMBER(INDEX(Inputs!$K$5:$AJ$110,0,MATCH(F$2,Inputs!$K$4:$AJ$4,0))))+SUMPRODUCT((Inputs!$E$5:$E$110=$B19)*ISNUMBER(INDEX(Inputs!$K$5:$AJ$110,0,MATCH(F$2,Inputs!$K$4:$AJ$4,0))))=0,NA(),SUMPRODUCT((Inputs!$A$5:$A$110=$B19)*Inputs!$B$5:$B$110*(((Inputs!$G$5:$G$110="moeda")+(Inputs!$G$5:$G$110="acoes"))*Inputs!$B$1+((Inputs!$G$5:$G$110&lt;&gt;"moeda")*(Inputs!$G$5:$G$110&lt;&gt;"acoes")))*INDEX(Inputs!$K$5:$AJ$110,0,MATCH(F$2,Inputs!$K$4:$AJ$4,0)))+SUMPRODUCT((Inputs!$C$5:$C$110=$B19)*Inputs!$D$5:$D$110*(((Inputs!$G$5:$G$110="moeda")+(Inputs!$G$5:$G$110="acoes"))*Inputs!$B$1+((Inputs!$G$5:$G$110&lt;&gt;"moeda")*(Inputs!$G$5:$G$110&lt;&gt;"acoes")))*INDEX(Inputs!$K$5:$AJ$110,0,MATCH(F$2,Inputs!$K$4:$AJ$4,0)))+SUMPRODUCT((Inputs!$E$5:$E$110=$B19)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19" s="6" t="e">
        <f>IF(ISNA(MATCH(G$2,Inputs!$K$4:$AJ$4,0)),NA(),IF(SUMPRODUCT((Inputs!$A$5:$A$110=$B19)*ISNUMBER(INDEX(Inputs!$K$5:$AJ$110,0,MATCH(G$2,Inputs!$K$4:$AJ$4,0))))+SUMPRODUCT((Inputs!$C$5:$C$110=$B19)*ISNUMBER(INDEX(Inputs!$K$5:$AJ$110,0,MATCH(G$2,Inputs!$K$4:$AJ$4,0))))+SUMPRODUCT((Inputs!$E$5:$E$110=$B19)*ISNUMBER(INDEX(Inputs!$K$5:$AJ$110,0,MATCH(G$2,Inputs!$K$4:$AJ$4,0))))=0,NA(),SUMPRODUCT((Inputs!$A$5:$A$110=$B19)*Inputs!$B$5:$B$110*(((Inputs!$G$5:$G$110="moeda")+(Inputs!$G$5:$G$110="acoes"))*Inputs!$B$1+((Inputs!$G$5:$G$110&lt;&gt;"moeda")*(Inputs!$G$5:$G$110&lt;&gt;"acoes")))*INDEX(Inputs!$K$5:$AJ$110,0,MATCH(G$2,Inputs!$K$4:$AJ$4,0)))+SUMPRODUCT((Inputs!$C$5:$C$110=$B19)*Inputs!$D$5:$D$110*(((Inputs!$G$5:$G$110="moeda")+(Inputs!$G$5:$G$110="acoes"))*Inputs!$B$1+((Inputs!$G$5:$G$110&lt;&gt;"moeda")*(Inputs!$G$5:$G$110&lt;&gt;"acoes")))*INDEX(Inputs!$K$5:$AJ$110,0,MATCH(G$2,Inputs!$K$4:$AJ$4,0)))+SUMPRODUCT((Inputs!$E$5:$E$110=$B19)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19" s="3" t="e">
        <f>G19</f>
        <v>#N/A</v>
      </c>
      <c r="I19" s="6" t="e">
        <f>IF(ISNA(MATCH(I$2,Inputs!$K$4:$AJ$4,0)),NA(),IF(SUMPRODUCT((Inputs!$A$5:$A$110=$B19)*ISNUMBER(INDEX(Inputs!$K$5:$AJ$110,0,MATCH(I$2,Inputs!$K$4:$AJ$4,0))))+SUMPRODUCT((Inputs!$C$5:$C$110=$B19)*ISNUMBER(INDEX(Inputs!$K$5:$AJ$110,0,MATCH(I$2,Inputs!$K$4:$AJ$4,0))))+SUMPRODUCT((Inputs!$E$5:$E$110=$B19)*ISNUMBER(INDEX(Inputs!$K$5:$AJ$110,0,MATCH(I$2,Inputs!$K$4:$AJ$4,0))))=0,NA(),SUMPRODUCT((Inputs!$A$5:$A$110=$B19)*Inputs!$B$5:$B$110*(((Inputs!$G$5:$G$110="moeda")+(Inputs!$G$5:$G$110="acoes"))*Inputs!$B$1+((Inputs!$G$5:$G$110&lt;&gt;"moeda")*(Inputs!$G$5:$G$110&lt;&gt;"acoes")))*INDEX(Inputs!$K$5:$AJ$110,0,MATCH(I$2,Inputs!$K$4:$AJ$4,0)))+SUMPRODUCT((Inputs!$C$5:$C$110=$B19)*Inputs!$D$5:$D$110*(((Inputs!$G$5:$G$110="moeda")+(Inputs!$G$5:$G$110="acoes"))*Inputs!$B$1+((Inputs!$G$5:$G$110&lt;&gt;"moeda")*(Inputs!$G$5:$G$110&lt;&gt;"acoes")))*INDEX(Inputs!$K$5:$AJ$110,0,MATCH(I$2,Inputs!$K$4:$AJ$4,0)))+SUMPRODUCT((Inputs!$E$5:$E$110=$B19)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19" s="6" t="e">
        <f>IF(ISNA(MATCH(J$2,Inputs!$K$4:$AJ$4,0)),NA(),IF(SUMPRODUCT((Inputs!$A$5:$A$110=$B19)*ISNUMBER(INDEX(Inputs!$K$5:$AJ$110,0,MATCH(J$2,Inputs!$K$4:$AJ$4,0))))+SUMPRODUCT((Inputs!$C$5:$C$110=$B19)*ISNUMBER(INDEX(Inputs!$K$5:$AJ$110,0,MATCH(J$2,Inputs!$K$4:$AJ$4,0))))+SUMPRODUCT((Inputs!$E$5:$E$110=$B19)*ISNUMBER(INDEX(Inputs!$K$5:$AJ$110,0,MATCH(J$2,Inputs!$K$4:$AJ$4,0))))=0,NA(),SUMPRODUCT((Inputs!$A$5:$A$110=$B19)*Inputs!$B$5:$B$110*(((Inputs!$G$5:$G$110="moeda")+(Inputs!$G$5:$G$110="acoes"))*Inputs!$B$1+((Inputs!$G$5:$G$110&lt;&gt;"moeda")*(Inputs!$G$5:$G$110&lt;&gt;"acoes")))*INDEX(Inputs!$K$5:$AJ$110,0,MATCH(J$2,Inputs!$K$4:$AJ$4,0)))+SUMPRODUCT((Inputs!$C$5:$C$110=$B19)*Inputs!$D$5:$D$110*(((Inputs!$G$5:$G$110="moeda")+(Inputs!$G$5:$G$110="acoes"))*Inputs!$B$1+((Inputs!$G$5:$G$110&lt;&gt;"moeda")*(Inputs!$G$5:$G$110&lt;&gt;"acoes")))*INDEX(Inputs!$K$5:$AJ$110,0,MATCH(J$2,Inputs!$K$4:$AJ$4,0)))+SUMPRODUCT((Inputs!$E$5:$E$110=$B19)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19" s="6" t="e">
        <f>IF(ISNA(MATCH(K$2,Inputs!$K$4:$AJ$4,0)),NA(),IF(SUMPRODUCT((Inputs!$A$5:$A$110=$B19)*ISNUMBER(INDEX(Inputs!$K$5:$AJ$110,0,MATCH(K$2,Inputs!$K$4:$AJ$4,0))))+SUMPRODUCT((Inputs!$C$5:$C$110=$B19)*ISNUMBER(INDEX(Inputs!$K$5:$AJ$110,0,MATCH(K$2,Inputs!$K$4:$AJ$4,0))))+SUMPRODUCT((Inputs!$E$5:$E$110=$B19)*ISNUMBER(INDEX(Inputs!$K$5:$AJ$110,0,MATCH(K$2,Inputs!$K$4:$AJ$4,0))))=0,NA(),SUMPRODUCT((Inputs!$A$5:$A$110=$B19)*Inputs!$B$5:$B$110*(((Inputs!$G$5:$G$110="moeda")+(Inputs!$G$5:$G$110="acoes"))*Inputs!$B$1+((Inputs!$G$5:$G$110&lt;&gt;"moeda")*(Inputs!$G$5:$G$110&lt;&gt;"acoes")))*INDEX(Inputs!$K$5:$AJ$110,0,MATCH(K$2,Inputs!$K$4:$AJ$4,0)))+SUMPRODUCT((Inputs!$C$5:$C$110=$B19)*Inputs!$D$5:$D$110*(((Inputs!$G$5:$G$110="moeda")+(Inputs!$G$5:$G$110="acoes"))*Inputs!$B$1+((Inputs!$G$5:$G$110&lt;&gt;"moeda")*(Inputs!$G$5:$G$110&lt;&gt;"acoes")))*INDEX(Inputs!$K$5:$AJ$110,0,MATCH(K$2,Inputs!$K$4:$AJ$4,0)))+SUMPRODUCT((Inputs!$E$5:$E$110=$B19)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19" s="6" t="e">
        <f>IF(ISNA(MATCH(L$2,Inputs!$K$4:$AJ$4,0)),NA(),IF(SUMPRODUCT((Inputs!$A$5:$A$110=$B19)*ISNUMBER(INDEX(Inputs!$K$5:$AJ$110,0,MATCH(L$2,Inputs!$K$4:$AJ$4,0))))+SUMPRODUCT((Inputs!$C$5:$C$110=$B19)*ISNUMBER(INDEX(Inputs!$K$5:$AJ$110,0,MATCH(L$2,Inputs!$K$4:$AJ$4,0))))+SUMPRODUCT((Inputs!$E$5:$E$110=$B19)*ISNUMBER(INDEX(Inputs!$K$5:$AJ$110,0,MATCH(L$2,Inputs!$K$4:$AJ$4,0))))=0,NA(),SUMPRODUCT((Inputs!$A$5:$A$110=$B19)*Inputs!$B$5:$B$110*(((Inputs!$G$5:$G$110="moeda")+(Inputs!$G$5:$G$110="acoes"))*Inputs!$B$1+((Inputs!$G$5:$G$110&lt;&gt;"moeda")*(Inputs!$G$5:$G$110&lt;&gt;"acoes")))*INDEX(Inputs!$K$5:$AJ$110,0,MATCH(L$2,Inputs!$K$4:$AJ$4,0)))+SUMPRODUCT((Inputs!$C$5:$C$110=$B19)*Inputs!$D$5:$D$110*(((Inputs!$G$5:$G$110="moeda")+(Inputs!$G$5:$G$110="acoes"))*Inputs!$B$1+((Inputs!$G$5:$G$110&lt;&gt;"moeda")*(Inputs!$G$5:$G$110&lt;&gt;"acoes")))*INDEX(Inputs!$K$5:$AJ$110,0,MATCH(L$2,Inputs!$K$4:$AJ$4,0)))+SUMPRODUCT((Inputs!$E$5:$E$110=$B19)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19" s="3" t="e">
        <f>L19</f>
        <v>#N/A</v>
      </c>
      <c r="N19" s="6" t="e">
        <f>IF(ISNA(MATCH(N$2,Inputs!$K$4:$AJ$4,0)),NA(),IF(SUMPRODUCT((Inputs!$A$5:$A$110=$B19)*ISNUMBER(INDEX(Inputs!$K$5:$AJ$110,0,MATCH(N$2,Inputs!$K$4:$AJ$4,0))))+SUMPRODUCT((Inputs!$C$5:$C$110=$B19)*ISNUMBER(INDEX(Inputs!$K$5:$AJ$110,0,MATCH(N$2,Inputs!$K$4:$AJ$4,0))))+SUMPRODUCT((Inputs!$E$5:$E$110=$B19)*ISNUMBER(INDEX(Inputs!$K$5:$AJ$110,0,MATCH(N$2,Inputs!$K$4:$AJ$4,0))))=0,NA(),SUMPRODUCT((Inputs!$A$5:$A$110=$B19)*Inputs!$B$5:$B$110*(((Inputs!$G$5:$G$110="moeda")+(Inputs!$G$5:$G$110="acoes"))*Inputs!$B$1+((Inputs!$G$5:$G$110&lt;&gt;"moeda")*(Inputs!$G$5:$G$110&lt;&gt;"acoes")))*INDEX(Inputs!$K$5:$AJ$110,0,MATCH(N$2,Inputs!$K$4:$AJ$4,0)))+SUMPRODUCT((Inputs!$C$5:$C$110=$B19)*Inputs!$D$5:$D$110*(((Inputs!$G$5:$G$110="moeda")+(Inputs!$G$5:$G$110="acoes"))*Inputs!$B$1+((Inputs!$G$5:$G$110&lt;&gt;"moeda")*(Inputs!$G$5:$G$110&lt;&gt;"acoes")))*INDEX(Inputs!$K$5:$AJ$110,0,MATCH(N$2,Inputs!$K$4:$AJ$4,0)))+SUMPRODUCT((Inputs!$E$5:$E$110=$B19)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19" s="6" t="e">
        <f>IF(ISNA(MATCH(O$2,Inputs!$K$4:$AJ$4,0)),NA(),IF(SUMPRODUCT((Inputs!$A$5:$A$110=$B19)*ISNUMBER(INDEX(Inputs!$K$5:$AJ$110,0,MATCH(O$2,Inputs!$K$4:$AJ$4,0))))+SUMPRODUCT((Inputs!$C$5:$C$110=$B19)*ISNUMBER(INDEX(Inputs!$K$5:$AJ$110,0,MATCH(O$2,Inputs!$K$4:$AJ$4,0))))+SUMPRODUCT((Inputs!$E$5:$E$110=$B19)*ISNUMBER(INDEX(Inputs!$K$5:$AJ$110,0,MATCH(O$2,Inputs!$K$4:$AJ$4,0))))=0,NA(),SUMPRODUCT((Inputs!$A$5:$A$110=$B19)*Inputs!$B$5:$B$110*(((Inputs!$G$5:$G$110="moeda")+(Inputs!$G$5:$G$110="acoes"))*Inputs!$B$1+((Inputs!$G$5:$G$110&lt;&gt;"moeda")*(Inputs!$G$5:$G$110&lt;&gt;"acoes")))*INDEX(Inputs!$K$5:$AJ$110,0,MATCH(O$2,Inputs!$K$4:$AJ$4,0)))+SUMPRODUCT((Inputs!$C$5:$C$110=$B19)*Inputs!$D$5:$D$110*(((Inputs!$G$5:$G$110="moeda")+(Inputs!$G$5:$G$110="acoes"))*Inputs!$B$1+((Inputs!$G$5:$G$110&lt;&gt;"moeda")*(Inputs!$G$5:$G$110&lt;&gt;"acoes")))*INDEX(Inputs!$K$5:$AJ$110,0,MATCH(O$2,Inputs!$K$4:$AJ$4,0)))+SUMPRODUCT((Inputs!$E$5:$E$110=$B19)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19" s="6" t="e">
        <f>IF(ISNA(MATCH(P$2,Inputs!$K$4:$AJ$4,0)),NA(),IF(SUMPRODUCT((Inputs!$A$5:$A$110=$B19)*ISNUMBER(INDEX(Inputs!$K$5:$AJ$110,0,MATCH(P$2,Inputs!$K$4:$AJ$4,0))))+SUMPRODUCT((Inputs!$C$5:$C$110=$B19)*ISNUMBER(INDEX(Inputs!$K$5:$AJ$110,0,MATCH(P$2,Inputs!$K$4:$AJ$4,0))))+SUMPRODUCT((Inputs!$E$5:$E$110=$B19)*ISNUMBER(INDEX(Inputs!$K$5:$AJ$110,0,MATCH(P$2,Inputs!$K$4:$AJ$4,0))))=0,NA(),SUMPRODUCT((Inputs!$A$5:$A$110=$B19)*Inputs!$B$5:$B$110*(((Inputs!$G$5:$G$110="moeda")+(Inputs!$G$5:$G$110="acoes"))*Inputs!$B$1+((Inputs!$G$5:$G$110&lt;&gt;"moeda")*(Inputs!$G$5:$G$110&lt;&gt;"acoes")))*INDEX(Inputs!$K$5:$AJ$110,0,MATCH(P$2,Inputs!$K$4:$AJ$4,0)))+SUMPRODUCT((Inputs!$C$5:$C$110=$B19)*Inputs!$D$5:$D$110*(((Inputs!$G$5:$G$110="moeda")+(Inputs!$G$5:$G$110="acoes"))*Inputs!$B$1+((Inputs!$G$5:$G$110&lt;&gt;"moeda")*(Inputs!$G$5:$G$110&lt;&gt;"acoes")))*INDEX(Inputs!$K$5:$AJ$110,0,MATCH(P$2,Inputs!$K$4:$AJ$4,0)))+SUMPRODUCT((Inputs!$E$5:$E$110=$B19)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19" s="6" t="e">
        <f>IF(ISNA(MATCH(Q$2,Inputs!$K$4:$AJ$4,0)),NA(),IF(SUMPRODUCT((Inputs!$A$5:$A$110=$B19)*ISNUMBER(INDEX(Inputs!$K$5:$AJ$110,0,MATCH(Q$2,Inputs!$K$4:$AJ$4,0))))+SUMPRODUCT((Inputs!$C$5:$C$110=$B19)*ISNUMBER(INDEX(Inputs!$K$5:$AJ$110,0,MATCH(Q$2,Inputs!$K$4:$AJ$4,0))))+SUMPRODUCT((Inputs!$E$5:$E$110=$B19)*ISNUMBER(INDEX(Inputs!$K$5:$AJ$110,0,MATCH(Q$2,Inputs!$K$4:$AJ$4,0))))=0,NA(),SUMPRODUCT((Inputs!$A$5:$A$110=$B19)*Inputs!$B$5:$B$110*(((Inputs!$G$5:$G$110="moeda")+(Inputs!$G$5:$G$110="acoes"))*Inputs!$B$1+((Inputs!$G$5:$G$110&lt;&gt;"moeda")*(Inputs!$G$5:$G$110&lt;&gt;"acoes")))*INDEX(Inputs!$K$5:$AJ$110,0,MATCH(Q$2,Inputs!$K$4:$AJ$4,0)))+SUMPRODUCT((Inputs!$C$5:$C$110=$B19)*Inputs!$D$5:$D$110*(((Inputs!$G$5:$G$110="moeda")+(Inputs!$G$5:$G$110="acoes"))*Inputs!$B$1+((Inputs!$G$5:$G$110&lt;&gt;"moeda")*(Inputs!$G$5:$G$110&lt;&gt;"acoes")))*INDEX(Inputs!$K$5:$AJ$110,0,MATCH(Q$2,Inputs!$K$4:$AJ$4,0)))+SUMPRODUCT((Inputs!$E$5:$E$110=$B19)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19" s="3" t="e">
        <f>Q19</f>
        <v>#N/A</v>
      </c>
      <c r="S19" s="6" t="e">
        <f>IF(ISNA(MATCH(S$2,Inputs!$K$4:$AJ$4,0)),NA(),IF(SUMPRODUCT((Inputs!$A$5:$A$110=$B19)*ISNUMBER(INDEX(Inputs!$K$5:$AJ$110,0,MATCH(S$2,Inputs!$K$4:$AJ$4,0))))+SUMPRODUCT((Inputs!$C$5:$C$110=$B19)*ISNUMBER(INDEX(Inputs!$K$5:$AJ$110,0,MATCH(S$2,Inputs!$K$4:$AJ$4,0))))+SUMPRODUCT((Inputs!$E$5:$E$110=$B19)*ISNUMBER(INDEX(Inputs!$K$5:$AJ$110,0,MATCH(S$2,Inputs!$K$4:$AJ$4,0))))=0,NA(),SUMPRODUCT((Inputs!$A$5:$A$110=$B19)*Inputs!$B$5:$B$110*(((Inputs!$G$5:$G$110="moeda")+(Inputs!$G$5:$G$110="acoes"))*Inputs!$B$1+((Inputs!$G$5:$G$110&lt;&gt;"moeda")*(Inputs!$G$5:$G$110&lt;&gt;"acoes")))*INDEX(Inputs!$K$5:$AJ$110,0,MATCH(S$2,Inputs!$K$4:$AJ$4,0)))+SUMPRODUCT((Inputs!$C$5:$C$110=$B19)*Inputs!$D$5:$D$110*(((Inputs!$G$5:$G$110="moeda")+(Inputs!$G$5:$G$110="acoes"))*Inputs!$B$1+((Inputs!$G$5:$G$110&lt;&gt;"moeda")*(Inputs!$G$5:$G$110&lt;&gt;"acoes")))*INDEX(Inputs!$K$5:$AJ$110,0,MATCH(S$2,Inputs!$K$4:$AJ$4,0)))+SUMPRODUCT((Inputs!$E$5:$E$110=$B19)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19" s="6" t="e">
        <f>IF(ISNA(MATCH(T$2,Inputs!$K$4:$AJ$4,0)),NA(),IF(SUMPRODUCT((Inputs!$A$5:$A$110=$B19)*ISNUMBER(INDEX(Inputs!$K$5:$AJ$110,0,MATCH(T$2,Inputs!$K$4:$AJ$4,0))))+SUMPRODUCT((Inputs!$C$5:$C$110=$B19)*ISNUMBER(INDEX(Inputs!$K$5:$AJ$110,0,MATCH(T$2,Inputs!$K$4:$AJ$4,0))))+SUMPRODUCT((Inputs!$E$5:$E$110=$B19)*ISNUMBER(INDEX(Inputs!$K$5:$AJ$110,0,MATCH(T$2,Inputs!$K$4:$AJ$4,0))))=0,NA(),SUMPRODUCT((Inputs!$A$5:$A$110=$B19)*Inputs!$B$5:$B$110*(((Inputs!$G$5:$G$110="moeda")+(Inputs!$G$5:$G$110="acoes"))*Inputs!$B$1+((Inputs!$G$5:$G$110&lt;&gt;"moeda")*(Inputs!$G$5:$G$110&lt;&gt;"acoes")))*INDEX(Inputs!$K$5:$AJ$110,0,MATCH(T$2,Inputs!$K$4:$AJ$4,0)))+SUMPRODUCT((Inputs!$C$5:$C$110=$B19)*Inputs!$D$5:$D$110*(((Inputs!$G$5:$G$110="moeda")+(Inputs!$G$5:$G$110="acoes"))*Inputs!$B$1+((Inputs!$G$5:$G$110&lt;&gt;"moeda")*(Inputs!$G$5:$G$110&lt;&gt;"acoes")))*INDEX(Inputs!$K$5:$AJ$110,0,MATCH(T$2,Inputs!$K$4:$AJ$4,0)))+SUMPRODUCT((Inputs!$E$5:$E$110=$B19)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19" s="6" t="e">
        <f>IF(ISNA(MATCH(U$2,Inputs!$K$4:$AJ$4,0)),NA(),IF(SUMPRODUCT((Inputs!$A$5:$A$110=$B19)*ISNUMBER(INDEX(Inputs!$K$5:$AJ$110,0,MATCH(U$2,Inputs!$K$4:$AJ$4,0))))+SUMPRODUCT((Inputs!$C$5:$C$110=$B19)*ISNUMBER(INDEX(Inputs!$K$5:$AJ$110,0,MATCH(U$2,Inputs!$K$4:$AJ$4,0))))+SUMPRODUCT((Inputs!$E$5:$E$110=$B19)*ISNUMBER(INDEX(Inputs!$K$5:$AJ$110,0,MATCH(U$2,Inputs!$K$4:$AJ$4,0))))=0,NA(),SUMPRODUCT((Inputs!$A$5:$A$110=$B19)*Inputs!$B$5:$B$110*(((Inputs!$G$5:$G$110="moeda")+(Inputs!$G$5:$G$110="acoes"))*Inputs!$B$1+((Inputs!$G$5:$G$110&lt;&gt;"moeda")*(Inputs!$G$5:$G$110&lt;&gt;"acoes")))*INDEX(Inputs!$K$5:$AJ$110,0,MATCH(U$2,Inputs!$K$4:$AJ$4,0)))+SUMPRODUCT((Inputs!$C$5:$C$110=$B19)*Inputs!$D$5:$D$110*(((Inputs!$G$5:$G$110="moeda")+(Inputs!$G$5:$G$110="acoes"))*Inputs!$B$1+((Inputs!$G$5:$G$110&lt;&gt;"moeda")*(Inputs!$G$5:$G$110&lt;&gt;"acoes")))*INDEX(Inputs!$K$5:$AJ$110,0,MATCH(U$2,Inputs!$K$4:$AJ$4,0)))+SUMPRODUCT((Inputs!$E$5:$E$110=$B19)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19" s="6" t="e">
        <f>IF(ISNA(MATCH(V$2,Inputs!$K$4:$AJ$4,0)),NA(),IF(SUMPRODUCT((Inputs!$A$5:$A$110=$B19)*ISNUMBER(INDEX(Inputs!$K$5:$AJ$110,0,MATCH(V$2,Inputs!$K$4:$AJ$4,0))))+SUMPRODUCT((Inputs!$C$5:$C$110=$B19)*ISNUMBER(INDEX(Inputs!$K$5:$AJ$110,0,MATCH(V$2,Inputs!$K$4:$AJ$4,0))))+SUMPRODUCT((Inputs!$E$5:$E$110=$B19)*ISNUMBER(INDEX(Inputs!$K$5:$AJ$110,0,MATCH(V$2,Inputs!$K$4:$AJ$4,0))))=0,NA(),SUMPRODUCT((Inputs!$A$5:$A$110=$B19)*Inputs!$B$5:$B$110*(((Inputs!$G$5:$G$110="moeda")+(Inputs!$G$5:$G$110="acoes"))*Inputs!$B$1+((Inputs!$G$5:$G$110&lt;&gt;"moeda")*(Inputs!$G$5:$G$110&lt;&gt;"acoes")))*INDEX(Inputs!$K$5:$AJ$110,0,MATCH(V$2,Inputs!$K$4:$AJ$4,0)))+SUMPRODUCT((Inputs!$C$5:$C$110=$B19)*Inputs!$D$5:$D$110*(((Inputs!$G$5:$G$110="moeda")+(Inputs!$G$5:$G$110="acoes"))*Inputs!$B$1+((Inputs!$G$5:$G$110&lt;&gt;"moeda")*(Inputs!$G$5:$G$110&lt;&gt;"acoes")))*INDEX(Inputs!$K$5:$AJ$110,0,MATCH(V$2,Inputs!$K$4:$AJ$4,0)))+SUMPRODUCT((Inputs!$E$5:$E$110=$B19)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19" s="3" t="e">
        <f>V19</f>
        <v>#N/A</v>
      </c>
      <c r="X19" s="6" t="e">
        <f>IF(ISNA(MATCH(X$2,Inputs!$K$4:$AJ$4,0)),NA(),IF(SUMPRODUCT((Inputs!$A$5:$A$110=$B19)*ISNUMBER(INDEX(Inputs!$K$5:$AJ$110,0,MATCH(X$2,Inputs!$K$4:$AJ$4,0))))+SUMPRODUCT((Inputs!$C$5:$C$110=$B19)*ISNUMBER(INDEX(Inputs!$K$5:$AJ$110,0,MATCH(X$2,Inputs!$K$4:$AJ$4,0))))+SUMPRODUCT((Inputs!$E$5:$E$110=$B19)*ISNUMBER(INDEX(Inputs!$K$5:$AJ$110,0,MATCH(X$2,Inputs!$K$4:$AJ$4,0))))=0,NA(),SUMPRODUCT((Inputs!$A$5:$A$110=$B19)*Inputs!$B$5:$B$110*(((Inputs!$G$5:$G$110="moeda")+(Inputs!$G$5:$G$110="acoes"))*Inputs!$B$1+((Inputs!$G$5:$G$110&lt;&gt;"moeda")*(Inputs!$G$5:$G$110&lt;&gt;"acoes")))*INDEX(Inputs!$K$5:$AJ$110,0,MATCH(X$2,Inputs!$K$4:$AJ$4,0)))+SUMPRODUCT((Inputs!$C$5:$C$110=$B19)*Inputs!$D$5:$D$110*(((Inputs!$G$5:$G$110="moeda")+(Inputs!$G$5:$G$110="acoes"))*Inputs!$B$1+((Inputs!$G$5:$G$110&lt;&gt;"moeda")*(Inputs!$G$5:$G$110&lt;&gt;"acoes")))*INDEX(Inputs!$K$5:$AJ$110,0,MATCH(X$2,Inputs!$K$4:$AJ$4,0)))+SUMPRODUCT((Inputs!$E$5:$E$110=$B19)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19" s="6" t="e">
        <f>IF(ISNA(MATCH(Y$2,Inputs!$K$4:$AJ$4,0)),NA(),IF(SUMPRODUCT((Inputs!$A$5:$A$110=$B19)*ISNUMBER(INDEX(Inputs!$K$5:$AJ$110,0,MATCH(Y$2,Inputs!$K$4:$AJ$4,0))))+SUMPRODUCT((Inputs!$C$5:$C$110=$B19)*ISNUMBER(INDEX(Inputs!$K$5:$AJ$110,0,MATCH(Y$2,Inputs!$K$4:$AJ$4,0))))+SUMPRODUCT((Inputs!$E$5:$E$110=$B19)*ISNUMBER(INDEX(Inputs!$K$5:$AJ$110,0,MATCH(Y$2,Inputs!$K$4:$AJ$4,0))))=0,NA(),SUMPRODUCT((Inputs!$A$5:$A$110=$B19)*Inputs!$B$5:$B$110*(((Inputs!$G$5:$G$110="moeda")+(Inputs!$G$5:$G$110="acoes"))*Inputs!$B$1+((Inputs!$G$5:$G$110&lt;&gt;"moeda")*(Inputs!$G$5:$G$110&lt;&gt;"acoes")))*INDEX(Inputs!$K$5:$AJ$110,0,MATCH(Y$2,Inputs!$K$4:$AJ$4,0)))+SUMPRODUCT((Inputs!$C$5:$C$110=$B19)*Inputs!$D$5:$D$110*(((Inputs!$G$5:$G$110="moeda")+(Inputs!$G$5:$G$110="acoes"))*Inputs!$B$1+((Inputs!$G$5:$G$110&lt;&gt;"moeda")*(Inputs!$G$5:$G$110&lt;&gt;"acoes")))*INDEX(Inputs!$K$5:$AJ$110,0,MATCH(Y$2,Inputs!$K$4:$AJ$4,0)))+SUMPRODUCT((Inputs!$E$5:$E$110=$B19)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19" s="6" t="e">
        <f>IF(ISNA(MATCH(Z$2,Inputs!$K$4:$AJ$4,0)),NA(),IF(SUMPRODUCT((Inputs!$A$5:$A$110=$B19)*ISNUMBER(INDEX(Inputs!$K$5:$AJ$110,0,MATCH(Z$2,Inputs!$K$4:$AJ$4,0))))+SUMPRODUCT((Inputs!$C$5:$C$110=$B19)*ISNUMBER(INDEX(Inputs!$K$5:$AJ$110,0,MATCH(Z$2,Inputs!$K$4:$AJ$4,0))))+SUMPRODUCT((Inputs!$E$5:$E$110=$B19)*ISNUMBER(INDEX(Inputs!$K$5:$AJ$110,0,MATCH(Z$2,Inputs!$K$4:$AJ$4,0))))=0,NA(),SUMPRODUCT((Inputs!$A$5:$A$110=$B19)*Inputs!$B$5:$B$110*(((Inputs!$G$5:$G$110="moeda")+(Inputs!$G$5:$G$110="acoes"))*Inputs!$B$1+((Inputs!$G$5:$G$110&lt;&gt;"moeda")*(Inputs!$G$5:$G$110&lt;&gt;"acoes")))*INDEX(Inputs!$K$5:$AJ$110,0,MATCH(Z$2,Inputs!$K$4:$AJ$4,0)))+SUMPRODUCT((Inputs!$C$5:$C$110=$B19)*Inputs!$D$5:$D$110*(((Inputs!$G$5:$G$110="moeda")+(Inputs!$G$5:$G$110="acoes"))*Inputs!$B$1+((Inputs!$G$5:$G$110&lt;&gt;"moeda")*(Inputs!$G$5:$G$110&lt;&gt;"acoes")))*INDEX(Inputs!$K$5:$AJ$110,0,MATCH(Z$2,Inputs!$K$4:$AJ$4,0)))+SUMPRODUCT((Inputs!$E$5:$E$110=$B19)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19" s="6" t="e">
        <f>IF(ISNA(MATCH(AA$2,Inputs!$K$4:$AJ$4,0)),NA(),IF(SUMPRODUCT((Inputs!$A$5:$A$110=$B19)*ISNUMBER(INDEX(Inputs!$K$5:$AJ$110,0,MATCH(AA$2,Inputs!$K$4:$AJ$4,0))))+SUMPRODUCT((Inputs!$C$5:$C$110=$B19)*ISNUMBER(INDEX(Inputs!$K$5:$AJ$110,0,MATCH(AA$2,Inputs!$K$4:$AJ$4,0))))+SUMPRODUCT((Inputs!$E$5:$E$110=$B19)*ISNUMBER(INDEX(Inputs!$K$5:$AJ$110,0,MATCH(AA$2,Inputs!$K$4:$AJ$4,0))))=0,NA(),SUMPRODUCT((Inputs!$A$5:$A$110=$B19)*Inputs!$B$5:$B$110*(((Inputs!$G$5:$G$110="moeda")+(Inputs!$G$5:$G$110="acoes"))*Inputs!$B$1+((Inputs!$G$5:$G$110&lt;&gt;"moeda")*(Inputs!$G$5:$G$110&lt;&gt;"acoes")))*INDEX(Inputs!$K$5:$AJ$110,0,MATCH(AA$2,Inputs!$K$4:$AJ$4,0)))+SUMPRODUCT((Inputs!$C$5:$C$110=$B19)*Inputs!$D$5:$D$110*(((Inputs!$G$5:$G$110="moeda")+(Inputs!$G$5:$G$110="acoes"))*Inputs!$B$1+((Inputs!$G$5:$G$110&lt;&gt;"moeda")*(Inputs!$G$5:$G$110&lt;&gt;"acoes")))*INDEX(Inputs!$K$5:$AJ$110,0,MATCH(AA$2,Inputs!$K$4:$AJ$4,0)))+SUMPRODUCT((Inputs!$E$5:$E$110=$B19)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19" s="3" t="e">
        <f>AA19</f>
        <v>#N/A</v>
      </c>
      <c r="AC19" s="6" t="e">
        <f>IF(ISNA(MATCH(AC$2,Inputs!$K$4:$AJ$4,0)),NA(),IF(SUMPRODUCT((Inputs!$A$5:$A$110=$B19)*ISNUMBER(INDEX(Inputs!$K$5:$AJ$110,0,MATCH(AC$2,Inputs!$K$4:$AJ$4,0))))+SUMPRODUCT((Inputs!$C$5:$C$110=$B19)*ISNUMBER(INDEX(Inputs!$K$5:$AJ$110,0,MATCH(AC$2,Inputs!$K$4:$AJ$4,0))))+SUMPRODUCT((Inputs!$E$5:$E$110=$B19)*ISNUMBER(INDEX(Inputs!$K$5:$AJ$110,0,MATCH(AC$2,Inputs!$K$4:$AJ$4,0))))=0,NA(),SUMPRODUCT((Inputs!$A$5:$A$110=$B19)*Inputs!$B$5:$B$110*(((Inputs!$G$5:$G$110="moeda")+(Inputs!$G$5:$G$110="acoes"))*Inputs!$B$1+((Inputs!$G$5:$G$110&lt;&gt;"moeda")*(Inputs!$G$5:$G$110&lt;&gt;"acoes")))*INDEX(Inputs!$K$5:$AJ$110,0,MATCH(AC$2,Inputs!$K$4:$AJ$4,0)))+SUMPRODUCT((Inputs!$C$5:$C$110=$B19)*Inputs!$D$5:$D$110*(((Inputs!$G$5:$G$110="moeda")+(Inputs!$G$5:$G$110="acoes"))*Inputs!$B$1+((Inputs!$G$5:$G$110&lt;&gt;"moeda")*(Inputs!$G$5:$G$110&lt;&gt;"acoes")))*INDEX(Inputs!$K$5:$AJ$110,0,MATCH(AC$2,Inputs!$K$4:$AJ$4,0)))+SUMPRODUCT((Inputs!$E$5:$E$110=$B19)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19" s="6" t="e">
        <f>IF(ISNA(MATCH(AD$2,Inputs!$K$4:$AJ$4,0)),NA(),IF(SUMPRODUCT((Inputs!$A$5:$A$110=$B19)*ISNUMBER(INDEX(Inputs!$K$5:$AJ$110,0,MATCH(AD$2,Inputs!$K$4:$AJ$4,0))))+SUMPRODUCT((Inputs!$C$5:$C$110=$B19)*ISNUMBER(INDEX(Inputs!$K$5:$AJ$110,0,MATCH(AD$2,Inputs!$K$4:$AJ$4,0))))+SUMPRODUCT((Inputs!$E$5:$E$110=$B19)*ISNUMBER(INDEX(Inputs!$K$5:$AJ$110,0,MATCH(AD$2,Inputs!$K$4:$AJ$4,0))))=0,NA(),SUMPRODUCT((Inputs!$A$5:$A$110=$B19)*Inputs!$B$5:$B$110*(((Inputs!$G$5:$G$110="moeda")+(Inputs!$G$5:$G$110="acoes"))*Inputs!$B$1+((Inputs!$G$5:$G$110&lt;&gt;"moeda")*(Inputs!$G$5:$G$110&lt;&gt;"acoes")))*INDEX(Inputs!$K$5:$AJ$110,0,MATCH(AD$2,Inputs!$K$4:$AJ$4,0)))+SUMPRODUCT((Inputs!$C$5:$C$110=$B19)*Inputs!$D$5:$D$110*(((Inputs!$G$5:$G$110="moeda")+(Inputs!$G$5:$G$110="acoes"))*Inputs!$B$1+((Inputs!$G$5:$G$110&lt;&gt;"moeda")*(Inputs!$G$5:$G$110&lt;&gt;"acoes")))*INDEX(Inputs!$K$5:$AJ$110,0,MATCH(AD$2,Inputs!$K$4:$AJ$4,0)))+SUMPRODUCT((Inputs!$E$5:$E$110=$B19)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19" s="6" t="e">
        <f>IF(ISNA(MATCH(AE$2,Inputs!$K$4:$AJ$4,0)),NA(),IF(SUMPRODUCT((Inputs!$A$5:$A$110=$B19)*ISNUMBER(INDEX(Inputs!$K$5:$AJ$110,0,MATCH(AE$2,Inputs!$K$4:$AJ$4,0))))+SUMPRODUCT((Inputs!$C$5:$C$110=$B19)*ISNUMBER(INDEX(Inputs!$K$5:$AJ$110,0,MATCH(AE$2,Inputs!$K$4:$AJ$4,0))))+SUMPRODUCT((Inputs!$E$5:$E$110=$B19)*ISNUMBER(INDEX(Inputs!$K$5:$AJ$110,0,MATCH(AE$2,Inputs!$K$4:$AJ$4,0))))=0,NA(),SUMPRODUCT((Inputs!$A$5:$A$110=$B19)*Inputs!$B$5:$B$110*(((Inputs!$G$5:$G$110="moeda")+(Inputs!$G$5:$G$110="acoes"))*Inputs!$B$1+((Inputs!$G$5:$G$110&lt;&gt;"moeda")*(Inputs!$G$5:$G$110&lt;&gt;"acoes")))*INDEX(Inputs!$K$5:$AJ$110,0,MATCH(AE$2,Inputs!$K$4:$AJ$4,0)))+SUMPRODUCT((Inputs!$C$5:$C$110=$B19)*Inputs!$D$5:$D$110*(((Inputs!$G$5:$G$110="moeda")+(Inputs!$G$5:$G$110="acoes"))*Inputs!$B$1+((Inputs!$G$5:$G$110&lt;&gt;"moeda")*(Inputs!$G$5:$G$110&lt;&gt;"acoes")))*INDEX(Inputs!$K$5:$AJ$110,0,MATCH(AE$2,Inputs!$K$4:$AJ$4,0)))+SUMPRODUCT((Inputs!$E$5:$E$110=$B19)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9" s="6" t="e">
        <f>IF(ISNA(MATCH(AF$2,Inputs!$K$4:$AJ$4,0)),NA(),IF(SUMPRODUCT((Inputs!$A$5:$A$110=$B19)*ISNUMBER(INDEX(Inputs!$K$5:$AJ$110,0,MATCH(AF$2,Inputs!$K$4:$AJ$4,0))))+SUMPRODUCT((Inputs!$C$5:$C$110=$B19)*ISNUMBER(INDEX(Inputs!$K$5:$AJ$110,0,MATCH(AF$2,Inputs!$K$4:$AJ$4,0))))+SUMPRODUCT((Inputs!$E$5:$E$110=$B19)*ISNUMBER(INDEX(Inputs!$K$5:$AJ$110,0,MATCH(AF$2,Inputs!$K$4:$AJ$4,0))))=0,NA(),SUMPRODUCT((Inputs!$A$5:$A$110=$B19)*Inputs!$B$5:$B$110*(((Inputs!$G$5:$G$110="moeda")+(Inputs!$G$5:$G$110="acoes"))*Inputs!$B$1+((Inputs!$G$5:$G$110&lt;&gt;"moeda")*(Inputs!$G$5:$G$110&lt;&gt;"acoes")))*INDEX(Inputs!$K$5:$AJ$110,0,MATCH(AF$2,Inputs!$K$4:$AJ$4,0)))+SUMPRODUCT((Inputs!$C$5:$C$110=$B19)*Inputs!$D$5:$D$110*(((Inputs!$G$5:$G$110="moeda")+(Inputs!$G$5:$G$110="acoes"))*Inputs!$B$1+((Inputs!$G$5:$G$110&lt;&gt;"moeda")*(Inputs!$G$5:$G$110&lt;&gt;"acoes")))*INDEX(Inputs!$K$5:$AJ$110,0,MATCH(AF$2,Inputs!$K$4:$AJ$4,0)))+SUMPRODUCT((Inputs!$E$5:$E$110=$B19)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9" s="3" t="e">
        <f>AF19</f>
        <v>#N/A</v>
      </c>
      <c r="AH19" s="6" t="e">
        <f>IF(ISNA(MATCH(AH$2,Inputs!$K$4:$AJ$4,0)),NA(),IF(SUMPRODUCT((Inputs!$A$5:$A$110=$B19)*ISNUMBER(INDEX(Inputs!$K$5:$AJ$110,0,MATCH(AH$2,Inputs!$K$4:$AJ$4,0))))+SUMPRODUCT((Inputs!$C$5:$C$110=$B19)*ISNUMBER(INDEX(Inputs!$K$5:$AJ$110,0,MATCH(AH$2,Inputs!$K$4:$AJ$4,0))))+SUMPRODUCT((Inputs!$E$5:$E$110=$B19)*ISNUMBER(INDEX(Inputs!$K$5:$AJ$110,0,MATCH(AH$2,Inputs!$K$4:$AJ$4,0))))=0,NA(),SUMPRODUCT((Inputs!$A$5:$A$110=$B19)*Inputs!$B$5:$B$110*(((Inputs!$G$5:$G$110="moeda")+(Inputs!$G$5:$G$110="acoes"))*Inputs!$B$1+((Inputs!$G$5:$G$110&lt;&gt;"moeda")*(Inputs!$G$5:$G$110&lt;&gt;"acoes")))*INDEX(Inputs!$K$5:$AJ$110,0,MATCH(AH$2,Inputs!$K$4:$AJ$4,0)))+SUMPRODUCT((Inputs!$C$5:$C$110=$B19)*Inputs!$D$5:$D$110*(((Inputs!$G$5:$G$110="moeda")+(Inputs!$G$5:$G$110="acoes"))*Inputs!$B$1+((Inputs!$G$5:$G$110&lt;&gt;"moeda")*(Inputs!$G$5:$G$110&lt;&gt;"acoes")))*INDEX(Inputs!$K$5:$AJ$110,0,MATCH(AH$2,Inputs!$K$4:$AJ$4,0)))+SUMPRODUCT((Inputs!$E$5:$E$110=$B19)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19" s="6" t="e">
        <f>IF(ISNA(MATCH(AI$2,Inputs!$K$4:$AJ$4,0)),NA(),IF(SUMPRODUCT((Inputs!$A$5:$A$110=$B19)*ISNUMBER(INDEX(Inputs!$K$5:$AJ$110,0,MATCH(AI$2,Inputs!$K$4:$AJ$4,0))))+SUMPRODUCT((Inputs!$C$5:$C$110=$B19)*ISNUMBER(INDEX(Inputs!$K$5:$AJ$110,0,MATCH(AI$2,Inputs!$K$4:$AJ$4,0))))+SUMPRODUCT((Inputs!$E$5:$E$110=$B19)*ISNUMBER(INDEX(Inputs!$K$5:$AJ$110,0,MATCH(AI$2,Inputs!$K$4:$AJ$4,0))))=0,NA(),SUMPRODUCT((Inputs!$A$5:$A$110=$B19)*Inputs!$B$5:$B$110*(((Inputs!$G$5:$G$110="moeda")+(Inputs!$G$5:$G$110="acoes"))*Inputs!$B$1+((Inputs!$G$5:$G$110&lt;&gt;"moeda")*(Inputs!$G$5:$G$110&lt;&gt;"acoes")))*INDEX(Inputs!$K$5:$AJ$110,0,MATCH(AI$2,Inputs!$K$4:$AJ$4,0)))+SUMPRODUCT((Inputs!$C$5:$C$110=$B19)*Inputs!$D$5:$D$110*(((Inputs!$G$5:$G$110="moeda")+(Inputs!$G$5:$G$110="acoes"))*Inputs!$B$1+((Inputs!$G$5:$G$110&lt;&gt;"moeda")*(Inputs!$G$5:$G$110&lt;&gt;"acoes")))*INDEX(Inputs!$K$5:$AJ$110,0,MATCH(AI$2,Inputs!$K$4:$AJ$4,0)))+SUMPRODUCT((Inputs!$E$5:$E$110=$B19)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19" s="6" t="e">
        <f>IF(ISNA(MATCH(AJ$2,Inputs!$K$4:$AJ$4,0)),NA(),IF(SUMPRODUCT((Inputs!$A$5:$A$110=$B19)*ISNUMBER(INDEX(Inputs!$K$5:$AJ$110,0,MATCH(AJ$2,Inputs!$K$4:$AJ$4,0))))+SUMPRODUCT((Inputs!$C$5:$C$110=$B19)*ISNUMBER(INDEX(Inputs!$K$5:$AJ$110,0,MATCH(AJ$2,Inputs!$K$4:$AJ$4,0))))+SUMPRODUCT((Inputs!$E$5:$E$110=$B19)*ISNUMBER(INDEX(Inputs!$K$5:$AJ$110,0,MATCH(AJ$2,Inputs!$K$4:$AJ$4,0))))=0,NA(),SUMPRODUCT((Inputs!$A$5:$A$110=$B19)*Inputs!$B$5:$B$110*(((Inputs!$G$5:$G$110="moeda")+(Inputs!$G$5:$G$110="acoes"))*Inputs!$B$1+((Inputs!$G$5:$G$110&lt;&gt;"moeda")*(Inputs!$G$5:$G$110&lt;&gt;"acoes")))*INDEX(Inputs!$K$5:$AJ$110,0,MATCH(AJ$2,Inputs!$K$4:$AJ$4,0)))+SUMPRODUCT((Inputs!$C$5:$C$110=$B19)*Inputs!$D$5:$D$110*(((Inputs!$G$5:$G$110="moeda")+(Inputs!$G$5:$G$110="acoes"))*Inputs!$B$1+((Inputs!$G$5:$G$110&lt;&gt;"moeda")*(Inputs!$G$5:$G$110&lt;&gt;"acoes")))*INDEX(Inputs!$K$5:$AJ$110,0,MATCH(AJ$2,Inputs!$K$4:$AJ$4,0)))+SUMPRODUCT((Inputs!$E$5:$E$110=$B19)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19" s="6" t="e">
        <f>IF(ISNA(MATCH(AK$2,Inputs!$K$4:$AJ$4,0)),NA(),IF(SUMPRODUCT((Inputs!$A$5:$A$110=$B19)*ISNUMBER(INDEX(Inputs!$K$5:$AJ$110,0,MATCH(AK$2,Inputs!$K$4:$AJ$4,0))))+SUMPRODUCT((Inputs!$C$5:$C$110=$B19)*ISNUMBER(INDEX(Inputs!$K$5:$AJ$110,0,MATCH(AK$2,Inputs!$K$4:$AJ$4,0))))+SUMPRODUCT((Inputs!$E$5:$E$110=$B19)*ISNUMBER(INDEX(Inputs!$K$5:$AJ$110,0,MATCH(AK$2,Inputs!$K$4:$AJ$4,0))))=0,NA(),SUMPRODUCT((Inputs!$A$5:$A$110=$B19)*Inputs!$B$5:$B$110*(((Inputs!$G$5:$G$110="moeda")+(Inputs!$G$5:$G$110="acoes"))*Inputs!$B$1+((Inputs!$G$5:$G$110&lt;&gt;"moeda")*(Inputs!$G$5:$G$110&lt;&gt;"acoes")))*INDEX(Inputs!$K$5:$AJ$110,0,MATCH(AK$2,Inputs!$K$4:$AJ$4,0)))+SUMPRODUCT((Inputs!$C$5:$C$110=$B19)*Inputs!$D$5:$D$110*(((Inputs!$G$5:$G$110="moeda")+(Inputs!$G$5:$G$110="acoes"))*Inputs!$B$1+((Inputs!$G$5:$G$110&lt;&gt;"moeda")*(Inputs!$G$5:$G$110&lt;&gt;"acoes")))*INDEX(Inputs!$K$5:$AJ$110,0,MATCH(AK$2,Inputs!$K$4:$AJ$4,0)))+SUMPRODUCT((Inputs!$E$5:$E$110=$B19)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19" s="3" t="e">
        <f>AK19</f>
        <v>#N/A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$110=$B20)*ISNUMBER(INDEX(Inputs!$K$5:$AJ$110,0,MATCH(D$2,Inputs!$K$4:$AJ$4,0))))+SUMPRODUCT((Inputs!$C$5:$C$110=$B20)*ISNUMBER(INDEX(Inputs!$K$5:$AJ$110,0,MATCH(D$2,Inputs!$K$4:$AJ$4,0))))+SUMPRODUCT((Inputs!$E$5:$E$110=$B20)*ISNUMBER(INDEX(Inputs!$K$5:$AJ$110,0,MATCH(D$2,Inputs!$K$4:$AJ$4,0))))=0,NA(),SUMPRODUCT((Inputs!$A$5:$A$110=$B20)*Inputs!$B$5:$B$110*(((Inputs!$G$5:$G$110="moeda")+(Inputs!$G$5:$G$110="acoes"))*Inputs!$B$1+((Inputs!$G$5:$G$110&lt;&gt;"moeda")*(Inputs!$G$5:$G$110&lt;&gt;"acoes")))*INDEX(Inputs!$K$5:$AJ$110,0,MATCH(D$2,Inputs!$K$4:$AJ$4,0)))+SUMPRODUCT((Inputs!$C$5:$C$110=$B20)*Inputs!$D$5:$D$110*(((Inputs!$G$5:$G$110="moeda")+(Inputs!$G$5:$G$110="acoes"))*Inputs!$B$1+((Inputs!$G$5:$G$110&lt;&gt;"moeda")*(Inputs!$G$5:$G$110&lt;&gt;"acoes")))*INDEX(Inputs!$K$5:$AJ$110,0,MATCH(D$2,Inputs!$K$4:$AJ$4,0)))+SUMPRODUCT((Inputs!$E$5:$E$110=$B20)*Inputs!$F$5:$F$110*(((Inputs!$G$5:$G$110="moeda")+(Inputs!$G$5:$G$110="acoes"))*Inputs!$B$1+((Inputs!$G$5:$G$110&lt;&gt;"moeda")*(Inputs!$G$5:$G$110&lt;&gt;"acoes")))*INDEX(Inputs!$K$5:$AJ$110,0,MATCH(D$2,Inputs!$K$4:$AJ$4,0)))))</f>
        <v>8139</v>
      </c>
      <c r="E20" s="6">
        <f>IF(ISNA(MATCH(E$2,Inputs!$K$4:$AJ$4,0)),NA(),IF(SUMPRODUCT((Inputs!$A$5:$A$110=$B20)*ISNUMBER(INDEX(Inputs!$K$5:$AJ$110,0,MATCH(E$2,Inputs!$K$4:$AJ$4,0))))+SUMPRODUCT((Inputs!$C$5:$C$110=$B20)*ISNUMBER(INDEX(Inputs!$K$5:$AJ$110,0,MATCH(E$2,Inputs!$K$4:$AJ$4,0))))+SUMPRODUCT((Inputs!$E$5:$E$110=$B20)*ISNUMBER(INDEX(Inputs!$K$5:$AJ$110,0,MATCH(E$2,Inputs!$K$4:$AJ$4,0))))=0,NA(),SUMPRODUCT((Inputs!$A$5:$A$110=$B20)*Inputs!$B$5:$B$110*(((Inputs!$G$5:$G$110="moeda")+(Inputs!$G$5:$G$110="acoes"))*Inputs!$B$1+((Inputs!$G$5:$G$110&lt;&gt;"moeda")*(Inputs!$G$5:$G$110&lt;&gt;"acoes")))*INDEX(Inputs!$K$5:$AJ$110,0,MATCH(E$2,Inputs!$K$4:$AJ$4,0)))+SUMPRODUCT((Inputs!$C$5:$C$110=$B20)*Inputs!$D$5:$D$110*(((Inputs!$G$5:$G$110="moeda")+(Inputs!$G$5:$G$110="acoes"))*Inputs!$B$1+((Inputs!$G$5:$G$110&lt;&gt;"moeda")*(Inputs!$G$5:$G$110&lt;&gt;"acoes")))*INDEX(Inputs!$K$5:$AJ$110,0,MATCH(E$2,Inputs!$K$4:$AJ$4,0)))+SUMPRODUCT((Inputs!$E$5:$E$110=$B20)*Inputs!$F$5:$F$110*(((Inputs!$G$5:$G$110="moeda")+(Inputs!$G$5:$G$110="acoes"))*Inputs!$B$1+((Inputs!$G$5:$G$110&lt;&gt;"moeda")*(Inputs!$G$5:$G$110&lt;&gt;"acoes")))*INDEX(Inputs!$K$5:$AJ$110,0,MATCH(E$2,Inputs!$K$4:$AJ$4,0)))))</f>
        <v>6960</v>
      </c>
      <c r="F20" s="6">
        <f>IF(ISNA(MATCH(F$2,Inputs!$K$4:$AJ$4,0)),NA(),IF(SUMPRODUCT((Inputs!$A$5:$A$110=$B20)*ISNUMBER(INDEX(Inputs!$K$5:$AJ$110,0,MATCH(F$2,Inputs!$K$4:$AJ$4,0))))+SUMPRODUCT((Inputs!$C$5:$C$110=$B20)*ISNUMBER(INDEX(Inputs!$K$5:$AJ$110,0,MATCH(F$2,Inputs!$K$4:$AJ$4,0))))+SUMPRODUCT((Inputs!$E$5:$E$110=$B20)*ISNUMBER(INDEX(Inputs!$K$5:$AJ$110,0,MATCH(F$2,Inputs!$K$4:$AJ$4,0))))=0,NA(),SUMPRODUCT((Inputs!$A$5:$A$110=$B20)*Inputs!$B$5:$B$110*(((Inputs!$G$5:$G$110="moeda")+(Inputs!$G$5:$G$110="acoes"))*Inputs!$B$1+((Inputs!$G$5:$G$110&lt;&gt;"moeda")*(Inputs!$G$5:$G$110&lt;&gt;"acoes")))*INDEX(Inputs!$K$5:$AJ$110,0,MATCH(F$2,Inputs!$K$4:$AJ$4,0)))+SUMPRODUCT((Inputs!$C$5:$C$110=$B20)*Inputs!$D$5:$D$110*(((Inputs!$G$5:$G$110="moeda")+(Inputs!$G$5:$G$110="acoes"))*Inputs!$B$1+((Inputs!$G$5:$G$110&lt;&gt;"moeda")*(Inputs!$G$5:$G$110&lt;&gt;"acoes")))*INDEX(Inputs!$K$5:$AJ$110,0,MATCH(F$2,Inputs!$K$4:$AJ$4,0)))+SUMPRODUCT((Inputs!$E$5:$E$110=$B20)*Inputs!$F$5:$F$110*(((Inputs!$G$5:$G$110="moeda")+(Inputs!$G$5:$G$110="acoes"))*Inputs!$B$1+((Inputs!$G$5:$G$110&lt;&gt;"moeda")*(Inputs!$G$5:$G$110&lt;&gt;"acoes")))*INDEX(Inputs!$K$5:$AJ$110,0,MATCH(F$2,Inputs!$K$4:$AJ$4,0)))))</f>
        <v>6782</v>
      </c>
      <c r="G20" s="6">
        <f>IF(ISNA(MATCH(G$2,Inputs!$K$4:$AJ$4,0)),NA(),IF(SUMPRODUCT((Inputs!$A$5:$A$110=$B20)*ISNUMBER(INDEX(Inputs!$K$5:$AJ$110,0,MATCH(G$2,Inputs!$K$4:$AJ$4,0))))+SUMPRODUCT((Inputs!$C$5:$C$110=$B20)*ISNUMBER(INDEX(Inputs!$K$5:$AJ$110,0,MATCH(G$2,Inputs!$K$4:$AJ$4,0))))+SUMPRODUCT((Inputs!$E$5:$E$110=$B20)*ISNUMBER(INDEX(Inputs!$K$5:$AJ$110,0,MATCH(G$2,Inputs!$K$4:$AJ$4,0))))=0,NA(),SUMPRODUCT((Inputs!$A$5:$A$110=$B20)*Inputs!$B$5:$B$110*(((Inputs!$G$5:$G$110="moeda")+(Inputs!$G$5:$G$110="acoes"))*Inputs!$B$1+((Inputs!$G$5:$G$110&lt;&gt;"moeda")*(Inputs!$G$5:$G$110&lt;&gt;"acoes")))*INDEX(Inputs!$K$5:$AJ$110,0,MATCH(G$2,Inputs!$K$4:$AJ$4,0)))+SUMPRODUCT((Inputs!$C$5:$C$110=$B20)*Inputs!$D$5:$D$110*(((Inputs!$G$5:$G$110="moeda")+(Inputs!$G$5:$G$110="acoes"))*Inputs!$B$1+((Inputs!$G$5:$G$110&lt;&gt;"moeda")*(Inputs!$G$5:$G$110&lt;&gt;"acoes")))*INDEX(Inputs!$K$5:$AJ$110,0,MATCH(G$2,Inputs!$K$4:$AJ$4,0)))+SUMPRODUCT((Inputs!$E$5:$E$110=$B20)*Inputs!$F$5:$F$110*(((Inputs!$G$5:$G$110="moeda")+(Inputs!$G$5:$G$110="acoes"))*Inputs!$B$1+((Inputs!$G$5:$G$110&lt;&gt;"moeda")*(Inputs!$G$5:$G$110&lt;&gt;"acoes")))*INDEX(Inputs!$K$5:$AJ$110,0,MATCH(G$2,Inputs!$K$4:$AJ$4,0)))))</f>
        <v>8020</v>
      </c>
      <c r="H20" s="3">
        <f>G20</f>
        <v>8020</v>
      </c>
      <c r="I20" s="6">
        <f>IF(ISNA(MATCH(I$2,Inputs!$K$4:$AJ$4,0)),NA(),IF(SUMPRODUCT((Inputs!$A$5:$A$110=$B20)*ISNUMBER(INDEX(Inputs!$K$5:$AJ$110,0,MATCH(I$2,Inputs!$K$4:$AJ$4,0))))+SUMPRODUCT((Inputs!$C$5:$C$110=$B20)*ISNUMBER(INDEX(Inputs!$K$5:$AJ$110,0,MATCH(I$2,Inputs!$K$4:$AJ$4,0))))+SUMPRODUCT((Inputs!$E$5:$E$110=$B20)*ISNUMBER(INDEX(Inputs!$K$5:$AJ$110,0,MATCH(I$2,Inputs!$K$4:$AJ$4,0))))=0,NA(),SUMPRODUCT((Inputs!$A$5:$A$110=$B20)*Inputs!$B$5:$B$110*(((Inputs!$G$5:$G$110="moeda")+(Inputs!$G$5:$G$110="acoes"))*Inputs!$B$1+((Inputs!$G$5:$G$110&lt;&gt;"moeda")*(Inputs!$G$5:$G$110&lt;&gt;"acoes")))*INDEX(Inputs!$K$5:$AJ$110,0,MATCH(I$2,Inputs!$K$4:$AJ$4,0)))+SUMPRODUCT((Inputs!$C$5:$C$110=$B20)*Inputs!$D$5:$D$110*(((Inputs!$G$5:$G$110="moeda")+(Inputs!$G$5:$G$110="acoes"))*Inputs!$B$1+((Inputs!$G$5:$G$110&lt;&gt;"moeda")*(Inputs!$G$5:$G$110&lt;&gt;"acoes")))*INDEX(Inputs!$K$5:$AJ$110,0,MATCH(I$2,Inputs!$K$4:$AJ$4,0)))+SUMPRODUCT((Inputs!$E$5:$E$110=$B20)*Inputs!$F$5:$F$110*(((Inputs!$G$5:$G$110="moeda")+(Inputs!$G$5:$G$110="acoes"))*Inputs!$B$1+((Inputs!$G$5:$G$110&lt;&gt;"moeda")*(Inputs!$G$5:$G$110&lt;&gt;"acoes")))*INDEX(Inputs!$K$5:$AJ$110,0,MATCH(I$2,Inputs!$K$4:$AJ$4,0)))))</f>
        <v>7811</v>
      </c>
      <c r="J20" s="6">
        <f>IF(ISNA(MATCH(J$2,Inputs!$K$4:$AJ$4,0)),NA(),IF(SUMPRODUCT((Inputs!$A$5:$A$110=$B20)*ISNUMBER(INDEX(Inputs!$K$5:$AJ$110,0,MATCH(J$2,Inputs!$K$4:$AJ$4,0))))+SUMPRODUCT((Inputs!$C$5:$C$110=$B20)*ISNUMBER(INDEX(Inputs!$K$5:$AJ$110,0,MATCH(J$2,Inputs!$K$4:$AJ$4,0))))+SUMPRODUCT((Inputs!$E$5:$E$110=$B20)*ISNUMBER(INDEX(Inputs!$K$5:$AJ$110,0,MATCH(J$2,Inputs!$K$4:$AJ$4,0))))=0,NA(),SUMPRODUCT((Inputs!$A$5:$A$110=$B20)*Inputs!$B$5:$B$110*(((Inputs!$G$5:$G$110="moeda")+(Inputs!$G$5:$G$110="acoes"))*Inputs!$B$1+((Inputs!$G$5:$G$110&lt;&gt;"moeda")*(Inputs!$G$5:$G$110&lt;&gt;"acoes")))*INDEX(Inputs!$K$5:$AJ$110,0,MATCH(J$2,Inputs!$K$4:$AJ$4,0)))+SUMPRODUCT((Inputs!$C$5:$C$110=$B20)*Inputs!$D$5:$D$110*(((Inputs!$G$5:$G$110="moeda")+(Inputs!$G$5:$G$110="acoes"))*Inputs!$B$1+((Inputs!$G$5:$G$110&lt;&gt;"moeda")*(Inputs!$G$5:$G$110&lt;&gt;"acoes")))*INDEX(Inputs!$K$5:$AJ$110,0,MATCH(J$2,Inputs!$K$4:$AJ$4,0)))+SUMPRODUCT((Inputs!$E$5:$E$110=$B20)*Inputs!$F$5:$F$110*(((Inputs!$G$5:$G$110="moeda")+(Inputs!$G$5:$G$110="acoes"))*Inputs!$B$1+((Inputs!$G$5:$G$110&lt;&gt;"moeda")*(Inputs!$G$5:$G$110&lt;&gt;"acoes")))*INDEX(Inputs!$K$5:$AJ$110,0,MATCH(J$2,Inputs!$K$4:$AJ$4,0)))))</f>
        <v>9687</v>
      </c>
      <c r="K20" s="6">
        <f>IF(ISNA(MATCH(K$2,Inputs!$K$4:$AJ$4,0)),NA(),IF(SUMPRODUCT((Inputs!$A$5:$A$110=$B20)*ISNUMBER(INDEX(Inputs!$K$5:$AJ$110,0,MATCH(K$2,Inputs!$K$4:$AJ$4,0))))+SUMPRODUCT((Inputs!$C$5:$C$110=$B20)*ISNUMBER(INDEX(Inputs!$K$5:$AJ$110,0,MATCH(K$2,Inputs!$K$4:$AJ$4,0))))+SUMPRODUCT((Inputs!$E$5:$E$110=$B20)*ISNUMBER(INDEX(Inputs!$K$5:$AJ$110,0,MATCH(K$2,Inputs!$K$4:$AJ$4,0))))=0,NA(),SUMPRODUCT((Inputs!$A$5:$A$110=$B20)*Inputs!$B$5:$B$110*(((Inputs!$G$5:$G$110="moeda")+(Inputs!$G$5:$G$110="acoes"))*Inputs!$B$1+((Inputs!$G$5:$G$110&lt;&gt;"moeda")*(Inputs!$G$5:$G$110&lt;&gt;"acoes")))*INDEX(Inputs!$K$5:$AJ$110,0,MATCH(K$2,Inputs!$K$4:$AJ$4,0)))+SUMPRODUCT((Inputs!$C$5:$C$110=$B20)*Inputs!$D$5:$D$110*(((Inputs!$G$5:$G$110="moeda")+(Inputs!$G$5:$G$110="acoes"))*Inputs!$B$1+((Inputs!$G$5:$G$110&lt;&gt;"moeda")*(Inputs!$G$5:$G$110&lt;&gt;"acoes")))*INDEX(Inputs!$K$5:$AJ$110,0,MATCH(K$2,Inputs!$K$4:$AJ$4,0)))+SUMPRODUCT((Inputs!$E$5:$E$110=$B20)*Inputs!$F$5:$F$110*(((Inputs!$G$5:$G$110="moeda")+(Inputs!$G$5:$G$110="acoes"))*Inputs!$B$1+((Inputs!$G$5:$G$110&lt;&gt;"moeda")*(Inputs!$G$5:$G$110&lt;&gt;"acoes")))*INDEX(Inputs!$K$5:$AJ$110,0,MATCH(K$2,Inputs!$K$4:$AJ$4,0)))))</f>
        <v>11997</v>
      </c>
      <c r="L20" s="6">
        <f>IF(ISNA(MATCH(L$2,Inputs!$K$4:$AJ$4,0)),NA(),IF(SUMPRODUCT((Inputs!$A$5:$A$110=$B20)*ISNUMBER(INDEX(Inputs!$K$5:$AJ$110,0,MATCH(L$2,Inputs!$K$4:$AJ$4,0))))+SUMPRODUCT((Inputs!$C$5:$C$110=$B20)*ISNUMBER(INDEX(Inputs!$K$5:$AJ$110,0,MATCH(L$2,Inputs!$K$4:$AJ$4,0))))+SUMPRODUCT((Inputs!$E$5:$E$110=$B20)*ISNUMBER(INDEX(Inputs!$K$5:$AJ$110,0,MATCH(L$2,Inputs!$K$4:$AJ$4,0))))=0,NA(),SUMPRODUCT((Inputs!$A$5:$A$110=$B20)*Inputs!$B$5:$B$110*(((Inputs!$G$5:$G$110="moeda")+(Inputs!$G$5:$G$110="acoes"))*Inputs!$B$1+((Inputs!$G$5:$G$110&lt;&gt;"moeda")*(Inputs!$G$5:$G$110&lt;&gt;"acoes")))*INDEX(Inputs!$K$5:$AJ$110,0,MATCH(L$2,Inputs!$K$4:$AJ$4,0)))+SUMPRODUCT((Inputs!$C$5:$C$110=$B20)*Inputs!$D$5:$D$110*(((Inputs!$G$5:$G$110="moeda")+(Inputs!$G$5:$G$110="acoes"))*Inputs!$B$1+((Inputs!$G$5:$G$110&lt;&gt;"moeda")*(Inputs!$G$5:$G$110&lt;&gt;"acoes")))*INDEX(Inputs!$K$5:$AJ$110,0,MATCH(L$2,Inputs!$K$4:$AJ$4,0)))+SUMPRODUCT((Inputs!$E$5:$E$110=$B20)*Inputs!$F$5:$F$110*(((Inputs!$G$5:$G$110="moeda")+(Inputs!$G$5:$G$110="acoes"))*Inputs!$B$1+((Inputs!$G$5:$G$110&lt;&gt;"moeda")*(Inputs!$G$5:$G$110&lt;&gt;"acoes")))*INDEX(Inputs!$K$5:$AJ$110,0,MATCH(L$2,Inputs!$K$4:$AJ$4,0)))))</f>
        <v>8105</v>
      </c>
      <c r="M20" s="3">
        <f>L20</f>
        <v>8105</v>
      </c>
      <c r="N20" s="6">
        <f>IF(ISNA(MATCH(N$2,Inputs!$K$4:$AJ$4,0)),NA(),IF(SUMPRODUCT((Inputs!$A$5:$A$110=$B20)*ISNUMBER(INDEX(Inputs!$K$5:$AJ$110,0,MATCH(N$2,Inputs!$K$4:$AJ$4,0))))+SUMPRODUCT((Inputs!$C$5:$C$110=$B20)*ISNUMBER(INDEX(Inputs!$K$5:$AJ$110,0,MATCH(N$2,Inputs!$K$4:$AJ$4,0))))+SUMPRODUCT((Inputs!$E$5:$E$110=$B20)*ISNUMBER(INDEX(Inputs!$K$5:$AJ$110,0,MATCH(N$2,Inputs!$K$4:$AJ$4,0))))=0,NA(),SUMPRODUCT((Inputs!$A$5:$A$110=$B20)*Inputs!$B$5:$B$110*(((Inputs!$G$5:$G$110="moeda")+(Inputs!$G$5:$G$110="acoes"))*Inputs!$B$1+((Inputs!$G$5:$G$110&lt;&gt;"moeda")*(Inputs!$G$5:$G$110&lt;&gt;"acoes")))*INDEX(Inputs!$K$5:$AJ$110,0,MATCH(N$2,Inputs!$K$4:$AJ$4,0)))+SUMPRODUCT((Inputs!$C$5:$C$110=$B20)*Inputs!$D$5:$D$110*(((Inputs!$G$5:$G$110="moeda")+(Inputs!$G$5:$G$110="acoes"))*Inputs!$B$1+((Inputs!$G$5:$G$110&lt;&gt;"moeda")*(Inputs!$G$5:$G$110&lt;&gt;"acoes")))*INDEX(Inputs!$K$5:$AJ$110,0,MATCH(N$2,Inputs!$K$4:$AJ$4,0)))+SUMPRODUCT((Inputs!$E$5:$E$110=$B20)*Inputs!$F$5:$F$110*(((Inputs!$G$5:$G$110="moeda")+(Inputs!$G$5:$G$110="acoes"))*Inputs!$B$1+((Inputs!$G$5:$G$110&lt;&gt;"moeda")*(Inputs!$G$5:$G$110&lt;&gt;"acoes")))*INDEX(Inputs!$K$5:$AJ$110,0,MATCH(N$2,Inputs!$K$4:$AJ$4,0)))))</f>
        <v>8532</v>
      </c>
      <c r="O20" s="6">
        <f>IF(ISNA(MATCH(O$2,Inputs!$K$4:$AJ$4,0)),NA(),IF(SUMPRODUCT((Inputs!$A$5:$A$110=$B20)*ISNUMBER(INDEX(Inputs!$K$5:$AJ$110,0,MATCH(O$2,Inputs!$K$4:$AJ$4,0))))+SUMPRODUCT((Inputs!$C$5:$C$110=$B20)*ISNUMBER(INDEX(Inputs!$K$5:$AJ$110,0,MATCH(O$2,Inputs!$K$4:$AJ$4,0))))+SUMPRODUCT((Inputs!$E$5:$E$110=$B20)*ISNUMBER(INDEX(Inputs!$K$5:$AJ$110,0,MATCH(O$2,Inputs!$K$4:$AJ$4,0))))=0,NA(),SUMPRODUCT((Inputs!$A$5:$A$110=$B20)*Inputs!$B$5:$B$110*(((Inputs!$G$5:$G$110="moeda")+(Inputs!$G$5:$G$110="acoes"))*Inputs!$B$1+((Inputs!$G$5:$G$110&lt;&gt;"moeda")*(Inputs!$G$5:$G$110&lt;&gt;"acoes")))*INDEX(Inputs!$K$5:$AJ$110,0,MATCH(O$2,Inputs!$K$4:$AJ$4,0)))+SUMPRODUCT((Inputs!$C$5:$C$110=$B20)*Inputs!$D$5:$D$110*(((Inputs!$G$5:$G$110="moeda")+(Inputs!$G$5:$G$110="acoes"))*Inputs!$B$1+((Inputs!$G$5:$G$110&lt;&gt;"moeda")*(Inputs!$G$5:$G$110&lt;&gt;"acoes")))*INDEX(Inputs!$K$5:$AJ$110,0,MATCH(O$2,Inputs!$K$4:$AJ$4,0)))+SUMPRODUCT((Inputs!$E$5:$E$110=$B20)*Inputs!$F$5:$F$110*(((Inputs!$G$5:$G$110="moeda")+(Inputs!$G$5:$G$110="acoes"))*Inputs!$B$1+((Inputs!$G$5:$G$110&lt;&gt;"moeda")*(Inputs!$G$5:$G$110&lt;&gt;"acoes")))*INDEX(Inputs!$K$5:$AJ$110,0,MATCH(O$2,Inputs!$K$4:$AJ$4,0)))))</f>
        <v>9421</v>
      </c>
      <c r="P20" s="6">
        <f>IF(ISNA(MATCH(P$2,Inputs!$K$4:$AJ$4,0)),NA(),IF(SUMPRODUCT((Inputs!$A$5:$A$110=$B20)*ISNUMBER(INDEX(Inputs!$K$5:$AJ$110,0,MATCH(P$2,Inputs!$K$4:$AJ$4,0))))+SUMPRODUCT((Inputs!$C$5:$C$110=$B20)*ISNUMBER(INDEX(Inputs!$K$5:$AJ$110,0,MATCH(P$2,Inputs!$K$4:$AJ$4,0))))+SUMPRODUCT((Inputs!$E$5:$E$110=$B20)*ISNUMBER(INDEX(Inputs!$K$5:$AJ$110,0,MATCH(P$2,Inputs!$K$4:$AJ$4,0))))=0,NA(),SUMPRODUCT((Inputs!$A$5:$A$110=$B20)*Inputs!$B$5:$B$110*(((Inputs!$G$5:$G$110="moeda")+(Inputs!$G$5:$G$110="acoes"))*Inputs!$B$1+((Inputs!$G$5:$G$110&lt;&gt;"moeda")*(Inputs!$G$5:$G$110&lt;&gt;"acoes")))*INDEX(Inputs!$K$5:$AJ$110,0,MATCH(P$2,Inputs!$K$4:$AJ$4,0)))+SUMPRODUCT((Inputs!$C$5:$C$110=$B20)*Inputs!$D$5:$D$110*(((Inputs!$G$5:$G$110="moeda")+(Inputs!$G$5:$G$110="acoes"))*Inputs!$B$1+((Inputs!$G$5:$G$110&lt;&gt;"moeda")*(Inputs!$G$5:$G$110&lt;&gt;"acoes")))*INDEX(Inputs!$K$5:$AJ$110,0,MATCH(P$2,Inputs!$K$4:$AJ$4,0)))+SUMPRODUCT((Inputs!$E$5:$E$110=$B20)*Inputs!$F$5:$F$110*(((Inputs!$G$5:$G$110="moeda")+(Inputs!$G$5:$G$110="acoes"))*Inputs!$B$1+((Inputs!$G$5:$G$110&lt;&gt;"moeda")*(Inputs!$G$5:$G$110&lt;&gt;"acoes")))*INDEX(Inputs!$K$5:$AJ$110,0,MATCH(P$2,Inputs!$K$4:$AJ$4,0)))))</f>
        <v>12398</v>
      </c>
      <c r="Q20" s="6">
        <f>IF(ISNA(MATCH(Q$2,Inputs!$K$4:$AJ$4,0)),NA(),IF(SUMPRODUCT((Inputs!$A$5:$A$110=$B20)*ISNUMBER(INDEX(Inputs!$K$5:$AJ$110,0,MATCH(Q$2,Inputs!$K$4:$AJ$4,0))))+SUMPRODUCT((Inputs!$C$5:$C$110=$B20)*ISNUMBER(INDEX(Inputs!$K$5:$AJ$110,0,MATCH(Q$2,Inputs!$K$4:$AJ$4,0))))+SUMPRODUCT((Inputs!$E$5:$E$110=$B20)*ISNUMBER(INDEX(Inputs!$K$5:$AJ$110,0,MATCH(Q$2,Inputs!$K$4:$AJ$4,0))))=0,NA(),SUMPRODUCT((Inputs!$A$5:$A$110=$B20)*Inputs!$B$5:$B$110*(((Inputs!$G$5:$G$110="moeda")+(Inputs!$G$5:$G$110="acoes"))*Inputs!$B$1+((Inputs!$G$5:$G$110&lt;&gt;"moeda")*(Inputs!$G$5:$G$110&lt;&gt;"acoes")))*INDEX(Inputs!$K$5:$AJ$110,0,MATCH(Q$2,Inputs!$K$4:$AJ$4,0)))+SUMPRODUCT((Inputs!$C$5:$C$110=$B20)*Inputs!$D$5:$D$110*(((Inputs!$G$5:$G$110="moeda")+(Inputs!$G$5:$G$110="acoes"))*Inputs!$B$1+((Inputs!$G$5:$G$110&lt;&gt;"moeda")*(Inputs!$G$5:$G$110&lt;&gt;"acoes")))*INDEX(Inputs!$K$5:$AJ$110,0,MATCH(Q$2,Inputs!$K$4:$AJ$4,0)))+SUMPRODUCT((Inputs!$E$5:$E$110=$B20)*Inputs!$F$5:$F$110*(((Inputs!$G$5:$G$110="moeda")+(Inputs!$G$5:$G$110="acoes"))*Inputs!$B$1+((Inputs!$G$5:$G$110&lt;&gt;"moeda")*(Inputs!$G$5:$G$110&lt;&gt;"acoes")))*INDEX(Inputs!$K$5:$AJ$110,0,MATCH(Q$2,Inputs!$K$4:$AJ$4,0)))))</f>
        <v>12650</v>
      </c>
      <c r="R20" s="3">
        <f>Q20</f>
        <v>12650</v>
      </c>
      <c r="S20" s="6">
        <f>IF(ISNA(MATCH(S$2,Inputs!$K$4:$AJ$4,0)),NA(),IF(SUMPRODUCT((Inputs!$A$5:$A$110=$B20)*ISNUMBER(INDEX(Inputs!$K$5:$AJ$110,0,MATCH(S$2,Inputs!$K$4:$AJ$4,0))))+SUMPRODUCT((Inputs!$C$5:$C$110=$B20)*ISNUMBER(INDEX(Inputs!$K$5:$AJ$110,0,MATCH(S$2,Inputs!$K$4:$AJ$4,0))))+SUMPRODUCT((Inputs!$E$5:$E$110=$B20)*ISNUMBER(INDEX(Inputs!$K$5:$AJ$110,0,MATCH(S$2,Inputs!$K$4:$AJ$4,0))))=0,NA(),SUMPRODUCT((Inputs!$A$5:$A$110=$B20)*Inputs!$B$5:$B$110*(((Inputs!$G$5:$G$110="moeda")+(Inputs!$G$5:$G$110="acoes"))*Inputs!$B$1+((Inputs!$G$5:$G$110&lt;&gt;"moeda")*(Inputs!$G$5:$G$110&lt;&gt;"acoes")))*INDEX(Inputs!$K$5:$AJ$110,0,MATCH(S$2,Inputs!$K$4:$AJ$4,0)))+SUMPRODUCT((Inputs!$C$5:$C$110=$B20)*Inputs!$D$5:$D$110*(((Inputs!$G$5:$G$110="moeda")+(Inputs!$G$5:$G$110="acoes"))*Inputs!$B$1+((Inputs!$G$5:$G$110&lt;&gt;"moeda")*(Inputs!$G$5:$G$110&lt;&gt;"acoes")))*INDEX(Inputs!$K$5:$AJ$110,0,MATCH(S$2,Inputs!$K$4:$AJ$4,0)))+SUMPRODUCT((Inputs!$E$5:$E$110=$B20)*Inputs!$F$5:$F$110*(((Inputs!$G$5:$G$110="moeda")+(Inputs!$G$5:$G$110="acoes"))*Inputs!$B$1+((Inputs!$G$5:$G$110&lt;&gt;"moeda")*(Inputs!$G$5:$G$110&lt;&gt;"acoes")))*INDEX(Inputs!$K$5:$AJ$110,0,MATCH(S$2,Inputs!$K$4:$AJ$4,0)))))</f>
        <v>12829</v>
      </c>
      <c r="T20" s="6">
        <f>IF(ISNA(MATCH(T$2,Inputs!$K$4:$AJ$4,0)),NA(),IF(SUMPRODUCT((Inputs!$A$5:$A$110=$B20)*ISNUMBER(INDEX(Inputs!$K$5:$AJ$110,0,MATCH(T$2,Inputs!$K$4:$AJ$4,0))))+SUMPRODUCT((Inputs!$C$5:$C$110=$B20)*ISNUMBER(INDEX(Inputs!$K$5:$AJ$110,0,MATCH(T$2,Inputs!$K$4:$AJ$4,0))))+SUMPRODUCT((Inputs!$E$5:$E$110=$B20)*ISNUMBER(INDEX(Inputs!$K$5:$AJ$110,0,MATCH(T$2,Inputs!$K$4:$AJ$4,0))))=0,NA(),SUMPRODUCT((Inputs!$A$5:$A$110=$B20)*Inputs!$B$5:$B$110*(((Inputs!$G$5:$G$110="moeda")+(Inputs!$G$5:$G$110="acoes"))*Inputs!$B$1+((Inputs!$G$5:$G$110&lt;&gt;"moeda")*(Inputs!$G$5:$G$110&lt;&gt;"acoes")))*INDEX(Inputs!$K$5:$AJ$110,0,MATCH(T$2,Inputs!$K$4:$AJ$4,0)))+SUMPRODUCT((Inputs!$C$5:$C$110=$B20)*Inputs!$D$5:$D$110*(((Inputs!$G$5:$G$110="moeda")+(Inputs!$G$5:$G$110="acoes"))*Inputs!$B$1+((Inputs!$G$5:$G$110&lt;&gt;"moeda")*(Inputs!$G$5:$G$110&lt;&gt;"acoes")))*INDEX(Inputs!$K$5:$AJ$110,0,MATCH(T$2,Inputs!$K$4:$AJ$4,0)))+SUMPRODUCT((Inputs!$E$5:$E$110=$B20)*Inputs!$F$5:$F$110*(((Inputs!$G$5:$G$110="moeda")+(Inputs!$G$5:$G$110="acoes"))*Inputs!$B$1+((Inputs!$G$5:$G$110&lt;&gt;"moeda")*(Inputs!$G$5:$G$110&lt;&gt;"acoes")))*INDEX(Inputs!$K$5:$AJ$110,0,MATCH(T$2,Inputs!$K$4:$AJ$4,0)))))</f>
        <v>14183</v>
      </c>
      <c r="U20" s="6">
        <f>IF(ISNA(MATCH(U$2,Inputs!$K$4:$AJ$4,0)),NA(),IF(SUMPRODUCT((Inputs!$A$5:$A$110=$B20)*ISNUMBER(INDEX(Inputs!$K$5:$AJ$110,0,MATCH(U$2,Inputs!$K$4:$AJ$4,0))))+SUMPRODUCT((Inputs!$C$5:$C$110=$B20)*ISNUMBER(INDEX(Inputs!$K$5:$AJ$110,0,MATCH(U$2,Inputs!$K$4:$AJ$4,0))))+SUMPRODUCT((Inputs!$E$5:$E$110=$B20)*ISNUMBER(INDEX(Inputs!$K$5:$AJ$110,0,MATCH(U$2,Inputs!$K$4:$AJ$4,0))))=0,NA(),SUMPRODUCT((Inputs!$A$5:$A$110=$B20)*Inputs!$B$5:$B$110*(((Inputs!$G$5:$G$110="moeda")+(Inputs!$G$5:$G$110="acoes"))*Inputs!$B$1+((Inputs!$G$5:$G$110&lt;&gt;"moeda")*(Inputs!$G$5:$G$110&lt;&gt;"acoes")))*INDEX(Inputs!$K$5:$AJ$110,0,MATCH(U$2,Inputs!$K$4:$AJ$4,0)))+SUMPRODUCT((Inputs!$C$5:$C$110=$B20)*Inputs!$D$5:$D$110*(((Inputs!$G$5:$G$110="moeda")+(Inputs!$G$5:$G$110="acoes"))*Inputs!$B$1+((Inputs!$G$5:$G$110&lt;&gt;"moeda")*(Inputs!$G$5:$G$110&lt;&gt;"acoes")))*INDEX(Inputs!$K$5:$AJ$110,0,MATCH(U$2,Inputs!$K$4:$AJ$4,0)))+SUMPRODUCT((Inputs!$E$5:$E$110=$B20)*Inputs!$F$5:$F$110*(((Inputs!$G$5:$G$110="moeda")+(Inputs!$G$5:$G$110="acoes"))*Inputs!$B$1+((Inputs!$G$5:$G$110&lt;&gt;"moeda")*(Inputs!$G$5:$G$110&lt;&gt;"acoes")))*INDEX(Inputs!$K$5:$AJ$110,0,MATCH(U$2,Inputs!$K$4:$AJ$4,0)))))</f>
        <v>15207</v>
      </c>
      <c r="V20" s="6">
        <f>IF(ISNA(MATCH(V$2,Inputs!$K$4:$AJ$4,0)),NA(),IF(SUMPRODUCT((Inputs!$A$5:$A$110=$B20)*ISNUMBER(INDEX(Inputs!$K$5:$AJ$110,0,MATCH(V$2,Inputs!$K$4:$AJ$4,0))))+SUMPRODUCT((Inputs!$C$5:$C$110=$B20)*ISNUMBER(INDEX(Inputs!$K$5:$AJ$110,0,MATCH(V$2,Inputs!$K$4:$AJ$4,0))))+SUMPRODUCT((Inputs!$E$5:$E$110=$B20)*ISNUMBER(INDEX(Inputs!$K$5:$AJ$110,0,MATCH(V$2,Inputs!$K$4:$AJ$4,0))))=0,NA(),SUMPRODUCT((Inputs!$A$5:$A$110=$B20)*Inputs!$B$5:$B$110*(((Inputs!$G$5:$G$110="moeda")+(Inputs!$G$5:$G$110="acoes"))*Inputs!$B$1+((Inputs!$G$5:$G$110&lt;&gt;"moeda")*(Inputs!$G$5:$G$110&lt;&gt;"acoes")))*INDEX(Inputs!$K$5:$AJ$110,0,MATCH(V$2,Inputs!$K$4:$AJ$4,0)))+SUMPRODUCT((Inputs!$C$5:$C$110=$B20)*Inputs!$D$5:$D$110*(((Inputs!$G$5:$G$110="moeda")+(Inputs!$G$5:$G$110="acoes"))*Inputs!$B$1+((Inputs!$G$5:$G$110&lt;&gt;"moeda")*(Inputs!$G$5:$G$110&lt;&gt;"acoes")))*INDEX(Inputs!$K$5:$AJ$110,0,MATCH(V$2,Inputs!$K$4:$AJ$4,0)))+SUMPRODUCT((Inputs!$E$5:$E$110=$B20)*Inputs!$F$5:$F$110*(((Inputs!$G$5:$G$110="moeda")+(Inputs!$G$5:$G$110="acoes"))*Inputs!$B$1+((Inputs!$G$5:$G$110&lt;&gt;"moeda")*(Inputs!$G$5:$G$110&lt;&gt;"acoes")))*INDEX(Inputs!$K$5:$AJ$110,0,MATCH(V$2,Inputs!$K$4:$AJ$4,0)))))</f>
        <v>15714</v>
      </c>
      <c r="W20" s="3">
        <f>V20</f>
        <v>15714</v>
      </c>
      <c r="X20" s="6">
        <f>IF(ISNA(MATCH(X$2,Inputs!$K$4:$AJ$4,0)),NA(),IF(SUMPRODUCT((Inputs!$A$5:$A$110=$B20)*ISNUMBER(INDEX(Inputs!$K$5:$AJ$110,0,MATCH(X$2,Inputs!$K$4:$AJ$4,0))))+SUMPRODUCT((Inputs!$C$5:$C$110=$B20)*ISNUMBER(INDEX(Inputs!$K$5:$AJ$110,0,MATCH(X$2,Inputs!$K$4:$AJ$4,0))))+SUMPRODUCT((Inputs!$E$5:$E$110=$B20)*ISNUMBER(INDEX(Inputs!$K$5:$AJ$110,0,MATCH(X$2,Inputs!$K$4:$AJ$4,0))))=0,NA(),SUMPRODUCT((Inputs!$A$5:$A$110=$B20)*Inputs!$B$5:$B$110*(((Inputs!$G$5:$G$110="moeda")+(Inputs!$G$5:$G$110="acoes"))*Inputs!$B$1+((Inputs!$G$5:$G$110&lt;&gt;"moeda")*(Inputs!$G$5:$G$110&lt;&gt;"acoes")))*INDEX(Inputs!$K$5:$AJ$110,0,MATCH(X$2,Inputs!$K$4:$AJ$4,0)))+SUMPRODUCT((Inputs!$C$5:$C$110=$B20)*Inputs!$D$5:$D$110*(((Inputs!$G$5:$G$110="moeda")+(Inputs!$G$5:$G$110="acoes"))*Inputs!$B$1+((Inputs!$G$5:$G$110&lt;&gt;"moeda")*(Inputs!$G$5:$G$110&lt;&gt;"acoes")))*INDEX(Inputs!$K$5:$AJ$110,0,MATCH(X$2,Inputs!$K$4:$AJ$4,0)))+SUMPRODUCT((Inputs!$E$5:$E$110=$B20)*Inputs!$F$5:$F$110*(((Inputs!$G$5:$G$110="moeda")+(Inputs!$G$5:$G$110="acoes"))*Inputs!$B$1+((Inputs!$G$5:$G$110&lt;&gt;"moeda")*(Inputs!$G$5:$G$110&lt;&gt;"acoes")))*INDEX(Inputs!$K$5:$AJ$110,0,MATCH(X$2,Inputs!$K$4:$AJ$4,0)))))</f>
        <v>15724</v>
      </c>
      <c r="Y20" s="6">
        <f>IF(ISNA(MATCH(Y$2,Inputs!$K$4:$AJ$4,0)),NA(),IF(SUMPRODUCT((Inputs!$A$5:$A$110=$B20)*ISNUMBER(INDEX(Inputs!$K$5:$AJ$110,0,MATCH(Y$2,Inputs!$K$4:$AJ$4,0))))+SUMPRODUCT((Inputs!$C$5:$C$110=$B20)*ISNUMBER(INDEX(Inputs!$K$5:$AJ$110,0,MATCH(Y$2,Inputs!$K$4:$AJ$4,0))))+SUMPRODUCT((Inputs!$E$5:$E$110=$B20)*ISNUMBER(INDEX(Inputs!$K$5:$AJ$110,0,MATCH(Y$2,Inputs!$K$4:$AJ$4,0))))=0,NA(),SUMPRODUCT((Inputs!$A$5:$A$110=$B20)*Inputs!$B$5:$B$110*(((Inputs!$G$5:$G$110="moeda")+(Inputs!$G$5:$G$110="acoes"))*Inputs!$B$1+((Inputs!$G$5:$G$110&lt;&gt;"moeda")*(Inputs!$G$5:$G$110&lt;&gt;"acoes")))*INDEX(Inputs!$K$5:$AJ$110,0,MATCH(Y$2,Inputs!$K$4:$AJ$4,0)))+SUMPRODUCT((Inputs!$C$5:$C$110=$B20)*Inputs!$D$5:$D$110*(((Inputs!$G$5:$G$110="moeda")+(Inputs!$G$5:$G$110="acoes"))*Inputs!$B$1+((Inputs!$G$5:$G$110&lt;&gt;"moeda")*(Inputs!$G$5:$G$110&lt;&gt;"acoes")))*INDEX(Inputs!$K$5:$AJ$110,0,MATCH(Y$2,Inputs!$K$4:$AJ$4,0)))+SUMPRODUCT((Inputs!$E$5:$E$110=$B20)*Inputs!$F$5:$F$110*(((Inputs!$G$5:$G$110="moeda")+(Inputs!$G$5:$G$110="acoes"))*Inputs!$B$1+((Inputs!$G$5:$G$110&lt;&gt;"moeda")*(Inputs!$G$5:$G$110&lt;&gt;"acoes")))*INDEX(Inputs!$K$5:$AJ$110,0,MATCH(Y$2,Inputs!$K$4:$AJ$4,0)))))</f>
        <v>16020</v>
      </c>
      <c r="Z20" s="6">
        <f>IF(ISNA(MATCH(Z$2,Inputs!$K$4:$AJ$4,0)),NA(),IF(SUMPRODUCT((Inputs!$A$5:$A$110=$B20)*ISNUMBER(INDEX(Inputs!$K$5:$AJ$110,0,MATCH(Z$2,Inputs!$K$4:$AJ$4,0))))+SUMPRODUCT((Inputs!$C$5:$C$110=$B20)*ISNUMBER(INDEX(Inputs!$K$5:$AJ$110,0,MATCH(Z$2,Inputs!$K$4:$AJ$4,0))))+SUMPRODUCT((Inputs!$E$5:$E$110=$B20)*ISNUMBER(INDEX(Inputs!$K$5:$AJ$110,0,MATCH(Z$2,Inputs!$K$4:$AJ$4,0))))=0,NA(),SUMPRODUCT((Inputs!$A$5:$A$110=$B20)*Inputs!$B$5:$B$110*(((Inputs!$G$5:$G$110="moeda")+(Inputs!$G$5:$G$110="acoes"))*Inputs!$B$1+((Inputs!$G$5:$G$110&lt;&gt;"moeda")*(Inputs!$G$5:$G$110&lt;&gt;"acoes")))*INDEX(Inputs!$K$5:$AJ$110,0,MATCH(Z$2,Inputs!$K$4:$AJ$4,0)))+SUMPRODUCT((Inputs!$C$5:$C$110=$B20)*Inputs!$D$5:$D$110*(((Inputs!$G$5:$G$110="moeda")+(Inputs!$G$5:$G$110="acoes"))*Inputs!$B$1+((Inputs!$G$5:$G$110&lt;&gt;"moeda")*(Inputs!$G$5:$G$110&lt;&gt;"acoes")))*INDEX(Inputs!$K$5:$AJ$110,0,MATCH(Z$2,Inputs!$K$4:$AJ$4,0)))+SUMPRODUCT((Inputs!$E$5:$E$110=$B20)*Inputs!$F$5:$F$110*(((Inputs!$G$5:$G$110="moeda")+(Inputs!$G$5:$G$110="acoes"))*Inputs!$B$1+((Inputs!$G$5:$G$110&lt;&gt;"moeda")*(Inputs!$G$5:$G$110&lt;&gt;"acoes")))*INDEX(Inputs!$K$5:$AJ$110,0,MATCH(Z$2,Inputs!$K$4:$AJ$4,0)))))</f>
        <v>18303</v>
      </c>
      <c r="AA20" s="6">
        <f>IF(ISNA(MATCH(AA$2,Inputs!$K$4:$AJ$4,0)),NA(),IF(SUMPRODUCT((Inputs!$A$5:$A$110=$B20)*ISNUMBER(INDEX(Inputs!$K$5:$AJ$110,0,MATCH(AA$2,Inputs!$K$4:$AJ$4,0))))+SUMPRODUCT((Inputs!$C$5:$C$110=$B20)*ISNUMBER(INDEX(Inputs!$K$5:$AJ$110,0,MATCH(AA$2,Inputs!$K$4:$AJ$4,0))))+SUMPRODUCT((Inputs!$E$5:$E$110=$B20)*ISNUMBER(INDEX(Inputs!$K$5:$AJ$110,0,MATCH(AA$2,Inputs!$K$4:$AJ$4,0))))=0,NA(),SUMPRODUCT((Inputs!$A$5:$A$110=$B20)*Inputs!$B$5:$B$110*(((Inputs!$G$5:$G$110="moeda")+(Inputs!$G$5:$G$110="acoes"))*Inputs!$B$1+((Inputs!$G$5:$G$110&lt;&gt;"moeda")*(Inputs!$G$5:$G$110&lt;&gt;"acoes")))*INDEX(Inputs!$K$5:$AJ$110,0,MATCH(AA$2,Inputs!$K$4:$AJ$4,0)))+SUMPRODUCT((Inputs!$C$5:$C$110=$B20)*Inputs!$D$5:$D$110*(((Inputs!$G$5:$G$110="moeda")+(Inputs!$G$5:$G$110="acoes"))*Inputs!$B$1+((Inputs!$G$5:$G$110&lt;&gt;"moeda")*(Inputs!$G$5:$G$110&lt;&gt;"acoes")))*INDEX(Inputs!$K$5:$AJ$110,0,MATCH(AA$2,Inputs!$K$4:$AJ$4,0)))+SUMPRODUCT((Inputs!$E$5:$E$110=$B20)*Inputs!$F$5:$F$110*(((Inputs!$G$5:$G$110="moeda")+(Inputs!$G$5:$G$110="acoes"))*Inputs!$B$1+((Inputs!$G$5:$G$110&lt;&gt;"moeda")*(Inputs!$G$5:$G$110&lt;&gt;"acoes")))*INDEX(Inputs!$K$5:$AJ$110,0,MATCH(AA$2,Inputs!$K$4:$AJ$4,0)))))</f>
        <v>16309</v>
      </c>
      <c r="AB20" s="3">
        <f>AA20</f>
        <v>16309</v>
      </c>
      <c r="AC20" s="6">
        <f>IF(ISNA(MATCH(AC$2,Inputs!$K$4:$AJ$4,0)),NA(),IF(SUMPRODUCT((Inputs!$A$5:$A$110=$B20)*ISNUMBER(INDEX(Inputs!$K$5:$AJ$110,0,MATCH(AC$2,Inputs!$K$4:$AJ$4,0))))+SUMPRODUCT((Inputs!$C$5:$C$110=$B20)*ISNUMBER(INDEX(Inputs!$K$5:$AJ$110,0,MATCH(AC$2,Inputs!$K$4:$AJ$4,0))))+SUMPRODUCT((Inputs!$E$5:$E$110=$B20)*ISNUMBER(INDEX(Inputs!$K$5:$AJ$110,0,MATCH(AC$2,Inputs!$K$4:$AJ$4,0))))=0,NA(),SUMPRODUCT((Inputs!$A$5:$A$110=$B20)*Inputs!$B$5:$B$110*(((Inputs!$G$5:$G$110="moeda")+(Inputs!$G$5:$G$110="acoes"))*Inputs!$B$1+((Inputs!$G$5:$G$110&lt;&gt;"moeda")*(Inputs!$G$5:$G$110&lt;&gt;"acoes")))*INDEX(Inputs!$K$5:$AJ$110,0,MATCH(AC$2,Inputs!$K$4:$AJ$4,0)))+SUMPRODUCT((Inputs!$C$5:$C$110=$B20)*Inputs!$D$5:$D$110*(((Inputs!$G$5:$G$110="moeda")+(Inputs!$G$5:$G$110="acoes"))*Inputs!$B$1+((Inputs!$G$5:$G$110&lt;&gt;"moeda")*(Inputs!$G$5:$G$110&lt;&gt;"acoes")))*INDEX(Inputs!$K$5:$AJ$110,0,MATCH(AC$2,Inputs!$K$4:$AJ$4,0)))+SUMPRODUCT((Inputs!$E$5:$E$110=$B20)*Inputs!$F$5:$F$110*(((Inputs!$G$5:$G$110="moeda")+(Inputs!$G$5:$G$110="acoes"))*Inputs!$B$1+((Inputs!$G$5:$G$110&lt;&gt;"moeda")*(Inputs!$G$5:$G$110&lt;&gt;"acoes")))*INDEX(Inputs!$K$5:$AJ$110,0,MATCH(AC$2,Inputs!$K$4:$AJ$4,0)))))</f>
        <v>23914</v>
      </c>
      <c r="AD20" s="6">
        <f>IF(ISNA(MATCH(AD$2,Inputs!$K$4:$AJ$4,0)),NA(),IF(SUMPRODUCT((Inputs!$A$5:$A$110=$B20)*ISNUMBER(INDEX(Inputs!$K$5:$AJ$110,0,MATCH(AD$2,Inputs!$K$4:$AJ$4,0))))+SUMPRODUCT((Inputs!$C$5:$C$110=$B20)*ISNUMBER(INDEX(Inputs!$K$5:$AJ$110,0,MATCH(AD$2,Inputs!$K$4:$AJ$4,0))))+SUMPRODUCT((Inputs!$E$5:$E$110=$B20)*ISNUMBER(INDEX(Inputs!$K$5:$AJ$110,0,MATCH(AD$2,Inputs!$K$4:$AJ$4,0))))=0,NA(),SUMPRODUCT((Inputs!$A$5:$A$110=$B20)*Inputs!$B$5:$B$110*(((Inputs!$G$5:$G$110="moeda")+(Inputs!$G$5:$G$110="acoes"))*Inputs!$B$1+((Inputs!$G$5:$G$110&lt;&gt;"moeda")*(Inputs!$G$5:$G$110&lt;&gt;"acoes")))*INDEX(Inputs!$K$5:$AJ$110,0,MATCH(AD$2,Inputs!$K$4:$AJ$4,0)))+SUMPRODUCT((Inputs!$C$5:$C$110=$B20)*Inputs!$D$5:$D$110*(((Inputs!$G$5:$G$110="moeda")+(Inputs!$G$5:$G$110="acoes"))*Inputs!$B$1+((Inputs!$G$5:$G$110&lt;&gt;"moeda")*(Inputs!$G$5:$G$110&lt;&gt;"acoes")))*INDEX(Inputs!$K$5:$AJ$110,0,MATCH(AD$2,Inputs!$K$4:$AJ$4,0)))+SUMPRODUCT((Inputs!$E$5:$E$110=$B20)*Inputs!$F$5:$F$110*(((Inputs!$G$5:$G$110="moeda")+(Inputs!$G$5:$G$110="acoes"))*Inputs!$B$1+((Inputs!$G$5:$G$110&lt;&gt;"moeda")*(Inputs!$G$5:$G$110&lt;&gt;"acoes")))*INDEX(Inputs!$K$5:$AJ$110,0,MATCH(AD$2,Inputs!$K$4:$AJ$4,0)))))</f>
        <v>21884</v>
      </c>
      <c r="AE20" s="6" t="e">
        <f>IF(ISNA(MATCH(AE$2,Inputs!$K$4:$AJ$4,0)),NA(),IF(SUMPRODUCT((Inputs!$A$5:$A$110=$B20)*ISNUMBER(INDEX(Inputs!$K$5:$AJ$110,0,MATCH(AE$2,Inputs!$K$4:$AJ$4,0))))+SUMPRODUCT((Inputs!$C$5:$C$110=$B20)*ISNUMBER(INDEX(Inputs!$K$5:$AJ$110,0,MATCH(AE$2,Inputs!$K$4:$AJ$4,0))))+SUMPRODUCT((Inputs!$E$5:$E$110=$B20)*ISNUMBER(INDEX(Inputs!$K$5:$AJ$110,0,MATCH(AE$2,Inputs!$K$4:$AJ$4,0))))=0,NA(),SUMPRODUCT((Inputs!$A$5:$A$110=$B20)*Inputs!$B$5:$B$110*(((Inputs!$G$5:$G$110="moeda")+(Inputs!$G$5:$G$110="acoes"))*Inputs!$B$1+((Inputs!$G$5:$G$110&lt;&gt;"moeda")*(Inputs!$G$5:$G$110&lt;&gt;"acoes")))*INDEX(Inputs!$K$5:$AJ$110,0,MATCH(AE$2,Inputs!$K$4:$AJ$4,0)))+SUMPRODUCT((Inputs!$C$5:$C$110=$B20)*Inputs!$D$5:$D$110*(((Inputs!$G$5:$G$110="moeda")+(Inputs!$G$5:$G$110="acoes"))*Inputs!$B$1+((Inputs!$G$5:$G$110&lt;&gt;"moeda")*(Inputs!$G$5:$G$110&lt;&gt;"acoes")))*INDEX(Inputs!$K$5:$AJ$110,0,MATCH(AE$2,Inputs!$K$4:$AJ$4,0)))+SUMPRODUCT((Inputs!$E$5:$E$110=$B20)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0" s="6" t="e">
        <f>IF(ISNA(MATCH(AF$2,Inputs!$K$4:$AJ$4,0)),NA(),IF(SUMPRODUCT((Inputs!$A$5:$A$110=$B20)*ISNUMBER(INDEX(Inputs!$K$5:$AJ$110,0,MATCH(AF$2,Inputs!$K$4:$AJ$4,0))))+SUMPRODUCT((Inputs!$C$5:$C$110=$B20)*ISNUMBER(INDEX(Inputs!$K$5:$AJ$110,0,MATCH(AF$2,Inputs!$K$4:$AJ$4,0))))+SUMPRODUCT((Inputs!$E$5:$E$110=$B20)*ISNUMBER(INDEX(Inputs!$K$5:$AJ$110,0,MATCH(AF$2,Inputs!$K$4:$AJ$4,0))))=0,NA(),SUMPRODUCT((Inputs!$A$5:$A$110=$B20)*Inputs!$B$5:$B$110*(((Inputs!$G$5:$G$110="moeda")+(Inputs!$G$5:$G$110="acoes"))*Inputs!$B$1+((Inputs!$G$5:$G$110&lt;&gt;"moeda")*(Inputs!$G$5:$G$110&lt;&gt;"acoes")))*INDEX(Inputs!$K$5:$AJ$110,0,MATCH(AF$2,Inputs!$K$4:$AJ$4,0)))+SUMPRODUCT((Inputs!$C$5:$C$110=$B20)*Inputs!$D$5:$D$110*(((Inputs!$G$5:$G$110="moeda")+(Inputs!$G$5:$G$110="acoes"))*Inputs!$B$1+((Inputs!$G$5:$G$110&lt;&gt;"moeda")*(Inputs!$G$5:$G$110&lt;&gt;"acoes")))*INDEX(Inputs!$K$5:$AJ$110,0,MATCH(AF$2,Inputs!$K$4:$AJ$4,0)))+SUMPRODUCT((Inputs!$E$5:$E$110=$B20)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0" s="3" t="e">
        <f>AF20</f>
        <v>#N/A</v>
      </c>
      <c r="AH20" s="6">
        <f>IF(ISNA(MATCH(AH$2,Inputs!$K$4:$AJ$4,0)),NA(),IF(SUMPRODUCT((Inputs!$A$5:$A$110=$B20)*ISNUMBER(INDEX(Inputs!$K$5:$AJ$110,0,MATCH(AH$2,Inputs!$K$4:$AJ$4,0))))+SUMPRODUCT((Inputs!$C$5:$C$110=$B20)*ISNUMBER(INDEX(Inputs!$K$5:$AJ$110,0,MATCH(AH$2,Inputs!$K$4:$AJ$4,0))))+SUMPRODUCT((Inputs!$E$5:$E$110=$B20)*ISNUMBER(INDEX(Inputs!$K$5:$AJ$110,0,MATCH(AH$2,Inputs!$K$4:$AJ$4,0))))=0,NA(),SUMPRODUCT((Inputs!$A$5:$A$110=$B20)*Inputs!$B$5:$B$110*(((Inputs!$G$5:$G$110="moeda")+(Inputs!$G$5:$G$110="acoes"))*Inputs!$B$1+((Inputs!$G$5:$G$110&lt;&gt;"moeda")*(Inputs!$G$5:$G$110&lt;&gt;"acoes")))*INDEX(Inputs!$K$5:$AJ$110,0,MATCH(AH$2,Inputs!$K$4:$AJ$4,0)))+SUMPRODUCT((Inputs!$C$5:$C$110=$B20)*Inputs!$D$5:$D$110*(((Inputs!$G$5:$G$110="moeda")+(Inputs!$G$5:$G$110="acoes"))*Inputs!$B$1+((Inputs!$G$5:$G$110&lt;&gt;"moeda")*(Inputs!$G$5:$G$110&lt;&gt;"acoes")))*INDEX(Inputs!$K$5:$AJ$110,0,MATCH(AH$2,Inputs!$K$4:$AJ$4,0)))+SUMPRODUCT((Inputs!$E$5:$E$110=$B20)*Inputs!$F$5:$F$110*(((Inputs!$G$5:$G$110="moeda")+(Inputs!$G$5:$G$110="acoes"))*Inputs!$B$1+((Inputs!$G$5:$G$110&lt;&gt;"moeda")*(Inputs!$G$5:$G$110&lt;&gt;"acoes")))*INDEX(Inputs!$K$5:$AJ$110,0,MATCH(AH$2,Inputs!$K$4:$AJ$4,0)))))</f>
        <v>7075</v>
      </c>
      <c r="AI20" s="6">
        <f>IF(ISNA(MATCH(AI$2,Inputs!$K$4:$AJ$4,0)),NA(),IF(SUMPRODUCT((Inputs!$A$5:$A$110=$B20)*ISNUMBER(INDEX(Inputs!$K$5:$AJ$110,0,MATCH(AI$2,Inputs!$K$4:$AJ$4,0))))+SUMPRODUCT((Inputs!$C$5:$C$110=$B20)*ISNUMBER(INDEX(Inputs!$K$5:$AJ$110,0,MATCH(AI$2,Inputs!$K$4:$AJ$4,0))))+SUMPRODUCT((Inputs!$E$5:$E$110=$B20)*ISNUMBER(INDEX(Inputs!$K$5:$AJ$110,0,MATCH(AI$2,Inputs!$K$4:$AJ$4,0))))=0,NA(),SUMPRODUCT((Inputs!$A$5:$A$110=$B20)*Inputs!$B$5:$B$110*(((Inputs!$G$5:$G$110="moeda")+(Inputs!$G$5:$G$110="acoes"))*Inputs!$B$1+((Inputs!$G$5:$G$110&lt;&gt;"moeda")*(Inputs!$G$5:$G$110&lt;&gt;"acoes")))*INDEX(Inputs!$K$5:$AJ$110,0,MATCH(AI$2,Inputs!$K$4:$AJ$4,0)))+SUMPRODUCT((Inputs!$C$5:$C$110=$B20)*Inputs!$D$5:$D$110*(((Inputs!$G$5:$G$110="moeda")+(Inputs!$G$5:$G$110="acoes"))*Inputs!$B$1+((Inputs!$G$5:$G$110&lt;&gt;"moeda")*(Inputs!$G$5:$G$110&lt;&gt;"acoes")))*INDEX(Inputs!$K$5:$AJ$110,0,MATCH(AI$2,Inputs!$K$4:$AJ$4,0)))+SUMPRODUCT((Inputs!$E$5:$E$110=$B20)*Inputs!$F$5:$F$110*(((Inputs!$G$5:$G$110="moeda")+(Inputs!$G$5:$G$110="acoes"))*Inputs!$B$1+((Inputs!$G$5:$G$110&lt;&gt;"moeda")*(Inputs!$G$5:$G$110&lt;&gt;"acoes")))*INDEX(Inputs!$K$5:$AJ$110,0,MATCH(AI$2,Inputs!$K$4:$AJ$4,0)))))</f>
        <v>5973</v>
      </c>
      <c r="AJ20" s="6">
        <f>IF(ISNA(MATCH(AJ$2,Inputs!$K$4:$AJ$4,0)),NA(),IF(SUMPRODUCT((Inputs!$A$5:$A$110=$B20)*ISNUMBER(INDEX(Inputs!$K$5:$AJ$110,0,MATCH(AJ$2,Inputs!$K$4:$AJ$4,0))))+SUMPRODUCT((Inputs!$C$5:$C$110=$B20)*ISNUMBER(INDEX(Inputs!$K$5:$AJ$110,0,MATCH(AJ$2,Inputs!$K$4:$AJ$4,0))))+SUMPRODUCT((Inputs!$E$5:$E$110=$B20)*ISNUMBER(INDEX(Inputs!$K$5:$AJ$110,0,MATCH(AJ$2,Inputs!$K$4:$AJ$4,0))))=0,NA(),SUMPRODUCT((Inputs!$A$5:$A$110=$B20)*Inputs!$B$5:$B$110*(((Inputs!$G$5:$G$110="moeda")+(Inputs!$G$5:$G$110="acoes"))*Inputs!$B$1+((Inputs!$G$5:$G$110&lt;&gt;"moeda")*(Inputs!$G$5:$G$110&lt;&gt;"acoes")))*INDEX(Inputs!$K$5:$AJ$110,0,MATCH(AJ$2,Inputs!$K$4:$AJ$4,0)))+SUMPRODUCT((Inputs!$C$5:$C$110=$B20)*Inputs!$D$5:$D$110*(((Inputs!$G$5:$G$110="moeda")+(Inputs!$G$5:$G$110="acoes"))*Inputs!$B$1+((Inputs!$G$5:$G$110&lt;&gt;"moeda")*(Inputs!$G$5:$G$110&lt;&gt;"acoes")))*INDEX(Inputs!$K$5:$AJ$110,0,MATCH(AJ$2,Inputs!$K$4:$AJ$4,0)))+SUMPRODUCT((Inputs!$E$5:$E$110=$B20)*Inputs!$F$5:$F$110*(((Inputs!$G$5:$G$110="moeda")+(Inputs!$G$5:$G$110="acoes"))*Inputs!$B$1+((Inputs!$G$5:$G$110&lt;&gt;"moeda")*(Inputs!$G$5:$G$110&lt;&gt;"acoes")))*INDEX(Inputs!$K$5:$AJ$110,0,MATCH(AJ$2,Inputs!$K$4:$AJ$4,0)))))</f>
        <v>6013</v>
      </c>
      <c r="AK20" s="6">
        <f>IF(ISNA(MATCH(AK$2,Inputs!$K$4:$AJ$4,0)),NA(),IF(SUMPRODUCT((Inputs!$A$5:$A$110=$B20)*ISNUMBER(INDEX(Inputs!$K$5:$AJ$110,0,MATCH(AK$2,Inputs!$K$4:$AJ$4,0))))+SUMPRODUCT((Inputs!$C$5:$C$110=$B20)*ISNUMBER(INDEX(Inputs!$K$5:$AJ$110,0,MATCH(AK$2,Inputs!$K$4:$AJ$4,0))))+SUMPRODUCT((Inputs!$E$5:$E$110=$B20)*ISNUMBER(INDEX(Inputs!$K$5:$AJ$110,0,MATCH(AK$2,Inputs!$K$4:$AJ$4,0))))=0,NA(),SUMPRODUCT((Inputs!$A$5:$A$110=$B20)*Inputs!$B$5:$B$110*(((Inputs!$G$5:$G$110="moeda")+(Inputs!$G$5:$G$110="acoes"))*Inputs!$B$1+((Inputs!$G$5:$G$110&lt;&gt;"moeda")*(Inputs!$G$5:$G$110&lt;&gt;"acoes")))*INDEX(Inputs!$K$5:$AJ$110,0,MATCH(AK$2,Inputs!$K$4:$AJ$4,0)))+SUMPRODUCT((Inputs!$C$5:$C$110=$B20)*Inputs!$D$5:$D$110*(((Inputs!$G$5:$G$110="moeda")+(Inputs!$G$5:$G$110="acoes"))*Inputs!$B$1+((Inputs!$G$5:$G$110&lt;&gt;"moeda")*(Inputs!$G$5:$G$110&lt;&gt;"acoes")))*INDEX(Inputs!$K$5:$AJ$110,0,MATCH(AK$2,Inputs!$K$4:$AJ$4,0)))+SUMPRODUCT((Inputs!$E$5:$E$110=$B20)*Inputs!$F$5:$F$110*(((Inputs!$G$5:$G$110="moeda")+(Inputs!$G$5:$G$110="acoes"))*Inputs!$B$1+((Inputs!$G$5:$G$110&lt;&gt;"moeda")*(Inputs!$G$5:$G$110&lt;&gt;"acoes")))*INDEX(Inputs!$K$5:$AJ$110,0,MATCH(AK$2,Inputs!$K$4:$AJ$4,0)))))</f>
        <v>5944</v>
      </c>
      <c r="AL20" s="3">
        <f>AK20</f>
        <v>5944</v>
      </c>
    </row>
    <row r="21">
      <c r="B21" s="46" t="n">
        <v>17</v>
      </c>
      <c r="C21" s="26" t="inlineStr">
        <is>
          <t>Equity in affiliates</t>
        </is>
      </c>
      <c r="D21" s="6" t="e">
        <f>IF(ISNA(MATCH(D$2,Inputs!$K$4:$AJ$4,0)),NA(),IF(SUMPRODUCT((Inputs!$A$5:$A$110=$B21)*ISNUMBER(INDEX(Inputs!$K$5:$AJ$110,0,MATCH(D$2,Inputs!$K$4:$AJ$4,0))))+SUMPRODUCT((Inputs!$C$5:$C$110=$B21)*ISNUMBER(INDEX(Inputs!$K$5:$AJ$110,0,MATCH(D$2,Inputs!$K$4:$AJ$4,0))))+SUMPRODUCT((Inputs!$E$5:$E$110=$B21)*ISNUMBER(INDEX(Inputs!$K$5:$AJ$110,0,MATCH(D$2,Inputs!$K$4:$AJ$4,0))))=0,NA(),SUMPRODUCT((Inputs!$A$5:$A$110=$B21)*Inputs!$B$5:$B$110*(((Inputs!$G$5:$G$110="moeda")+(Inputs!$G$5:$G$110="acoes"))*Inputs!$B$1+((Inputs!$G$5:$G$110&lt;&gt;"moeda")*(Inputs!$G$5:$G$110&lt;&gt;"acoes")))*INDEX(Inputs!$K$5:$AJ$110,0,MATCH(D$2,Inputs!$K$4:$AJ$4,0)))+SUMPRODUCT((Inputs!$C$5:$C$110=$B21)*Inputs!$D$5:$D$110*(((Inputs!$G$5:$G$110="moeda")+(Inputs!$G$5:$G$110="acoes"))*Inputs!$B$1+((Inputs!$G$5:$G$110&lt;&gt;"moeda")*(Inputs!$G$5:$G$110&lt;&gt;"acoes")))*INDEX(Inputs!$K$5:$AJ$110,0,MATCH(D$2,Inputs!$K$4:$AJ$4,0)))+SUMPRODUCT((Inputs!$E$5:$E$110=$B21)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21" s="6" t="e">
        <f>IF(ISNA(MATCH(E$2,Inputs!$K$4:$AJ$4,0)),NA(),IF(SUMPRODUCT((Inputs!$A$5:$A$110=$B21)*ISNUMBER(INDEX(Inputs!$K$5:$AJ$110,0,MATCH(E$2,Inputs!$K$4:$AJ$4,0))))+SUMPRODUCT((Inputs!$C$5:$C$110=$B21)*ISNUMBER(INDEX(Inputs!$K$5:$AJ$110,0,MATCH(E$2,Inputs!$K$4:$AJ$4,0))))+SUMPRODUCT((Inputs!$E$5:$E$110=$B21)*ISNUMBER(INDEX(Inputs!$K$5:$AJ$110,0,MATCH(E$2,Inputs!$K$4:$AJ$4,0))))=0,NA(),SUMPRODUCT((Inputs!$A$5:$A$110=$B21)*Inputs!$B$5:$B$110*(((Inputs!$G$5:$G$110="moeda")+(Inputs!$G$5:$G$110="acoes"))*Inputs!$B$1+((Inputs!$G$5:$G$110&lt;&gt;"moeda")*(Inputs!$G$5:$G$110&lt;&gt;"acoes")))*INDEX(Inputs!$K$5:$AJ$110,0,MATCH(E$2,Inputs!$K$4:$AJ$4,0)))+SUMPRODUCT((Inputs!$C$5:$C$110=$B21)*Inputs!$D$5:$D$110*(((Inputs!$G$5:$G$110="moeda")+(Inputs!$G$5:$G$110="acoes"))*Inputs!$B$1+((Inputs!$G$5:$G$110&lt;&gt;"moeda")*(Inputs!$G$5:$G$110&lt;&gt;"acoes")))*INDEX(Inputs!$K$5:$AJ$110,0,MATCH(E$2,Inputs!$K$4:$AJ$4,0)))+SUMPRODUCT((Inputs!$E$5:$E$110=$B21)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21" s="6" t="e">
        <f>IF(ISNA(MATCH(F$2,Inputs!$K$4:$AJ$4,0)),NA(),IF(SUMPRODUCT((Inputs!$A$5:$A$110=$B21)*ISNUMBER(INDEX(Inputs!$K$5:$AJ$110,0,MATCH(F$2,Inputs!$K$4:$AJ$4,0))))+SUMPRODUCT((Inputs!$C$5:$C$110=$B21)*ISNUMBER(INDEX(Inputs!$K$5:$AJ$110,0,MATCH(F$2,Inputs!$K$4:$AJ$4,0))))+SUMPRODUCT((Inputs!$E$5:$E$110=$B21)*ISNUMBER(INDEX(Inputs!$K$5:$AJ$110,0,MATCH(F$2,Inputs!$K$4:$AJ$4,0))))=0,NA(),SUMPRODUCT((Inputs!$A$5:$A$110=$B21)*Inputs!$B$5:$B$110*(((Inputs!$G$5:$G$110="moeda")+(Inputs!$G$5:$G$110="acoes"))*Inputs!$B$1+((Inputs!$G$5:$G$110&lt;&gt;"moeda")*(Inputs!$G$5:$G$110&lt;&gt;"acoes")))*INDEX(Inputs!$K$5:$AJ$110,0,MATCH(F$2,Inputs!$K$4:$AJ$4,0)))+SUMPRODUCT((Inputs!$C$5:$C$110=$B21)*Inputs!$D$5:$D$110*(((Inputs!$G$5:$G$110="moeda")+(Inputs!$G$5:$G$110="acoes"))*Inputs!$B$1+((Inputs!$G$5:$G$110&lt;&gt;"moeda")*(Inputs!$G$5:$G$110&lt;&gt;"acoes")))*INDEX(Inputs!$K$5:$AJ$110,0,MATCH(F$2,Inputs!$K$4:$AJ$4,0)))+SUMPRODUCT((Inputs!$E$5:$E$110=$B21)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21" s="6" t="e">
        <f>IF(ISNA(MATCH(G$2,Inputs!$K$4:$AJ$4,0)),NA(),IF(SUMPRODUCT((Inputs!$A$5:$A$110=$B21)*ISNUMBER(INDEX(Inputs!$K$5:$AJ$110,0,MATCH(G$2,Inputs!$K$4:$AJ$4,0))))+SUMPRODUCT((Inputs!$C$5:$C$110=$B21)*ISNUMBER(INDEX(Inputs!$K$5:$AJ$110,0,MATCH(G$2,Inputs!$K$4:$AJ$4,0))))+SUMPRODUCT((Inputs!$E$5:$E$110=$B21)*ISNUMBER(INDEX(Inputs!$K$5:$AJ$110,0,MATCH(G$2,Inputs!$K$4:$AJ$4,0))))=0,NA(),SUMPRODUCT((Inputs!$A$5:$A$110=$B21)*Inputs!$B$5:$B$110*(((Inputs!$G$5:$G$110="moeda")+(Inputs!$G$5:$G$110="acoes"))*Inputs!$B$1+((Inputs!$G$5:$G$110&lt;&gt;"moeda")*(Inputs!$G$5:$G$110&lt;&gt;"acoes")))*INDEX(Inputs!$K$5:$AJ$110,0,MATCH(G$2,Inputs!$K$4:$AJ$4,0)))+SUMPRODUCT((Inputs!$C$5:$C$110=$B21)*Inputs!$D$5:$D$110*(((Inputs!$G$5:$G$110="moeda")+(Inputs!$G$5:$G$110="acoes"))*Inputs!$B$1+((Inputs!$G$5:$G$110&lt;&gt;"moeda")*(Inputs!$G$5:$G$110&lt;&gt;"acoes")))*INDEX(Inputs!$K$5:$AJ$110,0,MATCH(G$2,Inputs!$K$4:$AJ$4,0)))+SUMPRODUCT((Inputs!$E$5:$E$110=$B21)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21" s="3" t="e">
        <f>G21</f>
        <v>#N/A</v>
      </c>
      <c r="I21" s="6" t="e">
        <f>IF(ISNA(MATCH(I$2,Inputs!$K$4:$AJ$4,0)),NA(),IF(SUMPRODUCT((Inputs!$A$5:$A$110=$B21)*ISNUMBER(INDEX(Inputs!$K$5:$AJ$110,0,MATCH(I$2,Inputs!$K$4:$AJ$4,0))))+SUMPRODUCT((Inputs!$C$5:$C$110=$B21)*ISNUMBER(INDEX(Inputs!$K$5:$AJ$110,0,MATCH(I$2,Inputs!$K$4:$AJ$4,0))))+SUMPRODUCT((Inputs!$E$5:$E$110=$B21)*ISNUMBER(INDEX(Inputs!$K$5:$AJ$110,0,MATCH(I$2,Inputs!$K$4:$AJ$4,0))))=0,NA(),SUMPRODUCT((Inputs!$A$5:$A$110=$B21)*Inputs!$B$5:$B$110*(((Inputs!$G$5:$G$110="moeda")+(Inputs!$G$5:$G$110="acoes"))*Inputs!$B$1+((Inputs!$G$5:$G$110&lt;&gt;"moeda")*(Inputs!$G$5:$G$110&lt;&gt;"acoes")))*INDEX(Inputs!$K$5:$AJ$110,0,MATCH(I$2,Inputs!$K$4:$AJ$4,0)))+SUMPRODUCT((Inputs!$C$5:$C$110=$B21)*Inputs!$D$5:$D$110*(((Inputs!$G$5:$G$110="moeda")+(Inputs!$G$5:$G$110="acoes"))*Inputs!$B$1+((Inputs!$G$5:$G$110&lt;&gt;"moeda")*(Inputs!$G$5:$G$110&lt;&gt;"acoes")))*INDEX(Inputs!$K$5:$AJ$110,0,MATCH(I$2,Inputs!$K$4:$AJ$4,0)))+SUMPRODUCT((Inputs!$E$5:$E$110=$B21)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21" s="6" t="e">
        <f>IF(ISNA(MATCH(J$2,Inputs!$K$4:$AJ$4,0)),NA(),IF(SUMPRODUCT((Inputs!$A$5:$A$110=$B21)*ISNUMBER(INDEX(Inputs!$K$5:$AJ$110,0,MATCH(J$2,Inputs!$K$4:$AJ$4,0))))+SUMPRODUCT((Inputs!$C$5:$C$110=$B21)*ISNUMBER(INDEX(Inputs!$K$5:$AJ$110,0,MATCH(J$2,Inputs!$K$4:$AJ$4,0))))+SUMPRODUCT((Inputs!$E$5:$E$110=$B21)*ISNUMBER(INDEX(Inputs!$K$5:$AJ$110,0,MATCH(J$2,Inputs!$K$4:$AJ$4,0))))=0,NA(),SUMPRODUCT((Inputs!$A$5:$A$110=$B21)*Inputs!$B$5:$B$110*(((Inputs!$G$5:$G$110="moeda")+(Inputs!$G$5:$G$110="acoes"))*Inputs!$B$1+((Inputs!$G$5:$G$110&lt;&gt;"moeda")*(Inputs!$G$5:$G$110&lt;&gt;"acoes")))*INDEX(Inputs!$K$5:$AJ$110,0,MATCH(J$2,Inputs!$K$4:$AJ$4,0)))+SUMPRODUCT((Inputs!$C$5:$C$110=$B21)*Inputs!$D$5:$D$110*(((Inputs!$G$5:$G$110="moeda")+(Inputs!$G$5:$G$110="acoes"))*Inputs!$B$1+((Inputs!$G$5:$G$110&lt;&gt;"moeda")*(Inputs!$G$5:$G$110&lt;&gt;"acoes")))*INDEX(Inputs!$K$5:$AJ$110,0,MATCH(J$2,Inputs!$K$4:$AJ$4,0)))+SUMPRODUCT((Inputs!$E$5:$E$110=$B21)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21" s="6" t="e">
        <f>IF(ISNA(MATCH(K$2,Inputs!$K$4:$AJ$4,0)),NA(),IF(SUMPRODUCT((Inputs!$A$5:$A$110=$B21)*ISNUMBER(INDEX(Inputs!$K$5:$AJ$110,0,MATCH(K$2,Inputs!$K$4:$AJ$4,0))))+SUMPRODUCT((Inputs!$C$5:$C$110=$B21)*ISNUMBER(INDEX(Inputs!$K$5:$AJ$110,0,MATCH(K$2,Inputs!$K$4:$AJ$4,0))))+SUMPRODUCT((Inputs!$E$5:$E$110=$B21)*ISNUMBER(INDEX(Inputs!$K$5:$AJ$110,0,MATCH(K$2,Inputs!$K$4:$AJ$4,0))))=0,NA(),SUMPRODUCT((Inputs!$A$5:$A$110=$B21)*Inputs!$B$5:$B$110*(((Inputs!$G$5:$G$110="moeda")+(Inputs!$G$5:$G$110="acoes"))*Inputs!$B$1+((Inputs!$G$5:$G$110&lt;&gt;"moeda")*(Inputs!$G$5:$G$110&lt;&gt;"acoes")))*INDEX(Inputs!$K$5:$AJ$110,0,MATCH(K$2,Inputs!$K$4:$AJ$4,0)))+SUMPRODUCT((Inputs!$C$5:$C$110=$B21)*Inputs!$D$5:$D$110*(((Inputs!$G$5:$G$110="moeda")+(Inputs!$G$5:$G$110="acoes"))*Inputs!$B$1+((Inputs!$G$5:$G$110&lt;&gt;"moeda")*(Inputs!$G$5:$G$110&lt;&gt;"acoes")))*INDEX(Inputs!$K$5:$AJ$110,0,MATCH(K$2,Inputs!$K$4:$AJ$4,0)))+SUMPRODUCT((Inputs!$E$5:$E$110=$B21)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21" s="6" t="e">
        <f>IF(ISNA(MATCH(L$2,Inputs!$K$4:$AJ$4,0)),NA(),IF(SUMPRODUCT((Inputs!$A$5:$A$110=$B21)*ISNUMBER(INDEX(Inputs!$K$5:$AJ$110,0,MATCH(L$2,Inputs!$K$4:$AJ$4,0))))+SUMPRODUCT((Inputs!$C$5:$C$110=$B21)*ISNUMBER(INDEX(Inputs!$K$5:$AJ$110,0,MATCH(L$2,Inputs!$K$4:$AJ$4,0))))+SUMPRODUCT((Inputs!$E$5:$E$110=$B21)*ISNUMBER(INDEX(Inputs!$K$5:$AJ$110,0,MATCH(L$2,Inputs!$K$4:$AJ$4,0))))=0,NA(),SUMPRODUCT((Inputs!$A$5:$A$110=$B21)*Inputs!$B$5:$B$110*(((Inputs!$G$5:$G$110="moeda")+(Inputs!$G$5:$G$110="acoes"))*Inputs!$B$1+((Inputs!$G$5:$G$110&lt;&gt;"moeda")*(Inputs!$G$5:$G$110&lt;&gt;"acoes")))*INDEX(Inputs!$K$5:$AJ$110,0,MATCH(L$2,Inputs!$K$4:$AJ$4,0)))+SUMPRODUCT((Inputs!$C$5:$C$110=$B21)*Inputs!$D$5:$D$110*(((Inputs!$G$5:$G$110="moeda")+(Inputs!$G$5:$G$110="acoes"))*Inputs!$B$1+((Inputs!$G$5:$G$110&lt;&gt;"moeda")*(Inputs!$G$5:$G$110&lt;&gt;"acoes")))*INDEX(Inputs!$K$5:$AJ$110,0,MATCH(L$2,Inputs!$K$4:$AJ$4,0)))+SUMPRODUCT((Inputs!$E$5:$E$110=$B21)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21" s="3" t="e">
        <f>L21</f>
        <v>#N/A</v>
      </c>
      <c r="N21" s="6" t="e">
        <f>IF(ISNA(MATCH(N$2,Inputs!$K$4:$AJ$4,0)),NA(),IF(SUMPRODUCT((Inputs!$A$5:$A$110=$B21)*ISNUMBER(INDEX(Inputs!$K$5:$AJ$110,0,MATCH(N$2,Inputs!$K$4:$AJ$4,0))))+SUMPRODUCT((Inputs!$C$5:$C$110=$B21)*ISNUMBER(INDEX(Inputs!$K$5:$AJ$110,0,MATCH(N$2,Inputs!$K$4:$AJ$4,0))))+SUMPRODUCT((Inputs!$E$5:$E$110=$B21)*ISNUMBER(INDEX(Inputs!$K$5:$AJ$110,0,MATCH(N$2,Inputs!$K$4:$AJ$4,0))))=0,NA(),SUMPRODUCT((Inputs!$A$5:$A$110=$B21)*Inputs!$B$5:$B$110*(((Inputs!$G$5:$G$110="moeda")+(Inputs!$G$5:$G$110="acoes"))*Inputs!$B$1+((Inputs!$G$5:$G$110&lt;&gt;"moeda")*(Inputs!$G$5:$G$110&lt;&gt;"acoes")))*INDEX(Inputs!$K$5:$AJ$110,0,MATCH(N$2,Inputs!$K$4:$AJ$4,0)))+SUMPRODUCT((Inputs!$C$5:$C$110=$B21)*Inputs!$D$5:$D$110*(((Inputs!$G$5:$G$110="moeda")+(Inputs!$G$5:$G$110="acoes"))*Inputs!$B$1+((Inputs!$G$5:$G$110&lt;&gt;"moeda")*(Inputs!$G$5:$G$110&lt;&gt;"acoes")))*INDEX(Inputs!$K$5:$AJ$110,0,MATCH(N$2,Inputs!$K$4:$AJ$4,0)))+SUMPRODUCT((Inputs!$E$5:$E$110=$B21)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21" s="6" t="e">
        <f>IF(ISNA(MATCH(O$2,Inputs!$K$4:$AJ$4,0)),NA(),IF(SUMPRODUCT((Inputs!$A$5:$A$110=$B21)*ISNUMBER(INDEX(Inputs!$K$5:$AJ$110,0,MATCH(O$2,Inputs!$K$4:$AJ$4,0))))+SUMPRODUCT((Inputs!$C$5:$C$110=$B21)*ISNUMBER(INDEX(Inputs!$K$5:$AJ$110,0,MATCH(O$2,Inputs!$K$4:$AJ$4,0))))+SUMPRODUCT((Inputs!$E$5:$E$110=$B21)*ISNUMBER(INDEX(Inputs!$K$5:$AJ$110,0,MATCH(O$2,Inputs!$K$4:$AJ$4,0))))=0,NA(),SUMPRODUCT((Inputs!$A$5:$A$110=$B21)*Inputs!$B$5:$B$110*(((Inputs!$G$5:$G$110="moeda")+(Inputs!$G$5:$G$110="acoes"))*Inputs!$B$1+((Inputs!$G$5:$G$110&lt;&gt;"moeda")*(Inputs!$G$5:$G$110&lt;&gt;"acoes")))*INDEX(Inputs!$K$5:$AJ$110,0,MATCH(O$2,Inputs!$K$4:$AJ$4,0)))+SUMPRODUCT((Inputs!$C$5:$C$110=$B21)*Inputs!$D$5:$D$110*(((Inputs!$G$5:$G$110="moeda")+(Inputs!$G$5:$G$110="acoes"))*Inputs!$B$1+((Inputs!$G$5:$G$110&lt;&gt;"moeda")*(Inputs!$G$5:$G$110&lt;&gt;"acoes")))*INDEX(Inputs!$K$5:$AJ$110,0,MATCH(O$2,Inputs!$K$4:$AJ$4,0)))+SUMPRODUCT((Inputs!$E$5:$E$110=$B21)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21" s="6" t="e">
        <f>IF(ISNA(MATCH(P$2,Inputs!$K$4:$AJ$4,0)),NA(),IF(SUMPRODUCT((Inputs!$A$5:$A$110=$B21)*ISNUMBER(INDEX(Inputs!$K$5:$AJ$110,0,MATCH(P$2,Inputs!$K$4:$AJ$4,0))))+SUMPRODUCT((Inputs!$C$5:$C$110=$B21)*ISNUMBER(INDEX(Inputs!$K$5:$AJ$110,0,MATCH(P$2,Inputs!$K$4:$AJ$4,0))))+SUMPRODUCT((Inputs!$E$5:$E$110=$B21)*ISNUMBER(INDEX(Inputs!$K$5:$AJ$110,0,MATCH(P$2,Inputs!$K$4:$AJ$4,0))))=0,NA(),SUMPRODUCT((Inputs!$A$5:$A$110=$B21)*Inputs!$B$5:$B$110*(((Inputs!$G$5:$G$110="moeda")+(Inputs!$G$5:$G$110="acoes"))*Inputs!$B$1+((Inputs!$G$5:$G$110&lt;&gt;"moeda")*(Inputs!$G$5:$G$110&lt;&gt;"acoes")))*INDEX(Inputs!$K$5:$AJ$110,0,MATCH(P$2,Inputs!$K$4:$AJ$4,0)))+SUMPRODUCT((Inputs!$C$5:$C$110=$B21)*Inputs!$D$5:$D$110*(((Inputs!$G$5:$G$110="moeda")+(Inputs!$G$5:$G$110="acoes"))*Inputs!$B$1+((Inputs!$G$5:$G$110&lt;&gt;"moeda")*(Inputs!$G$5:$G$110&lt;&gt;"acoes")))*INDEX(Inputs!$K$5:$AJ$110,0,MATCH(P$2,Inputs!$K$4:$AJ$4,0)))+SUMPRODUCT((Inputs!$E$5:$E$110=$B21)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21" s="6" t="e">
        <f>IF(ISNA(MATCH(Q$2,Inputs!$K$4:$AJ$4,0)),NA(),IF(SUMPRODUCT((Inputs!$A$5:$A$110=$B21)*ISNUMBER(INDEX(Inputs!$K$5:$AJ$110,0,MATCH(Q$2,Inputs!$K$4:$AJ$4,0))))+SUMPRODUCT((Inputs!$C$5:$C$110=$B21)*ISNUMBER(INDEX(Inputs!$K$5:$AJ$110,0,MATCH(Q$2,Inputs!$K$4:$AJ$4,0))))+SUMPRODUCT((Inputs!$E$5:$E$110=$B21)*ISNUMBER(INDEX(Inputs!$K$5:$AJ$110,0,MATCH(Q$2,Inputs!$K$4:$AJ$4,0))))=0,NA(),SUMPRODUCT((Inputs!$A$5:$A$110=$B21)*Inputs!$B$5:$B$110*(((Inputs!$G$5:$G$110="moeda")+(Inputs!$G$5:$G$110="acoes"))*Inputs!$B$1+((Inputs!$G$5:$G$110&lt;&gt;"moeda")*(Inputs!$G$5:$G$110&lt;&gt;"acoes")))*INDEX(Inputs!$K$5:$AJ$110,0,MATCH(Q$2,Inputs!$K$4:$AJ$4,0)))+SUMPRODUCT((Inputs!$C$5:$C$110=$B21)*Inputs!$D$5:$D$110*(((Inputs!$G$5:$G$110="moeda")+(Inputs!$G$5:$G$110="acoes"))*Inputs!$B$1+((Inputs!$G$5:$G$110&lt;&gt;"moeda")*(Inputs!$G$5:$G$110&lt;&gt;"acoes")))*INDEX(Inputs!$K$5:$AJ$110,0,MATCH(Q$2,Inputs!$K$4:$AJ$4,0)))+SUMPRODUCT((Inputs!$E$5:$E$110=$B21)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21" s="3" t="e">
        <f>Q21</f>
        <v>#N/A</v>
      </c>
      <c r="S21" s="6" t="e">
        <f>IF(ISNA(MATCH(S$2,Inputs!$K$4:$AJ$4,0)),NA(),IF(SUMPRODUCT((Inputs!$A$5:$A$110=$B21)*ISNUMBER(INDEX(Inputs!$K$5:$AJ$110,0,MATCH(S$2,Inputs!$K$4:$AJ$4,0))))+SUMPRODUCT((Inputs!$C$5:$C$110=$B21)*ISNUMBER(INDEX(Inputs!$K$5:$AJ$110,0,MATCH(S$2,Inputs!$K$4:$AJ$4,0))))+SUMPRODUCT((Inputs!$E$5:$E$110=$B21)*ISNUMBER(INDEX(Inputs!$K$5:$AJ$110,0,MATCH(S$2,Inputs!$K$4:$AJ$4,0))))=0,NA(),SUMPRODUCT((Inputs!$A$5:$A$110=$B21)*Inputs!$B$5:$B$110*(((Inputs!$G$5:$G$110="moeda")+(Inputs!$G$5:$G$110="acoes"))*Inputs!$B$1+((Inputs!$G$5:$G$110&lt;&gt;"moeda")*(Inputs!$G$5:$G$110&lt;&gt;"acoes")))*INDEX(Inputs!$K$5:$AJ$110,0,MATCH(S$2,Inputs!$K$4:$AJ$4,0)))+SUMPRODUCT((Inputs!$C$5:$C$110=$B21)*Inputs!$D$5:$D$110*(((Inputs!$G$5:$G$110="moeda")+(Inputs!$G$5:$G$110="acoes"))*Inputs!$B$1+((Inputs!$G$5:$G$110&lt;&gt;"moeda")*(Inputs!$G$5:$G$110&lt;&gt;"acoes")))*INDEX(Inputs!$K$5:$AJ$110,0,MATCH(S$2,Inputs!$K$4:$AJ$4,0)))+SUMPRODUCT((Inputs!$E$5:$E$110=$B21)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21" s="6" t="e">
        <f>IF(ISNA(MATCH(T$2,Inputs!$K$4:$AJ$4,0)),NA(),IF(SUMPRODUCT((Inputs!$A$5:$A$110=$B21)*ISNUMBER(INDEX(Inputs!$K$5:$AJ$110,0,MATCH(T$2,Inputs!$K$4:$AJ$4,0))))+SUMPRODUCT((Inputs!$C$5:$C$110=$B21)*ISNUMBER(INDEX(Inputs!$K$5:$AJ$110,0,MATCH(T$2,Inputs!$K$4:$AJ$4,0))))+SUMPRODUCT((Inputs!$E$5:$E$110=$B21)*ISNUMBER(INDEX(Inputs!$K$5:$AJ$110,0,MATCH(T$2,Inputs!$K$4:$AJ$4,0))))=0,NA(),SUMPRODUCT((Inputs!$A$5:$A$110=$B21)*Inputs!$B$5:$B$110*(((Inputs!$G$5:$G$110="moeda")+(Inputs!$G$5:$G$110="acoes"))*Inputs!$B$1+((Inputs!$G$5:$G$110&lt;&gt;"moeda")*(Inputs!$G$5:$G$110&lt;&gt;"acoes")))*INDEX(Inputs!$K$5:$AJ$110,0,MATCH(T$2,Inputs!$K$4:$AJ$4,0)))+SUMPRODUCT((Inputs!$C$5:$C$110=$B21)*Inputs!$D$5:$D$110*(((Inputs!$G$5:$G$110="moeda")+(Inputs!$G$5:$G$110="acoes"))*Inputs!$B$1+((Inputs!$G$5:$G$110&lt;&gt;"moeda")*(Inputs!$G$5:$G$110&lt;&gt;"acoes")))*INDEX(Inputs!$K$5:$AJ$110,0,MATCH(T$2,Inputs!$K$4:$AJ$4,0)))+SUMPRODUCT((Inputs!$E$5:$E$110=$B21)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21" s="6" t="e">
        <f>IF(ISNA(MATCH(U$2,Inputs!$K$4:$AJ$4,0)),NA(),IF(SUMPRODUCT((Inputs!$A$5:$A$110=$B21)*ISNUMBER(INDEX(Inputs!$K$5:$AJ$110,0,MATCH(U$2,Inputs!$K$4:$AJ$4,0))))+SUMPRODUCT((Inputs!$C$5:$C$110=$B21)*ISNUMBER(INDEX(Inputs!$K$5:$AJ$110,0,MATCH(U$2,Inputs!$K$4:$AJ$4,0))))+SUMPRODUCT((Inputs!$E$5:$E$110=$B21)*ISNUMBER(INDEX(Inputs!$K$5:$AJ$110,0,MATCH(U$2,Inputs!$K$4:$AJ$4,0))))=0,NA(),SUMPRODUCT((Inputs!$A$5:$A$110=$B21)*Inputs!$B$5:$B$110*(((Inputs!$G$5:$G$110="moeda")+(Inputs!$G$5:$G$110="acoes"))*Inputs!$B$1+((Inputs!$G$5:$G$110&lt;&gt;"moeda")*(Inputs!$G$5:$G$110&lt;&gt;"acoes")))*INDEX(Inputs!$K$5:$AJ$110,0,MATCH(U$2,Inputs!$K$4:$AJ$4,0)))+SUMPRODUCT((Inputs!$C$5:$C$110=$B21)*Inputs!$D$5:$D$110*(((Inputs!$G$5:$G$110="moeda")+(Inputs!$G$5:$G$110="acoes"))*Inputs!$B$1+((Inputs!$G$5:$G$110&lt;&gt;"moeda")*(Inputs!$G$5:$G$110&lt;&gt;"acoes")))*INDEX(Inputs!$K$5:$AJ$110,0,MATCH(U$2,Inputs!$K$4:$AJ$4,0)))+SUMPRODUCT((Inputs!$E$5:$E$110=$B21)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21" s="6" t="e">
        <f>IF(ISNA(MATCH(V$2,Inputs!$K$4:$AJ$4,0)),NA(),IF(SUMPRODUCT((Inputs!$A$5:$A$110=$B21)*ISNUMBER(INDEX(Inputs!$K$5:$AJ$110,0,MATCH(V$2,Inputs!$K$4:$AJ$4,0))))+SUMPRODUCT((Inputs!$C$5:$C$110=$B21)*ISNUMBER(INDEX(Inputs!$K$5:$AJ$110,0,MATCH(V$2,Inputs!$K$4:$AJ$4,0))))+SUMPRODUCT((Inputs!$E$5:$E$110=$B21)*ISNUMBER(INDEX(Inputs!$K$5:$AJ$110,0,MATCH(V$2,Inputs!$K$4:$AJ$4,0))))=0,NA(),SUMPRODUCT((Inputs!$A$5:$A$110=$B21)*Inputs!$B$5:$B$110*(((Inputs!$G$5:$G$110="moeda")+(Inputs!$G$5:$G$110="acoes"))*Inputs!$B$1+((Inputs!$G$5:$G$110&lt;&gt;"moeda")*(Inputs!$G$5:$G$110&lt;&gt;"acoes")))*INDEX(Inputs!$K$5:$AJ$110,0,MATCH(V$2,Inputs!$K$4:$AJ$4,0)))+SUMPRODUCT((Inputs!$C$5:$C$110=$B21)*Inputs!$D$5:$D$110*(((Inputs!$G$5:$G$110="moeda")+(Inputs!$G$5:$G$110="acoes"))*Inputs!$B$1+((Inputs!$G$5:$G$110&lt;&gt;"moeda")*(Inputs!$G$5:$G$110&lt;&gt;"acoes")))*INDEX(Inputs!$K$5:$AJ$110,0,MATCH(V$2,Inputs!$K$4:$AJ$4,0)))+SUMPRODUCT((Inputs!$E$5:$E$110=$B21)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21" s="3" t="e">
        <f>V21</f>
        <v>#N/A</v>
      </c>
      <c r="X21" s="6" t="e">
        <f>IF(ISNA(MATCH(X$2,Inputs!$K$4:$AJ$4,0)),NA(),IF(SUMPRODUCT((Inputs!$A$5:$A$110=$B21)*ISNUMBER(INDEX(Inputs!$K$5:$AJ$110,0,MATCH(X$2,Inputs!$K$4:$AJ$4,0))))+SUMPRODUCT((Inputs!$C$5:$C$110=$B21)*ISNUMBER(INDEX(Inputs!$K$5:$AJ$110,0,MATCH(X$2,Inputs!$K$4:$AJ$4,0))))+SUMPRODUCT((Inputs!$E$5:$E$110=$B21)*ISNUMBER(INDEX(Inputs!$K$5:$AJ$110,0,MATCH(X$2,Inputs!$K$4:$AJ$4,0))))=0,NA(),SUMPRODUCT((Inputs!$A$5:$A$110=$B21)*Inputs!$B$5:$B$110*(((Inputs!$G$5:$G$110="moeda")+(Inputs!$G$5:$G$110="acoes"))*Inputs!$B$1+((Inputs!$G$5:$G$110&lt;&gt;"moeda")*(Inputs!$G$5:$G$110&lt;&gt;"acoes")))*INDEX(Inputs!$K$5:$AJ$110,0,MATCH(X$2,Inputs!$K$4:$AJ$4,0)))+SUMPRODUCT((Inputs!$C$5:$C$110=$B21)*Inputs!$D$5:$D$110*(((Inputs!$G$5:$G$110="moeda")+(Inputs!$G$5:$G$110="acoes"))*Inputs!$B$1+((Inputs!$G$5:$G$110&lt;&gt;"moeda")*(Inputs!$G$5:$G$110&lt;&gt;"acoes")))*INDEX(Inputs!$K$5:$AJ$110,0,MATCH(X$2,Inputs!$K$4:$AJ$4,0)))+SUMPRODUCT((Inputs!$E$5:$E$110=$B21)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21" s="6" t="e">
        <f>IF(ISNA(MATCH(Y$2,Inputs!$K$4:$AJ$4,0)),NA(),IF(SUMPRODUCT((Inputs!$A$5:$A$110=$B21)*ISNUMBER(INDEX(Inputs!$K$5:$AJ$110,0,MATCH(Y$2,Inputs!$K$4:$AJ$4,0))))+SUMPRODUCT((Inputs!$C$5:$C$110=$B21)*ISNUMBER(INDEX(Inputs!$K$5:$AJ$110,0,MATCH(Y$2,Inputs!$K$4:$AJ$4,0))))+SUMPRODUCT((Inputs!$E$5:$E$110=$B21)*ISNUMBER(INDEX(Inputs!$K$5:$AJ$110,0,MATCH(Y$2,Inputs!$K$4:$AJ$4,0))))=0,NA(),SUMPRODUCT((Inputs!$A$5:$A$110=$B21)*Inputs!$B$5:$B$110*(((Inputs!$G$5:$G$110="moeda")+(Inputs!$G$5:$G$110="acoes"))*Inputs!$B$1+((Inputs!$G$5:$G$110&lt;&gt;"moeda")*(Inputs!$G$5:$G$110&lt;&gt;"acoes")))*INDEX(Inputs!$K$5:$AJ$110,0,MATCH(Y$2,Inputs!$K$4:$AJ$4,0)))+SUMPRODUCT((Inputs!$C$5:$C$110=$B21)*Inputs!$D$5:$D$110*(((Inputs!$G$5:$G$110="moeda")+(Inputs!$G$5:$G$110="acoes"))*Inputs!$B$1+((Inputs!$G$5:$G$110&lt;&gt;"moeda")*(Inputs!$G$5:$G$110&lt;&gt;"acoes")))*INDEX(Inputs!$K$5:$AJ$110,0,MATCH(Y$2,Inputs!$K$4:$AJ$4,0)))+SUMPRODUCT((Inputs!$E$5:$E$110=$B21)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21" s="6" t="e">
        <f>IF(ISNA(MATCH(Z$2,Inputs!$K$4:$AJ$4,0)),NA(),IF(SUMPRODUCT((Inputs!$A$5:$A$110=$B21)*ISNUMBER(INDEX(Inputs!$K$5:$AJ$110,0,MATCH(Z$2,Inputs!$K$4:$AJ$4,0))))+SUMPRODUCT((Inputs!$C$5:$C$110=$B21)*ISNUMBER(INDEX(Inputs!$K$5:$AJ$110,0,MATCH(Z$2,Inputs!$K$4:$AJ$4,0))))+SUMPRODUCT((Inputs!$E$5:$E$110=$B21)*ISNUMBER(INDEX(Inputs!$K$5:$AJ$110,0,MATCH(Z$2,Inputs!$K$4:$AJ$4,0))))=0,NA(),SUMPRODUCT((Inputs!$A$5:$A$110=$B21)*Inputs!$B$5:$B$110*(((Inputs!$G$5:$G$110="moeda")+(Inputs!$G$5:$G$110="acoes"))*Inputs!$B$1+((Inputs!$G$5:$G$110&lt;&gt;"moeda")*(Inputs!$G$5:$G$110&lt;&gt;"acoes")))*INDEX(Inputs!$K$5:$AJ$110,0,MATCH(Z$2,Inputs!$K$4:$AJ$4,0)))+SUMPRODUCT((Inputs!$C$5:$C$110=$B21)*Inputs!$D$5:$D$110*(((Inputs!$G$5:$G$110="moeda")+(Inputs!$G$5:$G$110="acoes"))*Inputs!$B$1+((Inputs!$G$5:$G$110&lt;&gt;"moeda")*(Inputs!$G$5:$G$110&lt;&gt;"acoes")))*INDEX(Inputs!$K$5:$AJ$110,0,MATCH(Z$2,Inputs!$K$4:$AJ$4,0)))+SUMPRODUCT((Inputs!$E$5:$E$110=$B21)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21" s="6" t="e">
        <f>IF(ISNA(MATCH(AA$2,Inputs!$K$4:$AJ$4,0)),NA(),IF(SUMPRODUCT((Inputs!$A$5:$A$110=$B21)*ISNUMBER(INDEX(Inputs!$K$5:$AJ$110,0,MATCH(AA$2,Inputs!$K$4:$AJ$4,0))))+SUMPRODUCT((Inputs!$C$5:$C$110=$B21)*ISNUMBER(INDEX(Inputs!$K$5:$AJ$110,0,MATCH(AA$2,Inputs!$K$4:$AJ$4,0))))+SUMPRODUCT((Inputs!$E$5:$E$110=$B21)*ISNUMBER(INDEX(Inputs!$K$5:$AJ$110,0,MATCH(AA$2,Inputs!$K$4:$AJ$4,0))))=0,NA(),SUMPRODUCT((Inputs!$A$5:$A$110=$B21)*Inputs!$B$5:$B$110*(((Inputs!$G$5:$G$110="moeda")+(Inputs!$G$5:$G$110="acoes"))*Inputs!$B$1+((Inputs!$G$5:$G$110&lt;&gt;"moeda")*(Inputs!$G$5:$G$110&lt;&gt;"acoes")))*INDEX(Inputs!$K$5:$AJ$110,0,MATCH(AA$2,Inputs!$K$4:$AJ$4,0)))+SUMPRODUCT((Inputs!$C$5:$C$110=$B21)*Inputs!$D$5:$D$110*(((Inputs!$G$5:$G$110="moeda")+(Inputs!$G$5:$G$110="acoes"))*Inputs!$B$1+((Inputs!$G$5:$G$110&lt;&gt;"moeda")*(Inputs!$G$5:$G$110&lt;&gt;"acoes")))*INDEX(Inputs!$K$5:$AJ$110,0,MATCH(AA$2,Inputs!$K$4:$AJ$4,0)))+SUMPRODUCT((Inputs!$E$5:$E$110=$B21)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21" s="3" t="e">
        <f>AA21</f>
        <v>#N/A</v>
      </c>
      <c r="AC21" s="6" t="e">
        <f>IF(ISNA(MATCH(AC$2,Inputs!$K$4:$AJ$4,0)),NA(),IF(SUMPRODUCT((Inputs!$A$5:$A$110=$B21)*ISNUMBER(INDEX(Inputs!$K$5:$AJ$110,0,MATCH(AC$2,Inputs!$K$4:$AJ$4,0))))+SUMPRODUCT((Inputs!$C$5:$C$110=$B21)*ISNUMBER(INDEX(Inputs!$K$5:$AJ$110,0,MATCH(AC$2,Inputs!$K$4:$AJ$4,0))))+SUMPRODUCT((Inputs!$E$5:$E$110=$B21)*ISNUMBER(INDEX(Inputs!$K$5:$AJ$110,0,MATCH(AC$2,Inputs!$K$4:$AJ$4,0))))=0,NA(),SUMPRODUCT((Inputs!$A$5:$A$110=$B21)*Inputs!$B$5:$B$110*(((Inputs!$G$5:$G$110="moeda")+(Inputs!$G$5:$G$110="acoes"))*Inputs!$B$1+((Inputs!$G$5:$G$110&lt;&gt;"moeda")*(Inputs!$G$5:$G$110&lt;&gt;"acoes")))*INDEX(Inputs!$K$5:$AJ$110,0,MATCH(AC$2,Inputs!$K$4:$AJ$4,0)))+SUMPRODUCT((Inputs!$C$5:$C$110=$B21)*Inputs!$D$5:$D$110*(((Inputs!$G$5:$G$110="moeda")+(Inputs!$G$5:$G$110="acoes"))*Inputs!$B$1+((Inputs!$G$5:$G$110&lt;&gt;"moeda")*(Inputs!$G$5:$G$110&lt;&gt;"acoes")))*INDEX(Inputs!$K$5:$AJ$110,0,MATCH(AC$2,Inputs!$K$4:$AJ$4,0)))+SUMPRODUCT((Inputs!$E$5:$E$110=$B21)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21" s="6" t="e">
        <f>IF(ISNA(MATCH(AD$2,Inputs!$K$4:$AJ$4,0)),NA(),IF(SUMPRODUCT((Inputs!$A$5:$A$110=$B21)*ISNUMBER(INDEX(Inputs!$K$5:$AJ$110,0,MATCH(AD$2,Inputs!$K$4:$AJ$4,0))))+SUMPRODUCT((Inputs!$C$5:$C$110=$B21)*ISNUMBER(INDEX(Inputs!$K$5:$AJ$110,0,MATCH(AD$2,Inputs!$K$4:$AJ$4,0))))+SUMPRODUCT((Inputs!$E$5:$E$110=$B21)*ISNUMBER(INDEX(Inputs!$K$5:$AJ$110,0,MATCH(AD$2,Inputs!$K$4:$AJ$4,0))))=0,NA(),SUMPRODUCT((Inputs!$A$5:$A$110=$B21)*Inputs!$B$5:$B$110*(((Inputs!$G$5:$G$110="moeda")+(Inputs!$G$5:$G$110="acoes"))*Inputs!$B$1+((Inputs!$G$5:$G$110&lt;&gt;"moeda")*(Inputs!$G$5:$G$110&lt;&gt;"acoes")))*INDEX(Inputs!$K$5:$AJ$110,0,MATCH(AD$2,Inputs!$K$4:$AJ$4,0)))+SUMPRODUCT((Inputs!$C$5:$C$110=$B21)*Inputs!$D$5:$D$110*(((Inputs!$G$5:$G$110="moeda")+(Inputs!$G$5:$G$110="acoes"))*Inputs!$B$1+((Inputs!$G$5:$G$110&lt;&gt;"moeda")*(Inputs!$G$5:$G$110&lt;&gt;"acoes")))*INDEX(Inputs!$K$5:$AJ$110,0,MATCH(AD$2,Inputs!$K$4:$AJ$4,0)))+SUMPRODUCT((Inputs!$E$5:$E$110=$B21)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21" s="6" t="e">
        <f>IF(ISNA(MATCH(AE$2,Inputs!$K$4:$AJ$4,0)),NA(),IF(SUMPRODUCT((Inputs!$A$5:$A$110=$B21)*ISNUMBER(INDEX(Inputs!$K$5:$AJ$110,0,MATCH(AE$2,Inputs!$K$4:$AJ$4,0))))+SUMPRODUCT((Inputs!$C$5:$C$110=$B21)*ISNUMBER(INDEX(Inputs!$K$5:$AJ$110,0,MATCH(AE$2,Inputs!$K$4:$AJ$4,0))))+SUMPRODUCT((Inputs!$E$5:$E$110=$B21)*ISNUMBER(INDEX(Inputs!$K$5:$AJ$110,0,MATCH(AE$2,Inputs!$K$4:$AJ$4,0))))=0,NA(),SUMPRODUCT((Inputs!$A$5:$A$110=$B21)*Inputs!$B$5:$B$110*(((Inputs!$G$5:$G$110="moeda")+(Inputs!$G$5:$G$110="acoes"))*Inputs!$B$1+((Inputs!$G$5:$G$110&lt;&gt;"moeda")*(Inputs!$G$5:$G$110&lt;&gt;"acoes")))*INDEX(Inputs!$K$5:$AJ$110,0,MATCH(AE$2,Inputs!$K$4:$AJ$4,0)))+SUMPRODUCT((Inputs!$C$5:$C$110=$B21)*Inputs!$D$5:$D$110*(((Inputs!$G$5:$G$110="moeda")+(Inputs!$G$5:$G$110="acoes"))*Inputs!$B$1+((Inputs!$G$5:$G$110&lt;&gt;"moeda")*(Inputs!$G$5:$G$110&lt;&gt;"acoes")))*INDEX(Inputs!$K$5:$AJ$110,0,MATCH(AE$2,Inputs!$K$4:$AJ$4,0)))+SUMPRODUCT((Inputs!$E$5:$E$110=$B21)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1" s="6" t="e">
        <f>IF(ISNA(MATCH(AF$2,Inputs!$K$4:$AJ$4,0)),NA(),IF(SUMPRODUCT((Inputs!$A$5:$A$110=$B21)*ISNUMBER(INDEX(Inputs!$K$5:$AJ$110,0,MATCH(AF$2,Inputs!$K$4:$AJ$4,0))))+SUMPRODUCT((Inputs!$C$5:$C$110=$B21)*ISNUMBER(INDEX(Inputs!$K$5:$AJ$110,0,MATCH(AF$2,Inputs!$K$4:$AJ$4,0))))+SUMPRODUCT((Inputs!$E$5:$E$110=$B21)*ISNUMBER(INDEX(Inputs!$K$5:$AJ$110,0,MATCH(AF$2,Inputs!$K$4:$AJ$4,0))))=0,NA(),SUMPRODUCT((Inputs!$A$5:$A$110=$B21)*Inputs!$B$5:$B$110*(((Inputs!$G$5:$G$110="moeda")+(Inputs!$G$5:$G$110="acoes"))*Inputs!$B$1+((Inputs!$G$5:$G$110&lt;&gt;"moeda")*(Inputs!$G$5:$G$110&lt;&gt;"acoes")))*INDEX(Inputs!$K$5:$AJ$110,0,MATCH(AF$2,Inputs!$K$4:$AJ$4,0)))+SUMPRODUCT((Inputs!$C$5:$C$110=$B21)*Inputs!$D$5:$D$110*(((Inputs!$G$5:$G$110="moeda")+(Inputs!$G$5:$G$110="acoes"))*Inputs!$B$1+((Inputs!$G$5:$G$110&lt;&gt;"moeda")*(Inputs!$G$5:$G$110&lt;&gt;"acoes")))*INDEX(Inputs!$K$5:$AJ$110,0,MATCH(AF$2,Inputs!$K$4:$AJ$4,0)))+SUMPRODUCT((Inputs!$E$5:$E$110=$B21)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1" s="3" t="e">
        <f>AF21</f>
        <v>#N/A</v>
      </c>
      <c r="AH21" s="6" t="e">
        <f>IF(ISNA(MATCH(AH$2,Inputs!$K$4:$AJ$4,0)),NA(),IF(SUMPRODUCT((Inputs!$A$5:$A$110=$B21)*ISNUMBER(INDEX(Inputs!$K$5:$AJ$110,0,MATCH(AH$2,Inputs!$K$4:$AJ$4,0))))+SUMPRODUCT((Inputs!$C$5:$C$110=$B21)*ISNUMBER(INDEX(Inputs!$K$5:$AJ$110,0,MATCH(AH$2,Inputs!$K$4:$AJ$4,0))))+SUMPRODUCT((Inputs!$E$5:$E$110=$B21)*ISNUMBER(INDEX(Inputs!$K$5:$AJ$110,0,MATCH(AH$2,Inputs!$K$4:$AJ$4,0))))=0,NA(),SUMPRODUCT((Inputs!$A$5:$A$110=$B21)*Inputs!$B$5:$B$110*(((Inputs!$G$5:$G$110="moeda")+(Inputs!$G$5:$G$110="acoes"))*Inputs!$B$1+((Inputs!$G$5:$G$110&lt;&gt;"moeda")*(Inputs!$G$5:$G$110&lt;&gt;"acoes")))*INDEX(Inputs!$K$5:$AJ$110,0,MATCH(AH$2,Inputs!$K$4:$AJ$4,0)))+SUMPRODUCT((Inputs!$C$5:$C$110=$B21)*Inputs!$D$5:$D$110*(((Inputs!$G$5:$G$110="moeda")+(Inputs!$G$5:$G$110="acoes"))*Inputs!$B$1+((Inputs!$G$5:$G$110&lt;&gt;"moeda")*(Inputs!$G$5:$G$110&lt;&gt;"acoes")))*INDEX(Inputs!$K$5:$AJ$110,0,MATCH(AH$2,Inputs!$K$4:$AJ$4,0)))+SUMPRODUCT((Inputs!$E$5:$E$110=$B21)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21" s="6" t="e">
        <f>IF(ISNA(MATCH(AI$2,Inputs!$K$4:$AJ$4,0)),NA(),IF(SUMPRODUCT((Inputs!$A$5:$A$110=$B21)*ISNUMBER(INDEX(Inputs!$K$5:$AJ$110,0,MATCH(AI$2,Inputs!$K$4:$AJ$4,0))))+SUMPRODUCT((Inputs!$C$5:$C$110=$B21)*ISNUMBER(INDEX(Inputs!$K$5:$AJ$110,0,MATCH(AI$2,Inputs!$K$4:$AJ$4,0))))+SUMPRODUCT((Inputs!$E$5:$E$110=$B21)*ISNUMBER(INDEX(Inputs!$K$5:$AJ$110,0,MATCH(AI$2,Inputs!$K$4:$AJ$4,0))))=0,NA(),SUMPRODUCT((Inputs!$A$5:$A$110=$B21)*Inputs!$B$5:$B$110*(((Inputs!$G$5:$G$110="moeda")+(Inputs!$G$5:$G$110="acoes"))*Inputs!$B$1+((Inputs!$G$5:$G$110&lt;&gt;"moeda")*(Inputs!$G$5:$G$110&lt;&gt;"acoes")))*INDEX(Inputs!$K$5:$AJ$110,0,MATCH(AI$2,Inputs!$K$4:$AJ$4,0)))+SUMPRODUCT((Inputs!$C$5:$C$110=$B21)*Inputs!$D$5:$D$110*(((Inputs!$G$5:$G$110="moeda")+(Inputs!$G$5:$G$110="acoes"))*Inputs!$B$1+((Inputs!$G$5:$G$110&lt;&gt;"moeda")*(Inputs!$G$5:$G$110&lt;&gt;"acoes")))*INDEX(Inputs!$K$5:$AJ$110,0,MATCH(AI$2,Inputs!$K$4:$AJ$4,0)))+SUMPRODUCT((Inputs!$E$5:$E$110=$B21)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21" s="6" t="e">
        <f>IF(ISNA(MATCH(AJ$2,Inputs!$K$4:$AJ$4,0)),NA(),IF(SUMPRODUCT((Inputs!$A$5:$A$110=$B21)*ISNUMBER(INDEX(Inputs!$K$5:$AJ$110,0,MATCH(AJ$2,Inputs!$K$4:$AJ$4,0))))+SUMPRODUCT((Inputs!$C$5:$C$110=$B21)*ISNUMBER(INDEX(Inputs!$K$5:$AJ$110,0,MATCH(AJ$2,Inputs!$K$4:$AJ$4,0))))+SUMPRODUCT((Inputs!$E$5:$E$110=$B21)*ISNUMBER(INDEX(Inputs!$K$5:$AJ$110,0,MATCH(AJ$2,Inputs!$K$4:$AJ$4,0))))=0,NA(),SUMPRODUCT((Inputs!$A$5:$A$110=$B21)*Inputs!$B$5:$B$110*(((Inputs!$G$5:$G$110="moeda")+(Inputs!$G$5:$G$110="acoes"))*Inputs!$B$1+((Inputs!$G$5:$G$110&lt;&gt;"moeda")*(Inputs!$G$5:$G$110&lt;&gt;"acoes")))*INDEX(Inputs!$K$5:$AJ$110,0,MATCH(AJ$2,Inputs!$K$4:$AJ$4,0)))+SUMPRODUCT((Inputs!$C$5:$C$110=$B21)*Inputs!$D$5:$D$110*(((Inputs!$G$5:$G$110="moeda")+(Inputs!$G$5:$G$110="acoes"))*Inputs!$B$1+((Inputs!$G$5:$G$110&lt;&gt;"moeda")*(Inputs!$G$5:$G$110&lt;&gt;"acoes")))*INDEX(Inputs!$K$5:$AJ$110,0,MATCH(AJ$2,Inputs!$K$4:$AJ$4,0)))+SUMPRODUCT((Inputs!$E$5:$E$110=$B21)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21" s="6" t="e">
        <f>IF(ISNA(MATCH(AK$2,Inputs!$K$4:$AJ$4,0)),NA(),IF(SUMPRODUCT((Inputs!$A$5:$A$110=$B21)*ISNUMBER(INDEX(Inputs!$K$5:$AJ$110,0,MATCH(AK$2,Inputs!$K$4:$AJ$4,0))))+SUMPRODUCT((Inputs!$C$5:$C$110=$B21)*ISNUMBER(INDEX(Inputs!$K$5:$AJ$110,0,MATCH(AK$2,Inputs!$K$4:$AJ$4,0))))+SUMPRODUCT((Inputs!$E$5:$E$110=$B21)*ISNUMBER(INDEX(Inputs!$K$5:$AJ$110,0,MATCH(AK$2,Inputs!$K$4:$AJ$4,0))))=0,NA(),SUMPRODUCT((Inputs!$A$5:$A$110=$B21)*Inputs!$B$5:$B$110*(((Inputs!$G$5:$G$110="moeda")+(Inputs!$G$5:$G$110="acoes"))*Inputs!$B$1+((Inputs!$G$5:$G$110&lt;&gt;"moeda")*(Inputs!$G$5:$G$110&lt;&gt;"acoes")))*INDEX(Inputs!$K$5:$AJ$110,0,MATCH(AK$2,Inputs!$K$4:$AJ$4,0)))+SUMPRODUCT((Inputs!$C$5:$C$110=$B21)*Inputs!$D$5:$D$110*(((Inputs!$G$5:$G$110="moeda")+(Inputs!$G$5:$G$110="acoes"))*Inputs!$B$1+((Inputs!$G$5:$G$110&lt;&gt;"moeda")*(Inputs!$G$5:$G$110&lt;&gt;"acoes")))*INDEX(Inputs!$K$5:$AJ$110,0,MATCH(AK$2,Inputs!$K$4:$AJ$4,0)))+SUMPRODUCT((Inputs!$E$5:$E$110=$B21)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21" s="3" t="e">
        <f>AK21</f>
        <v>#N/A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$110=$B22)*ISNUMBER(INDEX(Inputs!$K$5:$AJ$110,0,MATCH(D$2,Inputs!$K$4:$AJ$4,0))))+SUMPRODUCT((Inputs!$C$5:$C$110=$B22)*ISNUMBER(INDEX(Inputs!$K$5:$AJ$110,0,MATCH(D$2,Inputs!$K$4:$AJ$4,0))))+SUMPRODUCT((Inputs!$E$5:$E$110=$B22)*ISNUMBER(INDEX(Inputs!$K$5:$AJ$110,0,MATCH(D$2,Inputs!$K$4:$AJ$4,0))))=0,NA(),SUMPRODUCT((Inputs!$A$5:$A$110=$B22)*Inputs!$B$5:$B$110*(((Inputs!$G$5:$G$110="moeda")+(Inputs!$G$5:$G$110="acoes"))*Inputs!$B$1+((Inputs!$G$5:$G$110&lt;&gt;"moeda")*(Inputs!$G$5:$G$110&lt;&gt;"acoes")))*INDEX(Inputs!$K$5:$AJ$110,0,MATCH(D$2,Inputs!$K$4:$AJ$4,0)))+SUMPRODUCT((Inputs!$C$5:$C$110=$B22)*Inputs!$D$5:$D$110*(((Inputs!$G$5:$G$110="moeda")+(Inputs!$G$5:$G$110="acoes"))*Inputs!$B$1+((Inputs!$G$5:$G$110&lt;&gt;"moeda")*(Inputs!$G$5:$G$110&lt;&gt;"acoes")))*INDEX(Inputs!$K$5:$AJ$110,0,MATCH(D$2,Inputs!$K$4:$AJ$4,0)))+SUMPRODUCT((Inputs!$E$5:$E$110=$B22)*Inputs!$F$5:$F$110*(((Inputs!$G$5:$G$110="moeda")+(Inputs!$G$5:$G$110="acoes"))*Inputs!$B$1+((Inputs!$G$5:$G$110&lt;&gt;"moeda")*(Inputs!$G$5:$G$110&lt;&gt;"acoes")))*INDEX(Inputs!$K$5:$AJ$110,0,MATCH(D$2,Inputs!$K$4:$AJ$4,0)))))</f>
        <v>87606</v>
      </c>
      <c r="E22" s="6">
        <f>IF(ISNA(MATCH(E$2,Inputs!$K$4:$AJ$4,0)),NA(),IF(SUMPRODUCT((Inputs!$A$5:$A$110=$B22)*ISNUMBER(INDEX(Inputs!$K$5:$AJ$110,0,MATCH(E$2,Inputs!$K$4:$AJ$4,0))))+SUMPRODUCT((Inputs!$C$5:$C$110=$B22)*ISNUMBER(INDEX(Inputs!$K$5:$AJ$110,0,MATCH(E$2,Inputs!$K$4:$AJ$4,0))))+SUMPRODUCT((Inputs!$E$5:$E$110=$B22)*ISNUMBER(INDEX(Inputs!$K$5:$AJ$110,0,MATCH(E$2,Inputs!$K$4:$AJ$4,0))))=0,NA(),SUMPRODUCT((Inputs!$A$5:$A$110=$B22)*Inputs!$B$5:$B$110*(((Inputs!$G$5:$G$110="moeda")+(Inputs!$G$5:$G$110="acoes"))*Inputs!$B$1+((Inputs!$G$5:$G$110&lt;&gt;"moeda")*(Inputs!$G$5:$G$110&lt;&gt;"acoes")))*INDEX(Inputs!$K$5:$AJ$110,0,MATCH(E$2,Inputs!$K$4:$AJ$4,0)))+SUMPRODUCT((Inputs!$C$5:$C$110=$B22)*Inputs!$D$5:$D$110*(((Inputs!$G$5:$G$110="moeda")+(Inputs!$G$5:$G$110="acoes"))*Inputs!$B$1+((Inputs!$G$5:$G$110&lt;&gt;"moeda")*(Inputs!$G$5:$G$110&lt;&gt;"acoes")))*INDEX(Inputs!$K$5:$AJ$110,0,MATCH(E$2,Inputs!$K$4:$AJ$4,0)))+SUMPRODUCT((Inputs!$E$5:$E$110=$B22)*Inputs!$F$5:$F$110*(((Inputs!$G$5:$G$110="moeda")+(Inputs!$G$5:$G$110="acoes"))*Inputs!$B$1+((Inputs!$G$5:$G$110&lt;&gt;"moeda")*(Inputs!$G$5:$G$110&lt;&gt;"acoes")))*INDEX(Inputs!$K$5:$AJ$110,0,MATCH(E$2,Inputs!$K$4:$AJ$4,0)))))</f>
        <v>91697</v>
      </c>
      <c r="F22" s="6">
        <f>IF(ISNA(MATCH(F$2,Inputs!$K$4:$AJ$4,0)),NA(),IF(SUMPRODUCT((Inputs!$A$5:$A$110=$B22)*ISNUMBER(INDEX(Inputs!$K$5:$AJ$110,0,MATCH(F$2,Inputs!$K$4:$AJ$4,0))))+SUMPRODUCT((Inputs!$C$5:$C$110=$B22)*ISNUMBER(INDEX(Inputs!$K$5:$AJ$110,0,MATCH(F$2,Inputs!$K$4:$AJ$4,0))))+SUMPRODUCT((Inputs!$E$5:$E$110=$B22)*ISNUMBER(INDEX(Inputs!$K$5:$AJ$110,0,MATCH(F$2,Inputs!$K$4:$AJ$4,0))))=0,NA(),SUMPRODUCT((Inputs!$A$5:$A$110=$B22)*Inputs!$B$5:$B$110*(((Inputs!$G$5:$G$110="moeda")+(Inputs!$G$5:$G$110="acoes"))*Inputs!$B$1+((Inputs!$G$5:$G$110&lt;&gt;"moeda")*(Inputs!$G$5:$G$110&lt;&gt;"acoes")))*INDEX(Inputs!$K$5:$AJ$110,0,MATCH(F$2,Inputs!$K$4:$AJ$4,0)))+SUMPRODUCT((Inputs!$C$5:$C$110=$B22)*Inputs!$D$5:$D$110*(((Inputs!$G$5:$G$110="moeda")+(Inputs!$G$5:$G$110="acoes"))*Inputs!$B$1+((Inputs!$G$5:$G$110&lt;&gt;"moeda")*(Inputs!$G$5:$G$110&lt;&gt;"acoes")))*INDEX(Inputs!$K$5:$AJ$110,0,MATCH(F$2,Inputs!$K$4:$AJ$4,0)))+SUMPRODUCT((Inputs!$E$5:$E$110=$B22)*Inputs!$F$5:$F$110*(((Inputs!$G$5:$G$110="moeda")+(Inputs!$G$5:$G$110="acoes"))*Inputs!$B$1+((Inputs!$G$5:$G$110&lt;&gt;"moeda")*(Inputs!$G$5:$G$110&lt;&gt;"acoes")))*INDEX(Inputs!$K$5:$AJ$110,0,MATCH(F$2,Inputs!$K$4:$AJ$4,0)))))</f>
        <v>94631</v>
      </c>
      <c r="G22" s="6">
        <f>IF(ISNA(MATCH(G$2,Inputs!$K$4:$AJ$4,0)),NA(),IF(SUMPRODUCT((Inputs!$A$5:$A$110=$B22)*ISNUMBER(INDEX(Inputs!$K$5:$AJ$110,0,MATCH(G$2,Inputs!$K$4:$AJ$4,0))))+SUMPRODUCT((Inputs!$C$5:$C$110=$B22)*ISNUMBER(INDEX(Inputs!$K$5:$AJ$110,0,MATCH(G$2,Inputs!$K$4:$AJ$4,0))))+SUMPRODUCT((Inputs!$E$5:$E$110=$B22)*ISNUMBER(INDEX(Inputs!$K$5:$AJ$110,0,MATCH(G$2,Inputs!$K$4:$AJ$4,0))))=0,NA(),SUMPRODUCT((Inputs!$A$5:$A$110=$B22)*Inputs!$B$5:$B$110*(((Inputs!$G$5:$G$110="moeda")+(Inputs!$G$5:$G$110="acoes"))*Inputs!$B$1+((Inputs!$G$5:$G$110&lt;&gt;"moeda")*(Inputs!$G$5:$G$110&lt;&gt;"acoes")))*INDEX(Inputs!$K$5:$AJ$110,0,MATCH(G$2,Inputs!$K$4:$AJ$4,0)))+SUMPRODUCT((Inputs!$C$5:$C$110=$B22)*Inputs!$D$5:$D$110*(((Inputs!$G$5:$G$110="moeda")+(Inputs!$G$5:$G$110="acoes"))*Inputs!$B$1+((Inputs!$G$5:$G$110&lt;&gt;"moeda")*(Inputs!$G$5:$G$110&lt;&gt;"acoes")))*INDEX(Inputs!$K$5:$AJ$110,0,MATCH(G$2,Inputs!$K$4:$AJ$4,0)))+SUMPRODUCT((Inputs!$E$5:$E$110=$B22)*Inputs!$F$5:$F$110*(((Inputs!$G$5:$G$110="moeda")+(Inputs!$G$5:$G$110="acoes"))*Inputs!$B$1+((Inputs!$G$5:$G$110&lt;&gt;"moeda")*(Inputs!$G$5:$G$110&lt;&gt;"acoes")))*INDEX(Inputs!$K$5:$AJ$110,0,MATCH(G$2,Inputs!$K$4:$AJ$4,0)))))</f>
        <v>97599</v>
      </c>
      <c r="H22" s="3">
        <f>G22</f>
        <v>97599</v>
      </c>
      <c r="I22" s="6">
        <f>IF(ISNA(MATCH(I$2,Inputs!$K$4:$AJ$4,0)),NA(),IF(SUMPRODUCT((Inputs!$A$5:$A$110=$B22)*ISNUMBER(INDEX(Inputs!$K$5:$AJ$110,0,MATCH(I$2,Inputs!$K$4:$AJ$4,0))))+SUMPRODUCT((Inputs!$C$5:$C$110=$B22)*ISNUMBER(INDEX(Inputs!$K$5:$AJ$110,0,MATCH(I$2,Inputs!$K$4:$AJ$4,0))))+SUMPRODUCT((Inputs!$E$5:$E$110=$B22)*ISNUMBER(INDEX(Inputs!$K$5:$AJ$110,0,MATCH(I$2,Inputs!$K$4:$AJ$4,0))))=0,NA(),SUMPRODUCT((Inputs!$A$5:$A$110=$B22)*Inputs!$B$5:$B$110*(((Inputs!$G$5:$G$110="moeda")+(Inputs!$G$5:$G$110="acoes"))*Inputs!$B$1+((Inputs!$G$5:$G$110&lt;&gt;"moeda")*(Inputs!$G$5:$G$110&lt;&gt;"acoes")))*INDEX(Inputs!$K$5:$AJ$110,0,MATCH(I$2,Inputs!$K$4:$AJ$4,0)))+SUMPRODUCT((Inputs!$C$5:$C$110=$B22)*Inputs!$D$5:$D$110*(((Inputs!$G$5:$G$110="moeda")+(Inputs!$G$5:$G$110="acoes"))*Inputs!$B$1+((Inputs!$G$5:$G$110&lt;&gt;"moeda")*(Inputs!$G$5:$G$110&lt;&gt;"acoes")))*INDEX(Inputs!$K$5:$AJ$110,0,MATCH(I$2,Inputs!$K$4:$AJ$4,0)))+SUMPRODUCT((Inputs!$E$5:$E$110=$B22)*Inputs!$F$5:$F$110*(((Inputs!$G$5:$G$110="moeda")+(Inputs!$G$5:$G$110="acoes"))*Inputs!$B$1+((Inputs!$G$5:$G$110&lt;&gt;"moeda")*(Inputs!$G$5:$G$110&lt;&gt;"acoes")))*INDEX(Inputs!$K$5:$AJ$110,0,MATCH(I$2,Inputs!$K$4:$AJ$4,0)))))</f>
        <v>104218</v>
      </c>
      <c r="J22" s="6">
        <f>IF(ISNA(MATCH(J$2,Inputs!$K$4:$AJ$4,0)),NA(),IF(SUMPRODUCT((Inputs!$A$5:$A$110=$B22)*ISNUMBER(INDEX(Inputs!$K$5:$AJ$110,0,MATCH(J$2,Inputs!$K$4:$AJ$4,0))))+SUMPRODUCT((Inputs!$C$5:$C$110=$B22)*ISNUMBER(INDEX(Inputs!$K$5:$AJ$110,0,MATCH(J$2,Inputs!$K$4:$AJ$4,0))))+SUMPRODUCT((Inputs!$E$5:$E$110=$B22)*ISNUMBER(INDEX(Inputs!$K$5:$AJ$110,0,MATCH(J$2,Inputs!$K$4:$AJ$4,0))))=0,NA(),SUMPRODUCT((Inputs!$A$5:$A$110=$B22)*Inputs!$B$5:$B$110*(((Inputs!$G$5:$G$110="moeda")+(Inputs!$G$5:$G$110="acoes"))*Inputs!$B$1+((Inputs!$G$5:$G$110&lt;&gt;"moeda")*(Inputs!$G$5:$G$110&lt;&gt;"acoes")))*INDEX(Inputs!$K$5:$AJ$110,0,MATCH(J$2,Inputs!$K$4:$AJ$4,0)))+SUMPRODUCT((Inputs!$C$5:$C$110=$B22)*Inputs!$D$5:$D$110*(((Inputs!$G$5:$G$110="moeda")+(Inputs!$G$5:$G$110="acoes"))*Inputs!$B$1+((Inputs!$G$5:$G$110&lt;&gt;"moeda")*(Inputs!$G$5:$G$110&lt;&gt;"acoes")))*INDEX(Inputs!$K$5:$AJ$110,0,MATCH(J$2,Inputs!$K$4:$AJ$4,0)))+SUMPRODUCT((Inputs!$E$5:$E$110=$B22)*Inputs!$F$5:$F$110*(((Inputs!$G$5:$G$110="moeda")+(Inputs!$G$5:$G$110="acoes"))*Inputs!$B$1+((Inputs!$G$5:$G$110&lt;&gt;"moeda")*(Inputs!$G$5:$G$110&lt;&gt;"acoes")))*INDEX(Inputs!$K$5:$AJ$110,0,MATCH(J$2,Inputs!$K$4:$AJ$4,0)))))</f>
        <v>106223</v>
      </c>
      <c r="K22" s="6">
        <f>IF(ISNA(MATCH(K$2,Inputs!$K$4:$AJ$4,0)),NA(),IF(SUMPRODUCT((Inputs!$A$5:$A$110=$B22)*ISNUMBER(INDEX(Inputs!$K$5:$AJ$110,0,MATCH(K$2,Inputs!$K$4:$AJ$4,0))))+SUMPRODUCT((Inputs!$C$5:$C$110=$B22)*ISNUMBER(INDEX(Inputs!$K$5:$AJ$110,0,MATCH(K$2,Inputs!$K$4:$AJ$4,0))))+SUMPRODUCT((Inputs!$E$5:$E$110=$B22)*ISNUMBER(INDEX(Inputs!$K$5:$AJ$110,0,MATCH(K$2,Inputs!$K$4:$AJ$4,0))))=0,NA(),SUMPRODUCT((Inputs!$A$5:$A$110=$B22)*Inputs!$B$5:$B$110*(((Inputs!$G$5:$G$110="moeda")+(Inputs!$G$5:$G$110="acoes"))*Inputs!$B$1+((Inputs!$G$5:$G$110&lt;&gt;"moeda")*(Inputs!$G$5:$G$110&lt;&gt;"acoes")))*INDEX(Inputs!$K$5:$AJ$110,0,MATCH(K$2,Inputs!$K$4:$AJ$4,0)))+SUMPRODUCT((Inputs!$C$5:$C$110=$B22)*Inputs!$D$5:$D$110*(((Inputs!$G$5:$G$110="moeda")+(Inputs!$G$5:$G$110="acoes"))*Inputs!$B$1+((Inputs!$G$5:$G$110&lt;&gt;"moeda")*(Inputs!$G$5:$G$110&lt;&gt;"acoes")))*INDEX(Inputs!$K$5:$AJ$110,0,MATCH(K$2,Inputs!$K$4:$AJ$4,0)))+SUMPRODUCT((Inputs!$E$5:$E$110=$B22)*Inputs!$F$5:$F$110*(((Inputs!$G$5:$G$110="moeda")+(Inputs!$G$5:$G$110="acoes"))*Inputs!$B$1+((Inputs!$G$5:$G$110&lt;&gt;"moeda")*(Inputs!$G$5:$G$110&lt;&gt;"acoes")))*INDEX(Inputs!$K$5:$AJ$110,0,MATCH(K$2,Inputs!$K$4:$AJ$4,0)))))</f>
        <v>108363</v>
      </c>
      <c r="L22" s="6">
        <f>IF(ISNA(MATCH(L$2,Inputs!$K$4:$AJ$4,0)),NA(),IF(SUMPRODUCT((Inputs!$A$5:$A$110=$B22)*ISNUMBER(INDEX(Inputs!$K$5:$AJ$110,0,MATCH(L$2,Inputs!$K$4:$AJ$4,0))))+SUMPRODUCT((Inputs!$C$5:$C$110=$B22)*ISNUMBER(INDEX(Inputs!$K$5:$AJ$110,0,MATCH(L$2,Inputs!$K$4:$AJ$4,0))))+SUMPRODUCT((Inputs!$E$5:$E$110=$B22)*ISNUMBER(INDEX(Inputs!$K$5:$AJ$110,0,MATCH(L$2,Inputs!$K$4:$AJ$4,0))))=0,NA(),SUMPRODUCT((Inputs!$A$5:$A$110=$B22)*Inputs!$B$5:$B$110*(((Inputs!$G$5:$G$110="moeda")+(Inputs!$G$5:$G$110="acoes"))*Inputs!$B$1+((Inputs!$G$5:$G$110&lt;&gt;"moeda")*(Inputs!$G$5:$G$110&lt;&gt;"acoes")))*INDEX(Inputs!$K$5:$AJ$110,0,MATCH(L$2,Inputs!$K$4:$AJ$4,0)))+SUMPRODUCT((Inputs!$C$5:$C$110=$B22)*Inputs!$D$5:$D$110*(((Inputs!$G$5:$G$110="moeda")+(Inputs!$G$5:$G$110="acoes"))*Inputs!$B$1+((Inputs!$G$5:$G$110&lt;&gt;"moeda")*(Inputs!$G$5:$G$110&lt;&gt;"acoes")))*INDEX(Inputs!$K$5:$AJ$110,0,MATCH(L$2,Inputs!$K$4:$AJ$4,0)))+SUMPRODUCT((Inputs!$E$5:$E$110=$B22)*Inputs!$F$5:$F$110*(((Inputs!$G$5:$G$110="moeda")+(Inputs!$G$5:$G$110="acoes"))*Inputs!$B$1+((Inputs!$G$5:$G$110&lt;&gt;"moeda")*(Inputs!$G$5:$G$110&lt;&gt;"acoes")))*INDEX(Inputs!$K$5:$AJ$110,0,MATCH(L$2,Inputs!$K$4:$AJ$4,0)))))</f>
        <v>112668</v>
      </c>
      <c r="M22" s="3">
        <f>L22</f>
        <v>112668</v>
      </c>
      <c r="N22" s="6">
        <f>IF(ISNA(MATCH(N$2,Inputs!$K$4:$AJ$4,0)),NA(),IF(SUMPRODUCT((Inputs!$A$5:$A$110=$B22)*ISNUMBER(INDEX(Inputs!$K$5:$AJ$110,0,MATCH(N$2,Inputs!$K$4:$AJ$4,0))))+SUMPRODUCT((Inputs!$C$5:$C$110=$B22)*ISNUMBER(INDEX(Inputs!$K$5:$AJ$110,0,MATCH(N$2,Inputs!$K$4:$AJ$4,0))))+SUMPRODUCT((Inputs!$E$5:$E$110=$B22)*ISNUMBER(INDEX(Inputs!$K$5:$AJ$110,0,MATCH(N$2,Inputs!$K$4:$AJ$4,0))))=0,NA(),SUMPRODUCT((Inputs!$A$5:$A$110=$B22)*Inputs!$B$5:$B$110*(((Inputs!$G$5:$G$110="moeda")+(Inputs!$G$5:$G$110="acoes"))*Inputs!$B$1+((Inputs!$G$5:$G$110&lt;&gt;"moeda")*(Inputs!$G$5:$G$110&lt;&gt;"acoes")))*INDEX(Inputs!$K$5:$AJ$110,0,MATCH(N$2,Inputs!$K$4:$AJ$4,0)))+SUMPRODUCT((Inputs!$C$5:$C$110=$B22)*Inputs!$D$5:$D$110*(((Inputs!$G$5:$G$110="moeda")+(Inputs!$G$5:$G$110="acoes"))*Inputs!$B$1+((Inputs!$G$5:$G$110&lt;&gt;"moeda")*(Inputs!$G$5:$G$110&lt;&gt;"acoes")))*INDEX(Inputs!$K$5:$AJ$110,0,MATCH(N$2,Inputs!$K$4:$AJ$4,0)))+SUMPRODUCT((Inputs!$E$5:$E$110=$B22)*Inputs!$F$5:$F$110*(((Inputs!$G$5:$G$110="moeda")+(Inputs!$G$5:$G$110="acoes"))*Inputs!$B$1+((Inputs!$G$5:$G$110&lt;&gt;"moeda")*(Inputs!$G$5:$G$110&lt;&gt;"acoes")))*INDEX(Inputs!$K$5:$AJ$110,0,MATCH(N$2,Inputs!$K$4:$AJ$4,0)))))</f>
        <v>117560</v>
      </c>
      <c r="O22" s="6">
        <f>IF(ISNA(MATCH(O$2,Inputs!$K$4:$AJ$4,0)),NA(),IF(SUMPRODUCT((Inputs!$A$5:$A$110=$B22)*ISNUMBER(INDEX(Inputs!$K$5:$AJ$110,0,MATCH(O$2,Inputs!$K$4:$AJ$4,0))))+SUMPRODUCT((Inputs!$C$5:$C$110=$B22)*ISNUMBER(INDEX(Inputs!$K$5:$AJ$110,0,MATCH(O$2,Inputs!$K$4:$AJ$4,0))))+SUMPRODUCT((Inputs!$E$5:$E$110=$B22)*ISNUMBER(INDEX(Inputs!$K$5:$AJ$110,0,MATCH(O$2,Inputs!$K$4:$AJ$4,0))))=0,NA(),SUMPRODUCT((Inputs!$A$5:$A$110=$B22)*Inputs!$B$5:$B$110*(((Inputs!$G$5:$G$110="moeda")+(Inputs!$G$5:$G$110="acoes"))*Inputs!$B$1+((Inputs!$G$5:$G$110&lt;&gt;"moeda")*(Inputs!$G$5:$G$110&lt;&gt;"acoes")))*INDEX(Inputs!$K$5:$AJ$110,0,MATCH(O$2,Inputs!$K$4:$AJ$4,0)))+SUMPRODUCT((Inputs!$C$5:$C$110=$B22)*Inputs!$D$5:$D$110*(((Inputs!$G$5:$G$110="moeda")+(Inputs!$G$5:$G$110="acoes"))*Inputs!$B$1+((Inputs!$G$5:$G$110&lt;&gt;"moeda")*(Inputs!$G$5:$G$110&lt;&gt;"acoes")))*INDEX(Inputs!$K$5:$AJ$110,0,MATCH(O$2,Inputs!$K$4:$AJ$4,0)))+SUMPRODUCT((Inputs!$E$5:$E$110=$B22)*Inputs!$F$5:$F$110*(((Inputs!$G$5:$G$110="moeda")+(Inputs!$G$5:$G$110="acoes"))*Inputs!$B$1+((Inputs!$G$5:$G$110&lt;&gt;"moeda")*(Inputs!$G$5:$G$110&lt;&gt;"acoes")))*INDEX(Inputs!$K$5:$AJ$110,0,MATCH(O$2,Inputs!$K$4:$AJ$4,0)))))</f>
        <v>121208</v>
      </c>
      <c r="P22" s="6">
        <f>IF(ISNA(MATCH(P$2,Inputs!$K$4:$AJ$4,0)),NA(),IF(SUMPRODUCT((Inputs!$A$5:$A$110=$B22)*ISNUMBER(INDEX(Inputs!$K$5:$AJ$110,0,MATCH(P$2,Inputs!$K$4:$AJ$4,0))))+SUMPRODUCT((Inputs!$C$5:$C$110=$B22)*ISNUMBER(INDEX(Inputs!$K$5:$AJ$110,0,MATCH(P$2,Inputs!$K$4:$AJ$4,0))))+SUMPRODUCT((Inputs!$E$5:$E$110=$B22)*ISNUMBER(INDEX(Inputs!$K$5:$AJ$110,0,MATCH(P$2,Inputs!$K$4:$AJ$4,0))))=0,NA(),SUMPRODUCT((Inputs!$A$5:$A$110=$B22)*Inputs!$B$5:$B$110*(((Inputs!$G$5:$G$110="moeda")+(Inputs!$G$5:$G$110="acoes"))*Inputs!$B$1+((Inputs!$G$5:$G$110&lt;&gt;"moeda")*(Inputs!$G$5:$G$110&lt;&gt;"acoes")))*INDEX(Inputs!$K$5:$AJ$110,0,MATCH(P$2,Inputs!$K$4:$AJ$4,0)))+SUMPRODUCT((Inputs!$C$5:$C$110=$B22)*Inputs!$D$5:$D$110*(((Inputs!$G$5:$G$110="moeda")+(Inputs!$G$5:$G$110="acoes"))*Inputs!$B$1+((Inputs!$G$5:$G$110&lt;&gt;"moeda")*(Inputs!$G$5:$G$110&lt;&gt;"acoes")))*INDEX(Inputs!$K$5:$AJ$110,0,MATCH(P$2,Inputs!$K$4:$AJ$4,0)))+SUMPRODUCT((Inputs!$E$5:$E$110=$B22)*Inputs!$F$5:$F$110*(((Inputs!$G$5:$G$110="moeda")+(Inputs!$G$5:$G$110="acoes"))*Inputs!$B$1+((Inputs!$G$5:$G$110&lt;&gt;"moeda")*(Inputs!$G$5:$G$110&lt;&gt;"acoes")))*INDEX(Inputs!$K$5:$AJ$110,0,MATCH(P$2,Inputs!$K$4:$AJ$4,0)))))</f>
        <v>125705</v>
      </c>
      <c r="Q22" s="6">
        <f>IF(ISNA(MATCH(Q$2,Inputs!$K$4:$AJ$4,0)),NA(),IF(SUMPRODUCT((Inputs!$A$5:$A$110=$B22)*ISNUMBER(INDEX(Inputs!$K$5:$AJ$110,0,MATCH(Q$2,Inputs!$K$4:$AJ$4,0))))+SUMPRODUCT((Inputs!$C$5:$C$110=$B22)*ISNUMBER(INDEX(Inputs!$K$5:$AJ$110,0,MATCH(Q$2,Inputs!$K$4:$AJ$4,0))))+SUMPRODUCT((Inputs!$E$5:$E$110=$B22)*ISNUMBER(INDEX(Inputs!$K$5:$AJ$110,0,MATCH(Q$2,Inputs!$K$4:$AJ$4,0))))=0,NA(),SUMPRODUCT((Inputs!$A$5:$A$110=$B22)*Inputs!$B$5:$B$110*(((Inputs!$G$5:$G$110="moeda")+(Inputs!$G$5:$G$110="acoes"))*Inputs!$B$1+((Inputs!$G$5:$G$110&lt;&gt;"moeda")*(Inputs!$G$5:$G$110&lt;&gt;"acoes")))*INDEX(Inputs!$K$5:$AJ$110,0,MATCH(Q$2,Inputs!$K$4:$AJ$4,0)))+SUMPRODUCT((Inputs!$C$5:$C$110=$B22)*Inputs!$D$5:$D$110*(((Inputs!$G$5:$G$110="moeda")+(Inputs!$G$5:$G$110="acoes"))*Inputs!$B$1+((Inputs!$G$5:$G$110&lt;&gt;"moeda")*(Inputs!$G$5:$G$110&lt;&gt;"acoes")))*INDEX(Inputs!$K$5:$AJ$110,0,MATCH(Q$2,Inputs!$K$4:$AJ$4,0)))+SUMPRODUCT((Inputs!$E$5:$E$110=$B22)*Inputs!$F$5:$F$110*(((Inputs!$G$5:$G$110="moeda")+(Inputs!$G$5:$G$110="acoes"))*Inputs!$B$1+((Inputs!$G$5:$G$110&lt;&gt;"moeda")*(Inputs!$G$5:$G$110&lt;&gt;"acoes")))*INDEX(Inputs!$K$5:$AJ$110,0,MATCH(Q$2,Inputs!$K$4:$AJ$4,0)))))</f>
        <v>134345</v>
      </c>
      <c r="R22" s="3">
        <f>Q22</f>
        <v>134345</v>
      </c>
      <c r="S22" s="6">
        <f>IF(ISNA(MATCH(S$2,Inputs!$K$4:$AJ$4,0)),NA(),IF(SUMPRODUCT((Inputs!$A$5:$A$110=$B22)*ISNUMBER(INDEX(Inputs!$K$5:$AJ$110,0,MATCH(S$2,Inputs!$K$4:$AJ$4,0))))+SUMPRODUCT((Inputs!$C$5:$C$110=$B22)*ISNUMBER(INDEX(Inputs!$K$5:$AJ$110,0,MATCH(S$2,Inputs!$K$4:$AJ$4,0))))+SUMPRODUCT((Inputs!$E$5:$E$110=$B22)*ISNUMBER(INDEX(Inputs!$K$5:$AJ$110,0,MATCH(S$2,Inputs!$K$4:$AJ$4,0))))=0,NA(),SUMPRODUCT((Inputs!$A$5:$A$110=$B22)*Inputs!$B$5:$B$110*(((Inputs!$G$5:$G$110="moeda")+(Inputs!$G$5:$G$110="acoes"))*Inputs!$B$1+((Inputs!$G$5:$G$110&lt;&gt;"moeda")*(Inputs!$G$5:$G$110&lt;&gt;"acoes")))*INDEX(Inputs!$K$5:$AJ$110,0,MATCH(S$2,Inputs!$K$4:$AJ$4,0)))+SUMPRODUCT((Inputs!$C$5:$C$110=$B22)*Inputs!$D$5:$D$110*(((Inputs!$G$5:$G$110="moeda")+(Inputs!$G$5:$G$110="acoes"))*Inputs!$B$1+((Inputs!$G$5:$G$110&lt;&gt;"moeda")*(Inputs!$G$5:$G$110&lt;&gt;"acoes")))*INDEX(Inputs!$K$5:$AJ$110,0,MATCH(S$2,Inputs!$K$4:$AJ$4,0)))+SUMPRODUCT((Inputs!$E$5:$E$110=$B22)*Inputs!$F$5:$F$110*(((Inputs!$G$5:$G$110="moeda")+(Inputs!$G$5:$G$110="acoes"))*Inputs!$B$1+((Inputs!$G$5:$G$110&lt;&gt;"moeda")*(Inputs!$G$5:$G$110&lt;&gt;"acoes")))*INDEX(Inputs!$K$5:$AJ$110,0,MATCH(S$2,Inputs!$K$4:$AJ$4,0)))))</f>
        <v>143182</v>
      </c>
      <c r="T22" s="6">
        <f>IF(ISNA(MATCH(T$2,Inputs!$K$4:$AJ$4,0)),NA(),IF(SUMPRODUCT((Inputs!$A$5:$A$110=$B22)*ISNUMBER(INDEX(Inputs!$K$5:$AJ$110,0,MATCH(T$2,Inputs!$K$4:$AJ$4,0))))+SUMPRODUCT((Inputs!$C$5:$C$110=$B22)*ISNUMBER(INDEX(Inputs!$K$5:$AJ$110,0,MATCH(T$2,Inputs!$K$4:$AJ$4,0))))+SUMPRODUCT((Inputs!$E$5:$E$110=$B22)*ISNUMBER(INDEX(Inputs!$K$5:$AJ$110,0,MATCH(T$2,Inputs!$K$4:$AJ$4,0))))=0,NA(),SUMPRODUCT((Inputs!$A$5:$A$110=$B22)*Inputs!$B$5:$B$110*(((Inputs!$G$5:$G$110="moeda")+(Inputs!$G$5:$G$110="acoes"))*Inputs!$B$1+((Inputs!$G$5:$G$110&lt;&gt;"moeda")*(Inputs!$G$5:$G$110&lt;&gt;"acoes")))*INDEX(Inputs!$K$5:$AJ$110,0,MATCH(T$2,Inputs!$K$4:$AJ$4,0)))+SUMPRODUCT((Inputs!$C$5:$C$110=$B22)*Inputs!$D$5:$D$110*(((Inputs!$G$5:$G$110="moeda")+(Inputs!$G$5:$G$110="acoes"))*Inputs!$B$1+((Inputs!$G$5:$G$110&lt;&gt;"moeda")*(Inputs!$G$5:$G$110&lt;&gt;"acoes")))*INDEX(Inputs!$K$5:$AJ$110,0,MATCH(T$2,Inputs!$K$4:$AJ$4,0)))+SUMPRODUCT((Inputs!$E$5:$E$110=$B22)*Inputs!$F$5:$F$110*(((Inputs!$G$5:$G$110="moeda")+(Inputs!$G$5:$G$110="acoes"))*Inputs!$B$1+((Inputs!$G$5:$G$110&lt;&gt;"moeda")*(Inputs!$G$5:$G$110&lt;&gt;"acoes")))*INDEX(Inputs!$K$5:$AJ$110,0,MATCH(T$2,Inputs!$K$4:$AJ$4,0)))))</f>
        <v>151155</v>
      </c>
      <c r="U22" s="6">
        <f>IF(ISNA(MATCH(U$2,Inputs!$K$4:$AJ$4,0)),NA(),IF(SUMPRODUCT((Inputs!$A$5:$A$110=$B22)*ISNUMBER(INDEX(Inputs!$K$5:$AJ$110,0,MATCH(U$2,Inputs!$K$4:$AJ$4,0))))+SUMPRODUCT((Inputs!$C$5:$C$110=$B22)*ISNUMBER(INDEX(Inputs!$K$5:$AJ$110,0,MATCH(U$2,Inputs!$K$4:$AJ$4,0))))+SUMPRODUCT((Inputs!$E$5:$E$110=$B22)*ISNUMBER(INDEX(Inputs!$K$5:$AJ$110,0,MATCH(U$2,Inputs!$K$4:$AJ$4,0))))=0,NA(),SUMPRODUCT((Inputs!$A$5:$A$110=$B22)*Inputs!$B$5:$B$110*(((Inputs!$G$5:$G$110="moeda")+(Inputs!$G$5:$G$110="acoes"))*Inputs!$B$1+((Inputs!$G$5:$G$110&lt;&gt;"moeda")*(Inputs!$G$5:$G$110&lt;&gt;"acoes")))*INDEX(Inputs!$K$5:$AJ$110,0,MATCH(U$2,Inputs!$K$4:$AJ$4,0)))+SUMPRODUCT((Inputs!$C$5:$C$110=$B22)*Inputs!$D$5:$D$110*(((Inputs!$G$5:$G$110="moeda")+(Inputs!$G$5:$G$110="acoes"))*Inputs!$B$1+((Inputs!$G$5:$G$110&lt;&gt;"moeda")*(Inputs!$G$5:$G$110&lt;&gt;"acoes")))*INDEX(Inputs!$K$5:$AJ$110,0,MATCH(U$2,Inputs!$K$4:$AJ$4,0)))+SUMPRODUCT((Inputs!$E$5:$E$110=$B22)*Inputs!$F$5:$F$110*(((Inputs!$G$5:$G$110="moeda")+(Inputs!$G$5:$G$110="acoes"))*Inputs!$B$1+((Inputs!$G$5:$G$110&lt;&gt;"moeda")*(Inputs!$G$5:$G$110&lt;&gt;"acoes")))*INDEX(Inputs!$K$5:$AJ$110,0,MATCH(U$2,Inputs!$K$4:$AJ$4,0)))))</f>
        <v>161270</v>
      </c>
      <c r="V22" s="6">
        <f>IF(ISNA(MATCH(V$2,Inputs!$K$4:$AJ$4,0)),NA(),IF(SUMPRODUCT((Inputs!$A$5:$A$110=$B22)*ISNUMBER(INDEX(Inputs!$K$5:$AJ$110,0,MATCH(V$2,Inputs!$K$4:$AJ$4,0))))+SUMPRODUCT((Inputs!$C$5:$C$110=$B22)*ISNUMBER(INDEX(Inputs!$K$5:$AJ$110,0,MATCH(V$2,Inputs!$K$4:$AJ$4,0))))+SUMPRODUCT((Inputs!$E$5:$E$110=$B22)*ISNUMBER(INDEX(Inputs!$K$5:$AJ$110,0,MATCH(V$2,Inputs!$K$4:$AJ$4,0))))=0,NA(),SUMPRODUCT((Inputs!$A$5:$A$110=$B22)*Inputs!$B$5:$B$110*(((Inputs!$G$5:$G$110="moeda")+(Inputs!$G$5:$G$110="acoes"))*Inputs!$B$1+((Inputs!$G$5:$G$110&lt;&gt;"moeda")*(Inputs!$G$5:$G$110&lt;&gt;"acoes")))*INDEX(Inputs!$K$5:$AJ$110,0,MATCH(V$2,Inputs!$K$4:$AJ$4,0)))+SUMPRODUCT((Inputs!$C$5:$C$110=$B22)*Inputs!$D$5:$D$110*(((Inputs!$G$5:$G$110="moeda")+(Inputs!$G$5:$G$110="acoes"))*Inputs!$B$1+((Inputs!$G$5:$G$110&lt;&gt;"moeda")*(Inputs!$G$5:$G$110&lt;&gt;"acoes")))*INDEX(Inputs!$K$5:$AJ$110,0,MATCH(V$2,Inputs!$K$4:$AJ$4,0)))+SUMPRODUCT((Inputs!$E$5:$E$110=$B22)*Inputs!$F$5:$F$110*(((Inputs!$G$5:$G$110="moeda")+(Inputs!$G$5:$G$110="acoes"))*Inputs!$B$1+((Inputs!$G$5:$G$110&lt;&gt;"moeda")*(Inputs!$G$5:$G$110&lt;&gt;"acoes")))*INDEX(Inputs!$K$5:$AJ$110,0,MATCH(V$2,Inputs!$K$4:$AJ$4,0)))))</f>
        <v>171036</v>
      </c>
      <c r="W22" s="3">
        <f>V22</f>
        <v>171036</v>
      </c>
      <c r="X22" s="6">
        <f>IF(ISNA(MATCH(X$2,Inputs!$K$4:$AJ$4,0)),NA(),IF(SUMPRODUCT((Inputs!$A$5:$A$110=$B22)*ISNUMBER(INDEX(Inputs!$K$5:$AJ$110,0,MATCH(X$2,Inputs!$K$4:$AJ$4,0))))+SUMPRODUCT((Inputs!$C$5:$C$110=$B22)*ISNUMBER(INDEX(Inputs!$K$5:$AJ$110,0,MATCH(X$2,Inputs!$K$4:$AJ$4,0))))+SUMPRODUCT((Inputs!$E$5:$E$110=$B22)*ISNUMBER(INDEX(Inputs!$K$5:$AJ$110,0,MATCH(X$2,Inputs!$K$4:$AJ$4,0))))=0,NA(),SUMPRODUCT((Inputs!$A$5:$A$110=$B22)*Inputs!$B$5:$B$110*(((Inputs!$G$5:$G$110="moeda")+(Inputs!$G$5:$G$110="acoes"))*Inputs!$B$1+((Inputs!$G$5:$G$110&lt;&gt;"moeda")*(Inputs!$G$5:$G$110&lt;&gt;"acoes")))*INDEX(Inputs!$K$5:$AJ$110,0,MATCH(X$2,Inputs!$K$4:$AJ$4,0)))+SUMPRODUCT((Inputs!$C$5:$C$110=$B22)*Inputs!$D$5:$D$110*(((Inputs!$G$5:$G$110="moeda")+(Inputs!$G$5:$G$110="acoes"))*Inputs!$B$1+((Inputs!$G$5:$G$110&lt;&gt;"moeda")*(Inputs!$G$5:$G$110&lt;&gt;"acoes")))*INDEX(Inputs!$K$5:$AJ$110,0,MATCH(X$2,Inputs!$K$4:$AJ$4,0)))+SUMPRODUCT((Inputs!$E$5:$E$110=$B22)*Inputs!$F$5:$F$110*(((Inputs!$G$5:$G$110="moeda")+(Inputs!$G$5:$G$110="acoes"))*Inputs!$B$1+((Inputs!$G$5:$G$110&lt;&gt;"moeda")*(Inputs!$G$5:$G$110&lt;&gt;"acoes")))*INDEX(Inputs!$K$5:$AJ$110,0,MATCH(X$2,Inputs!$K$4:$AJ$4,0)))))</f>
        <v>185062</v>
      </c>
      <c r="Y22" s="6">
        <f>IF(ISNA(MATCH(Y$2,Inputs!$K$4:$AJ$4,0)),NA(),IF(SUMPRODUCT((Inputs!$A$5:$A$110=$B22)*ISNUMBER(INDEX(Inputs!$K$5:$AJ$110,0,MATCH(Y$2,Inputs!$K$4:$AJ$4,0))))+SUMPRODUCT((Inputs!$C$5:$C$110=$B22)*ISNUMBER(INDEX(Inputs!$K$5:$AJ$110,0,MATCH(Y$2,Inputs!$K$4:$AJ$4,0))))+SUMPRODUCT((Inputs!$E$5:$E$110=$B22)*ISNUMBER(INDEX(Inputs!$K$5:$AJ$110,0,MATCH(Y$2,Inputs!$K$4:$AJ$4,0))))=0,NA(),SUMPRODUCT((Inputs!$A$5:$A$110=$B22)*Inputs!$B$5:$B$110*(((Inputs!$G$5:$G$110="moeda")+(Inputs!$G$5:$G$110="acoes"))*Inputs!$B$1+((Inputs!$G$5:$G$110&lt;&gt;"moeda")*(Inputs!$G$5:$G$110&lt;&gt;"acoes")))*INDEX(Inputs!$K$5:$AJ$110,0,MATCH(Y$2,Inputs!$K$4:$AJ$4,0)))+SUMPRODUCT((Inputs!$C$5:$C$110=$B22)*Inputs!$D$5:$D$110*(((Inputs!$G$5:$G$110="moeda")+(Inputs!$G$5:$G$110="acoes"))*Inputs!$B$1+((Inputs!$G$5:$G$110&lt;&gt;"moeda")*(Inputs!$G$5:$G$110&lt;&gt;"acoes")))*INDEX(Inputs!$K$5:$AJ$110,0,MATCH(Y$2,Inputs!$K$4:$AJ$4,0)))+SUMPRODUCT((Inputs!$E$5:$E$110=$B22)*Inputs!$F$5:$F$110*(((Inputs!$G$5:$G$110="moeda")+(Inputs!$G$5:$G$110="acoes"))*Inputs!$B$1+((Inputs!$G$5:$G$110&lt;&gt;"moeda")*(Inputs!$G$5:$G$110&lt;&gt;"acoes")))*INDEX(Inputs!$K$5:$AJ$110,0,MATCH(Y$2,Inputs!$K$4:$AJ$4,0)))))</f>
        <v>203231</v>
      </c>
      <c r="Z22" s="6">
        <f>IF(ISNA(MATCH(Z$2,Inputs!$K$4:$AJ$4,0)),NA(),IF(SUMPRODUCT((Inputs!$A$5:$A$110=$B22)*ISNUMBER(INDEX(Inputs!$K$5:$AJ$110,0,MATCH(Z$2,Inputs!$K$4:$AJ$4,0))))+SUMPRODUCT((Inputs!$C$5:$C$110=$B22)*ISNUMBER(INDEX(Inputs!$K$5:$AJ$110,0,MATCH(Z$2,Inputs!$K$4:$AJ$4,0))))+SUMPRODUCT((Inputs!$E$5:$E$110=$B22)*ISNUMBER(INDEX(Inputs!$K$5:$AJ$110,0,MATCH(Z$2,Inputs!$K$4:$AJ$4,0))))=0,NA(),SUMPRODUCT((Inputs!$A$5:$A$110=$B22)*Inputs!$B$5:$B$110*(((Inputs!$G$5:$G$110="moeda")+(Inputs!$G$5:$G$110="acoes"))*Inputs!$B$1+((Inputs!$G$5:$G$110&lt;&gt;"moeda")*(Inputs!$G$5:$G$110&lt;&gt;"acoes")))*INDEX(Inputs!$K$5:$AJ$110,0,MATCH(Z$2,Inputs!$K$4:$AJ$4,0)))+SUMPRODUCT((Inputs!$C$5:$C$110=$B22)*Inputs!$D$5:$D$110*(((Inputs!$G$5:$G$110="moeda")+(Inputs!$G$5:$G$110="acoes"))*Inputs!$B$1+((Inputs!$G$5:$G$110&lt;&gt;"moeda")*(Inputs!$G$5:$G$110&lt;&gt;"acoes")))*INDEX(Inputs!$K$5:$AJ$110,0,MATCH(Z$2,Inputs!$K$4:$AJ$4,0)))+SUMPRODUCT((Inputs!$E$5:$E$110=$B22)*Inputs!$F$5:$F$110*(((Inputs!$G$5:$G$110="moeda")+(Inputs!$G$5:$G$110="acoes"))*Inputs!$B$1+((Inputs!$G$5:$G$110&lt;&gt;"moeda")*(Inputs!$G$5:$G$110&lt;&gt;"acoes")))*INDEX(Inputs!$K$5:$AJ$110,0,MATCH(Z$2,Inputs!$K$4:$AJ$4,0)))))</f>
        <v>223787</v>
      </c>
      <c r="AA22" s="6">
        <f>IF(ISNA(MATCH(AA$2,Inputs!$K$4:$AJ$4,0)),NA(),IF(SUMPRODUCT((Inputs!$A$5:$A$110=$B22)*ISNUMBER(INDEX(Inputs!$K$5:$AJ$110,0,MATCH(AA$2,Inputs!$K$4:$AJ$4,0))))+SUMPRODUCT((Inputs!$C$5:$C$110=$B22)*ISNUMBER(INDEX(Inputs!$K$5:$AJ$110,0,MATCH(AA$2,Inputs!$K$4:$AJ$4,0))))+SUMPRODUCT((Inputs!$E$5:$E$110=$B22)*ISNUMBER(INDEX(Inputs!$K$5:$AJ$110,0,MATCH(AA$2,Inputs!$K$4:$AJ$4,0))))=0,NA(),SUMPRODUCT((Inputs!$A$5:$A$110=$B22)*Inputs!$B$5:$B$110*(((Inputs!$G$5:$G$110="moeda")+(Inputs!$G$5:$G$110="acoes"))*Inputs!$B$1+((Inputs!$G$5:$G$110&lt;&gt;"moeda")*(Inputs!$G$5:$G$110&lt;&gt;"acoes")))*INDEX(Inputs!$K$5:$AJ$110,0,MATCH(AA$2,Inputs!$K$4:$AJ$4,0)))+SUMPRODUCT((Inputs!$C$5:$C$110=$B22)*Inputs!$D$5:$D$110*(((Inputs!$G$5:$G$110="moeda")+(Inputs!$G$5:$G$110="acoes"))*Inputs!$B$1+((Inputs!$G$5:$G$110&lt;&gt;"moeda")*(Inputs!$G$5:$G$110&lt;&gt;"acoes")))*INDEX(Inputs!$K$5:$AJ$110,0,MATCH(AA$2,Inputs!$K$4:$AJ$4,0)))+SUMPRODUCT((Inputs!$E$5:$E$110=$B22)*Inputs!$F$5:$F$110*(((Inputs!$G$5:$G$110="moeda")+(Inputs!$G$5:$G$110="acoes"))*Inputs!$B$1+((Inputs!$G$5:$G$110&lt;&gt;"moeda")*(Inputs!$G$5:$G$110&lt;&gt;"acoes")))*INDEX(Inputs!$K$5:$AJ$110,0,MATCH(AA$2,Inputs!$K$4:$AJ$4,0)))))</f>
        <v>246597</v>
      </c>
      <c r="AB22" s="3">
        <f>AA22</f>
        <v>246597</v>
      </c>
      <c r="AC22" s="6">
        <f>IF(ISNA(MATCH(AC$2,Inputs!$K$4:$AJ$4,0)),NA(),IF(SUMPRODUCT((Inputs!$A$5:$A$110=$B22)*ISNUMBER(INDEX(Inputs!$K$5:$AJ$110,0,MATCH(AC$2,Inputs!$K$4:$AJ$4,0))))+SUMPRODUCT((Inputs!$C$5:$C$110=$B22)*ISNUMBER(INDEX(Inputs!$K$5:$AJ$110,0,MATCH(AC$2,Inputs!$K$4:$AJ$4,0))))+SUMPRODUCT((Inputs!$E$5:$E$110=$B22)*ISNUMBER(INDEX(Inputs!$K$5:$AJ$110,0,MATCH(AC$2,Inputs!$K$4:$AJ$4,0))))=0,NA(),SUMPRODUCT((Inputs!$A$5:$A$110=$B22)*Inputs!$B$5:$B$110*(((Inputs!$G$5:$G$110="moeda")+(Inputs!$G$5:$G$110="acoes"))*Inputs!$B$1+((Inputs!$G$5:$G$110&lt;&gt;"moeda")*(Inputs!$G$5:$G$110&lt;&gt;"acoes")))*INDEX(Inputs!$K$5:$AJ$110,0,MATCH(AC$2,Inputs!$K$4:$AJ$4,0)))+SUMPRODUCT((Inputs!$C$5:$C$110=$B22)*Inputs!$D$5:$D$110*(((Inputs!$G$5:$G$110="moeda")+(Inputs!$G$5:$G$110="acoes"))*Inputs!$B$1+((Inputs!$G$5:$G$110&lt;&gt;"moeda")*(Inputs!$G$5:$G$110&lt;&gt;"acoes")))*INDEX(Inputs!$K$5:$AJ$110,0,MATCH(AC$2,Inputs!$K$4:$AJ$4,0)))+SUMPRODUCT((Inputs!$E$5:$E$110=$B22)*Inputs!$F$5:$F$110*(((Inputs!$G$5:$G$110="moeda")+(Inputs!$G$5:$G$110="acoes"))*Inputs!$B$1+((Inputs!$G$5:$G$110&lt;&gt;"moeda")*(Inputs!$G$5:$G$110&lt;&gt;"acoes")))*INDEX(Inputs!$K$5:$AJ$110,0,MATCH(AC$2,Inputs!$K$4:$AJ$4,0)))))</f>
        <v>281020</v>
      </c>
      <c r="AD22" s="6">
        <f>IF(ISNA(MATCH(AD$2,Inputs!$K$4:$AJ$4,0)),NA(),IF(SUMPRODUCT((Inputs!$A$5:$A$110=$B22)*ISNUMBER(INDEX(Inputs!$K$5:$AJ$110,0,MATCH(AD$2,Inputs!$K$4:$AJ$4,0))))+SUMPRODUCT((Inputs!$C$5:$C$110=$B22)*ISNUMBER(INDEX(Inputs!$K$5:$AJ$110,0,MATCH(AD$2,Inputs!$K$4:$AJ$4,0))))+SUMPRODUCT((Inputs!$E$5:$E$110=$B22)*ISNUMBER(INDEX(Inputs!$K$5:$AJ$110,0,MATCH(AD$2,Inputs!$K$4:$AJ$4,0))))=0,NA(),SUMPRODUCT((Inputs!$A$5:$A$110=$B22)*Inputs!$B$5:$B$110*(((Inputs!$G$5:$G$110="moeda")+(Inputs!$G$5:$G$110="acoes"))*Inputs!$B$1+((Inputs!$G$5:$G$110&lt;&gt;"moeda")*(Inputs!$G$5:$G$110&lt;&gt;"acoes")))*INDEX(Inputs!$K$5:$AJ$110,0,MATCH(AD$2,Inputs!$K$4:$AJ$4,0)))+SUMPRODUCT((Inputs!$C$5:$C$110=$B22)*Inputs!$D$5:$D$110*(((Inputs!$G$5:$G$110="moeda")+(Inputs!$G$5:$G$110="acoes"))*Inputs!$B$1+((Inputs!$G$5:$G$110&lt;&gt;"moeda")*(Inputs!$G$5:$G$110&lt;&gt;"acoes")))*INDEX(Inputs!$K$5:$AJ$110,0,MATCH(AD$2,Inputs!$K$4:$AJ$4,0)))+SUMPRODUCT((Inputs!$E$5:$E$110=$B22)*Inputs!$F$5:$F$110*(((Inputs!$G$5:$G$110="moeda")+(Inputs!$G$5:$G$110="acoes"))*Inputs!$B$1+((Inputs!$G$5:$G$110&lt;&gt;"moeda")*(Inputs!$G$5:$G$110&lt;&gt;"acoes")))*INDEX(Inputs!$K$5:$AJ$110,0,MATCH(AD$2,Inputs!$K$4:$AJ$4,0)))))</f>
        <v>321212</v>
      </c>
      <c r="AE22" s="6" t="e">
        <f>IF(ISNA(MATCH(AE$2,Inputs!$K$4:$AJ$4,0)),NA(),IF(SUMPRODUCT((Inputs!$A$5:$A$110=$B22)*ISNUMBER(INDEX(Inputs!$K$5:$AJ$110,0,MATCH(AE$2,Inputs!$K$4:$AJ$4,0))))+SUMPRODUCT((Inputs!$C$5:$C$110=$B22)*ISNUMBER(INDEX(Inputs!$K$5:$AJ$110,0,MATCH(AE$2,Inputs!$K$4:$AJ$4,0))))+SUMPRODUCT((Inputs!$E$5:$E$110=$B22)*ISNUMBER(INDEX(Inputs!$K$5:$AJ$110,0,MATCH(AE$2,Inputs!$K$4:$AJ$4,0))))=0,NA(),SUMPRODUCT((Inputs!$A$5:$A$110=$B22)*Inputs!$B$5:$B$110*(((Inputs!$G$5:$G$110="moeda")+(Inputs!$G$5:$G$110="acoes"))*Inputs!$B$1+((Inputs!$G$5:$G$110&lt;&gt;"moeda")*(Inputs!$G$5:$G$110&lt;&gt;"acoes")))*INDEX(Inputs!$K$5:$AJ$110,0,MATCH(AE$2,Inputs!$K$4:$AJ$4,0)))+SUMPRODUCT((Inputs!$C$5:$C$110=$B22)*Inputs!$D$5:$D$110*(((Inputs!$G$5:$G$110="moeda")+(Inputs!$G$5:$G$110="acoes"))*Inputs!$B$1+((Inputs!$G$5:$G$110&lt;&gt;"moeda")*(Inputs!$G$5:$G$110&lt;&gt;"acoes")))*INDEX(Inputs!$K$5:$AJ$110,0,MATCH(AE$2,Inputs!$K$4:$AJ$4,0)))+SUMPRODUCT((Inputs!$E$5:$E$110=$B22)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2" s="6" t="e">
        <f>IF(ISNA(MATCH(AF$2,Inputs!$K$4:$AJ$4,0)),NA(),IF(SUMPRODUCT((Inputs!$A$5:$A$110=$B22)*ISNUMBER(INDEX(Inputs!$K$5:$AJ$110,0,MATCH(AF$2,Inputs!$K$4:$AJ$4,0))))+SUMPRODUCT((Inputs!$C$5:$C$110=$B22)*ISNUMBER(INDEX(Inputs!$K$5:$AJ$110,0,MATCH(AF$2,Inputs!$K$4:$AJ$4,0))))+SUMPRODUCT((Inputs!$E$5:$E$110=$B22)*ISNUMBER(INDEX(Inputs!$K$5:$AJ$110,0,MATCH(AF$2,Inputs!$K$4:$AJ$4,0))))=0,NA(),SUMPRODUCT((Inputs!$A$5:$A$110=$B22)*Inputs!$B$5:$B$110*(((Inputs!$G$5:$G$110="moeda")+(Inputs!$G$5:$G$110="acoes"))*Inputs!$B$1+((Inputs!$G$5:$G$110&lt;&gt;"moeda")*(Inputs!$G$5:$G$110&lt;&gt;"acoes")))*INDEX(Inputs!$K$5:$AJ$110,0,MATCH(AF$2,Inputs!$K$4:$AJ$4,0)))+SUMPRODUCT((Inputs!$C$5:$C$110=$B22)*Inputs!$D$5:$D$110*(((Inputs!$G$5:$G$110="moeda")+(Inputs!$G$5:$G$110="acoes"))*Inputs!$B$1+((Inputs!$G$5:$G$110&lt;&gt;"moeda")*(Inputs!$G$5:$G$110&lt;&gt;"acoes")))*INDEX(Inputs!$K$5:$AJ$110,0,MATCH(AF$2,Inputs!$K$4:$AJ$4,0)))+SUMPRODUCT((Inputs!$E$5:$E$110=$B22)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2" s="3" t="e">
        <f>AF22</f>
        <v>#N/A</v>
      </c>
      <c r="AH22" s="6">
        <f>IF(ISNA(MATCH(AH$2,Inputs!$K$4:$AJ$4,0)),NA(),IF(SUMPRODUCT((Inputs!$A$5:$A$110=$B22)*ISNUMBER(INDEX(Inputs!$K$5:$AJ$110,0,MATCH(AH$2,Inputs!$K$4:$AJ$4,0))))+SUMPRODUCT((Inputs!$C$5:$C$110=$B22)*ISNUMBER(INDEX(Inputs!$K$5:$AJ$110,0,MATCH(AH$2,Inputs!$K$4:$AJ$4,0))))+SUMPRODUCT((Inputs!$E$5:$E$110=$B22)*ISNUMBER(INDEX(Inputs!$K$5:$AJ$110,0,MATCH(AH$2,Inputs!$K$4:$AJ$4,0))))=0,NA(),SUMPRODUCT((Inputs!$A$5:$A$110=$B22)*Inputs!$B$5:$B$110*(((Inputs!$G$5:$G$110="moeda")+(Inputs!$G$5:$G$110="acoes"))*Inputs!$B$1+((Inputs!$G$5:$G$110&lt;&gt;"moeda")*(Inputs!$G$5:$G$110&lt;&gt;"acoes")))*INDEX(Inputs!$K$5:$AJ$110,0,MATCH(AH$2,Inputs!$K$4:$AJ$4,0)))+SUMPRODUCT((Inputs!$C$5:$C$110=$B22)*Inputs!$D$5:$D$110*(((Inputs!$G$5:$G$110="moeda")+(Inputs!$G$5:$G$110="acoes"))*Inputs!$B$1+((Inputs!$G$5:$G$110&lt;&gt;"moeda")*(Inputs!$G$5:$G$110&lt;&gt;"acoes")))*INDEX(Inputs!$K$5:$AJ$110,0,MATCH(AH$2,Inputs!$K$4:$AJ$4,0)))+SUMPRODUCT((Inputs!$E$5:$E$110=$B22)*Inputs!$F$5:$F$110*(((Inputs!$G$5:$G$110="moeda")+(Inputs!$G$5:$G$110="acoes"))*Inputs!$B$1+((Inputs!$G$5:$G$110&lt;&gt;"moeda")*(Inputs!$G$5:$G$110&lt;&gt;"acoes")))*INDEX(Inputs!$K$5:$AJ$110,0,MATCH(AH$2,Inputs!$K$4:$AJ$4,0)))))</f>
        <v>76747</v>
      </c>
      <c r="AI22" s="6">
        <f>IF(ISNA(MATCH(AI$2,Inputs!$K$4:$AJ$4,0)),NA(),IF(SUMPRODUCT((Inputs!$A$5:$A$110=$B22)*ISNUMBER(INDEX(Inputs!$K$5:$AJ$110,0,MATCH(AI$2,Inputs!$K$4:$AJ$4,0))))+SUMPRODUCT((Inputs!$C$5:$C$110=$B22)*ISNUMBER(INDEX(Inputs!$K$5:$AJ$110,0,MATCH(AI$2,Inputs!$K$4:$AJ$4,0))))+SUMPRODUCT((Inputs!$E$5:$E$110=$B22)*ISNUMBER(INDEX(Inputs!$K$5:$AJ$110,0,MATCH(AI$2,Inputs!$K$4:$AJ$4,0))))=0,NA(),SUMPRODUCT((Inputs!$A$5:$A$110=$B22)*Inputs!$B$5:$B$110*(((Inputs!$G$5:$G$110="moeda")+(Inputs!$G$5:$G$110="acoes"))*Inputs!$B$1+((Inputs!$G$5:$G$110&lt;&gt;"moeda")*(Inputs!$G$5:$G$110&lt;&gt;"acoes")))*INDEX(Inputs!$K$5:$AJ$110,0,MATCH(AI$2,Inputs!$K$4:$AJ$4,0)))+SUMPRODUCT((Inputs!$C$5:$C$110=$B22)*Inputs!$D$5:$D$110*(((Inputs!$G$5:$G$110="moeda")+(Inputs!$G$5:$G$110="acoes"))*Inputs!$B$1+((Inputs!$G$5:$G$110&lt;&gt;"moeda")*(Inputs!$G$5:$G$110&lt;&gt;"acoes")))*INDEX(Inputs!$K$5:$AJ$110,0,MATCH(AI$2,Inputs!$K$4:$AJ$4,0)))+SUMPRODUCT((Inputs!$E$5:$E$110=$B22)*Inputs!$F$5:$F$110*(((Inputs!$G$5:$G$110="moeda")+(Inputs!$G$5:$G$110="acoes"))*Inputs!$B$1+((Inputs!$G$5:$G$110&lt;&gt;"moeda")*(Inputs!$G$5:$G$110&lt;&gt;"acoes")))*INDEX(Inputs!$K$5:$AJ$110,0,MATCH(AI$2,Inputs!$K$4:$AJ$4,0)))))</f>
        <v>78748</v>
      </c>
      <c r="AJ22" s="6">
        <f>IF(ISNA(MATCH(AJ$2,Inputs!$K$4:$AJ$4,0)),NA(),IF(SUMPRODUCT((Inputs!$A$5:$A$110=$B22)*ISNUMBER(INDEX(Inputs!$K$5:$AJ$110,0,MATCH(AJ$2,Inputs!$K$4:$AJ$4,0))))+SUMPRODUCT((Inputs!$C$5:$C$110=$B22)*ISNUMBER(INDEX(Inputs!$K$5:$AJ$110,0,MATCH(AJ$2,Inputs!$K$4:$AJ$4,0))))+SUMPRODUCT((Inputs!$E$5:$E$110=$B22)*ISNUMBER(INDEX(Inputs!$K$5:$AJ$110,0,MATCH(AJ$2,Inputs!$K$4:$AJ$4,0))))=0,NA(),SUMPRODUCT((Inputs!$A$5:$A$110=$B22)*Inputs!$B$5:$B$110*(((Inputs!$G$5:$G$110="moeda")+(Inputs!$G$5:$G$110="acoes"))*Inputs!$B$1+((Inputs!$G$5:$G$110&lt;&gt;"moeda")*(Inputs!$G$5:$G$110&lt;&gt;"acoes")))*INDEX(Inputs!$K$5:$AJ$110,0,MATCH(AJ$2,Inputs!$K$4:$AJ$4,0)))+SUMPRODUCT((Inputs!$C$5:$C$110=$B22)*Inputs!$D$5:$D$110*(((Inputs!$G$5:$G$110="moeda")+(Inputs!$G$5:$G$110="acoes"))*Inputs!$B$1+((Inputs!$G$5:$G$110&lt;&gt;"moeda")*(Inputs!$G$5:$G$110&lt;&gt;"acoes")))*INDEX(Inputs!$K$5:$AJ$110,0,MATCH(AJ$2,Inputs!$K$4:$AJ$4,0)))+SUMPRODUCT((Inputs!$E$5:$E$110=$B22)*Inputs!$F$5:$F$110*(((Inputs!$G$5:$G$110="moeda")+(Inputs!$G$5:$G$110="acoes"))*Inputs!$B$1+((Inputs!$G$5:$G$110&lt;&gt;"moeda")*(Inputs!$G$5:$G$110&lt;&gt;"acoes")))*INDEX(Inputs!$K$5:$AJ$110,0,MATCH(AJ$2,Inputs!$K$4:$AJ$4,0)))))</f>
        <v>81636</v>
      </c>
      <c r="AK22" s="6">
        <f>IF(ISNA(MATCH(AK$2,Inputs!$K$4:$AJ$4,0)),NA(),IF(SUMPRODUCT((Inputs!$A$5:$A$110=$B22)*ISNUMBER(INDEX(Inputs!$K$5:$AJ$110,0,MATCH(AK$2,Inputs!$K$4:$AJ$4,0))))+SUMPRODUCT((Inputs!$C$5:$C$110=$B22)*ISNUMBER(INDEX(Inputs!$K$5:$AJ$110,0,MATCH(AK$2,Inputs!$K$4:$AJ$4,0))))+SUMPRODUCT((Inputs!$E$5:$E$110=$B22)*ISNUMBER(INDEX(Inputs!$K$5:$AJ$110,0,MATCH(AK$2,Inputs!$K$4:$AJ$4,0))))=0,NA(),SUMPRODUCT((Inputs!$A$5:$A$110=$B22)*Inputs!$B$5:$B$110*(((Inputs!$G$5:$G$110="moeda")+(Inputs!$G$5:$G$110="acoes"))*Inputs!$B$1+((Inputs!$G$5:$G$110&lt;&gt;"moeda")*(Inputs!$G$5:$G$110&lt;&gt;"acoes")))*INDEX(Inputs!$K$5:$AJ$110,0,MATCH(AK$2,Inputs!$K$4:$AJ$4,0)))+SUMPRODUCT((Inputs!$C$5:$C$110=$B22)*Inputs!$D$5:$D$110*(((Inputs!$G$5:$G$110="moeda")+(Inputs!$G$5:$G$110="acoes"))*Inputs!$B$1+((Inputs!$G$5:$G$110&lt;&gt;"moeda")*(Inputs!$G$5:$G$110&lt;&gt;"acoes")))*INDEX(Inputs!$K$5:$AJ$110,0,MATCH(AK$2,Inputs!$K$4:$AJ$4,0)))+SUMPRODUCT((Inputs!$E$5:$E$110=$B22)*Inputs!$F$5:$F$110*(((Inputs!$G$5:$G$110="moeda")+(Inputs!$G$5:$G$110="acoes"))*Inputs!$B$1+((Inputs!$G$5:$G$110&lt;&gt;"moeda")*(Inputs!$G$5:$G$110&lt;&gt;"acoes")))*INDEX(Inputs!$K$5:$AJ$110,0,MATCH(AK$2,Inputs!$K$4:$AJ$4,0)))))</f>
        <v>84749</v>
      </c>
      <c r="AL22" s="3">
        <f>AK22</f>
        <v>84749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$110=$B23)*ISNUMBER(INDEX(Inputs!$K$5:$AJ$110,0,MATCH(D$2,Inputs!$K$4:$AJ$4,0))))+SUMPRODUCT((Inputs!$C$5:$C$110=$B23)*ISNUMBER(INDEX(Inputs!$K$5:$AJ$110,0,MATCH(D$2,Inputs!$K$4:$AJ$4,0))))+SUMPRODUCT((Inputs!$E$5:$E$110=$B23)*ISNUMBER(INDEX(Inputs!$K$5:$AJ$110,0,MATCH(D$2,Inputs!$K$4:$AJ$4,0))))=0,NA(),SUMPRODUCT((Inputs!$A$5:$A$110=$B23)*Inputs!$B$5:$B$110*(((Inputs!$G$5:$G$110="moeda")+(Inputs!$G$5:$G$110="acoes"))*Inputs!$B$1+((Inputs!$G$5:$G$110&lt;&gt;"moeda")*(Inputs!$G$5:$G$110&lt;&gt;"acoes")))*INDEX(Inputs!$K$5:$AJ$110,0,MATCH(D$2,Inputs!$K$4:$AJ$4,0)))+SUMPRODUCT((Inputs!$C$5:$C$110=$B23)*Inputs!$D$5:$D$110*(((Inputs!$G$5:$G$110="moeda")+(Inputs!$G$5:$G$110="acoes"))*Inputs!$B$1+((Inputs!$G$5:$G$110&lt;&gt;"moeda")*(Inputs!$G$5:$G$110&lt;&gt;"acoes")))*INDEX(Inputs!$K$5:$AJ$110,0,MATCH(D$2,Inputs!$K$4:$AJ$4,0)))+SUMPRODUCT((Inputs!$E$5:$E$110=$B23)*Inputs!$F$5:$F$110*(((Inputs!$G$5:$G$110="moeda")+(Inputs!$G$5:$G$110="acoes"))*Inputs!$B$1+((Inputs!$G$5:$G$110&lt;&gt;"moeda")*(Inputs!$G$5:$G$110&lt;&gt;"acoes")))*INDEX(Inputs!$K$5:$AJ$110,0,MATCH(D$2,Inputs!$K$4:$AJ$4,0)))))</f>
        <v>12598</v>
      </c>
      <c r="E23" s="6">
        <f>IF(ISNA(MATCH(E$2,Inputs!$K$4:$AJ$4,0)),NA(),IF(SUMPRODUCT((Inputs!$A$5:$A$110=$B23)*ISNUMBER(INDEX(Inputs!$K$5:$AJ$110,0,MATCH(E$2,Inputs!$K$4:$AJ$4,0))))+SUMPRODUCT((Inputs!$C$5:$C$110=$B23)*ISNUMBER(INDEX(Inputs!$K$5:$AJ$110,0,MATCH(E$2,Inputs!$K$4:$AJ$4,0))))+SUMPRODUCT((Inputs!$E$5:$E$110=$B23)*ISNUMBER(INDEX(Inputs!$K$5:$AJ$110,0,MATCH(E$2,Inputs!$K$4:$AJ$4,0))))=0,NA(),SUMPRODUCT((Inputs!$A$5:$A$110=$B23)*Inputs!$B$5:$B$110*(((Inputs!$G$5:$G$110="moeda")+(Inputs!$G$5:$G$110="acoes"))*Inputs!$B$1+((Inputs!$G$5:$G$110&lt;&gt;"moeda")*(Inputs!$G$5:$G$110&lt;&gt;"acoes")))*INDEX(Inputs!$K$5:$AJ$110,0,MATCH(E$2,Inputs!$K$4:$AJ$4,0)))+SUMPRODUCT((Inputs!$C$5:$C$110=$B23)*Inputs!$D$5:$D$110*(((Inputs!$G$5:$G$110="moeda")+(Inputs!$G$5:$G$110="acoes"))*Inputs!$B$1+((Inputs!$G$5:$G$110&lt;&gt;"moeda")*(Inputs!$G$5:$G$110&lt;&gt;"acoes")))*INDEX(Inputs!$K$5:$AJ$110,0,MATCH(E$2,Inputs!$K$4:$AJ$4,0)))+SUMPRODUCT((Inputs!$E$5:$E$110=$B23)*Inputs!$F$5:$F$110*(((Inputs!$G$5:$G$110="moeda")+(Inputs!$G$5:$G$110="acoes"))*Inputs!$B$1+((Inputs!$G$5:$G$110&lt;&gt;"moeda")*(Inputs!$G$5:$G$110&lt;&gt;"acoes")))*INDEX(Inputs!$K$5:$AJ$110,0,MATCH(E$2,Inputs!$K$4:$AJ$4,0)))))</f>
        <v>12978</v>
      </c>
      <c r="F23" s="6">
        <f>IF(ISNA(MATCH(F$2,Inputs!$K$4:$AJ$4,0)),NA(),IF(SUMPRODUCT((Inputs!$A$5:$A$110=$B23)*ISNUMBER(INDEX(Inputs!$K$5:$AJ$110,0,MATCH(F$2,Inputs!$K$4:$AJ$4,0))))+SUMPRODUCT((Inputs!$C$5:$C$110=$B23)*ISNUMBER(INDEX(Inputs!$K$5:$AJ$110,0,MATCH(F$2,Inputs!$K$4:$AJ$4,0))))+SUMPRODUCT((Inputs!$E$5:$E$110=$B23)*ISNUMBER(INDEX(Inputs!$K$5:$AJ$110,0,MATCH(F$2,Inputs!$K$4:$AJ$4,0))))=0,NA(),SUMPRODUCT((Inputs!$A$5:$A$110=$B23)*Inputs!$B$5:$B$110*(((Inputs!$G$5:$G$110="moeda")+(Inputs!$G$5:$G$110="acoes"))*Inputs!$B$1+((Inputs!$G$5:$G$110&lt;&gt;"moeda")*(Inputs!$G$5:$G$110&lt;&gt;"acoes")))*INDEX(Inputs!$K$5:$AJ$110,0,MATCH(F$2,Inputs!$K$4:$AJ$4,0)))+SUMPRODUCT((Inputs!$C$5:$C$110=$B23)*Inputs!$D$5:$D$110*(((Inputs!$G$5:$G$110="moeda")+(Inputs!$G$5:$G$110="acoes"))*Inputs!$B$1+((Inputs!$G$5:$G$110&lt;&gt;"moeda")*(Inputs!$G$5:$G$110&lt;&gt;"acoes")))*INDEX(Inputs!$K$5:$AJ$110,0,MATCH(F$2,Inputs!$K$4:$AJ$4,0)))+SUMPRODUCT((Inputs!$E$5:$E$110=$B23)*Inputs!$F$5:$F$110*(((Inputs!$G$5:$G$110="moeda")+(Inputs!$G$5:$G$110="acoes"))*Inputs!$B$1+((Inputs!$G$5:$G$110&lt;&gt;"moeda")*(Inputs!$G$5:$G$110&lt;&gt;"acoes")))*INDEX(Inputs!$K$5:$AJ$110,0,MATCH(F$2,Inputs!$K$4:$AJ$4,0)))))</f>
        <v>12918</v>
      </c>
      <c r="G23" s="6">
        <f>IF(ISNA(MATCH(G$2,Inputs!$K$4:$AJ$4,0)),NA(),IF(SUMPRODUCT((Inputs!$A$5:$A$110=$B23)*ISNUMBER(INDEX(Inputs!$K$5:$AJ$110,0,MATCH(G$2,Inputs!$K$4:$AJ$4,0))))+SUMPRODUCT((Inputs!$C$5:$C$110=$B23)*ISNUMBER(INDEX(Inputs!$K$5:$AJ$110,0,MATCH(G$2,Inputs!$K$4:$AJ$4,0))))+SUMPRODUCT((Inputs!$E$5:$E$110=$B23)*ISNUMBER(INDEX(Inputs!$K$5:$AJ$110,0,MATCH(G$2,Inputs!$K$4:$AJ$4,0))))=0,NA(),SUMPRODUCT((Inputs!$A$5:$A$110=$B23)*Inputs!$B$5:$B$110*(((Inputs!$G$5:$G$110="moeda")+(Inputs!$G$5:$G$110="acoes"))*Inputs!$B$1+((Inputs!$G$5:$G$110&lt;&gt;"moeda")*(Inputs!$G$5:$G$110&lt;&gt;"acoes")))*INDEX(Inputs!$K$5:$AJ$110,0,MATCH(G$2,Inputs!$K$4:$AJ$4,0)))+SUMPRODUCT((Inputs!$C$5:$C$110=$B23)*Inputs!$D$5:$D$110*(((Inputs!$G$5:$G$110="moeda")+(Inputs!$G$5:$G$110="acoes"))*Inputs!$B$1+((Inputs!$G$5:$G$110&lt;&gt;"moeda")*(Inputs!$G$5:$G$110&lt;&gt;"acoes")))*INDEX(Inputs!$K$5:$AJ$110,0,MATCH(G$2,Inputs!$K$4:$AJ$4,0)))+SUMPRODUCT((Inputs!$E$5:$E$110=$B23)*Inputs!$F$5:$F$110*(((Inputs!$G$5:$G$110="moeda")+(Inputs!$G$5:$G$110="acoes"))*Inputs!$B$1+((Inputs!$G$5:$G$110&lt;&gt;"moeda")*(Inputs!$G$5:$G$110&lt;&gt;"acoes")))*INDEX(Inputs!$K$5:$AJ$110,0,MATCH(G$2,Inputs!$K$4:$AJ$4,0)))))</f>
        <v>12959</v>
      </c>
      <c r="H23" s="3">
        <f>G23</f>
        <v>12959</v>
      </c>
      <c r="I23" s="6">
        <f>IF(ISNA(MATCH(I$2,Inputs!$K$4:$AJ$4,0)),NA(),IF(SUMPRODUCT((Inputs!$A$5:$A$110=$B23)*ISNUMBER(INDEX(Inputs!$K$5:$AJ$110,0,MATCH(I$2,Inputs!$K$4:$AJ$4,0))))+SUMPRODUCT((Inputs!$C$5:$C$110=$B23)*ISNUMBER(INDEX(Inputs!$K$5:$AJ$110,0,MATCH(I$2,Inputs!$K$4:$AJ$4,0))))+SUMPRODUCT((Inputs!$E$5:$E$110=$B23)*ISNUMBER(INDEX(Inputs!$K$5:$AJ$110,0,MATCH(I$2,Inputs!$K$4:$AJ$4,0))))=0,NA(),SUMPRODUCT((Inputs!$A$5:$A$110=$B23)*Inputs!$B$5:$B$110*(((Inputs!$G$5:$G$110="moeda")+(Inputs!$G$5:$G$110="acoes"))*Inputs!$B$1+((Inputs!$G$5:$G$110&lt;&gt;"moeda")*(Inputs!$G$5:$G$110&lt;&gt;"acoes")))*INDEX(Inputs!$K$5:$AJ$110,0,MATCH(I$2,Inputs!$K$4:$AJ$4,0)))+SUMPRODUCT((Inputs!$C$5:$C$110=$B23)*Inputs!$D$5:$D$110*(((Inputs!$G$5:$G$110="moeda")+(Inputs!$G$5:$G$110="acoes"))*Inputs!$B$1+((Inputs!$G$5:$G$110&lt;&gt;"moeda")*(Inputs!$G$5:$G$110&lt;&gt;"acoes")))*INDEX(Inputs!$K$5:$AJ$110,0,MATCH(I$2,Inputs!$K$4:$AJ$4,0)))+SUMPRODUCT((Inputs!$E$5:$E$110=$B23)*Inputs!$F$5:$F$110*(((Inputs!$G$5:$G$110="moeda")+(Inputs!$G$5:$G$110="acoes"))*Inputs!$B$1+((Inputs!$G$5:$G$110&lt;&gt;"moeda")*(Inputs!$G$5:$G$110&lt;&gt;"acoes")))*INDEX(Inputs!$K$5:$AJ$110,0,MATCH(I$2,Inputs!$K$4:$AJ$4,0)))))</f>
        <v>12992</v>
      </c>
      <c r="J23" s="6">
        <f>IF(ISNA(MATCH(J$2,Inputs!$K$4:$AJ$4,0)),NA(),IF(SUMPRODUCT((Inputs!$A$5:$A$110=$B23)*ISNUMBER(INDEX(Inputs!$K$5:$AJ$110,0,MATCH(J$2,Inputs!$K$4:$AJ$4,0))))+SUMPRODUCT((Inputs!$C$5:$C$110=$B23)*ISNUMBER(INDEX(Inputs!$K$5:$AJ$110,0,MATCH(J$2,Inputs!$K$4:$AJ$4,0))))+SUMPRODUCT((Inputs!$E$5:$E$110=$B23)*ISNUMBER(INDEX(Inputs!$K$5:$AJ$110,0,MATCH(J$2,Inputs!$K$4:$AJ$4,0))))=0,NA(),SUMPRODUCT((Inputs!$A$5:$A$110=$B23)*Inputs!$B$5:$B$110*(((Inputs!$G$5:$G$110="moeda")+(Inputs!$G$5:$G$110="acoes"))*Inputs!$B$1+((Inputs!$G$5:$G$110&lt;&gt;"moeda")*(Inputs!$G$5:$G$110&lt;&gt;"acoes")))*INDEX(Inputs!$K$5:$AJ$110,0,MATCH(J$2,Inputs!$K$4:$AJ$4,0)))+SUMPRODUCT((Inputs!$C$5:$C$110=$B23)*Inputs!$D$5:$D$110*(((Inputs!$G$5:$G$110="moeda")+(Inputs!$G$5:$G$110="acoes"))*Inputs!$B$1+((Inputs!$G$5:$G$110&lt;&gt;"moeda")*(Inputs!$G$5:$G$110&lt;&gt;"acoes")))*INDEX(Inputs!$K$5:$AJ$110,0,MATCH(J$2,Inputs!$K$4:$AJ$4,0)))+SUMPRODUCT((Inputs!$E$5:$E$110=$B23)*Inputs!$F$5:$F$110*(((Inputs!$G$5:$G$110="moeda")+(Inputs!$G$5:$G$110="acoes"))*Inputs!$B$1+((Inputs!$G$5:$G$110&lt;&gt;"moeda")*(Inputs!$G$5:$G$110&lt;&gt;"acoes")))*INDEX(Inputs!$K$5:$AJ$110,0,MATCH(J$2,Inputs!$K$4:$AJ$4,0)))))</f>
        <v>13398</v>
      </c>
      <c r="K23" s="6">
        <f>IF(ISNA(MATCH(K$2,Inputs!$K$4:$AJ$4,0)),NA(),IF(SUMPRODUCT((Inputs!$A$5:$A$110=$B23)*ISNUMBER(INDEX(Inputs!$K$5:$AJ$110,0,MATCH(K$2,Inputs!$K$4:$AJ$4,0))))+SUMPRODUCT((Inputs!$C$5:$C$110=$B23)*ISNUMBER(INDEX(Inputs!$K$5:$AJ$110,0,MATCH(K$2,Inputs!$K$4:$AJ$4,0))))+SUMPRODUCT((Inputs!$E$5:$E$110=$B23)*ISNUMBER(INDEX(Inputs!$K$5:$AJ$110,0,MATCH(K$2,Inputs!$K$4:$AJ$4,0))))=0,NA(),SUMPRODUCT((Inputs!$A$5:$A$110=$B23)*Inputs!$B$5:$B$110*(((Inputs!$G$5:$G$110="moeda")+(Inputs!$G$5:$G$110="acoes"))*Inputs!$B$1+((Inputs!$G$5:$G$110&lt;&gt;"moeda")*(Inputs!$G$5:$G$110&lt;&gt;"acoes")))*INDEX(Inputs!$K$5:$AJ$110,0,MATCH(K$2,Inputs!$K$4:$AJ$4,0)))+SUMPRODUCT((Inputs!$C$5:$C$110=$B23)*Inputs!$D$5:$D$110*(((Inputs!$G$5:$G$110="moeda")+(Inputs!$G$5:$G$110="acoes"))*Inputs!$B$1+((Inputs!$G$5:$G$110&lt;&gt;"moeda")*(Inputs!$G$5:$G$110&lt;&gt;"acoes")))*INDEX(Inputs!$K$5:$AJ$110,0,MATCH(K$2,Inputs!$K$4:$AJ$4,0)))+SUMPRODUCT((Inputs!$E$5:$E$110=$B23)*Inputs!$F$5:$F$110*(((Inputs!$G$5:$G$110="moeda")+(Inputs!$G$5:$G$110="acoes"))*Inputs!$B$1+((Inputs!$G$5:$G$110&lt;&gt;"moeda")*(Inputs!$G$5:$G$110&lt;&gt;"acoes")))*INDEX(Inputs!$K$5:$AJ$110,0,MATCH(K$2,Inputs!$K$4:$AJ$4,0)))))</f>
        <v>13677</v>
      </c>
      <c r="L23" s="6">
        <f>IF(ISNA(MATCH(L$2,Inputs!$K$4:$AJ$4,0)),NA(),IF(SUMPRODUCT((Inputs!$A$5:$A$110=$B23)*ISNUMBER(INDEX(Inputs!$K$5:$AJ$110,0,MATCH(L$2,Inputs!$K$4:$AJ$4,0))))+SUMPRODUCT((Inputs!$C$5:$C$110=$B23)*ISNUMBER(INDEX(Inputs!$K$5:$AJ$110,0,MATCH(L$2,Inputs!$K$4:$AJ$4,0))))+SUMPRODUCT((Inputs!$E$5:$E$110=$B23)*ISNUMBER(INDEX(Inputs!$K$5:$AJ$110,0,MATCH(L$2,Inputs!$K$4:$AJ$4,0))))=0,NA(),SUMPRODUCT((Inputs!$A$5:$A$110=$B23)*Inputs!$B$5:$B$110*(((Inputs!$G$5:$G$110="moeda")+(Inputs!$G$5:$G$110="acoes"))*Inputs!$B$1+((Inputs!$G$5:$G$110&lt;&gt;"moeda")*(Inputs!$G$5:$G$110&lt;&gt;"acoes")))*INDEX(Inputs!$K$5:$AJ$110,0,MATCH(L$2,Inputs!$K$4:$AJ$4,0)))+SUMPRODUCT((Inputs!$C$5:$C$110=$B23)*Inputs!$D$5:$D$110*(((Inputs!$G$5:$G$110="moeda")+(Inputs!$G$5:$G$110="acoes"))*Inputs!$B$1+((Inputs!$G$5:$G$110&lt;&gt;"moeda")*(Inputs!$G$5:$G$110&lt;&gt;"acoes")))*INDEX(Inputs!$K$5:$AJ$110,0,MATCH(L$2,Inputs!$K$4:$AJ$4,0)))+SUMPRODUCT((Inputs!$E$5:$E$110=$B23)*Inputs!$F$5:$F$110*(((Inputs!$G$5:$G$110="moeda")+(Inputs!$G$5:$G$110="acoes"))*Inputs!$B$1+((Inputs!$G$5:$G$110&lt;&gt;"moeda")*(Inputs!$G$5:$G$110&lt;&gt;"acoes")))*INDEX(Inputs!$K$5:$AJ$110,0,MATCH(L$2,Inputs!$K$4:$AJ$4,0)))))</f>
        <v>14381</v>
      </c>
      <c r="M23" s="3">
        <f>L23</f>
        <v>14381</v>
      </c>
      <c r="N23" s="6">
        <f>IF(ISNA(MATCH(N$2,Inputs!$K$4:$AJ$4,0)),NA(),IF(SUMPRODUCT((Inputs!$A$5:$A$110=$B23)*ISNUMBER(INDEX(Inputs!$K$5:$AJ$110,0,MATCH(N$2,Inputs!$K$4:$AJ$4,0))))+SUMPRODUCT((Inputs!$C$5:$C$110=$B23)*ISNUMBER(INDEX(Inputs!$K$5:$AJ$110,0,MATCH(N$2,Inputs!$K$4:$AJ$4,0))))+SUMPRODUCT((Inputs!$E$5:$E$110=$B23)*ISNUMBER(INDEX(Inputs!$K$5:$AJ$110,0,MATCH(N$2,Inputs!$K$4:$AJ$4,0))))=0,NA(),SUMPRODUCT((Inputs!$A$5:$A$110=$B23)*Inputs!$B$5:$B$110*(((Inputs!$G$5:$G$110="moeda")+(Inputs!$G$5:$G$110="acoes"))*Inputs!$B$1+((Inputs!$G$5:$G$110&lt;&gt;"moeda")*(Inputs!$G$5:$G$110&lt;&gt;"acoes")))*INDEX(Inputs!$K$5:$AJ$110,0,MATCH(N$2,Inputs!$K$4:$AJ$4,0)))+SUMPRODUCT((Inputs!$C$5:$C$110=$B23)*Inputs!$D$5:$D$110*(((Inputs!$G$5:$G$110="moeda")+(Inputs!$G$5:$G$110="acoes"))*Inputs!$B$1+((Inputs!$G$5:$G$110&lt;&gt;"moeda")*(Inputs!$G$5:$G$110&lt;&gt;"acoes")))*INDEX(Inputs!$K$5:$AJ$110,0,MATCH(N$2,Inputs!$K$4:$AJ$4,0)))+SUMPRODUCT((Inputs!$E$5:$E$110=$B23)*Inputs!$F$5:$F$110*(((Inputs!$G$5:$G$110="moeda")+(Inputs!$G$5:$G$110="acoes"))*Inputs!$B$1+((Inputs!$G$5:$G$110&lt;&gt;"moeda")*(Inputs!$G$5:$G$110&lt;&gt;"acoes")))*INDEX(Inputs!$K$5:$AJ$110,0,MATCH(N$2,Inputs!$K$4:$AJ$4,0)))))</f>
        <v>14447</v>
      </c>
      <c r="O23" s="6">
        <f>IF(ISNA(MATCH(O$2,Inputs!$K$4:$AJ$4,0)),NA(),IF(SUMPRODUCT((Inputs!$A$5:$A$110=$B23)*ISNUMBER(INDEX(Inputs!$K$5:$AJ$110,0,MATCH(O$2,Inputs!$K$4:$AJ$4,0))))+SUMPRODUCT((Inputs!$C$5:$C$110=$B23)*ISNUMBER(INDEX(Inputs!$K$5:$AJ$110,0,MATCH(O$2,Inputs!$K$4:$AJ$4,0))))+SUMPRODUCT((Inputs!$E$5:$E$110=$B23)*ISNUMBER(INDEX(Inputs!$K$5:$AJ$110,0,MATCH(O$2,Inputs!$K$4:$AJ$4,0))))=0,NA(),SUMPRODUCT((Inputs!$A$5:$A$110=$B23)*Inputs!$B$5:$B$110*(((Inputs!$G$5:$G$110="moeda")+(Inputs!$G$5:$G$110="acoes"))*Inputs!$B$1+((Inputs!$G$5:$G$110&lt;&gt;"moeda")*(Inputs!$G$5:$G$110&lt;&gt;"acoes")))*INDEX(Inputs!$K$5:$AJ$110,0,MATCH(O$2,Inputs!$K$4:$AJ$4,0)))+SUMPRODUCT((Inputs!$C$5:$C$110=$B23)*Inputs!$D$5:$D$110*(((Inputs!$G$5:$G$110="moeda")+(Inputs!$G$5:$G$110="acoes"))*Inputs!$B$1+((Inputs!$G$5:$G$110&lt;&gt;"moeda")*(Inputs!$G$5:$G$110&lt;&gt;"acoes")))*INDEX(Inputs!$K$5:$AJ$110,0,MATCH(O$2,Inputs!$K$4:$AJ$4,0)))+SUMPRODUCT((Inputs!$E$5:$E$110=$B23)*Inputs!$F$5:$F$110*(((Inputs!$G$5:$G$110="moeda")+(Inputs!$G$5:$G$110="acoes"))*Inputs!$B$1+((Inputs!$G$5:$G$110&lt;&gt;"moeda")*(Inputs!$G$5:$G$110&lt;&gt;"acoes")))*INDEX(Inputs!$K$5:$AJ$110,0,MATCH(O$2,Inputs!$K$4:$AJ$4,0)))))</f>
        <v>14469</v>
      </c>
      <c r="P23" s="6">
        <f>IF(ISNA(MATCH(P$2,Inputs!$K$4:$AJ$4,0)),NA(),IF(SUMPRODUCT((Inputs!$A$5:$A$110=$B23)*ISNUMBER(INDEX(Inputs!$K$5:$AJ$110,0,MATCH(P$2,Inputs!$K$4:$AJ$4,0))))+SUMPRODUCT((Inputs!$C$5:$C$110=$B23)*ISNUMBER(INDEX(Inputs!$K$5:$AJ$110,0,MATCH(P$2,Inputs!$K$4:$AJ$4,0))))+SUMPRODUCT((Inputs!$E$5:$E$110=$B23)*ISNUMBER(INDEX(Inputs!$K$5:$AJ$110,0,MATCH(P$2,Inputs!$K$4:$AJ$4,0))))=0,NA(),SUMPRODUCT((Inputs!$A$5:$A$110=$B23)*Inputs!$B$5:$B$110*(((Inputs!$G$5:$G$110="moeda")+(Inputs!$G$5:$G$110="acoes"))*Inputs!$B$1+((Inputs!$G$5:$G$110&lt;&gt;"moeda")*(Inputs!$G$5:$G$110&lt;&gt;"acoes")))*INDEX(Inputs!$K$5:$AJ$110,0,MATCH(P$2,Inputs!$K$4:$AJ$4,0)))+SUMPRODUCT((Inputs!$C$5:$C$110=$B23)*Inputs!$D$5:$D$110*(((Inputs!$G$5:$G$110="moeda")+(Inputs!$G$5:$G$110="acoes"))*Inputs!$B$1+((Inputs!$G$5:$G$110&lt;&gt;"moeda")*(Inputs!$G$5:$G$110&lt;&gt;"acoes")))*INDEX(Inputs!$K$5:$AJ$110,0,MATCH(P$2,Inputs!$K$4:$AJ$4,0)))+SUMPRODUCT((Inputs!$E$5:$E$110=$B23)*Inputs!$F$5:$F$110*(((Inputs!$G$5:$G$110="moeda")+(Inputs!$G$5:$G$110="acoes"))*Inputs!$B$1+((Inputs!$G$5:$G$110&lt;&gt;"moeda")*(Inputs!$G$5:$G$110&lt;&gt;"acoes")))*INDEX(Inputs!$K$5:$AJ$110,0,MATCH(P$2,Inputs!$K$4:$AJ$4,0)))))</f>
        <v>14199</v>
      </c>
      <c r="Q23" s="6">
        <f>IF(ISNA(MATCH(Q$2,Inputs!$K$4:$AJ$4,0)),NA(),IF(SUMPRODUCT((Inputs!$A$5:$A$110=$B23)*ISNUMBER(INDEX(Inputs!$K$5:$AJ$110,0,MATCH(Q$2,Inputs!$K$4:$AJ$4,0))))+SUMPRODUCT((Inputs!$C$5:$C$110=$B23)*ISNUMBER(INDEX(Inputs!$K$5:$AJ$110,0,MATCH(Q$2,Inputs!$K$4:$AJ$4,0))))+SUMPRODUCT((Inputs!$E$5:$E$110=$B23)*ISNUMBER(INDEX(Inputs!$K$5:$AJ$110,0,MATCH(Q$2,Inputs!$K$4:$AJ$4,0))))=0,NA(),SUMPRODUCT((Inputs!$A$5:$A$110=$B23)*Inputs!$B$5:$B$110*(((Inputs!$G$5:$G$110="moeda")+(Inputs!$G$5:$G$110="acoes"))*Inputs!$B$1+((Inputs!$G$5:$G$110&lt;&gt;"moeda")*(Inputs!$G$5:$G$110&lt;&gt;"acoes")))*INDEX(Inputs!$K$5:$AJ$110,0,MATCH(Q$2,Inputs!$K$4:$AJ$4,0)))+SUMPRODUCT((Inputs!$C$5:$C$110=$B23)*Inputs!$D$5:$D$110*(((Inputs!$G$5:$G$110="moeda")+(Inputs!$G$5:$G$110="acoes"))*Inputs!$B$1+((Inputs!$G$5:$G$110&lt;&gt;"moeda")*(Inputs!$G$5:$G$110&lt;&gt;"acoes")))*INDEX(Inputs!$K$5:$AJ$110,0,MATCH(Q$2,Inputs!$K$4:$AJ$4,0)))+SUMPRODUCT((Inputs!$E$5:$E$110=$B23)*Inputs!$F$5:$F$110*(((Inputs!$G$5:$G$110="moeda")+(Inputs!$G$5:$G$110="acoes"))*Inputs!$B$1+((Inputs!$G$5:$G$110&lt;&gt;"moeda")*(Inputs!$G$5:$G$110&lt;&gt;"acoes")))*INDEX(Inputs!$K$5:$AJ$110,0,MATCH(Q$2,Inputs!$K$4:$AJ$4,0)))))</f>
        <v>14091</v>
      </c>
      <c r="R23" s="3">
        <f>Q23</f>
        <v>14091</v>
      </c>
      <c r="S23" s="6">
        <f>IF(ISNA(MATCH(S$2,Inputs!$K$4:$AJ$4,0)),NA(),IF(SUMPRODUCT((Inputs!$A$5:$A$110=$B23)*ISNUMBER(INDEX(Inputs!$K$5:$AJ$110,0,MATCH(S$2,Inputs!$K$4:$AJ$4,0))))+SUMPRODUCT((Inputs!$C$5:$C$110=$B23)*ISNUMBER(INDEX(Inputs!$K$5:$AJ$110,0,MATCH(S$2,Inputs!$K$4:$AJ$4,0))))+SUMPRODUCT((Inputs!$E$5:$E$110=$B23)*ISNUMBER(INDEX(Inputs!$K$5:$AJ$110,0,MATCH(S$2,Inputs!$K$4:$AJ$4,0))))=0,NA(),SUMPRODUCT((Inputs!$A$5:$A$110=$B23)*Inputs!$B$5:$B$110*(((Inputs!$G$5:$G$110="moeda")+(Inputs!$G$5:$G$110="acoes"))*Inputs!$B$1+((Inputs!$G$5:$G$110&lt;&gt;"moeda")*(Inputs!$G$5:$G$110&lt;&gt;"acoes")))*INDEX(Inputs!$K$5:$AJ$110,0,MATCH(S$2,Inputs!$K$4:$AJ$4,0)))+SUMPRODUCT((Inputs!$C$5:$C$110=$B23)*Inputs!$D$5:$D$110*(((Inputs!$G$5:$G$110="moeda")+(Inputs!$G$5:$G$110="acoes"))*Inputs!$B$1+((Inputs!$G$5:$G$110&lt;&gt;"moeda")*(Inputs!$G$5:$G$110&lt;&gt;"acoes")))*INDEX(Inputs!$K$5:$AJ$110,0,MATCH(S$2,Inputs!$K$4:$AJ$4,0)))+SUMPRODUCT((Inputs!$E$5:$E$110=$B23)*Inputs!$F$5:$F$110*(((Inputs!$G$5:$G$110="moeda")+(Inputs!$G$5:$G$110="acoes"))*Inputs!$B$1+((Inputs!$G$5:$G$110&lt;&gt;"moeda")*(Inputs!$G$5:$G$110&lt;&gt;"acoes")))*INDEX(Inputs!$K$5:$AJ$110,0,MATCH(S$2,Inputs!$K$4:$AJ$4,0)))))</f>
        <v>13768</v>
      </c>
      <c r="T23" s="6">
        <f>IF(ISNA(MATCH(T$2,Inputs!$K$4:$AJ$4,0)),NA(),IF(SUMPRODUCT((Inputs!$A$5:$A$110=$B23)*ISNUMBER(INDEX(Inputs!$K$5:$AJ$110,0,MATCH(T$2,Inputs!$K$4:$AJ$4,0))))+SUMPRODUCT((Inputs!$C$5:$C$110=$B23)*ISNUMBER(INDEX(Inputs!$K$5:$AJ$110,0,MATCH(T$2,Inputs!$K$4:$AJ$4,0))))+SUMPRODUCT((Inputs!$E$5:$E$110=$B23)*ISNUMBER(INDEX(Inputs!$K$5:$AJ$110,0,MATCH(T$2,Inputs!$K$4:$AJ$4,0))))=0,NA(),SUMPRODUCT((Inputs!$A$5:$A$110=$B23)*Inputs!$B$5:$B$110*(((Inputs!$G$5:$G$110="moeda")+(Inputs!$G$5:$G$110="acoes"))*Inputs!$B$1+((Inputs!$G$5:$G$110&lt;&gt;"moeda")*(Inputs!$G$5:$G$110&lt;&gt;"acoes")))*INDEX(Inputs!$K$5:$AJ$110,0,MATCH(T$2,Inputs!$K$4:$AJ$4,0)))+SUMPRODUCT((Inputs!$C$5:$C$110=$B23)*Inputs!$D$5:$D$110*(((Inputs!$G$5:$G$110="moeda")+(Inputs!$G$5:$G$110="acoes"))*Inputs!$B$1+((Inputs!$G$5:$G$110&lt;&gt;"moeda")*(Inputs!$G$5:$G$110&lt;&gt;"acoes")))*INDEX(Inputs!$K$5:$AJ$110,0,MATCH(T$2,Inputs!$K$4:$AJ$4,0)))+SUMPRODUCT((Inputs!$E$5:$E$110=$B23)*Inputs!$F$5:$F$110*(((Inputs!$G$5:$G$110="moeda")+(Inputs!$G$5:$G$110="acoes"))*Inputs!$B$1+((Inputs!$G$5:$G$110&lt;&gt;"moeda")*(Inputs!$G$5:$G$110&lt;&gt;"acoes")))*INDEX(Inputs!$K$5:$AJ$110,0,MATCH(T$2,Inputs!$K$4:$AJ$4,0)))))</f>
        <v>13606</v>
      </c>
      <c r="U23" s="6">
        <f>IF(ISNA(MATCH(U$2,Inputs!$K$4:$AJ$4,0)),NA(),IF(SUMPRODUCT((Inputs!$A$5:$A$110=$B23)*ISNUMBER(INDEX(Inputs!$K$5:$AJ$110,0,MATCH(U$2,Inputs!$K$4:$AJ$4,0))))+SUMPRODUCT((Inputs!$C$5:$C$110=$B23)*ISNUMBER(INDEX(Inputs!$K$5:$AJ$110,0,MATCH(U$2,Inputs!$K$4:$AJ$4,0))))+SUMPRODUCT((Inputs!$E$5:$E$110=$B23)*ISNUMBER(INDEX(Inputs!$K$5:$AJ$110,0,MATCH(U$2,Inputs!$K$4:$AJ$4,0))))=0,NA(),SUMPRODUCT((Inputs!$A$5:$A$110=$B23)*Inputs!$B$5:$B$110*(((Inputs!$G$5:$G$110="moeda")+(Inputs!$G$5:$G$110="acoes"))*Inputs!$B$1+((Inputs!$G$5:$G$110&lt;&gt;"moeda")*(Inputs!$G$5:$G$110&lt;&gt;"acoes")))*INDEX(Inputs!$K$5:$AJ$110,0,MATCH(U$2,Inputs!$K$4:$AJ$4,0)))+SUMPRODUCT((Inputs!$C$5:$C$110=$B23)*Inputs!$D$5:$D$110*(((Inputs!$G$5:$G$110="moeda")+(Inputs!$G$5:$G$110="acoes"))*Inputs!$B$1+((Inputs!$G$5:$G$110&lt;&gt;"moeda")*(Inputs!$G$5:$G$110&lt;&gt;"acoes")))*INDEX(Inputs!$K$5:$AJ$110,0,MATCH(U$2,Inputs!$K$4:$AJ$4,0)))+SUMPRODUCT((Inputs!$E$5:$E$110=$B23)*Inputs!$F$5:$F$110*(((Inputs!$G$5:$G$110="moeda")+(Inputs!$G$5:$G$110="acoes"))*Inputs!$B$1+((Inputs!$G$5:$G$110&lt;&gt;"moeda")*(Inputs!$G$5:$G$110&lt;&gt;"acoes")))*INDEX(Inputs!$K$5:$AJ$110,0,MATCH(U$2,Inputs!$K$4:$AJ$4,0)))))</f>
        <v>13561</v>
      </c>
      <c r="V23" s="6">
        <f>IF(ISNA(MATCH(V$2,Inputs!$K$4:$AJ$4,0)),NA(),IF(SUMPRODUCT((Inputs!$A$5:$A$110=$B23)*ISNUMBER(INDEX(Inputs!$K$5:$AJ$110,0,MATCH(V$2,Inputs!$K$4:$AJ$4,0))))+SUMPRODUCT((Inputs!$C$5:$C$110=$B23)*ISNUMBER(INDEX(Inputs!$K$5:$AJ$110,0,MATCH(V$2,Inputs!$K$4:$AJ$4,0))))+SUMPRODUCT((Inputs!$E$5:$E$110=$B23)*ISNUMBER(INDEX(Inputs!$K$5:$AJ$110,0,MATCH(V$2,Inputs!$K$4:$AJ$4,0))))=0,NA(),SUMPRODUCT((Inputs!$A$5:$A$110=$B23)*Inputs!$B$5:$B$110*(((Inputs!$G$5:$G$110="moeda")+(Inputs!$G$5:$G$110="acoes"))*Inputs!$B$1+((Inputs!$G$5:$G$110&lt;&gt;"moeda")*(Inputs!$G$5:$G$110&lt;&gt;"acoes")))*INDEX(Inputs!$K$5:$AJ$110,0,MATCH(V$2,Inputs!$K$4:$AJ$4,0)))+SUMPRODUCT((Inputs!$C$5:$C$110=$B23)*Inputs!$D$5:$D$110*(((Inputs!$G$5:$G$110="moeda")+(Inputs!$G$5:$G$110="acoes"))*Inputs!$B$1+((Inputs!$G$5:$G$110&lt;&gt;"moeda")*(Inputs!$G$5:$G$110&lt;&gt;"acoes")))*INDEX(Inputs!$K$5:$AJ$110,0,MATCH(V$2,Inputs!$K$4:$AJ$4,0)))+SUMPRODUCT((Inputs!$E$5:$E$110=$B23)*Inputs!$F$5:$F$110*(((Inputs!$G$5:$G$110="moeda")+(Inputs!$G$5:$G$110="acoes"))*Inputs!$B$1+((Inputs!$G$5:$G$110&lt;&gt;"moeda")*(Inputs!$G$5:$G$110&lt;&gt;"acoes")))*INDEX(Inputs!$K$5:$AJ$110,0,MATCH(V$2,Inputs!$K$4:$AJ$4,0)))))</f>
        <v>13588</v>
      </c>
      <c r="W23" s="3">
        <f>V23</f>
        <v>13588</v>
      </c>
      <c r="X23" s="6">
        <f>IF(ISNA(MATCH(X$2,Inputs!$K$4:$AJ$4,0)),NA(),IF(SUMPRODUCT((Inputs!$A$5:$A$110=$B23)*ISNUMBER(INDEX(Inputs!$K$5:$AJ$110,0,MATCH(X$2,Inputs!$K$4:$AJ$4,0))))+SUMPRODUCT((Inputs!$C$5:$C$110=$B23)*ISNUMBER(INDEX(Inputs!$K$5:$AJ$110,0,MATCH(X$2,Inputs!$K$4:$AJ$4,0))))+SUMPRODUCT((Inputs!$E$5:$E$110=$B23)*ISNUMBER(INDEX(Inputs!$K$5:$AJ$110,0,MATCH(X$2,Inputs!$K$4:$AJ$4,0))))=0,NA(),SUMPRODUCT((Inputs!$A$5:$A$110=$B23)*Inputs!$B$5:$B$110*(((Inputs!$G$5:$G$110="moeda")+(Inputs!$G$5:$G$110="acoes"))*Inputs!$B$1+((Inputs!$G$5:$G$110&lt;&gt;"moeda")*(Inputs!$G$5:$G$110&lt;&gt;"acoes")))*INDEX(Inputs!$K$5:$AJ$110,0,MATCH(X$2,Inputs!$K$4:$AJ$4,0)))+SUMPRODUCT((Inputs!$C$5:$C$110=$B23)*Inputs!$D$5:$D$110*(((Inputs!$G$5:$G$110="moeda")+(Inputs!$G$5:$G$110="acoes"))*Inputs!$B$1+((Inputs!$G$5:$G$110&lt;&gt;"moeda")*(Inputs!$G$5:$G$110&lt;&gt;"acoes")))*INDEX(Inputs!$K$5:$AJ$110,0,MATCH(X$2,Inputs!$K$4:$AJ$4,0)))+SUMPRODUCT((Inputs!$E$5:$E$110=$B23)*Inputs!$F$5:$F$110*(((Inputs!$G$5:$G$110="moeda")+(Inputs!$G$5:$G$110="acoes"))*Inputs!$B$1+((Inputs!$G$5:$G$110&lt;&gt;"moeda")*(Inputs!$G$5:$G$110&lt;&gt;"acoes")))*INDEX(Inputs!$K$5:$AJ$110,0,MATCH(X$2,Inputs!$K$4:$AJ$4,0)))))</f>
        <v>13722</v>
      </c>
      <c r="Y23" s="6">
        <f>IF(ISNA(MATCH(Y$2,Inputs!$K$4:$AJ$4,0)),NA(),IF(SUMPRODUCT((Inputs!$A$5:$A$110=$B23)*ISNUMBER(INDEX(Inputs!$K$5:$AJ$110,0,MATCH(Y$2,Inputs!$K$4:$AJ$4,0))))+SUMPRODUCT((Inputs!$C$5:$C$110=$B23)*ISNUMBER(INDEX(Inputs!$K$5:$AJ$110,0,MATCH(Y$2,Inputs!$K$4:$AJ$4,0))))+SUMPRODUCT((Inputs!$E$5:$E$110=$B23)*ISNUMBER(INDEX(Inputs!$K$5:$AJ$110,0,MATCH(Y$2,Inputs!$K$4:$AJ$4,0))))=0,NA(),SUMPRODUCT((Inputs!$A$5:$A$110=$B23)*Inputs!$B$5:$B$110*(((Inputs!$G$5:$G$110="moeda")+(Inputs!$G$5:$G$110="acoes"))*Inputs!$B$1+((Inputs!$G$5:$G$110&lt;&gt;"moeda")*(Inputs!$G$5:$G$110&lt;&gt;"acoes")))*INDEX(Inputs!$K$5:$AJ$110,0,MATCH(Y$2,Inputs!$K$4:$AJ$4,0)))+SUMPRODUCT((Inputs!$C$5:$C$110=$B23)*Inputs!$D$5:$D$110*(((Inputs!$G$5:$G$110="moeda")+(Inputs!$G$5:$G$110="acoes"))*Inputs!$B$1+((Inputs!$G$5:$G$110&lt;&gt;"moeda")*(Inputs!$G$5:$G$110&lt;&gt;"acoes")))*INDEX(Inputs!$K$5:$AJ$110,0,MATCH(Y$2,Inputs!$K$4:$AJ$4,0)))+SUMPRODUCT((Inputs!$E$5:$E$110=$B23)*Inputs!$F$5:$F$110*(((Inputs!$G$5:$G$110="moeda")+(Inputs!$G$5:$G$110="acoes"))*Inputs!$B$1+((Inputs!$G$5:$G$110&lt;&gt;"moeda")*(Inputs!$G$5:$G$110&lt;&gt;"acoes")))*INDEX(Inputs!$K$5:$AJ$110,0,MATCH(Y$2,Inputs!$K$4:$AJ$4,0)))))</f>
        <v>14255</v>
      </c>
      <c r="Z23" s="6">
        <f>IF(ISNA(MATCH(Z$2,Inputs!$K$4:$AJ$4,0)),NA(),IF(SUMPRODUCT((Inputs!$A$5:$A$110=$B23)*ISNUMBER(INDEX(Inputs!$K$5:$AJ$110,0,MATCH(Z$2,Inputs!$K$4:$AJ$4,0))))+SUMPRODUCT((Inputs!$C$5:$C$110=$B23)*ISNUMBER(INDEX(Inputs!$K$5:$AJ$110,0,MATCH(Z$2,Inputs!$K$4:$AJ$4,0))))+SUMPRODUCT((Inputs!$E$5:$E$110=$B23)*ISNUMBER(INDEX(Inputs!$K$5:$AJ$110,0,MATCH(Z$2,Inputs!$K$4:$AJ$4,0))))=0,NA(),SUMPRODUCT((Inputs!$A$5:$A$110=$B23)*Inputs!$B$5:$B$110*(((Inputs!$G$5:$G$110="moeda")+(Inputs!$G$5:$G$110="acoes"))*Inputs!$B$1+((Inputs!$G$5:$G$110&lt;&gt;"moeda")*(Inputs!$G$5:$G$110&lt;&gt;"acoes")))*INDEX(Inputs!$K$5:$AJ$110,0,MATCH(Z$2,Inputs!$K$4:$AJ$4,0)))+SUMPRODUCT((Inputs!$C$5:$C$110=$B23)*Inputs!$D$5:$D$110*(((Inputs!$G$5:$G$110="moeda")+(Inputs!$G$5:$G$110="acoes"))*Inputs!$B$1+((Inputs!$G$5:$G$110&lt;&gt;"moeda")*(Inputs!$G$5:$G$110&lt;&gt;"acoes")))*INDEX(Inputs!$K$5:$AJ$110,0,MATCH(Z$2,Inputs!$K$4:$AJ$4,0)))+SUMPRODUCT((Inputs!$E$5:$E$110=$B23)*Inputs!$F$5:$F$110*(((Inputs!$G$5:$G$110="moeda")+(Inputs!$G$5:$G$110="acoes"))*Inputs!$B$1+((Inputs!$G$5:$G$110&lt;&gt;"moeda")*(Inputs!$G$5:$G$110&lt;&gt;"acoes")))*INDEX(Inputs!$K$5:$AJ$110,0,MATCH(Z$2,Inputs!$K$4:$AJ$4,0)))))</f>
        <v>14524</v>
      </c>
      <c r="AA23" s="6">
        <f>IF(ISNA(MATCH(AA$2,Inputs!$K$4:$AJ$4,0)),NA(),IF(SUMPRODUCT((Inputs!$A$5:$A$110=$B23)*ISNUMBER(INDEX(Inputs!$K$5:$AJ$110,0,MATCH(AA$2,Inputs!$K$4:$AJ$4,0))))+SUMPRODUCT((Inputs!$C$5:$C$110=$B23)*ISNUMBER(INDEX(Inputs!$K$5:$AJ$110,0,MATCH(AA$2,Inputs!$K$4:$AJ$4,0))))+SUMPRODUCT((Inputs!$E$5:$E$110=$B23)*ISNUMBER(INDEX(Inputs!$K$5:$AJ$110,0,MATCH(AA$2,Inputs!$K$4:$AJ$4,0))))=0,NA(),SUMPRODUCT((Inputs!$A$5:$A$110=$B23)*Inputs!$B$5:$B$110*(((Inputs!$G$5:$G$110="moeda")+(Inputs!$G$5:$G$110="acoes"))*Inputs!$B$1+((Inputs!$G$5:$G$110&lt;&gt;"moeda")*(Inputs!$G$5:$G$110&lt;&gt;"acoes")))*INDEX(Inputs!$K$5:$AJ$110,0,MATCH(AA$2,Inputs!$K$4:$AJ$4,0)))+SUMPRODUCT((Inputs!$C$5:$C$110=$B23)*Inputs!$D$5:$D$110*(((Inputs!$G$5:$G$110="moeda")+(Inputs!$G$5:$G$110="acoes"))*Inputs!$B$1+((Inputs!$G$5:$G$110&lt;&gt;"moeda")*(Inputs!$G$5:$G$110&lt;&gt;"acoes")))*INDEX(Inputs!$K$5:$AJ$110,0,MATCH(AA$2,Inputs!$K$4:$AJ$4,0)))+SUMPRODUCT((Inputs!$E$5:$E$110=$B23)*Inputs!$F$5:$F$110*(((Inputs!$G$5:$G$110="moeda")+(Inputs!$G$5:$G$110="acoes"))*Inputs!$B$1+((Inputs!$G$5:$G$110&lt;&gt;"moeda")*(Inputs!$G$5:$G$110&lt;&gt;"acoes")))*INDEX(Inputs!$K$5:$AJ$110,0,MATCH(AA$2,Inputs!$K$4:$AJ$4,0)))))</f>
        <v>15221</v>
      </c>
      <c r="AB23" s="3">
        <f>AA23</f>
        <v>15221</v>
      </c>
      <c r="AC23" s="6">
        <f>IF(ISNA(MATCH(AC$2,Inputs!$K$4:$AJ$4,0)),NA(),IF(SUMPRODUCT((Inputs!$A$5:$A$110=$B23)*ISNUMBER(INDEX(Inputs!$K$5:$AJ$110,0,MATCH(AC$2,Inputs!$K$4:$AJ$4,0))))+SUMPRODUCT((Inputs!$C$5:$C$110=$B23)*ISNUMBER(INDEX(Inputs!$K$5:$AJ$110,0,MATCH(AC$2,Inputs!$K$4:$AJ$4,0))))+SUMPRODUCT((Inputs!$E$5:$E$110=$B23)*ISNUMBER(INDEX(Inputs!$K$5:$AJ$110,0,MATCH(AC$2,Inputs!$K$4:$AJ$4,0))))=0,NA(),SUMPRODUCT((Inputs!$A$5:$A$110=$B23)*Inputs!$B$5:$B$110*(((Inputs!$G$5:$G$110="moeda")+(Inputs!$G$5:$G$110="acoes"))*Inputs!$B$1+((Inputs!$G$5:$G$110&lt;&gt;"moeda")*(Inputs!$G$5:$G$110&lt;&gt;"acoes")))*INDEX(Inputs!$K$5:$AJ$110,0,MATCH(AC$2,Inputs!$K$4:$AJ$4,0)))+SUMPRODUCT((Inputs!$C$5:$C$110=$B23)*Inputs!$D$5:$D$110*(((Inputs!$G$5:$G$110="moeda")+(Inputs!$G$5:$G$110="acoes"))*Inputs!$B$1+((Inputs!$G$5:$G$110&lt;&gt;"moeda")*(Inputs!$G$5:$G$110&lt;&gt;"acoes")))*INDEX(Inputs!$K$5:$AJ$110,0,MATCH(AC$2,Inputs!$K$4:$AJ$4,0)))+SUMPRODUCT((Inputs!$E$5:$E$110=$B23)*Inputs!$F$5:$F$110*(((Inputs!$G$5:$G$110="moeda")+(Inputs!$G$5:$G$110="acoes"))*Inputs!$B$1+((Inputs!$G$5:$G$110&lt;&gt;"moeda")*(Inputs!$G$5:$G$110&lt;&gt;"acoes")))*INDEX(Inputs!$K$5:$AJ$110,0,MATCH(AC$2,Inputs!$K$4:$AJ$4,0)))))</f>
        <v>15509</v>
      </c>
      <c r="AD23" s="6">
        <f>IF(ISNA(MATCH(AD$2,Inputs!$K$4:$AJ$4,0)),NA(),IF(SUMPRODUCT((Inputs!$A$5:$A$110=$B23)*ISNUMBER(INDEX(Inputs!$K$5:$AJ$110,0,MATCH(AD$2,Inputs!$K$4:$AJ$4,0))))+SUMPRODUCT((Inputs!$C$5:$C$110=$B23)*ISNUMBER(INDEX(Inputs!$K$5:$AJ$110,0,MATCH(AD$2,Inputs!$K$4:$AJ$4,0))))+SUMPRODUCT((Inputs!$E$5:$E$110=$B23)*ISNUMBER(INDEX(Inputs!$K$5:$AJ$110,0,MATCH(AD$2,Inputs!$K$4:$AJ$4,0))))=0,NA(),SUMPRODUCT((Inputs!$A$5:$A$110=$B23)*Inputs!$B$5:$B$110*(((Inputs!$G$5:$G$110="moeda")+(Inputs!$G$5:$G$110="acoes"))*Inputs!$B$1+((Inputs!$G$5:$G$110&lt;&gt;"moeda")*(Inputs!$G$5:$G$110&lt;&gt;"acoes")))*INDEX(Inputs!$K$5:$AJ$110,0,MATCH(AD$2,Inputs!$K$4:$AJ$4,0)))+SUMPRODUCT((Inputs!$C$5:$C$110=$B23)*Inputs!$D$5:$D$110*(((Inputs!$G$5:$G$110="moeda")+(Inputs!$G$5:$G$110="acoes"))*Inputs!$B$1+((Inputs!$G$5:$G$110&lt;&gt;"moeda")*(Inputs!$G$5:$G$110&lt;&gt;"acoes")))*INDEX(Inputs!$K$5:$AJ$110,0,MATCH(AD$2,Inputs!$K$4:$AJ$4,0)))+SUMPRODUCT((Inputs!$E$5:$E$110=$B23)*Inputs!$F$5:$F$110*(((Inputs!$G$5:$G$110="moeda")+(Inputs!$G$5:$G$110="acoes"))*Inputs!$B$1+((Inputs!$G$5:$G$110&lt;&gt;"moeda")*(Inputs!$G$5:$G$110&lt;&gt;"acoes")))*INDEX(Inputs!$K$5:$AJ$110,0,MATCH(AD$2,Inputs!$K$4:$AJ$4,0)))))</f>
        <v>17694</v>
      </c>
      <c r="AE23" s="6" t="e">
        <f>IF(ISNA(MATCH(AE$2,Inputs!$K$4:$AJ$4,0)),NA(),IF(SUMPRODUCT((Inputs!$A$5:$A$110=$B23)*ISNUMBER(INDEX(Inputs!$K$5:$AJ$110,0,MATCH(AE$2,Inputs!$K$4:$AJ$4,0))))+SUMPRODUCT((Inputs!$C$5:$C$110=$B23)*ISNUMBER(INDEX(Inputs!$K$5:$AJ$110,0,MATCH(AE$2,Inputs!$K$4:$AJ$4,0))))+SUMPRODUCT((Inputs!$E$5:$E$110=$B23)*ISNUMBER(INDEX(Inputs!$K$5:$AJ$110,0,MATCH(AE$2,Inputs!$K$4:$AJ$4,0))))=0,NA(),SUMPRODUCT((Inputs!$A$5:$A$110=$B23)*Inputs!$B$5:$B$110*(((Inputs!$G$5:$G$110="moeda")+(Inputs!$G$5:$G$110="acoes"))*Inputs!$B$1+((Inputs!$G$5:$G$110&lt;&gt;"moeda")*(Inputs!$G$5:$G$110&lt;&gt;"acoes")))*INDEX(Inputs!$K$5:$AJ$110,0,MATCH(AE$2,Inputs!$K$4:$AJ$4,0)))+SUMPRODUCT((Inputs!$C$5:$C$110=$B23)*Inputs!$D$5:$D$110*(((Inputs!$G$5:$G$110="moeda")+(Inputs!$G$5:$G$110="acoes"))*Inputs!$B$1+((Inputs!$G$5:$G$110&lt;&gt;"moeda")*(Inputs!$G$5:$G$110&lt;&gt;"acoes")))*INDEX(Inputs!$K$5:$AJ$110,0,MATCH(AE$2,Inputs!$K$4:$AJ$4,0)))+SUMPRODUCT((Inputs!$E$5:$E$110=$B23)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3" s="6" t="e">
        <f>IF(ISNA(MATCH(AF$2,Inputs!$K$4:$AJ$4,0)),NA(),IF(SUMPRODUCT((Inputs!$A$5:$A$110=$B23)*ISNUMBER(INDEX(Inputs!$K$5:$AJ$110,0,MATCH(AF$2,Inputs!$K$4:$AJ$4,0))))+SUMPRODUCT((Inputs!$C$5:$C$110=$B23)*ISNUMBER(INDEX(Inputs!$K$5:$AJ$110,0,MATCH(AF$2,Inputs!$K$4:$AJ$4,0))))+SUMPRODUCT((Inputs!$E$5:$E$110=$B23)*ISNUMBER(INDEX(Inputs!$K$5:$AJ$110,0,MATCH(AF$2,Inputs!$K$4:$AJ$4,0))))=0,NA(),SUMPRODUCT((Inputs!$A$5:$A$110=$B23)*Inputs!$B$5:$B$110*(((Inputs!$G$5:$G$110="moeda")+(Inputs!$G$5:$G$110="acoes"))*Inputs!$B$1+((Inputs!$G$5:$G$110&lt;&gt;"moeda")*(Inputs!$G$5:$G$110&lt;&gt;"acoes")))*INDEX(Inputs!$K$5:$AJ$110,0,MATCH(AF$2,Inputs!$K$4:$AJ$4,0)))+SUMPRODUCT((Inputs!$C$5:$C$110=$B23)*Inputs!$D$5:$D$110*(((Inputs!$G$5:$G$110="moeda")+(Inputs!$G$5:$G$110="acoes"))*Inputs!$B$1+((Inputs!$G$5:$G$110&lt;&gt;"moeda")*(Inputs!$G$5:$G$110&lt;&gt;"acoes")))*INDEX(Inputs!$K$5:$AJ$110,0,MATCH(AF$2,Inputs!$K$4:$AJ$4,0)))+SUMPRODUCT((Inputs!$E$5:$E$110=$B23)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3" s="3" t="e">
        <f>AF23</f>
        <v>#N/A</v>
      </c>
      <c r="AH23" s="6">
        <f>IF(ISNA(MATCH(AH$2,Inputs!$K$4:$AJ$4,0)),NA(),IF(SUMPRODUCT((Inputs!$A$5:$A$110=$B23)*ISNUMBER(INDEX(Inputs!$K$5:$AJ$110,0,MATCH(AH$2,Inputs!$K$4:$AJ$4,0))))+SUMPRODUCT((Inputs!$C$5:$C$110=$B23)*ISNUMBER(INDEX(Inputs!$K$5:$AJ$110,0,MATCH(AH$2,Inputs!$K$4:$AJ$4,0))))+SUMPRODUCT((Inputs!$E$5:$E$110=$B23)*ISNUMBER(INDEX(Inputs!$K$5:$AJ$110,0,MATCH(AH$2,Inputs!$K$4:$AJ$4,0))))=0,NA(),SUMPRODUCT((Inputs!$A$5:$A$110=$B23)*Inputs!$B$5:$B$110*(((Inputs!$G$5:$G$110="moeda")+(Inputs!$G$5:$G$110="acoes"))*Inputs!$B$1+((Inputs!$G$5:$G$110&lt;&gt;"moeda")*(Inputs!$G$5:$G$110&lt;&gt;"acoes")))*INDEX(Inputs!$K$5:$AJ$110,0,MATCH(AH$2,Inputs!$K$4:$AJ$4,0)))+SUMPRODUCT((Inputs!$C$5:$C$110=$B23)*Inputs!$D$5:$D$110*(((Inputs!$G$5:$G$110="moeda")+(Inputs!$G$5:$G$110="acoes"))*Inputs!$B$1+((Inputs!$G$5:$G$110&lt;&gt;"moeda")*(Inputs!$G$5:$G$110&lt;&gt;"acoes")))*INDEX(Inputs!$K$5:$AJ$110,0,MATCH(AH$2,Inputs!$K$4:$AJ$4,0)))+SUMPRODUCT((Inputs!$E$5:$E$110=$B23)*Inputs!$F$5:$F$110*(((Inputs!$G$5:$G$110="moeda")+(Inputs!$G$5:$G$110="acoes"))*Inputs!$B$1+((Inputs!$G$5:$G$110&lt;&gt;"moeda")*(Inputs!$G$5:$G$110&lt;&gt;"acoes")))*INDEX(Inputs!$K$5:$AJ$110,0,MATCH(AH$2,Inputs!$K$4:$AJ$4,0)))))</f>
        <v>11219</v>
      </c>
      <c r="AI23" s="6">
        <f>IF(ISNA(MATCH(AI$2,Inputs!$K$4:$AJ$4,0)),NA(),IF(SUMPRODUCT((Inputs!$A$5:$A$110=$B23)*ISNUMBER(INDEX(Inputs!$K$5:$AJ$110,0,MATCH(AI$2,Inputs!$K$4:$AJ$4,0))))+SUMPRODUCT((Inputs!$C$5:$C$110=$B23)*ISNUMBER(INDEX(Inputs!$K$5:$AJ$110,0,MATCH(AI$2,Inputs!$K$4:$AJ$4,0))))+SUMPRODUCT((Inputs!$E$5:$E$110=$B23)*ISNUMBER(INDEX(Inputs!$K$5:$AJ$110,0,MATCH(AI$2,Inputs!$K$4:$AJ$4,0))))=0,NA(),SUMPRODUCT((Inputs!$A$5:$A$110=$B23)*Inputs!$B$5:$B$110*(((Inputs!$G$5:$G$110="moeda")+(Inputs!$G$5:$G$110="acoes"))*Inputs!$B$1+((Inputs!$G$5:$G$110&lt;&gt;"moeda")*(Inputs!$G$5:$G$110&lt;&gt;"acoes")))*INDEX(Inputs!$K$5:$AJ$110,0,MATCH(AI$2,Inputs!$K$4:$AJ$4,0)))+SUMPRODUCT((Inputs!$C$5:$C$110=$B23)*Inputs!$D$5:$D$110*(((Inputs!$G$5:$G$110="moeda")+(Inputs!$G$5:$G$110="acoes"))*Inputs!$B$1+((Inputs!$G$5:$G$110&lt;&gt;"moeda")*(Inputs!$G$5:$G$110&lt;&gt;"acoes")))*INDEX(Inputs!$K$5:$AJ$110,0,MATCH(AI$2,Inputs!$K$4:$AJ$4,0)))+SUMPRODUCT((Inputs!$E$5:$E$110=$B23)*Inputs!$F$5:$F$110*(((Inputs!$G$5:$G$110="moeda")+(Inputs!$G$5:$G$110="acoes"))*Inputs!$B$1+((Inputs!$G$5:$G$110&lt;&gt;"moeda")*(Inputs!$G$5:$G$110&lt;&gt;"acoes")))*INDEX(Inputs!$K$5:$AJ$110,0,MATCH(AI$2,Inputs!$K$4:$AJ$4,0)))))</f>
        <v>11567</v>
      </c>
      <c r="AJ23" s="6">
        <f>IF(ISNA(MATCH(AJ$2,Inputs!$K$4:$AJ$4,0)),NA(),IF(SUMPRODUCT((Inputs!$A$5:$A$110=$B23)*ISNUMBER(INDEX(Inputs!$K$5:$AJ$110,0,MATCH(AJ$2,Inputs!$K$4:$AJ$4,0))))+SUMPRODUCT((Inputs!$C$5:$C$110=$B23)*ISNUMBER(INDEX(Inputs!$K$5:$AJ$110,0,MATCH(AJ$2,Inputs!$K$4:$AJ$4,0))))+SUMPRODUCT((Inputs!$E$5:$E$110=$B23)*ISNUMBER(INDEX(Inputs!$K$5:$AJ$110,0,MATCH(AJ$2,Inputs!$K$4:$AJ$4,0))))=0,NA(),SUMPRODUCT((Inputs!$A$5:$A$110=$B23)*Inputs!$B$5:$B$110*(((Inputs!$G$5:$G$110="moeda")+(Inputs!$G$5:$G$110="acoes"))*Inputs!$B$1+((Inputs!$G$5:$G$110&lt;&gt;"moeda")*(Inputs!$G$5:$G$110&lt;&gt;"acoes")))*INDEX(Inputs!$K$5:$AJ$110,0,MATCH(AJ$2,Inputs!$K$4:$AJ$4,0)))+SUMPRODUCT((Inputs!$C$5:$C$110=$B23)*Inputs!$D$5:$D$110*(((Inputs!$G$5:$G$110="moeda")+(Inputs!$G$5:$G$110="acoes"))*Inputs!$B$1+((Inputs!$G$5:$G$110&lt;&gt;"moeda")*(Inputs!$G$5:$G$110&lt;&gt;"acoes")))*INDEX(Inputs!$K$5:$AJ$110,0,MATCH(AJ$2,Inputs!$K$4:$AJ$4,0)))+SUMPRODUCT((Inputs!$E$5:$E$110=$B23)*Inputs!$F$5:$F$110*(((Inputs!$G$5:$G$110="moeda")+(Inputs!$G$5:$G$110="acoes"))*Inputs!$B$1+((Inputs!$G$5:$G$110&lt;&gt;"moeda")*(Inputs!$G$5:$G$110&lt;&gt;"acoes")))*INDEX(Inputs!$K$5:$AJ$110,0,MATCH(AJ$2,Inputs!$K$4:$AJ$4,0)))))</f>
        <v>11946</v>
      </c>
      <c r="AK23" s="6">
        <f>IF(ISNA(MATCH(AK$2,Inputs!$K$4:$AJ$4,0)),NA(),IF(SUMPRODUCT((Inputs!$A$5:$A$110=$B23)*ISNUMBER(INDEX(Inputs!$K$5:$AJ$110,0,MATCH(AK$2,Inputs!$K$4:$AJ$4,0))))+SUMPRODUCT((Inputs!$C$5:$C$110=$B23)*ISNUMBER(INDEX(Inputs!$K$5:$AJ$110,0,MATCH(AK$2,Inputs!$K$4:$AJ$4,0))))+SUMPRODUCT((Inputs!$E$5:$E$110=$B23)*ISNUMBER(INDEX(Inputs!$K$5:$AJ$110,0,MATCH(AK$2,Inputs!$K$4:$AJ$4,0))))=0,NA(),SUMPRODUCT((Inputs!$A$5:$A$110=$B23)*Inputs!$B$5:$B$110*(((Inputs!$G$5:$G$110="moeda")+(Inputs!$G$5:$G$110="acoes"))*Inputs!$B$1+((Inputs!$G$5:$G$110&lt;&gt;"moeda")*(Inputs!$G$5:$G$110&lt;&gt;"acoes")))*INDEX(Inputs!$K$5:$AJ$110,0,MATCH(AK$2,Inputs!$K$4:$AJ$4,0)))+SUMPRODUCT((Inputs!$C$5:$C$110=$B23)*Inputs!$D$5:$D$110*(((Inputs!$G$5:$G$110="moeda")+(Inputs!$G$5:$G$110="acoes"))*Inputs!$B$1+((Inputs!$G$5:$G$110&lt;&gt;"moeda")*(Inputs!$G$5:$G$110&lt;&gt;"acoes")))*INDEX(Inputs!$K$5:$AJ$110,0,MATCH(AK$2,Inputs!$K$4:$AJ$4,0)))+SUMPRODUCT((Inputs!$E$5:$E$110=$B23)*Inputs!$F$5:$F$110*(((Inputs!$G$5:$G$110="moeda")+(Inputs!$G$5:$G$110="acoes"))*Inputs!$B$1+((Inputs!$G$5:$G$110&lt;&gt;"moeda")*(Inputs!$G$5:$G$110&lt;&gt;"acoes")))*INDEX(Inputs!$K$5:$AJ$110,0,MATCH(AK$2,Inputs!$K$4:$AJ$4,0)))))</f>
        <v>12211</v>
      </c>
      <c r="AL23" s="3">
        <f>AK23</f>
        <v>12211</v>
      </c>
    </row>
    <row r="24">
      <c r="B24" s="46" t="n">
        <v>20</v>
      </c>
      <c r="C24" s="26" t="inlineStr">
        <is>
          <t>Goodwill</t>
        </is>
      </c>
      <c r="D24" s="6">
        <f>IF(ISNA(MATCH(D$2,Inputs!$K$4:$AJ$4,0)),NA(),IF(SUMPRODUCT((Inputs!$A$5:$A$110=$B24)*ISNUMBER(INDEX(Inputs!$K$5:$AJ$110,0,MATCH(D$2,Inputs!$K$4:$AJ$4,0))))+SUMPRODUCT((Inputs!$C$5:$C$110=$B24)*ISNUMBER(INDEX(Inputs!$K$5:$AJ$110,0,MATCH(D$2,Inputs!$K$4:$AJ$4,0))))+SUMPRODUCT((Inputs!$E$5:$E$110=$B24)*ISNUMBER(INDEX(Inputs!$K$5:$AJ$110,0,MATCH(D$2,Inputs!$K$4:$AJ$4,0))))=0,NA(),SUMPRODUCT((Inputs!$A$5:$A$110=$B24)*Inputs!$B$5:$B$110*(((Inputs!$G$5:$G$110="moeda")+(Inputs!$G$5:$G$110="acoes"))*Inputs!$B$1+((Inputs!$G$5:$G$110&lt;&gt;"moeda")*(Inputs!$G$5:$G$110&lt;&gt;"acoes")))*INDEX(Inputs!$K$5:$AJ$110,0,MATCH(D$2,Inputs!$K$4:$AJ$4,0)))+SUMPRODUCT((Inputs!$C$5:$C$110=$B24)*Inputs!$D$5:$D$110*(((Inputs!$G$5:$G$110="moeda")+(Inputs!$G$5:$G$110="acoes"))*Inputs!$B$1+((Inputs!$G$5:$G$110&lt;&gt;"moeda")*(Inputs!$G$5:$G$110&lt;&gt;"acoes")))*INDEX(Inputs!$K$5:$AJ$110,0,MATCH(D$2,Inputs!$K$4:$AJ$4,0)))+SUMPRODUCT((Inputs!$E$5:$E$110=$B24)*Inputs!$F$5:$F$110*(((Inputs!$G$5:$G$110="moeda")+(Inputs!$G$5:$G$110="acoes"))*Inputs!$B$1+((Inputs!$G$5:$G$110&lt;&gt;"moeda")*(Inputs!$G$5:$G$110&lt;&gt;"acoes")))*INDEX(Inputs!$K$5:$AJ$110,0,MATCH(D$2,Inputs!$K$4:$AJ$4,0)))))</f>
        <v>22341</v>
      </c>
      <c r="E24" s="6">
        <f>IF(ISNA(MATCH(E$2,Inputs!$K$4:$AJ$4,0)),NA(),IF(SUMPRODUCT((Inputs!$A$5:$A$110=$B24)*ISNUMBER(INDEX(Inputs!$K$5:$AJ$110,0,MATCH(E$2,Inputs!$K$4:$AJ$4,0))))+SUMPRODUCT((Inputs!$C$5:$C$110=$B24)*ISNUMBER(INDEX(Inputs!$K$5:$AJ$110,0,MATCH(E$2,Inputs!$K$4:$AJ$4,0))))+SUMPRODUCT((Inputs!$E$5:$E$110=$B24)*ISNUMBER(INDEX(Inputs!$K$5:$AJ$110,0,MATCH(E$2,Inputs!$K$4:$AJ$4,0))))=0,NA(),SUMPRODUCT((Inputs!$A$5:$A$110=$B24)*Inputs!$B$5:$B$110*(((Inputs!$G$5:$G$110="moeda")+(Inputs!$G$5:$G$110="acoes"))*Inputs!$B$1+((Inputs!$G$5:$G$110&lt;&gt;"moeda")*(Inputs!$G$5:$G$110&lt;&gt;"acoes")))*INDEX(Inputs!$K$5:$AJ$110,0,MATCH(E$2,Inputs!$K$4:$AJ$4,0)))+SUMPRODUCT((Inputs!$C$5:$C$110=$B24)*Inputs!$D$5:$D$110*(((Inputs!$G$5:$G$110="moeda")+(Inputs!$G$5:$G$110="acoes"))*Inputs!$B$1+((Inputs!$G$5:$G$110&lt;&gt;"moeda")*(Inputs!$G$5:$G$110&lt;&gt;"acoes")))*INDEX(Inputs!$K$5:$AJ$110,0,MATCH(E$2,Inputs!$K$4:$AJ$4,0)))+SUMPRODUCT((Inputs!$E$5:$E$110=$B24)*Inputs!$F$5:$F$110*(((Inputs!$G$5:$G$110="moeda")+(Inputs!$G$5:$G$110="acoes"))*Inputs!$B$1+((Inputs!$G$5:$G$110&lt;&gt;"moeda")*(Inputs!$G$5:$G$110&lt;&gt;"acoes")))*INDEX(Inputs!$K$5:$AJ$110,0,MATCH(E$2,Inputs!$K$4:$AJ$4,0)))))</f>
        <v>22406</v>
      </c>
      <c r="F24" s="6">
        <f>IF(ISNA(MATCH(F$2,Inputs!$K$4:$AJ$4,0)),NA(),IF(SUMPRODUCT((Inputs!$A$5:$A$110=$B24)*ISNUMBER(INDEX(Inputs!$K$5:$AJ$110,0,MATCH(F$2,Inputs!$K$4:$AJ$4,0))))+SUMPRODUCT((Inputs!$C$5:$C$110=$B24)*ISNUMBER(INDEX(Inputs!$K$5:$AJ$110,0,MATCH(F$2,Inputs!$K$4:$AJ$4,0))))+SUMPRODUCT((Inputs!$E$5:$E$110=$B24)*ISNUMBER(INDEX(Inputs!$K$5:$AJ$110,0,MATCH(F$2,Inputs!$K$4:$AJ$4,0))))=0,NA(),SUMPRODUCT((Inputs!$A$5:$A$110=$B24)*Inputs!$B$5:$B$110*(((Inputs!$G$5:$G$110="moeda")+(Inputs!$G$5:$G$110="acoes"))*Inputs!$B$1+((Inputs!$G$5:$G$110&lt;&gt;"moeda")*(Inputs!$G$5:$G$110&lt;&gt;"acoes")))*INDEX(Inputs!$K$5:$AJ$110,0,MATCH(F$2,Inputs!$K$4:$AJ$4,0)))+SUMPRODUCT((Inputs!$C$5:$C$110=$B24)*Inputs!$D$5:$D$110*(((Inputs!$G$5:$G$110="moeda")+(Inputs!$G$5:$G$110="acoes"))*Inputs!$B$1+((Inputs!$G$5:$G$110&lt;&gt;"moeda")*(Inputs!$G$5:$G$110&lt;&gt;"acoes")))*INDEX(Inputs!$K$5:$AJ$110,0,MATCH(F$2,Inputs!$K$4:$AJ$4,0)))+SUMPRODUCT((Inputs!$E$5:$E$110=$B24)*Inputs!$F$5:$F$110*(((Inputs!$G$5:$G$110="moeda")+(Inputs!$G$5:$G$110="acoes"))*Inputs!$B$1+((Inputs!$G$5:$G$110&lt;&gt;"moeda")*(Inputs!$G$5:$G$110&lt;&gt;"acoes")))*INDEX(Inputs!$K$5:$AJ$110,0,MATCH(F$2,Inputs!$K$4:$AJ$4,0)))))</f>
        <v>22623</v>
      </c>
      <c r="G24" s="6">
        <f>IF(ISNA(MATCH(G$2,Inputs!$K$4:$AJ$4,0)),NA(),IF(SUMPRODUCT((Inputs!$A$5:$A$110=$B24)*ISNUMBER(INDEX(Inputs!$K$5:$AJ$110,0,MATCH(G$2,Inputs!$K$4:$AJ$4,0))))+SUMPRODUCT((Inputs!$C$5:$C$110=$B24)*ISNUMBER(INDEX(Inputs!$K$5:$AJ$110,0,MATCH(G$2,Inputs!$K$4:$AJ$4,0))))+SUMPRODUCT((Inputs!$E$5:$E$110=$B24)*ISNUMBER(INDEX(Inputs!$K$5:$AJ$110,0,MATCH(G$2,Inputs!$K$4:$AJ$4,0))))=0,NA(),SUMPRODUCT((Inputs!$A$5:$A$110=$B24)*Inputs!$B$5:$B$110*(((Inputs!$G$5:$G$110="moeda")+(Inputs!$G$5:$G$110="acoes"))*Inputs!$B$1+((Inputs!$G$5:$G$110&lt;&gt;"moeda")*(Inputs!$G$5:$G$110&lt;&gt;"acoes")))*INDEX(Inputs!$K$5:$AJ$110,0,MATCH(G$2,Inputs!$K$4:$AJ$4,0)))+SUMPRODUCT((Inputs!$C$5:$C$110=$B24)*Inputs!$D$5:$D$110*(((Inputs!$G$5:$G$110="moeda")+(Inputs!$G$5:$G$110="acoes"))*Inputs!$B$1+((Inputs!$G$5:$G$110&lt;&gt;"moeda")*(Inputs!$G$5:$G$110&lt;&gt;"acoes")))*INDEX(Inputs!$K$5:$AJ$110,0,MATCH(G$2,Inputs!$K$4:$AJ$4,0)))+SUMPRODUCT((Inputs!$E$5:$E$110=$B24)*Inputs!$F$5:$F$110*(((Inputs!$G$5:$G$110="moeda")+(Inputs!$G$5:$G$110="acoes"))*Inputs!$B$1+((Inputs!$G$5:$G$110&lt;&gt;"moeda")*(Inputs!$G$5:$G$110&lt;&gt;"acoes")))*INDEX(Inputs!$K$5:$AJ$110,0,MATCH(G$2,Inputs!$K$4:$AJ$4,0)))))</f>
        <v>22956</v>
      </c>
      <c r="H24" s="3">
        <f>G24</f>
        <v>22956</v>
      </c>
      <c r="I24" s="6">
        <f>IF(ISNA(MATCH(I$2,Inputs!$K$4:$AJ$4,0)),NA(),IF(SUMPRODUCT((Inputs!$A$5:$A$110=$B24)*ISNUMBER(INDEX(Inputs!$K$5:$AJ$110,0,MATCH(I$2,Inputs!$K$4:$AJ$4,0))))+SUMPRODUCT((Inputs!$C$5:$C$110=$B24)*ISNUMBER(INDEX(Inputs!$K$5:$AJ$110,0,MATCH(I$2,Inputs!$K$4:$AJ$4,0))))+SUMPRODUCT((Inputs!$E$5:$E$110=$B24)*ISNUMBER(INDEX(Inputs!$K$5:$AJ$110,0,MATCH(I$2,Inputs!$K$4:$AJ$4,0))))=0,NA(),SUMPRODUCT((Inputs!$A$5:$A$110=$B24)*Inputs!$B$5:$B$110*(((Inputs!$G$5:$G$110="moeda")+(Inputs!$G$5:$G$110="acoes"))*Inputs!$B$1+((Inputs!$G$5:$G$110&lt;&gt;"moeda")*(Inputs!$G$5:$G$110&lt;&gt;"acoes")))*INDEX(Inputs!$K$5:$AJ$110,0,MATCH(I$2,Inputs!$K$4:$AJ$4,0)))+SUMPRODUCT((Inputs!$C$5:$C$110=$B24)*Inputs!$D$5:$D$110*(((Inputs!$G$5:$G$110="moeda")+(Inputs!$G$5:$G$110="acoes"))*Inputs!$B$1+((Inputs!$G$5:$G$110&lt;&gt;"moeda")*(Inputs!$G$5:$G$110&lt;&gt;"acoes")))*INDEX(Inputs!$K$5:$AJ$110,0,MATCH(I$2,Inputs!$K$4:$AJ$4,0)))+SUMPRODUCT((Inputs!$E$5:$E$110=$B24)*Inputs!$F$5:$F$110*(((Inputs!$G$5:$G$110="moeda")+(Inputs!$G$5:$G$110="acoes"))*Inputs!$B$1+((Inputs!$G$5:$G$110&lt;&gt;"moeda")*(Inputs!$G$5:$G$110&lt;&gt;"acoes")))*INDEX(Inputs!$K$5:$AJ$110,0,MATCH(I$2,Inputs!$K$4:$AJ$4,0)))))</f>
        <v>23010</v>
      </c>
      <c r="J24" s="6">
        <f>IF(ISNA(MATCH(J$2,Inputs!$K$4:$AJ$4,0)),NA(),IF(SUMPRODUCT((Inputs!$A$5:$A$110=$B24)*ISNUMBER(INDEX(Inputs!$K$5:$AJ$110,0,MATCH(J$2,Inputs!$K$4:$AJ$4,0))))+SUMPRODUCT((Inputs!$C$5:$C$110=$B24)*ISNUMBER(INDEX(Inputs!$K$5:$AJ$110,0,MATCH(J$2,Inputs!$K$4:$AJ$4,0))))+SUMPRODUCT((Inputs!$E$5:$E$110=$B24)*ISNUMBER(INDEX(Inputs!$K$5:$AJ$110,0,MATCH(J$2,Inputs!$K$4:$AJ$4,0))))=0,NA(),SUMPRODUCT((Inputs!$A$5:$A$110=$B24)*Inputs!$B$5:$B$110*(((Inputs!$G$5:$G$110="moeda")+(Inputs!$G$5:$G$110="acoes"))*Inputs!$B$1+((Inputs!$G$5:$G$110&lt;&gt;"moeda")*(Inputs!$G$5:$G$110&lt;&gt;"acoes")))*INDEX(Inputs!$K$5:$AJ$110,0,MATCH(J$2,Inputs!$K$4:$AJ$4,0)))+SUMPRODUCT((Inputs!$C$5:$C$110=$B24)*Inputs!$D$5:$D$110*(((Inputs!$G$5:$G$110="moeda")+(Inputs!$G$5:$G$110="acoes"))*Inputs!$B$1+((Inputs!$G$5:$G$110&lt;&gt;"moeda")*(Inputs!$G$5:$G$110&lt;&gt;"acoes")))*INDEX(Inputs!$K$5:$AJ$110,0,MATCH(J$2,Inputs!$K$4:$AJ$4,0)))+SUMPRODUCT((Inputs!$E$5:$E$110=$B24)*Inputs!$F$5:$F$110*(((Inputs!$G$5:$G$110="moeda")+(Inputs!$G$5:$G$110="acoes"))*Inputs!$B$1+((Inputs!$G$5:$G$110&lt;&gt;"moeda")*(Inputs!$G$5:$G$110&lt;&gt;"acoes")))*INDEX(Inputs!$K$5:$AJ$110,0,MATCH(J$2,Inputs!$K$4:$AJ$4,0)))))</f>
        <v>23949</v>
      </c>
      <c r="K24" s="6">
        <f>IF(ISNA(MATCH(K$2,Inputs!$K$4:$AJ$4,0)),NA(),IF(SUMPRODUCT((Inputs!$A$5:$A$110=$B24)*ISNUMBER(INDEX(Inputs!$K$5:$AJ$110,0,MATCH(K$2,Inputs!$K$4:$AJ$4,0))))+SUMPRODUCT((Inputs!$C$5:$C$110=$B24)*ISNUMBER(INDEX(Inputs!$K$5:$AJ$110,0,MATCH(K$2,Inputs!$K$4:$AJ$4,0))))+SUMPRODUCT((Inputs!$E$5:$E$110=$B24)*ISNUMBER(INDEX(Inputs!$K$5:$AJ$110,0,MATCH(K$2,Inputs!$K$4:$AJ$4,0))))=0,NA(),SUMPRODUCT((Inputs!$A$5:$A$110=$B24)*Inputs!$B$5:$B$110*(((Inputs!$G$5:$G$110="moeda")+(Inputs!$G$5:$G$110="acoes"))*Inputs!$B$1+((Inputs!$G$5:$G$110&lt;&gt;"moeda")*(Inputs!$G$5:$G$110&lt;&gt;"acoes")))*INDEX(Inputs!$K$5:$AJ$110,0,MATCH(K$2,Inputs!$K$4:$AJ$4,0)))+SUMPRODUCT((Inputs!$C$5:$C$110=$B24)*Inputs!$D$5:$D$110*(((Inputs!$G$5:$G$110="moeda")+(Inputs!$G$5:$G$110="acoes"))*Inputs!$B$1+((Inputs!$G$5:$G$110&lt;&gt;"moeda")*(Inputs!$G$5:$G$110&lt;&gt;"acoes")))*INDEX(Inputs!$K$5:$AJ$110,0,MATCH(K$2,Inputs!$K$4:$AJ$4,0)))+SUMPRODUCT((Inputs!$E$5:$E$110=$B24)*Inputs!$F$5:$F$110*(((Inputs!$G$5:$G$110="moeda")+(Inputs!$G$5:$G$110="acoes"))*Inputs!$B$1+((Inputs!$G$5:$G$110&lt;&gt;"moeda")*(Inputs!$G$5:$G$110&lt;&gt;"acoes")))*INDEX(Inputs!$K$5:$AJ$110,0,MATCH(K$2,Inputs!$K$4:$AJ$4,0)))))</f>
        <v>28834</v>
      </c>
      <c r="L24" s="6">
        <f>IF(ISNA(MATCH(L$2,Inputs!$K$4:$AJ$4,0)),NA(),IF(SUMPRODUCT((Inputs!$A$5:$A$110=$B24)*ISNUMBER(INDEX(Inputs!$K$5:$AJ$110,0,MATCH(L$2,Inputs!$K$4:$AJ$4,0))))+SUMPRODUCT((Inputs!$C$5:$C$110=$B24)*ISNUMBER(INDEX(Inputs!$K$5:$AJ$110,0,MATCH(L$2,Inputs!$K$4:$AJ$4,0))))+SUMPRODUCT((Inputs!$E$5:$E$110=$B24)*ISNUMBER(INDEX(Inputs!$K$5:$AJ$110,0,MATCH(L$2,Inputs!$K$4:$AJ$4,0))))=0,NA(),SUMPRODUCT((Inputs!$A$5:$A$110=$B24)*Inputs!$B$5:$B$110*(((Inputs!$G$5:$G$110="moeda")+(Inputs!$G$5:$G$110="acoes"))*Inputs!$B$1+((Inputs!$G$5:$G$110&lt;&gt;"moeda")*(Inputs!$G$5:$G$110&lt;&gt;"acoes")))*INDEX(Inputs!$K$5:$AJ$110,0,MATCH(L$2,Inputs!$K$4:$AJ$4,0)))+SUMPRODUCT((Inputs!$C$5:$C$110=$B24)*Inputs!$D$5:$D$110*(((Inputs!$G$5:$G$110="moeda")+(Inputs!$G$5:$G$110="acoes"))*Inputs!$B$1+((Inputs!$G$5:$G$110&lt;&gt;"moeda")*(Inputs!$G$5:$G$110&lt;&gt;"acoes")))*INDEX(Inputs!$K$5:$AJ$110,0,MATCH(L$2,Inputs!$K$4:$AJ$4,0)))+SUMPRODUCT((Inputs!$E$5:$E$110=$B24)*Inputs!$F$5:$F$110*(((Inputs!$G$5:$G$110="moeda")+(Inputs!$G$5:$G$110="acoes"))*Inputs!$B$1+((Inputs!$G$5:$G$110&lt;&gt;"moeda")*(Inputs!$G$5:$G$110&lt;&gt;"acoes")))*INDEX(Inputs!$K$5:$AJ$110,0,MATCH(L$2,Inputs!$K$4:$AJ$4,0)))))</f>
        <v>28960</v>
      </c>
      <c r="M24" s="3">
        <f>L24</f>
        <v>28960</v>
      </c>
      <c r="N24" s="6">
        <f>IF(ISNA(MATCH(N$2,Inputs!$K$4:$AJ$4,0)),NA(),IF(SUMPRODUCT((Inputs!$A$5:$A$110=$B24)*ISNUMBER(INDEX(Inputs!$K$5:$AJ$110,0,MATCH(N$2,Inputs!$K$4:$AJ$4,0))))+SUMPRODUCT((Inputs!$C$5:$C$110=$B24)*ISNUMBER(INDEX(Inputs!$K$5:$AJ$110,0,MATCH(N$2,Inputs!$K$4:$AJ$4,0))))+SUMPRODUCT((Inputs!$E$5:$E$110=$B24)*ISNUMBER(INDEX(Inputs!$K$5:$AJ$110,0,MATCH(N$2,Inputs!$K$4:$AJ$4,0))))=0,NA(),SUMPRODUCT((Inputs!$A$5:$A$110=$B24)*Inputs!$B$5:$B$110*(((Inputs!$G$5:$G$110="moeda")+(Inputs!$G$5:$G$110="acoes"))*Inputs!$B$1+((Inputs!$G$5:$G$110&lt;&gt;"moeda")*(Inputs!$G$5:$G$110&lt;&gt;"acoes")))*INDEX(Inputs!$K$5:$AJ$110,0,MATCH(N$2,Inputs!$K$4:$AJ$4,0)))+SUMPRODUCT((Inputs!$C$5:$C$110=$B24)*Inputs!$D$5:$D$110*(((Inputs!$G$5:$G$110="moeda")+(Inputs!$G$5:$G$110="acoes"))*Inputs!$B$1+((Inputs!$G$5:$G$110&lt;&gt;"moeda")*(Inputs!$G$5:$G$110&lt;&gt;"acoes")))*INDEX(Inputs!$K$5:$AJ$110,0,MATCH(N$2,Inputs!$K$4:$AJ$4,0)))+SUMPRODUCT((Inputs!$E$5:$E$110=$B24)*Inputs!$F$5:$F$110*(((Inputs!$G$5:$G$110="moeda")+(Inputs!$G$5:$G$110="acoes"))*Inputs!$B$1+((Inputs!$G$5:$G$110&lt;&gt;"moeda")*(Inputs!$G$5:$G$110&lt;&gt;"acoes")))*INDEX(Inputs!$K$5:$AJ$110,0,MATCH(N$2,Inputs!$K$4:$AJ$4,0)))))</f>
        <v>28994</v>
      </c>
      <c r="O24" s="6">
        <f>IF(ISNA(MATCH(O$2,Inputs!$K$4:$AJ$4,0)),NA(),IF(SUMPRODUCT((Inputs!$A$5:$A$110=$B24)*ISNUMBER(INDEX(Inputs!$K$5:$AJ$110,0,MATCH(O$2,Inputs!$K$4:$AJ$4,0))))+SUMPRODUCT((Inputs!$C$5:$C$110=$B24)*ISNUMBER(INDEX(Inputs!$K$5:$AJ$110,0,MATCH(O$2,Inputs!$K$4:$AJ$4,0))))+SUMPRODUCT((Inputs!$E$5:$E$110=$B24)*ISNUMBER(INDEX(Inputs!$K$5:$AJ$110,0,MATCH(O$2,Inputs!$K$4:$AJ$4,0))))=0,NA(),SUMPRODUCT((Inputs!$A$5:$A$110=$B24)*Inputs!$B$5:$B$110*(((Inputs!$G$5:$G$110="moeda")+(Inputs!$G$5:$G$110="acoes"))*Inputs!$B$1+((Inputs!$G$5:$G$110&lt;&gt;"moeda")*(Inputs!$G$5:$G$110&lt;&gt;"acoes")))*INDEX(Inputs!$K$5:$AJ$110,0,MATCH(O$2,Inputs!$K$4:$AJ$4,0)))+SUMPRODUCT((Inputs!$C$5:$C$110=$B24)*Inputs!$D$5:$D$110*(((Inputs!$G$5:$G$110="moeda")+(Inputs!$G$5:$G$110="acoes"))*Inputs!$B$1+((Inputs!$G$5:$G$110&lt;&gt;"moeda")*(Inputs!$G$5:$G$110&lt;&gt;"acoes")))*INDEX(Inputs!$K$5:$AJ$110,0,MATCH(O$2,Inputs!$K$4:$AJ$4,0)))+SUMPRODUCT((Inputs!$E$5:$E$110=$B24)*Inputs!$F$5:$F$110*(((Inputs!$G$5:$G$110="moeda")+(Inputs!$G$5:$G$110="acoes"))*Inputs!$B$1+((Inputs!$G$5:$G$110&lt;&gt;"moeda")*(Inputs!$G$5:$G$110&lt;&gt;"acoes")))*INDEX(Inputs!$K$5:$AJ$110,0,MATCH(O$2,Inputs!$K$4:$AJ$4,0)))))</f>
        <v>29210</v>
      </c>
      <c r="P24" s="6">
        <f>IF(ISNA(MATCH(P$2,Inputs!$K$4:$AJ$4,0)),NA(),IF(SUMPRODUCT((Inputs!$A$5:$A$110=$B24)*ISNUMBER(INDEX(Inputs!$K$5:$AJ$110,0,MATCH(P$2,Inputs!$K$4:$AJ$4,0))))+SUMPRODUCT((Inputs!$C$5:$C$110=$B24)*ISNUMBER(INDEX(Inputs!$K$5:$AJ$110,0,MATCH(P$2,Inputs!$K$4:$AJ$4,0))))+SUMPRODUCT((Inputs!$E$5:$E$110=$B24)*ISNUMBER(INDEX(Inputs!$K$5:$AJ$110,0,MATCH(P$2,Inputs!$K$4:$AJ$4,0))))=0,NA(),SUMPRODUCT((Inputs!$A$5:$A$110=$B24)*Inputs!$B$5:$B$110*(((Inputs!$G$5:$G$110="moeda")+(Inputs!$G$5:$G$110="acoes"))*Inputs!$B$1+((Inputs!$G$5:$G$110&lt;&gt;"moeda")*(Inputs!$G$5:$G$110&lt;&gt;"acoes")))*INDEX(Inputs!$K$5:$AJ$110,0,MATCH(P$2,Inputs!$K$4:$AJ$4,0)))+SUMPRODUCT((Inputs!$C$5:$C$110=$B24)*Inputs!$D$5:$D$110*(((Inputs!$G$5:$G$110="moeda")+(Inputs!$G$5:$G$110="acoes"))*Inputs!$B$1+((Inputs!$G$5:$G$110&lt;&gt;"moeda")*(Inputs!$G$5:$G$110&lt;&gt;"acoes")))*INDEX(Inputs!$K$5:$AJ$110,0,MATCH(P$2,Inputs!$K$4:$AJ$4,0)))+SUMPRODUCT((Inputs!$E$5:$E$110=$B24)*Inputs!$F$5:$F$110*(((Inputs!$G$5:$G$110="moeda")+(Inputs!$G$5:$G$110="acoes"))*Inputs!$B$1+((Inputs!$G$5:$G$110&lt;&gt;"moeda")*(Inputs!$G$5:$G$110&lt;&gt;"acoes")))*INDEX(Inputs!$K$5:$AJ$110,0,MATCH(P$2,Inputs!$K$4:$AJ$4,0)))))</f>
        <v>29146</v>
      </c>
      <c r="Q24" s="6">
        <f>IF(ISNA(MATCH(Q$2,Inputs!$K$4:$AJ$4,0)),NA(),IF(SUMPRODUCT((Inputs!$A$5:$A$110=$B24)*ISNUMBER(INDEX(Inputs!$K$5:$AJ$110,0,MATCH(Q$2,Inputs!$K$4:$AJ$4,0))))+SUMPRODUCT((Inputs!$C$5:$C$110=$B24)*ISNUMBER(INDEX(Inputs!$K$5:$AJ$110,0,MATCH(Q$2,Inputs!$K$4:$AJ$4,0))))+SUMPRODUCT((Inputs!$E$5:$E$110=$B24)*ISNUMBER(INDEX(Inputs!$K$5:$AJ$110,0,MATCH(Q$2,Inputs!$K$4:$AJ$4,0))))=0,NA(),SUMPRODUCT((Inputs!$A$5:$A$110=$B24)*Inputs!$B$5:$B$110*(((Inputs!$G$5:$G$110="moeda")+(Inputs!$G$5:$G$110="acoes"))*Inputs!$B$1+((Inputs!$G$5:$G$110&lt;&gt;"moeda")*(Inputs!$G$5:$G$110&lt;&gt;"acoes")))*INDEX(Inputs!$K$5:$AJ$110,0,MATCH(Q$2,Inputs!$K$4:$AJ$4,0)))+SUMPRODUCT((Inputs!$C$5:$C$110=$B24)*Inputs!$D$5:$D$110*(((Inputs!$G$5:$G$110="moeda")+(Inputs!$G$5:$G$110="acoes"))*Inputs!$B$1+((Inputs!$G$5:$G$110&lt;&gt;"moeda")*(Inputs!$G$5:$G$110&lt;&gt;"acoes")))*INDEX(Inputs!$K$5:$AJ$110,0,MATCH(Q$2,Inputs!$K$4:$AJ$4,0)))+SUMPRODUCT((Inputs!$E$5:$E$110=$B24)*Inputs!$F$5:$F$110*(((Inputs!$G$5:$G$110="moeda")+(Inputs!$G$5:$G$110="acoes"))*Inputs!$B$1+((Inputs!$G$5:$G$110&lt;&gt;"moeda")*(Inputs!$G$5:$G$110&lt;&gt;"acoes")))*INDEX(Inputs!$K$5:$AJ$110,0,MATCH(Q$2,Inputs!$K$4:$AJ$4,0)))))</f>
        <v>29198</v>
      </c>
      <c r="R24" s="3">
        <f>Q24</f>
        <v>29198</v>
      </c>
      <c r="S24" s="6">
        <f>IF(ISNA(MATCH(S$2,Inputs!$K$4:$AJ$4,0)),NA(),IF(SUMPRODUCT((Inputs!$A$5:$A$110=$B24)*ISNUMBER(INDEX(Inputs!$K$5:$AJ$110,0,MATCH(S$2,Inputs!$K$4:$AJ$4,0))))+SUMPRODUCT((Inputs!$C$5:$C$110=$B24)*ISNUMBER(INDEX(Inputs!$K$5:$AJ$110,0,MATCH(S$2,Inputs!$K$4:$AJ$4,0))))+SUMPRODUCT((Inputs!$E$5:$E$110=$B24)*ISNUMBER(INDEX(Inputs!$K$5:$AJ$110,0,MATCH(S$2,Inputs!$K$4:$AJ$4,0))))=0,NA(),SUMPRODUCT((Inputs!$A$5:$A$110=$B24)*Inputs!$B$5:$B$110*(((Inputs!$G$5:$G$110="moeda")+(Inputs!$G$5:$G$110="acoes"))*Inputs!$B$1+((Inputs!$G$5:$G$110&lt;&gt;"moeda")*(Inputs!$G$5:$G$110&lt;&gt;"acoes")))*INDEX(Inputs!$K$5:$AJ$110,0,MATCH(S$2,Inputs!$K$4:$AJ$4,0)))+SUMPRODUCT((Inputs!$C$5:$C$110=$B24)*Inputs!$D$5:$D$110*(((Inputs!$G$5:$G$110="moeda")+(Inputs!$G$5:$G$110="acoes"))*Inputs!$B$1+((Inputs!$G$5:$G$110&lt;&gt;"moeda")*(Inputs!$G$5:$G$110&lt;&gt;"acoes")))*INDEX(Inputs!$K$5:$AJ$110,0,MATCH(S$2,Inputs!$K$4:$AJ$4,0)))+SUMPRODUCT((Inputs!$E$5:$E$110=$B24)*Inputs!$F$5:$F$110*(((Inputs!$G$5:$G$110="moeda")+(Inputs!$G$5:$G$110="acoes"))*Inputs!$B$1+((Inputs!$G$5:$G$110&lt;&gt;"moeda")*(Inputs!$G$5:$G$110&lt;&gt;"acoes")))*INDEX(Inputs!$K$5:$AJ$110,0,MATCH(S$2,Inputs!$K$4:$AJ$4,0)))))</f>
        <v>29183</v>
      </c>
      <c r="T24" s="6">
        <f>IF(ISNA(MATCH(T$2,Inputs!$K$4:$AJ$4,0)),NA(),IF(SUMPRODUCT((Inputs!$A$5:$A$110=$B24)*ISNUMBER(INDEX(Inputs!$K$5:$AJ$110,0,MATCH(T$2,Inputs!$K$4:$AJ$4,0))))+SUMPRODUCT((Inputs!$C$5:$C$110=$B24)*ISNUMBER(INDEX(Inputs!$K$5:$AJ$110,0,MATCH(T$2,Inputs!$K$4:$AJ$4,0))))+SUMPRODUCT((Inputs!$E$5:$E$110=$B24)*ISNUMBER(INDEX(Inputs!$K$5:$AJ$110,0,MATCH(T$2,Inputs!$K$4:$AJ$4,0))))=0,NA(),SUMPRODUCT((Inputs!$A$5:$A$110=$B24)*Inputs!$B$5:$B$110*(((Inputs!$G$5:$G$110="moeda")+(Inputs!$G$5:$G$110="acoes"))*Inputs!$B$1+((Inputs!$G$5:$G$110&lt;&gt;"moeda")*(Inputs!$G$5:$G$110&lt;&gt;"acoes")))*INDEX(Inputs!$K$5:$AJ$110,0,MATCH(T$2,Inputs!$K$4:$AJ$4,0)))+SUMPRODUCT((Inputs!$C$5:$C$110=$B24)*Inputs!$D$5:$D$110*(((Inputs!$G$5:$G$110="moeda")+(Inputs!$G$5:$G$110="acoes"))*Inputs!$B$1+((Inputs!$G$5:$G$110&lt;&gt;"moeda")*(Inputs!$G$5:$G$110&lt;&gt;"acoes")))*INDEX(Inputs!$K$5:$AJ$110,0,MATCH(T$2,Inputs!$K$4:$AJ$4,0)))+SUMPRODUCT((Inputs!$E$5:$E$110=$B24)*Inputs!$F$5:$F$110*(((Inputs!$G$5:$G$110="moeda")+(Inputs!$G$5:$G$110="acoes"))*Inputs!$B$1+((Inputs!$G$5:$G$110&lt;&gt;"moeda")*(Inputs!$G$5:$G$110&lt;&gt;"acoes")))*INDEX(Inputs!$K$5:$AJ$110,0,MATCH(T$2,Inputs!$K$4:$AJ$4,0)))))</f>
        <v>29185</v>
      </c>
      <c r="U24" s="6">
        <f>IF(ISNA(MATCH(U$2,Inputs!$K$4:$AJ$4,0)),NA(),IF(SUMPRODUCT((Inputs!$A$5:$A$110=$B24)*ISNUMBER(INDEX(Inputs!$K$5:$AJ$110,0,MATCH(U$2,Inputs!$K$4:$AJ$4,0))))+SUMPRODUCT((Inputs!$C$5:$C$110=$B24)*ISNUMBER(INDEX(Inputs!$K$5:$AJ$110,0,MATCH(U$2,Inputs!$K$4:$AJ$4,0))))+SUMPRODUCT((Inputs!$E$5:$E$110=$B24)*ISNUMBER(INDEX(Inputs!$K$5:$AJ$110,0,MATCH(U$2,Inputs!$K$4:$AJ$4,0))))=0,NA(),SUMPRODUCT((Inputs!$A$5:$A$110=$B24)*Inputs!$B$5:$B$110*(((Inputs!$G$5:$G$110="moeda")+(Inputs!$G$5:$G$110="acoes"))*Inputs!$B$1+((Inputs!$G$5:$G$110&lt;&gt;"moeda")*(Inputs!$G$5:$G$110&lt;&gt;"acoes")))*INDEX(Inputs!$K$5:$AJ$110,0,MATCH(U$2,Inputs!$K$4:$AJ$4,0)))+SUMPRODUCT((Inputs!$C$5:$C$110=$B24)*Inputs!$D$5:$D$110*(((Inputs!$G$5:$G$110="moeda")+(Inputs!$G$5:$G$110="acoes"))*Inputs!$B$1+((Inputs!$G$5:$G$110&lt;&gt;"moeda")*(Inputs!$G$5:$G$110&lt;&gt;"acoes")))*INDEX(Inputs!$K$5:$AJ$110,0,MATCH(U$2,Inputs!$K$4:$AJ$4,0)))+SUMPRODUCT((Inputs!$E$5:$E$110=$B24)*Inputs!$F$5:$F$110*(((Inputs!$G$5:$G$110="moeda")+(Inputs!$G$5:$G$110="acoes"))*Inputs!$B$1+((Inputs!$G$5:$G$110&lt;&gt;"moeda")*(Inputs!$G$5:$G$110&lt;&gt;"acoes")))*INDEX(Inputs!$K$5:$AJ$110,0,MATCH(U$2,Inputs!$K$4:$AJ$4,0)))))</f>
        <v>31935</v>
      </c>
      <c r="V24" s="6">
        <f>IF(ISNA(MATCH(V$2,Inputs!$K$4:$AJ$4,0)),NA(),IF(SUMPRODUCT((Inputs!$A$5:$A$110=$B24)*ISNUMBER(INDEX(Inputs!$K$5:$AJ$110,0,MATCH(V$2,Inputs!$K$4:$AJ$4,0))))+SUMPRODUCT((Inputs!$C$5:$C$110=$B24)*ISNUMBER(INDEX(Inputs!$K$5:$AJ$110,0,MATCH(V$2,Inputs!$K$4:$AJ$4,0))))+SUMPRODUCT((Inputs!$E$5:$E$110=$B24)*ISNUMBER(INDEX(Inputs!$K$5:$AJ$110,0,MATCH(V$2,Inputs!$K$4:$AJ$4,0))))=0,NA(),SUMPRODUCT((Inputs!$A$5:$A$110=$B24)*Inputs!$B$5:$B$110*(((Inputs!$G$5:$G$110="moeda")+(Inputs!$G$5:$G$110="acoes"))*Inputs!$B$1+((Inputs!$G$5:$G$110&lt;&gt;"moeda")*(Inputs!$G$5:$G$110&lt;&gt;"acoes")))*INDEX(Inputs!$K$5:$AJ$110,0,MATCH(V$2,Inputs!$K$4:$AJ$4,0)))+SUMPRODUCT((Inputs!$C$5:$C$110=$B24)*Inputs!$D$5:$D$110*(((Inputs!$G$5:$G$110="moeda")+(Inputs!$G$5:$G$110="acoes"))*Inputs!$B$1+((Inputs!$G$5:$G$110&lt;&gt;"moeda")*(Inputs!$G$5:$G$110&lt;&gt;"acoes")))*INDEX(Inputs!$K$5:$AJ$110,0,MATCH(V$2,Inputs!$K$4:$AJ$4,0)))+SUMPRODUCT((Inputs!$E$5:$E$110=$B24)*Inputs!$F$5:$F$110*(((Inputs!$G$5:$G$110="moeda")+(Inputs!$G$5:$G$110="acoes"))*Inputs!$B$1+((Inputs!$G$5:$G$110&lt;&gt;"moeda")*(Inputs!$G$5:$G$110&lt;&gt;"acoes")))*INDEX(Inputs!$K$5:$AJ$110,0,MATCH(V$2,Inputs!$K$4:$AJ$4,0)))))</f>
        <v>31885</v>
      </c>
      <c r="W24" s="3">
        <f>V24</f>
        <v>31885</v>
      </c>
      <c r="X24" s="6">
        <f>IF(ISNA(MATCH(X$2,Inputs!$K$4:$AJ$4,0)),NA(),IF(SUMPRODUCT((Inputs!$A$5:$A$110=$B24)*ISNUMBER(INDEX(Inputs!$K$5:$AJ$110,0,MATCH(X$2,Inputs!$K$4:$AJ$4,0))))+SUMPRODUCT((Inputs!$C$5:$C$110=$B24)*ISNUMBER(INDEX(Inputs!$K$5:$AJ$110,0,MATCH(X$2,Inputs!$K$4:$AJ$4,0))))+SUMPRODUCT((Inputs!$E$5:$E$110=$B24)*ISNUMBER(INDEX(Inputs!$K$5:$AJ$110,0,MATCH(X$2,Inputs!$K$4:$AJ$4,0))))=0,NA(),SUMPRODUCT((Inputs!$A$5:$A$110=$B24)*Inputs!$B$5:$B$110*(((Inputs!$G$5:$G$110="moeda")+(Inputs!$G$5:$G$110="acoes"))*Inputs!$B$1+((Inputs!$G$5:$G$110&lt;&gt;"moeda")*(Inputs!$G$5:$G$110&lt;&gt;"acoes")))*INDEX(Inputs!$K$5:$AJ$110,0,MATCH(X$2,Inputs!$K$4:$AJ$4,0)))+SUMPRODUCT((Inputs!$C$5:$C$110=$B24)*Inputs!$D$5:$D$110*(((Inputs!$G$5:$G$110="moeda")+(Inputs!$G$5:$G$110="acoes"))*Inputs!$B$1+((Inputs!$G$5:$G$110&lt;&gt;"moeda")*(Inputs!$G$5:$G$110&lt;&gt;"acoes")))*INDEX(Inputs!$K$5:$AJ$110,0,MATCH(X$2,Inputs!$K$4:$AJ$4,0)))+SUMPRODUCT((Inputs!$E$5:$E$110=$B24)*Inputs!$F$5:$F$110*(((Inputs!$G$5:$G$110="moeda")+(Inputs!$G$5:$G$110="acoes"))*Inputs!$B$1+((Inputs!$G$5:$G$110&lt;&gt;"moeda")*(Inputs!$G$5:$G$110&lt;&gt;"acoes")))*INDEX(Inputs!$K$5:$AJ$110,0,MATCH(X$2,Inputs!$K$4:$AJ$4,0)))))</f>
        <v>32173</v>
      </c>
      <c r="Y24" s="6">
        <f>IF(ISNA(MATCH(Y$2,Inputs!$K$4:$AJ$4,0)),NA(),IF(SUMPRODUCT((Inputs!$A$5:$A$110=$B24)*ISNUMBER(INDEX(Inputs!$K$5:$AJ$110,0,MATCH(Y$2,Inputs!$K$4:$AJ$4,0))))+SUMPRODUCT((Inputs!$C$5:$C$110=$B24)*ISNUMBER(INDEX(Inputs!$K$5:$AJ$110,0,MATCH(Y$2,Inputs!$K$4:$AJ$4,0))))+SUMPRODUCT((Inputs!$E$5:$E$110=$B24)*ISNUMBER(INDEX(Inputs!$K$5:$AJ$110,0,MATCH(Y$2,Inputs!$K$4:$AJ$4,0))))=0,NA(),SUMPRODUCT((Inputs!$A$5:$A$110=$B24)*Inputs!$B$5:$B$110*(((Inputs!$G$5:$G$110="moeda")+(Inputs!$G$5:$G$110="acoes"))*Inputs!$B$1+((Inputs!$G$5:$G$110&lt;&gt;"moeda")*(Inputs!$G$5:$G$110&lt;&gt;"acoes")))*INDEX(Inputs!$K$5:$AJ$110,0,MATCH(Y$2,Inputs!$K$4:$AJ$4,0)))+SUMPRODUCT((Inputs!$C$5:$C$110=$B24)*Inputs!$D$5:$D$110*(((Inputs!$G$5:$G$110="moeda")+(Inputs!$G$5:$G$110="acoes"))*Inputs!$B$1+((Inputs!$G$5:$G$110&lt;&gt;"moeda")*(Inputs!$G$5:$G$110&lt;&gt;"acoes")))*INDEX(Inputs!$K$5:$AJ$110,0,MATCH(Y$2,Inputs!$K$4:$AJ$4,0)))+SUMPRODUCT((Inputs!$E$5:$E$110=$B24)*Inputs!$F$5:$F$110*(((Inputs!$G$5:$G$110="moeda")+(Inputs!$G$5:$G$110="acoes"))*Inputs!$B$1+((Inputs!$G$5:$G$110&lt;&gt;"moeda")*(Inputs!$G$5:$G$110&lt;&gt;"acoes")))*INDEX(Inputs!$K$5:$AJ$110,0,MATCH(Y$2,Inputs!$K$4:$AJ$4,0)))))</f>
        <v>32335</v>
      </c>
      <c r="Z24" s="6">
        <f>IF(ISNA(MATCH(Z$2,Inputs!$K$4:$AJ$4,0)),NA(),IF(SUMPRODUCT((Inputs!$A$5:$A$110=$B24)*ISNUMBER(INDEX(Inputs!$K$5:$AJ$110,0,MATCH(Z$2,Inputs!$K$4:$AJ$4,0))))+SUMPRODUCT((Inputs!$C$5:$C$110=$B24)*ISNUMBER(INDEX(Inputs!$K$5:$AJ$110,0,MATCH(Z$2,Inputs!$K$4:$AJ$4,0))))+SUMPRODUCT((Inputs!$E$5:$E$110=$B24)*ISNUMBER(INDEX(Inputs!$K$5:$AJ$110,0,MATCH(Z$2,Inputs!$K$4:$AJ$4,0))))=0,NA(),SUMPRODUCT((Inputs!$A$5:$A$110=$B24)*Inputs!$B$5:$B$110*(((Inputs!$G$5:$G$110="moeda")+(Inputs!$G$5:$G$110="acoes"))*Inputs!$B$1+((Inputs!$G$5:$G$110&lt;&gt;"moeda")*(Inputs!$G$5:$G$110&lt;&gt;"acoes")))*INDEX(Inputs!$K$5:$AJ$110,0,MATCH(Z$2,Inputs!$K$4:$AJ$4,0)))+SUMPRODUCT((Inputs!$C$5:$C$110=$B24)*Inputs!$D$5:$D$110*(((Inputs!$G$5:$G$110="moeda")+(Inputs!$G$5:$G$110="acoes"))*Inputs!$B$1+((Inputs!$G$5:$G$110&lt;&gt;"moeda")*(Inputs!$G$5:$G$110&lt;&gt;"acoes")))*INDEX(Inputs!$K$5:$AJ$110,0,MATCH(Z$2,Inputs!$K$4:$AJ$4,0)))+SUMPRODUCT((Inputs!$E$5:$E$110=$B24)*Inputs!$F$5:$F$110*(((Inputs!$G$5:$G$110="moeda")+(Inputs!$G$5:$G$110="acoes"))*Inputs!$B$1+((Inputs!$G$5:$G$110&lt;&gt;"moeda")*(Inputs!$G$5:$G$110&lt;&gt;"acoes")))*INDEX(Inputs!$K$5:$AJ$110,0,MATCH(Z$2,Inputs!$K$4:$AJ$4,0)))))</f>
        <v>33269</v>
      </c>
      <c r="AA24" s="6">
        <f>IF(ISNA(MATCH(AA$2,Inputs!$K$4:$AJ$4,0)),NA(),IF(SUMPRODUCT((Inputs!$A$5:$A$110=$B24)*ISNUMBER(INDEX(Inputs!$K$5:$AJ$110,0,MATCH(AA$2,Inputs!$K$4:$AJ$4,0))))+SUMPRODUCT((Inputs!$C$5:$C$110=$B24)*ISNUMBER(INDEX(Inputs!$K$5:$AJ$110,0,MATCH(AA$2,Inputs!$K$4:$AJ$4,0))))+SUMPRODUCT((Inputs!$E$5:$E$110=$B24)*ISNUMBER(INDEX(Inputs!$K$5:$AJ$110,0,MATCH(AA$2,Inputs!$K$4:$AJ$4,0))))=0,NA(),SUMPRODUCT((Inputs!$A$5:$A$110=$B24)*Inputs!$B$5:$B$110*(((Inputs!$G$5:$G$110="moeda")+(Inputs!$G$5:$G$110="acoes"))*Inputs!$B$1+((Inputs!$G$5:$G$110&lt;&gt;"moeda")*(Inputs!$G$5:$G$110&lt;&gt;"acoes")))*INDEX(Inputs!$K$5:$AJ$110,0,MATCH(AA$2,Inputs!$K$4:$AJ$4,0)))+SUMPRODUCT((Inputs!$C$5:$C$110=$B24)*Inputs!$D$5:$D$110*(((Inputs!$G$5:$G$110="moeda")+(Inputs!$G$5:$G$110="acoes"))*Inputs!$B$1+((Inputs!$G$5:$G$110&lt;&gt;"moeda")*(Inputs!$G$5:$G$110&lt;&gt;"acoes")))*INDEX(Inputs!$K$5:$AJ$110,0,MATCH(AA$2,Inputs!$K$4:$AJ$4,0)))+SUMPRODUCT((Inputs!$E$5:$E$110=$B24)*Inputs!$F$5:$F$110*(((Inputs!$G$5:$G$110="moeda")+(Inputs!$G$5:$G$110="acoes"))*Inputs!$B$1+((Inputs!$G$5:$G$110&lt;&gt;"moeda")*(Inputs!$G$5:$G$110&lt;&gt;"acoes")))*INDEX(Inputs!$K$5:$AJ$110,0,MATCH(AA$2,Inputs!$K$4:$AJ$4,0)))))</f>
        <v>33380</v>
      </c>
      <c r="AB24" s="3">
        <f>AA24</f>
        <v>33380</v>
      </c>
      <c r="AC24" s="6">
        <f>IF(ISNA(MATCH(AC$2,Inputs!$K$4:$AJ$4,0)),NA(),IF(SUMPRODUCT((Inputs!$A$5:$A$110=$B24)*ISNUMBER(INDEX(Inputs!$K$5:$AJ$110,0,MATCH(AC$2,Inputs!$K$4:$AJ$4,0))))+SUMPRODUCT((Inputs!$C$5:$C$110=$B24)*ISNUMBER(INDEX(Inputs!$K$5:$AJ$110,0,MATCH(AC$2,Inputs!$K$4:$AJ$4,0))))+SUMPRODUCT((Inputs!$E$5:$E$110=$B24)*ISNUMBER(INDEX(Inputs!$K$5:$AJ$110,0,MATCH(AC$2,Inputs!$K$4:$AJ$4,0))))=0,NA(),SUMPRODUCT((Inputs!$A$5:$A$110=$B24)*Inputs!$B$5:$B$110*(((Inputs!$G$5:$G$110="moeda")+(Inputs!$G$5:$G$110="acoes"))*Inputs!$B$1+((Inputs!$G$5:$G$110&lt;&gt;"moeda")*(Inputs!$G$5:$G$110&lt;&gt;"acoes")))*INDEX(Inputs!$K$5:$AJ$110,0,MATCH(AC$2,Inputs!$K$4:$AJ$4,0)))+SUMPRODUCT((Inputs!$C$5:$C$110=$B24)*Inputs!$D$5:$D$110*(((Inputs!$G$5:$G$110="moeda")+(Inputs!$G$5:$G$110="acoes"))*Inputs!$B$1+((Inputs!$G$5:$G$110&lt;&gt;"moeda")*(Inputs!$G$5:$G$110&lt;&gt;"acoes")))*INDEX(Inputs!$K$5:$AJ$110,0,MATCH(AC$2,Inputs!$K$4:$AJ$4,0)))+SUMPRODUCT((Inputs!$E$5:$E$110=$B24)*Inputs!$F$5:$F$110*(((Inputs!$G$5:$G$110="moeda")+(Inputs!$G$5:$G$110="acoes"))*Inputs!$B$1+((Inputs!$G$5:$G$110&lt;&gt;"moeda")*(Inputs!$G$5:$G$110&lt;&gt;"acoes")))*INDEX(Inputs!$K$5:$AJ$110,0,MATCH(AC$2,Inputs!$K$4:$AJ$4,0)))))</f>
        <v>57774</v>
      </c>
      <c r="AD24" s="6">
        <f>IF(ISNA(MATCH(AD$2,Inputs!$K$4:$AJ$4,0)),NA(),IF(SUMPRODUCT((Inputs!$A$5:$A$110=$B24)*ISNUMBER(INDEX(Inputs!$K$5:$AJ$110,0,MATCH(AD$2,Inputs!$K$4:$AJ$4,0))))+SUMPRODUCT((Inputs!$C$5:$C$110=$B24)*ISNUMBER(INDEX(Inputs!$K$5:$AJ$110,0,MATCH(AD$2,Inputs!$K$4:$AJ$4,0))))+SUMPRODUCT((Inputs!$E$5:$E$110=$B24)*ISNUMBER(INDEX(Inputs!$K$5:$AJ$110,0,MATCH(AD$2,Inputs!$K$4:$AJ$4,0))))=0,NA(),SUMPRODUCT((Inputs!$A$5:$A$110=$B24)*Inputs!$B$5:$B$110*(((Inputs!$G$5:$G$110="moeda")+(Inputs!$G$5:$G$110="acoes"))*Inputs!$B$1+((Inputs!$G$5:$G$110&lt;&gt;"moeda")*(Inputs!$G$5:$G$110&lt;&gt;"acoes")))*INDEX(Inputs!$K$5:$AJ$110,0,MATCH(AD$2,Inputs!$K$4:$AJ$4,0)))+SUMPRODUCT((Inputs!$C$5:$C$110=$B24)*Inputs!$D$5:$D$110*(((Inputs!$G$5:$G$110="moeda")+(Inputs!$G$5:$G$110="acoes"))*Inputs!$B$1+((Inputs!$G$5:$G$110&lt;&gt;"moeda")*(Inputs!$G$5:$G$110&lt;&gt;"acoes")))*INDEX(Inputs!$K$5:$AJ$110,0,MATCH(AD$2,Inputs!$K$4:$AJ$4,0)))+SUMPRODUCT((Inputs!$E$5:$E$110=$B24)*Inputs!$F$5:$F$110*(((Inputs!$G$5:$G$110="moeda")+(Inputs!$G$5:$G$110="acoes"))*Inputs!$B$1+((Inputs!$G$5:$G$110&lt;&gt;"moeda")*(Inputs!$G$5:$G$110&lt;&gt;"acoes")))*INDEX(Inputs!$K$5:$AJ$110,0,MATCH(AD$2,Inputs!$K$4:$AJ$4,0)))))</f>
        <v>57828</v>
      </c>
      <c r="AE24" s="6" t="e">
        <f>IF(ISNA(MATCH(AE$2,Inputs!$K$4:$AJ$4,0)),NA(),IF(SUMPRODUCT((Inputs!$A$5:$A$110=$B24)*ISNUMBER(INDEX(Inputs!$K$5:$AJ$110,0,MATCH(AE$2,Inputs!$K$4:$AJ$4,0))))+SUMPRODUCT((Inputs!$C$5:$C$110=$B24)*ISNUMBER(INDEX(Inputs!$K$5:$AJ$110,0,MATCH(AE$2,Inputs!$K$4:$AJ$4,0))))+SUMPRODUCT((Inputs!$E$5:$E$110=$B24)*ISNUMBER(INDEX(Inputs!$K$5:$AJ$110,0,MATCH(AE$2,Inputs!$K$4:$AJ$4,0))))=0,NA(),SUMPRODUCT((Inputs!$A$5:$A$110=$B24)*Inputs!$B$5:$B$110*(((Inputs!$G$5:$G$110="moeda")+(Inputs!$G$5:$G$110="acoes"))*Inputs!$B$1+((Inputs!$G$5:$G$110&lt;&gt;"moeda")*(Inputs!$G$5:$G$110&lt;&gt;"acoes")))*INDEX(Inputs!$K$5:$AJ$110,0,MATCH(AE$2,Inputs!$K$4:$AJ$4,0)))+SUMPRODUCT((Inputs!$C$5:$C$110=$B24)*Inputs!$D$5:$D$110*(((Inputs!$G$5:$G$110="moeda")+(Inputs!$G$5:$G$110="acoes"))*Inputs!$B$1+((Inputs!$G$5:$G$110&lt;&gt;"moeda")*(Inputs!$G$5:$G$110&lt;&gt;"acoes")))*INDEX(Inputs!$K$5:$AJ$110,0,MATCH(AE$2,Inputs!$K$4:$AJ$4,0)))+SUMPRODUCT((Inputs!$E$5:$E$110=$B24)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4" s="6" t="e">
        <f>IF(ISNA(MATCH(AF$2,Inputs!$K$4:$AJ$4,0)),NA(),IF(SUMPRODUCT((Inputs!$A$5:$A$110=$B24)*ISNUMBER(INDEX(Inputs!$K$5:$AJ$110,0,MATCH(AF$2,Inputs!$K$4:$AJ$4,0))))+SUMPRODUCT((Inputs!$C$5:$C$110=$B24)*ISNUMBER(INDEX(Inputs!$K$5:$AJ$110,0,MATCH(AF$2,Inputs!$K$4:$AJ$4,0))))+SUMPRODUCT((Inputs!$E$5:$E$110=$B24)*ISNUMBER(INDEX(Inputs!$K$5:$AJ$110,0,MATCH(AF$2,Inputs!$K$4:$AJ$4,0))))=0,NA(),SUMPRODUCT((Inputs!$A$5:$A$110=$B24)*Inputs!$B$5:$B$110*(((Inputs!$G$5:$G$110="moeda")+(Inputs!$G$5:$G$110="acoes"))*Inputs!$B$1+((Inputs!$G$5:$G$110&lt;&gt;"moeda")*(Inputs!$G$5:$G$110&lt;&gt;"acoes")))*INDEX(Inputs!$K$5:$AJ$110,0,MATCH(AF$2,Inputs!$K$4:$AJ$4,0)))+SUMPRODUCT((Inputs!$C$5:$C$110=$B24)*Inputs!$D$5:$D$110*(((Inputs!$G$5:$G$110="moeda")+(Inputs!$G$5:$G$110="acoes"))*Inputs!$B$1+((Inputs!$G$5:$G$110&lt;&gt;"moeda")*(Inputs!$G$5:$G$110&lt;&gt;"acoes")))*INDEX(Inputs!$K$5:$AJ$110,0,MATCH(AF$2,Inputs!$K$4:$AJ$4,0)))+SUMPRODUCT((Inputs!$E$5:$E$110=$B24)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4" s="3" t="e">
        <f>AF24</f>
        <v>#N/A</v>
      </c>
      <c r="AH24" s="6">
        <f>IF(ISNA(MATCH(AH$2,Inputs!$K$4:$AJ$4,0)),NA(),IF(SUMPRODUCT((Inputs!$A$5:$A$110=$B24)*ISNUMBER(INDEX(Inputs!$K$5:$AJ$110,0,MATCH(AH$2,Inputs!$K$4:$AJ$4,0))))+SUMPRODUCT((Inputs!$C$5:$C$110=$B24)*ISNUMBER(INDEX(Inputs!$K$5:$AJ$110,0,MATCH(AH$2,Inputs!$K$4:$AJ$4,0))))+SUMPRODUCT((Inputs!$E$5:$E$110=$B24)*ISNUMBER(INDEX(Inputs!$K$5:$AJ$110,0,MATCH(AH$2,Inputs!$K$4:$AJ$4,0))))=0,NA(),SUMPRODUCT((Inputs!$A$5:$A$110=$B24)*Inputs!$B$5:$B$110*(((Inputs!$G$5:$G$110="moeda")+(Inputs!$G$5:$G$110="acoes"))*Inputs!$B$1+((Inputs!$G$5:$G$110&lt;&gt;"moeda")*(Inputs!$G$5:$G$110&lt;&gt;"acoes")))*INDEX(Inputs!$K$5:$AJ$110,0,MATCH(AH$2,Inputs!$K$4:$AJ$4,0)))+SUMPRODUCT((Inputs!$C$5:$C$110=$B24)*Inputs!$D$5:$D$110*(((Inputs!$G$5:$G$110="moeda")+(Inputs!$G$5:$G$110="acoes"))*Inputs!$B$1+((Inputs!$G$5:$G$110&lt;&gt;"moeda")*(Inputs!$G$5:$G$110&lt;&gt;"acoes")))*INDEX(Inputs!$K$5:$AJ$110,0,MATCH(AH$2,Inputs!$K$4:$AJ$4,0)))+SUMPRODUCT((Inputs!$E$5:$E$110=$B24)*Inputs!$F$5:$F$110*(((Inputs!$G$5:$G$110="moeda")+(Inputs!$G$5:$G$110="acoes"))*Inputs!$B$1+((Inputs!$G$5:$G$110&lt;&gt;"moeda")*(Inputs!$G$5:$G$110&lt;&gt;"acoes")))*INDEX(Inputs!$K$5:$AJ$110,0,MATCH(AH$2,Inputs!$K$4:$AJ$4,0)))))</f>
        <v>20734</v>
      </c>
      <c r="AI24" s="6">
        <f>IF(ISNA(MATCH(AI$2,Inputs!$K$4:$AJ$4,0)),NA(),IF(SUMPRODUCT((Inputs!$A$5:$A$110=$B24)*ISNUMBER(INDEX(Inputs!$K$5:$AJ$110,0,MATCH(AI$2,Inputs!$K$4:$AJ$4,0))))+SUMPRODUCT((Inputs!$C$5:$C$110=$B24)*ISNUMBER(INDEX(Inputs!$K$5:$AJ$110,0,MATCH(AI$2,Inputs!$K$4:$AJ$4,0))))+SUMPRODUCT((Inputs!$E$5:$E$110=$B24)*ISNUMBER(INDEX(Inputs!$K$5:$AJ$110,0,MATCH(AI$2,Inputs!$K$4:$AJ$4,0))))=0,NA(),SUMPRODUCT((Inputs!$A$5:$A$110=$B24)*Inputs!$B$5:$B$110*(((Inputs!$G$5:$G$110="moeda")+(Inputs!$G$5:$G$110="acoes"))*Inputs!$B$1+((Inputs!$G$5:$G$110&lt;&gt;"moeda")*(Inputs!$G$5:$G$110&lt;&gt;"acoes")))*INDEX(Inputs!$K$5:$AJ$110,0,MATCH(AI$2,Inputs!$K$4:$AJ$4,0)))+SUMPRODUCT((Inputs!$C$5:$C$110=$B24)*Inputs!$D$5:$D$110*(((Inputs!$G$5:$G$110="moeda")+(Inputs!$G$5:$G$110="acoes"))*Inputs!$B$1+((Inputs!$G$5:$G$110&lt;&gt;"moeda")*(Inputs!$G$5:$G$110&lt;&gt;"acoes")))*INDEX(Inputs!$K$5:$AJ$110,0,MATCH(AI$2,Inputs!$K$4:$AJ$4,0)))+SUMPRODUCT((Inputs!$E$5:$E$110=$B24)*Inputs!$F$5:$F$110*(((Inputs!$G$5:$G$110="moeda")+(Inputs!$G$5:$G$110="acoes"))*Inputs!$B$1+((Inputs!$G$5:$G$110&lt;&gt;"moeda")*(Inputs!$G$5:$G$110&lt;&gt;"acoes")))*INDEX(Inputs!$K$5:$AJ$110,0,MATCH(AI$2,Inputs!$K$4:$AJ$4,0)))))</f>
        <v>20824</v>
      </c>
      <c r="AJ24" s="6">
        <f>IF(ISNA(MATCH(AJ$2,Inputs!$K$4:$AJ$4,0)),NA(),IF(SUMPRODUCT((Inputs!$A$5:$A$110=$B24)*ISNUMBER(INDEX(Inputs!$K$5:$AJ$110,0,MATCH(AJ$2,Inputs!$K$4:$AJ$4,0))))+SUMPRODUCT((Inputs!$C$5:$C$110=$B24)*ISNUMBER(INDEX(Inputs!$K$5:$AJ$110,0,MATCH(AJ$2,Inputs!$K$4:$AJ$4,0))))+SUMPRODUCT((Inputs!$E$5:$E$110=$B24)*ISNUMBER(INDEX(Inputs!$K$5:$AJ$110,0,MATCH(AJ$2,Inputs!$K$4:$AJ$4,0))))=0,NA(),SUMPRODUCT((Inputs!$A$5:$A$110=$B24)*Inputs!$B$5:$B$110*(((Inputs!$G$5:$G$110="moeda")+(Inputs!$G$5:$G$110="acoes"))*Inputs!$B$1+((Inputs!$G$5:$G$110&lt;&gt;"moeda")*(Inputs!$G$5:$G$110&lt;&gt;"acoes")))*INDEX(Inputs!$K$5:$AJ$110,0,MATCH(AJ$2,Inputs!$K$4:$AJ$4,0)))+SUMPRODUCT((Inputs!$C$5:$C$110=$B24)*Inputs!$D$5:$D$110*(((Inputs!$G$5:$G$110="moeda")+(Inputs!$G$5:$G$110="acoes"))*Inputs!$B$1+((Inputs!$G$5:$G$110&lt;&gt;"moeda")*(Inputs!$G$5:$G$110&lt;&gt;"acoes")))*INDEX(Inputs!$K$5:$AJ$110,0,MATCH(AJ$2,Inputs!$K$4:$AJ$4,0)))+SUMPRODUCT((Inputs!$E$5:$E$110=$B24)*Inputs!$F$5:$F$110*(((Inputs!$G$5:$G$110="moeda")+(Inputs!$G$5:$G$110="acoes"))*Inputs!$B$1+((Inputs!$G$5:$G$110&lt;&gt;"moeda")*(Inputs!$G$5:$G$110&lt;&gt;"acoes")))*INDEX(Inputs!$K$5:$AJ$110,0,MATCH(AJ$2,Inputs!$K$4:$AJ$4,0)))))</f>
        <v>20870</v>
      </c>
      <c r="AK24" s="6">
        <f>IF(ISNA(MATCH(AK$2,Inputs!$K$4:$AJ$4,0)),NA(),IF(SUMPRODUCT((Inputs!$A$5:$A$110=$B24)*ISNUMBER(INDEX(Inputs!$K$5:$AJ$110,0,MATCH(AK$2,Inputs!$K$4:$AJ$4,0))))+SUMPRODUCT((Inputs!$C$5:$C$110=$B24)*ISNUMBER(INDEX(Inputs!$K$5:$AJ$110,0,MATCH(AK$2,Inputs!$K$4:$AJ$4,0))))+SUMPRODUCT((Inputs!$E$5:$E$110=$B24)*ISNUMBER(INDEX(Inputs!$K$5:$AJ$110,0,MATCH(AK$2,Inputs!$K$4:$AJ$4,0))))=0,NA(),SUMPRODUCT((Inputs!$A$5:$A$110=$B24)*Inputs!$B$5:$B$110*(((Inputs!$G$5:$G$110="moeda")+(Inputs!$G$5:$G$110="acoes"))*Inputs!$B$1+((Inputs!$G$5:$G$110&lt;&gt;"moeda")*(Inputs!$G$5:$G$110&lt;&gt;"acoes")))*INDEX(Inputs!$K$5:$AJ$110,0,MATCH(AK$2,Inputs!$K$4:$AJ$4,0)))+SUMPRODUCT((Inputs!$C$5:$C$110=$B24)*Inputs!$D$5:$D$110*(((Inputs!$G$5:$G$110="moeda")+(Inputs!$G$5:$G$110="acoes"))*Inputs!$B$1+((Inputs!$G$5:$G$110&lt;&gt;"moeda")*(Inputs!$G$5:$G$110&lt;&gt;"acoes")))*INDEX(Inputs!$K$5:$AJ$110,0,MATCH(AK$2,Inputs!$K$4:$AJ$4,0)))+SUMPRODUCT((Inputs!$E$5:$E$110=$B24)*Inputs!$F$5:$F$110*(((Inputs!$G$5:$G$110="moeda")+(Inputs!$G$5:$G$110="acoes"))*Inputs!$B$1+((Inputs!$G$5:$G$110&lt;&gt;"moeda")*(Inputs!$G$5:$G$110&lt;&gt;"acoes")))*INDEX(Inputs!$K$5:$AJ$110,0,MATCH(AK$2,Inputs!$K$4:$AJ$4,0)))))</f>
        <v>21175</v>
      </c>
      <c r="AL24" s="3">
        <f>AK24</f>
        <v>21175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$110=$B25)*ISNUMBER(INDEX(Inputs!$K$5:$AJ$110,0,MATCH(D$2,Inputs!$K$4:$AJ$4,0))))+SUMPRODUCT((Inputs!$C$5:$C$110=$B25)*ISNUMBER(INDEX(Inputs!$K$5:$AJ$110,0,MATCH(D$2,Inputs!$K$4:$AJ$4,0))))+SUMPRODUCT((Inputs!$E$5:$E$110=$B25)*ISNUMBER(INDEX(Inputs!$K$5:$AJ$110,0,MATCH(D$2,Inputs!$K$4:$AJ$4,0))))=0,NA(),SUMPRODUCT((Inputs!$A$5:$A$110=$B25)*Inputs!$B$5:$B$110*(((Inputs!$G$5:$G$110="moeda")+(Inputs!$G$5:$G$110="acoes"))*Inputs!$B$1+((Inputs!$G$5:$G$110&lt;&gt;"moeda")*(Inputs!$G$5:$G$110&lt;&gt;"acoes")))*INDEX(Inputs!$K$5:$AJ$110,0,MATCH(D$2,Inputs!$K$4:$AJ$4,0)))+SUMPRODUCT((Inputs!$C$5:$C$110=$B25)*Inputs!$D$5:$D$110*(((Inputs!$G$5:$G$110="moeda")+(Inputs!$G$5:$G$110="acoes"))*Inputs!$B$1+((Inputs!$G$5:$G$110&lt;&gt;"moeda")*(Inputs!$G$5:$G$110&lt;&gt;"acoes")))*INDEX(Inputs!$K$5:$AJ$110,0,MATCH(D$2,Inputs!$K$4:$AJ$4,0)))+SUMPRODUCT((Inputs!$E$5:$E$110=$B25)*Inputs!$F$5:$F$110*(((Inputs!$G$5:$G$110="moeda")+(Inputs!$G$5:$G$110="acoes"))*Inputs!$B$1+((Inputs!$G$5:$G$110&lt;&gt;"moeda")*(Inputs!$G$5:$G$110&lt;&gt;"acoes")))*INDEX(Inputs!$K$5:$AJ$110,0,MATCH(D$2,Inputs!$K$4:$AJ$4,0)))))</f>
        <v>1823</v>
      </c>
      <c r="E25" s="6">
        <f>IF(ISNA(MATCH(E$2,Inputs!$K$4:$AJ$4,0)),NA(),IF(SUMPRODUCT((Inputs!$A$5:$A$110=$B25)*ISNUMBER(INDEX(Inputs!$K$5:$AJ$110,0,MATCH(E$2,Inputs!$K$4:$AJ$4,0))))+SUMPRODUCT((Inputs!$C$5:$C$110=$B25)*ISNUMBER(INDEX(Inputs!$K$5:$AJ$110,0,MATCH(E$2,Inputs!$K$4:$AJ$4,0))))+SUMPRODUCT((Inputs!$E$5:$E$110=$B25)*ISNUMBER(INDEX(Inputs!$K$5:$AJ$110,0,MATCH(E$2,Inputs!$K$4:$AJ$4,0))))=0,NA(),SUMPRODUCT((Inputs!$A$5:$A$110=$B25)*Inputs!$B$5:$B$110*(((Inputs!$G$5:$G$110="moeda")+(Inputs!$G$5:$G$110="acoes"))*Inputs!$B$1+((Inputs!$G$5:$G$110&lt;&gt;"moeda")*(Inputs!$G$5:$G$110&lt;&gt;"acoes")))*INDEX(Inputs!$K$5:$AJ$110,0,MATCH(E$2,Inputs!$K$4:$AJ$4,0)))+SUMPRODUCT((Inputs!$C$5:$C$110=$B25)*Inputs!$D$5:$D$110*(((Inputs!$G$5:$G$110="moeda")+(Inputs!$G$5:$G$110="acoes"))*Inputs!$B$1+((Inputs!$G$5:$G$110&lt;&gt;"moeda")*(Inputs!$G$5:$G$110&lt;&gt;"acoes")))*INDEX(Inputs!$K$5:$AJ$110,0,MATCH(E$2,Inputs!$K$4:$AJ$4,0)))+SUMPRODUCT((Inputs!$E$5:$E$110=$B25)*Inputs!$F$5:$F$110*(((Inputs!$G$5:$G$110="moeda")+(Inputs!$G$5:$G$110="acoes"))*Inputs!$B$1+((Inputs!$G$5:$G$110&lt;&gt;"moeda")*(Inputs!$G$5:$G$110&lt;&gt;"acoes")))*INDEX(Inputs!$K$5:$AJ$110,0,MATCH(E$2,Inputs!$K$4:$AJ$4,0)))))</f>
        <v>1626</v>
      </c>
      <c r="F25" s="6">
        <f>IF(ISNA(MATCH(F$2,Inputs!$K$4:$AJ$4,0)),NA(),IF(SUMPRODUCT((Inputs!$A$5:$A$110=$B25)*ISNUMBER(INDEX(Inputs!$K$5:$AJ$110,0,MATCH(F$2,Inputs!$K$4:$AJ$4,0))))+SUMPRODUCT((Inputs!$C$5:$C$110=$B25)*ISNUMBER(INDEX(Inputs!$K$5:$AJ$110,0,MATCH(F$2,Inputs!$K$4:$AJ$4,0))))+SUMPRODUCT((Inputs!$E$5:$E$110=$B25)*ISNUMBER(INDEX(Inputs!$K$5:$AJ$110,0,MATCH(F$2,Inputs!$K$4:$AJ$4,0))))=0,NA(),SUMPRODUCT((Inputs!$A$5:$A$110=$B25)*Inputs!$B$5:$B$110*(((Inputs!$G$5:$G$110="moeda")+(Inputs!$G$5:$G$110="acoes"))*Inputs!$B$1+((Inputs!$G$5:$G$110&lt;&gt;"moeda")*(Inputs!$G$5:$G$110&lt;&gt;"acoes")))*INDEX(Inputs!$K$5:$AJ$110,0,MATCH(F$2,Inputs!$K$4:$AJ$4,0)))+SUMPRODUCT((Inputs!$C$5:$C$110=$B25)*Inputs!$D$5:$D$110*(((Inputs!$G$5:$G$110="moeda")+(Inputs!$G$5:$G$110="acoes"))*Inputs!$B$1+((Inputs!$G$5:$G$110&lt;&gt;"moeda")*(Inputs!$G$5:$G$110&lt;&gt;"acoes")))*INDEX(Inputs!$K$5:$AJ$110,0,MATCH(F$2,Inputs!$K$4:$AJ$4,0)))+SUMPRODUCT((Inputs!$E$5:$E$110=$B25)*Inputs!$F$5:$F$110*(((Inputs!$G$5:$G$110="moeda")+(Inputs!$G$5:$G$110="acoes"))*Inputs!$B$1+((Inputs!$G$5:$G$110&lt;&gt;"moeda")*(Inputs!$G$5:$G$110&lt;&gt;"acoes")))*INDEX(Inputs!$K$5:$AJ$110,0,MATCH(F$2,Inputs!$K$4:$AJ$4,0)))))</f>
        <v>1549</v>
      </c>
      <c r="G25" s="6">
        <f>IF(ISNA(MATCH(G$2,Inputs!$K$4:$AJ$4,0)),NA(),IF(SUMPRODUCT((Inputs!$A$5:$A$110=$B25)*ISNUMBER(INDEX(Inputs!$K$5:$AJ$110,0,MATCH(G$2,Inputs!$K$4:$AJ$4,0))))+SUMPRODUCT((Inputs!$C$5:$C$110=$B25)*ISNUMBER(INDEX(Inputs!$K$5:$AJ$110,0,MATCH(G$2,Inputs!$K$4:$AJ$4,0))))+SUMPRODUCT((Inputs!$E$5:$E$110=$B25)*ISNUMBER(INDEX(Inputs!$K$5:$AJ$110,0,MATCH(G$2,Inputs!$K$4:$AJ$4,0))))=0,NA(),SUMPRODUCT((Inputs!$A$5:$A$110=$B25)*Inputs!$B$5:$B$110*(((Inputs!$G$5:$G$110="moeda")+(Inputs!$G$5:$G$110="acoes"))*Inputs!$B$1+((Inputs!$G$5:$G$110&lt;&gt;"moeda")*(Inputs!$G$5:$G$110&lt;&gt;"acoes")))*INDEX(Inputs!$K$5:$AJ$110,0,MATCH(G$2,Inputs!$K$4:$AJ$4,0)))+SUMPRODUCT((Inputs!$C$5:$C$110=$B25)*Inputs!$D$5:$D$110*(((Inputs!$G$5:$G$110="moeda")+(Inputs!$G$5:$G$110="acoes"))*Inputs!$B$1+((Inputs!$G$5:$G$110&lt;&gt;"moeda")*(Inputs!$G$5:$G$110&lt;&gt;"acoes")))*INDEX(Inputs!$K$5:$AJ$110,0,MATCH(G$2,Inputs!$K$4:$AJ$4,0)))+SUMPRODUCT((Inputs!$E$5:$E$110=$B25)*Inputs!$F$5:$F$110*(((Inputs!$G$5:$G$110="moeda")+(Inputs!$G$5:$G$110="acoes"))*Inputs!$B$1+((Inputs!$G$5:$G$110&lt;&gt;"moeda")*(Inputs!$G$5:$G$110&lt;&gt;"acoes")))*INDEX(Inputs!$K$5:$AJ$110,0,MATCH(G$2,Inputs!$K$4:$AJ$4,0)))))</f>
        <v>1417</v>
      </c>
      <c r="H25" s="3">
        <f>G25</f>
        <v>1417</v>
      </c>
      <c r="I25" s="6">
        <f>IF(ISNA(MATCH(I$2,Inputs!$K$4:$AJ$4,0)),NA(),IF(SUMPRODUCT((Inputs!$A$5:$A$110=$B25)*ISNUMBER(INDEX(Inputs!$K$5:$AJ$110,0,MATCH(I$2,Inputs!$K$4:$AJ$4,0))))+SUMPRODUCT((Inputs!$C$5:$C$110=$B25)*ISNUMBER(INDEX(Inputs!$K$5:$AJ$110,0,MATCH(I$2,Inputs!$K$4:$AJ$4,0))))+SUMPRODUCT((Inputs!$E$5:$E$110=$B25)*ISNUMBER(INDEX(Inputs!$K$5:$AJ$110,0,MATCH(I$2,Inputs!$K$4:$AJ$4,0))))=0,NA(),SUMPRODUCT((Inputs!$A$5:$A$110=$B25)*Inputs!$B$5:$B$110*(((Inputs!$G$5:$G$110="moeda")+(Inputs!$G$5:$G$110="acoes"))*Inputs!$B$1+((Inputs!$G$5:$G$110&lt;&gt;"moeda")*(Inputs!$G$5:$G$110&lt;&gt;"acoes")))*INDEX(Inputs!$K$5:$AJ$110,0,MATCH(I$2,Inputs!$K$4:$AJ$4,0)))+SUMPRODUCT((Inputs!$C$5:$C$110=$B25)*Inputs!$D$5:$D$110*(((Inputs!$G$5:$G$110="moeda")+(Inputs!$G$5:$G$110="acoes"))*Inputs!$B$1+((Inputs!$G$5:$G$110&lt;&gt;"moeda")*(Inputs!$G$5:$G$110&lt;&gt;"acoes")))*INDEX(Inputs!$K$5:$AJ$110,0,MATCH(I$2,Inputs!$K$4:$AJ$4,0)))+SUMPRODUCT((Inputs!$E$5:$E$110=$B25)*Inputs!$F$5:$F$110*(((Inputs!$G$5:$G$110="moeda")+(Inputs!$G$5:$G$110="acoes"))*Inputs!$B$1+((Inputs!$G$5:$G$110&lt;&gt;"moeda")*(Inputs!$G$5:$G$110&lt;&gt;"acoes")))*INDEX(Inputs!$K$5:$AJ$110,0,MATCH(I$2,Inputs!$K$4:$AJ$4,0)))))</f>
        <v>1313</v>
      </c>
      <c r="J25" s="6">
        <f>IF(ISNA(MATCH(J$2,Inputs!$K$4:$AJ$4,0)),NA(),IF(SUMPRODUCT((Inputs!$A$5:$A$110=$B25)*ISNUMBER(INDEX(Inputs!$K$5:$AJ$110,0,MATCH(J$2,Inputs!$K$4:$AJ$4,0))))+SUMPRODUCT((Inputs!$C$5:$C$110=$B25)*ISNUMBER(INDEX(Inputs!$K$5:$AJ$110,0,MATCH(J$2,Inputs!$K$4:$AJ$4,0))))+SUMPRODUCT((Inputs!$E$5:$E$110=$B25)*ISNUMBER(INDEX(Inputs!$K$5:$AJ$110,0,MATCH(J$2,Inputs!$K$4:$AJ$4,0))))=0,NA(),SUMPRODUCT((Inputs!$A$5:$A$110=$B25)*Inputs!$B$5:$B$110*(((Inputs!$G$5:$G$110="moeda")+(Inputs!$G$5:$G$110="acoes"))*Inputs!$B$1+((Inputs!$G$5:$G$110&lt;&gt;"moeda")*(Inputs!$G$5:$G$110&lt;&gt;"acoes")))*INDEX(Inputs!$K$5:$AJ$110,0,MATCH(J$2,Inputs!$K$4:$AJ$4,0)))+SUMPRODUCT((Inputs!$C$5:$C$110=$B25)*Inputs!$D$5:$D$110*(((Inputs!$G$5:$G$110="moeda")+(Inputs!$G$5:$G$110="acoes"))*Inputs!$B$1+((Inputs!$G$5:$G$110&lt;&gt;"moeda")*(Inputs!$G$5:$G$110&lt;&gt;"acoes")))*INDEX(Inputs!$K$5:$AJ$110,0,MATCH(J$2,Inputs!$K$4:$AJ$4,0)))+SUMPRODUCT((Inputs!$E$5:$E$110=$B25)*Inputs!$F$5:$F$110*(((Inputs!$G$5:$G$110="moeda")+(Inputs!$G$5:$G$110="acoes"))*Inputs!$B$1+((Inputs!$G$5:$G$110&lt;&gt;"moeda")*(Inputs!$G$5:$G$110&lt;&gt;"acoes")))*INDEX(Inputs!$K$5:$AJ$110,0,MATCH(J$2,Inputs!$K$4:$AJ$4,0)))))</f>
        <v>1377</v>
      </c>
      <c r="K25" s="6">
        <f>IF(ISNA(MATCH(K$2,Inputs!$K$4:$AJ$4,0)),NA(),IF(SUMPRODUCT((Inputs!$A$5:$A$110=$B25)*ISNUMBER(INDEX(Inputs!$K$5:$AJ$110,0,MATCH(K$2,Inputs!$K$4:$AJ$4,0))))+SUMPRODUCT((Inputs!$C$5:$C$110=$B25)*ISNUMBER(INDEX(Inputs!$K$5:$AJ$110,0,MATCH(K$2,Inputs!$K$4:$AJ$4,0))))+SUMPRODUCT((Inputs!$E$5:$E$110=$B25)*ISNUMBER(INDEX(Inputs!$K$5:$AJ$110,0,MATCH(K$2,Inputs!$K$4:$AJ$4,0))))=0,NA(),SUMPRODUCT((Inputs!$A$5:$A$110=$B25)*Inputs!$B$5:$B$110*(((Inputs!$G$5:$G$110="moeda")+(Inputs!$G$5:$G$110="acoes"))*Inputs!$B$1+((Inputs!$G$5:$G$110&lt;&gt;"moeda")*(Inputs!$G$5:$G$110&lt;&gt;"acoes")))*INDEX(Inputs!$K$5:$AJ$110,0,MATCH(K$2,Inputs!$K$4:$AJ$4,0)))+SUMPRODUCT((Inputs!$C$5:$C$110=$B25)*Inputs!$D$5:$D$110*(((Inputs!$G$5:$G$110="moeda")+(Inputs!$G$5:$G$110="acoes"))*Inputs!$B$1+((Inputs!$G$5:$G$110&lt;&gt;"moeda")*(Inputs!$G$5:$G$110&lt;&gt;"acoes")))*INDEX(Inputs!$K$5:$AJ$110,0,MATCH(K$2,Inputs!$K$4:$AJ$4,0)))+SUMPRODUCT((Inputs!$E$5:$E$110=$B25)*Inputs!$F$5:$F$110*(((Inputs!$G$5:$G$110="moeda")+(Inputs!$G$5:$G$110="acoes"))*Inputs!$B$1+((Inputs!$G$5:$G$110&lt;&gt;"moeda")*(Inputs!$G$5:$G$110&lt;&gt;"acoes")))*INDEX(Inputs!$K$5:$AJ$110,0,MATCH(K$2,Inputs!$K$4:$AJ$4,0)))))</f>
        <v>2192</v>
      </c>
      <c r="L25" s="6">
        <f>IF(ISNA(MATCH(L$2,Inputs!$K$4:$AJ$4,0)),NA(),IF(SUMPRODUCT((Inputs!$A$5:$A$110=$B25)*ISNUMBER(INDEX(Inputs!$K$5:$AJ$110,0,MATCH(L$2,Inputs!$K$4:$AJ$4,0))))+SUMPRODUCT((Inputs!$C$5:$C$110=$B25)*ISNUMBER(INDEX(Inputs!$K$5:$AJ$110,0,MATCH(L$2,Inputs!$K$4:$AJ$4,0))))+SUMPRODUCT((Inputs!$E$5:$E$110=$B25)*ISNUMBER(INDEX(Inputs!$K$5:$AJ$110,0,MATCH(L$2,Inputs!$K$4:$AJ$4,0))))=0,NA(),SUMPRODUCT((Inputs!$A$5:$A$110=$B25)*Inputs!$B$5:$B$110*(((Inputs!$G$5:$G$110="moeda")+(Inputs!$G$5:$G$110="acoes"))*Inputs!$B$1+((Inputs!$G$5:$G$110&lt;&gt;"moeda")*(Inputs!$G$5:$G$110&lt;&gt;"acoes")))*INDEX(Inputs!$K$5:$AJ$110,0,MATCH(L$2,Inputs!$K$4:$AJ$4,0)))+SUMPRODUCT((Inputs!$C$5:$C$110=$B25)*Inputs!$D$5:$D$110*(((Inputs!$G$5:$G$110="moeda")+(Inputs!$G$5:$G$110="acoes"))*Inputs!$B$1+((Inputs!$G$5:$G$110&lt;&gt;"moeda")*(Inputs!$G$5:$G$110&lt;&gt;"acoes")))*INDEX(Inputs!$K$5:$AJ$110,0,MATCH(L$2,Inputs!$K$4:$AJ$4,0)))+SUMPRODUCT((Inputs!$E$5:$E$110=$B25)*Inputs!$F$5:$F$110*(((Inputs!$G$5:$G$110="moeda")+(Inputs!$G$5:$G$110="acoes"))*Inputs!$B$1+((Inputs!$G$5:$G$110&lt;&gt;"moeda")*(Inputs!$G$5:$G$110&lt;&gt;"acoes")))*INDEX(Inputs!$K$5:$AJ$110,0,MATCH(L$2,Inputs!$K$4:$AJ$4,0)))))</f>
        <v>2084</v>
      </c>
      <c r="M25" s="3">
        <f>L25</f>
        <v>2084</v>
      </c>
      <c r="N25" s="6">
        <f>IF(ISNA(MATCH(N$2,Inputs!$K$4:$AJ$4,0)),NA(),IF(SUMPRODUCT((Inputs!$A$5:$A$110=$B25)*ISNUMBER(INDEX(Inputs!$K$5:$AJ$110,0,MATCH(N$2,Inputs!$K$4:$AJ$4,0))))+SUMPRODUCT((Inputs!$C$5:$C$110=$B25)*ISNUMBER(INDEX(Inputs!$K$5:$AJ$110,0,MATCH(N$2,Inputs!$K$4:$AJ$4,0))))+SUMPRODUCT((Inputs!$E$5:$E$110=$B25)*ISNUMBER(INDEX(Inputs!$K$5:$AJ$110,0,MATCH(N$2,Inputs!$K$4:$AJ$4,0))))=0,NA(),SUMPRODUCT((Inputs!$A$5:$A$110=$B25)*Inputs!$B$5:$B$110*(((Inputs!$G$5:$G$110="moeda")+(Inputs!$G$5:$G$110="acoes"))*Inputs!$B$1+((Inputs!$G$5:$G$110&lt;&gt;"moeda")*(Inputs!$G$5:$G$110&lt;&gt;"acoes")))*INDEX(Inputs!$K$5:$AJ$110,0,MATCH(N$2,Inputs!$K$4:$AJ$4,0)))+SUMPRODUCT((Inputs!$C$5:$C$110=$B25)*Inputs!$D$5:$D$110*(((Inputs!$G$5:$G$110="moeda")+(Inputs!$G$5:$G$110="acoes"))*Inputs!$B$1+((Inputs!$G$5:$G$110&lt;&gt;"moeda")*(Inputs!$G$5:$G$110&lt;&gt;"acoes")))*INDEX(Inputs!$K$5:$AJ$110,0,MATCH(N$2,Inputs!$K$4:$AJ$4,0)))+SUMPRODUCT((Inputs!$E$5:$E$110=$B25)*Inputs!$F$5:$F$110*(((Inputs!$G$5:$G$110="moeda")+(Inputs!$G$5:$G$110="acoes"))*Inputs!$B$1+((Inputs!$G$5:$G$110&lt;&gt;"moeda")*(Inputs!$G$5:$G$110&lt;&gt;"acoes")))*INDEX(Inputs!$K$5:$AJ$110,0,MATCH(N$2,Inputs!$K$4:$AJ$4,0)))))</f>
        <v>1968</v>
      </c>
      <c r="O25" s="6">
        <f>IF(ISNA(MATCH(O$2,Inputs!$K$4:$AJ$4,0)),NA(),IF(SUMPRODUCT((Inputs!$A$5:$A$110=$B25)*ISNUMBER(INDEX(Inputs!$K$5:$AJ$110,0,MATCH(O$2,Inputs!$K$4:$AJ$4,0))))+SUMPRODUCT((Inputs!$C$5:$C$110=$B25)*ISNUMBER(INDEX(Inputs!$K$5:$AJ$110,0,MATCH(O$2,Inputs!$K$4:$AJ$4,0))))+SUMPRODUCT((Inputs!$E$5:$E$110=$B25)*ISNUMBER(INDEX(Inputs!$K$5:$AJ$110,0,MATCH(O$2,Inputs!$K$4:$AJ$4,0))))=0,NA(),SUMPRODUCT((Inputs!$A$5:$A$110=$B25)*Inputs!$B$5:$B$110*(((Inputs!$G$5:$G$110="moeda")+(Inputs!$G$5:$G$110="acoes"))*Inputs!$B$1+((Inputs!$G$5:$G$110&lt;&gt;"moeda")*(Inputs!$G$5:$G$110&lt;&gt;"acoes")))*INDEX(Inputs!$K$5:$AJ$110,0,MATCH(O$2,Inputs!$K$4:$AJ$4,0)))+SUMPRODUCT((Inputs!$C$5:$C$110=$B25)*Inputs!$D$5:$D$110*(((Inputs!$G$5:$G$110="moeda")+(Inputs!$G$5:$G$110="acoes"))*Inputs!$B$1+((Inputs!$G$5:$G$110&lt;&gt;"moeda")*(Inputs!$G$5:$G$110&lt;&gt;"acoes")))*INDEX(Inputs!$K$5:$AJ$110,0,MATCH(O$2,Inputs!$K$4:$AJ$4,0)))+SUMPRODUCT((Inputs!$E$5:$E$110=$B25)*Inputs!$F$5:$F$110*(((Inputs!$G$5:$G$110="moeda")+(Inputs!$G$5:$G$110="acoes"))*Inputs!$B$1+((Inputs!$G$5:$G$110&lt;&gt;"moeda")*(Inputs!$G$5:$G$110&lt;&gt;"acoes")))*INDEX(Inputs!$K$5:$AJ$110,0,MATCH(O$2,Inputs!$K$4:$AJ$4,0)))))</f>
        <v>1966</v>
      </c>
      <c r="P25" s="6">
        <f>IF(ISNA(MATCH(P$2,Inputs!$K$4:$AJ$4,0)),NA(),IF(SUMPRODUCT((Inputs!$A$5:$A$110=$B25)*ISNUMBER(INDEX(Inputs!$K$5:$AJ$110,0,MATCH(P$2,Inputs!$K$4:$AJ$4,0))))+SUMPRODUCT((Inputs!$C$5:$C$110=$B25)*ISNUMBER(INDEX(Inputs!$K$5:$AJ$110,0,MATCH(P$2,Inputs!$K$4:$AJ$4,0))))+SUMPRODUCT((Inputs!$E$5:$E$110=$B25)*ISNUMBER(INDEX(Inputs!$K$5:$AJ$110,0,MATCH(P$2,Inputs!$K$4:$AJ$4,0))))=0,NA(),SUMPRODUCT((Inputs!$A$5:$A$110=$B25)*Inputs!$B$5:$B$110*(((Inputs!$G$5:$G$110="moeda")+(Inputs!$G$5:$G$110="acoes"))*Inputs!$B$1+((Inputs!$G$5:$G$110&lt;&gt;"moeda")*(Inputs!$G$5:$G$110&lt;&gt;"acoes")))*INDEX(Inputs!$K$5:$AJ$110,0,MATCH(P$2,Inputs!$K$4:$AJ$4,0)))+SUMPRODUCT((Inputs!$C$5:$C$110=$B25)*Inputs!$D$5:$D$110*(((Inputs!$G$5:$G$110="moeda")+(Inputs!$G$5:$G$110="acoes"))*Inputs!$B$1+((Inputs!$G$5:$G$110&lt;&gt;"moeda")*(Inputs!$G$5:$G$110&lt;&gt;"acoes")))*INDEX(Inputs!$K$5:$AJ$110,0,MATCH(P$2,Inputs!$K$4:$AJ$4,0)))+SUMPRODUCT((Inputs!$E$5:$E$110=$B25)*Inputs!$F$5:$F$110*(((Inputs!$G$5:$G$110="moeda")+(Inputs!$G$5:$G$110="acoes"))*Inputs!$B$1+((Inputs!$G$5:$G$110&lt;&gt;"moeda")*(Inputs!$G$5:$G$110&lt;&gt;"acoes")))*INDEX(Inputs!$K$5:$AJ$110,0,MATCH(P$2,Inputs!$K$4:$AJ$4,0)))))</f>
        <v>1833</v>
      </c>
      <c r="Q25" s="6">
        <f>IF(ISNA(MATCH(Q$2,Inputs!$K$4:$AJ$4,0)),NA(),IF(SUMPRODUCT((Inputs!$A$5:$A$110=$B25)*ISNUMBER(INDEX(Inputs!$K$5:$AJ$110,0,MATCH(Q$2,Inputs!$K$4:$AJ$4,0))))+SUMPRODUCT((Inputs!$C$5:$C$110=$B25)*ISNUMBER(INDEX(Inputs!$K$5:$AJ$110,0,MATCH(Q$2,Inputs!$K$4:$AJ$4,0))))+SUMPRODUCT((Inputs!$E$5:$E$110=$B25)*ISNUMBER(INDEX(Inputs!$K$5:$AJ$110,0,MATCH(Q$2,Inputs!$K$4:$AJ$4,0))))=0,NA(),SUMPRODUCT((Inputs!$A$5:$A$110=$B25)*Inputs!$B$5:$B$110*(((Inputs!$G$5:$G$110="moeda")+(Inputs!$G$5:$G$110="acoes"))*Inputs!$B$1+((Inputs!$G$5:$G$110&lt;&gt;"moeda")*(Inputs!$G$5:$G$110&lt;&gt;"acoes")))*INDEX(Inputs!$K$5:$AJ$110,0,MATCH(Q$2,Inputs!$K$4:$AJ$4,0)))+SUMPRODUCT((Inputs!$C$5:$C$110=$B25)*Inputs!$D$5:$D$110*(((Inputs!$G$5:$G$110="moeda")+(Inputs!$G$5:$G$110="acoes"))*Inputs!$B$1+((Inputs!$G$5:$G$110&lt;&gt;"moeda")*(Inputs!$G$5:$G$110&lt;&gt;"acoes")))*INDEX(Inputs!$K$5:$AJ$110,0,MATCH(Q$2,Inputs!$K$4:$AJ$4,0)))+SUMPRODUCT((Inputs!$E$5:$E$110=$B25)*Inputs!$F$5:$F$110*(((Inputs!$G$5:$G$110="moeda")+(Inputs!$G$5:$G$110="acoes"))*Inputs!$B$1+((Inputs!$G$5:$G$110&lt;&gt;"moeda")*(Inputs!$G$5:$G$110&lt;&gt;"acoes")))*INDEX(Inputs!$K$5:$AJ$110,0,MATCH(Q$2,Inputs!$K$4:$AJ$4,0)))))</f>
        <v>0</v>
      </c>
      <c r="R25" s="3">
        <f>Q25</f>
        <v>0</v>
      </c>
      <c r="S25" s="6">
        <f>IF(ISNA(MATCH(S$2,Inputs!$K$4:$AJ$4,0)),NA(),IF(SUMPRODUCT((Inputs!$A$5:$A$110=$B25)*ISNUMBER(INDEX(Inputs!$K$5:$AJ$110,0,MATCH(S$2,Inputs!$K$4:$AJ$4,0))))+SUMPRODUCT((Inputs!$C$5:$C$110=$B25)*ISNUMBER(INDEX(Inputs!$K$5:$AJ$110,0,MATCH(S$2,Inputs!$K$4:$AJ$4,0))))+SUMPRODUCT((Inputs!$E$5:$E$110=$B25)*ISNUMBER(INDEX(Inputs!$K$5:$AJ$110,0,MATCH(S$2,Inputs!$K$4:$AJ$4,0))))=0,NA(),SUMPRODUCT((Inputs!$A$5:$A$110=$B25)*Inputs!$B$5:$B$110*(((Inputs!$G$5:$G$110="moeda")+(Inputs!$G$5:$G$110="acoes"))*Inputs!$B$1+((Inputs!$G$5:$G$110&lt;&gt;"moeda")*(Inputs!$G$5:$G$110&lt;&gt;"acoes")))*INDEX(Inputs!$K$5:$AJ$110,0,MATCH(S$2,Inputs!$K$4:$AJ$4,0)))+SUMPRODUCT((Inputs!$C$5:$C$110=$B25)*Inputs!$D$5:$D$110*(((Inputs!$G$5:$G$110="moeda")+(Inputs!$G$5:$G$110="acoes"))*Inputs!$B$1+((Inputs!$G$5:$G$110&lt;&gt;"moeda")*(Inputs!$G$5:$G$110&lt;&gt;"acoes")))*INDEX(Inputs!$K$5:$AJ$110,0,MATCH(S$2,Inputs!$K$4:$AJ$4,0)))+SUMPRODUCT((Inputs!$E$5:$E$110=$B25)*Inputs!$F$5:$F$110*(((Inputs!$G$5:$G$110="moeda")+(Inputs!$G$5:$G$110="acoes"))*Inputs!$B$1+((Inputs!$G$5:$G$110&lt;&gt;"moeda")*(Inputs!$G$5:$G$110&lt;&gt;"acoes")))*INDEX(Inputs!$K$5:$AJ$110,0,MATCH(S$2,Inputs!$K$4:$AJ$4,0)))))</f>
        <v>0</v>
      </c>
      <c r="T25" s="6">
        <f>IF(ISNA(MATCH(T$2,Inputs!$K$4:$AJ$4,0)),NA(),IF(SUMPRODUCT((Inputs!$A$5:$A$110=$B25)*ISNUMBER(INDEX(Inputs!$K$5:$AJ$110,0,MATCH(T$2,Inputs!$K$4:$AJ$4,0))))+SUMPRODUCT((Inputs!$C$5:$C$110=$B25)*ISNUMBER(INDEX(Inputs!$K$5:$AJ$110,0,MATCH(T$2,Inputs!$K$4:$AJ$4,0))))+SUMPRODUCT((Inputs!$E$5:$E$110=$B25)*ISNUMBER(INDEX(Inputs!$K$5:$AJ$110,0,MATCH(T$2,Inputs!$K$4:$AJ$4,0))))=0,NA(),SUMPRODUCT((Inputs!$A$5:$A$110=$B25)*Inputs!$B$5:$B$110*(((Inputs!$G$5:$G$110="moeda")+(Inputs!$G$5:$G$110="acoes"))*Inputs!$B$1+((Inputs!$G$5:$G$110&lt;&gt;"moeda")*(Inputs!$G$5:$G$110&lt;&gt;"acoes")))*INDEX(Inputs!$K$5:$AJ$110,0,MATCH(T$2,Inputs!$K$4:$AJ$4,0)))+SUMPRODUCT((Inputs!$C$5:$C$110=$B25)*Inputs!$D$5:$D$110*(((Inputs!$G$5:$G$110="moeda")+(Inputs!$G$5:$G$110="acoes"))*Inputs!$B$1+((Inputs!$G$5:$G$110&lt;&gt;"moeda")*(Inputs!$G$5:$G$110&lt;&gt;"acoes")))*INDEX(Inputs!$K$5:$AJ$110,0,MATCH(T$2,Inputs!$K$4:$AJ$4,0)))+SUMPRODUCT((Inputs!$E$5:$E$110=$B25)*Inputs!$F$5:$F$110*(((Inputs!$G$5:$G$110="moeda")+(Inputs!$G$5:$G$110="acoes"))*Inputs!$B$1+((Inputs!$G$5:$G$110&lt;&gt;"moeda")*(Inputs!$G$5:$G$110&lt;&gt;"acoes")))*INDEX(Inputs!$K$5:$AJ$110,0,MATCH(T$2,Inputs!$K$4:$AJ$4,0)))))</f>
        <v>0</v>
      </c>
      <c r="U25" s="6">
        <f>IF(ISNA(MATCH(U$2,Inputs!$K$4:$AJ$4,0)),NA(),IF(SUMPRODUCT((Inputs!$A$5:$A$110=$B25)*ISNUMBER(INDEX(Inputs!$K$5:$AJ$110,0,MATCH(U$2,Inputs!$K$4:$AJ$4,0))))+SUMPRODUCT((Inputs!$C$5:$C$110=$B25)*ISNUMBER(INDEX(Inputs!$K$5:$AJ$110,0,MATCH(U$2,Inputs!$K$4:$AJ$4,0))))+SUMPRODUCT((Inputs!$E$5:$E$110=$B25)*ISNUMBER(INDEX(Inputs!$K$5:$AJ$110,0,MATCH(U$2,Inputs!$K$4:$AJ$4,0))))=0,NA(),SUMPRODUCT((Inputs!$A$5:$A$110=$B25)*Inputs!$B$5:$B$110*(((Inputs!$G$5:$G$110="moeda")+(Inputs!$G$5:$G$110="acoes"))*Inputs!$B$1+((Inputs!$G$5:$G$110&lt;&gt;"moeda")*(Inputs!$G$5:$G$110&lt;&gt;"acoes")))*INDEX(Inputs!$K$5:$AJ$110,0,MATCH(U$2,Inputs!$K$4:$AJ$4,0)))+SUMPRODUCT((Inputs!$C$5:$C$110=$B25)*Inputs!$D$5:$D$110*(((Inputs!$G$5:$G$110="moeda")+(Inputs!$G$5:$G$110="acoes"))*Inputs!$B$1+((Inputs!$G$5:$G$110&lt;&gt;"moeda")*(Inputs!$G$5:$G$110&lt;&gt;"acoes")))*INDEX(Inputs!$K$5:$AJ$110,0,MATCH(U$2,Inputs!$K$4:$AJ$4,0)))+SUMPRODUCT((Inputs!$E$5:$E$110=$B25)*Inputs!$F$5:$F$110*(((Inputs!$G$5:$G$110="moeda")+(Inputs!$G$5:$G$110="acoes"))*Inputs!$B$1+((Inputs!$G$5:$G$110&lt;&gt;"moeda")*(Inputs!$G$5:$G$110&lt;&gt;"acoes")))*INDEX(Inputs!$K$5:$AJ$110,0,MATCH(U$2,Inputs!$K$4:$AJ$4,0)))))</f>
        <v>0</v>
      </c>
      <c r="V25" s="6">
        <f>IF(ISNA(MATCH(V$2,Inputs!$K$4:$AJ$4,0)),NA(),IF(SUMPRODUCT((Inputs!$A$5:$A$110=$B25)*ISNUMBER(INDEX(Inputs!$K$5:$AJ$110,0,MATCH(V$2,Inputs!$K$4:$AJ$4,0))))+SUMPRODUCT((Inputs!$C$5:$C$110=$B25)*ISNUMBER(INDEX(Inputs!$K$5:$AJ$110,0,MATCH(V$2,Inputs!$K$4:$AJ$4,0))))+SUMPRODUCT((Inputs!$E$5:$E$110=$B25)*ISNUMBER(INDEX(Inputs!$K$5:$AJ$110,0,MATCH(V$2,Inputs!$K$4:$AJ$4,0))))=0,NA(),SUMPRODUCT((Inputs!$A$5:$A$110=$B25)*Inputs!$B$5:$B$110*(((Inputs!$G$5:$G$110="moeda")+(Inputs!$G$5:$G$110="acoes"))*Inputs!$B$1+((Inputs!$G$5:$G$110&lt;&gt;"moeda")*(Inputs!$G$5:$G$110&lt;&gt;"acoes")))*INDEX(Inputs!$K$5:$AJ$110,0,MATCH(V$2,Inputs!$K$4:$AJ$4,0)))+SUMPRODUCT((Inputs!$C$5:$C$110=$B25)*Inputs!$D$5:$D$110*(((Inputs!$G$5:$G$110="moeda")+(Inputs!$G$5:$G$110="acoes"))*Inputs!$B$1+((Inputs!$G$5:$G$110&lt;&gt;"moeda")*(Inputs!$G$5:$G$110&lt;&gt;"acoes")))*INDEX(Inputs!$K$5:$AJ$110,0,MATCH(V$2,Inputs!$K$4:$AJ$4,0)))+SUMPRODUCT((Inputs!$E$5:$E$110=$B25)*Inputs!$F$5:$F$110*(((Inputs!$G$5:$G$110="moeda")+(Inputs!$G$5:$G$110="acoes"))*Inputs!$B$1+((Inputs!$G$5:$G$110&lt;&gt;"moeda")*(Inputs!$G$5:$G$110&lt;&gt;"acoes")))*INDEX(Inputs!$K$5:$AJ$110,0,MATCH(V$2,Inputs!$K$4:$AJ$4,0)))))</f>
        <v>0</v>
      </c>
      <c r="W25" s="3">
        <f>V25</f>
        <v>0</v>
      </c>
      <c r="X25" s="6">
        <f>IF(ISNA(MATCH(X$2,Inputs!$K$4:$AJ$4,0)),NA(),IF(SUMPRODUCT((Inputs!$A$5:$A$110=$B25)*ISNUMBER(INDEX(Inputs!$K$5:$AJ$110,0,MATCH(X$2,Inputs!$K$4:$AJ$4,0))))+SUMPRODUCT((Inputs!$C$5:$C$110=$B25)*ISNUMBER(INDEX(Inputs!$K$5:$AJ$110,0,MATCH(X$2,Inputs!$K$4:$AJ$4,0))))+SUMPRODUCT((Inputs!$E$5:$E$110=$B25)*ISNUMBER(INDEX(Inputs!$K$5:$AJ$110,0,MATCH(X$2,Inputs!$K$4:$AJ$4,0))))=0,NA(),SUMPRODUCT((Inputs!$A$5:$A$110=$B25)*Inputs!$B$5:$B$110*(((Inputs!$G$5:$G$110="moeda")+(Inputs!$G$5:$G$110="acoes"))*Inputs!$B$1+((Inputs!$G$5:$G$110&lt;&gt;"moeda")*(Inputs!$G$5:$G$110&lt;&gt;"acoes")))*INDEX(Inputs!$K$5:$AJ$110,0,MATCH(X$2,Inputs!$K$4:$AJ$4,0)))+SUMPRODUCT((Inputs!$C$5:$C$110=$B25)*Inputs!$D$5:$D$110*(((Inputs!$G$5:$G$110="moeda")+(Inputs!$G$5:$G$110="acoes"))*Inputs!$B$1+((Inputs!$G$5:$G$110&lt;&gt;"moeda")*(Inputs!$G$5:$G$110&lt;&gt;"acoes")))*INDEX(Inputs!$K$5:$AJ$110,0,MATCH(X$2,Inputs!$K$4:$AJ$4,0)))+SUMPRODUCT((Inputs!$E$5:$E$110=$B25)*Inputs!$F$5:$F$110*(((Inputs!$G$5:$G$110="moeda")+(Inputs!$G$5:$G$110="acoes"))*Inputs!$B$1+((Inputs!$G$5:$G$110&lt;&gt;"moeda")*(Inputs!$G$5:$G$110&lt;&gt;"acoes")))*INDEX(Inputs!$K$5:$AJ$110,0,MATCH(X$2,Inputs!$K$4:$AJ$4,0)))))</f>
        <v>0</v>
      </c>
      <c r="Y25" s="6">
        <f>IF(ISNA(MATCH(Y$2,Inputs!$K$4:$AJ$4,0)),NA(),IF(SUMPRODUCT((Inputs!$A$5:$A$110=$B25)*ISNUMBER(INDEX(Inputs!$K$5:$AJ$110,0,MATCH(Y$2,Inputs!$K$4:$AJ$4,0))))+SUMPRODUCT((Inputs!$C$5:$C$110=$B25)*ISNUMBER(INDEX(Inputs!$K$5:$AJ$110,0,MATCH(Y$2,Inputs!$K$4:$AJ$4,0))))+SUMPRODUCT((Inputs!$E$5:$E$110=$B25)*ISNUMBER(INDEX(Inputs!$K$5:$AJ$110,0,MATCH(Y$2,Inputs!$K$4:$AJ$4,0))))=0,NA(),SUMPRODUCT((Inputs!$A$5:$A$110=$B25)*Inputs!$B$5:$B$110*(((Inputs!$G$5:$G$110="moeda")+(Inputs!$G$5:$G$110="acoes"))*Inputs!$B$1+((Inputs!$G$5:$G$110&lt;&gt;"moeda")*(Inputs!$G$5:$G$110&lt;&gt;"acoes")))*INDEX(Inputs!$K$5:$AJ$110,0,MATCH(Y$2,Inputs!$K$4:$AJ$4,0)))+SUMPRODUCT((Inputs!$C$5:$C$110=$B25)*Inputs!$D$5:$D$110*(((Inputs!$G$5:$G$110="moeda")+(Inputs!$G$5:$G$110="acoes"))*Inputs!$B$1+((Inputs!$G$5:$G$110&lt;&gt;"moeda")*(Inputs!$G$5:$G$110&lt;&gt;"acoes")))*INDEX(Inputs!$K$5:$AJ$110,0,MATCH(Y$2,Inputs!$K$4:$AJ$4,0)))+SUMPRODUCT((Inputs!$E$5:$E$110=$B25)*Inputs!$F$5:$F$110*(((Inputs!$G$5:$G$110="moeda")+(Inputs!$G$5:$G$110="acoes"))*Inputs!$B$1+((Inputs!$G$5:$G$110&lt;&gt;"moeda")*(Inputs!$G$5:$G$110&lt;&gt;"acoes")))*INDEX(Inputs!$K$5:$AJ$110,0,MATCH(Y$2,Inputs!$K$4:$AJ$4,0)))))</f>
        <v>0</v>
      </c>
      <c r="Z25" s="6">
        <f>IF(ISNA(MATCH(Z$2,Inputs!$K$4:$AJ$4,0)),NA(),IF(SUMPRODUCT((Inputs!$A$5:$A$110=$B25)*ISNUMBER(INDEX(Inputs!$K$5:$AJ$110,0,MATCH(Z$2,Inputs!$K$4:$AJ$4,0))))+SUMPRODUCT((Inputs!$C$5:$C$110=$B25)*ISNUMBER(INDEX(Inputs!$K$5:$AJ$110,0,MATCH(Z$2,Inputs!$K$4:$AJ$4,0))))+SUMPRODUCT((Inputs!$E$5:$E$110=$B25)*ISNUMBER(INDEX(Inputs!$K$5:$AJ$110,0,MATCH(Z$2,Inputs!$K$4:$AJ$4,0))))=0,NA(),SUMPRODUCT((Inputs!$A$5:$A$110=$B25)*Inputs!$B$5:$B$110*(((Inputs!$G$5:$G$110="moeda")+(Inputs!$G$5:$G$110="acoes"))*Inputs!$B$1+((Inputs!$G$5:$G$110&lt;&gt;"moeda")*(Inputs!$G$5:$G$110&lt;&gt;"acoes")))*INDEX(Inputs!$K$5:$AJ$110,0,MATCH(Z$2,Inputs!$K$4:$AJ$4,0)))+SUMPRODUCT((Inputs!$C$5:$C$110=$B25)*Inputs!$D$5:$D$110*(((Inputs!$G$5:$G$110="moeda")+(Inputs!$G$5:$G$110="acoes"))*Inputs!$B$1+((Inputs!$G$5:$G$110&lt;&gt;"moeda")*(Inputs!$G$5:$G$110&lt;&gt;"acoes")))*INDEX(Inputs!$K$5:$AJ$110,0,MATCH(Z$2,Inputs!$K$4:$AJ$4,0)))+SUMPRODUCT((Inputs!$E$5:$E$110=$B25)*Inputs!$F$5:$F$110*(((Inputs!$G$5:$G$110="moeda")+(Inputs!$G$5:$G$110="acoes"))*Inputs!$B$1+((Inputs!$G$5:$G$110&lt;&gt;"moeda")*(Inputs!$G$5:$G$110&lt;&gt;"acoes")))*INDEX(Inputs!$K$5:$AJ$110,0,MATCH(Z$2,Inputs!$K$4:$AJ$4,0)))))</f>
        <v>0</v>
      </c>
      <c r="AA25" s="6">
        <f>IF(ISNA(MATCH(AA$2,Inputs!$K$4:$AJ$4,0)),NA(),IF(SUMPRODUCT((Inputs!$A$5:$A$110=$B25)*ISNUMBER(INDEX(Inputs!$K$5:$AJ$110,0,MATCH(AA$2,Inputs!$K$4:$AJ$4,0))))+SUMPRODUCT((Inputs!$C$5:$C$110=$B25)*ISNUMBER(INDEX(Inputs!$K$5:$AJ$110,0,MATCH(AA$2,Inputs!$K$4:$AJ$4,0))))+SUMPRODUCT((Inputs!$E$5:$E$110=$B25)*ISNUMBER(INDEX(Inputs!$K$5:$AJ$110,0,MATCH(AA$2,Inputs!$K$4:$AJ$4,0))))=0,NA(),SUMPRODUCT((Inputs!$A$5:$A$110=$B25)*Inputs!$B$5:$B$110*(((Inputs!$G$5:$G$110="moeda")+(Inputs!$G$5:$G$110="acoes"))*Inputs!$B$1+((Inputs!$G$5:$G$110&lt;&gt;"moeda")*(Inputs!$G$5:$G$110&lt;&gt;"acoes")))*INDEX(Inputs!$K$5:$AJ$110,0,MATCH(AA$2,Inputs!$K$4:$AJ$4,0)))+SUMPRODUCT((Inputs!$C$5:$C$110=$B25)*Inputs!$D$5:$D$110*(((Inputs!$G$5:$G$110="moeda")+(Inputs!$G$5:$G$110="acoes"))*Inputs!$B$1+((Inputs!$G$5:$G$110&lt;&gt;"moeda")*(Inputs!$G$5:$G$110&lt;&gt;"acoes")))*INDEX(Inputs!$K$5:$AJ$110,0,MATCH(AA$2,Inputs!$K$4:$AJ$4,0)))+SUMPRODUCT((Inputs!$E$5:$E$110=$B25)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5" s="3">
        <f>AA25</f>
        <v>0</v>
      </c>
      <c r="AC25" s="6">
        <f>IF(ISNA(MATCH(AC$2,Inputs!$K$4:$AJ$4,0)),NA(),IF(SUMPRODUCT((Inputs!$A$5:$A$110=$B25)*ISNUMBER(INDEX(Inputs!$K$5:$AJ$110,0,MATCH(AC$2,Inputs!$K$4:$AJ$4,0))))+SUMPRODUCT((Inputs!$C$5:$C$110=$B25)*ISNUMBER(INDEX(Inputs!$K$5:$AJ$110,0,MATCH(AC$2,Inputs!$K$4:$AJ$4,0))))+SUMPRODUCT((Inputs!$E$5:$E$110=$B25)*ISNUMBER(INDEX(Inputs!$K$5:$AJ$110,0,MATCH(AC$2,Inputs!$K$4:$AJ$4,0))))=0,NA(),SUMPRODUCT((Inputs!$A$5:$A$110=$B25)*Inputs!$B$5:$B$110*(((Inputs!$G$5:$G$110="moeda")+(Inputs!$G$5:$G$110="acoes"))*Inputs!$B$1+((Inputs!$G$5:$G$110&lt;&gt;"moeda")*(Inputs!$G$5:$G$110&lt;&gt;"acoes")))*INDEX(Inputs!$K$5:$AJ$110,0,MATCH(AC$2,Inputs!$K$4:$AJ$4,0)))+SUMPRODUCT((Inputs!$C$5:$C$110=$B25)*Inputs!$D$5:$D$110*(((Inputs!$G$5:$G$110="moeda")+(Inputs!$G$5:$G$110="acoes"))*Inputs!$B$1+((Inputs!$G$5:$G$110&lt;&gt;"moeda")*(Inputs!$G$5:$G$110&lt;&gt;"acoes")))*INDEX(Inputs!$K$5:$AJ$110,0,MATCH(AC$2,Inputs!$K$4:$AJ$4,0)))+SUMPRODUCT((Inputs!$E$5:$E$110=$B25)*Inputs!$F$5:$F$110*(((Inputs!$G$5:$G$110="moeda")+(Inputs!$G$5:$G$110="acoes"))*Inputs!$B$1+((Inputs!$G$5:$G$110&lt;&gt;"moeda")*(Inputs!$G$5:$G$110&lt;&gt;"acoes")))*INDEX(Inputs!$K$5:$AJ$110,0,MATCH(AC$2,Inputs!$K$4:$AJ$4,0)))))</f>
        <v>9444</v>
      </c>
      <c r="AD25" s="6">
        <f>IF(ISNA(MATCH(AD$2,Inputs!$K$4:$AJ$4,0)),NA(),IF(SUMPRODUCT((Inputs!$A$5:$A$110=$B25)*ISNUMBER(INDEX(Inputs!$K$5:$AJ$110,0,MATCH(AD$2,Inputs!$K$4:$AJ$4,0))))+SUMPRODUCT((Inputs!$C$5:$C$110=$B25)*ISNUMBER(INDEX(Inputs!$K$5:$AJ$110,0,MATCH(AD$2,Inputs!$K$4:$AJ$4,0))))+SUMPRODUCT((Inputs!$E$5:$E$110=$B25)*ISNUMBER(INDEX(Inputs!$K$5:$AJ$110,0,MATCH(AD$2,Inputs!$K$4:$AJ$4,0))))=0,NA(),SUMPRODUCT((Inputs!$A$5:$A$110=$B25)*Inputs!$B$5:$B$110*(((Inputs!$G$5:$G$110="moeda")+(Inputs!$G$5:$G$110="acoes"))*Inputs!$B$1+((Inputs!$G$5:$G$110&lt;&gt;"moeda")*(Inputs!$G$5:$G$110&lt;&gt;"acoes")))*INDEX(Inputs!$K$5:$AJ$110,0,MATCH(AD$2,Inputs!$K$4:$AJ$4,0)))+SUMPRODUCT((Inputs!$C$5:$C$110=$B25)*Inputs!$D$5:$D$110*(((Inputs!$G$5:$G$110="moeda")+(Inputs!$G$5:$G$110="acoes"))*Inputs!$B$1+((Inputs!$G$5:$G$110&lt;&gt;"moeda")*(Inputs!$G$5:$G$110&lt;&gt;"acoes")))*INDEX(Inputs!$K$5:$AJ$110,0,MATCH(AD$2,Inputs!$K$4:$AJ$4,0)))+SUMPRODUCT((Inputs!$E$5:$E$110=$B25)*Inputs!$F$5:$F$110*(((Inputs!$G$5:$G$110="moeda")+(Inputs!$G$5:$G$110="acoes"))*Inputs!$B$1+((Inputs!$G$5:$G$110&lt;&gt;"moeda")*(Inputs!$G$5:$G$110&lt;&gt;"acoes")))*INDEX(Inputs!$K$5:$AJ$110,0,MATCH(AD$2,Inputs!$K$4:$AJ$4,0)))))</f>
        <v>9105</v>
      </c>
      <c r="AE25" s="6" t="e">
        <f>IF(ISNA(MATCH(AE$2,Inputs!$K$4:$AJ$4,0)),NA(),IF(SUMPRODUCT((Inputs!$A$5:$A$110=$B25)*ISNUMBER(INDEX(Inputs!$K$5:$AJ$110,0,MATCH(AE$2,Inputs!$K$4:$AJ$4,0))))+SUMPRODUCT((Inputs!$C$5:$C$110=$B25)*ISNUMBER(INDEX(Inputs!$K$5:$AJ$110,0,MATCH(AE$2,Inputs!$K$4:$AJ$4,0))))+SUMPRODUCT((Inputs!$E$5:$E$110=$B25)*ISNUMBER(INDEX(Inputs!$K$5:$AJ$110,0,MATCH(AE$2,Inputs!$K$4:$AJ$4,0))))=0,NA(),SUMPRODUCT((Inputs!$A$5:$A$110=$B25)*Inputs!$B$5:$B$110*(((Inputs!$G$5:$G$110="moeda")+(Inputs!$G$5:$G$110="acoes"))*Inputs!$B$1+((Inputs!$G$5:$G$110&lt;&gt;"moeda")*(Inputs!$G$5:$G$110&lt;&gt;"acoes")))*INDEX(Inputs!$K$5:$AJ$110,0,MATCH(AE$2,Inputs!$K$4:$AJ$4,0)))+SUMPRODUCT((Inputs!$C$5:$C$110=$B25)*Inputs!$D$5:$D$110*(((Inputs!$G$5:$G$110="moeda")+(Inputs!$G$5:$G$110="acoes"))*Inputs!$B$1+((Inputs!$G$5:$G$110&lt;&gt;"moeda")*(Inputs!$G$5:$G$110&lt;&gt;"acoes")))*INDEX(Inputs!$K$5:$AJ$110,0,MATCH(AE$2,Inputs!$K$4:$AJ$4,0)))+SUMPRODUCT((Inputs!$E$5:$E$110=$B25)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5" s="6" t="e">
        <f>IF(ISNA(MATCH(AF$2,Inputs!$K$4:$AJ$4,0)),NA(),IF(SUMPRODUCT((Inputs!$A$5:$A$110=$B25)*ISNUMBER(INDEX(Inputs!$K$5:$AJ$110,0,MATCH(AF$2,Inputs!$K$4:$AJ$4,0))))+SUMPRODUCT((Inputs!$C$5:$C$110=$B25)*ISNUMBER(INDEX(Inputs!$K$5:$AJ$110,0,MATCH(AF$2,Inputs!$K$4:$AJ$4,0))))+SUMPRODUCT((Inputs!$E$5:$E$110=$B25)*ISNUMBER(INDEX(Inputs!$K$5:$AJ$110,0,MATCH(AF$2,Inputs!$K$4:$AJ$4,0))))=0,NA(),SUMPRODUCT((Inputs!$A$5:$A$110=$B25)*Inputs!$B$5:$B$110*(((Inputs!$G$5:$G$110="moeda")+(Inputs!$G$5:$G$110="acoes"))*Inputs!$B$1+((Inputs!$G$5:$G$110&lt;&gt;"moeda")*(Inputs!$G$5:$G$110&lt;&gt;"acoes")))*INDEX(Inputs!$K$5:$AJ$110,0,MATCH(AF$2,Inputs!$K$4:$AJ$4,0)))+SUMPRODUCT((Inputs!$C$5:$C$110=$B25)*Inputs!$D$5:$D$110*(((Inputs!$G$5:$G$110="moeda")+(Inputs!$G$5:$G$110="acoes"))*Inputs!$B$1+((Inputs!$G$5:$G$110&lt;&gt;"moeda")*(Inputs!$G$5:$G$110&lt;&gt;"acoes")))*INDEX(Inputs!$K$5:$AJ$110,0,MATCH(AF$2,Inputs!$K$4:$AJ$4,0)))+SUMPRODUCT((Inputs!$E$5:$E$110=$B25)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5" s="3" t="e">
        <f>AF25</f>
        <v>#N/A</v>
      </c>
      <c r="AH25" s="6">
        <f>IF(ISNA(MATCH(AH$2,Inputs!$K$4:$AJ$4,0)),NA(),IF(SUMPRODUCT((Inputs!$A$5:$A$110=$B25)*ISNUMBER(INDEX(Inputs!$K$5:$AJ$110,0,MATCH(AH$2,Inputs!$K$4:$AJ$4,0))))+SUMPRODUCT((Inputs!$C$5:$C$110=$B25)*ISNUMBER(INDEX(Inputs!$K$5:$AJ$110,0,MATCH(AH$2,Inputs!$K$4:$AJ$4,0))))+SUMPRODUCT((Inputs!$E$5:$E$110=$B25)*ISNUMBER(INDEX(Inputs!$K$5:$AJ$110,0,MATCH(AH$2,Inputs!$K$4:$AJ$4,0))))=0,NA(),SUMPRODUCT((Inputs!$A$5:$A$110=$B25)*Inputs!$B$5:$B$110*(((Inputs!$G$5:$G$110="moeda")+(Inputs!$G$5:$G$110="acoes"))*Inputs!$B$1+((Inputs!$G$5:$G$110&lt;&gt;"moeda")*(Inputs!$G$5:$G$110&lt;&gt;"acoes")))*INDEX(Inputs!$K$5:$AJ$110,0,MATCH(AH$2,Inputs!$K$4:$AJ$4,0)))+SUMPRODUCT((Inputs!$C$5:$C$110=$B25)*Inputs!$D$5:$D$110*(((Inputs!$G$5:$G$110="moeda")+(Inputs!$G$5:$G$110="acoes"))*Inputs!$B$1+((Inputs!$G$5:$G$110&lt;&gt;"moeda")*(Inputs!$G$5:$G$110&lt;&gt;"acoes")))*INDEX(Inputs!$K$5:$AJ$110,0,MATCH(AH$2,Inputs!$K$4:$AJ$4,0)))+SUMPRODUCT((Inputs!$E$5:$E$110=$B25)*Inputs!$F$5:$F$110*(((Inputs!$G$5:$G$110="moeda")+(Inputs!$G$5:$G$110="acoes"))*Inputs!$B$1+((Inputs!$G$5:$G$110&lt;&gt;"moeda")*(Inputs!$G$5:$G$110&lt;&gt;"acoes")))*INDEX(Inputs!$K$5:$AJ$110,0,MATCH(AH$2,Inputs!$K$4:$AJ$4,0)))))</f>
        <v>1840</v>
      </c>
      <c r="AI25" s="6">
        <f>IF(ISNA(MATCH(AI$2,Inputs!$K$4:$AJ$4,0)),NA(),IF(SUMPRODUCT((Inputs!$A$5:$A$110=$B25)*ISNUMBER(INDEX(Inputs!$K$5:$AJ$110,0,MATCH(AI$2,Inputs!$K$4:$AJ$4,0))))+SUMPRODUCT((Inputs!$C$5:$C$110=$B25)*ISNUMBER(INDEX(Inputs!$K$5:$AJ$110,0,MATCH(AI$2,Inputs!$K$4:$AJ$4,0))))+SUMPRODUCT((Inputs!$E$5:$E$110=$B25)*ISNUMBER(INDEX(Inputs!$K$5:$AJ$110,0,MATCH(AI$2,Inputs!$K$4:$AJ$4,0))))=0,NA(),SUMPRODUCT((Inputs!$A$5:$A$110=$B25)*Inputs!$B$5:$B$110*(((Inputs!$G$5:$G$110="moeda")+(Inputs!$G$5:$G$110="acoes"))*Inputs!$B$1+((Inputs!$G$5:$G$110&lt;&gt;"moeda")*(Inputs!$G$5:$G$110&lt;&gt;"acoes")))*INDEX(Inputs!$K$5:$AJ$110,0,MATCH(AI$2,Inputs!$K$4:$AJ$4,0)))+SUMPRODUCT((Inputs!$C$5:$C$110=$B25)*Inputs!$D$5:$D$110*(((Inputs!$G$5:$G$110="moeda")+(Inputs!$G$5:$G$110="acoes"))*Inputs!$B$1+((Inputs!$G$5:$G$110&lt;&gt;"moeda")*(Inputs!$G$5:$G$110&lt;&gt;"acoes")))*INDEX(Inputs!$K$5:$AJ$110,0,MATCH(AI$2,Inputs!$K$4:$AJ$4,0)))+SUMPRODUCT((Inputs!$E$5:$E$110=$B25)*Inputs!$F$5:$F$110*(((Inputs!$G$5:$G$110="moeda")+(Inputs!$G$5:$G$110="acoes"))*Inputs!$B$1+((Inputs!$G$5:$G$110&lt;&gt;"moeda")*(Inputs!$G$5:$G$110&lt;&gt;"acoes")))*INDEX(Inputs!$K$5:$AJ$110,0,MATCH(AI$2,Inputs!$K$4:$AJ$4,0)))))</f>
        <v>1697</v>
      </c>
      <c r="AJ25" s="6">
        <f>IF(ISNA(MATCH(AJ$2,Inputs!$K$4:$AJ$4,0)),NA(),IF(SUMPRODUCT((Inputs!$A$5:$A$110=$B25)*ISNUMBER(INDEX(Inputs!$K$5:$AJ$110,0,MATCH(AJ$2,Inputs!$K$4:$AJ$4,0))))+SUMPRODUCT((Inputs!$C$5:$C$110=$B25)*ISNUMBER(INDEX(Inputs!$K$5:$AJ$110,0,MATCH(AJ$2,Inputs!$K$4:$AJ$4,0))))+SUMPRODUCT((Inputs!$E$5:$E$110=$B25)*ISNUMBER(INDEX(Inputs!$K$5:$AJ$110,0,MATCH(AJ$2,Inputs!$K$4:$AJ$4,0))))=0,NA(),SUMPRODUCT((Inputs!$A$5:$A$110=$B25)*Inputs!$B$5:$B$110*(((Inputs!$G$5:$G$110="moeda")+(Inputs!$G$5:$G$110="acoes"))*Inputs!$B$1+((Inputs!$G$5:$G$110&lt;&gt;"moeda")*(Inputs!$G$5:$G$110&lt;&gt;"acoes")))*INDEX(Inputs!$K$5:$AJ$110,0,MATCH(AJ$2,Inputs!$K$4:$AJ$4,0)))+SUMPRODUCT((Inputs!$C$5:$C$110=$B25)*Inputs!$D$5:$D$110*(((Inputs!$G$5:$G$110="moeda")+(Inputs!$G$5:$G$110="acoes"))*Inputs!$B$1+((Inputs!$G$5:$G$110&lt;&gt;"moeda")*(Inputs!$G$5:$G$110&lt;&gt;"acoes")))*INDEX(Inputs!$K$5:$AJ$110,0,MATCH(AJ$2,Inputs!$K$4:$AJ$4,0)))+SUMPRODUCT((Inputs!$E$5:$E$110=$B25)*Inputs!$F$5:$F$110*(((Inputs!$G$5:$G$110="moeda")+(Inputs!$G$5:$G$110="acoes"))*Inputs!$B$1+((Inputs!$G$5:$G$110&lt;&gt;"moeda")*(Inputs!$G$5:$G$110&lt;&gt;"acoes")))*INDEX(Inputs!$K$5:$AJ$110,0,MATCH(AJ$2,Inputs!$K$4:$AJ$4,0)))))</f>
        <v>1520</v>
      </c>
      <c r="AK25" s="6">
        <f>IF(ISNA(MATCH(AK$2,Inputs!$K$4:$AJ$4,0)),NA(),IF(SUMPRODUCT((Inputs!$A$5:$A$110=$B25)*ISNUMBER(INDEX(Inputs!$K$5:$AJ$110,0,MATCH(AK$2,Inputs!$K$4:$AJ$4,0))))+SUMPRODUCT((Inputs!$C$5:$C$110=$B25)*ISNUMBER(INDEX(Inputs!$K$5:$AJ$110,0,MATCH(AK$2,Inputs!$K$4:$AJ$4,0))))+SUMPRODUCT((Inputs!$E$5:$E$110=$B25)*ISNUMBER(INDEX(Inputs!$K$5:$AJ$110,0,MATCH(AK$2,Inputs!$K$4:$AJ$4,0))))=0,NA(),SUMPRODUCT((Inputs!$A$5:$A$110=$B25)*Inputs!$B$5:$B$110*(((Inputs!$G$5:$G$110="moeda")+(Inputs!$G$5:$G$110="acoes"))*Inputs!$B$1+((Inputs!$G$5:$G$110&lt;&gt;"moeda")*(Inputs!$G$5:$G$110&lt;&gt;"acoes")))*INDEX(Inputs!$K$5:$AJ$110,0,MATCH(AK$2,Inputs!$K$4:$AJ$4,0)))+SUMPRODUCT((Inputs!$C$5:$C$110=$B25)*Inputs!$D$5:$D$110*(((Inputs!$G$5:$G$110="moeda")+(Inputs!$G$5:$G$110="acoes"))*Inputs!$B$1+((Inputs!$G$5:$G$110&lt;&gt;"moeda")*(Inputs!$G$5:$G$110&lt;&gt;"acoes")))*INDEX(Inputs!$K$5:$AJ$110,0,MATCH(AK$2,Inputs!$K$4:$AJ$4,0)))+SUMPRODUCT((Inputs!$E$5:$E$110=$B25)*Inputs!$F$5:$F$110*(((Inputs!$G$5:$G$110="moeda")+(Inputs!$G$5:$G$110="acoes"))*Inputs!$B$1+((Inputs!$G$5:$G$110&lt;&gt;"moeda")*(Inputs!$G$5:$G$110&lt;&gt;"acoes")))*INDEX(Inputs!$K$5:$AJ$110,0,MATCH(AK$2,Inputs!$K$4:$AJ$4,0)))))</f>
        <v>1445</v>
      </c>
      <c r="AL25" s="3">
        <f>AK25</f>
        <v>1445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$110=$B26)*ISNUMBER(INDEX(Inputs!$K$5:$AJ$110,0,MATCH(D$2,Inputs!$K$4:$AJ$4,0))))+SUMPRODUCT((Inputs!$C$5:$C$110=$B26)*ISNUMBER(INDEX(Inputs!$K$5:$AJ$110,0,MATCH(D$2,Inputs!$K$4:$AJ$4,0))))+SUMPRODUCT((Inputs!$E$5:$E$110=$B26)*ISNUMBER(INDEX(Inputs!$K$5:$AJ$110,0,MATCH(D$2,Inputs!$K$4:$AJ$4,0))))=0,NA(),SUMPRODUCT((Inputs!$A$5:$A$110=$B26)*Inputs!$B$5:$B$110*(((Inputs!$G$5:$G$110="moeda")+(Inputs!$G$5:$G$110="acoes"))*Inputs!$B$1+((Inputs!$G$5:$G$110&lt;&gt;"moeda")*(Inputs!$G$5:$G$110&lt;&gt;"acoes")))*INDEX(Inputs!$K$5:$AJ$110,0,MATCH(D$2,Inputs!$K$4:$AJ$4,0)))+SUMPRODUCT((Inputs!$C$5:$C$110=$B26)*Inputs!$D$5:$D$110*(((Inputs!$G$5:$G$110="moeda")+(Inputs!$G$5:$G$110="acoes"))*Inputs!$B$1+((Inputs!$G$5:$G$110&lt;&gt;"moeda")*(Inputs!$G$5:$G$110&lt;&gt;"acoes")))*INDEX(Inputs!$K$5:$AJ$110,0,MATCH(D$2,Inputs!$K$4:$AJ$4,0)))+SUMPRODUCT((Inputs!$E$5:$E$110=$B26)*Inputs!$F$5:$F$110*(((Inputs!$G$5:$G$110="moeda")+(Inputs!$G$5:$G$110="acoes"))*Inputs!$B$1+((Inputs!$G$5:$G$110&lt;&gt;"moeda")*(Inputs!$G$5:$G$110&lt;&gt;"acoes")))*INDEX(Inputs!$K$5:$AJ$110,0,MATCH(D$2,Inputs!$K$4:$AJ$4,0)))))</f>
        <v>29461</v>
      </c>
      <c r="E26" s="6">
        <f>IF(ISNA(MATCH(E$2,Inputs!$K$4:$AJ$4,0)),NA(),IF(SUMPRODUCT((Inputs!$A$5:$A$110=$B26)*ISNUMBER(INDEX(Inputs!$K$5:$AJ$110,0,MATCH(E$2,Inputs!$K$4:$AJ$4,0))))+SUMPRODUCT((Inputs!$C$5:$C$110=$B26)*ISNUMBER(INDEX(Inputs!$K$5:$AJ$110,0,MATCH(E$2,Inputs!$K$4:$AJ$4,0))))+SUMPRODUCT((Inputs!$E$5:$E$110=$B26)*ISNUMBER(INDEX(Inputs!$K$5:$AJ$110,0,MATCH(E$2,Inputs!$K$4:$AJ$4,0))))=0,NA(),SUMPRODUCT((Inputs!$A$5:$A$110=$B26)*Inputs!$B$5:$B$110*(((Inputs!$G$5:$G$110="moeda")+(Inputs!$G$5:$G$110="acoes"))*Inputs!$B$1+((Inputs!$G$5:$G$110&lt;&gt;"moeda")*(Inputs!$G$5:$G$110&lt;&gt;"acoes")))*INDEX(Inputs!$K$5:$AJ$110,0,MATCH(E$2,Inputs!$K$4:$AJ$4,0)))+SUMPRODUCT((Inputs!$C$5:$C$110=$B26)*Inputs!$D$5:$D$110*(((Inputs!$G$5:$G$110="moeda")+(Inputs!$G$5:$G$110="acoes"))*Inputs!$B$1+((Inputs!$G$5:$G$110&lt;&gt;"moeda")*(Inputs!$G$5:$G$110&lt;&gt;"acoes")))*INDEX(Inputs!$K$5:$AJ$110,0,MATCH(E$2,Inputs!$K$4:$AJ$4,0)))+SUMPRODUCT((Inputs!$E$5:$E$110=$B26)*Inputs!$F$5:$F$110*(((Inputs!$G$5:$G$110="moeda")+(Inputs!$G$5:$G$110="acoes"))*Inputs!$B$1+((Inputs!$G$5:$G$110&lt;&gt;"moeda")*(Inputs!$G$5:$G$110&lt;&gt;"acoes")))*INDEX(Inputs!$K$5:$AJ$110,0,MATCH(E$2,Inputs!$K$4:$AJ$4,0)))))</f>
        <v>29830</v>
      </c>
      <c r="F26" s="6">
        <f>IF(ISNA(MATCH(F$2,Inputs!$K$4:$AJ$4,0)),NA(),IF(SUMPRODUCT((Inputs!$A$5:$A$110=$B26)*ISNUMBER(INDEX(Inputs!$K$5:$AJ$110,0,MATCH(F$2,Inputs!$K$4:$AJ$4,0))))+SUMPRODUCT((Inputs!$C$5:$C$110=$B26)*ISNUMBER(INDEX(Inputs!$K$5:$AJ$110,0,MATCH(F$2,Inputs!$K$4:$AJ$4,0))))+SUMPRODUCT((Inputs!$E$5:$E$110=$B26)*ISNUMBER(INDEX(Inputs!$K$5:$AJ$110,0,MATCH(F$2,Inputs!$K$4:$AJ$4,0))))=0,NA(),SUMPRODUCT((Inputs!$A$5:$A$110=$B26)*Inputs!$B$5:$B$110*(((Inputs!$G$5:$G$110="moeda")+(Inputs!$G$5:$G$110="acoes"))*Inputs!$B$1+((Inputs!$G$5:$G$110&lt;&gt;"moeda")*(Inputs!$G$5:$G$110&lt;&gt;"acoes")))*INDEX(Inputs!$K$5:$AJ$110,0,MATCH(F$2,Inputs!$K$4:$AJ$4,0)))+SUMPRODUCT((Inputs!$C$5:$C$110=$B26)*Inputs!$D$5:$D$110*(((Inputs!$G$5:$G$110="moeda")+(Inputs!$G$5:$G$110="acoes"))*Inputs!$B$1+((Inputs!$G$5:$G$110&lt;&gt;"moeda")*(Inputs!$G$5:$G$110&lt;&gt;"acoes")))*INDEX(Inputs!$K$5:$AJ$110,0,MATCH(F$2,Inputs!$K$4:$AJ$4,0)))+SUMPRODUCT((Inputs!$E$5:$E$110=$B26)*Inputs!$F$5:$F$110*(((Inputs!$G$5:$G$110="moeda")+(Inputs!$G$5:$G$110="acoes"))*Inputs!$B$1+((Inputs!$G$5:$G$110&lt;&gt;"moeda")*(Inputs!$G$5:$G$110&lt;&gt;"acoes")))*INDEX(Inputs!$K$5:$AJ$110,0,MATCH(F$2,Inputs!$K$4:$AJ$4,0)))))</f>
        <v>30377</v>
      </c>
      <c r="G26" s="6">
        <f>IF(ISNA(MATCH(G$2,Inputs!$K$4:$AJ$4,0)),NA(),IF(SUMPRODUCT((Inputs!$A$5:$A$110=$B26)*ISNUMBER(INDEX(Inputs!$K$5:$AJ$110,0,MATCH(G$2,Inputs!$K$4:$AJ$4,0))))+SUMPRODUCT((Inputs!$C$5:$C$110=$B26)*ISNUMBER(INDEX(Inputs!$K$5:$AJ$110,0,MATCH(G$2,Inputs!$K$4:$AJ$4,0))))+SUMPRODUCT((Inputs!$E$5:$E$110=$B26)*ISNUMBER(INDEX(Inputs!$K$5:$AJ$110,0,MATCH(G$2,Inputs!$K$4:$AJ$4,0))))=0,NA(),SUMPRODUCT((Inputs!$A$5:$A$110=$B26)*Inputs!$B$5:$B$110*(((Inputs!$G$5:$G$110="moeda")+(Inputs!$G$5:$G$110="acoes"))*Inputs!$B$1+((Inputs!$G$5:$G$110&lt;&gt;"moeda")*(Inputs!$G$5:$G$110&lt;&gt;"acoes")))*INDEX(Inputs!$K$5:$AJ$110,0,MATCH(G$2,Inputs!$K$4:$AJ$4,0)))+SUMPRODUCT((Inputs!$C$5:$C$110=$B26)*Inputs!$D$5:$D$110*(((Inputs!$G$5:$G$110="moeda")+(Inputs!$G$5:$G$110="acoes"))*Inputs!$B$1+((Inputs!$G$5:$G$110&lt;&gt;"moeda")*(Inputs!$G$5:$G$110&lt;&gt;"acoes")))*INDEX(Inputs!$K$5:$AJ$110,0,MATCH(G$2,Inputs!$K$4:$AJ$4,0)))+SUMPRODUCT((Inputs!$E$5:$E$110=$B26)*Inputs!$F$5:$F$110*(((Inputs!$G$5:$G$110="moeda")+(Inputs!$G$5:$G$110="acoes"))*Inputs!$B$1+((Inputs!$G$5:$G$110&lt;&gt;"moeda")*(Inputs!$G$5:$G$110&lt;&gt;"acoes")))*INDEX(Inputs!$K$5:$AJ$110,0,MATCH(G$2,Inputs!$K$4:$AJ$4,0)))))</f>
        <v>34910</v>
      </c>
      <c r="H26" s="3">
        <f>G26</f>
        <v>34910</v>
      </c>
      <c r="I26" s="6">
        <f>IF(ISNA(MATCH(I$2,Inputs!$K$4:$AJ$4,0)),NA(),IF(SUMPRODUCT((Inputs!$A$5:$A$110=$B26)*ISNUMBER(INDEX(Inputs!$K$5:$AJ$110,0,MATCH(I$2,Inputs!$K$4:$AJ$4,0))))+SUMPRODUCT((Inputs!$C$5:$C$110=$B26)*ISNUMBER(INDEX(Inputs!$K$5:$AJ$110,0,MATCH(I$2,Inputs!$K$4:$AJ$4,0))))+SUMPRODUCT((Inputs!$E$5:$E$110=$B26)*ISNUMBER(INDEX(Inputs!$K$5:$AJ$110,0,MATCH(I$2,Inputs!$K$4:$AJ$4,0))))=0,NA(),SUMPRODUCT((Inputs!$A$5:$A$110=$B26)*Inputs!$B$5:$B$110*(((Inputs!$G$5:$G$110="moeda")+(Inputs!$G$5:$G$110="acoes"))*Inputs!$B$1+((Inputs!$G$5:$G$110&lt;&gt;"moeda")*(Inputs!$G$5:$G$110&lt;&gt;"acoes")))*INDEX(Inputs!$K$5:$AJ$110,0,MATCH(I$2,Inputs!$K$4:$AJ$4,0)))+SUMPRODUCT((Inputs!$C$5:$C$110=$B26)*Inputs!$D$5:$D$110*(((Inputs!$G$5:$G$110="moeda")+(Inputs!$G$5:$G$110="acoes"))*Inputs!$B$1+((Inputs!$G$5:$G$110&lt;&gt;"moeda")*(Inputs!$G$5:$G$110&lt;&gt;"acoes")))*INDEX(Inputs!$K$5:$AJ$110,0,MATCH(I$2,Inputs!$K$4:$AJ$4,0)))+SUMPRODUCT((Inputs!$E$5:$E$110=$B26)*Inputs!$F$5:$F$110*(((Inputs!$G$5:$G$110="moeda")+(Inputs!$G$5:$G$110="acoes"))*Inputs!$B$1+((Inputs!$G$5:$G$110&lt;&gt;"moeda")*(Inputs!$G$5:$G$110&lt;&gt;"acoes")))*INDEX(Inputs!$K$5:$AJ$110,0,MATCH(I$2,Inputs!$K$4:$AJ$4,0)))))</f>
        <v>36322</v>
      </c>
      <c r="J26" s="6">
        <f>IF(ISNA(MATCH(J$2,Inputs!$K$4:$AJ$4,0)),NA(),IF(SUMPRODUCT((Inputs!$A$5:$A$110=$B26)*ISNUMBER(INDEX(Inputs!$K$5:$AJ$110,0,MATCH(J$2,Inputs!$K$4:$AJ$4,0))))+SUMPRODUCT((Inputs!$C$5:$C$110=$B26)*ISNUMBER(INDEX(Inputs!$K$5:$AJ$110,0,MATCH(J$2,Inputs!$K$4:$AJ$4,0))))+SUMPRODUCT((Inputs!$E$5:$E$110=$B26)*ISNUMBER(INDEX(Inputs!$K$5:$AJ$110,0,MATCH(J$2,Inputs!$K$4:$AJ$4,0))))=0,NA(),SUMPRODUCT((Inputs!$A$5:$A$110=$B26)*Inputs!$B$5:$B$110*(((Inputs!$G$5:$G$110="moeda")+(Inputs!$G$5:$G$110="acoes"))*Inputs!$B$1+((Inputs!$G$5:$G$110&lt;&gt;"moeda")*(Inputs!$G$5:$G$110&lt;&gt;"acoes")))*INDEX(Inputs!$K$5:$AJ$110,0,MATCH(J$2,Inputs!$K$4:$AJ$4,0)))+SUMPRODUCT((Inputs!$C$5:$C$110=$B26)*Inputs!$D$5:$D$110*(((Inputs!$G$5:$G$110="moeda")+(Inputs!$G$5:$G$110="acoes"))*Inputs!$B$1+((Inputs!$G$5:$G$110&lt;&gt;"moeda")*(Inputs!$G$5:$G$110&lt;&gt;"acoes")))*INDEX(Inputs!$K$5:$AJ$110,0,MATCH(J$2,Inputs!$K$4:$AJ$4,0)))+SUMPRODUCT((Inputs!$E$5:$E$110=$B26)*Inputs!$F$5:$F$110*(((Inputs!$G$5:$G$110="moeda")+(Inputs!$G$5:$G$110="acoes"))*Inputs!$B$1+((Inputs!$G$5:$G$110&lt;&gt;"moeda")*(Inputs!$G$5:$G$110&lt;&gt;"acoes")))*INDEX(Inputs!$K$5:$AJ$110,0,MATCH(J$2,Inputs!$K$4:$AJ$4,0)))))</f>
        <v>36377</v>
      </c>
      <c r="K26" s="6">
        <f>IF(ISNA(MATCH(K$2,Inputs!$K$4:$AJ$4,0)),NA(),IF(SUMPRODUCT((Inputs!$A$5:$A$110=$B26)*ISNUMBER(INDEX(Inputs!$K$5:$AJ$110,0,MATCH(K$2,Inputs!$K$4:$AJ$4,0))))+SUMPRODUCT((Inputs!$C$5:$C$110=$B26)*ISNUMBER(INDEX(Inputs!$K$5:$AJ$110,0,MATCH(K$2,Inputs!$K$4:$AJ$4,0))))+SUMPRODUCT((Inputs!$E$5:$E$110=$B26)*ISNUMBER(INDEX(Inputs!$K$5:$AJ$110,0,MATCH(K$2,Inputs!$K$4:$AJ$4,0))))=0,NA(),SUMPRODUCT((Inputs!$A$5:$A$110=$B26)*Inputs!$B$5:$B$110*(((Inputs!$G$5:$G$110="moeda")+(Inputs!$G$5:$G$110="acoes"))*Inputs!$B$1+((Inputs!$G$5:$G$110&lt;&gt;"moeda")*(Inputs!$G$5:$G$110&lt;&gt;"acoes")))*INDEX(Inputs!$K$5:$AJ$110,0,MATCH(K$2,Inputs!$K$4:$AJ$4,0)))+SUMPRODUCT((Inputs!$C$5:$C$110=$B26)*Inputs!$D$5:$D$110*(((Inputs!$G$5:$G$110="moeda")+(Inputs!$G$5:$G$110="acoes"))*Inputs!$B$1+((Inputs!$G$5:$G$110&lt;&gt;"moeda")*(Inputs!$G$5:$G$110&lt;&gt;"acoes")))*INDEX(Inputs!$K$5:$AJ$110,0,MATCH(K$2,Inputs!$K$4:$AJ$4,0)))+SUMPRODUCT((Inputs!$E$5:$E$110=$B26)*Inputs!$F$5:$F$110*(((Inputs!$G$5:$G$110="moeda")+(Inputs!$G$5:$G$110="acoes"))*Inputs!$B$1+((Inputs!$G$5:$G$110&lt;&gt;"moeda")*(Inputs!$G$5:$G$110&lt;&gt;"acoes")))*INDEX(Inputs!$K$5:$AJ$110,0,MATCH(K$2,Inputs!$K$4:$AJ$4,0)))))</f>
        <v>36089</v>
      </c>
      <c r="L26" s="6">
        <f>IF(ISNA(MATCH(L$2,Inputs!$K$4:$AJ$4,0)),NA(),IF(SUMPRODUCT((Inputs!$A$5:$A$110=$B26)*ISNUMBER(INDEX(Inputs!$K$5:$AJ$110,0,MATCH(L$2,Inputs!$K$4:$AJ$4,0))))+SUMPRODUCT((Inputs!$C$5:$C$110=$B26)*ISNUMBER(INDEX(Inputs!$K$5:$AJ$110,0,MATCH(L$2,Inputs!$K$4:$AJ$4,0))))+SUMPRODUCT((Inputs!$E$5:$E$110=$B26)*ISNUMBER(INDEX(Inputs!$K$5:$AJ$110,0,MATCH(L$2,Inputs!$K$4:$AJ$4,0))))=0,NA(),SUMPRODUCT((Inputs!$A$5:$A$110=$B26)*Inputs!$B$5:$B$110*(((Inputs!$G$5:$G$110="moeda")+(Inputs!$G$5:$G$110="acoes"))*Inputs!$B$1+((Inputs!$G$5:$G$110&lt;&gt;"moeda")*(Inputs!$G$5:$G$110&lt;&gt;"acoes")))*INDEX(Inputs!$K$5:$AJ$110,0,MATCH(L$2,Inputs!$K$4:$AJ$4,0)))+SUMPRODUCT((Inputs!$C$5:$C$110=$B26)*Inputs!$D$5:$D$110*(((Inputs!$G$5:$G$110="moeda")+(Inputs!$G$5:$G$110="acoes"))*Inputs!$B$1+((Inputs!$G$5:$G$110&lt;&gt;"moeda")*(Inputs!$G$5:$G$110&lt;&gt;"acoes")))*INDEX(Inputs!$K$5:$AJ$110,0,MATCH(L$2,Inputs!$K$4:$AJ$4,0)))+SUMPRODUCT((Inputs!$E$5:$E$110=$B26)*Inputs!$F$5:$F$110*(((Inputs!$G$5:$G$110="moeda")+(Inputs!$G$5:$G$110="acoes"))*Inputs!$B$1+((Inputs!$G$5:$G$110&lt;&gt;"moeda")*(Inputs!$G$5:$G$110&lt;&gt;"acoes")))*INDEX(Inputs!$K$5:$AJ$110,0,MATCH(L$2,Inputs!$K$4:$AJ$4,0)))))</f>
        <v>37115</v>
      </c>
      <c r="M26" s="3">
        <f>L26</f>
        <v>37115</v>
      </c>
      <c r="N26" s="6">
        <f>IF(ISNA(MATCH(N$2,Inputs!$K$4:$AJ$4,0)),NA(),IF(SUMPRODUCT((Inputs!$A$5:$A$110=$B26)*ISNUMBER(INDEX(Inputs!$K$5:$AJ$110,0,MATCH(N$2,Inputs!$K$4:$AJ$4,0))))+SUMPRODUCT((Inputs!$C$5:$C$110=$B26)*ISNUMBER(INDEX(Inputs!$K$5:$AJ$110,0,MATCH(N$2,Inputs!$K$4:$AJ$4,0))))+SUMPRODUCT((Inputs!$E$5:$E$110=$B26)*ISNUMBER(INDEX(Inputs!$K$5:$AJ$110,0,MATCH(N$2,Inputs!$K$4:$AJ$4,0))))=0,NA(),SUMPRODUCT((Inputs!$A$5:$A$110=$B26)*Inputs!$B$5:$B$110*(((Inputs!$G$5:$G$110="moeda")+(Inputs!$G$5:$G$110="acoes"))*Inputs!$B$1+((Inputs!$G$5:$G$110&lt;&gt;"moeda")*(Inputs!$G$5:$G$110&lt;&gt;"acoes")))*INDEX(Inputs!$K$5:$AJ$110,0,MATCH(N$2,Inputs!$K$4:$AJ$4,0)))+SUMPRODUCT((Inputs!$C$5:$C$110=$B26)*Inputs!$D$5:$D$110*(((Inputs!$G$5:$G$110="moeda")+(Inputs!$G$5:$G$110="acoes"))*Inputs!$B$1+((Inputs!$G$5:$G$110&lt;&gt;"moeda")*(Inputs!$G$5:$G$110&lt;&gt;"acoes")))*INDEX(Inputs!$K$5:$AJ$110,0,MATCH(N$2,Inputs!$K$4:$AJ$4,0)))+SUMPRODUCT((Inputs!$E$5:$E$110=$B26)*Inputs!$F$5:$F$110*(((Inputs!$G$5:$G$110="moeda")+(Inputs!$G$5:$G$110="acoes"))*Inputs!$B$1+((Inputs!$G$5:$G$110&lt;&gt;"moeda")*(Inputs!$G$5:$G$110&lt;&gt;"acoes")))*INDEX(Inputs!$K$5:$AJ$110,0,MATCH(N$2,Inputs!$K$4:$AJ$4,0)))))</f>
        <v>37652</v>
      </c>
      <c r="O26" s="6">
        <f>IF(ISNA(MATCH(O$2,Inputs!$K$4:$AJ$4,0)),NA(),IF(SUMPRODUCT((Inputs!$A$5:$A$110=$B26)*ISNUMBER(INDEX(Inputs!$K$5:$AJ$110,0,MATCH(O$2,Inputs!$K$4:$AJ$4,0))))+SUMPRODUCT((Inputs!$C$5:$C$110=$B26)*ISNUMBER(INDEX(Inputs!$K$5:$AJ$110,0,MATCH(O$2,Inputs!$K$4:$AJ$4,0))))+SUMPRODUCT((Inputs!$E$5:$E$110=$B26)*ISNUMBER(INDEX(Inputs!$K$5:$AJ$110,0,MATCH(O$2,Inputs!$K$4:$AJ$4,0))))=0,NA(),SUMPRODUCT((Inputs!$A$5:$A$110=$B26)*Inputs!$B$5:$B$110*(((Inputs!$G$5:$G$110="moeda")+(Inputs!$G$5:$G$110="acoes"))*Inputs!$B$1+((Inputs!$G$5:$G$110&lt;&gt;"moeda")*(Inputs!$G$5:$G$110&lt;&gt;"acoes")))*INDEX(Inputs!$K$5:$AJ$110,0,MATCH(O$2,Inputs!$K$4:$AJ$4,0)))+SUMPRODUCT((Inputs!$C$5:$C$110=$B26)*Inputs!$D$5:$D$110*(((Inputs!$G$5:$G$110="moeda")+(Inputs!$G$5:$G$110="acoes"))*Inputs!$B$1+((Inputs!$G$5:$G$110&lt;&gt;"moeda")*(Inputs!$G$5:$G$110&lt;&gt;"acoes")))*INDEX(Inputs!$K$5:$AJ$110,0,MATCH(O$2,Inputs!$K$4:$AJ$4,0)))+SUMPRODUCT((Inputs!$E$5:$E$110=$B26)*Inputs!$F$5:$F$110*(((Inputs!$G$5:$G$110="moeda")+(Inputs!$G$5:$G$110="acoes"))*Inputs!$B$1+((Inputs!$G$5:$G$110&lt;&gt;"moeda")*(Inputs!$G$5:$G$110&lt;&gt;"acoes")))*INDEX(Inputs!$K$5:$AJ$110,0,MATCH(O$2,Inputs!$K$4:$AJ$4,0)))))</f>
        <v>38046</v>
      </c>
      <c r="P26" s="6">
        <f>IF(ISNA(MATCH(P$2,Inputs!$K$4:$AJ$4,0)),NA(),IF(SUMPRODUCT((Inputs!$A$5:$A$110=$B26)*ISNUMBER(INDEX(Inputs!$K$5:$AJ$110,0,MATCH(P$2,Inputs!$K$4:$AJ$4,0))))+SUMPRODUCT((Inputs!$C$5:$C$110=$B26)*ISNUMBER(INDEX(Inputs!$K$5:$AJ$110,0,MATCH(P$2,Inputs!$K$4:$AJ$4,0))))+SUMPRODUCT((Inputs!$E$5:$E$110=$B26)*ISNUMBER(INDEX(Inputs!$K$5:$AJ$110,0,MATCH(P$2,Inputs!$K$4:$AJ$4,0))))=0,NA(),SUMPRODUCT((Inputs!$A$5:$A$110=$B26)*Inputs!$B$5:$B$110*(((Inputs!$G$5:$G$110="moeda")+(Inputs!$G$5:$G$110="acoes"))*Inputs!$B$1+((Inputs!$G$5:$G$110&lt;&gt;"moeda")*(Inputs!$G$5:$G$110&lt;&gt;"acoes")))*INDEX(Inputs!$K$5:$AJ$110,0,MATCH(P$2,Inputs!$K$4:$AJ$4,0)))+SUMPRODUCT((Inputs!$C$5:$C$110=$B26)*Inputs!$D$5:$D$110*(((Inputs!$G$5:$G$110="moeda")+(Inputs!$G$5:$G$110="acoes"))*Inputs!$B$1+((Inputs!$G$5:$G$110&lt;&gt;"moeda")*(Inputs!$G$5:$G$110&lt;&gt;"acoes")))*INDEX(Inputs!$K$5:$AJ$110,0,MATCH(P$2,Inputs!$K$4:$AJ$4,0)))+SUMPRODUCT((Inputs!$E$5:$E$110=$B26)*Inputs!$F$5:$F$110*(((Inputs!$G$5:$G$110="moeda")+(Inputs!$G$5:$G$110="acoes"))*Inputs!$B$1+((Inputs!$G$5:$G$110&lt;&gt;"moeda")*(Inputs!$G$5:$G$110&lt;&gt;"acoes")))*INDEX(Inputs!$K$5:$AJ$110,0,MATCH(P$2,Inputs!$K$4:$AJ$4,0)))))</f>
        <v>38535</v>
      </c>
      <c r="Q26" s="6">
        <f>IF(ISNA(MATCH(Q$2,Inputs!$K$4:$AJ$4,0)),NA(),IF(SUMPRODUCT((Inputs!$A$5:$A$110=$B26)*ISNUMBER(INDEX(Inputs!$K$5:$AJ$110,0,MATCH(Q$2,Inputs!$K$4:$AJ$4,0))))+SUMPRODUCT((Inputs!$C$5:$C$110=$B26)*ISNUMBER(INDEX(Inputs!$K$5:$AJ$110,0,MATCH(Q$2,Inputs!$K$4:$AJ$4,0))))+SUMPRODUCT((Inputs!$E$5:$E$110=$B26)*ISNUMBER(INDEX(Inputs!$K$5:$AJ$110,0,MATCH(Q$2,Inputs!$K$4:$AJ$4,0))))=0,NA(),SUMPRODUCT((Inputs!$A$5:$A$110=$B26)*Inputs!$B$5:$B$110*(((Inputs!$G$5:$G$110="moeda")+(Inputs!$G$5:$G$110="acoes"))*Inputs!$B$1+((Inputs!$G$5:$G$110&lt;&gt;"moeda")*(Inputs!$G$5:$G$110&lt;&gt;"acoes")))*INDEX(Inputs!$K$5:$AJ$110,0,MATCH(Q$2,Inputs!$K$4:$AJ$4,0)))+SUMPRODUCT((Inputs!$C$5:$C$110=$B26)*Inputs!$D$5:$D$110*(((Inputs!$G$5:$G$110="moeda")+(Inputs!$G$5:$G$110="acoes"))*Inputs!$B$1+((Inputs!$G$5:$G$110&lt;&gt;"moeda")*(Inputs!$G$5:$G$110&lt;&gt;"acoes")))*INDEX(Inputs!$K$5:$AJ$110,0,MATCH(Q$2,Inputs!$K$4:$AJ$4,0)))+SUMPRODUCT((Inputs!$E$5:$E$110=$B26)*Inputs!$F$5:$F$110*(((Inputs!$G$5:$G$110="moeda")+(Inputs!$G$5:$G$110="acoes"))*Inputs!$B$1+((Inputs!$G$5:$G$110&lt;&gt;"moeda")*(Inputs!$G$5:$G$110&lt;&gt;"acoes")))*INDEX(Inputs!$K$5:$AJ$110,0,MATCH(Q$2,Inputs!$K$4:$AJ$4,0)))))</f>
        <v>41059</v>
      </c>
      <c r="R26" s="3">
        <f>Q26</f>
        <v>41059</v>
      </c>
      <c r="S26" s="6">
        <f>IF(ISNA(MATCH(S$2,Inputs!$K$4:$AJ$4,0)),NA(),IF(SUMPRODUCT((Inputs!$A$5:$A$110=$B26)*ISNUMBER(INDEX(Inputs!$K$5:$AJ$110,0,MATCH(S$2,Inputs!$K$4:$AJ$4,0))))+SUMPRODUCT((Inputs!$C$5:$C$110=$B26)*ISNUMBER(INDEX(Inputs!$K$5:$AJ$110,0,MATCH(S$2,Inputs!$K$4:$AJ$4,0))))+SUMPRODUCT((Inputs!$E$5:$E$110=$B26)*ISNUMBER(INDEX(Inputs!$K$5:$AJ$110,0,MATCH(S$2,Inputs!$K$4:$AJ$4,0))))=0,NA(),SUMPRODUCT((Inputs!$A$5:$A$110=$B26)*Inputs!$B$5:$B$110*(((Inputs!$G$5:$G$110="moeda")+(Inputs!$G$5:$G$110="acoes"))*Inputs!$B$1+((Inputs!$G$5:$G$110&lt;&gt;"moeda")*(Inputs!$G$5:$G$110&lt;&gt;"acoes")))*INDEX(Inputs!$K$5:$AJ$110,0,MATCH(S$2,Inputs!$K$4:$AJ$4,0)))+SUMPRODUCT((Inputs!$C$5:$C$110=$B26)*Inputs!$D$5:$D$110*(((Inputs!$G$5:$G$110="moeda")+(Inputs!$G$5:$G$110="acoes"))*Inputs!$B$1+((Inputs!$G$5:$G$110&lt;&gt;"moeda")*(Inputs!$G$5:$G$110&lt;&gt;"acoes")))*INDEX(Inputs!$K$5:$AJ$110,0,MATCH(S$2,Inputs!$K$4:$AJ$4,0)))+SUMPRODUCT((Inputs!$E$5:$E$110=$B26)*Inputs!$F$5:$F$110*(((Inputs!$G$5:$G$110="moeda")+(Inputs!$G$5:$G$110="acoes"))*Inputs!$B$1+((Inputs!$G$5:$G$110&lt;&gt;"moeda")*(Inputs!$G$5:$G$110&lt;&gt;"acoes")))*INDEX(Inputs!$K$5:$AJ$110,0,MATCH(S$2,Inputs!$K$4:$AJ$4,0)))))</f>
        <v>44059</v>
      </c>
      <c r="T26" s="6">
        <f>IF(ISNA(MATCH(T$2,Inputs!$K$4:$AJ$4,0)),NA(),IF(SUMPRODUCT((Inputs!$A$5:$A$110=$B26)*ISNUMBER(INDEX(Inputs!$K$5:$AJ$110,0,MATCH(T$2,Inputs!$K$4:$AJ$4,0))))+SUMPRODUCT((Inputs!$C$5:$C$110=$B26)*ISNUMBER(INDEX(Inputs!$K$5:$AJ$110,0,MATCH(T$2,Inputs!$K$4:$AJ$4,0))))+SUMPRODUCT((Inputs!$E$5:$E$110=$B26)*ISNUMBER(INDEX(Inputs!$K$5:$AJ$110,0,MATCH(T$2,Inputs!$K$4:$AJ$4,0))))=0,NA(),SUMPRODUCT((Inputs!$A$5:$A$110=$B26)*Inputs!$B$5:$B$110*(((Inputs!$G$5:$G$110="moeda")+(Inputs!$G$5:$G$110="acoes"))*Inputs!$B$1+((Inputs!$G$5:$G$110&lt;&gt;"moeda")*(Inputs!$G$5:$G$110&lt;&gt;"acoes")))*INDEX(Inputs!$K$5:$AJ$110,0,MATCH(T$2,Inputs!$K$4:$AJ$4,0)))+SUMPRODUCT((Inputs!$C$5:$C$110=$B26)*Inputs!$D$5:$D$110*(((Inputs!$G$5:$G$110="moeda")+(Inputs!$G$5:$G$110="acoes"))*Inputs!$B$1+((Inputs!$G$5:$G$110&lt;&gt;"moeda")*(Inputs!$G$5:$G$110&lt;&gt;"acoes")))*INDEX(Inputs!$K$5:$AJ$110,0,MATCH(T$2,Inputs!$K$4:$AJ$4,0)))+SUMPRODUCT((Inputs!$E$5:$E$110=$B26)*Inputs!$F$5:$F$110*(((Inputs!$G$5:$G$110="moeda")+(Inputs!$G$5:$G$110="acoes"))*Inputs!$B$1+((Inputs!$G$5:$G$110&lt;&gt;"moeda")*(Inputs!$G$5:$G$110&lt;&gt;"acoes")))*INDEX(Inputs!$K$5:$AJ$110,0,MATCH(T$2,Inputs!$K$4:$AJ$4,0)))))</f>
        <v>43871</v>
      </c>
      <c r="U26" s="6">
        <f>IF(ISNA(MATCH(U$2,Inputs!$K$4:$AJ$4,0)),NA(),IF(SUMPRODUCT((Inputs!$A$5:$A$110=$B26)*ISNUMBER(INDEX(Inputs!$K$5:$AJ$110,0,MATCH(U$2,Inputs!$K$4:$AJ$4,0))))+SUMPRODUCT((Inputs!$C$5:$C$110=$B26)*ISNUMBER(INDEX(Inputs!$K$5:$AJ$110,0,MATCH(U$2,Inputs!$K$4:$AJ$4,0))))+SUMPRODUCT((Inputs!$E$5:$E$110=$B26)*ISNUMBER(INDEX(Inputs!$K$5:$AJ$110,0,MATCH(U$2,Inputs!$K$4:$AJ$4,0))))=0,NA(),SUMPRODUCT((Inputs!$A$5:$A$110=$B26)*Inputs!$B$5:$B$110*(((Inputs!$G$5:$G$110="moeda")+(Inputs!$G$5:$G$110="acoes"))*Inputs!$B$1+((Inputs!$G$5:$G$110&lt;&gt;"moeda")*(Inputs!$G$5:$G$110&lt;&gt;"acoes")))*INDEX(Inputs!$K$5:$AJ$110,0,MATCH(U$2,Inputs!$K$4:$AJ$4,0)))+SUMPRODUCT((Inputs!$C$5:$C$110=$B26)*Inputs!$D$5:$D$110*(((Inputs!$G$5:$G$110="moeda")+(Inputs!$G$5:$G$110="acoes"))*Inputs!$B$1+((Inputs!$G$5:$G$110&lt;&gt;"moeda")*(Inputs!$G$5:$G$110&lt;&gt;"acoes")))*INDEX(Inputs!$K$5:$AJ$110,0,MATCH(U$2,Inputs!$K$4:$AJ$4,0)))+SUMPRODUCT((Inputs!$E$5:$E$110=$B26)*Inputs!$F$5:$F$110*(((Inputs!$G$5:$G$110="moeda")+(Inputs!$G$5:$G$110="acoes"))*Inputs!$B$1+((Inputs!$G$5:$G$110&lt;&gt;"moeda")*(Inputs!$G$5:$G$110&lt;&gt;"acoes")))*INDEX(Inputs!$K$5:$AJ$110,0,MATCH(U$2,Inputs!$K$4:$AJ$4,0)))))</f>
        <v>50044</v>
      </c>
      <c r="V26" s="6">
        <f>IF(ISNA(MATCH(V$2,Inputs!$K$4:$AJ$4,0)),NA(),IF(SUMPRODUCT((Inputs!$A$5:$A$110=$B26)*ISNUMBER(INDEX(Inputs!$K$5:$AJ$110,0,MATCH(V$2,Inputs!$K$4:$AJ$4,0))))+SUMPRODUCT((Inputs!$C$5:$C$110=$B26)*ISNUMBER(INDEX(Inputs!$K$5:$AJ$110,0,MATCH(V$2,Inputs!$K$4:$AJ$4,0))))+SUMPRODUCT((Inputs!$E$5:$E$110=$B26)*ISNUMBER(INDEX(Inputs!$K$5:$AJ$110,0,MATCH(V$2,Inputs!$K$4:$AJ$4,0))))=0,NA(),SUMPRODUCT((Inputs!$A$5:$A$110=$B26)*Inputs!$B$5:$B$110*(((Inputs!$G$5:$G$110="moeda")+(Inputs!$G$5:$G$110="acoes"))*Inputs!$B$1+((Inputs!$G$5:$G$110&lt;&gt;"moeda")*(Inputs!$G$5:$G$110&lt;&gt;"acoes")))*INDEX(Inputs!$K$5:$AJ$110,0,MATCH(V$2,Inputs!$K$4:$AJ$4,0)))+SUMPRODUCT((Inputs!$C$5:$C$110=$B26)*Inputs!$D$5:$D$110*(((Inputs!$G$5:$G$110="moeda")+(Inputs!$G$5:$G$110="acoes"))*Inputs!$B$1+((Inputs!$G$5:$G$110&lt;&gt;"moeda")*(Inputs!$G$5:$G$110&lt;&gt;"acoes")))*INDEX(Inputs!$K$5:$AJ$110,0,MATCH(V$2,Inputs!$K$4:$AJ$4,0)))+SUMPRODUCT((Inputs!$E$5:$E$110=$B26)*Inputs!$F$5:$F$110*(((Inputs!$G$5:$G$110="moeda")+(Inputs!$G$5:$G$110="acoes"))*Inputs!$B$1+((Inputs!$G$5:$G$110&lt;&gt;"moeda")*(Inputs!$G$5:$G$110&lt;&gt;"acoes")))*INDEX(Inputs!$K$5:$AJ$110,0,MATCH(V$2,Inputs!$K$4:$AJ$4,0)))))</f>
        <v>52856</v>
      </c>
      <c r="W26" s="3">
        <f>V26</f>
        <v>52856</v>
      </c>
      <c r="X26" s="6">
        <f>IF(ISNA(MATCH(X$2,Inputs!$K$4:$AJ$4,0)),NA(),IF(SUMPRODUCT((Inputs!$A$5:$A$110=$B26)*ISNUMBER(INDEX(Inputs!$K$5:$AJ$110,0,MATCH(X$2,Inputs!$K$4:$AJ$4,0))))+SUMPRODUCT((Inputs!$C$5:$C$110=$B26)*ISNUMBER(INDEX(Inputs!$K$5:$AJ$110,0,MATCH(X$2,Inputs!$K$4:$AJ$4,0))))+SUMPRODUCT((Inputs!$E$5:$E$110=$B26)*ISNUMBER(INDEX(Inputs!$K$5:$AJ$110,0,MATCH(X$2,Inputs!$K$4:$AJ$4,0))))=0,NA(),SUMPRODUCT((Inputs!$A$5:$A$110=$B26)*Inputs!$B$5:$B$110*(((Inputs!$G$5:$G$110="moeda")+(Inputs!$G$5:$G$110="acoes"))*Inputs!$B$1+((Inputs!$G$5:$G$110&lt;&gt;"moeda")*(Inputs!$G$5:$G$110&lt;&gt;"acoes")))*INDEX(Inputs!$K$5:$AJ$110,0,MATCH(X$2,Inputs!$K$4:$AJ$4,0)))+SUMPRODUCT((Inputs!$C$5:$C$110=$B26)*Inputs!$D$5:$D$110*(((Inputs!$G$5:$G$110="moeda")+(Inputs!$G$5:$G$110="acoes"))*Inputs!$B$1+((Inputs!$G$5:$G$110&lt;&gt;"moeda")*(Inputs!$G$5:$G$110&lt;&gt;"acoes")))*INDEX(Inputs!$K$5:$AJ$110,0,MATCH(X$2,Inputs!$K$4:$AJ$4,0)))+SUMPRODUCT((Inputs!$E$5:$E$110=$B26)*Inputs!$F$5:$F$110*(((Inputs!$G$5:$G$110="moeda")+(Inputs!$G$5:$G$110="acoes"))*Inputs!$B$1+((Inputs!$G$5:$G$110&lt;&gt;"moeda")*(Inputs!$G$5:$G$110&lt;&gt;"acoes")))*INDEX(Inputs!$K$5:$AJ$110,0,MATCH(X$2,Inputs!$K$4:$AJ$4,0)))))</f>
        <v>63979</v>
      </c>
      <c r="Y26" s="6">
        <f>IF(ISNA(MATCH(Y$2,Inputs!$K$4:$AJ$4,0)),NA(),IF(SUMPRODUCT((Inputs!$A$5:$A$110=$B26)*ISNUMBER(INDEX(Inputs!$K$5:$AJ$110,0,MATCH(Y$2,Inputs!$K$4:$AJ$4,0))))+SUMPRODUCT((Inputs!$C$5:$C$110=$B26)*ISNUMBER(INDEX(Inputs!$K$5:$AJ$110,0,MATCH(Y$2,Inputs!$K$4:$AJ$4,0))))+SUMPRODUCT((Inputs!$E$5:$E$110=$B26)*ISNUMBER(INDEX(Inputs!$K$5:$AJ$110,0,MATCH(Y$2,Inputs!$K$4:$AJ$4,0))))=0,NA(),SUMPRODUCT((Inputs!$A$5:$A$110=$B26)*Inputs!$B$5:$B$110*(((Inputs!$G$5:$G$110="moeda")+(Inputs!$G$5:$G$110="acoes"))*Inputs!$B$1+((Inputs!$G$5:$G$110&lt;&gt;"moeda")*(Inputs!$G$5:$G$110&lt;&gt;"acoes")))*INDEX(Inputs!$K$5:$AJ$110,0,MATCH(Y$2,Inputs!$K$4:$AJ$4,0)))+SUMPRODUCT((Inputs!$C$5:$C$110=$B26)*Inputs!$D$5:$D$110*(((Inputs!$G$5:$G$110="moeda")+(Inputs!$G$5:$G$110="acoes"))*Inputs!$B$1+((Inputs!$G$5:$G$110&lt;&gt;"moeda")*(Inputs!$G$5:$G$110&lt;&gt;"acoes")))*INDEX(Inputs!$K$5:$AJ$110,0,MATCH(Y$2,Inputs!$K$4:$AJ$4,0)))+SUMPRODUCT((Inputs!$E$5:$E$110=$B26)*Inputs!$F$5:$F$110*(((Inputs!$G$5:$G$110="moeda")+(Inputs!$G$5:$G$110="acoes"))*Inputs!$B$1+((Inputs!$G$5:$G$110&lt;&gt;"moeda")*(Inputs!$G$5:$G$110&lt;&gt;"acoes")))*INDEX(Inputs!$K$5:$AJ$110,0,MATCH(Y$2,Inputs!$K$4:$AJ$4,0)))))</f>
        <v>66727</v>
      </c>
      <c r="Z26" s="6">
        <f>IF(ISNA(MATCH(Z$2,Inputs!$K$4:$AJ$4,0)),NA(),IF(SUMPRODUCT((Inputs!$A$5:$A$110=$B26)*ISNUMBER(INDEX(Inputs!$K$5:$AJ$110,0,MATCH(Z$2,Inputs!$K$4:$AJ$4,0))))+SUMPRODUCT((Inputs!$C$5:$C$110=$B26)*ISNUMBER(INDEX(Inputs!$K$5:$AJ$110,0,MATCH(Z$2,Inputs!$K$4:$AJ$4,0))))+SUMPRODUCT((Inputs!$E$5:$E$110=$B26)*ISNUMBER(INDEX(Inputs!$K$5:$AJ$110,0,MATCH(Z$2,Inputs!$K$4:$AJ$4,0))))=0,NA(),SUMPRODUCT((Inputs!$A$5:$A$110=$B26)*Inputs!$B$5:$B$110*(((Inputs!$G$5:$G$110="moeda")+(Inputs!$G$5:$G$110="acoes"))*Inputs!$B$1+((Inputs!$G$5:$G$110&lt;&gt;"moeda")*(Inputs!$G$5:$G$110&lt;&gt;"acoes")))*INDEX(Inputs!$K$5:$AJ$110,0,MATCH(Z$2,Inputs!$K$4:$AJ$4,0)))+SUMPRODUCT((Inputs!$C$5:$C$110=$B26)*Inputs!$D$5:$D$110*(((Inputs!$G$5:$G$110="moeda")+(Inputs!$G$5:$G$110="acoes"))*Inputs!$B$1+((Inputs!$G$5:$G$110&lt;&gt;"moeda")*(Inputs!$G$5:$G$110&lt;&gt;"acoes")))*INDEX(Inputs!$K$5:$AJ$110,0,MATCH(Z$2,Inputs!$K$4:$AJ$4,0)))+SUMPRODUCT((Inputs!$E$5:$E$110=$B26)*Inputs!$F$5:$F$110*(((Inputs!$G$5:$G$110="moeda")+(Inputs!$G$5:$G$110="acoes"))*Inputs!$B$1+((Inputs!$G$5:$G$110&lt;&gt;"moeda")*(Inputs!$G$5:$G$110&lt;&gt;"acoes")))*INDEX(Inputs!$K$5:$AJ$110,0,MATCH(Z$2,Inputs!$K$4:$AJ$4,0)))))</f>
        <v>80611</v>
      </c>
      <c r="AA26" s="6">
        <f>IF(ISNA(MATCH(AA$2,Inputs!$K$4:$AJ$4,0)),NA(),IF(SUMPRODUCT((Inputs!$A$5:$A$110=$B26)*ISNUMBER(INDEX(Inputs!$K$5:$AJ$110,0,MATCH(AA$2,Inputs!$K$4:$AJ$4,0))))+SUMPRODUCT((Inputs!$C$5:$C$110=$B26)*ISNUMBER(INDEX(Inputs!$K$5:$AJ$110,0,MATCH(AA$2,Inputs!$K$4:$AJ$4,0))))+SUMPRODUCT((Inputs!$E$5:$E$110=$B26)*ISNUMBER(INDEX(Inputs!$K$5:$AJ$110,0,MATCH(AA$2,Inputs!$K$4:$AJ$4,0))))=0,NA(),SUMPRODUCT((Inputs!$A$5:$A$110=$B26)*Inputs!$B$5:$B$110*(((Inputs!$G$5:$G$110="moeda")+(Inputs!$G$5:$G$110="acoes"))*Inputs!$B$1+((Inputs!$G$5:$G$110&lt;&gt;"moeda")*(Inputs!$G$5:$G$110&lt;&gt;"acoes")))*INDEX(Inputs!$K$5:$AJ$110,0,MATCH(AA$2,Inputs!$K$4:$AJ$4,0)))+SUMPRODUCT((Inputs!$C$5:$C$110=$B26)*Inputs!$D$5:$D$110*(((Inputs!$G$5:$G$110="moeda")+(Inputs!$G$5:$G$110="acoes"))*Inputs!$B$1+((Inputs!$G$5:$G$110&lt;&gt;"moeda")*(Inputs!$G$5:$G$110&lt;&gt;"acoes")))*INDEX(Inputs!$K$5:$AJ$110,0,MATCH(AA$2,Inputs!$K$4:$AJ$4,0)))+SUMPRODUCT((Inputs!$E$5:$E$110=$B26)*Inputs!$F$5:$F$110*(((Inputs!$G$5:$G$110="moeda")+(Inputs!$G$5:$G$110="acoes"))*Inputs!$B$1+((Inputs!$G$5:$G$110&lt;&gt;"moeda")*(Inputs!$G$5:$G$110&lt;&gt;"acoes")))*INDEX(Inputs!$K$5:$AJ$110,0,MATCH(AA$2,Inputs!$K$4:$AJ$4,0)))))</f>
        <v>84932</v>
      </c>
      <c r="AB26" s="3">
        <f>AA26</f>
        <v>84932</v>
      </c>
      <c r="AC26" s="6">
        <f>IF(ISNA(MATCH(AC$2,Inputs!$K$4:$AJ$4,0)),NA(),IF(SUMPRODUCT((Inputs!$A$5:$A$110=$B26)*ISNUMBER(INDEX(Inputs!$K$5:$AJ$110,0,MATCH(AC$2,Inputs!$K$4:$AJ$4,0))))+SUMPRODUCT((Inputs!$C$5:$C$110=$B26)*ISNUMBER(INDEX(Inputs!$K$5:$AJ$110,0,MATCH(AC$2,Inputs!$K$4:$AJ$4,0))))+SUMPRODUCT((Inputs!$E$5:$E$110=$B26)*ISNUMBER(INDEX(Inputs!$K$5:$AJ$110,0,MATCH(AC$2,Inputs!$K$4:$AJ$4,0))))=0,NA(),SUMPRODUCT((Inputs!$A$5:$A$110=$B26)*Inputs!$B$5:$B$110*(((Inputs!$G$5:$G$110="moeda")+(Inputs!$G$5:$G$110="acoes"))*Inputs!$B$1+((Inputs!$G$5:$G$110&lt;&gt;"moeda")*(Inputs!$G$5:$G$110&lt;&gt;"acoes")))*INDEX(Inputs!$K$5:$AJ$110,0,MATCH(AC$2,Inputs!$K$4:$AJ$4,0)))+SUMPRODUCT((Inputs!$C$5:$C$110=$B26)*Inputs!$D$5:$D$110*(((Inputs!$G$5:$G$110="moeda")+(Inputs!$G$5:$G$110="acoes"))*Inputs!$B$1+((Inputs!$G$5:$G$110&lt;&gt;"moeda")*(Inputs!$G$5:$G$110&lt;&gt;"acoes")))*INDEX(Inputs!$K$5:$AJ$110,0,MATCH(AC$2,Inputs!$K$4:$AJ$4,0)))+SUMPRODUCT((Inputs!$E$5:$E$110=$B26)*Inputs!$F$5:$F$110*(((Inputs!$G$5:$G$110="moeda")+(Inputs!$G$5:$G$110="acoes"))*Inputs!$B$1+((Inputs!$G$5:$G$110&lt;&gt;"moeda")*(Inputs!$G$5:$G$110&lt;&gt;"acoes")))*INDEX(Inputs!$K$5:$AJ$110,0,MATCH(AC$2,Inputs!$K$4:$AJ$4,0)))))</f>
        <v>124424</v>
      </c>
      <c r="AD26" s="6">
        <f>IF(ISNA(MATCH(AD$2,Inputs!$K$4:$AJ$4,0)),NA(),IF(SUMPRODUCT((Inputs!$A$5:$A$110=$B26)*ISNUMBER(INDEX(Inputs!$K$5:$AJ$110,0,MATCH(AD$2,Inputs!$K$4:$AJ$4,0))))+SUMPRODUCT((Inputs!$C$5:$C$110=$B26)*ISNUMBER(INDEX(Inputs!$K$5:$AJ$110,0,MATCH(AD$2,Inputs!$K$4:$AJ$4,0))))+SUMPRODUCT((Inputs!$E$5:$E$110=$B26)*ISNUMBER(INDEX(Inputs!$K$5:$AJ$110,0,MATCH(AD$2,Inputs!$K$4:$AJ$4,0))))=0,NA(),SUMPRODUCT((Inputs!$A$5:$A$110=$B26)*Inputs!$B$5:$B$110*(((Inputs!$G$5:$G$110="moeda")+(Inputs!$G$5:$G$110="acoes"))*Inputs!$B$1+((Inputs!$G$5:$G$110&lt;&gt;"moeda")*(Inputs!$G$5:$G$110&lt;&gt;"acoes")))*INDEX(Inputs!$K$5:$AJ$110,0,MATCH(AD$2,Inputs!$K$4:$AJ$4,0)))+SUMPRODUCT((Inputs!$C$5:$C$110=$B26)*Inputs!$D$5:$D$110*(((Inputs!$G$5:$G$110="moeda")+(Inputs!$G$5:$G$110="acoes"))*Inputs!$B$1+((Inputs!$G$5:$G$110&lt;&gt;"moeda")*(Inputs!$G$5:$G$110&lt;&gt;"acoes")))*INDEX(Inputs!$K$5:$AJ$110,0,MATCH(AD$2,Inputs!$K$4:$AJ$4,0)))+SUMPRODUCT((Inputs!$E$5:$E$110=$B26)*Inputs!$F$5:$F$110*(((Inputs!$G$5:$G$110="moeda")+(Inputs!$G$5:$G$110="acoes"))*Inputs!$B$1+((Inputs!$G$5:$G$110&lt;&gt;"moeda")*(Inputs!$G$5:$G$110&lt;&gt;"acoes")))*INDEX(Inputs!$K$5:$AJ$110,0,MATCH(AD$2,Inputs!$K$4:$AJ$4,0)))))</f>
        <v>171172</v>
      </c>
      <c r="AE26" s="6" t="e">
        <f>IF(ISNA(MATCH(AE$2,Inputs!$K$4:$AJ$4,0)),NA(),IF(SUMPRODUCT((Inputs!$A$5:$A$110=$B26)*ISNUMBER(INDEX(Inputs!$K$5:$AJ$110,0,MATCH(AE$2,Inputs!$K$4:$AJ$4,0))))+SUMPRODUCT((Inputs!$C$5:$C$110=$B26)*ISNUMBER(INDEX(Inputs!$K$5:$AJ$110,0,MATCH(AE$2,Inputs!$K$4:$AJ$4,0))))+SUMPRODUCT((Inputs!$E$5:$E$110=$B26)*ISNUMBER(INDEX(Inputs!$K$5:$AJ$110,0,MATCH(AE$2,Inputs!$K$4:$AJ$4,0))))=0,NA(),SUMPRODUCT((Inputs!$A$5:$A$110=$B26)*Inputs!$B$5:$B$110*(((Inputs!$G$5:$G$110="moeda")+(Inputs!$G$5:$G$110="acoes"))*Inputs!$B$1+((Inputs!$G$5:$G$110&lt;&gt;"moeda")*(Inputs!$G$5:$G$110&lt;&gt;"acoes")))*INDEX(Inputs!$K$5:$AJ$110,0,MATCH(AE$2,Inputs!$K$4:$AJ$4,0)))+SUMPRODUCT((Inputs!$C$5:$C$110=$B26)*Inputs!$D$5:$D$110*(((Inputs!$G$5:$G$110="moeda")+(Inputs!$G$5:$G$110="acoes"))*Inputs!$B$1+((Inputs!$G$5:$G$110&lt;&gt;"moeda")*(Inputs!$G$5:$G$110&lt;&gt;"acoes")))*INDEX(Inputs!$K$5:$AJ$110,0,MATCH(AE$2,Inputs!$K$4:$AJ$4,0)))+SUMPRODUCT((Inputs!$E$5:$E$110=$B26)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6" s="6" t="e">
        <f>IF(ISNA(MATCH(AF$2,Inputs!$K$4:$AJ$4,0)),NA(),IF(SUMPRODUCT((Inputs!$A$5:$A$110=$B26)*ISNUMBER(INDEX(Inputs!$K$5:$AJ$110,0,MATCH(AF$2,Inputs!$K$4:$AJ$4,0))))+SUMPRODUCT((Inputs!$C$5:$C$110=$B26)*ISNUMBER(INDEX(Inputs!$K$5:$AJ$110,0,MATCH(AF$2,Inputs!$K$4:$AJ$4,0))))+SUMPRODUCT((Inputs!$E$5:$E$110=$B26)*ISNUMBER(INDEX(Inputs!$K$5:$AJ$110,0,MATCH(AF$2,Inputs!$K$4:$AJ$4,0))))=0,NA(),SUMPRODUCT((Inputs!$A$5:$A$110=$B26)*Inputs!$B$5:$B$110*(((Inputs!$G$5:$G$110="moeda")+(Inputs!$G$5:$G$110="acoes"))*Inputs!$B$1+((Inputs!$G$5:$G$110&lt;&gt;"moeda")*(Inputs!$G$5:$G$110&lt;&gt;"acoes")))*INDEX(Inputs!$K$5:$AJ$110,0,MATCH(AF$2,Inputs!$K$4:$AJ$4,0)))+SUMPRODUCT((Inputs!$C$5:$C$110=$B26)*Inputs!$D$5:$D$110*(((Inputs!$G$5:$G$110="moeda")+(Inputs!$G$5:$G$110="acoes"))*Inputs!$B$1+((Inputs!$G$5:$G$110&lt;&gt;"moeda")*(Inputs!$G$5:$G$110&lt;&gt;"acoes")))*INDEX(Inputs!$K$5:$AJ$110,0,MATCH(AF$2,Inputs!$K$4:$AJ$4,0)))+SUMPRODUCT((Inputs!$E$5:$E$110=$B26)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6" s="3" t="e">
        <f>AF26</f>
        <v>#N/A</v>
      </c>
      <c r="AH26" s="6">
        <f>IF(ISNA(MATCH(AH$2,Inputs!$K$4:$AJ$4,0)),NA(),IF(SUMPRODUCT((Inputs!$A$5:$A$110=$B26)*ISNUMBER(INDEX(Inputs!$K$5:$AJ$110,0,MATCH(AH$2,Inputs!$K$4:$AJ$4,0))))+SUMPRODUCT((Inputs!$C$5:$C$110=$B26)*ISNUMBER(INDEX(Inputs!$K$5:$AJ$110,0,MATCH(AH$2,Inputs!$K$4:$AJ$4,0))))+SUMPRODUCT((Inputs!$E$5:$E$110=$B26)*ISNUMBER(INDEX(Inputs!$K$5:$AJ$110,0,MATCH(AH$2,Inputs!$K$4:$AJ$4,0))))=0,NA(),SUMPRODUCT((Inputs!$A$5:$A$110=$B26)*Inputs!$B$5:$B$110*(((Inputs!$G$5:$G$110="moeda")+(Inputs!$G$5:$G$110="acoes"))*Inputs!$B$1+((Inputs!$G$5:$G$110&lt;&gt;"moeda")*(Inputs!$G$5:$G$110&lt;&gt;"acoes")))*INDEX(Inputs!$K$5:$AJ$110,0,MATCH(AH$2,Inputs!$K$4:$AJ$4,0)))+SUMPRODUCT((Inputs!$C$5:$C$110=$B26)*Inputs!$D$5:$D$110*(((Inputs!$G$5:$G$110="moeda")+(Inputs!$G$5:$G$110="acoes"))*Inputs!$B$1+((Inputs!$G$5:$G$110&lt;&gt;"moeda")*(Inputs!$G$5:$G$110&lt;&gt;"acoes")))*INDEX(Inputs!$K$5:$AJ$110,0,MATCH(AH$2,Inputs!$K$4:$AJ$4,0)))+SUMPRODUCT((Inputs!$E$5:$E$110=$B26)*Inputs!$F$5:$F$110*(((Inputs!$G$5:$G$110="moeda")+(Inputs!$G$5:$G$110="acoes"))*Inputs!$B$1+((Inputs!$G$5:$G$110&lt;&gt;"moeda")*(Inputs!$G$5:$G$110&lt;&gt;"acoes")))*INDEX(Inputs!$K$5:$AJ$110,0,MATCH(AH$2,Inputs!$K$4:$AJ$4,0)))))</f>
        <v>15115</v>
      </c>
      <c r="AI26" s="6">
        <f>IF(ISNA(MATCH(AI$2,Inputs!$K$4:$AJ$4,0)),NA(),IF(SUMPRODUCT((Inputs!$A$5:$A$110=$B26)*ISNUMBER(INDEX(Inputs!$K$5:$AJ$110,0,MATCH(AI$2,Inputs!$K$4:$AJ$4,0))))+SUMPRODUCT((Inputs!$C$5:$C$110=$B26)*ISNUMBER(INDEX(Inputs!$K$5:$AJ$110,0,MATCH(AI$2,Inputs!$K$4:$AJ$4,0))))+SUMPRODUCT((Inputs!$E$5:$E$110=$B26)*ISNUMBER(INDEX(Inputs!$K$5:$AJ$110,0,MATCH(AI$2,Inputs!$K$4:$AJ$4,0))))=0,NA(),SUMPRODUCT((Inputs!$A$5:$A$110=$B26)*Inputs!$B$5:$B$110*(((Inputs!$G$5:$G$110="moeda")+(Inputs!$G$5:$G$110="acoes"))*Inputs!$B$1+((Inputs!$G$5:$G$110&lt;&gt;"moeda")*(Inputs!$G$5:$G$110&lt;&gt;"acoes")))*INDEX(Inputs!$K$5:$AJ$110,0,MATCH(AI$2,Inputs!$K$4:$AJ$4,0)))+SUMPRODUCT((Inputs!$C$5:$C$110=$B26)*Inputs!$D$5:$D$110*(((Inputs!$G$5:$G$110="moeda")+(Inputs!$G$5:$G$110="acoes"))*Inputs!$B$1+((Inputs!$G$5:$G$110&lt;&gt;"moeda")*(Inputs!$G$5:$G$110&lt;&gt;"acoes")))*INDEX(Inputs!$K$5:$AJ$110,0,MATCH(AI$2,Inputs!$K$4:$AJ$4,0)))+SUMPRODUCT((Inputs!$E$5:$E$110=$B26)*Inputs!$F$5:$F$110*(((Inputs!$G$5:$G$110="moeda")+(Inputs!$G$5:$G$110="acoes"))*Inputs!$B$1+((Inputs!$G$5:$G$110&lt;&gt;"moeda")*(Inputs!$G$5:$G$110&lt;&gt;"acoes")))*INDEX(Inputs!$K$5:$AJ$110,0,MATCH(AI$2,Inputs!$K$4:$AJ$4,0)))))</f>
        <v>15692</v>
      </c>
      <c r="AJ26" s="6">
        <f>IF(ISNA(MATCH(AJ$2,Inputs!$K$4:$AJ$4,0)),NA(),IF(SUMPRODUCT((Inputs!$A$5:$A$110=$B26)*ISNUMBER(INDEX(Inputs!$K$5:$AJ$110,0,MATCH(AJ$2,Inputs!$K$4:$AJ$4,0))))+SUMPRODUCT((Inputs!$C$5:$C$110=$B26)*ISNUMBER(INDEX(Inputs!$K$5:$AJ$110,0,MATCH(AJ$2,Inputs!$K$4:$AJ$4,0))))+SUMPRODUCT((Inputs!$E$5:$E$110=$B26)*ISNUMBER(INDEX(Inputs!$K$5:$AJ$110,0,MATCH(AJ$2,Inputs!$K$4:$AJ$4,0))))=0,NA(),SUMPRODUCT((Inputs!$A$5:$A$110=$B26)*Inputs!$B$5:$B$110*(((Inputs!$G$5:$G$110="moeda")+(Inputs!$G$5:$G$110="acoes"))*Inputs!$B$1+((Inputs!$G$5:$G$110&lt;&gt;"moeda")*(Inputs!$G$5:$G$110&lt;&gt;"acoes")))*INDEX(Inputs!$K$5:$AJ$110,0,MATCH(AJ$2,Inputs!$K$4:$AJ$4,0)))+SUMPRODUCT((Inputs!$C$5:$C$110=$B26)*Inputs!$D$5:$D$110*(((Inputs!$G$5:$G$110="moeda")+(Inputs!$G$5:$G$110="acoes"))*Inputs!$B$1+((Inputs!$G$5:$G$110&lt;&gt;"moeda")*(Inputs!$G$5:$G$110&lt;&gt;"acoes")))*INDEX(Inputs!$K$5:$AJ$110,0,MATCH(AJ$2,Inputs!$K$4:$AJ$4,0)))+SUMPRODUCT((Inputs!$E$5:$E$110=$B26)*Inputs!$F$5:$F$110*(((Inputs!$G$5:$G$110="moeda")+(Inputs!$G$5:$G$110="acoes"))*Inputs!$B$1+((Inputs!$G$5:$G$110&lt;&gt;"moeda")*(Inputs!$G$5:$G$110&lt;&gt;"acoes")))*INDEX(Inputs!$K$5:$AJ$110,0,MATCH(AJ$2,Inputs!$K$4:$AJ$4,0)))))</f>
        <v>17930</v>
      </c>
      <c r="AK26" s="6">
        <f>IF(ISNA(MATCH(AK$2,Inputs!$K$4:$AJ$4,0)),NA(),IF(SUMPRODUCT((Inputs!$A$5:$A$110=$B26)*ISNUMBER(INDEX(Inputs!$K$5:$AJ$110,0,MATCH(AK$2,Inputs!$K$4:$AJ$4,0))))+SUMPRODUCT((Inputs!$C$5:$C$110=$B26)*ISNUMBER(INDEX(Inputs!$K$5:$AJ$110,0,MATCH(AK$2,Inputs!$K$4:$AJ$4,0))))+SUMPRODUCT((Inputs!$E$5:$E$110=$B26)*ISNUMBER(INDEX(Inputs!$K$5:$AJ$110,0,MATCH(AK$2,Inputs!$K$4:$AJ$4,0))))=0,NA(),SUMPRODUCT((Inputs!$A$5:$A$110=$B26)*Inputs!$B$5:$B$110*(((Inputs!$G$5:$G$110="moeda")+(Inputs!$G$5:$G$110="acoes"))*Inputs!$B$1+((Inputs!$G$5:$G$110&lt;&gt;"moeda")*(Inputs!$G$5:$G$110&lt;&gt;"acoes")))*INDEX(Inputs!$K$5:$AJ$110,0,MATCH(AK$2,Inputs!$K$4:$AJ$4,0)))+SUMPRODUCT((Inputs!$C$5:$C$110=$B26)*Inputs!$D$5:$D$110*(((Inputs!$G$5:$G$110="moeda")+(Inputs!$G$5:$G$110="acoes"))*Inputs!$B$1+((Inputs!$G$5:$G$110&lt;&gt;"moeda")*(Inputs!$G$5:$G$110&lt;&gt;"acoes")))*INDEX(Inputs!$K$5:$AJ$110,0,MATCH(AK$2,Inputs!$K$4:$AJ$4,0)))+SUMPRODUCT((Inputs!$E$5:$E$110=$B26)*Inputs!$F$5:$F$110*(((Inputs!$G$5:$G$110="moeda")+(Inputs!$G$5:$G$110="acoes"))*Inputs!$B$1+((Inputs!$G$5:$G$110&lt;&gt;"moeda")*(Inputs!$G$5:$G$110&lt;&gt;"acoes")))*INDEX(Inputs!$K$5:$AJ$110,0,MATCH(AK$2,Inputs!$K$4:$AJ$4,0)))))</f>
        <v>24656</v>
      </c>
      <c r="AL26" s="3">
        <f>AK26</f>
        <v>24656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$110=$B28)*ISNUMBER(INDEX(Inputs!$K$5:$AJ$110,0,MATCH(D$2,Inputs!$K$4:$AJ$4,0))))+SUMPRODUCT((Inputs!$C$5:$C$110=$B28)*ISNUMBER(INDEX(Inputs!$K$5:$AJ$110,0,MATCH(D$2,Inputs!$K$4:$AJ$4,0))))+SUMPRODUCT((Inputs!$E$5:$E$110=$B28)*ISNUMBER(INDEX(Inputs!$K$5:$AJ$110,0,MATCH(D$2,Inputs!$K$4:$AJ$4,0))))=0,NA(),SUMPRODUCT((Inputs!$A$5:$A$110=$B28)*Inputs!$B$5:$B$110*(((Inputs!$G$5:$G$110="moeda")+(Inputs!$G$5:$G$110="acoes"))*Inputs!$B$1+((Inputs!$G$5:$G$110&lt;&gt;"moeda")*(Inputs!$G$5:$G$110&lt;&gt;"acoes")))*INDEX(Inputs!$K$5:$AJ$110,0,MATCH(D$2,Inputs!$K$4:$AJ$4,0)))+SUMPRODUCT((Inputs!$C$5:$C$110=$B28)*Inputs!$D$5:$D$110*(((Inputs!$G$5:$G$110="moeda")+(Inputs!$G$5:$G$110="acoes"))*Inputs!$B$1+((Inputs!$G$5:$G$110&lt;&gt;"moeda")*(Inputs!$G$5:$G$110&lt;&gt;"acoes")))*INDEX(Inputs!$K$5:$AJ$110,0,MATCH(D$2,Inputs!$K$4:$AJ$4,0)))+SUMPRODUCT((Inputs!$E$5:$E$110=$B28)*Inputs!$F$5:$F$110*(((Inputs!$G$5:$G$110="moeda")+(Inputs!$G$5:$G$110="acoes"))*Inputs!$B$1+((Inputs!$G$5:$G$110&lt;&gt;"moeda")*(Inputs!$G$5:$G$110&lt;&gt;"acoes")))*INDEX(Inputs!$K$5:$AJ$110,0,MATCH(D$2,Inputs!$K$4:$AJ$4,0)))))</f>
        <v>4801</v>
      </c>
      <c r="E28" s="6">
        <f>IF(ISNA(MATCH(E$2,Inputs!$K$4:$AJ$4,0)),NA(),IF(SUMPRODUCT((Inputs!$A$5:$A$110=$B28)*ISNUMBER(INDEX(Inputs!$K$5:$AJ$110,0,MATCH(E$2,Inputs!$K$4:$AJ$4,0))))+SUMPRODUCT((Inputs!$C$5:$C$110=$B28)*ISNUMBER(INDEX(Inputs!$K$5:$AJ$110,0,MATCH(E$2,Inputs!$K$4:$AJ$4,0))))+SUMPRODUCT((Inputs!$E$5:$E$110=$B28)*ISNUMBER(INDEX(Inputs!$K$5:$AJ$110,0,MATCH(E$2,Inputs!$K$4:$AJ$4,0))))=0,NA(),SUMPRODUCT((Inputs!$A$5:$A$110=$B28)*Inputs!$B$5:$B$110*(((Inputs!$G$5:$G$110="moeda")+(Inputs!$G$5:$G$110="acoes"))*Inputs!$B$1+((Inputs!$G$5:$G$110&lt;&gt;"moeda")*(Inputs!$G$5:$G$110&lt;&gt;"acoes")))*INDEX(Inputs!$K$5:$AJ$110,0,MATCH(E$2,Inputs!$K$4:$AJ$4,0)))+SUMPRODUCT((Inputs!$C$5:$C$110=$B28)*Inputs!$D$5:$D$110*(((Inputs!$G$5:$G$110="moeda")+(Inputs!$G$5:$G$110="acoes"))*Inputs!$B$1+((Inputs!$G$5:$G$110&lt;&gt;"moeda")*(Inputs!$G$5:$G$110&lt;&gt;"acoes")))*INDEX(Inputs!$K$5:$AJ$110,0,MATCH(E$2,Inputs!$K$4:$AJ$4,0)))+SUMPRODUCT((Inputs!$E$5:$E$110=$B28)*Inputs!$F$5:$F$110*(((Inputs!$G$5:$G$110="moeda")+(Inputs!$G$5:$G$110="acoes"))*Inputs!$B$1+((Inputs!$G$5:$G$110&lt;&gt;"moeda")*(Inputs!$G$5:$G$110&lt;&gt;"acoes")))*INDEX(Inputs!$K$5:$AJ$110,0,MATCH(E$2,Inputs!$K$4:$AJ$4,0)))))</f>
        <v>4708</v>
      </c>
      <c r="F28" s="6">
        <f>IF(ISNA(MATCH(F$2,Inputs!$K$4:$AJ$4,0)),NA(),IF(SUMPRODUCT((Inputs!$A$5:$A$110=$B28)*ISNUMBER(INDEX(Inputs!$K$5:$AJ$110,0,MATCH(F$2,Inputs!$K$4:$AJ$4,0))))+SUMPRODUCT((Inputs!$C$5:$C$110=$B28)*ISNUMBER(INDEX(Inputs!$K$5:$AJ$110,0,MATCH(F$2,Inputs!$K$4:$AJ$4,0))))+SUMPRODUCT((Inputs!$E$5:$E$110=$B28)*ISNUMBER(INDEX(Inputs!$K$5:$AJ$110,0,MATCH(F$2,Inputs!$K$4:$AJ$4,0))))=0,NA(),SUMPRODUCT((Inputs!$A$5:$A$110=$B28)*Inputs!$B$5:$B$110*(((Inputs!$G$5:$G$110="moeda")+(Inputs!$G$5:$G$110="acoes"))*Inputs!$B$1+((Inputs!$G$5:$G$110&lt;&gt;"moeda")*(Inputs!$G$5:$G$110&lt;&gt;"acoes")))*INDEX(Inputs!$K$5:$AJ$110,0,MATCH(F$2,Inputs!$K$4:$AJ$4,0)))+SUMPRODUCT((Inputs!$C$5:$C$110=$B28)*Inputs!$D$5:$D$110*(((Inputs!$G$5:$G$110="moeda")+(Inputs!$G$5:$G$110="acoes"))*Inputs!$B$1+((Inputs!$G$5:$G$110&lt;&gt;"moeda")*(Inputs!$G$5:$G$110&lt;&gt;"acoes")))*INDEX(Inputs!$K$5:$AJ$110,0,MATCH(F$2,Inputs!$K$4:$AJ$4,0)))+SUMPRODUCT((Inputs!$E$5:$E$110=$B28)*Inputs!$F$5:$F$110*(((Inputs!$G$5:$G$110="moeda")+(Inputs!$G$5:$G$110="acoes"))*Inputs!$B$1+((Inputs!$G$5:$G$110&lt;&gt;"moeda")*(Inputs!$G$5:$G$110&lt;&gt;"acoes")))*INDEX(Inputs!$K$5:$AJ$110,0,MATCH(F$2,Inputs!$K$4:$AJ$4,0)))))</f>
        <v>4616</v>
      </c>
      <c r="G28" s="6">
        <f>IF(ISNA(MATCH(G$2,Inputs!$K$4:$AJ$4,0)),NA(),IF(SUMPRODUCT((Inputs!$A$5:$A$110=$B28)*ISNUMBER(INDEX(Inputs!$K$5:$AJ$110,0,MATCH(G$2,Inputs!$K$4:$AJ$4,0))))+SUMPRODUCT((Inputs!$C$5:$C$110=$B28)*ISNUMBER(INDEX(Inputs!$K$5:$AJ$110,0,MATCH(G$2,Inputs!$K$4:$AJ$4,0))))+SUMPRODUCT((Inputs!$E$5:$E$110=$B28)*ISNUMBER(INDEX(Inputs!$K$5:$AJ$110,0,MATCH(G$2,Inputs!$K$4:$AJ$4,0))))=0,NA(),SUMPRODUCT((Inputs!$A$5:$A$110=$B28)*Inputs!$B$5:$B$110*(((Inputs!$G$5:$G$110="moeda")+(Inputs!$G$5:$G$110="acoes"))*Inputs!$B$1+((Inputs!$G$5:$G$110&lt;&gt;"moeda")*(Inputs!$G$5:$G$110&lt;&gt;"acoes")))*INDEX(Inputs!$K$5:$AJ$110,0,MATCH(G$2,Inputs!$K$4:$AJ$4,0)))+SUMPRODUCT((Inputs!$C$5:$C$110=$B28)*Inputs!$D$5:$D$110*(((Inputs!$G$5:$G$110="moeda")+(Inputs!$G$5:$G$110="acoes"))*Inputs!$B$1+((Inputs!$G$5:$G$110&lt;&gt;"moeda")*(Inputs!$G$5:$G$110&lt;&gt;"acoes")))*INDEX(Inputs!$K$5:$AJ$110,0,MATCH(G$2,Inputs!$K$4:$AJ$4,0)))+SUMPRODUCT((Inputs!$E$5:$E$110=$B28)*Inputs!$F$5:$F$110*(((Inputs!$G$5:$G$110="moeda")+(Inputs!$G$5:$G$110="acoes"))*Inputs!$B$1+((Inputs!$G$5:$G$110&lt;&gt;"moeda")*(Inputs!$G$5:$G$110&lt;&gt;"acoes")))*INDEX(Inputs!$K$5:$AJ$110,0,MATCH(G$2,Inputs!$K$4:$AJ$4,0)))))</f>
        <v>6037</v>
      </c>
      <c r="H28" s="3">
        <f>G28</f>
        <v>6037</v>
      </c>
      <c r="I28" s="6">
        <f>IF(ISNA(MATCH(I$2,Inputs!$K$4:$AJ$4,0)),NA(),IF(SUMPRODUCT((Inputs!$A$5:$A$110=$B28)*ISNUMBER(INDEX(Inputs!$K$5:$AJ$110,0,MATCH(I$2,Inputs!$K$4:$AJ$4,0))))+SUMPRODUCT((Inputs!$C$5:$C$110=$B28)*ISNUMBER(INDEX(Inputs!$K$5:$AJ$110,0,MATCH(I$2,Inputs!$K$4:$AJ$4,0))))+SUMPRODUCT((Inputs!$E$5:$E$110=$B28)*ISNUMBER(INDEX(Inputs!$K$5:$AJ$110,0,MATCH(I$2,Inputs!$K$4:$AJ$4,0))))=0,NA(),SUMPRODUCT((Inputs!$A$5:$A$110=$B28)*Inputs!$B$5:$B$110*(((Inputs!$G$5:$G$110="moeda")+(Inputs!$G$5:$G$110="acoes"))*Inputs!$B$1+((Inputs!$G$5:$G$110&lt;&gt;"moeda")*(Inputs!$G$5:$G$110&lt;&gt;"acoes")))*INDEX(Inputs!$K$5:$AJ$110,0,MATCH(I$2,Inputs!$K$4:$AJ$4,0)))+SUMPRODUCT((Inputs!$C$5:$C$110=$B28)*Inputs!$D$5:$D$110*(((Inputs!$G$5:$G$110="moeda")+(Inputs!$G$5:$G$110="acoes"))*Inputs!$B$1+((Inputs!$G$5:$G$110&lt;&gt;"moeda")*(Inputs!$G$5:$G$110&lt;&gt;"acoes")))*INDEX(Inputs!$K$5:$AJ$110,0,MATCH(I$2,Inputs!$K$4:$AJ$4,0)))+SUMPRODUCT((Inputs!$E$5:$E$110=$B28)*Inputs!$F$5:$F$110*(((Inputs!$G$5:$G$110="moeda")+(Inputs!$G$5:$G$110="acoes"))*Inputs!$B$1+((Inputs!$G$5:$G$110&lt;&gt;"moeda")*(Inputs!$G$5:$G$110&lt;&gt;"acoes")))*INDEX(Inputs!$K$5:$AJ$110,0,MATCH(I$2,Inputs!$K$4:$AJ$4,0)))))</f>
        <v>3436</v>
      </c>
      <c r="J28" s="6">
        <f>IF(ISNA(MATCH(J$2,Inputs!$K$4:$AJ$4,0)),NA(),IF(SUMPRODUCT((Inputs!$A$5:$A$110=$B28)*ISNUMBER(INDEX(Inputs!$K$5:$AJ$110,0,MATCH(J$2,Inputs!$K$4:$AJ$4,0))))+SUMPRODUCT((Inputs!$C$5:$C$110=$B28)*ISNUMBER(INDEX(Inputs!$K$5:$AJ$110,0,MATCH(J$2,Inputs!$K$4:$AJ$4,0))))+SUMPRODUCT((Inputs!$E$5:$E$110=$B28)*ISNUMBER(INDEX(Inputs!$K$5:$AJ$110,0,MATCH(J$2,Inputs!$K$4:$AJ$4,0))))=0,NA(),SUMPRODUCT((Inputs!$A$5:$A$110=$B28)*Inputs!$B$5:$B$110*(((Inputs!$G$5:$G$110="moeda")+(Inputs!$G$5:$G$110="acoes"))*Inputs!$B$1+((Inputs!$G$5:$G$110&lt;&gt;"moeda")*(Inputs!$G$5:$G$110&lt;&gt;"acoes")))*INDEX(Inputs!$K$5:$AJ$110,0,MATCH(J$2,Inputs!$K$4:$AJ$4,0)))+SUMPRODUCT((Inputs!$C$5:$C$110=$B28)*Inputs!$D$5:$D$110*(((Inputs!$G$5:$G$110="moeda")+(Inputs!$G$5:$G$110="acoes"))*Inputs!$B$1+((Inputs!$G$5:$G$110&lt;&gt;"moeda")*(Inputs!$G$5:$G$110&lt;&gt;"acoes")))*INDEX(Inputs!$K$5:$AJ$110,0,MATCH(J$2,Inputs!$K$4:$AJ$4,0)))+SUMPRODUCT((Inputs!$E$5:$E$110=$B28)*Inputs!$F$5:$F$110*(((Inputs!$G$5:$G$110="moeda")+(Inputs!$G$5:$G$110="acoes"))*Inputs!$B$1+((Inputs!$G$5:$G$110&lt;&gt;"moeda")*(Inputs!$G$5:$G$110&lt;&gt;"acoes")))*INDEX(Inputs!$K$5:$AJ$110,0,MATCH(J$2,Inputs!$K$4:$AJ$4,0)))))</f>
        <v>4409</v>
      </c>
      <c r="K28" s="6">
        <f>IF(ISNA(MATCH(K$2,Inputs!$K$4:$AJ$4,0)),NA(),IF(SUMPRODUCT((Inputs!$A$5:$A$110=$B28)*ISNUMBER(INDEX(Inputs!$K$5:$AJ$110,0,MATCH(K$2,Inputs!$K$4:$AJ$4,0))))+SUMPRODUCT((Inputs!$C$5:$C$110=$B28)*ISNUMBER(INDEX(Inputs!$K$5:$AJ$110,0,MATCH(K$2,Inputs!$K$4:$AJ$4,0))))+SUMPRODUCT((Inputs!$E$5:$E$110=$B28)*ISNUMBER(INDEX(Inputs!$K$5:$AJ$110,0,MATCH(K$2,Inputs!$K$4:$AJ$4,0))))=0,NA(),SUMPRODUCT((Inputs!$A$5:$A$110=$B28)*Inputs!$B$5:$B$110*(((Inputs!$G$5:$G$110="moeda")+(Inputs!$G$5:$G$110="acoes"))*Inputs!$B$1+((Inputs!$G$5:$G$110&lt;&gt;"moeda")*(Inputs!$G$5:$G$110&lt;&gt;"acoes")))*INDEX(Inputs!$K$5:$AJ$110,0,MATCH(K$2,Inputs!$K$4:$AJ$4,0)))+SUMPRODUCT((Inputs!$C$5:$C$110=$B28)*Inputs!$D$5:$D$110*(((Inputs!$G$5:$G$110="moeda")+(Inputs!$G$5:$G$110="acoes"))*Inputs!$B$1+((Inputs!$G$5:$G$110&lt;&gt;"moeda")*(Inputs!$G$5:$G$110&lt;&gt;"acoes")))*INDEX(Inputs!$K$5:$AJ$110,0,MATCH(K$2,Inputs!$K$4:$AJ$4,0)))+SUMPRODUCT((Inputs!$E$5:$E$110=$B28)*Inputs!$F$5:$F$110*(((Inputs!$G$5:$G$110="moeda")+(Inputs!$G$5:$G$110="acoes"))*Inputs!$B$1+((Inputs!$G$5:$G$110&lt;&gt;"moeda")*(Inputs!$G$5:$G$110&lt;&gt;"acoes")))*INDEX(Inputs!$K$5:$AJ$110,0,MATCH(K$2,Inputs!$K$4:$AJ$4,0)))))</f>
        <v>6303</v>
      </c>
      <c r="L28" s="6">
        <f>IF(ISNA(MATCH(L$2,Inputs!$K$4:$AJ$4,0)),NA(),IF(SUMPRODUCT((Inputs!$A$5:$A$110=$B28)*ISNUMBER(INDEX(Inputs!$K$5:$AJ$110,0,MATCH(L$2,Inputs!$K$4:$AJ$4,0))))+SUMPRODUCT((Inputs!$C$5:$C$110=$B28)*ISNUMBER(INDEX(Inputs!$K$5:$AJ$110,0,MATCH(L$2,Inputs!$K$4:$AJ$4,0))))+SUMPRODUCT((Inputs!$E$5:$E$110=$B28)*ISNUMBER(INDEX(Inputs!$K$5:$AJ$110,0,MATCH(L$2,Inputs!$K$4:$AJ$4,0))))=0,NA(),SUMPRODUCT((Inputs!$A$5:$A$110=$B28)*Inputs!$B$5:$B$110*(((Inputs!$G$5:$G$110="moeda")+(Inputs!$G$5:$G$110="acoes"))*Inputs!$B$1+((Inputs!$G$5:$G$110&lt;&gt;"moeda")*(Inputs!$G$5:$G$110&lt;&gt;"acoes")))*INDEX(Inputs!$K$5:$AJ$110,0,MATCH(L$2,Inputs!$K$4:$AJ$4,0)))+SUMPRODUCT((Inputs!$C$5:$C$110=$B28)*Inputs!$D$5:$D$110*(((Inputs!$G$5:$G$110="moeda")+(Inputs!$G$5:$G$110="acoes"))*Inputs!$B$1+((Inputs!$G$5:$G$110&lt;&gt;"moeda")*(Inputs!$G$5:$G$110&lt;&gt;"acoes")))*INDEX(Inputs!$K$5:$AJ$110,0,MATCH(L$2,Inputs!$K$4:$AJ$4,0)))+SUMPRODUCT((Inputs!$E$5:$E$110=$B28)*Inputs!$F$5:$F$110*(((Inputs!$G$5:$G$110="moeda")+(Inputs!$G$5:$G$110="acoes"))*Inputs!$B$1+((Inputs!$G$5:$G$110&lt;&gt;"moeda")*(Inputs!$G$5:$G$110&lt;&gt;"acoes")))*INDEX(Inputs!$K$5:$AJ$110,0,MATCH(L$2,Inputs!$K$4:$AJ$4,0)))))</f>
        <v>5128</v>
      </c>
      <c r="M28" s="3">
        <f>L28</f>
        <v>5128</v>
      </c>
      <c r="N28" s="6">
        <f>IF(ISNA(MATCH(N$2,Inputs!$K$4:$AJ$4,0)),NA(),IF(SUMPRODUCT((Inputs!$A$5:$A$110=$B28)*ISNUMBER(INDEX(Inputs!$K$5:$AJ$110,0,MATCH(N$2,Inputs!$K$4:$AJ$4,0))))+SUMPRODUCT((Inputs!$C$5:$C$110=$B28)*ISNUMBER(INDEX(Inputs!$K$5:$AJ$110,0,MATCH(N$2,Inputs!$K$4:$AJ$4,0))))+SUMPRODUCT((Inputs!$E$5:$E$110=$B28)*ISNUMBER(INDEX(Inputs!$K$5:$AJ$110,0,MATCH(N$2,Inputs!$K$4:$AJ$4,0))))=0,NA(),SUMPRODUCT((Inputs!$A$5:$A$110=$B28)*Inputs!$B$5:$B$110*(((Inputs!$G$5:$G$110="moeda")+(Inputs!$G$5:$G$110="acoes"))*Inputs!$B$1+((Inputs!$G$5:$G$110&lt;&gt;"moeda")*(Inputs!$G$5:$G$110&lt;&gt;"acoes")))*INDEX(Inputs!$K$5:$AJ$110,0,MATCH(N$2,Inputs!$K$4:$AJ$4,0)))+SUMPRODUCT((Inputs!$C$5:$C$110=$B28)*Inputs!$D$5:$D$110*(((Inputs!$G$5:$G$110="moeda")+(Inputs!$G$5:$G$110="acoes"))*Inputs!$B$1+((Inputs!$G$5:$G$110&lt;&gt;"moeda")*(Inputs!$G$5:$G$110&lt;&gt;"acoes")))*INDEX(Inputs!$K$5:$AJ$110,0,MATCH(N$2,Inputs!$K$4:$AJ$4,0)))+SUMPRODUCT((Inputs!$E$5:$E$110=$B28)*Inputs!$F$5:$F$110*(((Inputs!$G$5:$G$110="moeda")+(Inputs!$G$5:$G$110="acoes"))*Inputs!$B$1+((Inputs!$G$5:$G$110&lt;&gt;"moeda")*(Inputs!$G$5:$G$110&lt;&gt;"acoes")))*INDEX(Inputs!$K$5:$AJ$110,0,MATCH(N$2,Inputs!$K$4:$AJ$4,0)))))</f>
        <v>4184</v>
      </c>
      <c r="O28" s="6">
        <f>IF(ISNA(MATCH(O$2,Inputs!$K$4:$AJ$4,0)),NA(),IF(SUMPRODUCT((Inputs!$A$5:$A$110=$B28)*ISNUMBER(INDEX(Inputs!$K$5:$AJ$110,0,MATCH(O$2,Inputs!$K$4:$AJ$4,0))))+SUMPRODUCT((Inputs!$C$5:$C$110=$B28)*ISNUMBER(INDEX(Inputs!$K$5:$AJ$110,0,MATCH(O$2,Inputs!$K$4:$AJ$4,0))))+SUMPRODUCT((Inputs!$E$5:$E$110=$B28)*ISNUMBER(INDEX(Inputs!$K$5:$AJ$110,0,MATCH(O$2,Inputs!$K$4:$AJ$4,0))))=0,NA(),SUMPRODUCT((Inputs!$A$5:$A$110=$B28)*Inputs!$B$5:$B$110*(((Inputs!$G$5:$G$110="moeda")+(Inputs!$G$5:$G$110="acoes"))*Inputs!$B$1+((Inputs!$G$5:$G$110&lt;&gt;"moeda")*(Inputs!$G$5:$G$110&lt;&gt;"acoes")))*INDEX(Inputs!$K$5:$AJ$110,0,MATCH(O$2,Inputs!$K$4:$AJ$4,0)))+SUMPRODUCT((Inputs!$C$5:$C$110=$B28)*Inputs!$D$5:$D$110*(((Inputs!$G$5:$G$110="moeda")+(Inputs!$G$5:$G$110="acoes"))*Inputs!$B$1+((Inputs!$G$5:$G$110&lt;&gt;"moeda")*(Inputs!$G$5:$G$110&lt;&gt;"acoes")))*INDEX(Inputs!$K$5:$AJ$110,0,MATCH(O$2,Inputs!$K$4:$AJ$4,0)))+SUMPRODUCT((Inputs!$E$5:$E$110=$B28)*Inputs!$F$5:$F$110*(((Inputs!$G$5:$G$110="moeda")+(Inputs!$G$5:$G$110="acoes"))*Inputs!$B$1+((Inputs!$G$5:$G$110&lt;&gt;"moeda")*(Inputs!$G$5:$G$110&lt;&gt;"acoes")))*INDEX(Inputs!$K$5:$AJ$110,0,MATCH(O$2,Inputs!$K$4:$AJ$4,0)))))</f>
        <v>5313</v>
      </c>
      <c r="P28" s="6">
        <f>IF(ISNA(MATCH(P$2,Inputs!$K$4:$AJ$4,0)),NA(),IF(SUMPRODUCT((Inputs!$A$5:$A$110=$B28)*ISNUMBER(INDEX(Inputs!$K$5:$AJ$110,0,MATCH(P$2,Inputs!$K$4:$AJ$4,0))))+SUMPRODUCT((Inputs!$C$5:$C$110=$B28)*ISNUMBER(INDEX(Inputs!$K$5:$AJ$110,0,MATCH(P$2,Inputs!$K$4:$AJ$4,0))))+SUMPRODUCT((Inputs!$E$5:$E$110=$B28)*ISNUMBER(INDEX(Inputs!$K$5:$AJ$110,0,MATCH(P$2,Inputs!$K$4:$AJ$4,0))))=0,NA(),SUMPRODUCT((Inputs!$A$5:$A$110=$B28)*Inputs!$B$5:$B$110*(((Inputs!$G$5:$G$110="moeda")+(Inputs!$G$5:$G$110="acoes"))*Inputs!$B$1+((Inputs!$G$5:$G$110&lt;&gt;"moeda")*(Inputs!$G$5:$G$110&lt;&gt;"acoes")))*INDEX(Inputs!$K$5:$AJ$110,0,MATCH(P$2,Inputs!$K$4:$AJ$4,0)))+SUMPRODUCT((Inputs!$C$5:$C$110=$B28)*Inputs!$D$5:$D$110*(((Inputs!$G$5:$G$110="moeda")+(Inputs!$G$5:$G$110="acoes"))*Inputs!$B$1+((Inputs!$G$5:$G$110&lt;&gt;"moeda")*(Inputs!$G$5:$G$110&lt;&gt;"acoes")))*INDEX(Inputs!$K$5:$AJ$110,0,MATCH(P$2,Inputs!$K$4:$AJ$4,0)))+SUMPRODUCT((Inputs!$E$5:$E$110=$B28)*Inputs!$F$5:$F$110*(((Inputs!$G$5:$G$110="moeda")+(Inputs!$G$5:$G$110="acoes"))*Inputs!$B$1+((Inputs!$G$5:$G$110&lt;&gt;"moeda")*(Inputs!$G$5:$G$110&lt;&gt;"acoes")))*INDEX(Inputs!$K$5:$AJ$110,0,MATCH(P$2,Inputs!$K$4:$AJ$4,0)))))</f>
        <v>5803</v>
      </c>
      <c r="Q28" s="6">
        <f>IF(ISNA(MATCH(Q$2,Inputs!$K$4:$AJ$4,0)),NA(),IF(SUMPRODUCT((Inputs!$A$5:$A$110=$B28)*ISNUMBER(INDEX(Inputs!$K$5:$AJ$110,0,MATCH(Q$2,Inputs!$K$4:$AJ$4,0))))+SUMPRODUCT((Inputs!$C$5:$C$110=$B28)*ISNUMBER(INDEX(Inputs!$K$5:$AJ$110,0,MATCH(Q$2,Inputs!$K$4:$AJ$4,0))))+SUMPRODUCT((Inputs!$E$5:$E$110=$B28)*ISNUMBER(INDEX(Inputs!$K$5:$AJ$110,0,MATCH(Q$2,Inputs!$K$4:$AJ$4,0))))=0,NA(),SUMPRODUCT((Inputs!$A$5:$A$110=$B28)*Inputs!$B$5:$B$110*(((Inputs!$G$5:$G$110="moeda")+(Inputs!$G$5:$G$110="acoes"))*Inputs!$B$1+((Inputs!$G$5:$G$110&lt;&gt;"moeda")*(Inputs!$G$5:$G$110&lt;&gt;"acoes")))*INDEX(Inputs!$K$5:$AJ$110,0,MATCH(Q$2,Inputs!$K$4:$AJ$4,0)))+SUMPRODUCT((Inputs!$C$5:$C$110=$B28)*Inputs!$D$5:$D$110*(((Inputs!$G$5:$G$110="moeda")+(Inputs!$G$5:$G$110="acoes"))*Inputs!$B$1+((Inputs!$G$5:$G$110&lt;&gt;"moeda")*(Inputs!$G$5:$G$110&lt;&gt;"acoes")))*INDEX(Inputs!$K$5:$AJ$110,0,MATCH(Q$2,Inputs!$K$4:$AJ$4,0)))+SUMPRODUCT((Inputs!$E$5:$E$110=$B28)*Inputs!$F$5:$F$110*(((Inputs!$G$5:$G$110="moeda")+(Inputs!$G$5:$G$110="acoes"))*Inputs!$B$1+((Inputs!$G$5:$G$110&lt;&gt;"moeda")*(Inputs!$G$5:$G$110&lt;&gt;"acoes")))*INDEX(Inputs!$K$5:$AJ$110,0,MATCH(Q$2,Inputs!$K$4:$AJ$4,0)))))</f>
        <v>7493</v>
      </c>
      <c r="R28" s="3">
        <f>Q28</f>
        <v>7493</v>
      </c>
      <c r="S28" s="6">
        <f>IF(ISNA(MATCH(S$2,Inputs!$K$4:$AJ$4,0)),NA(),IF(SUMPRODUCT((Inputs!$A$5:$A$110=$B28)*ISNUMBER(INDEX(Inputs!$K$5:$AJ$110,0,MATCH(S$2,Inputs!$K$4:$AJ$4,0))))+SUMPRODUCT((Inputs!$C$5:$C$110=$B28)*ISNUMBER(INDEX(Inputs!$K$5:$AJ$110,0,MATCH(S$2,Inputs!$K$4:$AJ$4,0))))+SUMPRODUCT((Inputs!$E$5:$E$110=$B28)*ISNUMBER(INDEX(Inputs!$K$5:$AJ$110,0,MATCH(S$2,Inputs!$K$4:$AJ$4,0))))=0,NA(),SUMPRODUCT((Inputs!$A$5:$A$110=$B28)*Inputs!$B$5:$B$110*(((Inputs!$G$5:$G$110="moeda")+(Inputs!$G$5:$G$110="acoes"))*Inputs!$B$1+((Inputs!$G$5:$G$110&lt;&gt;"moeda")*(Inputs!$G$5:$G$110&lt;&gt;"acoes")))*INDEX(Inputs!$K$5:$AJ$110,0,MATCH(S$2,Inputs!$K$4:$AJ$4,0)))+SUMPRODUCT((Inputs!$C$5:$C$110=$B28)*Inputs!$D$5:$D$110*(((Inputs!$G$5:$G$110="moeda")+(Inputs!$G$5:$G$110="acoes"))*Inputs!$B$1+((Inputs!$G$5:$G$110&lt;&gt;"moeda")*(Inputs!$G$5:$G$110&lt;&gt;"acoes")))*INDEX(Inputs!$K$5:$AJ$110,0,MATCH(S$2,Inputs!$K$4:$AJ$4,0)))+SUMPRODUCT((Inputs!$E$5:$E$110=$B28)*Inputs!$F$5:$F$110*(((Inputs!$G$5:$G$110="moeda")+(Inputs!$G$5:$G$110="acoes"))*Inputs!$B$1+((Inputs!$G$5:$G$110&lt;&gt;"moeda")*(Inputs!$G$5:$G$110&lt;&gt;"acoes")))*INDEX(Inputs!$K$5:$AJ$110,0,MATCH(S$2,Inputs!$K$4:$AJ$4,0)))))</f>
        <v>6198</v>
      </c>
      <c r="T28" s="6">
        <f>IF(ISNA(MATCH(T$2,Inputs!$K$4:$AJ$4,0)),NA(),IF(SUMPRODUCT((Inputs!$A$5:$A$110=$B28)*ISNUMBER(INDEX(Inputs!$K$5:$AJ$110,0,MATCH(T$2,Inputs!$K$4:$AJ$4,0))))+SUMPRODUCT((Inputs!$C$5:$C$110=$B28)*ISNUMBER(INDEX(Inputs!$K$5:$AJ$110,0,MATCH(T$2,Inputs!$K$4:$AJ$4,0))))+SUMPRODUCT((Inputs!$E$5:$E$110=$B28)*ISNUMBER(INDEX(Inputs!$K$5:$AJ$110,0,MATCH(T$2,Inputs!$K$4:$AJ$4,0))))=0,NA(),SUMPRODUCT((Inputs!$A$5:$A$110=$B28)*Inputs!$B$5:$B$110*(((Inputs!$G$5:$G$110="moeda")+(Inputs!$G$5:$G$110="acoes"))*Inputs!$B$1+((Inputs!$G$5:$G$110&lt;&gt;"moeda")*(Inputs!$G$5:$G$110&lt;&gt;"acoes")))*INDEX(Inputs!$K$5:$AJ$110,0,MATCH(T$2,Inputs!$K$4:$AJ$4,0)))+SUMPRODUCT((Inputs!$C$5:$C$110=$B28)*Inputs!$D$5:$D$110*(((Inputs!$G$5:$G$110="moeda")+(Inputs!$G$5:$G$110="acoes"))*Inputs!$B$1+((Inputs!$G$5:$G$110&lt;&gt;"moeda")*(Inputs!$G$5:$G$110&lt;&gt;"acoes")))*INDEX(Inputs!$K$5:$AJ$110,0,MATCH(T$2,Inputs!$K$4:$AJ$4,0)))+SUMPRODUCT((Inputs!$E$5:$E$110=$B28)*Inputs!$F$5:$F$110*(((Inputs!$G$5:$G$110="moeda")+(Inputs!$G$5:$G$110="acoes"))*Inputs!$B$1+((Inputs!$G$5:$G$110&lt;&gt;"moeda")*(Inputs!$G$5:$G$110&lt;&gt;"acoes")))*INDEX(Inputs!$K$5:$AJ$110,0,MATCH(T$2,Inputs!$K$4:$AJ$4,0)))))</f>
        <v>6092</v>
      </c>
      <c r="U28" s="6">
        <f>IF(ISNA(MATCH(U$2,Inputs!$K$4:$AJ$4,0)),NA(),IF(SUMPRODUCT((Inputs!$A$5:$A$110=$B28)*ISNUMBER(INDEX(Inputs!$K$5:$AJ$110,0,MATCH(U$2,Inputs!$K$4:$AJ$4,0))))+SUMPRODUCT((Inputs!$C$5:$C$110=$B28)*ISNUMBER(INDEX(Inputs!$K$5:$AJ$110,0,MATCH(U$2,Inputs!$K$4:$AJ$4,0))))+SUMPRODUCT((Inputs!$E$5:$E$110=$B28)*ISNUMBER(INDEX(Inputs!$K$5:$AJ$110,0,MATCH(U$2,Inputs!$K$4:$AJ$4,0))))=0,NA(),SUMPRODUCT((Inputs!$A$5:$A$110=$B28)*Inputs!$B$5:$B$110*(((Inputs!$G$5:$G$110="moeda")+(Inputs!$G$5:$G$110="acoes"))*Inputs!$B$1+((Inputs!$G$5:$G$110&lt;&gt;"moeda")*(Inputs!$G$5:$G$110&lt;&gt;"acoes")))*INDEX(Inputs!$K$5:$AJ$110,0,MATCH(U$2,Inputs!$K$4:$AJ$4,0)))+SUMPRODUCT((Inputs!$C$5:$C$110=$B28)*Inputs!$D$5:$D$110*(((Inputs!$G$5:$G$110="moeda")+(Inputs!$G$5:$G$110="acoes"))*Inputs!$B$1+((Inputs!$G$5:$G$110&lt;&gt;"moeda")*(Inputs!$G$5:$G$110&lt;&gt;"acoes")))*INDEX(Inputs!$K$5:$AJ$110,0,MATCH(U$2,Inputs!$K$4:$AJ$4,0)))+SUMPRODUCT((Inputs!$E$5:$E$110=$B28)*Inputs!$F$5:$F$110*(((Inputs!$G$5:$G$110="moeda")+(Inputs!$G$5:$G$110="acoes"))*Inputs!$B$1+((Inputs!$G$5:$G$110&lt;&gt;"moeda")*(Inputs!$G$5:$G$110&lt;&gt;"acoes")))*INDEX(Inputs!$K$5:$AJ$110,0,MATCH(U$2,Inputs!$K$4:$AJ$4,0)))))</f>
        <v>7049</v>
      </c>
      <c r="V28" s="6">
        <f>IF(ISNA(MATCH(V$2,Inputs!$K$4:$AJ$4,0)),NA(),IF(SUMPRODUCT((Inputs!$A$5:$A$110=$B28)*ISNUMBER(INDEX(Inputs!$K$5:$AJ$110,0,MATCH(V$2,Inputs!$K$4:$AJ$4,0))))+SUMPRODUCT((Inputs!$C$5:$C$110=$B28)*ISNUMBER(INDEX(Inputs!$K$5:$AJ$110,0,MATCH(V$2,Inputs!$K$4:$AJ$4,0))))+SUMPRODUCT((Inputs!$E$5:$E$110=$B28)*ISNUMBER(INDEX(Inputs!$K$5:$AJ$110,0,MATCH(V$2,Inputs!$K$4:$AJ$4,0))))=0,NA(),SUMPRODUCT((Inputs!$A$5:$A$110=$B28)*Inputs!$B$5:$B$110*(((Inputs!$G$5:$G$110="moeda")+(Inputs!$G$5:$G$110="acoes"))*Inputs!$B$1+((Inputs!$G$5:$G$110&lt;&gt;"moeda")*(Inputs!$G$5:$G$110&lt;&gt;"acoes")))*INDEX(Inputs!$K$5:$AJ$110,0,MATCH(V$2,Inputs!$K$4:$AJ$4,0)))+SUMPRODUCT((Inputs!$C$5:$C$110=$B28)*Inputs!$D$5:$D$110*(((Inputs!$G$5:$G$110="moeda")+(Inputs!$G$5:$G$110="acoes"))*Inputs!$B$1+((Inputs!$G$5:$G$110&lt;&gt;"moeda")*(Inputs!$G$5:$G$110&lt;&gt;"acoes")))*INDEX(Inputs!$K$5:$AJ$110,0,MATCH(V$2,Inputs!$K$4:$AJ$4,0)))+SUMPRODUCT((Inputs!$E$5:$E$110=$B28)*Inputs!$F$5:$F$110*(((Inputs!$G$5:$G$110="moeda")+(Inputs!$G$5:$G$110="acoes"))*Inputs!$B$1+((Inputs!$G$5:$G$110&lt;&gt;"moeda")*(Inputs!$G$5:$G$110&lt;&gt;"acoes")))*INDEX(Inputs!$K$5:$AJ$110,0,MATCH(V$2,Inputs!$K$4:$AJ$4,0)))))</f>
        <v>7987</v>
      </c>
      <c r="W28" s="3">
        <f>V28</f>
        <v>7987</v>
      </c>
      <c r="X28" s="6">
        <f>IF(ISNA(MATCH(X$2,Inputs!$K$4:$AJ$4,0)),NA(),IF(SUMPRODUCT((Inputs!$A$5:$A$110=$B28)*ISNUMBER(INDEX(Inputs!$K$5:$AJ$110,0,MATCH(X$2,Inputs!$K$4:$AJ$4,0))))+SUMPRODUCT((Inputs!$C$5:$C$110=$B28)*ISNUMBER(INDEX(Inputs!$K$5:$AJ$110,0,MATCH(X$2,Inputs!$K$4:$AJ$4,0))))+SUMPRODUCT((Inputs!$E$5:$E$110=$B28)*ISNUMBER(INDEX(Inputs!$K$5:$AJ$110,0,MATCH(X$2,Inputs!$K$4:$AJ$4,0))))=0,NA(),SUMPRODUCT((Inputs!$A$5:$A$110=$B28)*Inputs!$B$5:$B$110*(((Inputs!$G$5:$G$110="moeda")+(Inputs!$G$5:$G$110="acoes"))*Inputs!$B$1+((Inputs!$G$5:$G$110&lt;&gt;"moeda")*(Inputs!$G$5:$G$110&lt;&gt;"acoes")))*INDEX(Inputs!$K$5:$AJ$110,0,MATCH(X$2,Inputs!$K$4:$AJ$4,0)))+SUMPRODUCT((Inputs!$C$5:$C$110=$B28)*Inputs!$D$5:$D$110*(((Inputs!$G$5:$G$110="moeda")+(Inputs!$G$5:$G$110="acoes"))*Inputs!$B$1+((Inputs!$G$5:$G$110&lt;&gt;"moeda")*(Inputs!$G$5:$G$110&lt;&gt;"acoes")))*INDEX(Inputs!$K$5:$AJ$110,0,MATCH(X$2,Inputs!$K$4:$AJ$4,0)))+SUMPRODUCT((Inputs!$E$5:$E$110=$B28)*Inputs!$F$5:$F$110*(((Inputs!$G$5:$G$110="moeda")+(Inputs!$G$5:$G$110="acoes"))*Inputs!$B$1+((Inputs!$G$5:$G$110&lt;&gt;"moeda")*(Inputs!$G$5:$G$110&lt;&gt;"acoes")))*INDEX(Inputs!$K$5:$AJ$110,0,MATCH(X$2,Inputs!$K$4:$AJ$4,0)))))</f>
        <v>8497</v>
      </c>
      <c r="Y28" s="6">
        <f>IF(ISNA(MATCH(Y$2,Inputs!$K$4:$AJ$4,0)),NA(),IF(SUMPRODUCT((Inputs!$A$5:$A$110=$B28)*ISNUMBER(INDEX(Inputs!$K$5:$AJ$110,0,MATCH(Y$2,Inputs!$K$4:$AJ$4,0))))+SUMPRODUCT((Inputs!$C$5:$C$110=$B28)*ISNUMBER(INDEX(Inputs!$K$5:$AJ$110,0,MATCH(Y$2,Inputs!$K$4:$AJ$4,0))))+SUMPRODUCT((Inputs!$E$5:$E$110=$B28)*ISNUMBER(INDEX(Inputs!$K$5:$AJ$110,0,MATCH(Y$2,Inputs!$K$4:$AJ$4,0))))=0,NA(),SUMPRODUCT((Inputs!$A$5:$A$110=$B28)*Inputs!$B$5:$B$110*(((Inputs!$G$5:$G$110="moeda")+(Inputs!$G$5:$G$110="acoes"))*Inputs!$B$1+((Inputs!$G$5:$G$110&lt;&gt;"moeda")*(Inputs!$G$5:$G$110&lt;&gt;"acoes")))*INDEX(Inputs!$K$5:$AJ$110,0,MATCH(Y$2,Inputs!$K$4:$AJ$4,0)))+SUMPRODUCT((Inputs!$C$5:$C$110=$B28)*Inputs!$D$5:$D$110*(((Inputs!$G$5:$G$110="moeda")+(Inputs!$G$5:$G$110="acoes"))*Inputs!$B$1+((Inputs!$G$5:$G$110&lt;&gt;"moeda")*(Inputs!$G$5:$G$110&lt;&gt;"acoes")))*INDEX(Inputs!$K$5:$AJ$110,0,MATCH(Y$2,Inputs!$K$4:$AJ$4,0)))+SUMPRODUCT((Inputs!$E$5:$E$110=$B28)*Inputs!$F$5:$F$110*(((Inputs!$G$5:$G$110="moeda")+(Inputs!$G$5:$G$110="acoes"))*Inputs!$B$1+((Inputs!$G$5:$G$110&lt;&gt;"moeda")*(Inputs!$G$5:$G$110&lt;&gt;"acoes")))*INDEX(Inputs!$K$5:$AJ$110,0,MATCH(Y$2,Inputs!$K$4:$AJ$4,0)))))</f>
        <v>8347</v>
      </c>
      <c r="Z28" s="6">
        <f>IF(ISNA(MATCH(Z$2,Inputs!$K$4:$AJ$4,0)),NA(),IF(SUMPRODUCT((Inputs!$A$5:$A$110=$B28)*ISNUMBER(INDEX(Inputs!$K$5:$AJ$110,0,MATCH(Z$2,Inputs!$K$4:$AJ$4,0))))+SUMPRODUCT((Inputs!$C$5:$C$110=$B28)*ISNUMBER(INDEX(Inputs!$K$5:$AJ$110,0,MATCH(Z$2,Inputs!$K$4:$AJ$4,0))))+SUMPRODUCT((Inputs!$E$5:$E$110=$B28)*ISNUMBER(INDEX(Inputs!$K$5:$AJ$110,0,MATCH(Z$2,Inputs!$K$4:$AJ$4,0))))=0,NA(),SUMPRODUCT((Inputs!$A$5:$A$110=$B28)*Inputs!$B$5:$B$110*(((Inputs!$G$5:$G$110="moeda")+(Inputs!$G$5:$G$110="acoes"))*Inputs!$B$1+((Inputs!$G$5:$G$110&lt;&gt;"moeda")*(Inputs!$G$5:$G$110&lt;&gt;"acoes")))*INDEX(Inputs!$K$5:$AJ$110,0,MATCH(Z$2,Inputs!$K$4:$AJ$4,0)))+SUMPRODUCT((Inputs!$C$5:$C$110=$B28)*Inputs!$D$5:$D$110*(((Inputs!$G$5:$G$110="moeda")+(Inputs!$G$5:$G$110="acoes"))*Inputs!$B$1+((Inputs!$G$5:$G$110&lt;&gt;"moeda")*(Inputs!$G$5:$G$110&lt;&gt;"acoes")))*INDEX(Inputs!$K$5:$AJ$110,0,MATCH(Z$2,Inputs!$K$4:$AJ$4,0)))+SUMPRODUCT((Inputs!$E$5:$E$110=$B28)*Inputs!$F$5:$F$110*(((Inputs!$G$5:$G$110="moeda")+(Inputs!$G$5:$G$110="acoes"))*Inputs!$B$1+((Inputs!$G$5:$G$110&lt;&gt;"moeda")*(Inputs!$G$5:$G$110&lt;&gt;"acoes")))*INDEX(Inputs!$K$5:$AJ$110,0,MATCH(Z$2,Inputs!$K$4:$AJ$4,0)))))</f>
        <v>10546</v>
      </c>
      <c r="AA28" s="6">
        <f>IF(ISNA(MATCH(AA$2,Inputs!$K$4:$AJ$4,0)),NA(),IF(SUMPRODUCT((Inputs!$A$5:$A$110=$B28)*ISNUMBER(INDEX(Inputs!$K$5:$AJ$110,0,MATCH(AA$2,Inputs!$K$4:$AJ$4,0))))+SUMPRODUCT((Inputs!$C$5:$C$110=$B28)*ISNUMBER(INDEX(Inputs!$K$5:$AJ$110,0,MATCH(AA$2,Inputs!$K$4:$AJ$4,0))))+SUMPRODUCT((Inputs!$E$5:$E$110=$B28)*ISNUMBER(INDEX(Inputs!$K$5:$AJ$110,0,MATCH(AA$2,Inputs!$K$4:$AJ$4,0))))=0,NA(),SUMPRODUCT((Inputs!$A$5:$A$110=$B28)*Inputs!$B$5:$B$110*(((Inputs!$G$5:$G$110="moeda")+(Inputs!$G$5:$G$110="acoes"))*Inputs!$B$1+((Inputs!$G$5:$G$110&lt;&gt;"moeda")*(Inputs!$G$5:$G$110&lt;&gt;"acoes")))*INDEX(Inputs!$K$5:$AJ$110,0,MATCH(AA$2,Inputs!$K$4:$AJ$4,0)))+SUMPRODUCT((Inputs!$C$5:$C$110=$B28)*Inputs!$D$5:$D$110*(((Inputs!$G$5:$G$110="moeda")+(Inputs!$G$5:$G$110="acoes"))*Inputs!$B$1+((Inputs!$G$5:$G$110&lt;&gt;"moeda")*(Inputs!$G$5:$G$110&lt;&gt;"acoes")))*INDEX(Inputs!$K$5:$AJ$110,0,MATCH(AA$2,Inputs!$K$4:$AJ$4,0)))+SUMPRODUCT((Inputs!$E$5:$E$110=$B28)*Inputs!$F$5:$F$110*(((Inputs!$G$5:$G$110="moeda")+(Inputs!$G$5:$G$110="acoes"))*Inputs!$B$1+((Inputs!$G$5:$G$110&lt;&gt;"moeda")*(Inputs!$G$5:$G$110&lt;&gt;"acoes")))*INDEX(Inputs!$K$5:$AJ$110,0,MATCH(AA$2,Inputs!$K$4:$AJ$4,0)))))</f>
        <v>12200</v>
      </c>
      <c r="AB28" s="3">
        <f>AA28</f>
        <v>12200</v>
      </c>
      <c r="AC28" s="6">
        <f>IF(ISNA(MATCH(AC$2,Inputs!$K$4:$AJ$4,0)),NA(),IF(SUMPRODUCT((Inputs!$A$5:$A$110=$B28)*ISNUMBER(INDEX(Inputs!$K$5:$AJ$110,0,MATCH(AC$2,Inputs!$K$4:$AJ$4,0))))+SUMPRODUCT((Inputs!$C$5:$C$110=$B28)*ISNUMBER(INDEX(Inputs!$K$5:$AJ$110,0,MATCH(AC$2,Inputs!$K$4:$AJ$4,0))))+SUMPRODUCT((Inputs!$E$5:$E$110=$B28)*ISNUMBER(INDEX(Inputs!$K$5:$AJ$110,0,MATCH(AC$2,Inputs!$K$4:$AJ$4,0))))=0,NA(),SUMPRODUCT((Inputs!$A$5:$A$110=$B28)*Inputs!$B$5:$B$110*(((Inputs!$G$5:$G$110="moeda")+(Inputs!$G$5:$G$110="acoes"))*Inputs!$B$1+((Inputs!$G$5:$G$110&lt;&gt;"moeda")*(Inputs!$G$5:$G$110&lt;&gt;"acoes")))*INDEX(Inputs!$K$5:$AJ$110,0,MATCH(AC$2,Inputs!$K$4:$AJ$4,0)))+SUMPRODUCT((Inputs!$C$5:$C$110=$B28)*Inputs!$D$5:$D$110*(((Inputs!$G$5:$G$110="moeda")+(Inputs!$G$5:$G$110="acoes"))*Inputs!$B$1+((Inputs!$G$5:$G$110&lt;&gt;"moeda")*(Inputs!$G$5:$G$110&lt;&gt;"acoes")))*INDEX(Inputs!$K$5:$AJ$110,0,MATCH(AC$2,Inputs!$K$4:$AJ$4,0)))+SUMPRODUCT((Inputs!$E$5:$E$110=$B28)*Inputs!$F$5:$F$110*(((Inputs!$G$5:$G$110="moeda")+(Inputs!$G$5:$G$110="acoes"))*Inputs!$B$1+((Inputs!$G$5:$G$110&lt;&gt;"moeda")*(Inputs!$G$5:$G$110&lt;&gt;"acoes")))*INDEX(Inputs!$K$5:$AJ$110,0,MATCH(AC$2,Inputs!$K$4:$AJ$4,0)))))</f>
        <v>16852</v>
      </c>
      <c r="AD28" s="6">
        <f>IF(ISNA(MATCH(AD$2,Inputs!$K$4:$AJ$4,0)),NA(),IF(SUMPRODUCT((Inputs!$A$5:$A$110=$B28)*ISNUMBER(INDEX(Inputs!$K$5:$AJ$110,0,MATCH(AD$2,Inputs!$K$4:$AJ$4,0))))+SUMPRODUCT((Inputs!$C$5:$C$110=$B28)*ISNUMBER(INDEX(Inputs!$K$5:$AJ$110,0,MATCH(AD$2,Inputs!$K$4:$AJ$4,0))))+SUMPRODUCT((Inputs!$E$5:$E$110=$B28)*ISNUMBER(INDEX(Inputs!$K$5:$AJ$110,0,MATCH(AD$2,Inputs!$K$4:$AJ$4,0))))=0,NA(),SUMPRODUCT((Inputs!$A$5:$A$110=$B28)*Inputs!$B$5:$B$110*(((Inputs!$G$5:$G$110="moeda")+(Inputs!$G$5:$G$110="acoes"))*Inputs!$B$1+((Inputs!$G$5:$G$110&lt;&gt;"moeda")*(Inputs!$G$5:$G$110&lt;&gt;"acoes")))*INDEX(Inputs!$K$5:$AJ$110,0,MATCH(AD$2,Inputs!$K$4:$AJ$4,0)))+SUMPRODUCT((Inputs!$C$5:$C$110=$B28)*Inputs!$D$5:$D$110*(((Inputs!$G$5:$G$110="moeda")+(Inputs!$G$5:$G$110="acoes"))*Inputs!$B$1+((Inputs!$G$5:$G$110&lt;&gt;"moeda")*(Inputs!$G$5:$G$110&lt;&gt;"acoes")))*INDEX(Inputs!$K$5:$AJ$110,0,MATCH(AD$2,Inputs!$K$4:$AJ$4,0)))+SUMPRODUCT((Inputs!$E$5:$E$110=$B28)*Inputs!$F$5:$F$110*(((Inputs!$G$5:$G$110="moeda")+(Inputs!$G$5:$G$110="acoes"))*Inputs!$B$1+((Inputs!$G$5:$G$110&lt;&gt;"moeda")*(Inputs!$G$5:$G$110&lt;&gt;"acoes")))*INDEX(Inputs!$K$5:$AJ$110,0,MATCH(AD$2,Inputs!$K$4:$AJ$4,0)))))</f>
        <v>20258</v>
      </c>
      <c r="AE28" s="6" t="e">
        <f>IF(ISNA(MATCH(AE$2,Inputs!$K$4:$AJ$4,0)),NA(),IF(SUMPRODUCT((Inputs!$A$5:$A$110=$B28)*ISNUMBER(INDEX(Inputs!$K$5:$AJ$110,0,MATCH(AE$2,Inputs!$K$4:$AJ$4,0))))+SUMPRODUCT((Inputs!$C$5:$C$110=$B28)*ISNUMBER(INDEX(Inputs!$K$5:$AJ$110,0,MATCH(AE$2,Inputs!$K$4:$AJ$4,0))))+SUMPRODUCT((Inputs!$E$5:$E$110=$B28)*ISNUMBER(INDEX(Inputs!$K$5:$AJ$110,0,MATCH(AE$2,Inputs!$K$4:$AJ$4,0))))=0,NA(),SUMPRODUCT((Inputs!$A$5:$A$110=$B28)*Inputs!$B$5:$B$110*(((Inputs!$G$5:$G$110="moeda")+(Inputs!$G$5:$G$110="acoes"))*Inputs!$B$1+((Inputs!$G$5:$G$110&lt;&gt;"moeda")*(Inputs!$G$5:$G$110&lt;&gt;"acoes")))*INDEX(Inputs!$K$5:$AJ$110,0,MATCH(AE$2,Inputs!$K$4:$AJ$4,0)))+SUMPRODUCT((Inputs!$C$5:$C$110=$B28)*Inputs!$D$5:$D$110*(((Inputs!$G$5:$G$110="moeda")+(Inputs!$G$5:$G$110="acoes"))*Inputs!$B$1+((Inputs!$G$5:$G$110&lt;&gt;"moeda")*(Inputs!$G$5:$G$110&lt;&gt;"acoes")))*INDEX(Inputs!$K$5:$AJ$110,0,MATCH(AE$2,Inputs!$K$4:$AJ$4,0)))+SUMPRODUCT((Inputs!$E$5:$E$110=$B28)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8" s="6" t="e">
        <f>IF(ISNA(MATCH(AF$2,Inputs!$K$4:$AJ$4,0)),NA(),IF(SUMPRODUCT((Inputs!$A$5:$A$110=$B28)*ISNUMBER(INDEX(Inputs!$K$5:$AJ$110,0,MATCH(AF$2,Inputs!$K$4:$AJ$4,0))))+SUMPRODUCT((Inputs!$C$5:$C$110=$B28)*ISNUMBER(INDEX(Inputs!$K$5:$AJ$110,0,MATCH(AF$2,Inputs!$K$4:$AJ$4,0))))+SUMPRODUCT((Inputs!$E$5:$E$110=$B28)*ISNUMBER(INDEX(Inputs!$K$5:$AJ$110,0,MATCH(AF$2,Inputs!$K$4:$AJ$4,0))))=0,NA(),SUMPRODUCT((Inputs!$A$5:$A$110=$B28)*Inputs!$B$5:$B$110*(((Inputs!$G$5:$G$110="moeda")+(Inputs!$G$5:$G$110="acoes"))*Inputs!$B$1+((Inputs!$G$5:$G$110&lt;&gt;"moeda")*(Inputs!$G$5:$G$110&lt;&gt;"acoes")))*INDEX(Inputs!$K$5:$AJ$110,0,MATCH(AF$2,Inputs!$K$4:$AJ$4,0)))+SUMPRODUCT((Inputs!$C$5:$C$110=$B28)*Inputs!$D$5:$D$110*(((Inputs!$G$5:$G$110="moeda")+(Inputs!$G$5:$G$110="acoes"))*Inputs!$B$1+((Inputs!$G$5:$G$110&lt;&gt;"moeda")*(Inputs!$G$5:$G$110&lt;&gt;"acoes")))*INDEX(Inputs!$K$5:$AJ$110,0,MATCH(AF$2,Inputs!$K$4:$AJ$4,0)))+SUMPRODUCT((Inputs!$E$5:$E$110=$B28)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8" s="3" t="e">
        <f>AF28</f>
        <v>#N/A</v>
      </c>
      <c r="AH28" s="6">
        <f>IF(ISNA(MATCH(AH$2,Inputs!$K$4:$AJ$4,0)),NA(),IF(SUMPRODUCT((Inputs!$A$5:$A$110=$B28)*ISNUMBER(INDEX(Inputs!$K$5:$AJ$110,0,MATCH(AH$2,Inputs!$K$4:$AJ$4,0))))+SUMPRODUCT((Inputs!$C$5:$C$110=$B28)*ISNUMBER(INDEX(Inputs!$K$5:$AJ$110,0,MATCH(AH$2,Inputs!$K$4:$AJ$4,0))))+SUMPRODUCT((Inputs!$E$5:$E$110=$B28)*ISNUMBER(INDEX(Inputs!$K$5:$AJ$110,0,MATCH(AH$2,Inputs!$K$4:$AJ$4,0))))=0,NA(),SUMPRODUCT((Inputs!$A$5:$A$110=$B28)*Inputs!$B$5:$B$110*(((Inputs!$G$5:$G$110="moeda")+(Inputs!$G$5:$G$110="acoes"))*Inputs!$B$1+((Inputs!$G$5:$G$110&lt;&gt;"moeda")*(Inputs!$G$5:$G$110&lt;&gt;"acoes")))*INDEX(Inputs!$K$5:$AJ$110,0,MATCH(AH$2,Inputs!$K$4:$AJ$4,0)))+SUMPRODUCT((Inputs!$C$5:$C$110=$B28)*Inputs!$D$5:$D$110*(((Inputs!$G$5:$G$110="moeda")+(Inputs!$G$5:$G$110="acoes"))*Inputs!$B$1+((Inputs!$G$5:$G$110&lt;&gt;"moeda")*(Inputs!$G$5:$G$110&lt;&gt;"acoes")))*INDEX(Inputs!$K$5:$AJ$110,0,MATCH(AH$2,Inputs!$K$4:$AJ$4,0)))+SUMPRODUCT((Inputs!$E$5:$E$110=$B28)*Inputs!$F$5:$F$110*(((Inputs!$G$5:$G$110="moeda")+(Inputs!$G$5:$G$110="acoes"))*Inputs!$B$1+((Inputs!$G$5:$G$110&lt;&gt;"moeda")*(Inputs!$G$5:$G$110&lt;&gt;"acoes")))*INDEX(Inputs!$K$5:$AJ$110,0,MATCH(AH$2,Inputs!$K$4:$AJ$4,0)))))</f>
        <v>4099</v>
      </c>
      <c r="AI28" s="6">
        <f>IF(ISNA(MATCH(AI$2,Inputs!$K$4:$AJ$4,0)),NA(),IF(SUMPRODUCT((Inputs!$A$5:$A$110=$B28)*ISNUMBER(INDEX(Inputs!$K$5:$AJ$110,0,MATCH(AI$2,Inputs!$K$4:$AJ$4,0))))+SUMPRODUCT((Inputs!$C$5:$C$110=$B28)*ISNUMBER(INDEX(Inputs!$K$5:$AJ$110,0,MATCH(AI$2,Inputs!$K$4:$AJ$4,0))))+SUMPRODUCT((Inputs!$E$5:$E$110=$B28)*ISNUMBER(INDEX(Inputs!$K$5:$AJ$110,0,MATCH(AI$2,Inputs!$K$4:$AJ$4,0))))=0,NA(),SUMPRODUCT((Inputs!$A$5:$A$110=$B28)*Inputs!$B$5:$B$110*(((Inputs!$G$5:$G$110="moeda")+(Inputs!$G$5:$G$110="acoes"))*Inputs!$B$1+((Inputs!$G$5:$G$110&lt;&gt;"moeda")*(Inputs!$G$5:$G$110&lt;&gt;"acoes")))*INDEX(Inputs!$K$5:$AJ$110,0,MATCH(AI$2,Inputs!$K$4:$AJ$4,0)))+SUMPRODUCT((Inputs!$C$5:$C$110=$B28)*Inputs!$D$5:$D$110*(((Inputs!$G$5:$G$110="moeda")+(Inputs!$G$5:$G$110="acoes"))*Inputs!$B$1+((Inputs!$G$5:$G$110&lt;&gt;"moeda")*(Inputs!$G$5:$G$110&lt;&gt;"acoes")))*INDEX(Inputs!$K$5:$AJ$110,0,MATCH(AI$2,Inputs!$K$4:$AJ$4,0)))+SUMPRODUCT((Inputs!$E$5:$E$110=$B28)*Inputs!$F$5:$F$110*(((Inputs!$G$5:$G$110="moeda")+(Inputs!$G$5:$G$110="acoes"))*Inputs!$B$1+((Inputs!$G$5:$G$110&lt;&gt;"moeda")*(Inputs!$G$5:$G$110&lt;&gt;"acoes")))*INDEX(Inputs!$K$5:$AJ$110,0,MATCH(AI$2,Inputs!$K$4:$AJ$4,0)))))</f>
        <v>4064</v>
      </c>
      <c r="AJ28" s="6">
        <f>IF(ISNA(MATCH(AJ$2,Inputs!$K$4:$AJ$4,0)),NA(),IF(SUMPRODUCT((Inputs!$A$5:$A$110=$B28)*ISNUMBER(INDEX(Inputs!$K$5:$AJ$110,0,MATCH(AJ$2,Inputs!$K$4:$AJ$4,0))))+SUMPRODUCT((Inputs!$C$5:$C$110=$B28)*ISNUMBER(INDEX(Inputs!$K$5:$AJ$110,0,MATCH(AJ$2,Inputs!$K$4:$AJ$4,0))))+SUMPRODUCT((Inputs!$E$5:$E$110=$B28)*ISNUMBER(INDEX(Inputs!$K$5:$AJ$110,0,MATCH(AJ$2,Inputs!$K$4:$AJ$4,0))))=0,NA(),SUMPRODUCT((Inputs!$A$5:$A$110=$B28)*Inputs!$B$5:$B$110*(((Inputs!$G$5:$G$110="moeda")+(Inputs!$G$5:$G$110="acoes"))*Inputs!$B$1+((Inputs!$G$5:$G$110&lt;&gt;"moeda")*(Inputs!$G$5:$G$110&lt;&gt;"acoes")))*INDEX(Inputs!$K$5:$AJ$110,0,MATCH(AJ$2,Inputs!$K$4:$AJ$4,0)))+SUMPRODUCT((Inputs!$C$5:$C$110=$B28)*Inputs!$D$5:$D$110*(((Inputs!$G$5:$G$110="moeda")+(Inputs!$G$5:$G$110="acoes"))*Inputs!$B$1+((Inputs!$G$5:$G$110&lt;&gt;"moeda")*(Inputs!$G$5:$G$110&lt;&gt;"acoes")))*INDEX(Inputs!$K$5:$AJ$110,0,MATCH(AJ$2,Inputs!$K$4:$AJ$4,0)))+SUMPRODUCT((Inputs!$E$5:$E$110=$B28)*Inputs!$F$5:$F$110*(((Inputs!$G$5:$G$110="moeda")+(Inputs!$G$5:$G$110="acoes"))*Inputs!$B$1+((Inputs!$G$5:$G$110&lt;&gt;"moeda")*(Inputs!$G$5:$G$110&lt;&gt;"acoes")))*INDEX(Inputs!$K$5:$AJ$110,0,MATCH(AJ$2,Inputs!$K$4:$AJ$4,0)))))</f>
        <v>4391</v>
      </c>
      <c r="AK28" s="6">
        <f>IF(ISNA(MATCH(AK$2,Inputs!$K$4:$AJ$4,0)),NA(),IF(SUMPRODUCT((Inputs!$A$5:$A$110=$B28)*ISNUMBER(INDEX(Inputs!$K$5:$AJ$110,0,MATCH(AK$2,Inputs!$K$4:$AJ$4,0))))+SUMPRODUCT((Inputs!$C$5:$C$110=$B28)*ISNUMBER(INDEX(Inputs!$K$5:$AJ$110,0,MATCH(AK$2,Inputs!$K$4:$AJ$4,0))))+SUMPRODUCT((Inputs!$E$5:$E$110=$B28)*ISNUMBER(INDEX(Inputs!$K$5:$AJ$110,0,MATCH(AK$2,Inputs!$K$4:$AJ$4,0))))=0,NA(),SUMPRODUCT((Inputs!$A$5:$A$110=$B28)*Inputs!$B$5:$B$110*(((Inputs!$G$5:$G$110="moeda")+(Inputs!$G$5:$G$110="acoes"))*Inputs!$B$1+((Inputs!$G$5:$G$110&lt;&gt;"moeda")*(Inputs!$G$5:$G$110&lt;&gt;"acoes")))*INDEX(Inputs!$K$5:$AJ$110,0,MATCH(AK$2,Inputs!$K$4:$AJ$4,0)))+SUMPRODUCT((Inputs!$C$5:$C$110=$B28)*Inputs!$D$5:$D$110*(((Inputs!$G$5:$G$110="moeda")+(Inputs!$G$5:$G$110="acoes"))*Inputs!$B$1+((Inputs!$G$5:$G$110&lt;&gt;"moeda")*(Inputs!$G$5:$G$110&lt;&gt;"acoes")))*INDEX(Inputs!$K$5:$AJ$110,0,MATCH(AK$2,Inputs!$K$4:$AJ$4,0)))+SUMPRODUCT((Inputs!$E$5:$E$110=$B28)*Inputs!$F$5:$F$110*(((Inputs!$G$5:$G$110="moeda")+(Inputs!$G$5:$G$110="acoes"))*Inputs!$B$1+((Inputs!$G$5:$G$110&lt;&gt;"moeda")*(Inputs!$G$5:$G$110&lt;&gt;"acoes")))*INDEX(Inputs!$K$5:$AJ$110,0,MATCH(AK$2,Inputs!$K$4:$AJ$4,0)))))</f>
        <v>5589</v>
      </c>
      <c r="AL28" s="3">
        <f>AK28</f>
        <v>5589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$110=$B29)*ISNUMBER(INDEX(Inputs!$K$5:$AJ$110,0,MATCH(D$2,Inputs!$K$4:$AJ$4,0))))+SUMPRODUCT((Inputs!$C$5:$C$110=$B29)*ISNUMBER(INDEX(Inputs!$K$5:$AJ$110,0,MATCH(D$2,Inputs!$K$4:$AJ$4,0))))+SUMPRODUCT((Inputs!$E$5:$E$110=$B29)*ISNUMBER(INDEX(Inputs!$K$5:$AJ$110,0,MATCH(D$2,Inputs!$K$4:$AJ$4,0))))=0,NA(),SUMPRODUCT((Inputs!$A$5:$A$110=$B29)*Inputs!$B$5:$B$110*(((Inputs!$G$5:$G$110="moeda")+(Inputs!$G$5:$G$110="acoes"))*Inputs!$B$1+((Inputs!$G$5:$G$110&lt;&gt;"moeda")*(Inputs!$G$5:$G$110&lt;&gt;"acoes")))*INDEX(Inputs!$K$5:$AJ$110,0,MATCH(D$2,Inputs!$K$4:$AJ$4,0)))+SUMPRODUCT((Inputs!$C$5:$C$110=$B29)*Inputs!$D$5:$D$110*(((Inputs!$G$5:$G$110="moeda")+(Inputs!$G$5:$G$110="acoes"))*Inputs!$B$1+((Inputs!$G$5:$G$110&lt;&gt;"moeda")*(Inputs!$G$5:$G$110&lt;&gt;"acoes")))*INDEX(Inputs!$K$5:$AJ$110,0,MATCH(D$2,Inputs!$K$4:$AJ$4,0)))+SUMPRODUCT((Inputs!$E$5:$E$110=$B29)*Inputs!$F$5:$F$110*(((Inputs!$G$5:$G$110="moeda")+(Inputs!$G$5:$G$110="acoes"))*Inputs!$B$1+((Inputs!$G$5:$G$110&lt;&gt;"moeda")*(Inputs!$G$5:$G$110&lt;&gt;"acoes")))*INDEX(Inputs!$K$5:$AJ$110,0,MATCH(D$2,Inputs!$K$4:$AJ$4,0)))))</f>
        <v>46069</v>
      </c>
      <c r="E29" s="6">
        <f>IF(ISNA(MATCH(E$2,Inputs!$K$4:$AJ$4,0)),NA(),IF(SUMPRODUCT((Inputs!$A$5:$A$110=$B29)*ISNUMBER(INDEX(Inputs!$K$5:$AJ$110,0,MATCH(E$2,Inputs!$K$4:$AJ$4,0))))+SUMPRODUCT((Inputs!$C$5:$C$110=$B29)*ISNUMBER(INDEX(Inputs!$K$5:$AJ$110,0,MATCH(E$2,Inputs!$K$4:$AJ$4,0))))+SUMPRODUCT((Inputs!$E$5:$E$110=$B29)*ISNUMBER(INDEX(Inputs!$K$5:$AJ$110,0,MATCH(E$2,Inputs!$K$4:$AJ$4,0))))=0,NA(),SUMPRODUCT((Inputs!$A$5:$A$110=$B29)*Inputs!$B$5:$B$110*(((Inputs!$G$5:$G$110="moeda")+(Inputs!$G$5:$G$110="acoes"))*Inputs!$B$1+((Inputs!$G$5:$G$110&lt;&gt;"moeda")*(Inputs!$G$5:$G$110&lt;&gt;"acoes")))*INDEX(Inputs!$K$5:$AJ$110,0,MATCH(E$2,Inputs!$K$4:$AJ$4,0)))+SUMPRODUCT((Inputs!$C$5:$C$110=$B29)*Inputs!$D$5:$D$110*(((Inputs!$G$5:$G$110="moeda")+(Inputs!$G$5:$G$110="acoes"))*Inputs!$B$1+((Inputs!$G$5:$G$110&lt;&gt;"moeda")*(Inputs!$G$5:$G$110&lt;&gt;"acoes")))*INDEX(Inputs!$K$5:$AJ$110,0,MATCH(E$2,Inputs!$K$4:$AJ$4,0)))+SUMPRODUCT((Inputs!$E$5:$E$110=$B29)*Inputs!$F$5:$F$110*(((Inputs!$G$5:$G$110="moeda")+(Inputs!$G$5:$G$110="acoes"))*Inputs!$B$1+((Inputs!$G$5:$G$110&lt;&gt;"moeda")*(Inputs!$G$5:$G$110&lt;&gt;"acoes")))*INDEX(Inputs!$K$5:$AJ$110,0,MATCH(E$2,Inputs!$K$4:$AJ$4,0)))))</f>
        <v>46507</v>
      </c>
      <c r="F29" s="6">
        <f>IF(ISNA(MATCH(F$2,Inputs!$K$4:$AJ$4,0)),NA(),IF(SUMPRODUCT((Inputs!$A$5:$A$110=$B29)*ISNUMBER(INDEX(Inputs!$K$5:$AJ$110,0,MATCH(F$2,Inputs!$K$4:$AJ$4,0))))+SUMPRODUCT((Inputs!$C$5:$C$110=$B29)*ISNUMBER(INDEX(Inputs!$K$5:$AJ$110,0,MATCH(F$2,Inputs!$K$4:$AJ$4,0))))+SUMPRODUCT((Inputs!$E$5:$E$110=$B29)*ISNUMBER(INDEX(Inputs!$K$5:$AJ$110,0,MATCH(F$2,Inputs!$K$4:$AJ$4,0))))=0,NA(),SUMPRODUCT((Inputs!$A$5:$A$110=$B29)*Inputs!$B$5:$B$110*(((Inputs!$G$5:$G$110="moeda")+(Inputs!$G$5:$G$110="acoes"))*Inputs!$B$1+((Inputs!$G$5:$G$110&lt;&gt;"moeda")*(Inputs!$G$5:$G$110&lt;&gt;"acoes")))*INDEX(Inputs!$K$5:$AJ$110,0,MATCH(F$2,Inputs!$K$4:$AJ$4,0)))+SUMPRODUCT((Inputs!$C$5:$C$110=$B29)*Inputs!$D$5:$D$110*(((Inputs!$G$5:$G$110="moeda")+(Inputs!$G$5:$G$110="acoes"))*Inputs!$B$1+((Inputs!$G$5:$G$110&lt;&gt;"moeda")*(Inputs!$G$5:$G$110&lt;&gt;"acoes")))*INDEX(Inputs!$K$5:$AJ$110,0,MATCH(F$2,Inputs!$K$4:$AJ$4,0)))+SUMPRODUCT((Inputs!$E$5:$E$110=$B29)*Inputs!$F$5:$F$110*(((Inputs!$G$5:$G$110="moeda")+(Inputs!$G$5:$G$110="acoes"))*Inputs!$B$1+((Inputs!$G$5:$G$110&lt;&gt;"moeda")*(Inputs!$G$5:$G$110&lt;&gt;"acoes")))*INDEX(Inputs!$K$5:$AJ$110,0,MATCH(F$2,Inputs!$K$4:$AJ$4,0)))))</f>
        <v>50028</v>
      </c>
      <c r="G29" s="6">
        <f>IF(ISNA(MATCH(G$2,Inputs!$K$4:$AJ$4,0)),NA(),IF(SUMPRODUCT((Inputs!$A$5:$A$110=$B29)*ISNUMBER(INDEX(Inputs!$K$5:$AJ$110,0,MATCH(G$2,Inputs!$K$4:$AJ$4,0))))+SUMPRODUCT((Inputs!$C$5:$C$110=$B29)*ISNUMBER(INDEX(Inputs!$K$5:$AJ$110,0,MATCH(G$2,Inputs!$K$4:$AJ$4,0))))+SUMPRODUCT((Inputs!$E$5:$E$110=$B29)*ISNUMBER(INDEX(Inputs!$K$5:$AJ$110,0,MATCH(G$2,Inputs!$K$4:$AJ$4,0))))=0,NA(),SUMPRODUCT((Inputs!$A$5:$A$110=$B29)*Inputs!$B$5:$B$110*(((Inputs!$G$5:$G$110="moeda")+(Inputs!$G$5:$G$110="acoes"))*Inputs!$B$1+((Inputs!$G$5:$G$110&lt;&gt;"moeda")*(Inputs!$G$5:$G$110&lt;&gt;"acoes")))*INDEX(Inputs!$K$5:$AJ$110,0,MATCH(G$2,Inputs!$K$4:$AJ$4,0)))+SUMPRODUCT((Inputs!$C$5:$C$110=$B29)*Inputs!$D$5:$D$110*(((Inputs!$G$5:$G$110="moeda")+(Inputs!$G$5:$G$110="acoes"))*Inputs!$B$1+((Inputs!$G$5:$G$110&lt;&gt;"moeda")*(Inputs!$G$5:$G$110&lt;&gt;"acoes")))*INDEX(Inputs!$K$5:$AJ$110,0,MATCH(G$2,Inputs!$K$4:$AJ$4,0)))+SUMPRODUCT((Inputs!$E$5:$E$110=$B29)*Inputs!$F$5:$F$110*(((Inputs!$G$5:$G$110="moeda")+(Inputs!$G$5:$G$110="acoes"))*Inputs!$B$1+((Inputs!$G$5:$G$110&lt;&gt;"moeda")*(Inputs!$G$5:$G$110&lt;&gt;"acoes")))*INDEX(Inputs!$K$5:$AJ$110,0,MATCH(G$2,Inputs!$K$4:$AJ$4,0)))))</f>
        <v>54121</v>
      </c>
      <c r="H29" s="3">
        <f>G29</f>
        <v>54121</v>
      </c>
      <c r="I29" s="6">
        <f>IF(ISNA(MATCH(I$2,Inputs!$K$4:$AJ$4,0)),NA(),IF(SUMPRODUCT((Inputs!$A$5:$A$110=$B29)*ISNUMBER(INDEX(Inputs!$K$5:$AJ$110,0,MATCH(I$2,Inputs!$K$4:$AJ$4,0))))+SUMPRODUCT((Inputs!$C$5:$C$110=$B29)*ISNUMBER(INDEX(Inputs!$K$5:$AJ$110,0,MATCH(I$2,Inputs!$K$4:$AJ$4,0))))+SUMPRODUCT((Inputs!$E$5:$E$110=$B29)*ISNUMBER(INDEX(Inputs!$K$5:$AJ$110,0,MATCH(I$2,Inputs!$K$4:$AJ$4,0))))=0,NA(),SUMPRODUCT((Inputs!$A$5:$A$110=$B29)*Inputs!$B$5:$B$110*(((Inputs!$G$5:$G$110="moeda")+(Inputs!$G$5:$G$110="acoes"))*Inputs!$B$1+((Inputs!$G$5:$G$110&lt;&gt;"moeda")*(Inputs!$G$5:$G$110&lt;&gt;"acoes")))*INDEX(Inputs!$K$5:$AJ$110,0,MATCH(I$2,Inputs!$K$4:$AJ$4,0)))+SUMPRODUCT((Inputs!$C$5:$C$110=$B29)*Inputs!$D$5:$D$110*(((Inputs!$G$5:$G$110="moeda")+(Inputs!$G$5:$G$110="acoes"))*Inputs!$B$1+((Inputs!$G$5:$G$110&lt;&gt;"moeda")*(Inputs!$G$5:$G$110&lt;&gt;"acoes")))*INDEX(Inputs!$K$5:$AJ$110,0,MATCH(I$2,Inputs!$K$4:$AJ$4,0)))+SUMPRODUCT((Inputs!$E$5:$E$110=$B29)*Inputs!$F$5:$F$110*(((Inputs!$G$5:$G$110="moeda")+(Inputs!$G$5:$G$110="acoes"))*Inputs!$B$1+((Inputs!$G$5:$G$110&lt;&gt;"moeda")*(Inputs!$G$5:$G$110&lt;&gt;"acoes")))*INDEX(Inputs!$K$5:$AJ$110,0,MATCH(I$2,Inputs!$K$4:$AJ$4,0)))))</f>
        <v>50970</v>
      </c>
      <c r="J29" s="6">
        <f>IF(ISNA(MATCH(J$2,Inputs!$K$4:$AJ$4,0)),NA(),IF(SUMPRODUCT((Inputs!$A$5:$A$110=$B29)*ISNUMBER(INDEX(Inputs!$K$5:$AJ$110,0,MATCH(J$2,Inputs!$K$4:$AJ$4,0))))+SUMPRODUCT((Inputs!$C$5:$C$110=$B29)*ISNUMBER(INDEX(Inputs!$K$5:$AJ$110,0,MATCH(J$2,Inputs!$K$4:$AJ$4,0))))+SUMPRODUCT((Inputs!$E$5:$E$110=$B29)*ISNUMBER(INDEX(Inputs!$K$5:$AJ$110,0,MATCH(J$2,Inputs!$K$4:$AJ$4,0))))=0,NA(),SUMPRODUCT((Inputs!$A$5:$A$110=$B29)*Inputs!$B$5:$B$110*(((Inputs!$G$5:$G$110="moeda")+(Inputs!$G$5:$G$110="acoes"))*Inputs!$B$1+((Inputs!$G$5:$G$110&lt;&gt;"moeda")*(Inputs!$G$5:$G$110&lt;&gt;"acoes")))*INDEX(Inputs!$K$5:$AJ$110,0,MATCH(J$2,Inputs!$K$4:$AJ$4,0)))+SUMPRODUCT((Inputs!$C$5:$C$110=$B29)*Inputs!$D$5:$D$110*(((Inputs!$G$5:$G$110="moeda")+(Inputs!$G$5:$G$110="acoes"))*Inputs!$B$1+((Inputs!$G$5:$G$110&lt;&gt;"moeda")*(Inputs!$G$5:$G$110&lt;&gt;"acoes")))*INDEX(Inputs!$K$5:$AJ$110,0,MATCH(J$2,Inputs!$K$4:$AJ$4,0)))+SUMPRODUCT((Inputs!$E$5:$E$110=$B29)*Inputs!$F$5:$F$110*(((Inputs!$G$5:$G$110="moeda")+(Inputs!$G$5:$G$110="acoes"))*Inputs!$B$1+((Inputs!$G$5:$G$110&lt;&gt;"moeda")*(Inputs!$G$5:$G$110&lt;&gt;"acoes")))*INDEX(Inputs!$K$5:$AJ$110,0,MATCH(J$2,Inputs!$K$4:$AJ$4,0)))))</f>
        <v>51717</v>
      </c>
      <c r="K29" s="6">
        <f>IF(ISNA(MATCH(K$2,Inputs!$K$4:$AJ$4,0)),NA(),IF(SUMPRODUCT((Inputs!$A$5:$A$110=$B29)*ISNUMBER(INDEX(Inputs!$K$5:$AJ$110,0,MATCH(K$2,Inputs!$K$4:$AJ$4,0))))+SUMPRODUCT((Inputs!$C$5:$C$110=$B29)*ISNUMBER(INDEX(Inputs!$K$5:$AJ$110,0,MATCH(K$2,Inputs!$K$4:$AJ$4,0))))+SUMPRODUCT((Inputs!$E$5:$E$110=$B29)*ISNUMBER(INDEX(Inputs!$K$5:$AJ$110,0,MATCH(K$2,Inputs!$K$4:$AJ$4,0))))=0,NA(),SUMPRODUCT((Inputs!$A$5:$A$110=$B29)*Inputs!$B$5:$B$110*(((Inputs!$G$5:$G$110="moeda")+(Inputs!$G$5:$G$110="acoes"))*Inputs!$B$1+((Inputs!$G$5:$G$110&lt;&gt;"moeda")*(Inputs!$G$5:$G$110&lt;&gt;"acoes")))*INDEX(Inputs!$K$5:$AJ$110,0,MATCH(K$2,Inputs!$K$4:$AJ$4,0)))+SUMPRODUCT((Inputs!$C$5:$C$110=$B29)*Inputs!$D$5:$D$110*(((Inputs!$G$5:$G$110="moeda")+(Inputs!$G$5:$G$110="acoes"))*Inputs!$B$1+((Inputs!$G$5:$G$110&lt;&gt;"moeda")*(Inputs!$G$5:$G$110&lt;&gt;"acoes")))*INDEX(Inputs!$K$5:$AJ$110,0,MATCH(K$2,Inputs!$K$4:$AJ$4,0)))+SUMPRODUCT((Inputs!$E$5:$E$110=$B29)*Inputs!$F$5:$F$110*(((Inputs!$G$5:$G$110="moeda")+(Inputs!$G$5:$G$110="acoes"))*Inputs!$B$1+((Inputs!$G$5:$G$110&lt;&gt;"moeda")*(Inputs!$G$5:$G$110&lt;&gt;"acoes")))*INDEX(Inputs!$K$5:$AJ$110,0,MATCH(K$2,Inputs!$K$4:$AJ$4,0)))))</f>
        <v>55066</v>
      </c>
      <c r="L29" s="6">
        <f>IF(ISNA(MATCH(L$2,Inputs!$K$4:$AJ$4,0)),NA(),IF(SUMPRODUCT((Inputs!$A$5:$A$110=$B29)*ISNUMBER(INDEX(Inputs!$K$5:$AJ$110,0,MATCH(L$2,Inputs!$K$4:$AJ$4,0))))+SUMPRODUCT((Inputs!$C$5:$C$110=$B29)*ISNUMBER(INDEX(Inputs!$K$5:$AJ$110,0,MATCH(L$2,Inputs!$K$4:$AJ$4,0))))+SUMPRODUCT((Inputs!$E$5:$E$110=$B29)*ISNUMBER(INDEX(Inputs!$K$5:$AJ$110,0,MATCH(L$2,Inputs!$K$4:$AJ$4,0))))=0,NA(),SUMPRODUCT((Inputs!$A$5:$A$110=$B29)*Inputs!$B$5:$B$110*(((Inputs!$G$5:$G$110="moeda")+(Inputs!$G$5:$G$110="acoes"))*Inputs!$B$1+((Inputs!$G$5:$G$110&lt;&gt;"moeda")*(Inputs!$G$5:$G$110&lt;&gt;"acoes")))*INDEX(Inputs!$K$5:$AJ$110,0,MATCH(L$2,Inputs!$K$4:$AJ$4,0)))+SUMPRODUCT((Inputs!$C$5:$C$110=$B29)*Inputs!$D$5:$D$110*(((Inputs!$G$5:$G$110="moeda")+(Inputs!$G$5:$G$110="acoes"))*Inputs!$B$1+((Inputs!$G$5:$G$110&lt;&gt;"moeda")*(Inputs!$G$5:$G$110&lt;&gt;"acoes")))*INDEX(Inputs!$K$5:$AJ$110,0,MATCH(L$2,Inputs!$K$4:$AJ$4,0)))+SUMPRODUCT((Inputs!$E$5:$E$110=$B29)*Inputs!$F$5:$F$110*(((Inputs!$G$5:$G$110="moeda")+(Inputs!$G$5:$G$110="acoes"))*Inputs!$B$1+((Inputs!$G$5:$G$110&lt;&gt;"moeda")*(Inputs!$G$5:$G$110&lt;&gt;"acoes")))*INDEX(Inputs!$K$5:$AJ$110,0,MATCH(L$2,Inputs!$K$4:$AJ$4,0)))))</f>
        <v>60264</v>
      </c>
      <c r="M29" s="3">
        <f>L29</f>
        <v>60264</v>
      </c>
      <c r="N29" s="6">
        <f>IF(ISNA(MATCH(N$2,Inputs!$K$4:$AJ$4,0)),NA(),IF(SUMPRODUCT((Inputs!$A$5:$A$110=$B29)*ISNUMBER(INDEX(Inputs!$K$5:$AJ$110,0,MATCH(N$2,Inputs!$K$4:$AJ$4,0))))+SUMPRODUCT((Inputs!$C$5:$C$110=$B29)*ISNUMBER(INDEX(Inputs!$K$5:$AJ$110,0,MATCH(N$2,Inputs!$K$4:$AJ$4,0))))+SUMPRODUCT((Inputs!$E$5:$E$110=$B29)*ISNUMBER(INDEX(Inputs!$K$5:$AJ$110,0,MATCH(N$2,Inputs!$K$4:$AJ$4,0))))=0,NA(),SUMPRODUCT((Inputs!$A$5:$A$110=$B29)*Inputs!$B$5:$B$110*(((Inputs!$G$5:$G$110="moeda")+(Inputs!$G$5:$G$110="acoes"))*Inputs!$B$1+((Inputs!$G$5:$G$110&lt;&gt;"moeda")*(Inputs!$G$5:$G$110&lt;&gt;"acoes")))*INDEX(Inputs!$K$5:$AJ$110,0,MATCH(N$2,Inputs!$K$4:$AJ$4,0)))+SUMPRODUCT((Inputs!$C$5:$C$110=$B29)*Inputs!$D$5:$D$110*(((Inputs!$G$5:$G$110="moeda")+(Inputs!$G$5:$G$110="acoes"))*Inputs!$B$1+((Inputs!$G$5:$G$110&lt;&gt;"moeda")*(Inputs!$G$5:$G$110&lt;&gt;"acoes")))*INDEX(Inputs!$K$5:$AJ$110,0,MATCH(N$2,Inputs!$K$4:$AJ$4,0)))+SUMPRODUCT((Inputs!$E$5:$E$110=$B29)*Inputs!$F$5:$F$110*(((Inputs!$G$5:$G$110="moeda")+(Inputs!$G$5:$G$110="acoes"))*Inputs!$B$1+((Inputs!$G$5:$G$110&lt;&gt;"moeda")*(Inputs!$G$5:$G$110&lt;&gt;"acoes")))*INDEX(Inputs!$K$5:$AJ$110,0,MATCH(N$2,Inputs!$K$4:$AJ$4,0)))))</f>
        <v>60955</v>
      </c>
      <c r="O29" s="6">
        <f>IF(ISNA(MATCH(O$2,Inputs!$K$4:$AJ$4,0)),NA(),IF(SUMPRODUCT((Inputs!$A$5:$A$110=$B29)*ISNUMBER(INDEX(Inputs!$K$5:$AJ$110,0,MATCH(O$2,Inputs!$K$4:$AJ$4,0))))+SUMPRODUCT((Inputs!$C$5:$C$110=$B29)*ISNUMBER(INDEX(Inputs!$K$5:$AJ$110,0,MATCH(O$2,Inputs!$K$4:$AJ$4,0))))+SUMPRODUCT((Inputs!$E$5:$E$110=$B29)*ISNUMBER(INDEX(Inputs!$K$5:$AJ$110,0,MATCH(O$2,Inputs!$K$4:$AJ$4,0))))=0,NA(),SUMPRODUCT((Inputs!$A$5:$A$110=$B29)*Inputs!$B$5:$B$110*(((Inputs!$G$5:$G$110="moeda")+(Inputs!$G$5:$G$110="acoes"))*Inputs!$B$1+((Inputs!$G$5:$G$110&lt;&gt;"moeda")*(Inputs!$G$5:$G$110&lt;&gt;"acoes")))*INDEX(Inputs!$K$5:$AJ$110,0,MATCH(O$2,Inputs!$K$4:$AJ$4,0)))+SUMPRODUCT((Inputs!$C$5:$C$110=$B29)*Inputs!$D$5:$D$110*(((Inputs!$G$5:$G$110="moeda")+(Inputs!$G$5:$G$110="acoes"))*Inputs!$B$1+((Inputs!$G$5:$G$110&lt;&gt;"moeda")*(Inputs!$G$5:$G$110&lt;&gt;"acoes")))*INDEX(Inputs!$K$5:$AJ$110,0,MATCH(O$2,Inputs!$K$4:$AJ$4,0)))+SUMPRODUCT((Inputs!$E$5:$E$110=$B29)*Inputs!$F$5:$F$110*(((Inputs!$G$5:$G$110="moeda")+(Inputs!$G$5:$G$110="acoes"))*Inputs!$B$1+((Inputs!$G$5:$G$110&lt;&gt;"moeda")*(Inputs!$G$5:$G$110&lt;&gt;"acoes")))*INDEX(Inputs!$K$5:$AJ$110,0,MATCH(O$2,Inputs!$K$4:$AJ$4,0)))))</f>
        <v>68550</v>
      </c>
      <c r="P29" s="6">
        <f>IF(ISNA(MATCH(P$2,Inputs!$K$4:$AJ$4,0)),NA(),IF(SUMPRODUCT((Inputs!$A$5:$A$110=$B29)*ISNUMBER(INDEX(Inputs!$K$5:$AJ$110,0,MATCH(P$2,Inputs!$K$4:$AJ$4,0))))+SUMPRODUCT((Inputs!$C$5:$C$110=$B29)*ISNUMBER(INDEX(Inputs!$K$5:$AJ$110,0,MATCH(P$2,Inputs!$K$4:$AJ$4,0))))+SUMPRODUCT((Inputs!$E$5:$E$110=$B29)*ISNUMBER(INDEX(Inputs!$K$5:$AJ$110,0,MATCH(P$2,Inputs!$K$4:$AJ$4,0))))=0,NA(),SUMPRODUCT((Inputs!$A$5:$A$110=$B29)*Inputs!$B$5:$B$110*(((Inputs!$G$5:$G$110="moeda")+(Inputs!$G$5:$G$110="acoes"))*Inputs!$B$1+((Inputs!$G$5:$G$110&lt;&gt;"moeda")*(Inputs!$G$5:$G$110&lt;&gt;"acoes")))*INDEX(Inputs!$K$5:$AJ$110,0,MATCH(P$2,Inputs!$K$4:$AJ$4,0)))+SUMPRODUCT((Inputs!$C$5:$C$110=$B29)*Inputs!$D$5:$D$110*(((Inputs!$G$5:$G$110="moeda")+(Inputs!$G$5:$G$110="acoes"))*Inputs!$B$1+((Inputs!$G$5:$G$110&lt;&gt;"moeda")*(Inputs!$G$5:$G$110&lt;&gt;"acoes")))*INDEX(Inputs!$K$5:$AJ$110,0,MATCH(P$2,Inputs!$K$4:$AJ$4,0)))+SUMPRODUCT((Inputs!$E$5:$E$110=$B29)*Inputs!$F$5:$F$110*(((Inputs!$G$5:$G$110="moeda")+(Inputs!$G$5:$G$110="acoes"))*Inputs!$B$1+((Inputs!$G$5:$G$110&lt;&gt;"moeda")*(Inputs!$G$5:$G$110&lt;&gt;"acoes")))*INDEX(Inputs!$K$5:$AJ$110,0,MATCH(P$2,Inputs!$K$4:$AJ$4,0)))))</f>
        <v>76189</v>
      </c>
      <c r="Q29" s="6">
        <f>IF(ISNA(MATCH(Q$2,Inputs!$K$4:$AJ$4,0)),NA(),IF(SUMPRODUCT((Inputs!$A$5:$A$110=$B29)*ISNUMBER(INDEX(Inputs!$K$5:$AJ$110,0,MATCH(Q$2,Inputs!$K$4:$AJ$4,0))))+SUMPRODUCT((Inputs!$C$5:$C$110=$B29)*ISNUMBER(INDEX(Inputs!$K$5:$AJ$110,0,MATCH(Q$2,Inputs!$K$4:$AJ$4,0))))+SUMPRODUCT((Inputs!$E$5:$E$110=$B29)*ISNUMBER(INDEX(Inputs!$K$5:$AJ$110,0,MATCH(Q$2,Inputs!$K$4:$AJ$4,0))))=0,NA(),SUMPRODUCT((Inputs!$A$5:$A$110=$B29)*Inputs!$B$5:$B$110*(((Inputs!$G$5:$G$110="moeda")+(Inputs!$G$5:$G$110="acoes"))*Inputs!$B$1+((Inputs!$G$5:$G$110&lt;&gt;"moeda")*(Inputs!$G$5:$G$110&lt;&gt;"acoes")))*INDEX(Inputs!$K$5:$AJ$110,0,MATCH(Q$2,Inputs!$K$4:$AJ$4,0)))+SUMPRODUCT((Inputs!$C$5:$C$110=$B29)*Inputs!$D$5:$D$110*(((Inputs!$G$5:$G$110="moeda")+(Inputs!$G$5:$G$110="acoes"))*Inputs!$B$1+((Inputs!$G$5:$G$110&lt;&gt;"moeda")*(Inputs!$G$5:$G$110&lt;&gt;"acoes")))*INDEX(Inputs!$K$5:$AJ$110,0,MATCH(Q$2,Inputs!$K$4:$AJ$4,0)))+SUMPRODUCT((Inputs!$E$5:$E$110=$B29)*Inputs!$F$5:$F$110*(((Inputs!$G$5:$G$110="moeda")+(Inputs!$G$5:$G$110="acoes"))*Inputs!$B$1+((Inputs!$G$5:$G$110&lt;&gt;"moeda")*(Inputs!$G$5:$G$110&lt;&gt;"acoes")))*INDEX(Inputs!$K$5:$AJ$110,0,MATCH(Q$2,Inputs!$K$4:$AJ$4,0)))))</f>
        <v>70184</v>
      </c>
      <c r="R29" s="3">
        <f>Q29</f>
        <v>70184</v>
      </c>
      <c r="S29" s="6">
        <f>IF(ISNA(MATCH(S$2,Inputs!$K$4:$AJ$4,0)),NA(),IF(SUMPRODUCT((Inputs!$A$5:$A$110=$B29)*ISNUMBER(INDEX(Inputs!$K$5:$AJ$110,0,MATCH(S$2,Inputs!$K$4:$AJ$4,0))))+SUMPRODUCT((Inputs!$C$5:$C$110=$B29)*ISNUMBER(INDEX(Inputs!$K$5:$AJ$110,0,MATCH(S$2,Inputs!$K$4:$AJ$4,0))))+SUMPRODUCT((Inputs!$E$5:$E$110=$B29)*ISNUMBER(INDEX(Inputs!$K$5:$AJ$110,0,MATCH(S$2,Inputs!$K$4:$AJ$4,0))))=0,NA(),SUMPRODUCT((Inputs!$A$5:$A$110=$B29)*Inputs!$B$5:$B$110*(((Inputs!$G$5:$G$110="moeda")+(Inputs!$G$5:$G$110="acoes"))*Inputs!$B$1+((Inputs!$G$5:$G$110&lt;&gt;"moeda")*(Inputs!$G$5:$G$110&lt;&gt;"acoes")))*INDEX(Inputs!$K$5:$AJ$110,0,MATCH(S$2,Inputs!$K$4:$AJ$4,0)))+SUMPRODUCT((Inputs!$C$5:$C$110=$B29)*Inputs!$D$5:$D$110*(((Inputs!$G$5:$G$110="moeda")+(Inputs!$G$5:$G$110="acoes"))*Inputs!$B$1+((Inputs!$G$5:$G$110&lt;&gt;"moeda")*(Inputs!$G$5:$G$110&lt;&gt;"acoes")))*INDEX(Inputs!$K$5:$AJ$110,0,MATCH(S$2,Inputs!$K$4:$AJ$4,0)))+SUMPRODUCT((Inputs!$E$5:$E$110=$B29)*Inputs!$F$5:$F$110*(((Inputs!$G$5:$G$110="moeda")+(Inputs!$G$5:$G$110="acoes"))*Inputs!$B$1+((Inputs!$G$5:$G$110&lt;&gt;"moeda")*(Inputs!$G$5:$G$110&lt;&gt;"acoes")))*INDEX(Inputs!$K$5:$AJ$110,0,MATCH(S$2,Inputs!$K$4:$AJ$4,0)))))</f>
        <v>66826</v>
      </c>
      <c r="T29" s="6">
        <f>IF(ISNA(MATCH(T$2,Inputs!$K$4:$AJ$4,0)),NA(),IF(SUMPRODUCT((Inputs!$A$5:$A$110=$B29)*ISNUMBER(INDEX(Inputs!$K$5:$AJ$110,0,MATCH(T$2,Inputs!$K$4:$AJ$4,0))))+SUMPRODUCT((Inputs!$C$5:$C$110=$B29)*ISNUMBER(INDEX(Inputs!$K$5:$AJ$110,0,MATCH(T$2,Inputs!$K$4:$AJ$4,0))))+SUMPRODUCT((Inputs!$E$5:$E$110=$B29)*ISNUMBER(INDEX(Inputs!$K$5:$AJ$110,0,MATCH(T$2,Inputs!$K$4:$AJ$4,0))))=0,NA(),SUMPRODUCT((Inputs!$A$5:$A$110=$B29)*Inputs!$B$5:$B$110*(((Inputs!$G$5:$G$110="moeda")+(Inputs!$G$5:$G$110="acoes"))*Inputs!$B$1+((Inputs!$G$5:$G$110&lt;&gt;"moeda")*(Inputs!$G$5:$G$110&lt;&gt;"acoes")))*INDEX(Inputs!$K$5:$AJ$110,0,MATCH(T$2,Inputs!$K$4:$AJ$4,0)))+SUMPRODUCT((Inputs!$C$5:$C$110=$B29)*Inputs!$D$5:$D$110*(((Inputs!$G$5:$G$110="moeda")+(Inputs!$G$5:$G$110="acoes"))*Inputs!$B$1+((Inputs!$G$5:$G$110&lt;&gt;"moeda")*(Inputs!$G$5:$G$110&lt;&gt;"acoes")))*INDEX(Inputs!$K$5:$AJ$110,0,MATCH(T$2,Inputs!$K$4:$AJ$4,0)))+SUMPRODUCT((Inputs!$E$5:$E$110=$B29)*Inputs!$F$5:$F$110*(((Inputs!$G$5:$G$110="moeda")+(Inputs!$G$5:$G$110="acoes"))*Inputs!$B$1+((Inputs!$G$5:$G$110&lt;&gt;"moeda")*(Inputs!$G$5:$G$110&lt;&gt;"acoes")))*INDEX(Inputs!$K$5:$AJ$110,0,MATCH(T$2,Inputs!$K$4:$AJ$4,0)))))</f>
        <v>67570</v>
      </c>
      <c r="U29" s="6">
        <f>IF(ISNA(MATCH(U$2,Inputs!$K$4:$AJ$4,0)),NA(),IF(SUMPRODUCT((Inputs!$A$5:$A$110=$B29)*ISNUMBER(INDEX(Inputs!$K$5:$AJ$110,0,MATCH(U$2,Inputs!$K$4:$AJ$4,0))))+SUMPRODUCT((Inputs!$C$5:$C$110=$B29)*ISNUMBER(INDEX(Inputs!$K$5:$AJ$110,0,MATCH(U$2,Inputs!$K$4:$AJ$4,0))))+SUMPRODUCT((Inputs!$E$5:$E$110=$B29)*ISNUMBER(INDEX(Inputs!$K$5:$AJ$110,0,MATCH(U$2,Inputs!$K$4:$AJ$4,0))))=0,NA(),SUMPRODUCT((Inputs!$A$5:$A$110=$B29)*Inputs!$B$5:$B$110*(((Inputs!$G$5:$G$110="moeda")+(Inputs!$G$5:$G$110="acoes"))*Inputs!$B$1+((Inputs!$G$5:$G$110&lt;&gt;"moeda")*(Inputs!$G$5:$G$110&lt;&gt;"acoes")))*INDEX(Inputs!$K$5:$AJ$110,0,MATCH(U$2,Inputs!$K$4:$AJ$4,0)))+SUMPRODUCT((Inputs!$C$5:$C$110=$B29)*Inputs!$D$5:$D$110*(((Inputs!$G$5:$G$110="moeda")+(Inputs!$G$5:$G$110="acoes"))*Inputs!$B$1+((Inputs!$G$5:$G$110&lt;&gt;"moeda")*(Inputs!$G$5:$G$110&lt;&gt;"acoes")))*INDEX(Inputs!$K$5:$AJ$110,0,MATCH(U$2,Inputs!$K$4:$AJ$4,0)))+SUMPRODUCT((Inputs!$E$5:$E$110=$B29)*Inputs!$F$5:$F$110*(((Inputs!$G$5:$G$110="moeda")+(Inputs!$G$5:$G$110="acoes"))*Inputs!$B$1+((Inputs!$G$5:$G$110&lt;&gt;"moeda")*(Inputs!$G$5:$G$110&lt;&gt;"acoes")))*INDEX(Inputs!$K$5:$AJ$110,0,MATCH(U$2,Inputs!$K$4:$AJ$4,0)))))</f>
        <v>68858</v>
      </c>
      <c r="V29" s="6">
        <f>IF(ISNA(MATCH(V$2,Inputs!$K$4:$AJ$4,0)),NA(),IF(SUMPRODUCT((Inputs!$A$5:$A$110=$B29)*ISNUMBER(INDEX(Inputs!$K$5:$AJ$110,0,MATCH(V$2,Inputs!$K$4:$AJ$4,0))))+SUMPRODUCT((Inputs!$C$5:$C$110=$B29)*ISNUMBER(INDEX(Inputs!$K$5:$AJ$110,0,MATCH(V$2,Inputs!$K$4:$AJ$4,0))))+SUMPRODUCT((Inputs!$E$5:$E$110=$B29)*ISNUMBER(INDEX(Inputs!$K$5:$AJ$110,0,MATCH(V$2,Inputs!$K$4:$AJ$4,0))))=0,NA(),SUMPRODUCT((Inputs!$A$5:$A$110=$B29)*Inputs!$B$5:$B$110*(((Inputs!$G$5:$G$110="moeda")+(Inputs!$G$5:$G$110="acoes"))*Inputs!$B$1+((Inputs!$G$5:$G$110&lt;&gt;"moeda")*(Inputs!$G$5:$G$110&lt;&gt;"acoes")))*INDEX(Inputs!$K$5:$AJ$110,0,MATCH(V$2,Inputs!$K$4:$AJ$4,0)))+SUMPRODUCT((Inputs!$C$5:$C$110=$B29)*Inputs!$D$5:$D$110*(((Inputs!$G$5:$G$110="moeda")+(Inputs!$G$5:$G$110="acoes"))*Inputs!$B$1+((Inputs!$G$5:$G$110&lt;&gt;"moeda")*(Inputs!$G$5:$G$110&lt;&gt;"acoes")))*INDEX(Inputs!$K$5:$AJ$110,0,MATCH(V$2,Inputs!$K$4:$AJ$4,0)))+SUMPRODUCT((Inputs!$E$5:$E$110=$B29)*Inputs!$F$5:$F$110*(((Inputs!$G$5:$G$110="moeda")+(Inputs!$G$5:$G$110="acoes"))*Inputs!$B$1+((Inputs!$G$5:$G$110&lt;&gt;"moeda")*(Inputs!$G$5:$G$110&lt;&gt;"acoes")))*INDEX(Inputs!$K$5:$AJ$110,0,MATCH(V$2,Inputs!$K$4:$AJ$4,0)))))</f>
        <v>76099</v>
      </c>
      <c r="W29" s="3">
        <f>V29</f>
        <v>76099</v>
      </c>
      <c r="X29" s="6">
        <f>IF(ISNA(MATCH(X$2,Inputs!$K$4:$AJ$4,0)),NA(),IF(SUMPRODUCT((Inputs!$A$5:$A$110=$B29)*ISNUMBER(INDEX(Inputs!$K$5:$AJ$110,0,MATCH(X$2,Inputs!$K$4:$AJ$4,0))))+SUMPRODUCT((Inputs!$C$5:$C$110=$B29)*ISNUMBER(INDEX(Inputs!$K$5:$AJ$110,0,MATCH(X$2,Inputs!$K$4:$AJ$4,0))))+SUMPRODUCT((Inputs!$E$5:$E$110=$B29)*ISNUMBER(INDEX(Inputs!$K$5:$AJ$110,0,MATCH(X$2,Inputs!$K$4:$AJ$4,0))))=0,NA(),SUMPRODUCT((Inputs!$A$5:$A$110=$B29)*Inputs!$B$5:$B$110*(((Inputs!$G$5:$G$110="moeda")+(Inputs!$G$5:$G$110="acoes"))*Inputs!$B$1+((Inputs!$G$5:$G$110&lt;&gt;"moeda")*(Inputs!$G$5:$G$110&lt;&gt;"acoes")))*INDEX(Inputs!$K$5:$AJ$110,0,MATCH(X$2,Inputs!$K$4:$AJ$4,0)))+SUMPRODUCT((Inputs!$C$5:$C$110=$B29)*Inputs!$D$5:$D$110*(((Inputs!$G$5:$G$110="moeda")+(Inputs!$G$5:$G$110="acoes"))*Inputs!$B$1+((Inputs!$G$5:$G$110&lt;&gt;"moeda")*(Inputs!$G$5:$G$110&lt;&gt;"acoes")))*INDEX(Inputs!$K$5:$AJ$110,0,MATCH(X$2,Inputs!$K$4:$AJ$4,0)))+SUMPRODUCT((Inputs!$E$5:$E$110=$B29)*Inputs!$F$5:$F$110*(((Inputs!$G$5:$G$110="moeda")+(Inputs!$G$5:$G$110="acoes"))*Inputs!$B$1+((Inputs!$G$5:$G$110&lt;&gt;"moeda")*(Inputs!$G$5:$G$110&lt;&gt;"acoes")))*INDEX(Inputs!$K$5:$AJ$110,0,MATCH(X$2,Inputs!$K$4:$AJ$4,0)))))</f>
        <v>78249</v>
      </c>
      <c r="Y29" s="6">
        <f>IF(ISNA(MATCH(Y$2,Inputs!$K$4:$AJ$4,0)),NA(),IF(SUMPRODUCT((Inputs!$A$5:$A$110=$B29)*ISNUMBER(INDEX(Inputs!$K$5:$AJ$110,0,MATCH(Y$2,Inputs!$K$4:$AJ$4,0))))+SUMPRODUCT((Inputs!$C$5:$C$110=$B29)*ISNUMBER(INDEX(Inputs!$K$5:$AJ$110,0,MATCH(Y$2,Inputs!$K$4:$AJ$4,0))))+SUMPRODUCT((Inputs!$E$5:$E$110=$B29)*ISNUMBER(INDEX(Inputs!$K$5:$AJ$110,0,MATCH(Y$2,Inputs!$K$4:$AJ$4,0))))=0,NA(),SUMPRODUCT((Inputs!$A$5:$A$110=$B29)*Inputs!$B$5:$B$110*(((Inputs!$G$5:$G$110="moeda")+(Inputs!$G$5:$G$110="acoes"))*Inputs!$B$1+((Inputs!$G$5:$G$110&lt;&gt;"moeda")*(Inputs!$G$5:$G$110&lt;&gt;"acoes")))*INDEX(Inputs!$K$5:$AJ$110,0,MATCH(Y$2,Inputs!$K$4:$AJ$4,0)))+SUMPRODUCT((Inputs!$C$5:$C$110=$B29)*Inputs!$D$5:$D$110*(((Inputs!$G$5:$G$110="moeda")+(Inputs!$G$5:$G$110="acoes"))*Inputs!$B$1+((Inputs!$G$5:$G$110&lt;&gt;"moeda")*(Inputs!$G$5:$G$110&lt;&gt;"acoes")))*INDEX(Inputs!$K$5:$AJ$110,0,MATCH(Y$2,Inputs!$K$4:$AJ$4,0)))+SUMPRODUCT((Inputs!$E$5:$E$110=$B29)*Inputs!$F$5:$F$110*(((Inputs!$G$5:$G$110="moeda")+(Inputs!$G$5:$G$110="acoes"))*Inputs!$B$1+((Inputs!$G$5:$G$110&lt;&gt;"moeda")*(Inputs!$G$5:$G$110&lt;&gt;"acoes")))*INDEX(Inputs!$K$5:$AJ$110,0,MATCH(Y$2,Inputs!$K$4:$AJ$4,0)))))</f>
        <v>73994</v>
      </c>
      <c r="Z29" s="6">
        <f>IF(ISNA(MATCH(Z$2,Inputs!$K$4:$AJ$4,0)),NA(),IF(SUMPRODUCT((Inputs!$A$5:$A$110=$B29)*ISNUMBER(INDEX(Inputs!$K$5:$AJ$110,0,MATCH(Z$2,Inputs!$K$4:$AJ$4,0))))+SUMPRODUCT((Inputs!$C$5:$C$110=$B29)*ISNUMBER(INDEX(Inputs!$K$5:$AJ$110,0,MATCH(Z$2,Inputs!$K$4:$AJ$4,0))))+SUMPRODUCT((Inputs!$E$5:$E$110=$B29)*ISNUMBER(INDEX(Inputs!$K$5:$AJ$110,0,MATCH(Z$2,Inputs!$K$4:$AJ$4,0))))=0,NA(),SUMPRODUCT((Inputs!$A$5:$A$110=$B29)*Inputs!$B$5:$B$110*(((Inputs!$G$5:$G$110="moeda")+(Inputs!$G$5:$G$110="acoes"))*Inputs!$B$1+((Inputs!$G$5:$G$110&lt;&gt;"moeda")*(Inputs!$G$5:$G$110&lt;&gt;"acoes")))*INDEX(Inputs!$K$5:$AJ$110,0,MATCH(Z$2,Inputs!$K$4:$AJ$4,0)))+SUMPRODUCT((Inputs!$C$5:$C$110=$B29)*Inputs!$D$5:$D$110*(((Inputs!$G$5:$G$110="moeda")+(Inputs!$G$5:$G$110="acoes"))*Inputs!$B$1+((Inputs!$G$5:$G$110&lt;&gt;"moeda")*(Inputs!$G$5:$G$110&lt;&gt;"acoes")))*INDEX(Inputs!$K$5:$AJ$110,0,MATCH(Z$2,Inputs!$K$4:$AJ$4,0)))+SUMPRODUCT((Inputs!$E$5:$E$110=$B29)*Inputs!$F$5:$F$110*(((Inputs!$G$5:$G$110="moeda")+(Inputs!$G$5:$G$110="acoes"))*Inputs!$B$1+((Inputs!$G$5:$G$110&lt;&gt;"moeda")*(Inputs!$G$5:$G$110&lt;&gt;"acoes")))*INDEX(Inputs!$K$5:$AJ$110,0,MATCH(Z$2,Inputs!$K$4:$AJ$4,0)))))</f>
        <v>83462</v>
      </c>
      <c r="AA29" s="6">
        <f>IF(ISNA(MATCH(AA$2,Inputs!$K$4:$AJ$4,0)),NA(),IF(SUMPRODUCT((Inputs!$A$5:$A$110=$B29)*ISNUMBER(INDEX(Inputs!$K$5:$AJ$110,0,MATCH(AA$2,Inputs!$K$4:$AJ$4,0))))+SUMPRODUCT((Inputs!$C$5:$C$110=$B29)*ISNUMBER(INDEX(Inputs!$K$5:$AJ$110,0,MATCH(AA$2,Inputs!$K$4:$AJ$4,0))))+SUMPRODUCT((Inputs!$E$5:$E$110=$B29)*ISNUMBER(INDEX(Inputs!$K$5:$AJ$110,0,MATCH(AA$2,Inputs!$K$4:$AJ$4,0))))=0,NA(),SUMPRODUCT((Inputs!$A$5:$A$110=$B29)*Inputs!$B$5:$B$110*(((Inputs!$G$5:$G$110="moeda")+(Inputs!$G$5:$G$110="acoes"))*Inputs!$B$1+((Inputs!$G$5:$G$110&lt;&gt;"moeda")*(Inputs!$G$5:$G$110&lt;&gt;"acoes")))*INDEX(Inputs!$K$5:$AJ$110,0,MATCH(AA$2,Inputs!$K$4:$AJ$4,0)))+SUMPRODUCT((Inputs!$C$5:$C$110=$B29)*Inputs!$D$5:$D$110*(((Inputs!$G$5:$G$110="moeda")+(Inputs!$G$5:$G$110="acoes"))*Inputs!$B$1+((Inputs!$G$5:$G$110&lt;&gt;"moeda")*(Inputs!$G$5:$G$110&lt;&gt;"acoes")))*INDEX(Inputs!$K$5:$AJ$110,0,MATCH(AA$2,Inputs!$K$4:$AJ$4,0)))+SUMPRODUCT((Inputs!$E$5:$E$110=$B29)*Inputs!$F$5:$F$110*(((Inputs!$G$5:$G$110="moeda")+(Inputs!$G$5:$G$110="acoes"))*Inputs!$B$1+((Inputs!$G$5:$G$110&lt;&gt;"moeda")*(Inputs!$G$5:$G$110&lt;&gt;"acoes")))*INDEX(Inputs!$K$5:$AJ$110,0,MATCH(AA$2,Inputs!$K$4:$AJ$4,0)))))</f>
        <v>83967</v>
      </c>
      <c r="AB29" s="3">
        <f>AA29</f>
        <v>83967</v>
      </c>
      <c r="AC29" s="6">
        <f>IF(ISNA(MATCH(AC$2,Inputs!$K$4:$AJ$4,0)),NA(),IF(SUMPRODUCT((Inputs!$A$5:$A$110=$B29)*ISNUMBER(INDEX(Inputs!$K$5:$AJ$110,0,MATCH(AC$2,Inputs!$K$4:$AJ$4,0))))+SUMPRODUCT((Inputs!$C$5:$C$110=$B29)*ISNUMBER(INDEX(Inputs!$K$5:$AJ$110,0,MATCH(AC$2,Inputs!$K$4:$AJ$4,0))))+SUMPRODUCT((Inputs!$E$5:$E$110=$B29)*ISNUMBER(INDEX(Inputs!$K$5:$AJ$110,0,MATCH(AC$2,Inputs!$K$4:$AJ$4,0))))=0,NA(),SUMPRODUCT((Inputs!$A$5:$A$110=$B29)*Inputs!$B$5:$B$110*(((Inputs!$G$5:$G$110="moeda")+(Inputs!$G$5:$G$110="acoes"))*Inputs!$B$1+((Inputs!$G$5:$G$110&lt;&gt;"moeda")*(Inputs!$G$5:$G$110&lt;&gt;"acoes")))*INDEX(Inputs!$K$5:$AJ$110,0,MATCH(AC$2,Inputs!$K$4:$AJ$4,0)))+SUMPRODUCT((Inputs!$C$5:$C$110=$B29)*Inputs!$D$5:$D$110*(((Inputs!$G$5:$G$110="moeda")+(Inputs!$G$5:$G$110="acoes"))*Inputs!$B$1+((Inputs!$G$5:$G$110&lt;&gt;"moeda")*(Inputs!$G$5:$G$110&lt;&gt;"acoes")))*INDEX(Inputs!$K$5:$AJ$110,0,MATCH(AC$2,Inputs!$K$4:$AJ$4,0)))+SUMPRODUCT((Inputs!$E$5:$E$110=$B29)*Inputs!$F$5:$F$110*(((Inputs!$G$5:$G$110="moeda")+(Inputs!$G$5:$G$110="acoes"))*Inputs!$B$1+((Inputs!$G$5:$G$110&lt;&gt;"moeda")*(Inputs!$G$5:$G$110&lt;&gt;"acoes")))*INDEX(Inputs!$K$5:$AJ$110,0,MATCH(AC$2,Inputs!$K$4:$AJ$4,0)))))</f>
        <v>87174</v>
      </c>
      <c r="AD29" s="6">
        <f>IF(ISNA(MATCH(AD$2,Inputs!$K$4:$AJ$4,0)),NA(),IF(SUMPRODUCT((Inputs!$A$5:$A$110=$B29)*ISNUMBER(INDEX(Inputs!$K$5:$AJ$110,0,MATCH(AD$2,Inputs!$K$4:$AJ$4,0))))+SUMPRODUCT((Inputs!$C$5:$C$110=$B29)*ISNUMBER(INDEX(Inputs!$K$5:$AJ$110,0,MATCH(AD$2,Inputs!$K$4:$AJ$4,0))))+SUMPRODUCT((Inputs!$E$5:$E$110=$B29)*ISNUMBER(INDEX(Inputs!$K$5:$AJ$110,0,MATCH(AD$2,Inputs!$K$4:$AJ$4,0))))=0,NA(),SUMPRODUCT((Inputs!$A$5:$A$110=$B29)*Inputs!$B$5:$B$110*(((Inputs!$G$5:$G$110="moeda")+(Inputs!$G$5:$G$110="acoes"))*Inputs!$B$1+((Inputs!$G$5:$G$110&lt;&gt;"moeda")*(Inputs!$G$5:$G$110&lt;&gt;"acoes")))*INDEX(Inputs!$K$5:$AJ$110,0,MATCH(AD$2,Inputs!$K$4:$AJ$4,0)))+SUMPRODUCT((Inputs!$C$5:$C$110=$B29)*Inputs!$D$5:$D$110*(((Inputs!$G$5:$G$110="moeda")+(Inputs!$G$5:$G$110="acoes"))*Inputs!$B$1+((Inputs!$G$5:$G$110&lt;&gt;"moeda")*(Inputs!$G$5:$G$110&lt;&gt;"acoes")))*INDEX(Inputs!$K$5:$AJ$110,0,MATCH(AD$2,Inputs!$K$4:$AJ$4,0)))+SUMPRODUCT((Inputs!$E$5:$E$110=$B29)*Inputs!$F$5:$F$110*(((Inputs!$G$5:$G$110="moeda")+(Inputs!$G$5:$G$110="acoes"))*Inputs!$B$1+((Inputs!$G$5:$G$110&lt;&gt;"moeda")*(Inputs!$G$5:$G$110&lt;&gt;"acoes")))*INDEX(Inputs!$K$5:$AJ$110,0,MATCH(AD$2,Inputs!$K$4:$AJ$4,0)))))</f>
        <v>98699</v>
      </c>
      <c r="AE29" s="6" t="e">
        <f>IF(ISNA(MATCH(AE$2,Inputs!$K$4:$AJ$4,0)),NA(),IF(SUMPRODUCT((Inputs!$A$5:$A$110=$B29)*ISNUMBER(INDEX(Inputs!$K$5:$AJ$110,0,MATCH(AE$2,Inputs!$K$4:$AJ$4,0))))+SUMPRODUCT((Inputs!$C$5:$C$110=$B29)*ISNUMBER(INDEX(Inputs!$K$5:$AJ$110,0,MATCH(AE$2,Inputs!$K$4:$AJ$4,0))))+SUMPRODUCT((Inputs!$E$5:$E$110=$B29)*ISNUMBER(INDEX(Inputs!$K$5:$AJ$110,0,MATCH(AE$2,Inputs!$K$4:$AJ$4,0))))=0,NA(),SUMPRODUCT((Inputs!$A$5:$A$110=$B29)*Inputs!$B$5:$B$110*(((Inputs!$G$5:$G$110="moeda")+(Inputs!$G$5:$G$110="acoes"))*Inputs!$B$1+((Inputs!$G$5:$G$110&lt;&gt;"moeda")*(Inputs!$G$5:$G$110&lt;&gt;"acoes")))*INDEX(Inputs!$K$5:$AJ$110,0,MATCH(AE$2,Inputs!$K$4:$AJ$4,0)))+SUMPRODUCT((Inputs!$C$5:$C$110=$B29)*Inputs!$D$5:$D$110*(((Inputs!$G$5:$G$110="moeda")+(Inputs!$G$5:$G$110="acoes"))*Inputs!$B$1+((Inputs!$G$5:$G$110&lt;&gt;"moeda")*(Inputs!$G$5:$G$110&lt;&gt;"acoes")))*INDEX(Inputs!$K$5:$AJ$110,0,MATCH(AE$2,Inputs!$K$4:$AJ$4,0)))+SUMPRODUCT((Inputs!$E$5:$E$110=$B29)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9" s="6" t="e">
        <f>IF(ISNA(MATCH(AF$2,Inputs!$K$4:$AJ$4,0)),NA(),IF(SUMPRODUCT((Inputs!$A$5:$A$110=$B29)*ISNUMBER(INDEX(Inputs!$K$5:$AJ$110,0,MATCH(AF$2,Inputs!$K$4:$AJ$4,0))))+SUMPRODUCT((Inputs!$C$5:$C$110=$B29)*ISNUMBER(INDEX(Inputs!$K$5:$AJ$110,0,MATCH(AF$2,Inputs!$K$4:$AJ$4,0))))+SUMPRODUCT((Inputs!$E$5:$E$110=$B29)*ISNUMBER(INDEX(Inputs!$K$5:$AJ$110,0,MATCH(AF$2,Inputs!$K$4:$AJ$4,0))))=0,NA(),SUMPRODUCT((Inputs!$A$5:$A$110=$B29)*Inputs!$B$5:$B$110*(((Inputs!$G$5:$G$110="moeda")+(Inputs!$G$5:$G$110="acoes"))*Inputs!$B$1+((Inputs!$G$5:$G$110&lt;&gt;"moeda")*(Inputs!$G$5:$G$110&lt;&gt;"acoes")))*INDEX(Inputs!$K$5:$AJ$110,0,MATCH(AF$2,Inputs!$K$4:$AJ$4,0)))+SUMPRODUCT((Inputs!$C$5:$C$110=$B29)*Inputs!$D$5:$D$110*(((Inputs!$G$5:$G$110="moeda")+(Inputs!$G$5:$G$110="acoes"))*Inputs!$B$1+((Inputs!$G$5:$G$110&lt;&gt;"moeda")*(Inputs!$G$5:$G$110&lt;&gt;"acoes")))*INDEX(Inputs!$K$5:$AJ$110,0,MATCH(AF$2,Inputs!$K$4:$AJ$4,0)))+SUMPRODUCT((Inputs!$E$5:$E$110=$B29)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9" s="3" t="e">
        <f>AF29</f>
        <v>#N/A</v>
      </c>
      <c r="AH29" s="6">
        <f>IF(ISNA(MATCH(AH$2,Inputs!$K$4:$AJ$4,0)),NA(),IF(SUMPRODUCT((Inputs!$A$5:$A$110=$B29)*ISNUMBER(INDEX(Inputs!$K$5:$AJ$110,0,MATCH(AH$2,Inputs!$K$4:$AJ$4,0))))+SUMPRODUCT((Inputs!$C$5:$C$110=$B29)*ISNUMBER(INDEX(Inputs!$K$5:$AJ$110,0,MATCH(AH$2,Inputs!$K$4:$AJ$4,0))))+SUMPRODUCT((Inputs!$E$5:$E$110=$B29)*ISNUMBER(INDEX(Inputs!$K$5:$AJ$110,0,MATCH(AH$2,Inputs!$K$4:$AJ$4,0))))=0,NA(),SUMPRODUCT((Inputs!$A$5:$A$110=$B29)*Inputs!$B$5:$B$110*(((Inputs!$G$5:$G$110="moeda")+(Inputs!$G$5:$G$110="acoes"))*Inputs!$B$1+((Inputs!$G$5:$G$110&lt;&gt;"moeda")*(Inputs!$G$5:$G$110&lt;&gt;"acoes")))*INDEX(Inputs!$K$5:$AJ$110,0,MATCH(AH$2,Inputs!$K$4:$AJ$4,0)))+SUMPRODUCT((Inputs!$C$5:$C$110=$B29)*Inputs!$D$5:$D$110*(((Inputs!$G$5:$G$110="moeda")+(Inputs!$G$5:$G$110="acoes"))*Inputs!$B$1+((Inputs!$G$5:$G$110&lt;&gt;"moeda")*(Inputs!$G$5:$G$110&lt;&gt;"acoes")))*INDEX(Inputs!$K$5:$AJ$110,0,MATCH(AH$2,Inputs!$K$4:$AJ$4,0)))+SUMPRODUCT((Inputs!$E$5:$E$110=$B29)*Inputs!$F$5:$F$110*(((Inputs!$G$5:$G$110="moeda")+(Inputs!$G$5:$G$110="acoes"))*Inputs!$B$1+((Inputs!$G$5:$G$110&lt;&gt;"moeda")*(Inputs!$G$5:$G$110&lt;&gt;"acoes")))*INDEX(Inputs!$K$5:$AJ$110,0,MATCH(AH$2,Inputs!$K$4:$AJ$4,0)))))</f>
        <v>33239</v>
      </c>
      <c r="AI29" s="6">
        <f>IF(ISNA(MATCH(AI$2,Inputs!$K$4:$AJ$4,0)),NA(),IF(SUMPRODUCT((Inputs!$A$5:$A$110=$B29)*ISNUMBER(INDEX(Inputs!$K$5:$AJ$110,0,MATCH(AI$2,Inputs!$K$4:$AJ$4,0))))+SUMPRODUCT((Inputs!$C$5:$C$110=$B29)*ISNUMBER(INDEX(Inputs!$K$5:$AJ$110,0,MATCH(AI$2,Inputs!$K$4:$AJ$4,0))))+SUMPRODUCT((Inputs!$E$5:$E$110=$B29)*ISNUMBER(INDEX(Inputs!$K$5:$AJ$110,0,MATCH(AI$2,Inputs!$K$4:$AJ$4,0))))=0,NA(),SUMPRODUCT((Inputs!$A$5:$A$110=$B29)*Inputs!$B$5:$B$110*(((Inputs!$G$5:$G$110="moeda")+(Inputs!$G$5:$G$110="acoes"))*Inputs!$B$1+((Inputs!$G$5:$G$110&lt;&gt;"moeda")*(Inputs!$G$5:$G$110&lt;&gt;"acoes")))*INDEX(Inputs!$K$5:$AJ$110,0,MATCH(AI$2,Inputs!$K$4:$AJ$4,0)))+SUMPRODUCT((Inputs!$C$5:$C$110=$B29)*Inputs!$D$5:$D$110*(((Inputs!$G$5:$G$110="moeda")+(Inputs!$G$5:$G$110="acoes"))*Inputs!$B$1+((Inputs!$G$5:$G$110&lt;&gt;"moeda")*(Inputs!$G$5:$G$110&lt;&gt;"acoes")))*INDEX(Inputs!$K$5:$AJ$110,0,MATCH(AI$2,Inputs!$K$4:$AJ$4,0)))+SUMPRODUCT((Inputs!$E$5:$E$110=$B29)*Inputs!$F$5:$F$110*(((Inputs!$G$5:$G$110="moeda")+(Inputs!$G$5:$G$110="acoes"))*Inputs!$B$1+((Inputs!$G$5:$G$110&lt;&gt;"moeda")*(Inputs!$G$5:$G$110&lt;&gt;"acoes")))*INDEX(Inputs!$K$5:$AJ$110,0,MATCH(AI$2,Inputs!$K$4:$AJ$4,0)))))</f>
        <v>36558</v>
      </c>
      <c r="AJ29" s="6">
        <f>IF(ISNA(MATCH(AJ$2,Inputs!$K$4:$AJ$4,0)),NA(),IF(SUMPRODUCT((Inputs!$A$5:$A$110=$B29)*ISNUMBER(INDEX(Inputs!$K$5:$AJ$110,0,MATCH(AJ$2,Inputs!$K$4:$AJ$4,0))))+SUMPRODUCT((Inputs!$C$5:$C$110=$B29)*ISNUMBER(INDEX(Inputs!$K$5:$AJ$110,0,MATCH(AJ$2,Inputs!$K$4:$AJ$4,0))))+SUMPRODUCT((Inputs!$E$5:$E$110=$B29)*ISNUMBER(INDEX(Inputs!$K$5:$AJ$110,0,MATCH(AJ$2,Inputs!$K$4:$AJ$4,0))))=0,NA(),SUMPRODUCT((Inputs!$A$5:$A$110=$B29)*Inputs!$B$5:$B$110*(((Inputs!$G$5:$G$110="moeda")+(Inputs!$G$5:$G$110="acoes"))*Inputs!$B$1+((Inputs!$G$5:$G$110&lt;&gt;"moeda")*(Inputs!$G$5:$G$110&lt;&gt;"acoes")))*INDEX(Inputs!$K$5:$AJ$110,0,MATCH(AJ$2,Inputs!$K$4:$AJ$4,0)))+SUMPRODUCT((Inputs!$C$5:$C$110=$B29)*Inputs!$D$5:$D$110*(((Inputs!$G$5:$G$110="moeda")+(Inputs!$G$5:$G$110="acoes"))*Inputs!$B$1+((Inputs!$G$5:$G$110&lt;&gt;"moeda")*(Inputs!$G$5:$G$110&lt;&gt;"acoes")))*INDEX(Inputs!$K$5:$AJ$110,0,MATCH(AJ$2,Inputs!$K$4:$AJ$4,0)))+SUMPRODUCT((Inputs!$E$5:$E$110=$B29)*Inputs!$F$5:$F$110*(((Inputs!$G$5:$G$110="moeda")+(Inputs!$G$5:$G$110="acoes"))*Inputs!$B$1+((Inputs!$G$5:$G$110&lt;&gt;"moeda")*(Inputs!$G$5:$G$110&lt;&gt;"acoes")))*INDEX(Inputs!$K$5:$AJ$110,0,MATCH(AJ$2,Inputs!$K$4:$AJ$4,0)))))</f>
        <v>40408</v>
      </c>
      <c r="AK29" s="6">
        <f>IF(ISNA(MATCH(AK$2,Inputs!$K$4:$AJ$4,0)),NA(),IF(SUMPRODUCT((Inputs!$A$5:$A$110=$B29)*ISNUMBER(INDEX(Inputs!$K$5:$AJ$110,0,MATCH(AK$2,Inputs!$K$4:$AJ$4,0))))+SUMPRODUCT((Inputs!$C$5:$C$110=$B29)*ISNUMBER(INDEX(Inputs!$K$5:$AJ$110,0,MATCH(AK$2,Inputs!$K$4:$AJ$4,0))))+SUMPRODUCT((Inputs!$E$5:$E$110=$B29)*ISNUMBER(INDEX(Inputs!$K$5:$AJ$110,0,MATCH(AK$2,Inputs!$K$4:$AJ$4,0))))=0,NA(),SUMPRODUCT((Inputs!$A$5:$A$110=$B29)*Inputs!$B$5:$B$110*(((Inputs!$G$5:$G$110="moeda")+(Inputs!$G$5:$G$110="acoes"))*Inputs!$B$1+((Inputs!$G$5:$G$110&lt;&gt;"moeda")*(Inputs!$G$5:$G$110&lt;&gt;"acoes")))*INDEX(Inputs!$K$5:$AJ$110,0,MATCH(AK$2,Inputs!$K$4:$AJ$4,0)))+SUMPRODUCT((Inputs!$C$5:$C$110=$B29)*Inputs!$D$5:$D$110*(((Inputs!$G$5:$G$110="moeda")+(Inputs!$G$5:$G$110="acoes"))*Inputs!$B$1+((Inputs!$G$5:$G$110&lt;&gt;"moeda")*(Inputs!$G$5:$G$110&lt;&gt;"acoes")))*INDEX(Inputs!$K$5:$AJ$110,0,MATCH(AK$2,Inputs!$K$4:$AJ$4,0)))+SUMPRODUCT((Inputs!$E$5:$E$110=$B29)*Inputs!$F$5:$F$110*(((Inputs!$G$5:$G$110="moeda")+(Inputs!$G$5:$G$110="acoes"))*Inputs!$B$1+((Inputs!$G$5:$G$110&lt;&gt;"moeda")*(Inputs!$G$5:$G$110&lt;&gt;"acoes")))*INDEX(Inputs!$K$5:$AJ$110,0,MATCH(AK$2,Inputs!$K$4:$AJ$4,0)))))</f>
        <v>47217</v>
      </c>
      <c r="AL29" s="3">
        <f>AK29</f>
        <v>47217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$110=$B30)*ISNUMBER(INDEX(Inputs!$K$5:$AJ$110,0,MATCH(D$2,Inputs!$K$4:$AJ$4,0))))+SUMPRODUCT((Inputs!$C$5:$C$110=$B30)*ISNUMBER(INDEX(Inputs!$K$5:$AJ$110,0,MATCH(D$2,Inputs!$K$4:$AJ$4,0))))+SUMPRODUCT((Inputs!$E$5:$E$110=$B30)*ISNUMBER(INDEX(Inputs!$K$5:$AJ$110,0,MATCH(D$2,Inputs!$K$4:$AJ$4,0))))=0,NA(),SUMPRODUCT((Inputs!$A$5:$A$110=$B30)*Inputs!$B$5:$B$110*(((Inputs!$G$5:$G$110="moeda")+(Inputs!$G$5:$G$110="acoes"))*Inputs!$B$1+((Inputs!$G$5:$G$110&lt;&gt;"moeda")*(Inputs!$G$5:$G$110&lt;&gt;"acoes")))*INDEX(Inputs!$K$5:$AJ$110,0,MATCH(D$2,Inputs!$K$4:$AJ$4,0)))+SUMPRODUCT((Inputs!$C$5:$C$110=$B30)*Inputs!$D$5:$D$110*(((Inputs!$G$5:$G$110="moeda")+(Inputs!$G$5:$G$110="acoes"))*Inputs!$B$1+((Inputs!$G$5:$G$110&lt;&gt;"moeda")*(Inputs!$G$5:$G$110&lt;&gt;"acoes")))*INDEX(Inputs!$K$5:$AJ$110,0,MATCH(D$2,Inputs!$K$4:$AJ$4,0)))+SUMPRODUCT((Inputs!$E$5:$E$110=$B30)*Inputs!$F$5:$F$110*(((Inputs!$G$5:$G$110="moeda")+(Inputs!$G$5:$G$110="acoes"))*Inputs!$B$1+((Inputs!$G$5:$G$110&lt;&gt;"moeda")*(Inputs!$G$5:$G$110&lt;&gt;"acoes")))*INDEX(Inputs!$K$5:$AJ$110,0,MATCH(D$2,Inputs!$K$4:$AJ$4,0)))))</f>
        <v>1893</v>
      </c>
      <c r="E30" s="6">
        <f>IF(ISNA(MATCH(E$2,Inputs!$K$4:$AJ$4,0)),NA(),IF(SUMPRODUCT((Inputs!$A$5:$A$110=$B30)*ISNUMBER(INDEX(Inputs!$K$5:$AJ$110,0,MATCH(E$2,Inputs!$K$4:$AJ$4,0))))+SUMPRODUCT((Inputs!$C$5:$C$110=$B30)*ISNUMBER(INDEX(Inputs!$K$5:$AJ$110,0,MATCH(E$2,Inputs!$K$4:$AJ$4,0))))+SUMPRODUCT((Inputs!$E$5:$E$110=$B30)*ISNUMBER(INDEX(Inputs!$K$5:$AJ$110,0,MATCH(E$2,Inputs!$K$4:$AJ$4,0))))=0,NA(),SUMPRODUCT((Inputs!$A$5:$A$110=$B30)*Inputs!$B$5:$B$110*(((Inputs!$G$5:$G$110="moeda")+(Inputs!$G$5:$G$110="acoes"))*Inputs!$B$1+((Inputs!$G$5:$G$110&lt;&gt;"moeda")*(Inputs!$G$5:$G$110&lt;&gt;"acoes")))*INDEX(Inputs!$K$5:$AJ$110,0,MATCH(E$2,Inputs!$K$4:$AJ$4,0)))+SUMPRODUCT((Inputs!$C$5:$C$110=$B30)*Inputs!$D$5:$D$110*(((Inputs!$G$5:$G$110="moeda")+(Inputs!$G$5:$G$110="acoes"))*Inputs!$B$1+((Inputs!$G$5:$G$110&lt;&gt;"moeda")*(Inputs!$G$5:$G$110&lt;&gt;"acoes")))*INDEX(Inputs!$K$5:$AJ$110,0,MATCH(E$2,Inputs!$K$4:$AJ$4,0)))+SUMPRODUCT((Inputs!$E$5:$E$110=$B30)*Inputs!$F$5:$F$110*(((Inputs!$G$5:$G$110="moeda")+(Inputs!$G$5:$G$110="acoes"))*Inputs!$B$1+((Inputs!$G$5:$G$110&lt;&gt;"moeda")*(Inputs!$G$5:$G$110&lt;&gt;"acoes")))*INDEX(Inputs!$K$5:$AJ$110,0,MATCH(E$2,Inputs!$K$4:$AJ$4,0)))))</f>
        <v>1811</v>
      </c>
      <c r="F30" s="6">
        <f>IF(ISNA(MATCH(F$2,Inputs!$K$4:$AJ$4,0)),NA(),IF(SUMPRODUCT((Inputs!$A$5:$A$110=$B30)*ISNUMBER(INDEX(Inputs!$K$5:$AJ$110,0,MATCH(F$2,Inputs!$K$4:$AJ$4,0))))+SUMPRODUCT((Inputs!$C$5:$C$110=$B30)*ISNUMBER(INDEX(Inputs!$K$5:$AJ$110,0,MATCH(F$2,Inputs!$K$4:$AJ$4,0))))+SUMPRODUCT((Inputs!$E$5:$E$110=$B30)*ISNUMBER(INDEX(Inputs!$K$5:$AJ$110,0,MATCH(F$2,Inputs!$K$4:$AJ$4,0))))=0,NA(),SUMPRODUCT((Inputs!$A$5:$A$110=$B30)*Inputs!$B$5:$B$110*(((Inputs!$G$5:$G$110="moeda")+(Inputs!$G$5:$G$110="acoes"))*Inputs!$B$1+((Inputs!$G$5:$G$110&lt;&gt;"moeda")*(Inputs!$G$5:$G$110&lt;&gt;"acoes")))*INDEX(Inputs!$K$5:$AJ$110,0,MATCH(F$2,Inputs!$K$4:$AJ$4,0)))+SUMPRODUCT((Inputs!$C$5:$C$110=$B30)*Inputs!$D$5:$D$110*(((Inputs!$G$5:$G$110="moeda")+(Inputs!$G$5:$G$110="acoes"))*Inputs!$B$1+((Inputs!$G$5:$G$110&lt;&gt;"moeda")*(Inputs!$G$5:$G$110&lt;&gt;"acoes")))*INDEX(Inputs!$K$5:$AJ$110,0,MATCH(F$2,Inputs!$K$4:$AJ$4,0)))+SUMPRODUCT((Inputs!$E$5:$E$110=$B30)*Inputs!$F$5:$F$110*(((Inputs!$G$5:$G$110="moeda")+(Inputs!$G$5:$G$110="acoes"))*Inputs!$B$1+((Inputs!$G$5:$G$110&lt;&gt;"moeda")*(Inputs!$G$5:$G$110&lt;&gt;"acoes")))*INDEX(Inputs!$K$5:$AJ$110,0,MATCH(F$2,Inputs!$K$4:$AJ$4,0)))))</f>
        <v>4170</v>
      </c>
      <c r="G30" s="6">
        <f>IF(ISNA(MATCH(G$2,Inputs!$K$4:$AJ$4,0)),NA(),IF(SUMPRODUCT((Inputs!$A$5:$A$110=$B30)*ISNUMBER(INDEX(Inputs!$K$5:$AJ$110,0,MATCH(G$2,Inputs!$K$4:$AJ$4,0))))+SUMPRODUCT((Inputs!$C$5:$C$110=$B30)*ISNUMBER(INDEX(Inputs!$K$5:$AJ$110,0,MATCH(G$2,Inputs!$K$4:$AJ$4,0))))+SUMPRODUCT((Inputs!$E$5:$E$110=$B30)*ISNUMBER(INDEX(Inputs!$K$5:$AJ$110,0,MATCH(G$2,Inputs!$K$4:$AJ$4,0))))=0,NA(),SUMPRODUCT((Inputs!$A$5:$A$110=$B30)*Inputs!$B$5:$B$110*(((Inputs!$G$5:$G$110="moeda")+(Inputs!$G$5:$G$110="acoes"))*Inputs!$B$1+((Inputs!$G$5:$G$110&lt;&gt;"moeda")*(Inputs!$G$5:$G$110&lt;&gt;"acoes")))*INDEX(Inputs!$K$5:$AJ$110,0,MATCH(G$2,Inputs!$K$4:$AJ$4,0)))+SUMPRODUCT((Inputs!$C$5:$C$110=$B30)*Inputs!$D$5:$D$110*(((Inputs!$G$5:$G$110="moeda")+(Inputs!$G$5:$G$110="acoes"))*Inputs!$B$1+((Inputs!$G$5:$G$110&lt;&gt;"moeda")*(Inputs!$G$5:$G$110&lt;&gt;"acoes")))*INDEX(Inputs!$K$5:$AJ$110,0,MATCH(G$2,Inputs!$K$4:$AJ$4,0)))+SUMPRODUCT((Inputs!$E$5:$E$110=$B30)*Inputs!$F$5:$F$110*(((Inputs!$G$5:$G$110="moeda")+(Inputs!$G$5:$G$110="acoes"))*Inputs!$B$1+((Inputs!$G$5:$G$110&lt;&gt;"moeda")*(Inputs!$G$5:$G$110&lt;&gt;"acoes")))*INDEX(Inputs!$K$5:$AJ$110,0,MATCH(G$2,Inputs!$K$4:$AJ$4,0)))))</f>
        <v>808</v>
      </c>
      <c r="H30" s="3">
        <f>G30</f>
        <v>808</v>
      </c>
      <c r="I30" s="6">
        <f>IF(ISNA(MATCH(I$2,Inputs!$K$4:$AJ$4,0)),NA(),IF(SUMPRODUCT((Inputs!$A$5:$A$110=$B30)*ISNUMBER(INDEX(Inputs!$K$5:$AJ$110,0,MATCH(I$2,Inputs!$K$4:$AJ$4,0))))+SUMPRODUCT((Inputs!$C$5:$C$110=$B30)*ISNUMBER(INDEX(Inputs!$K$5:$AJ$110,0,MATCH(I$2,Inputs!$K$4:$AJ$4,0))))+SUMPRODUCT((Inputs!$E$5:$E$110=$B30)*ISNUMBER(INDEX(Inputs!$K$5:$AJ$110,0,MATCH(I$2,Inputs!$K$4:$AJ$4,0))))=0,NA(),SUMPRODUCT((Inputs!$A$5:$A$110=$B30)*Inputs!$B$5:$B$110*(((Inputs!$G$5:$G$110="moeda")+(Inputs!$G$5:$G$110="acoes"))*Inputs!$B$1+((Inputs!$G$5:$G$110&lt;&gt;"moeda")*(Inputs!$G$5:$G$110&lt;&gt;"acoes")))*INDEX(Inputs!$K$5:$AJ$110,0,MATCH(I$2,Inputs!$K$4:$AJ$4,0)))+SUMPRODUCT((Inputs!$C$5:$C$110=$B30)*Inputs!$D$5:$D$110*(((Inputs!$G$5:$G$110="moeda")+(Inputs!$G$5:$G$110="acoes"))*Inputs!$B$1+((Inputs!$G$5:$G$110&lt;&gt;"moeda")*(Inputs!$G$5:$G$110&lt;&gt;"acoes")))*INDEX(Inputs!$K$5:$AJ$110,0,MATCH(I$2,Inputs!$K$4:$AJ$4,0)))+SUMPRODUCT((Inputs!$E$5:$E$110=$B30)*Inputs!$F$5:$F$110*(((Inputs!$G$5:$G$110="moeda")+(Inputs!$G$5:$G$110="acoes"))*Inputs!$B$1+((Inputs!$G$5:$G$110&lt;&gt;"moeda")*(Inputs!$G$5:$G$110&lt;&gt;"acoes")))*INDEX(Inputs!$K$5:$AJ$110,0,MATCH(I$2,Inputs!$K$4:$AJ$4,0)))))</f>
        <v>4344</v>
      </c>
      <c r="J30" s="6">
        <f>IF(ISNA(MATCH(J$2,Inputs!$K$4:$AJ$4,0)),NA(),IF(SUMPRODUCT((Inputs!$A$5:$A$110=$B30)*ISNUMBER(INDEX(Inputs!$K$5:$AJ$110,0,MATCH(J$2,Inputs!$K$4:$AJ$4,0))))+SUMPRODUCT((Inputs!$C$5:$C$110=$B30)*ISNUMBER(INDEX(Inputs!$K$5:$AJ$110,0,MATCH(J$2,Inputs!$K$4:$AJ$4,0))))+SUMPRODUCT((Inputs!$E$5:$E$110=$B30)*ISNUMBER(INDEX(Inputs!$K$5:$AJ$110,0,MATCH(J$2,Inputs!$K$4:$AJ$4,0))))=0,NA(),SUMPRODUCT((Inputs!$A$5:$A$110=$B30)*Inputs!$B$5:$B$110*(((Inputs!$G$5:$G$110="moeda")+(Inputs!$G$5:$G$110="acoes"))*Inputs!$B$1+((Inputs!$G$5:$G$110&lt;&gt;"moeda")*(Inputs!$G$5:$G$110&lt;&gt;"acoes")))*INDEX(Inputs!$K$5:$AJ$110,0,MATCH(J$2,Inputs!$K$4:$AJ$4,0)))+SUMPRODUCT((Inputs!$C$5:$C$110=$B30)*Inputs!$D$5:$D$110*(((Inputs!$G$5:$G$110="moeda")+(Inputs!$G$5:$G$110="acoes"))*Inputs!$B$1+((Inputs!$G$5:$G$110&lt;&gt;"moeda")*(Inputs!$G$5:$G$110&lt;&gt;"acoes")))*INDEX(Inputs!$K$5:$AJ$110,0,MATCH(J$2,Inputs!$K$4:$AJ$4,0)))+SUMPRODUCT((Inputs!$E$5:$E$110=$B30)*Inputs!$F$5:$F$110*(((Inputs!$G$5:$G$110="moeda")+(Inputs!$G$5:$G$110="acoes"))*Inputs!$B$1+((Inputs!$G$5:$G$110&lt;&gt;"moeda")*(Inputs!$G$5:$G$110&lt;&gt;"acoes")))*INDEX(Inputs!$K$5:$AJ$110,0,MATCH(J$2,Inputs!$K$4:$AJ$4,0)))))</f>
        <v>1956</v>
      </c>
      <c r="K30" s="6">
        <f>IF(ISNA(MATCH(K$2,Inputs!$K$4:$AJ$4,0)),NA(),IF(SUMPRODUCT((Inputs!$A$5:$A$110=$B30)*ISNUMBER(INDEX(Inputs!$K$5:$AJ$110,0,MATCH(K$2,Inputs!$K$4:$AJ$4,0))))+SUMPRODUCT((Inputs!$C$5:$C$110=$B30)*ISNUMBER(INDEX(Inputs!$K$5:$AJ$110,0,MATCH(K$2,Inputs!$K$4:$AJ$4,0))))+SUMPRODUCT((Inputs!$E$5:$E$110=$B30)*ISNUMBER(INDEX(Inputs!$K$5:$AJ$110,0,MATCH(K$2,Inputs!$K$4:$AJ$4,0))))=0,NA(),SUMPRODUCT((Inputs!$A$5:$A$110=$B30)*Inputs!$B$5:$B$110*(((Inputs!$G$5:$G$110="moeda")+(Inputs!$G$5:$G$110="acoes"))*Inputs!$B$1+((Inputs!$G$5:$G$110&lt;&gt;"moeda")*(Inputs!$G$5:$G$110&lt;&gt;"acoes")))*INDEX(Inputs!$K$5:$AJ$110,0,MATCH(K$2,Inputs!$K$4:$AJ$4,0)))+SUMPRODUCT((Inputs!$C$5:$C$110=$B30)*Inputs!$D$5:$D$110*(((Inputs!$G$5:$G$110="moeda")+(Inputs!$G$5:$G$110="acoes"))*Inputs!$B$1+((Inputs!$G$5:$G$110&lt;&gt;"moeda")*(Inputs!$G$5:$G$110&lt;&gt;"acoes")))*INDEX(Inputs!$K$5:$AJ$110,0,MATCH(K$2,Inputs!$K$4:$AJ$4,0)))+SUMPRODUCT((Inputs!$E$5:$E$110=$B30)*Inputs!$F$5:$F$110*(((Inputs!$G$5:$G$110="moeda")+(Inputs!$G$5:$G$110="acoes"))*Inputs!$B$1+((Inputs!$G$5:$G$110&lt;&gt;"moeda")*(Inputs!$G$5:$G$110&lt;&gt;"acoes")))*INDEX(Inputs!$K$5:$AJ$110,0,MATCH(K$2,Inputs!$K$4:$AJ$4,0)))))</f>
        <v>1025</v>
      </c>
      <c r="L30" s="6">
        <f>IF(ISNA(MATCH(L$2,Inputs!$K$4:$AJ$4,0)),NA(),IF(SUMPRODUCT((Inputs!$A$5:$A$110=$B30)*ISNUMBER(INDEX(Inputs!$K$5:$AJ$110,0,MATCH(L$2,Inputs!$K$4:$AJ$4,0))))+SUMPRODUCT((Inputs!$C$5:$C$110=$B30)*ISNUMBER(INDEX(Inputs!$K$5:$AJ$110,0,MATCH(L$2,Inputs!$K$4:$AJ$4,0))))+SUMPRODUCT((Inputs!$E$5:$E$110=$B30)*ISNUMBER(INDEX(Inputs!$K$5:$AJ$110,0,MATCH(L$2,Inputs!$K$4:$AJ$4,0))))=0,NA(),SUMPRODUCT((Inputs!$A$5:$A$110=$B30)*Inputs!$B$5:$B$110*(((Inputs!$G$5:$G$110="moeda")+(Inputs!$G$5:$G$110="acoes"))*Inputs!$B$1+((Inputs!$G$5:$G$110&lt;&gt;"moeda")*(Inputs!$G$5:$G$110&lt;&gt;"acoes")))*INDEX(Inputs!$K$5:$AJ$110,0,MATCH(L$2,Inputs!$K$4:$AJ$4,0)))+SUMPRODUCT((Inputs!$C$5:$C$110=$B30)*Inputs!$D$5:$D$110*(((Inputs!$G$5:$G$110="moeda")+(Inputs!$G$5:$G$110="acoes"))*Inputs!$B$1+((Inputs!$G$5:$G$110&lt;&gt;"moeda")*(Inputs!$G$5:$G$110&lt;&gt;"acoes")))*INDEX(Inputs!$K$5:$AJ$110,0,MATCH(L$2,Inputs!$K$4:$AJ$4,0)))+SUMPRODUCT((Inputs!$E$5:$E$110=$B30)*Inputs!$F$5:$F$110*(((Inputs!$G$5:$G$110="moeda")+(Inputs!$G$5:$G$110="acoes"))*Inputs!$B$1+((Inputs!$G$5:$G$110&lt;&gt;"moeda")*(Inputs!$G$5:$G$110&lt;&gt;"acoes")))*INDEX(Inputs!$K$5:$AJ$110,0,MATCH(L$2,Inputs!$K$4:$AJ$4,0)))))</f>
        <v>0</v>
      </c>
      <c r="M30" s="3">
        <f>L30</f>
        <v>0</v>
      </c>
      <c r="N30" s="6">
        <f>IF(ISNA(MATCH(N$2,Inputs!$K$4:$AJ$4,0)),NA(),IF(SUMPRODUCT((Inputs!$A$5:$A$110=$B30)*ISNUMBER(INDEX(Inputs!$K$5:$AJ$110,0,MATCH(N$2,Inputs!$K$4:$AJ$4,0))))+SUMPRODUCT((Inputs!$C$5:$C$110=$B30)*ISNUMBER(INDEX(Inputs!$K$5:$AJ$110,0,MATCH(N$2,Inputs!$K$4:$AJ$4,0))))+SUMPRODUCT((Inputs!$E$5:$E$110=$B30)*ISNUMBER(INDEX(Inputs!$K$5:$AJ$110,0,MATCH(N$2,Inputs!$K$4:$AJ$4,0))))=0,NA(),SUMPRODUCT((Inputs!$A$5:$A$110=$B30)*Inputs!$B$5:$B$110*(((Inputs!$G$5:$G$110="moeda")+(Inputs!$G$5:$G$110="acoes"))*Inputs!$B$1+((Inputs!$G$5:$G$110&lt;&gt;"moeda")*(Inputs!$G$5:$G$110&lt;&gt;"acoes")))*INDEX(Inputs!$K$5:$AJ$110,0,MATCH(N$2,Inputs!$K$4:$AJ$4,0)))+SUMPRODUCT((Inputs!$C$5:$C$110=$B30)*Inputs!$D$5:$D$110*(((Inputs!$G$5:$G$110="moeda")+(Inputs!$G$5:$G$110="acoes"))*Inputs!$B$1+((Inputs!$G$5:$G$110&lt;&gt;"moeda")*(Inputs!$G$5:$G$110&lt;&gt;"acoes")))*INDEX(Inputs!$K$5:$AJ$110,0,MATCH(N$2,Inputs!$K$4:$AJ$4,0)))+SUMPRODUCT((Inputs!$E$5:$E$110=$B30)*Inputs!$F$5:$F$110*(((Inputs!$G$5:$G$110="moeda")+(Inputs!$G$5:$G$110="acoes"))*Inputs!$B$1+((Inputs!$G$5:$G$110&lt;&gt;"moeda")*(Inputs!$G$5:$G$110&lt;&gt;"acoes")))*INDEX(Inputs!$K$5:$AJ$110,0,MATCH(N$2,Inputs!$K$4:$AJ$4,0)))))</f>
        <v>0</v>
      </c>
      <c r="O30" s="6">
        <f>IF(ISNA(MATCH(O$2,Inputs!$K$4:$AJ$4,0)),NA(),IF(SUMPRODUCT((Inputs!$A$5:$A$110=$B30)*ISNUMBER(INDEX(Inputs!$K$5:$AJ$110,0,MATCH(O$2,Inputs!$K$4:$AJ$4,0))))+SUMPRODUCT((Inputs!$C$5:$C$110=$B30)*ISNUMBER(INDEX(Inputs!$K$5:$AJ$110,0,MATCH(O$2,Inputs!$K$4:$AJ$4,0))))+SUMPRODUCT((Inputs!$E$5:$E$110=$B30)*ISNUMBER(INDEX(Inputs!$K$5:$AJ$110,0,MATCH(O$2,Inputs!$K$4:$AJ$4,0))))=0,NA(),SUMPRODUCT((Inputs!$A$5:$A$110=$B30)*Inputs!$B$5:$B$110*(((Inputs!$G$5:$G$110="moeda")+(Inputs!$G$5:$G$110="acoes"))*Inputs!$B$1+((Inputs!$G$5:$G$110&lt;&gt;"moeda")*(Inputs!$G$5:$G$110&lt;&gt;"acoes")))*INDEX(Inputs!$K$5:$AJ$110,0,MATCH(O$2,Inputs!$K$4:$AJ$4,0)))+SUMPRODUCT((Inputs!$C$5:$C$110=$B30)*Inputs!$D$5:$D$110*(((Inputs!$G$5:$G$110="moeda")+(Inputs!$G$5:$G$110="acoes"))*Inputs!$B$1+((Inputs!$G$5:$G$110&lt;&gt;"moeda")*(Inputs!$G$5:$G$110&lt;&gt;"acoes")))*INDEX(Inputs!$K$5:$AJ$110,0,MATCH(O$2,Inputs!$K$4:$AJ$4,0)))+SUMPRODUCT((Inputs!$E$5:$E$110=$B30)*Inputs!$F$5:$F$110*(((Inputs!$G$5:$G$110="moeda")+(Inputs!$G$5:$G$110="acoes"))*Inputs!$B$1+((Inputs!$G$5:$G$110&lt;&gt;"moeda")*(Inputs!$G$5:$G$110&lt;&gt;"acoes")))*INDEX(Inputs!$K$5:$AJ$110,0,MATCH(O$2,Inputs!$K$4:$AJ$4,0)))))</f>
        <v>0</v>
      </c>
      <c r="P30" s="6">
        <f>IF(ISNA(MATCH(P$2,Inputs!$K$4:$AJ$4,0)),NA(),IF(SUMPRODUCT((Inputs!$A$5:$A$110=$B30)*ISNUMBER(INDEX(Inputs!$K$5:$AJ$110,0,MATCH(P$2,Inputs!$K$4:$AJ$4,0))))+SUMPRODUCT((Inputs!$C$5:$C$110=$B30)*ISNUMBER(INDEX(Inputs!$K$5:$AJ$110,0,MATCH(P$2,Inputs!$K$4:$AJ$4,0))))+SUMPRODUCT((Inputs!$E$5:$E$110=$B30)*ISNUMBER(INDEX(Inputs!$K$5:$AJ$110,0,MATCH(P$2,Inputs!$K$4:$AJ$4,0))))=0,NA(),SUMPRODUCT((Inputs!$A$5:$A$110=$B30)*Inputs!$B$5:$B$110*(((Inputs!$G$5:$G$110="moeda")+(Inputs!$G$5:$G$110="acoes"))*Inputs!$B$1+((Inputs!$G$5:$G$110&lt;&gt;"moeda")*(Inputs!$G$5:$G$110&lt;&gt;"acoes")))*INDEX(Inputs!$K$5:$AJ$110,0,MATCH(P$2,Inputs!$K$4:$AJ$4,0)))+SUMPRODUCT((Inputs!$C$5:$C$110=$B30)*Inputs!$D$5:$D$110*(((Inputs!$G$5:$G$110="moeda")+(Inputs!$G$5:$G$110="acoes"))*Inputs!$B$1+((Inputs!$G$5:$G$110&lt;&gt;"moeda")*(Inputs!$G$5:$G$110&lt;&gt;"acoes")))*INDEX(Inputs!$K$5:$AJ$110,0,MATCH(P$2,Inputs!$K$4:$AJ$4,0)))+SUMPRODUCT((Inputs!$E$5:$E$110=$B30)*Inputs!$F$5:$F$110*(((Inputs!$G$5:$G$110="moeda")+(Inputs!$G$5:$G$110="acoes"))*Inputs!$B$1+((Inputs!$G$5:$G$110&lt;&gt;"moeda")*(Inputs!$G$5:$G$110&lt;&gt;"acoes")))*INDEX(Inputs!$K$5:$AJ$110,0,MATCH(P$2,Inputs!$K$4:$AJ$4,0)))))</f>
        <v>0</v>
      </c>
      <c r="Q30" s="6">
        <f>IF(ISNA(MATCH(Q$2,Inputs!$K$4:$AJ$4,0)),NA(),IF(SUMPRODUCT((Inputs!$A$5:$A$110=$B30)*ISNUMBER(INDEX(Inputs!$K$5:$AJ$110,0,MATCH(Q$2,Inputs!$K$4:$AJ$4,0))))+SUMPRODUCT((Inputs!$C$5:$C$110=$B30)*ISNUMBER(INDEX(Inputs!$K$5:$AJ$110,0,MATCH(Q$2,Inputs!$K$4:$AJ$4,0))))+SUMPRODUCT((Inputs!$E$5:$E$110=$B30)*ISNUMBER(INDEX(Inputs!$K$5:$AJ$110,0,MATCH(Q$2,Inputs!$K$4:$AJ$4,0))))=0,NA(),SUMPRODUCT((Inputs!$A$5:$A$110=$B30)*Inputs!$B$5:$B$110*(((Inputs!$G$5:$G$110="moeda")+(Inputs!$G$5:$G$110="acoes"))*Inputs!$B$1+((Inputs!$G$5:$G$110&lt;&gt;"moeda")*(Inputs!$G$5:$G$110&lt;&gt;"acoes")))*INDEX(Inputs!$K$5:$AJ$110,0,MATCH(Q$2,Inputs!$K$4:$AJ$4,0)))+SUMPRODUCT((Inputs!$C$5:$C$110=$B30)*Inputs!$D$5:$D$110*(((Inputs!$G$5:$G$110="moeda")+(Inputs!$G$5:$G$110="acoes"))*Inputs!$B$1+((Inputs!$G$5:$G$110&lt;&gt;"moeda")*(Inputs!$G$5:$G$110&lt;&gt;"acoes")))*INDEX(Inputs!$K$5:$AJ$110,0,MATCH(Q$2,Inputs!$K$4:$AJ$4,0)))+SUMPRODUCT((Inputs!$E$5:$E$110=$B30)*Inputs!$F$5:$F$110*(((Inputs!$G$5:$G$110="moeda")+(Inputs!$G$5:$G$110="acoes"))*Inputs!$B$1+((Inputs!$G$5:$G$110&lt;&gt;"moeda")*(Inputs!$G$5:$G$110&lt;&gt;"acoes")))*INDEX(Inputs!$K$5:$AJ$110,0,MATCH(Q$2,Inputs!$K$4:$AJ$4,0)))))</f>
        <v>0</v>
      </c>
      <c r="R30" s="3">
        <f>Q30</f>
        <v>0</v>
      </c>
      <c r="S30" s="6">
        <f>IF(ISNA(MATCH(S$2,Inputs!$K$4:$AJ$4,0)),NA(),IF(SUMPRODUCT((Inputs!$A$5:$A$110=$B30)*ISNUMBER(INDEX(Inputs!$K$5:$AJ$110,0,MATCH(S$2,Inputs!$K$4:$AJ$4,0))))+SUMPRODUCT((Inputs!$C$5:$C$110=$B30)*ISNUMBER(INDEX(Inputs!$K$5:$AJ$110,0,MATCH(S$2,Inputs!$K$4:$AJ$4,0))))+SUMPRODUCT((Inputs!$E$5:$E$110=$B30)*ISNUMBER(INDEX(Inputs!$K$5:$AJ$110,0,MATCH(S$2,Inputs!$K$4:$AJ$4,0))))=0,NA(),SUMPRODUCT((Inputs!$A$5:$A$110=$B30)*Inputs!$B$5:$B$110*(((Inputs!$G$5:$G$110="moeda")+(Inputs!$G$5:$G$110="acoes"))*Inputs!$B$1+((Inputs!$G$5:$G$110&lt;&gt;"moeda")*(Inputs!$G$5:$G$110&lt;&gt;"acoes")))*INDEX(Inputs!$K$5:$AJ$110,0,MATCH(S$2,Inputs!$K$4:$AJ$4,0)))+SUMPRODUCT((Inputs!$C$5:$C$110=$B30)*Inputs!$D$5:$D$110*(((Inputs!$G$5:$G$110="moeda")+(Inputs!$G$5:$G$110="acoes"))*Inputs!$B$1+((Inputs!$G$5:$G$110&lt;&gt;"moeda")*(Inputs!$G$5:$G$110&lt;&gt;"acoes")))*INDEX(Inputs!$K$5:$AJ$110,0,MATCH(S$2,Inputs!$K$4:$AJ$4,0)))+SUMPRODUCT((Inputs!$E$5:$E$110=$B30)*Inputs!$F$5:$F$110*(((Inputs!$G$5:$G$110="moeda")+(Inputs!$G$5:$G$110="acoes"))*Inputs!$B$1+((Inputs!$G$5:$G$110&lt;&gt;"moeda")*(Inputs!$G$5:$G$110&lt;&gt;"acoes")))*INDEX(Inputs!$K$5:$AJ$110,0,MATCH(S$2,Inputs!$K$4:$AJ$4,0)))))</f>
        <v>0</v>
      </c>
      <c r="T30" s="6">
        <f>IF(ISNA(MATCH(T$2,Inputs!$K$4:$AJ$4,0)),NA(),IF(SUMPRODUCT((Inputs!$A$5:$A$110=$B30)*ISNUMBER(INDEX(Inputs!$K$5:$AJ$110,0,MATCH(T$2,Inputs!$K$4:$AJ$4,0))))+SUMPRODUCT((Inputs!$C$5:$C$110=$B30)*ISNUMBER(INDEX(Inputs!$K$5:$AJ$110,0,MATCH(T$2,Inputs!$K$4:$AJ$4,0))))+SUMPRODUCT((Inputs!$E$5:$E$110=$B30)*ISNUMBER(INDEX(Inputs!$K$5:$AJ$110,0,MATCH(T$2,Inputs!$K$4:$AJ$4,0))))=0,NA(),SUMPRODUCT((Inputs!$A$5:$A$110=$B30)*Inputs!$B$5:$B$110*(((Inputs!$G$5:$G$110="moeda")+(Inputs!$G$5:$G$110="acoes"))*Inputs!$B$1+((Inputs!$G$5:$G$110&lt;&gt;"moeda")*(Inputs!$G$5:$G$110&lt;&gt;"acoes")))*INDEX(Inputs!$K$5:$AJ$110,0,MATCH(T$2,Inputs!$K$4:$AJ$4,0)))+SUMPRODUCT((Inputs!$C$5:$C$110=$B30)*Inputs!$D$5:$D$110*(((Inputs!$G$5:$G$110="moeda")+(Inputs!$G$5:$G$110="acoes"))*Inputs!$B$1+((Inputs!$G$5:$G$110&lt;&gt;"moeda")*(Inputs!$G$5:$G$110&lt;&gt;"acoes")))*INDEX(Inputs!$K$5:$AJ$110,0,MATCH(T$2,Inputs!$K$4:$AJ$4,0)))+SUMPRODUCT((Inputs!$E$5:$E$110=$B30)*Inputs!$F$5:$F$110*(((Inputs!$G$5:$G$110="moeda")+(Inputs!$G$5:$G$110="acoes"))*Inputs!$B$1+((Inputs!$G$5:$G$110&lt;&gt;"moeda")*(Inputs!$G$5:$G$110&lt;&gt;"acoes")))*INDEX(Inputs!$K$5:$AJ$110,0,MATCH(T$2,Inputs!$K$4:$AJ$4,0)))))</f>
        <v>0</v>
      </c>
      <c r="U30" s="6">
        <f>IF(ISNA(MATCH(U$2,Inputs!$K$4:$AJ$4,0)),NA(),IF(SUMPRODUCT((Inputs!$A$5:$A$110=$B30)*ISNUMBER(INDEX(Inputs!$K$5:$AJ$110,0,MATCH(U$2,Inputs!$K$4:$AJ$4,0))))+SUMPRODUCT((Inputs!$C$5:$C$110=$B30)*ISNUMBER(INDEX(Inputs!$K$5:$AJ$110,0,MATCH(U$2,Inputs!$K$4:$AJ$4,0))))+SUMPRODUCT((Inputs!$E$5:$E$110=$B30)*ISNUMBER(INDEX(Inputs!$K$5:$AJ$110,0,MATCH(U$2,Inputs!$K$4:$AJ$4,0))))=0,NA(),SUMPRODUCT((Inputs!$A$5:$A$110=$B30)*Inputs!$B$5:$B$110*(((Inputs!$G$5:$G$110="moeda")+(Inputs!$G$5:$G$110="acoes"))*Inputs!$B$1+((Inputs!$G$5:$G$110&lt;&gt;"moeda")*(Inputs!$G$5:$G$110&lt;&gt;"acoes")))*INDEX(Inputs!$K$5:$AJ$110,0,MATCH(U$2,Inputs!$K$4:$AJ$4,0)))+SUMPRODUCT((Inputs!$C$5:$C$110=$B30)*Inputs!$D$5:$D$110*(((Inputs!$G$5:$G$110="moeda")+(Inputs!$G$5:$G$110="acoes"))*Inputs!$B$1+((Inputs!$G$5:$G$110&lt;&gt;"moeda")*(Inputs!$G$5:$G$110&lt;&gt;"acoes")))*INDEX(Inputs!$K$5:$AJ$110,0,MATCH(U$2,Inputs!$K$4:$AJ$4,0)))+SUMPRODUCT((Inputs!$E$5:$E$110=$B30)*Inputs!$F$5:$F$110*(((Inputs!$G$5:$G$110="moeda")+(Inputs!$G$5:$G$110="acoes"))*Inputs!$B$1+((Inputs!$G$5:$G$110&lt;&gt;"moeda")*(Inputs!$G$5:$G$110&lt;&gt;"acoes")))*INDEX(Inputs!$K$5:$AJ$110,0,MATCH(U$2,Inputs!$K$4:$AJ$4,0)))))</f>
        <v>0</v>
      </c>
      <c r="V30" s="6">
        <f>IF(ISNA(MATCH(V$2,Inputs!$K$4:$AJ$4,0)),NA(),IF(SUMPRODUCT((Inputs!$A$5:$A$110=$B30)*ISNUMBER(INDEX(Inputs!$K$5:$AJ$110,0,MATCH(V$2,Inputs!$K$4:$AJ$4,0))))+SUMPRODUCT((Inputs!$C$5:$C$110=$B30)*ISNUMBER(INDEX(Inputs!$K$5:$AJ$110,0,MATCH(V$2,Inputs!$K$4:$AJ$4,0))))+SUMPRODUCT((Inputs!$E$5:$E$110=$B30)*ISNUMBER(INDEX(Inputs!$K$5:$AJ$110,0,MATCH(V$2,Inputs!$K$4:$AJ$4,0))))=0,NA(),SUMPRODUCT((Inputs!$A$5:$A$110=$B30)*Inputs!$B$5:$B$110*(((Inputs!$G$5:$G$110="moeda")+(Inputs!$G$5:$G$110="acoes"))*Inputs!$B$1+((Inputs!$G$5:$G$110&lt;&gt;"moeda")*(Inputs!$G$5:$G$110&lt;&gt;"acoes")))*INDEX(Inputs!$K$5:$AJ$110,0,MATCH(V$2,Inputs!$K$4:$AJ$4,0)))+SUMPRODUCT((Inputs!$C$5:$C$110=$B30)*Inputs!$D$5:$D$110*(((Inputs!$G$5:$G$110="moeda")+(Inputs!$G$5:$G$110="acoes"))*Inputs!$B$1+((Inputs!$G$5:$G$110&lt;&gt;"moeda")*(Inputs!$G$5:$G$110&lt;&gt;"acoes")))*INDEX(Inputs!$K$5:$AJ$110,0,MATCH(V$2,Inputs!$K$4:$AJ$4,0)))+SUMPRODUCT((Inputs!$E$5:$E$110=$B30)*Inputs!$F$5:$F$110*(((Inputs!$G$5:$G$110="moeda")+(Inputs!$G$5:$G$110="acoes"))*Inputs!$B$1+((Inputs!$G$5:$G$110&lt;&gt;"moeda")*(Inputs!$G$5:$G$110&lt;&gt;"acoes")))*INDEX(Inputs!$K$5:$AJ$110,0,MATCH(V$2,Inputs!$K$4:$AJ$4,0)))))</f>
        <v>0</v>
      </c>
      <c r="W30" s="3">
        <f>V30</f>
        <v>0</v>
      </c>
      <c r="X30" s="6">
        <f>IF(ISNA(MATCH(X$2,Inputs!$K$4:$AJ$4,0)),NA(),IF(SUMPRODUCT((Inputs!$A$5:$A$110=$B30)*ISNUMBER(INDEX(Inputs!$K$5:$AJ$110,0,MATCH(X$2,Inputs!$K$4:$AJ$4,0))))+SUMPRODUCT((Inputs!$C$5:$C$110=$B30)*ISNUMBER(INDEX(Inputs!$K$5:$AJ$110,0,MATCH(X$2,Inputs!$K$4:$AJ$4,0))))+SUMPRODUCT((Inputs!$E$5:$E$110=$B30)*ISNUMBER(INDEX(Inputs!$K$5:$AJ$110,0,MATCH(X$2,Inputs!$K$4:$AJ$4,0))))=0,NA(),SUMPRODUCT((Inputs!$A$5:$A$110=$B30)*Inputs!$B$5:$B$110*(((Inputs!$G$5:$G$110="moeda")+(Inputs!$G$5:$G$110="acoes"))*Inputs!$B$1+((Inputs!$G$5:$G$110&lt;&gt;"moeda")*(Inputs!$G$5:$G$110&lt;&gt;"acoes")))*INDEX(Inputs!$K$5:$AJ$110,0,MATCH(X$2,Inputs!$K$4:$AJ$4,0)))+SUMPRODUCT((Inputs!$C$5:$C$110=$B30)*Inputs!$D$5:$D$110*(((Inputs!$G$5:$G$110="moeda")+(Inputs!$G$5:$G$110="acoes"))*Inputs!$B$1+((Inputs!$G$5:$G$110&lt;&gt;"moeda")*(Inputs!$G$5:$G$110&lt;&gt;"acoes")))*INDEX(Inputs!$K$5:$AJ$110,0,MATCH(X$2,Inputs!$K$4:$AJ$4,0)))+SUMPRODUCT((Inputs!$E$5:$E$110=$B30)*Inputs!$F$5:$F$110*(((Inputs!$G$5:$G$110="moeda")+(Inputs!$G$5:$G$110="acoes"))*Inputs!$B$1+((Inputs!$G$5:$G$110&lt;&gt;"moeda")*(Inputs!$G$5:$G$110&lt;&gt;"acoes")))*INDEX(Inputs!$K$5:$AJ$110,0,MATCH(X$2,Inputs!$K$4:$AJ$4,0)))))</f>
        <v>0</v>
      </c>
      <c r="Y30" s="6">
        <f>IF(ISNA(MATCH(Y$2,Inputs!$K$4:$AJ$4,0)),NA(),IF(SUMPRODUCT((Inputs!$A$5:$A$110=$B30)*ISNUMBER(INDEX(Inputs!$K$5:$AJ$110,0,MATCH(Y$2,Inputs!$K$4:$AJ$4,0))))+SUMPRODUCT((Inputs!$C$5:$C$110=$B30)*ISNUMBER(INDEX(Inputs!$K$5:$AJ$110,0,MATCH(Y$2,Inputs!$K$4:$AJ$4,0))))+SUMPRODUCT((Inputs!$E$5:$E$110=$B30)*ISNUMBER(INDEX(Inputs!$K$5:$AJ$110,0,MATCH(Y$2,Inputs!$K$4:$AJ$4,0))))=0,NA(),SUMPRODUCT((Inputs!$A$5:$A$110=$B30)*Inputs!$B$5:$B$110*(((Inputs!$G$5:$G$110="moeda")+(Inputs!$G$5:$G$110="acoes"))*Inputs!$B$1+((Inputs!$G$5:$G$110&lt;&gt;"moeda")*(Inputs!$G$5:$G$110&lt;&gt;"acoes")))*INDEX(Inputs!$K$5:$AJ$110,0,MATCH(Y$2,Inputs!$K$4:$AJ$4,0)))+SUMPRODUCT((Inputs!$C$5:$C$110=$B30)*Inputs!$D$5:$D$110*(((Inputs!$G$5:$G$110="moeda")+(Inputs!$G$5:$G$110="acoes"))*Inputs!$B$1+((Inputs!$G$5:$G$110&lt;&gt;"moeda")*(Inputs!$G$5:$G$110&lt;&gt;"acoes")))*INDEX(Inputs!$K$5:$AJ$110,0,MATCH(Y$2,Inputs!$K$4:$AJ$4,0)))+SUMPRODUCT((Inputs!$E$5:$E$110=$B30)*Inputs!$F$5:$F$110*(((Inputs!$G$5:$G$110="moeda")+(Inputs!$G$5:$G$110="acoes"))*Inputs!$B$1+((Inputs!$G$5:$G$110&lt;&gt;"moeda")*(Inputs!$G$5:$G$110&lt;&gt;"acoes")))*INDEX(Inputs!$K$5:$AJ$110,0,MATCH(Y$2,Inputs!$K$4:$AJ$4,0)))))</f>
        <v>0</v>
      </c>
      <c r="Z30" s="6">
        <f>IF(ISNA(MATCH(Z$2,Inputs!$K$4:$AJ$4,0)),NA(),IF(SUMPRODUCT((Inputs!$A$5:$A$110=$B30)*ISNUMBER(INDEX(Inputs!$K$5:$AJ$110,0,MATCH(Z$2,Inputs!$K$4:$AJ$4,0))))+SUMPRODUCT((Inputs!$C$5:$C$110=$B30)*ISNUMBER(INDEX(Inputs!$K$5:$AJ$110,0,MATCH(Z$2,Inputs!$K$4:$AJ$4,0))))+SUMPRODUCT((Inputs!$E$5:$E$110=$B30)*ISNUMBER(INDEX(Inputs!$K$5:$AJ$110,0,MATCH(Z$2,Inputs!$K$4:$AJ$4,0))))=0,NA(),SUMPRODUCT((Inputs!$A$5:$A$110=$B30)*Inputs!$B$5:$B$110*(((Inputs!$G$5:$G$110="moeda")+(Inputs!$G$5:$G$110="acoes"))*Inputs!$B$1+((Inputs!$G$5:$G$110&lt;&gt;"moeda")*(Inputs!$G$5:$G$110&lt;&gt;"acoes")))*INDEX(Inputs!$K$5:$AJ$110,0,MATCH(Z$2,Inputs!$K$4:$AJ$4,0)))+SUMPRODUCT((Inputs!$C$5:$C$110=$B30)*Inputs!$D$5:$D$110*(((Inputs!$G$5:$G$110="moeda")+(Inputs!$G$5:$G$110="acoes"))*Inputs!$B$1+((Inputs!$G$5:$G$110&lt;&gt;"moeda")*(Inputs!$G$5:$G$110&lt;&gt;"acoes")))*INDEX(Inputs!$K$5:$AJ$110,0,MATCH(Z$2,Inputs!$K$4:$AJ$4,0)))+SUMPRODUCT((Inputs!$E$5:$E$110=$B30)*Inputs!$F$5:$F$110*(((Inputs!$G$5:$G$110="moeda")+(Inputs!$G$5:$G$110="acoes"))*Inputs!$B$1+((Inputs!$G$5:$G$110&lt;&gt;"moeda")*(Inputs!$G$5:$G$110&lt;&gt;"acoes")))*INDEX(Inputs!$K$5:$AJ$110,0,MATCH(Z$2,Inputs!$K$4:$AJ$4,0)))))</f>
        <v>0</v>
      </c>
      <c r="AA30" s="6">
        <f>IF(ISNA(MATCH(AA$2,Inputs!$K$4:$AJ$4,0)),NA(),IF(SUMPRODUCT((Inputs!$A$5:$A$110=$B30)*ISNUMBER(INDEX(Inputs!$K$5:$AJ$110,0,MATCH(AA$2,Inputs!$K$4:$AJ$4,0))))+SUMPRODUCT((Inputs!$C$5:$C$110=$B30)*ISNUMBER(INDEX(Inputs!$K$5:$AJ$110,0,MATCH(AA$2,Inputs!$K$4:$AJ$4,0))))+SUMPRODUCT((Inputs!$E$5:$E$110=$B30)*ISNUMBER(INDEX(Inputs!$K$5:$AJ$110,0,MATCH(AA$2,Inputs!$K$4:$AJ$4,0))))=0,NA(),SUMPRODUCT((Inputs!$A$5:$A$110=$B30)*Inputs!$B$5:$B$110*(((Inputs!$G$5:$G$110="moeda")+(Inputs!$G$5:$G$110="acoes"))*Inputs!$B$1+((Inputs!$G$5:$G$110&lt;&gt;"moeda")*(Inputs!$G$5:$G$110&lt;&gt;"acoes")))*INDEX(Inputs!$K$5:$AJ$110,0,MATCH(AA$2,Inputs!$K$4:$AJ$4,0)))+SUMPRODUCT((Inputs!$C$5:$C$110=$B30)*Inputs!$D$5:$D$110*(((Inputs!$G$5:$G$110="moeda")+(Inputs!$G$5:$G$110="acoes"))*Inputs!$B$1+((Inputs!$G$5:$G$110&lt;&gt;"moeda")*(Inputs!$G$5:$G$110&lt;&gt;"acoes")))*INDEX(Inputs!$K$5:$AJ$110,0,MATCH(AA$2,Inputs!$K$4:$AJ$4,0)))+SUMPRODUCT((Inputs!$E$5:$E$110=$B30)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0" s="3">
        <f>AA30</f>
        <v>0</v>
      </c>
      <c r="AC30" s="6">
        <f>IF(ISNA(MATCH(AC$2,Inputs!$K$4:$AJ$4,0)),NA(),IF(SUMPRODUCT((Inputs!$A$5:$A$110=$B30)*ISNUMBER(INDEX(Inputs!$K$5:$AJ$110,0,MATCH(AC$2,Inputs!$K$4:$AJ$4,0))))+SUMPRODUCT((Inputs!$C$5:$C$110=$B30)*ISNUMBER(INDEX(Inputs!$K$5:$AJ$110,0,MATCH(AC$2,Inputs!$K$4:$AJ$4,0))))+SUMPRODUCT((Inputs!$E$5:$E$110=$B30)*ISNUMBER(INDEX(Inputs!$K$5:$AJ$110,0,MATCH(AC$2,Inputs!$K$4:$AJ$4,0))))=0,NA(),SUMPRODUCT((Inputs!$A$5:$A$110=$B30)*Inputs!$B$5:$B$110*(((Inputs!$G$5:$G$110="moeda")+(Inputs!$G$5:$G$110="acoes"))*Inputs!$B$1+((Inputs!$G$5:$G$110&lt;&gt;"moeda")*(Inputs!$G$5:$G$110&lt;&gt;"acoes")))*INDEX(Inputs!$K$5:$AJ$110,0,MATCH(AC$2,Inputs!$K$4:$AJ$4,0)))+SUMPRODUCT((Inputs!$C$5:$C$110=$B30)*Inputs!$D$5:$D$110*(((Inputs!$G$5:$G$110="moeda")+(Inputs!$G$5:$G$110="acoes"))*Inputs!$B$1+((Inputs!$G$5:$G$110&lt;&gt;"moeda")*(Inputs!$G$5:$G$110&lt;&gt;"acoes")))*INDEX(Inputs!$K$5:$AJ$110,0,MATCH(AC$2,Inputs!$K$4:$AJ$4,0)))+SUMPRODUCT((Inputs!$E$5:$E$110=$B30)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0" s="6">
        <f>IF(ISNA(MATCH(AD$2,Inputs!$K$4:$AJ$4,0)),NA(),IF(SUMPRODUCT((Inputs!$A$5:$A$110=$B30)*ISNUMBER(INDEX(Inputs!$K$5:$AJ$110,0,MATCH(AD$2,Inputs!$K$4:$AJ$4,0))))+SUMPRODUCT((Inputs!$C$5:$C$110=$B30)*ISNUMBER(INDEX(Inputs!$K$5:$AJ$110,0,MATCH(AD$2,Inputs!$K$4:$AJ$4,0))))+SUMPRODUCT((Inputs!$E$5:$E$110=$B30)*ISNUMBER(INDEX(Inputs!$K$5:$AJ$110,0,MATCH(AD$2,Inputs!$K$4:$AJ$4,0))))=0,NA(),SUMPRODUCT((Inputs!$A$5:$A$110=$B30)*Inputs!$B$5:$B$110*(((Inputs!$G$5:$G$110="moeda")+(Inputs!$G$5:$G$110="acoes"))*Inputs!$B$1+((Inputs!$G$5:$G$110&lt;&gt;"moeda")*(Inputs!$G$5:$G$110&lt;&gt;"acoes")))*INDEX(Inputs!$K$5:$AJ$110,0,MATCH(AD$2,Inputs!$K$4:$AJ$4,0)))+SUMPRODUCT((Inputs!$C$5:$C$110=$B30)*Inputs!$D$5:$D$110*(((Inputs!$G$5:$G$110="moeda")+(Inputs!$G$5:$G$110="acoes"))*Inputs!$B$1+((Inputs!$G$5:$G$110&lt;&gt;"moeda")*(Inputs!$G$5:$G$110&lt;&gt;"acoes")))*INDEX(Inputs!$K$5:$AJ$110,0,MATCH(AD$2,Inputs!$K$4:$AJ$4,0)))+SUMPRODUCT((Inputs!$E$5:$E$110=$B30)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0" s="6" t="e">
        <f>IF(ISNA(MATCH(AE$2,Inputs!$K$4:$AJ$4,0)),NA(),IF(SUMPRODUCT((Inputs!$A$5:$A$110=$B30)*ISNUMBER(INDEX(Inputs!$K$5:$AJ$110,0,MATCH(AE$2,Inputs!$K$4:$AJ$4,0))))+SUMPRODUCT((Inputs!$C$5:$C$110=$B30)*ISNUMBER(INDEX(Inputs!$K$5:$AJ$110,0,MATCH(AE$2,Inputs!$K$4:$AJ$4,0))))+SUMPRODUCT((Inputs!$E$5:$E$110=$B30)*ISNUMBER(INDEX(Inputs!$K$5:$AJ$110,0,MATCH(AE$2,Inputs!$K$4:$AJ$4,0))))=0,NA(),SUMPRODUCT((Inputs!$A$5:$A$110=$B30)*Inputs!$B$5:$B$110*(((Inputs!$G$5:$G$110="moeda")+(Inputs!$G$5:$G$110="acoes"))*Inputs!$B$1+((Inputs!$G$5:$G$110&lt;&gt;"moeda")*(Inputs!$G$5:$G$110&lt;&gt;"acoes")))*INDEX(Inputs!$K$5:$AJ$110,0,MATCH(AE$2,Inputs!$K$4:$AJ$4,0)))+SUMPRODUCT((Inputs!$C$5:$C$110=$B30)*Inputs!$D$5:$D$110*(((Inputs!$G$5:$G$110="moeda")+(Inputs!$G$5:$G$110="acoes"))*Inputs!$B$1+((Inputs!$G$5:$G$110&lt;&gt;"moeda")*(Inputs!$G$5:$G$110&lt;&gt;"acoes")))*INDEX(Inputs!$K$5:$AJ$110,0,MATCH(AE$2,Inputs!$K$4:$AJ$4,0)))+SUMPRODUCT((Inputs!$E$5:$E$110=$B30)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0" s="6" t="e">
        <f>IF(ISNA(MATCH(AF$2,Inputs!$K$4:$AJ$4,0)),NA(),IF(SUMPRODUCT((Inputs!$A$5:$A$110=$B30)*ISNUMBER(INDEX(Inputs!$K$5:$AJ$110,0,MATCH(AF$2,Inputs!$K$4:$AJ$4,0))))+SUMPRODUCT((Inputs!$C$5:$C$110=$B30)*ISNUMBER(INDEX(Inputs!$K$5:$AJ$110,0,MATCH(AF$2,Inputs!$K$4:$AJ$4,0))))+SUMPRODUCT((Inputs!$E$5:$E$110=$B30)*ISNUMBER(INDEX(Inputs!$K$5:$AJ$110,0,MATCH(AF$2,Inputs!$K$4:$AJ$4,0))))=0,NA(),SUMPRODUCT((Inputs!$A$5:$A$110=$B30)*Inputs!$B$5:$B$110*(((Inputs!$G$5:$G$110="moeda")+(Inputs!$G$5:$G$110="acoes"))*Inputs!$B$1+((Inputs!$G$5:$G$110&lt;&gt;"moeda")*(Inputs!$G$5:$G$110&lt;&gt;"acoes")))*INDEX(Inputs!$K$5:$AJ$110,0,MATCH(AF$2,Inputs!$K$4:$AJ$4,0)))+SUMPRODUCT((Inputs!$C$5:$C$110=$B30)*Inputs!$D$5:$D$110*(((Inputs!$G$5:$G$110="moeda")+(Inputs!$G$5:$G$110="acoes"))*Inputs!$B$1+((Inputs!$G$5:$G$110&lt;&gt;"moeda")*(Inputs!$G$5:$G$110&lt;&gt;"acoes")))*INDEX(Inputs!$K$5:$AJ$110,0,MATCH(AF$2,Inputs!$K$4:$AJ$4,0)))+SUMPRODUCT((Inputs!$E$5:$E$110=$B30)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0" s="3" t="e">
        <f>AF30</f>
        <v>#N/A</v>
      </c>
      <c r="AH30" s="6">
        <f>IF(ISNA(MATCH(AH$2,Inputs!$K$4:$AJ$4,0)),NA(),IF(SUMPRODUCT((Inputs!$A$5:$A$110=$B30)*ISNUMBER(INDEX(Inputs!$K$5:$AJ$110,0,MATCH(AH$2,Inputs!$K$4:$AJ$4,0))))+SUMPRODUCT((Inputs!$C$5:$C$110=$B30)*ISNUMBER(INDEX(Inputs!$K$5:$AJ$110,0,MATCH(AH$2,Inputs!$K$4:$AJ$4,0))))+SUMPRODUCT((Inputs!$E$5:$E$110=$B30)*ISNUMBER(INDEX(Inputs!$K$5:$AJ$110,0,MATCH(AH$2,Inputs!$K$4:$AJ$4,0))))=0,NA(),SUMPRODUCT((Inputs!$A$5:$A$110=$B30)*Inputs!$B$5:$B$110*(((Inputs!$G$5:$G$110="moeda")+(Inputs!$G$5:$G$110="acoes"))*Inputs!$B$1+((Inputs!$G$5:$G$110&lt;&gt;"moeda")*(Inputs!$G$5:$G$110&lt;&gt;"acoes")))*INDEX(Inputs!$K$5:$AJ$110,0,MATCH(AH$2,Inputs!$K$4:$AJ$4,0)))+SUMPRODUCT((Inputs!$C$5:$C$110=$B30)*Inputs!$D$5:$D$110*(((Inputs!$G$5:$G$110="moeda")+(Inputs!$G$5:$G$110="acoes"))*Inputs!$B$1+((Inputs!$G$5:$G$110&lt;&gt;"moeda")*(Inputs!$G$5:$G$110&lt;&gt;"acoes")))*INDEX(Inputs!$K$5:$AJ$110,0,MATCH(AH$2,Inputs!$K$4:$AJ$4,0)))+SUMPRODUCT((Inputs!$E$5:$E$110=$B30)*Inputs!$F$5:$F$110*(((Inputs!$G$5:$G$110="moeda")+(Inputs!$G$5:$G$110="acoes"))*Inputs!$B$1+((Inputs!$G$5:$G$110&lt;&gt;"moeda")*(Inputs!$G$5:$G$110&lt;&gt;"acoes")))*INDEX(Inputs!$K$5:$AJ$110,0,MATCH(AH$2,Inputs!$K$4:$AJ$4,0)))))</f>
        <v>913</v>
      </c>
      <c r="AI30" s="6">
        <f>IF(ISNA(MATCH(AI$2,Inputs!$K$4:$AJ$4,0)),NA(),IF(SUMPRODUCT((Inputs!$A$5:$A$110=$B30)*ISNUMBER(INDEX(Inputs!$K$5:$AJ$110,0,MATCH(AI$2,Inputs!$K$4:$AJ$4,0))))+SUMPRODUCT((Inputs!$C$5:$C$110=$B30)*ISNUMBER(INDEX(Inputs!$K$5:$AJ$110,0,MATCH(AI$2,Inputs!$K$4:$AJ$4,0))))+SUMPRODUCT((Inputs!$E$5:$E$110=$B30)*ISNUMBER(INDEX(Inputs!$K$5:$AJ$110,0,MATCH(AI$2,Inputs!$K$4:$AJ$4,0))))=0,NA(),SUMPRODUCT((Inputs!$A$5:$A$110=$B30)*Inputs!$B$5:$B$110*(((Inputs!$G$5:$G$110="moeda")+(Inputs!$G$5:$G$110="acoes"))*Inputs!$B$1+((Inputs!$G$5:$G$110&lt;&gt;"moeda")*(Inputs!$G$5:$G$110&lt;&gt;"acoes")))*INDEX(Inputs!$K$5:$AJ$110,0,MATCH(AI$2,Inputs!$K$4:$AJ$4,0)))+SUMPRODUCT((Inputs!$C$5:$C$110=$B30)*Inputs!$D$5:$D$110*(((Inputs!$G$5:$G$110="moeda")+(Inputs!$G$5:$G$110="acoes"))*Inputs!$B$1+((Inputs!$G$5:$G$110&lt;&gt;"moeda")*(Inputs!$G$5:$G$110&lt;&gt;"acoes")))*INDEX(Inputs!$K$5:$AJ$110,0,MATCH(AI$2,Inputs!$K$4:$AJ$4,0)))+SUMPRODUCT((Inputs!$E$5:$E$110=$B30)*Inputs!$F$5:$F$110*(((Inputs!$G$5:$G$110="moeda")+(Inputs!$G$5:$G$110="acoes"))*Inputs!$B$1+((Inputs!$G$5:$G$110&lt;&gt;"moeda")*(Inputs!$G$5:$G$110&lt;&gt;"acoes")))*INDEX(Inputs!$K$5:$AJ$110,0,MATCH(AI$2,Inputs!$K$4:$AJ$4,0)))))</f>
        <v>975</v>
      </c>
      <c r="AJ30" s="6">
        <f>IF(ISNA(MATCH(AJ$2,Inputs!$K$4:$AJ$4,0)),NA(),IF(SUMPRODUCT((Inputs!$A$5:$A$110=$B30)*ISNUMBER(INDEX(Inputs!$K$5:$AJ$110,0,MATCH(AJ$2,Inputs!$K$4:$AJ$4,0))))+SUMPRODUCT((Inputs!$C$5:$C$110=$B30)*ISNUMBER(INDEX(Inputs!$K$5:$AJ$110,0,MATCH(AJ$2,Inputs!$K$4:$AJ$4,0))))+SUMPRODUCT((Inputs!$E$5:$E$110=$B30)*ISNUMBER(INDEX(Inputs!$K$5:$AJ$110,0,MATCH(AJ$2,Inputs!$K$4:$AJ$4,0))))=0,NA(),SUMPRODUCT((Inputs!$A$5:$A$110=$B30)*Inputs!$B$5:$B$110*(((Inputs!$G$5:$G$110="moeda")+(Inputs!$G$5:$G$110="acoes"))*Inputs!$B$1+((Inputs!$G$5:$G$110&lt;&gt;"moeda")*(Inputs!$G$5:$G$110&lt;&gt;"acoes")))*INDEX(Inputs!$K$5:$AJ$110,0,MATCH(AJ$2,Inputs!$K$4:$AJ$4,0)))+SUMPRODUCT((Inputs!$C$5:$C$110=$B30)*Inputs!$D$5:$D$110*(((Inputs!$G$5:$G$110="moeda")+(Inputs!$G$5:$G$110="acoes"))*Inputs!$B$1+((Inputs!$G$5:$G$110&lt;&gt;"moeda")*(Inputs!$G$5:$G$110&lt;&gt;"acoes")))*INDEX(Inputs!$K$5:$AJ$110,0,MATCH(AJ$2,Inputs!$K$4:$AJ$4,0)))+SUMPRODUCT((Inputs!$E$5:$E$110=$B30)*Inputs!$F$5:$F$110*(((Inputs!$G$5:$G$110="moeda")+(Inputs!$G$5:$G$110="acoes"))*Inputs!$B$1+((Inputs!$G$5:$G$110&lt;&gt;"moeda")*(Inputs!$G$5:$G$110&lt;&gt;"acoes")))*INDEX(Inputs!$K$5:$AJ$110,0,MATCH(AJ$2,Inputs!$K$4:$AJ$4,0)))))</f>
        <v>1099</v>
      </c>
      <c r="AK30" s="6">
        <f>IF(ISNA(MATCH(AK$2,Inputs!$K$4:$AJ$4,0)),NA(),IF(SUMPRODUCT((Inputs!$A$5:$A$110=$B30)*ISNUMBER(INDEX(Inputs!$K$5:$AJ$110,0,MATCH(AK$2,Inputs!$K$4:$AJ$4,0))))+SUMPRODUCT((Inputs!$C$5:$C$110=$B30)*ISNUMBER(INDEX(Inputs!$K$5:$AJ$110,0,MATCH(AK$2,Inputs!$K$4:$AJ$4,0))))+SUMPRODUCT((Inputs!$E$5:$E$110=$B30)*ISNUMBER(INDEX(Inputs!$K$5:$AJ$110,0,MATCH(AK$2,Inputs!$K$4:$AJ$4,0))))=0,NA(),SUMPRODUCT((Inputs!$A$5:$A$110=$B30)*Inputs!$B$5:$B$110*(((Inputs!$G$5:$G$110="moeda")+(Inputs!$G$5:$G$110="acoes"))*Inputs!$B$1+((Inputs!$G$5:$G$110&lt;&gt;"moeda")*(Inputs!$G$5:$G$110&lt;&gt;"acoes")))*INDEX(Inputs!$K$5:$AJ$110,0,MATCH(AK$2,Inputs!$K$4:$AJ$4,0)))+SUMPRODUCT((Inputs!$C$5:$C$110=$B30)*Inputs!$D$5:$D$110*(((Inputs!$G$5:$G$110="moeda")+(Inputs!$G$5:$G$110="acoes"))*Inputs!$B$1+((Inputs!$G$5:$G$110&lt;&gt;"moeda")*(Inputs!$G$5:$G$110&lt;&gt;"acoes")))*INDEX(Inputs!$K$5:$AJ$110,0,MATCH(AK$2,Inputs!$K$4:$AJ$4,0)))+SUMPRODUCT((Inputs!$E$5:$E$110=$B30)*Inputs!$F$5:$F$110*(((Inputs!$G$5:$G$110="moeda")+(Inputs!$G$5:$G$110="acoes"))*Inputs!$B$1+((Inputs!$G$5:$G$110&lt;&gt;"moeda")*(Inputs!$G$5:$G$110&lt;&gt;"acoes")))*INDEX(Inputs!$K$5:$AJ$110,0,MATCH(AK$2,Inputs!$K$4:$AJ$4,0)))))</f>
        <v>1485</v>
      </c>
      <c r="AL30" s="3">
        <f>AK30</f>
        <v>1485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$110=$B31)*ISNUMBER(INDEX(Inputs!$K$5:$AJ$110,0,MATCH(D$2,Inputs!$K$4:$AJ$4,0))))+SUMPRODUCT((Inputs!$C$5:$C$110=$B31)*ISNUMBER(INDEX(Inputs!$K$5:$AJ$110,0,MATCH(D$2,Inputs!$K$4:$AJ$4,0))))+SUMPRODUCT((Inputs!$E$5:$E$110=$B31)*ISNUMBER(INDEX(Inputs!$K$5:$AJ$110,0,MATCH(D$2,Inputs!$K$4:$AJ$4,0))))=0,NA(),SUMPRODUCT((Inputs!$A$5:$A$110=$B31)*Inputs!$B$5:$B$110*(((Inputs!$G$5:$G$110="moeda")+(Inputs!$G$5:$G$110="acoes"))*Inputs!$B$1+((Inputs!$G$5:$G$110&lt;&gt;"moeda")*(Inputs!$G$5:$G$110&lt;&gt;"acoes")))*INDEX(Inputs!$K$5:$AJ$110,0,MATCH(D$2,Inputs!$K$4:$AJ$4,0)))+SUMPRODUCT((Inputs!$C$5:$C$110=$B31)*Inputs!$D$5:$D$110*(((Inputs!$G$5:$G$110="moeda")+(Inputs!$G$5:$G$110="acoes"))*Inputs!$B$1+((Inputs!$G$5:$G$110&lt;&gt;"moeda")*(Inputs!$G$5:$G$110&lt;&gt;"acoes")))*INDEX(Inputs!$K$5:$AJ$110,0,MATCH(D$2,Inputs!$K$4:$AJ$4,0)))+SUMPRODUCT((Inputs!$E$5:$E$110=$B31)*Inputs!$F$5:$F$110*(((Inputs!$G$5:$G$110="moeda")+(Inputs!$G$5:$G$110="acoes"))*Inputs!$B$1+((Inputs!$G$5:$G$110&lt;&gt;"moeda")*(Inputs!$G$5:$G$110&lt;&gt;"acoes")))*INDEX(Inputs!$K$5:$AJ$110,0,MATCH(D$2,Inputs!$K$4:$AJ$4,0)))))</f>
        <v>2690</v>
      </c>
      <c r="E31" s="6">
        <f>IF(ISNA(MATCH(E$2,Inputs!$K$4:$AJ$4,0)),NA(),IF(SUMPRODUCT((Inputs!$A$5:$A$110=$B31)*ISNUMBER(INDEX(Inputs!$K$5:$AJ$110,0,MATCH(E$2,Inputs!$K$4:$AJ$4,0))))+SUMPRODUCT((Inputs!$C$5:$C$110=$B31)*ISNUMBER(INDEX(Inputs!$K$5:$AJ$110,0,MATCH(E$2,Inputs!$K$4:$AJ$4,0))))+SUMPRODUCT((Inputs!$E$5:$E$110=$B31)*ISNUMBER(INDEX(Inputs!$K$5:$AJ$110,0,MATCH(E$2,Inputs!$K$4:$AJ$4,0))))=0,NA(),SUMPRODUCT((Inputs!$A$5:$A$110=$B31)*Inputs!$B$5:$B$110*(((Inputs!$G$5:$G$110="moeda")+(Inputs!$G$5:$G$110="acoes"))*Inputs!$B$1+((Inputs!$G$5:$G$110&lt;&gt;"moeda")*(Inputs!$G$5:$G$110&lt;&gt;"acoes")))*INDEX(Inputs!$K$5:$AJ$110,0,MATCH(E$2,Inputs!$K$4:$AJ$4,0)))+SUMPRODUCT((Inputs!$C$5:$C$110=$B31)*Inputs!$D$5:$D$110*(((Inputs!$G$5:$G$110="moeda")+(Inputs!$G$5:$G$110="acoes"))*Inputs!$B$1+((Inputs!$G$5:$G$110&lt;&gt;"moeda")*(Inputs!$G$5:$G$110&lt;&gt;"acoes")))*INDEX(Inputs!$K$5:$AJ$110,0,MATCH(E$2,Inputs!$K$4:$AJ$4,0)))+SUMPRODUCT((Inputs!$E$5:$E$110=$B31)*Inputs!$F$5:$F$110*(((Inputs!$G$5:$G$110="moeda")+(Inputs!$G$5:$G$110="acoes"))*Inputs!$B$1+((Inputs!$G$5:$G$110&lt;&gt;"moeda")*(Inputs!$G$5:$G$110&lt;&gt;"acoes")))*INDEX(Inputs!$K$5:$AJ$110,0,MATCH(E$2,Inputs!$K$4:$AJ$4,0)))))</f>
        <v>2715</v>
      </c>
      <c r="F31" s="6">
        <f>IF(ISNA(MATCH(F$2,Inputs!$K$4:$AJ$4,0)),NA(),IF(SUMPRODUCT((Inputs!$A$5:$A$110=$B31)*ISNUMBER(INDEX(Inputs!$K$5:$AJ$110,0,MATCH(F$2,Inputs!$K$4:$AJ$4,0))))+SUMPRODUCT((Inputs!$C$5:$C$110=$B31)*ISNUMBER(INDEX(Inputs!$K$5:$AJ$110,0,MATCH(F$2,Inputs!$K$4:$AJ$4,0))))+SUMPRODUCT((Inputs!$E$5:$E$110=$B31)*ISNUMBER(INDEX(Inputs!$K$5:$AJ$110,0,MATCH(F$2,Inputs!$K$4:$AJ$4,0))))=0,NA(),SUMPRODUCT((Inputs!$A$5:$A$110=$B31)*Inputs!$B$5:$B$110*(((Inputs!$G$5:$G$110="moeda")+(Inputs!$G$5:$G$110="acoes"))*Inputs!$B$1+((Inputs!$G$5:$G$110&lt;&gt;"moeda")*(Inputs!$G$5:$G$110&lt;&gt;"acoes")))*INDEX(Inputs!$K$5:$AJ$110,0,MATCH(F$2,Inputs!$K$4:$AJ$4,0)))+SUMPRODUCT((Inputs!$C$5:$C$110=$B31)*Inputs!$D$5:$D$110*(((Inputs!$G$5:$G$110="moeda")+(Inputs!$G$5:$G$110="acoes"))*Inputs!$B$1+((Inputs!$G$5:$G$110&lt;&gt;"moeda")*(Inputs!$G$5:$G$110&lt;&gt;"acoes")))*INDEX(Inputs!$K$5:$AJ$110,0,MATCH(F$2,Inputs!$K$4:$AJ$4,0)))+SUMPRODUCT((Inputs!$E$5:$E$110=$B31)*Inputs!$F$5:$F$110*(((Inputs!$G$5:$G$110="moeda")+(Inputs!$G$5:$G$110="acoes"))*Inputs!$B$1+((Inputs!$G$5:$G$110&lt;&gt;"moeda")*(Inputs!$G$5:$G$110&lt;&gt;"acoes")))*INDEX(Inputs!$K$5:$AJ$110,0,MATCH(F$2,Inputs!$K$4:$AJ$4,0)))))</f>
        <v>2968</v>
      </c>
      <c r="G31" s="6">
        <f>IF(ISNA(MATCH(G$2,Inputs!$K$4:$AJ$4,0)),NA(),IF(SUMPRODUCT((Inputs!$A$5:$A$110=$B31)*ISNUMBER(INDEX(Inputs!$K$5:$AJ$110,0,MATCH(G$2,Inputs!$K$4:$AJ$4,0))))+SUMPRODUCT((Inputs!$C$5:$C$110=$B31)*ISNUMBER(INDEX(Inputs!$K$5:$AJ$110,0,MATCH(G$2,Inputs!$K$4:$AJ$4,0))))+SUMPRODUCT((Inputs!$E$5:$E$110=$B31)*ISNUMBER(INDEX(Inputs!$K$5:$AJ$110,0,MATCH(G$2,Inputs!$K$4:$AJ$4,0))))=0,NA(),SUMPRODUCT((Inputs!$A$5:$A$110=$B31)*Inputs!$B$5:$B$110*(((Inputs!$G$5:$G$110="moeda")+(Inputs!$G$5:$G$110="acoes"))*Inputs!$B$1+((Inputs!$G$5:$G$110&lt;&gt;"moeda")*(Inputs!$G$5:$G$110&lt;&gt;"acoes")))*INDEX(Inputs!$K$5:$AJ$110,0,MATCH(G$2,Inputs!$K$4:$AJ$4,0)))+SUMPRODUCT((Inputs!$C$5:$C$110=$B31)*Inputs!$D$5:$D$110*(((Inputs!$G$5:$G$110="moeda")+(Inputs!$G$5:$G$110="acoes"))*Inputs!$B$1+((Inputs!$G$5:$G$110&lt;&gt;"moeda")*(Inputs!$G$5:$G$110&lt;&gt;"acoes")))*INDEX(Inputs!$K$5:$AJ$110,0,MATCH(G$2,Inputs!$K$4:$AJ$4,0)))+SUMPRODUCT((Inputs!$E$5:$E$110=$B31)*Inputs!$F$5:$F$110*(((Inputs!$G$5:$G$110="moeda")+(Inputs!$G$5:$G$110="acoes"))*Inputs!$B$1+((Inputs!$G$5:$G$110&lt;&gt;"moeda")*(Inputs!$G$5:$G$110&lt;&gt;"acoes")))*INDEX(Inputs!$K$5:$AJ$110,0,MATCH(G$2,Inputs!$K$4:$AJ$4,0)))))</f>
        <v>3288</v>
      </c>
      <c r="H31" s="3">
        <f>G31</f>
        <v>3288</v>
      </c>
      <c r="I31" s="6">
        <f>IF(ISNA(MATCH(I$2,Inputs!$K$4:$AJ$4,0)),NA(),IF(SUMPRODUCT((Inputs!$A$5:$A$110=$B31)*ISNUMBER(INDEX(Inputs!$K$5:$AJ$110,0,MATCH(I$2,Inputs!$K$4:$AJ$4,0))))+SUMPRODUCT((Inputs!$C$5:$C$110=$B31)*ISNUMBER(INDEX(Inputs!$K$5:$AJ$110,0,MATCH(I$2,Inputs!$K$4:$AJ$4,0))))+SUMPRODUCT((Inputs!$E$5:$E$110=$B31)*ISNUMBER(INDEX(Inputs!$K$5:$AJ$110,0,MATCH(I$2,Inputs!$K$4:$AJ$4,0))))=0,NA(),SUMPRODUCT((Inputs!$A$5:$A$110=$B31)*Inputs!$B$5:$B$110*(((Inputs!$G$5:$G$110="moeda")+(Inputs!$G$5:$G$110="acoes"))*Inputs!$B$1+((Inputs!$G$5:$G$110&lt;&gt;"moeda")*(Inputs!$G$5:$G$110&lt;&gt;"acoes")))*INDEX(Inputs!$K$5:$AJ$110,0,MATCH(I$2,Inputs!$K$4:$AJ$4,0)))+SUMPRODUCT((Inputs!$C$5:$C$110=$B31)*Inputs!$D$5:$D$110*(((Inputs!$G$5:$G$110="moeda")+(Inputs!$G$5:$G$110="acoes"))*Inputs!$B$1+((Inputs!$G$5:$G$110&lt;&gt;"moeda")*(Inputs!$G$5:$G$110&lt;&gt;"acoes")))*INDEX(Inputs!$K$5:$AJ$110,0,MATCH(I$2,Inputs!$K$4:$AJ$4,0)))+SUMPRODUCT((Inputs!$E$5:$E$110=$B31)*Inputs!$F$5:$F$110*(((Inputs!$G$5:$G$110="moeda")+(Inputs!$G$5:$G$110="acoes"))*Inputs!$B$1+((Inputs!$G$5:$G$110&lt;&gt;"moeda")*(Inputs!$G$5:$G$110&lt;&gt;"acoes")))*INDEX(Inputs!$K$5:$AJ$110,0,MATCH(I$2,Inputs!$K$4:$AJ$4,0)))))</f>
        <v>3198</v>
      </c>
      <c r="J31" s="6">
        <f>IF(ISNA(MATCH(J$2,Inputs!$K$4:$AJ$4,0)),NA(),IF(SUMPRODUCT((Inputs!$A$5:$A$110=$B31)*ISNUMBER(INDEX(Inputs!$K$5:$AJ$110,0,MATCH(J$2,Inputs!$K$4:$AJ$4,0))))+SUMPRODUCT((Inputs!$C$5:$C$110=$B31)*ISNUMBER(INDEX(Inputs!$K$5:$AJ$110,0,MATCH(J$2,Inputs!$K$4:$AJ$4,0))))+SUMPRODUCT((Inputs!$E$5:$E$110=$B31)*ISNUMBER(INDEX(Inputs!$K$5:$AJ$110,0,MATCH(J$2,Inputs!$K$4:$AJ$4,0))))=0,NA(),SUMPRODUCT((Inputs!$A$5:$A$110=$B31)*Inputs!$B$5:$B$110*(((Inputs!$G$5:$G$110="moeda")+(Inputs!$G$5:$G$110="acoes"))*Inputs!$B$1+((Inputs!$G$5:$G$110&lt;&gt;"moeda")*(Inputs!$G$5:$G$110&lt;&gt;"acoes")))*INDEX(Inputs!$K$5:$AJ$110,0,MATCH(J$2,Inputs!$K$4:$AJ$4,0)))+SUMPRODUCT((Inputs!$C$5:$C$110=$B31)*Inputs!$D$5:$D$110*(((Inputs!$G$5:$G$110="moeda")+(Inputs!$G$5:$G$110="acoes"))*Inputs!$B$1+((Inputs!$G$5:$G$110&lt;&gt;"moeda")*(Inputs!$G$5:$G$110&lt;&gt;"acoes")))*INDEX(Inputs!$K$5:$AJ$110,0,MATCH(J$2,Inputs!$K$4:$AJ$4,0)))+SUMPRODUCT((Inputs!$E$5:$E$110=$B31)*Inputs!$F$5:$F$110*(((Inputs!$G$5:$G$110="moeda")+(Inputs!$G$5:$G$110="acoes"))*Inputs!$B$1+((Inputs!$G$5:$G$110&lt;&gt;"moeda")*(Inputs!$G$5:$G$110&lt;&gt;"acoes")))*INDEX(Inputs!$K$5:$AJ$110,0,MATCH(J$2,Inputs!$K$4:$AJ$4,0)))))</f>
        <v>3272</v>
      </c>
      <c r="K31" s="6">
        <f>IF(ISNA(MATCH(K$2,Inputs!$K$4:$AJ$4,0)),NA(),IF(SUMPRODUCT((Inputs!$A$5:$A$110=$B31)*ISNUMBER(INDEX(Inputs!$K$5:$AJ$110,0,MATCH(K$2,Inputs!$K$4:$AJ$4,0))))+SUMPRODUCT((Inputs!$C$5:$C$110=$B31)*ISNUMBER(INDEX(Inputs!$K$5:$AJ$110,0,MATCH(K$2,Inputs!$K$4:$AJ$4,0))))+SUMPRODUCT((Inputs!$E$5:$E$110=$B31)*ISNUMBER(INDEX(Inputs!$K$5:$AJ$110,0,MATCH(K$2,Inputs!$K$4:$AJ$4,0))))=0,NA(),SUMPRODUCT((Inputs!$A$5:$A$110=$B31)*Inputs!$B$5:$B$110*(((Inputs!$G$5:$G$110="moeda")+(Inputs!$G$5:$G$110="acoes"))*Inputs!$B$1+((Inputs!$G$5:$G$110&lt;&gt;"moeda")*(Inputs!$G$5:$G$110&lt;&gt;"acoes")))*INDEX(Inputs!$K$5:$AJ$110,0,MATCH(K$2,Inputs!$K$4:$AJ$4,0)))+SUMPRODUCT((Inputs!$C$5:$C$110=$B31)*Inputs!$D$5:$D$110*(((Inputs!$G$5:$G$110="moeda")+(Inputs!$G$5:$G$110="acoes"))*Inputs!$B$1+((Inputs!$G$5:$G$110&lt;&gt;"moeda")*(Inputs!$G$5:$G$110&lt;&gt;"acoes")))*INDEX(Inputs!$K$5:$AJ$110,0,MATCH(K$2,Inputs!$K$4:$AJ$4,0)))+SUMPRODUCT((Inputs!$E$5:$E$110=$B31)*Inputs!$F$5:$F$110*(((Inputs!$G$5:$G$110="moeda")+(Inputs!$G$5:$G$110="acoes"))*Inputs!$B$1+((Inputs!$G$5:$G$110&lt;&gt;"moeda")*(Inputs!$G$5:$G$110&lt;&gt;"acoes")))*INDEX(Inputs!$K$5:$AJ$110,0,MATCH(K$2,Inputs!$K$4:$AJ$4,0)))))</f>
        <v>3585</v>
      </c>
      <c r="L31" s="6">
        <f>IF(ISNA(MATCH(L$2,Inputs!$K$4:$AJ$4,0)),NA(),IF(SUMPRODUCT((Inputs!$A$5:$A$110=$B31)*ISNUMBER(INDEX(Inputs!$K$5:$AJ$110,0,MATCH(L$2,Inputs!$K$4:$AJ$4,0))))+SUMPRODUCT((Inputs!$C$5:$C$110=$B31)*ISNUMBER(INDEX(Inputs!$K$5:$AJ$110,0,MATCH(L$2,Inputs!$K$4:$AJ$4,0))))+SUMPRODUCT((Inputs!$E$5:$E$110=$B31)*ISNUMBER(INDEX(Inputs!$K$5:$AJ$110,0,MATCH(L$2,Inputs!$K$4:$AJ$4,0))))=0,NA(),SUMPRODUCT((Inputs!$A$5:$A$110=$B31)*Inputs!$B$5:$B$110*(((Inputs!$G$5:$G$110="moeda")+(Inputs!$G$5:$G$110="acoes"))*Inputs!$B$1+((Inputs!$G$5:$G$110&lt;&gt;"moeda")*(Inputs!$G$5:$G$110&lt;&gt;"acoes")))*INDEX(Inputs!$K$5:$AJ$110,0,MATCH(L$2,Inputs!$K$4:$AJ$4,0)))+SUMPRODUCT((Inputs!$C$5:$C$110=$B31)*Inputs!$D$5:$D$110*(((Inputs!$G$5:$G$110="moeda")+(Inputs!$G$5:$G$110="acoes"))*Inputs!$B$1+((Inputs!$G$5:$G$110&lt;&gt;"moeda")*(Inputs!$G$5:$G$110&lt;&gt;"acoes")))*INDEX(Inputs!$K$5:$AJ$110,0,MATCH(L$2,Inputs!$K$4:$AJ$4,0)))+SUMPRODUCT((Inputs!$E$5:$E$110=$B31)*Inputs!$F$5:$F$110*(((Inputs!$G$5:$G$110="moeda")+(Inputs!$G$5:$G$110="acoes"))*Inputs!$B$1+((Inputs!$G$5:$G$110&lt;&gt;"moeda")*(Inputs!$G$5:$G$110&lt;&gt;"acoes")))*INDEX(Inputs!$K$5:$AJ$110,0,MATCH(L$2,Inputs!$K$4:$AJ$4,0)))))</f>
        <v>3908</v>
      </c>
      <c r="M31" s="3">
        <f>L31</f>
        <v>3908</v>
      </c>
      <c r="N31" s="6">
        <f>IF(ISNA(MATCH(N$2,Inputs!$K$4:$AJ$4,0)),NA(),IF(SUMPRODUCT((Inputs!$A$5:$A$110=$B31)*ISNUMBER(INDEX(Inputs!$K$5:$AJ$110,0,MATCH(N$2,Inputs!$K$4:$AJ$4,0))))+SUMPRODUCT((Inputs!$C$5:$C$110=$B31)*ISNUMBER(INDEX(Inputs!$K$5:$AJ$110,0,MATCH(N$2,Inputs!$K$4:$AJ$4,0))))+SUMPRODUCT((Inputs!$E$5:$E$110=$B31)*ISNUMBER(INDEX(Inputs!$K$5:$AJ$110,0,MATCH(N$2,Inputs!$K$4:$AJ$4,0))))=0,NA(),SUMPRODUCT((Inputs!$A$5:$A$110=$B31)*Inputs!$B$5:$B$110*(((Inputs!$G$5:$G$110="moeda")+(Inputs!$G$5:$G$110="acoes"))*Inputs!$B$1+((Inputs!$G$5:$G$110&lt;&gt;"moeda")*(Inputs!$G$5:$G$110&lt;&gt;"acoes")))*INDEX(Inputs!$K$5:$AJ$110,0,MATCH(N$2,Inputs!$K$4:$AJ$4,0)))+SUMPRODUCT((Inputs!$C$5:$C$110=$B31)*Inputs!$D$5:$D$110*(((Inputs!$G$5:$G$110="moeda")+(Inputs!$G$5:$G$110="acoes"))*Inputs!$B$1+((Inputs!$G$5:$G$110&lt;&gt;"moeda")*(Inputs!$G$5:$G$110&lt;&gt;"acoes")))*INDEX(Inputs!$K$5:$AJ$110,0,MATCH(N$2,Inputs!$K$4:$AJ$4,0)))+SUMPRODUCT((Inputs!$E$5:$E$110=$B31)*Inputs!$F$5:$F$110*(((Inputs!$G$5:$G$110="moeda")+(Inputs!$G$5:$G$110="acoes"))*Inputs!$B$1+((Inputs!$G$5:$G$110&lt;&gt;"moeda")*(Inputs!$G$5:$G$110&lt;&gt;"acoes")))*INDEX(Inputs!$K$5:$AJ$110,0,MATCH(N$2,Inputs!$K$4:$AJ$4,0)))))</f>
        <v>3715</v>
      </c>
      <c r="O31" s="6">
        <f>IF(ISNA(MATCH(O$2,Inputs!$K$4:$AJ$4,0)),NA(),IF(SUMPRODUCT((Inputs!$A$5:$A$110=$B31)*ISNUMBER(INDEX(Inputs!$K$5:$AJ$110,0,MATCH(O$2,Inputs!$K$4:$AJ$4,0))))+SUMPRODUCT((Inputs!$C$5:$C$110=$B31)*ISNUMBER(INDEX(Inputs!$K$5:$AJ$110,0,MATCH(O$2,Inputs!$K$4:$AJ$4,0))))+SUMPRODUCT((Inputs!$E$5:$E$110=$B31)*ISNUMBER(INDEX(Inputs!$K$5:$AJ$110,0,MATCH(O$2,Inputs!$K$4:$AJ$4,0))))=0,NA(),SUMPRODUCT((Inputs!$A$5:$A$110=$B31)*Inputs!$B$5:$B$110*(((Inputs!$G$5:$G$110="moeda")+(Inputs!$G$5:$G$110="acoes"))*Inputs!$B$1+((Inputs!$G$5:$G$110&lt;&gt;"moeda")*(Inputs!$G$5:$G$110&lt;&gt;"acoes")))*INDEX(Inputs!$K$5:$AJ$110,0,MATCH(O$2,Inputs!$K$4:$AJ$4,0)))+SUMPRODUCT((Inputs!$C$5:$C$110=$B31)*Inputs!$D$5:$D$110*(((Inputs!$G$5:$G$110="moeda")+(Inputs!$G$5:$G$110="acoes"))*Inputs!$B$1+((Inputs!$G$5:$G$110&lt;&gt;"moeda")*(Inputs!$G$5:$G$110&lt;&gt;"acoes")))*INDEX(Inputs!$K$5:$AJ$110,0,MATCH(O$2,Inputs!$K$4:$AJ$4,0)))+SUMPRODUCT((Inputs!$E$5:$E$110=$B31)*Inputs!$F$5:$F$110*(((Inputs!$G$5:$G$110="moeda")+(Inputs!$G$5:$G$110="acoes"))*Inputs!$B$1+((Inputs!$G$5:$G$110&lt;&gt;"moeda")*(Inputs!$G$5:$G$110&lt;&gt;"acoes")))*INDEX(Inputs!$K$5:$AJ$110,0,MATCH(O$2,Inputs!$K$4:$AJ$4,0)))))</f>
        <v>3846</v>
      </c>
      <c r="P31" s="6">
        <f>IF(ISNA(MATCH(P$2,Inputs!$K$4:$AJ$4,0)),NA(),IF(SUMPRODUCT((Inputs!$A$5:$A$110=$B31)*ISNUMBER(INDEX(Inputs!$K$5:$AJ$110,0,MATCH(P$2,Inputs!$K$4:$AJ$4,0))))+SUMPRODUCT((Inputs!$C$5:$C$110=$B31)*ISNUMBER(INDEX(Inputs!$K$5:$AJ$110,0,MATCH(P$2,Inputs!$K$4:$AJ$4,0))))+SUMPRODUCT((Inputs!$E$5:$E$110=$B31)*ISNUMBER(INDEX(Inputs!$K$5:$AJ$110,0,MATCH(P$2,Inputs!$K$4:$AJ$4,0))))=0,NA(),SUMPRODUCT((Inputs!$A$5:$A$110=$B31)*Inputs!$B$5:$B$110*(((Inputs!$G$5:$G$110="moeda")+(Inputs!$G$5:$G$110="acoes"))*Inputs!$B$1+((Inputs!$G$5:$G$110&lt;&gt;"moeda")*(Inputs!$G$5:$G$110&lt;&gt;"acoes")))*INDEX(Inputs!$K$5:$AJ$110,0,MATCH(P$2,Inputs!$K$4:$AJ$4,0)))+SUMPRODUCT((Inputs!$C$5:$C$110=$B31)*Inputs!$D$5:$D$110*(((Inputs!$G$5:$G$110="moeda")+(Inputs!$G$5:$G$110="acoes"))*Inputs!$B$1+((Inputs!$G$5:$G$110&lt;&gt;"moeda")*(Inputs!$G$5:$G$110&lt;&gt;"acoes")))*INDEX(Inputs!$K$5:$AJ$110,0,MATCH(P$2,Inputs!$K$4:$AJ$4,0)))+SUMPRODUCT((Inputs!$E$5:$E$110=$B31)*Inputs!$F$5:$F$110*(((Inputs!$G$5:$G$110="moeda")+(Inputs!$G$5:$G$110="acoes"))*Inputs!$B$1+((Inputs!$G$5:$G$110&lt;&gt;"moeda")*(Inputs!$G$5:$G$110&lt;&gt;"acoes")))*INDEX(Inputs!$K$5:$AJ$110,0,MATCH(P$2,Inputs!$K$4:$AJ$4,0)))))</f>
        <v>4303</v>
      </c>
      <c r="Q31" s="6">
        <f>IF(ISNA(MATCH(Q$2,Inputs!$K$4:$AJ$4,0)),NA(),IF(SUMPRODUCT((Inputs!$A$5:$A$110=$B31)*ISNUMBER(INDEX(Inputs!$K$5:$AJ$110,0,MATCH(Q$2,Inputs!$K$4:$AJ$4,0))))+SUMPRODUCT((Inputs!$C$5:$C$110=$B31)*ISNUMBER(INDEX(Inputs!$K$5:$AJ$110,0,MATCH(Q$2,Inputs!$K$4:$AJ$4,0))))+SUMPRODUCT((Inputs!$E$5:$E$110=$B31)*ISNUMBER(INDEX(Inputs!$K$5:$AJ$110,0,MATCH(Q$2,Inputs!$K$4:$AJ$4,0))))=0,NA(),SUMPRODUCT((Inputs!$A$5:$A$110=$B31)*Inputs!$B$5:$B$110*(((Inputs!$G$5:$G$110="moeda")+(Inputs!$G$5:$G$110="acoes"))*Inputs!$B$1+((Inputs!$G$5:$G$110&lt;&gt;"moeda")*(Inputs!$G$5:$G$110&lt;&gt;"acoes")))*INDEX(Inputs!$K$5:$AJ$110,0,MATCH(Q$2,Inputs!$K$4:$AJ$4,0)))+SUMPRODUCT((Inputs!$C$5:$C$110=$B31)*Inputs!$D$5:$D$110*(((Inputs!$G$5:$G$110="moeda")+(Inputs!$G$5:$G$110="acoes"))*Inputs!$B$1+((Inputs!$G$5:$G$110&lt;&gt;"moeda")*(Inputs!$G$5:$G$110&lt;&gt;"acoes")))*INDEX(Inputs!$K$5:$AJ$110,0,MATCH(Q$2,Inputs!$K$4:$AJ$4,0)))+SUMPRODUCT((Inputs!$E$5:$E$110=$B31)*Inputs!$F$5:$F$110*(((Inputs!$G$5:$G$110="moeda")+(Inputs!$G$5:$G$110="acoes"))*Inputs!$B$1+((Inputs!$G$5:$G$110&lt;&gt;"moeda")*(Inputs!$G$5:$G$110&lt;&gt;"acoes")))*INDEX(Inputs!$K$5:$AJ$110,0,MATCH(Q$2,Inputs!$K$4:$AJ$4,0)))))</f>
        <v>4137</v>
      </c>
      <c r="R31" s="3">
        <f>Q31</f>
        <v>4137</v>
      </c>
      <c r="S31" s="6">
        <f>IF(ISNA(MATCH(S$2,Inputs!$K$4:$AJ$4,0)),NA(),IF(SUMPRODUCT((Inputs!$A$5:$A$110=$B31)*ISNUMBER(INDEX(Inputs!$K$5:$AJ$110,0,MATCH(S$2,Inputs!$K$4:$AJ$4,0))))+SUMPRODUCT((Inputs!$C$5:$C$110=$B31)*ISNUMBER(INDEX(Inputs!$K$5:$AJ$110,0,MATCH(S$2,Inputs!$K$4:$AJ$4,0))))+SUMPRODUCT((Inputs!$E$5:$E$110=$B31)*ISNUMBER(INDEX(Inputs!$K$5:$AJ$110,0,MATCH(S$2,Inputs!$K$4:$AJ$4,0))))=0,NA(),SUMPRODUCT((Inputs!$A$5:$A$110=$B31)*Inputs!$B$5:$B$110*(((Inputs!$G$5:$G$110="moeda")+(Inputs!$G$5:$G$110="acoes"))*Inputs!$B$1+((Inputs!$G$5:$G$110&lt;&gt;"moeda")*(Inputs!$G$5:$G$110&lt;&gt;"acoes")))*INDEX(Inputs!$K$5:$AJ$110,0,MATCH(S$2,Inputs!$K$4:$AJ$4,0)))+SUMPRODUCT((Inputs!$C$5:$C$110=$B31)*Inputs!$D$5:$D$110*(((Inputs!$G$5:$G$110="moeda")+(Inputs!$G$5:$G$110="acoes"))*Inputs!$B$1+((Inputs!$G$5:$G$110&lt;&gt;"moeda")*(Inputs!$G$5:$G$110&lt;&gt;"acoes")))*INDEX(Inputs!$K$5:$AJ$110,0,MATCH(S$2,Inputs!$K$4:$AJ$4,0)))+SUMPRODUCT((Inputs!$E$5:$E$110=$B31)*Inputs!$F$5:$F$110*(((Inputs!$G$5:$G$110="moeda")+(Inputs!$G$5:$G$110="acoes"))*Inputs!$B$1+((Inputs!$G$5:$G$110&lt;&gt;"moeda")*(Inputs!$G$5:$G$110&lt;&gt;"acoes")))*INDEX(Inputs!$K$5:$AJ$110,0,MATCH(S$2,Inputs!$K$4:$AJ$4,0)))))</f>
        <v>3973</v>
      </c>
      <c r="T31" s="6">
        <f>IF(ISNA(MATCH(T$2,Inputs!$K$4:$AJ$4,0)),NA(),IF(SUMPRODUCT((Inputs!$A$5:$A$110=$B31)*ISNUMBER(INDEX(Inputs!$K$5:$AJ$110,0,MATCH(T$2,Inputs!$K$4:$AJ$4,0))))+SUMPRODUCT((Inputs!$C$5:$C$110=$B31)*ISNUMBER(INDEX(Inputs!$K$5:$AJ$110,0,MATCH(T$2,Inputs!$K$4:$AJ$4,0))))+SUMPRODUCT((Inputs!$E$5:$E$110=$B31)*ISNUMBER(INDEX(Inputs!$K$5:$AJ$110,0,MATCH(T$2,Inputs!$K$4:$AJ$4,0))))=0,NA(),SUMPRODUCT((Inputs!$A$5:$A$110=$B31)*Inputs!$B$5:$B$110*(((Inputs!$G$5:$G$110="moeda")+(Inputs!$G$5:$G$110="acoes"))*Inputs!$B$1+((Inputs!$G$5:$G$110&lt;&gt;"moeda")*(Inputs!$G$5:$G$110&lt;&gt;"acoes")))*INDEX(Inputs!$K$5:$AJ$110,0,MATCH(T$2,Inputs!$K$4:$AJ$4,0)))+SUMPRODUCT((Inputs!$C$5:$C$110=$B31)*Inputs!$D$5:$D$110*(((Inputs!$G$5:$G$110="moeda")+(Inputs!$G$5:$G$110="acoes"))*Inputs!$B$1+((Inputs!$G$5:$G$110&lt;&gt;"moeda")*(Inputs!$G$5:$G$110&lt;&gt;"acoes")))*INDEX(Inputs!$K$5:$AJ$110,0,MATCH(T$2,Inputs!$K$4:$AJ$4,0)))+SUMPRODUCT((Inputs!$E$5:$E$110=$B31)*Inputs!$F$5:$F$110*(((Inputs!$G$5:$G$110="moeda")+(Inputs!$G$5:$G$110="acoes"))*Inputs!$B$1+((Inputs!$G$5:$G$110&lt;&gt;"moeda")*(Inputs!$G$5:$G$110&lt;&gt;"acoes")))*INDEX(Inputs!$K$5:$AJ$110,0,MATCH(T$2,Inputs!$K$4:$AJ$4,0)))))</f>
        <v>4251</v>
      </c>
      <c r="U31" s="6">
        <f>IF(ISNA(MATCH(U$2,Inputs!$K$4:$AJ$4,0)),NA(),IF(SUMPRODUCT((Inputs!$A$5:$A$110=$B31)*ISNUMBER(INDEX(Inputs!$K$5:$AJ$110,0,MATCH(U$2,Inputs!$K$4:$AJ$4,0))))+SUMPRODUCT((Inputs!$C$5:$C$110=$B31)*ISNUMBER(INDEX(Inputs!$K$5:$AJ$110,0,MATCH(U$2,Inputs!$K$4:$AJ$4,0))))+SUMPRODUCT((Inputs!$E$5:$E$110=$B31)*ISNUMBER(INDEX(Inputs!$K$5:$AJ$110,0,MATCH(U$2,Inputs!$K$4:$AJ$4,0))))=0,NA(),SUMPRODUCT((Inputs!$A$5:$A$110=$B31)*Inputs!$B$5:$B$110*(((Inputs!$G$5:$G$110="moeda")+(Inputs!$G$5:$G$110="acoes"))*Inputs!$B$1+((Inputs!$G$5:$G$110&lt;&gt;"moeda")*(Inputs!$G$5:$G$110&lt;&gt;"acoes")))*INDEX(Inputs!$K$5:$AJ$110,0,MATCH(U$2,Inputs!$K$4:$AJ$4,0)))+SUMPRODUCT((Inputs!$C$5:$C$110=$B31)*Inputs!$D$5:$D$110*(((Inputs!$G$5:$G$110="moeda")+(Inputs!$G$5:$G$110="acoes"))*Inputs!$B$1+((Inputs!$G$5:$G$110&lt;&gt;"moeda")*(Inputs!$G$5:$G$110&lt;&gt;"acoes")))*INDEX(Inputs!$K$5:$AJ$110,0,MATCH(U$2,Inputs!$K$4:$AJ$4,0)))+SUMPRODUCT((Inputs!$E$5:$E$110=$B31)*Inputs!$F$5:$F$110*(((Inputs!$G$5:$G$110="moeda")+(Inputs!$G$5:$G$110="acoes"))*Inputs!$B$1+((Inputs!$G$5:$G$110&lt;&gt;"moeda")*(Inputs!$G$5:$G$110&lt;&gt;"acoes")))*INDEX(Inputs!$K$5:$AJ$110,0,MATCH(U$2,Inputs!$K$4:$AJ$4,0)))))</f>
        <v>4896</v>
      </c>
      <c r="V31" s="6">
        <f>IF(ISNA(MATCH(V$2,Inputs!$K$4:$AJ$4,0)),NA(),IF(SUMPRODUCT((Inputs!$A$5:$A$110=$B31)*ISNUMBER(INDEX(Inputs!$K$5:$AJ$110,0,MATCH(V$2,Inputs!$K$4:$AJ$4,0))))+SUMPRODUCT((Inputs!$C$5:$C$110=$B31)*ISNUMBER(INDEX(Inputs!$K$5:$AJ$110,0,MATCH(V$2,Inputs!$K$4:$AJ$4,0))))+SUMPRODUCT((Inputs!$E$5:$E$110=$B31)*ISNUMBER(INDEX(Inputs!$K$5:$AJ$110,0,MATCH(V$2,Inputs!$K$4:$AJ$4,0))))=0,NA(),SUMPRODUCT((Inputs!$A$5:$A$110=$B31)*Inputs!$B$5:$B$110*(((Inputs!$G$5:$G$110="moeda")+(Inputs!$G$5:$G$110="acoes"))*Inputs!$B$1+((Inputs!$G$5:$G$110&lt;&gt;"moeda")*(Inputs!$G$5:$G$110&lt;&gt;"acoes")))*INDEX(Inputs!$K$5:$AJ$110,0,MATCH(V$2,Inputs!$K$4:$AJ$4,0)))+SUMPRODUCT((Inputs!$C$5:$C$110=$B31)*Inputs!$D$5:$D$110*(((Inputs!$G$5:$G$110="moeda")+(Inputs!$G$5:$G$110="acoes"))*Inputs!$B$1+((Inputs!$G$5:$G$110&lt;&gt;"moeda")*(Inputs!$G$5:$G$110&lt;&gt;"acoes")))*INDEX(Inputs!$K$5:$AJ$110,0,MATCH(V$2,Inputs!$K$4:$AJ$4,0)))+SUMPRODUCT((Inputs!$E$5:$E$110=$B31)*Inputs!$F$5:$F$110*(((Inputs!$G$5:$G$110="moeda")+(Inputs!$G$5:$G$110="acoes"))*Inputs!$B$1+((Inputs!$G$5:$G$110&lt;&gt;"moeda")*(Inputs!$G$5:$G$110&lt;&gt;"acoes")))*INDEX(Inputs!$K$5:$AJ$110,0,MATCH(V$2,Inputs!$K$4:$AJ$4,0)))))</f>
        <v>5036</v>
      </c>
      <c r="W31" s="3">
        <f>V31</f>
        <v>5036</v>
      </c>
      <c r="X31" s="6">
        <f>IF(ISNA(MATCH(X$2,Inputs!$K$4:$AJ$4,0)),NA(),IF(SUMPRODUCT((Inputs!$A$5:$A$110=$B31)*ISNUMBER(INDEX(Inputs!$K$5:$AJ$110,0,MATCH(X$2,Inputs!$K$4:$AJ$4,0))))+SUMPRODUCT((Inputs!$C$5:$C$110=$B31)*ISNUMBER(INDEX(Inputs!$K$5:$AJ$110,0,MATCH(X$2,Inputs!$K$4:$AJ$4,0))))+SUMPRODUCT((Inputs!$E$5:$E$110=$B31)*ISNUMBER(INDEX(Inputs!$K$5:$AJ$110,0,MATCH(X$2,Inputs!$K$4:$AJ$4,0))))=0,NA(),SUMPRODUCT((Inputs!$A$5:$A$110=$B31)*Inputs!$B$5:$B$110*(((Inputs!$G$5:$G$110="moeda")+(Inputs!$G$5:$G$110="acoes"))*Inputs!$B$1+((Inputs!$G$5:$G$110&lt;&gt;"moeda")*(Inputs!$G$5:$G$110&lt;&gt;"acoes")))*INDEX(Inputs!$K$5:$AJ$110,0,MATCH(X$2,Inputs!$K$4:$AJ$4,0)))+SUMPRODUCT((Inputs!$C$5:$C$110=$B31)*Inputs!$D$5:$D$110*(((Inputs!$G$5:$G$110="moeda")+(Inputs!$G$5:$G$110="acoes"))*Inputs!$B$1+((Inputs!$G$5:$G$110&lt;&gt;"moeda")*(Inputs!$G$5:$G$110&lt;&gt;"acoes")))*INDEX(Inputs!$K$5:$AJ$110,0,MATCH(X$2,Inputs!$K$4:$AJ$4,0)))+SUMPRODUCT((Inputs!$E$5:$E$110=$B31)*Inputs!$F$5:$F$110*(((Inputs!$G$5:$G$110="moeda")+(Inputs!$G$5:$G$110="acoes"))*Inputs!$B$1+((Inputs!$G$5:$G$110&lt;&gt;"moeda")*(Inputs!$G$5:$G$110&lt;&gt;"acoes")))*INDEX(Inputs!$K$5:$AJ$110,0,MATCH(X$2,Inputs!$K$4:$AJ$4,0)))))</f>
        <v>4908</v>
      </c>
      <c r="Y31" s="6">
        <f>IF(ISNA(MATCH(Y$2,Inputs!$K$4:$AJ$4,0)),NA(),IF(SUMPRODUCT((Inputs!$A$5:$A$110=$B31)*ISNUMBER(INDEX(Inputs!$K$5:$AJ$110,0,MATCH(Y$2,Inputs!$K$4:$AJ$4,0))))+SUMPRODUCT((Inputs!$C$5:$C$110=$B31)*ISNUMBER(INDEX(Inputs!$K$5:$AJ$110,0,MATCH(Y$2,Inputs!$K$4:$AJ$4,0))))+SUMPRODUCT((Inputs!$E$5:$E$110=$B31)*ISNUMBER(INDEX(Inputs!$K$5:$AJ$110,0,MATCH(Y$2,Inputs!$K$4:$AJ$4,0))))=0,NA(),SUMPRODUCT((Inputs!$A$5:$A$110=$B31)*Inputs!$B$5:$B$110*(((Inputs!$G$5:$G$110="moeda")+(Inputs!$G$5:$G$110="acoes"))*Inputs!$B$1+((Inputs!$G$5:$G$110&lt;&gt;"moeda")*(Inputs!$G$5:$G$110&lt;&gt;"acoes")))*INDEX(Inputs!$K$5:$AJ$110,0,MATCH(Y$2,Inputs!$K$4:$AJ$4,0)))+SUMPRODUCT((Inputs!$C$5:$C$110=$B31)*Inputs!$D$5:$D$110*(((Inputs!$G$5:$G$110="moeda")+(Inputs!$G$5:$G$110="acoes"))*Inputs!$B$1+((Inputs!$G$5:$G$110&lt;&gt;"moeda")*(Inputs!$G$5:$G$110&lt;&gt;"acoes")))*INDEX(Inputs!$K$5:$AJ$110,0,MATCH(Y$2,Inputs!$K$4:$AJ$4,0)))+SUMPRODUCT((Inputs!$E$5:$E$110=$B31)*Inputs!$F$5:$F$110*(((Inputs!$G$5:$G$110="moeda")+(Inputs!$G$5:$G$110="acoes"))*Inputs!$B$1+((Inputs!$G$5:$G$110&lt;&gt;"moeda")*(Inputs!$G$5:$G$110&lt;&gt;"acoes")))*INDEX(Inputs!$K$5:$AJ$110,0,MATCH(Y$2,Inputs!$K$4:$AJ$4,0)))))</f>
        <v>4969</v>
      </c>
      <c r="Z31" s="6">
        <f>IF(ISNA(MATCH(Z$2,Inputs!$K$4:$AJ$4,0)),NA(),IF(SUMPRODUCT((Inputs!$A$5:$A$110=$B31)*ISNUMBER(INDEX(Inputs!$K$5:$AJ$110,0,MATCH(Z$2,Inputs!$K$4:$AJ$4,0))))+SUMPRODUCT((Inputs!$C$5:$C$110=$B31)*ISNUMBER(INDEX(Inputs!$K$5:$AJ$110,0,MATCH(Z$2,Inputs!$K$4:$AJ$4,0))))+SUMPRODUCT((Inputs!$E$5:$E$110=$B31)*ISNUMBER(INDEX(Inputs!$K$5:$AJ$110,0,MATCH(Z$2,Inputs!$K$4:$AJ$4,0))))=0,NA(),SUMPRODUCT((Inputs!$A$5:$A$110=$B31)*Inputs!$B$5:$B$110*(((Inputs!$G$5:$G$110="moeda")+(Inputs!$G$5:$G$110="acoes"))*Inputs!$B$1+((Inputs!$G$5:$G$110&lt;&gt;"moeda")*(Inputs!$G$5:$G$110&lt;&gt;"acoes")))*INDEX(Inputs!$K$5:$AJ$110,0,MATCH(Z$2,Inputs!$K$4:$AJ$4,0)))+SUMPRODUCT((Inputs!$C$5:$C$110=$B31)*Inputs!$D$5:$D$110*(((Inputs!$G$5:$G$110="moeda")+(Inputs!$G$5:$G$110="acoes"))*Inputs!$B$1+((Inputs!$G$5:$G$110&lt;&gt;"moeda")*(Inputs!$G$5:$G$110&lt;&gt;"acoes")))*INDEX(Inputs!$K$5:$AJ$110,0,MATCH(Z$2,Inputs!$K$4:$AJ$4,0)))+SUMPRODUCT((Inputs!$E$5:$E$110=$B31)*Inputs!$F$5:$F$110*(((Inputs!$G$5:$G$110="moeda")+(Inputs!$G$5:$G$110="acoes"))*Inputs!$B$1+((Inputs!$G$5:$G$110&lt;&gt;"moeda")*(Inputs!$G$5:$G$110&lt;&gt;"acoes")))*INDEX(Inputs!$K$5:$AJ$110,0,MATCH(Z$2,Inputs!$K$4:$AJ$4,0)))))</f>
        <v>5542</v>
      </c>
      <c r="AA31" s="6">
        <f>IF(ISNA(MATCH(AA$2,Inputs!$K$4:$AJ$4,0)),NA(),IF(SUMPRODUCT((Inputs!$A$5:$A$110=$B31)*ISNUMBER(INDEX(Inputs!$K$5:$AJ$110,0,MATCH(AA$2,Inputs!$K$4:$AJ$4,0))))+SUMPRODUCT((Inputs!$C$5:$C$110=$B31)*ISNUMBER(INDEX(Inputs!$K$5:$AJ$110,0,MATCH(AA$2,Inputs!$K$4:$AJ$4,0))))+SUMPRODUCT((Inputs!$E$5:$E$110=$B31)*ISNUMBER(INDEX(Inputs!$K$5:$AJ$110,0,MATCH(AA$2,Inputs!$K$4:$AJ$4,0))))=0,NA(),SUMPRODUCT((Inputs!$A$5:$A$110=$B31)*Inputs!$B$5:$B$110*(((Inputs!$G$5:$G$110="moeda")+(Inputs!$G$5:$G$110="acoes"))*Inputs!$B$1+((Inputs!$G$5:$G$110&lt;&gt;"moeda")*(Inputs!$G$5:$G$110&lt;&gt;"acoes")))*INDEX(Inputs!$K$5:$AJ$110,0,MATCH(AA$2,Inputs!$K$4:$AJ$4,0)))+SUMPRODUCT((Inputs!$C$5:$C$110=$B31)*Inputs!$D$5:$D$110*(((Inputs!$G$5:$G$110="moeda")+(Inputs!$G$5:$G$110="acoes"))*Inputs!$B$1+((Inputs!$G$5:$G$110&lt;&gt;"moeda")*(Inputs!$G$5:$G$110&lt;&gt;"acoes")))*INDEX(Inputs!$K$5:$AJ$110,0,MATCH(AA$2,Inputs!$K$4:$AJ$4,0)))+SUMPRODUCT((Inputs!$E$5:$E$110=$B31)*Inputs!$F$5:$F$110*(((Inputs!$G$5:$G$110="moeda")+(Inputs!$G$5:$G$110="acoes"))*Inputs!$B$1+((Inputs!$G$5:$G$110&lt;&gt;"moeda")*(Inputs!$G$5:$G$110&lt;&gt;"acoes")))*INDEX(Inputs!$K$5:$AJ$110,0,MATCH(AA$2,Inputs!$K$4:$AJ$4,0)))))</f>
        <v>6578</v>
      </c>
      <c r="AB31" s="3">
        <f>AA31</f>
        <v>6578</v>
      </c>
      <c r="AC31" s="6">
        <f>IF(ISNA(MATCH(AC$2,Inputs!$K$4:$AJ$4,0)),NA(),IF(SUMPRODUCT((Inputs!$A$5:$A$110=$B31)*ISNUMBER(INDEX(Inputs!$K$5:$AJ$110,0,MATCH(AC$2,Inputs!$K$4:$AJ$4,0))))+SUMPRODUCT((Inputs!$C$5:$C$110=$B31)*ISNUMBER(INDEX(Inputs!$K$5:$AJ$110,0,MATCH(AC$2,Inputs!$K$4:$AJ$4,0))))+SUMPRODUCT((Inputs!$E$5:$E$110=$B31)*ISNUMBER(INDEX(Inputs!$K$5:$AJ$110,0,MATCH(AC$2,Inputs!$K$4:$AJ$4,0))))=0,NA(),SUMPRODUCT((Inputs!$A$5:$A$110=$B31)*Inputs!$B$5:$B$110*(((Inputs!$G$5:$G$110="moeda")+(Inputs!$G$5:$G$110="acoes"))*Inputs!$B$1+((Inputs!$G$5:$G$110&lt;&gt;"moeda")*(Inputs!$G$5:$G$110&lt;&gt;"acoes")))*INDEX(Inputs!$K$5:$AJ$110,0,MATCH(AC$2,Inputs!$K$4:$AJ$4,0)))+SUMPRODUCT((Inputs!$C$5:$C$110=$B31)*Inputs!$D$5:$D$110*(((Inputs!$G$5:$G$110="moeda")+(Inputs!$G$5:$G$110="acoes"))*Inputs!$B$1+((Inputs!$G$5:$G$110&lt;&gt;"moeda")*(Inputs!$G$5:$G$110&lt;&gt;"acoes")))*INDEX(Inputs!$K$5:$AJ$110,0,MATCH(AC$2,Inputs!$K$4:$AJ$4,0)))+SUMPRODUCT((Inputs!$E$5:$E$110=$B31)*Inputs!$F$5:$F$110*(((Inputs!$G$5:$G$110="moeda")+(Inputs!$G$5:$G$110="acoes"))*Inputs!$B$1+((Inputs!$G$5:$G$110&lt;&gt;"moeda")*(Inputs!$G$5:$G$110&lt;&gt;"acoes")))*INDEX(Inputs!$K$5:$AJ$110,0,MATCH(AC$2,Inputs!$K$4:$AJ$4,0)))))</f>
        <v>7162</v>
      </c>
      <c r="AD31" s="6">
        <f>IF(ISNA(MATCH(AD$2,Inputs!$K$4:$AJ$4,0)),NA(),IF(SUMPRODUCT((Inputs!$A$5:$A$110=$B31)*ISNUMBER(INDEX(Inputs!$K$5:$AJ$110,0,MATCH(AD$2,Inputs!$K$4:$AJ$4,0))))+SUMPRODUCT((Inputs!$C$5:$C$110=$B31)*ISNUMBER(INDEX(Inputs!$K$5:$AJ$110,0,MATCH(AD$2,Inputs!$K$4:$AJ$4,0))))+SUMPRODUCT((Inputs!$E$5:$E$110=$B31)*ISNUMBER(INDEX(Inputs!$K$5:$AJ$110,0,MATCH(AD$2,Inputs!$K$4:$AJ$4,0))))=0,NA(),SUMPRODUCT((Inputs!$A$5:$A$110=$B31)*Inputs!$B$5:$B$110*(((Inputs!$G$5:$G$110="moeda")+(Inputs!$G$5:$G$110="acoes"))*Inputs!$B$1+((Inputs!$G$5:$G$110&lt;&gt;"moeda")*(Inputs!$G$5:$G$110&lt;&gt;"acoes")))*INDEX(Inputs!$K$5:$AJ$110,0,MATCH(AD$2,Inputs!$K$4:$AJ$4,0)))+SUMPRODUCT((Inputs!$C$5:$C$110=$B31)*Inputs!$D$5:$D$110*(((Inputs!$G$5:$G$110="moeda")+(Inputs!$G$5:$G$110="acoes"))*Inputs!$B$1+((Inputs!$G$5:$G$110&lt;&gt;"moeda")*(Inputs!$G$5:$G$110&lt;&gt;"acoes")))*INDEX(Inputs!$K$5:$AJ$110,0,MATCH(AD$2,Inputs!$K$4:$AJ$4,0)))+SUMPRODUCT((Inputs!$E$5:$E$110=$B31)*Inputs!$F$5:$F$110*(((Inputs!$G$5:$G$110="moeda")+(Inputs!$G$5:$G$110="acoes"))*Inputs!$B$1+((Inputs!$G$5:$G$110&lt;&gt;"moeda")*(Inputs!$G$5:$G$110&lt;&gt;"acoes")))*INDEX(Inputs!$K$5:$AJ$110,0,MATCH(AD$2,Inputs!$K$4:$AJ$4,0)))))</f>
        <v>7154</v>
      </c>
      <c r="AE31" s="6" t="e">
        <f>IF(ISNA(MATCH(AE$2,Inputs!$K$4:$AJ$4,0)),NA(),IF(SUMPRODUCT((Inputs!$A$5:$A$110=$B31)*ISNUMBER(INDEX(Inputs!$K$5:$AJ$110,0,MATCH(AE$2,Inputs!$K$4:$AJ$4,0))))+SUMPRODUCT((Inputs!$C$5:$C$110=$B31)*ISNUMBER(INDEX(Inputs!$K$5:$AJ$110,0,MATCH(AE$2,Inputs!$K$4:$AJ$4,0))))+SUMPRODUCT((Inputs!$E$5:$E$110=$B31)*ISNUMBER(INDEX(Inputs!$K$5:$AJ$110,0,MATCH(AE$2,Inputs!$K$4:$AJ$4,0))))=0,NA(),SUMPRODUCT((Inputs!$A$5:$A$110=$B31)*Inputs!$B$5:$B$110*(((Inputs!$G$5:$G$110="moeda")+(Inputs!$G$5:$G$110="acoes"))*Inputs!$B$1+((Inputs!$G$5:$G$110&lt;&gt;"moeda")*(Inputs!$G$5:$G$110&lt;&gt;"acoes")))*INDEX(Inputs!$K$5:$AJ$110,0,MATCH(AE$2,Inputs!$K$4:$AJ$4,0)))+SUMPRODUCT((Inputs!$C$5:$C$110=$B31)*Inputs!$D$5:$D$110*(((Inputs!$G$5:$G$110="moeda")+(Inputs!$G$5:$G$110="acoes"))*Inputs!$B$1+((Inputs!$G$5:$G$110&lt;&gt;"moeda")*(Inputs!$G$5:$G$110&lt;&gt;"acoes")))*INDEX(Inputs!$K$5:$AJ$110,0,MATCH(AE$2,Inputs!$K$4:$AJ$4,0)))+SUMPRODUCT((Inputs!$E$5:$E$110=$B31)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1" s="6" t="e">
        <f>IF(ISNA(MATCH(AF$2,Inputs!$K$4:$AJ$4,0)),NA(),IF(SUMPRODUCT((Inputs!$A$5:$A$110=$B31)*ISNUMBER(INDEX(Inputs!$K$5:$AJ$110,0,MATCH(AF$2,Inputs!$K$4:$AJ$4,0))))+SUMPRODUCT((Inputs!$C$5:$C$110=$B31)*ISNUMBER(INDEX(Inputs!$K$5:$AJ$110,0,MATCH(AF$2,Inputs!$K$4:$AJ$4,0))))+SUMPRODUCT((Inputs!$E$5:$E$110=$B31)*ISNUMBER(INDEX(Inputs!$K$5:$AJ$110,0,MATCH(AF$2,Inputs!$K$4:$AJ$4,0))))=0,NA(),SUMPRODUCT((Inputs!$A$5:$A$110=$B31)*Inputs!$B$5:$B$110*(((Inputs!$G$5:$G$110="moeda")+(Inputs!$G$5:$G$110="acoes"))*Inputs!$B$1+((Inputs!$G$5:$G$110&lt;&gt;"moeda")*(Inputs!$G$5:$G$110&lt;&gt;"acoes")))*INDEX(Inputs!$K$5:$AJ$110,0,MATCH(AF$2,Inputs!$K$4:$AJ$4,0)))+SUMPRODUCT((Inputs!$C$5:$C$110=$B31)*Inputs!$D$5:$D$110*(((Inputs!$G$5:$G$110="moeda")+(Inputs!$G$5:$G$110="acoes"))*Inputs!$B$1+((Inputs!$G$5:$G$110&lt;&gt;"moeda")*(Inputs!$G$5:$G$110&lt;&gt;"acoes")))*INDEX(Inputs!$K$5:$AJ$110,0,MATCH(AF$2,Inputs!$K$4:$AJ$4,0)))+SUMPRODUCT((Inputs!$E$5:$E$110=$B31)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1" s="3" t="e">
        <f>AF31</f>
        <v>#N/A</v>
      </c>
      <c r="AH31" s="6">
        <f>IF(ISNA(MATCH(AH$2,Inputs!$K$4:$AJ$4,0)),NA(),IF(SUMPRODUCT((Inputs!$A$5:$A$110=$B31)*ISNUMBER(INDEX(Inputs!$K$5:$AJ$110,0,MATCH(AH$2,Inputs!$K$4:$AJ$4,0))))+SUMPRODUCT((Inputs!$C$5:$C$110=$B31)*ISNUMBER(INDEX(Inputs!$K$5:$AJ$110,0,MATCH(AH$2,Inputs!$K$4:$AJ$4,0))))+SUMPRODUCT((Inputs!$E$5:$E$110=$B31)*ISNUMBER(INDEX(Inputs!$K$5:$AJ$110,0,MATCH(AH$2,Inputs!$K$4:$AJ$4,0))))=0,NA(),SUMPRODUCT((Inputs!$A$5:$A$110=$B31)*Inputs!$B$5:$B$110*(((Inputs!$G$5:$G$110="moeda")+(Inputs!$G$5:$G$110="acoes"))*Inputs!$B$1+((Inputs!$G$5:$G$110&lt;&gt;"moeda")*(Inputs!$G$5:$G$110&lt;&gt;"acoes")))*INDEX(Inputs!$K$5:$AJ$110,0,MATCH(AH$2,Inputs!$K$4:$AJ$4,0)))+SUMPRODUCT((Inputs!$C$5:$C$110=$B31)*Inputs!$D$5:$D$110*(((Inputs!$G$5:$G$110="moeda")+(Inputs!$G$5:$G$110="acoes"))*Inputs!$B$1+((Inputs!$G$5:$G$110&lt;&gt;"moeda")*(Inputs!$G$5:$G$110&lt;&gt;"acoes")))*INDEX(Inputs!$K$5:$AJ$110,0,MATCH(AH$2,Inputs!$K$4:$AJ$4,0)))+SUMPRODUCT((Inputs!$E$5:$E$110=$B31)*Inputs!$F$5:$F$110*(((Inputs!$G$5:$G$110="moeda")+(Inputs!$G$5:$G$110="acoes"))*Inputs!$B$1+((Inputs!$G$5:$G$110&lt;&gt;"moeda")*(Inputs!$G$5:$G$110&lt;&gt;"acoes")))*INDEX(Inputs!$K$5:$AJ$110,0,MATCH(AH$2,Inputs!$K$4:$AJ$4,0)))))</f>
        <v>1938</v>
      </c>
      <c r="AI31" s="6">
        <f>IF(ISNA(MATCH(AI$2,Inputs!$K$4:$AJ$4,0)),NA(),IF(SUMPRODUCT((Inputs!$A$5:$A$110=$B31)*ISNUMBER(INDEX(Inputs!$K$5:$AJ$110,0,MATCH(AI$2,Inputs!$K$4:$AJ$4,0))))+SUMPRODUCT((Inputs!$C$5:$C$110=$B31)*ISNUMBER(INDEX(Inputs!$K$5:$AJ$110,0,MATCH(AI$2,Inputs!$K$4:$AJ$4,0))))+SUMPRODUCT((Inputs!$E$5:$E$110=$B31)*ISNUMBER(INDEX(Inputs!$K$5:$AJ$110,0,MATCH(AI$2,Inputs!$K$4:$AJ$4,0))))=0,NA(),SUMPRODUCT((Inputs!$A$5:$A$110=$B31)*Inputs!$B$5:$B$110*(((Inputs!$G$5:$G$110="moeda")+(Inputs!$G$5:$G$110="acoes"))*Inputs!$B$1+((Inputs!$G$5:$G$110&lt;&gt;"moeda")*(Inputs!$G$5:$G$110&lt;&gt;"acoes")))*INDEX(Inputs!$K$5:$AJ$110,0,MATCH(AI$2,Inputs!$K$4:$AJ$4,0)))+SUMPRODUCT((Inputs!$C$5:$C$110=$B31)*Inputs!$D$5:$D$110*(((Inputs!$G$5:$G$110="moeda")+(Inputs!$G$5:$G$110="acoes"))*Inputs!$B$1+((Inputs!$G$5:$G$110&lt;&gt;"moeda")*(Inputs!$G$5:$G$110&lt;&gt;"acoes")))*INDEX(Inputs!$K$5:$AJ$110,0,MATCH(AI$2,Inputs!$K$4:$AJ$4,0)))+SUMPRODUCT((Inputs!$E$5:$E$110=$B31)*Inputs!$F$5:$F$110*(((Inputs!$G$5:$G$110="moeda")+(Inputs!$G$5:$G$110="acoes"))*Inputs!$B$1+((Inputs!$G$5:$G$110&lt;&gt;"moeda")*(Inputs!$G$5:$G$110&lt;&gt;"acoes")))*INDEX(Inputs!$K$5:$AJ$110,0,MATCH(AI$2,Inputs!$K$4:$AJ$4,0)))))</f>
        <v>2061</v>
      </c>
      <c r="AJ31" s="6">
        <f>IF(ISNA(MATCH(AJ$2,Inputs!$K$4:$AJ$4,0)),NA(),IF(SUMPRODUCT((Inputs!$A$5:$A$110=$B31)*ISNUMBER(INDEX(Inputs!$K$5:$AJ$110,0,MATCH(AJ$2,Inputs!$K$4:$AJ$4,0))))+SUMPRODUCT((Inputs!$C$5:$C$110=$B31)*ISNUMBER(INDEX(Inputs!$K$5:$AJ$110,0,MATCH(AJ$2,Inputs!$K$4:$AJ$4,0))))+SUMPRODUCT((Inputs!$E$5:$E$110=$B31)*ISNUMBER(INDEX(Inputs!$K$5:$AJ$110,0,MATCH(AJ$2,Inputs!$K$4:$AJ$4,0))))=0,NA(),SUMPRODUCT((Inputs!$A$5:$A$110=$B31)*Inputs!$B$5:$B$110*(((Inputs!$G$5:$G$110="moeda")+(Inputs!$G$5:$G$110="acoes"))*Inputs!$B$1+((Inputs!$G$5:$G$110&lt;&gt;"moeda")*(Inputs!$G$5:$G$110&lt;&gt;"acoes")))*INDEX(Inputs!$K$5:$AJ$110,0,MATCH(AJ$2,Inputs!$K$4:$AJ$4,0)))+SUMPRODUCT((Inputs!$C$5:$C$110=$B31)*Inputs!$D$5:$D$110*(((Inputs!$G$5:$G$110="moeda")+(Inputs!$G$5:$G$110="acoes"))*Inputs!$B$1+((Inputs!$G$5:$G$110&lt;&gt;"moeda")*(Inputs!$G$5:$G$110&lt;&gt;"acoes")))*INDEX(Inputs!$K$5:$AJ$110,0,MATCH(AJ$2,Inputs!$K$4:$AJ$4,0)))+SUMPRODUCT((Inputs!$E$5:$E$110=$B31)*Inputs!$F$5:$F$110*(((Inputs!$G$5:$G$110="moeda")+(Inputs!$G$5:$G$110="acoes"))*Inputs!$B$1+((Inputs!$G$5:$G$110&lt;&gt;"moeda")*(Inputs!$G$5:$G$110&lt;&gt;"acoes")))*INDEX(Inputs!$K$5:$AJ$110,0,MATCH(AJ$2,Inputs!$K$4:$AJ$4,0)))))</f>
        <v>2302</v>
      </c>
      <c r="AK31" s="6">
        <f>IF(ISNA(MATCH(AK$2,Inputs!$K$4:$AJ$4,0)),NA(),IF(SUMPRODUCT((Inputs!$A$5:$A$110=$B31)*ISNUMBER(INDEX(Inputs!$K$5:$AJ$110,0,MATCH(AK$2,Inputs!$K$4:$AJ$4,0))))+SUMPRODUCT((Inputs!$C$5:$C$110=$B31)*ISNUMBER(INDEX(Inputs!$K$5:$AJ$110,0,MATCH(AK$2,Inputs!$K$4:$AJ$4,0))))+SUMPRODUCT((Inputs!$E$5:$E$110=$B31)*ISNUMBER(INDEX(Inputs!$K$5:$AJ$110,0,MATCH(AK$2,Inputs!$K$4:$AJ$4,0))))=0,NA(),SUMPRODUCT((Inputs!$A$5:$A$110=$B31)*Inputs!$B$5:$B$110*(((Inputs!$G$5:$G$110="moeda")+(Inputs!$G$5:$G$110="acoes"))*Inputs!$B$1+((Inputs!$G$5:$G$110&lt;&gt;"moeda")*(Inputs!$G$5:$G$110&lt;&gt;"acoes")))*INDEX(Inputs!$K$5:$AJ$110,0,MATCH(AK$2,Inputs!$K$4:$AJ$4,0)))+SUMPRODUCT((Inputs!$C$5:$C$110=$B31)*Inputs!$D$5:$D$110*(((Inputs!$G$5:$G$110="moeda")+(Inputs!$G$5:$G$110="acoes"))*Inputs!$B$1+((Inputs!$G$5:$G$110&lt;&gt;"moeda")*(Inputs!$G$5:$G$110&lt;&gt;"acoes")))*INDEX(Inputs!$K$5:$AJ$110,0,MATCH(AK$2,Inputs!$K$4:$AJ$4,0)))+SUMPRODUCT((Inputs!$E$5:$E$110=$B31)*Inputs!$F$5:$F$110*(((Inputs!$G$5:$G$110="moeda")+(Inputs!$G$5:$G$110="acoes"))*Inputs!$B$1+((Inputs!$G$5:$G$110&lt;&gt;"moeda")*(Inputs!$G$5:$G$110&lt;&gt;"acoes")))*INDEX(Inputs!$K$5:$AJ$110,0,MATCH(AK$2,Inputs!$K$4:$AJ$4,0)))))</f>
        <v>2543</v>
      </c>
      <c r="AL31" s="3">
        <f>AK31</f>
        <v>2543</v>
      </c>
    </row>
    <row r="32">
      <c r="B32" s="46" t="n">
        <v>27</v>
      </c>
      <c r="C32" s="26" t="inlineStr">
        <is>
          <t>Current portion of long-term debt</t>
        </is>
      </c>
      <c r="D32" s="6" t="e">
        <f>IF(ISNA(MATCH(D$2,Inputs!$K$4:$AJ$4,0)),NA(),IF(SUMPRODUCT((Inputs!$A$5:$A$110=$B32)*ISNUMBER(INDEX(Inputs!$K$5:$AJ$110,0,MATCH(D$2,Inputs!$K$4:$AJ$4,0))))+SUMPRODUCT((Inputs!$C$5:$C$110=$B32)*ISNUMBER(INDEX(Inputs!$K$5:$AJ$110,0,MATCH(D$2,Inputs!$K$4:$AJ$4,0))))+SUMPRODUCT((Inputs!$E$5:$E$110=$B32)*ISNUMBER(INDEX(Inputs!$K$5:$AJ$110,0,MATCH(D$2,Inputs!$K$4:$AJ$4,0))))=0,NA(),SUMPRODUCT((Inputs!$A$5:$A$110=$B32)*Inputs!$B$5:$B$110*(((Inputs!$G$5:$G$110="moeda")+(Inputs!$G$5:$G$110="acoes"))*Inputs!$B$1+((Inputs!$G$5:$G$110&lt;&gt;"moeda")*(Inputs!$G$5:$G$110&lt;&gt;"acoes")))*INDEX(Inputs!$K$5:$AJ$110,0,MATCH(D$2,Inputs!$K$4:$AJ$4,0)))+SUMPRODUCT((Inputs!$C$5:$C$110=$B32)*Inputs!$D$5:$D$110*(((Inputs!$G$5:$G$110="moeda")+(Inputs!$G$5:$G$110="acoes"))*Inputs!$B$1+((Inputs!$G$5:$G$110&lt;&gt;"moeda")*(Inputs!$G$5:$G$110&lt;&gt;"acoes")))*INDEX(Inputs!$K$5:$AJ$110,0,MATCH(D$2,Inputs!$K$4:$AJ$4,0)))+SUMPRODUCT((Inputs!$E$5:$E$110=$B32)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32" s="6" t="e">
        <f>IF(ISNA(MATCH(E$2,Inputs!$K$4:$AJ$4,0)),NA(),IF(SUMPRODUCT((Inputs!$A$5:$A$110=$B32)*ISNUMBER(INDEX(Inputs!$K$5:$AJ$110,0,MATCH(E$2,Inputs!$K$4:$AJ$4,0))))+SUMPRODUCT((Inputs!$C$5:$C$110=$B32)*ISNUMBER(INDEX(Inputs!$K$5:$AJ$110,0,MATCH(E$2,Inputs!$K$4:$AJ$4,0))))+SUMPRODUCT((Inputs!$E$5:$E$110=$B32)*ISNUMBER(INDEX(Inputs!$K$5:$AJ$110,0,MATCH(E$2,Inputs!$K$4:$AJ$4,0))))=0,NA(),SUMPRODUCT((Inputs!$A$5:$A$110=$B32)*Inputs!$B$5:$B$110*(((Inputs!$G$5:$G$110="moeda")+(Inputs!$G$5:$G$110="acoes"))*Inputs!$B$1+((Inputs!$G$5:$G$110&lt;&gt;"moeda")*(Inputs!$G$5:$G$110&lt;&gt;"acoes")))*INDEX(Inputs!$K$5:$AJ$110,0,MATCH(E$2,Inputs!$K$4:$AJ$4,0)))+SUMPRODUCT((Inputs!$C$5:$C$110=$B32)*Inputs!$D$5:$D$110*(((Inputs!$G$5:$G$110="moeda")+(Inputs!$G$5:$G$110="acoes"))*Inputs!$B$1+((Inputs!$G$5:$G$110&lt;&gt;"moeda")*(Inputs!$G$5:$G$110&lt;&gt;"acoes")))*INDEX(Inputs!$K$5:$AJ$110,0,MATCH(E$2,Inputs!$K$4:$AJ$4,0)))+SUMPRODUCT((Inputs!$E$5:$E$110=$B32)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32" s="6" t="e">
        <f>IF(ISNA(MATCH(F$2,Inputs!$K$4:$AJ$4,0)),NA(),IF(SUMPRODUCT((Inputs!$A$5:$A$110=$B32)*ISNUMBER(INDEX(Inputs!$K$5:$AJ$110,0,MATCH(F$2,Inputs!$K$4:$AJ$4,0))))+SUMPRODUCT((Inputs!$C$5:$C$110=$B32)*ISNUMBER(INDEX(Inputs!$K$5:$AJ$110,0,MATCH(F$2,Inputs!$K$4:$AJ$4,0))))+SUMPRODUCT((Inputs!$E$5:$E$110=$B32)*ISNUMBER(INDEX(Inputs!$K$5:$AJ$110,0,MATCH(F$2,Inputs!$K$4:$AJ$4,0))))=0,NA(),SUMPRODUCT((Inputs!$A$5:$A$110=$B32)*Inputs!$B$5:$B$110*(((Inputs!$G$5:$G$110="moeda")+(Inputs!$G$5:$G$110="acoes"))*Inputs!$B$1+((Inputs!$G$5:$G$110&lt;&gt;"moeda")*(Inputs!$G$5:$G$110&lt;&gt;"acoes")))*INDEX(Inputs!$K$5:$AJ$110,0,MATCH(F$2,Inputs!$K$4:$AJ$4,0)))+SUMPRODUCT((Inputs!$C$5:$C$110=$B32)*Inputs!$D$5:$D$110*(((Inputs!$G$5:$G$110="moeda")+(Inputs!$G$5:$G$110="acoes"))*Inputs!$B$1+((Inputs!$G$5:$G$110&lt;&gt;"moeda")*(Inputs!$G$5:$G$110&lt;&gt;"acoes")))*INDEX(Inputs!$K$5:$AJ$110,0,MATCH(F$2,Inputs!$K$4:$AJ$4,0)))+SUMPRODUCT((Inputs!$E$5:$E$110=$B32)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32" s="6" t="e">
        <f>IF(ISNA(MATCH(G$2,Inputs!$K$4:$AJ$4,0)),NA(),IF(SUMPRODUCT((Inputs!$A$5:$A$110=$B32)*ISNUMBER(INDEX(Inputs!$K$5:$AJ$110,0,MATCH(G$2,Inputs!$K$4:$AJ$4,0))))+SUMPRODUCT((Inputs!$C$5:$C$110=$B32)*ISNUMBER(INDEX(Inputs!$K$5:$AJ$110,0,MATCH(G$2,Inputs!$K$4:$AJ$4,0))))+SUMPRODUCT((Inputs!$E$5:$E$110=$B32)*ISNUMBER(INDEX(Inputs!$K$5:$AJ$110,0,MATCH(G$2,Inputs!$K$4:$AJ$4,0))))=0,NA(),SUMPRODUCT((Inputs!$A$5:$A$110=$B32)*Inputs!$B$5:$B$110*(((Inputs!$G$5:$G$110="moeda")+(Inputs!$G$5:$G$110="acoes"))*Inputs!$B$1+((Inputs!$G$5:$G$110&lt;&gt;"moeda")*(Inputs!$G$5:$G$110&lt;&gt;"acoes")))*INDEX(Inputs!$K$5:$AJ$110,0,MATCH(G$2,Inputs!$K$4:$AJ$4,0)))+SUMPRODUCT((Inputs!$C$5:$C$110=$B32)*Inputs!$D$5:$D$110*(((Inputs!$G$5:$G$110="moeda")+(Inputs!$G$5:$G$110="acoes"))*Inputs!$B$1+((Inputs!$G$5:$G$110&lt;&gt;"moeda")*(Inputs!$G$5:$G$110&lt;&gt;"acoes")))*INDEX(Inputs!$K$5:$AJ$110,0,MATCH(G$2,Inputs!$K$4:$AJ$4,0)))+SUMPRODUCT((Inputs!$E$5:$E$110=$B32)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32" s="3" t="e">
        <f>G32</f>
        <v>#N/A</v>
      </c>
      <c r="I32" s="6" t="e">
        <f>IF(ISNA(MATCH(I$2,Inputs!$K$4:$AJ$4,0)),NA(),IF(SUMPRODUCT((Inputs!$A$5:$A$110=$B32)*ISNUMBER(INDEX(Inputs!$K$5:$AJ$110,0,MATCH(I$2,Inputs!$K$4:$AJ$4,0))))+SUMPRODUCT((Inputs!$C$5:$C$110=$B32)*ISNUMBER(INDEX(Inputs!$K$5:$AJ$110,0,MATCH(I$2,Inputs!$K$4:$AJ$4,0))))+SUMPRODUCT((Inputs!$E$5:$E$110=$B32)*ISNUMBER(INDEX(Inputs!$K$5:$AJ$110,0,MATCH(I$2,Inputs!$K$4:$AJ$4,0))))=0,NA(),SUMPRODUCT((Inputs!$A$5:$A$110=$B32)*Inputs!$B$5:$B$110*(((Inputs!$G$5:$G$110="moeda")+(Inputs!$G$5:$G$110="acoes"))*Inputs!$B$1+((Inputs!$G$5:$G$110&lt;&gt;"moeda")*(Inputs!$G$5:$G$110&lt;&gt;"acoes")))*INDEX(Inputs!$K$5:$AJ$110,0,MATCH(I$2,Inputs!$K$4:$AJ$4,0)))+SUMPRODUCT((Inputs!$C$5:$C$110=$B32)*Inputs!$D$5:$D$110*(((Inputs!$G$5:$G$110="moeda")+(Inputs!$G$5:$G$110="acoes"))*Inputs!$B$1+((Inputs!$G$5:$G$110&lt;&gt;"moeda")*(Inputs!$G$5:$G$110&lt;&gt;"acoes")))*INDEX(Inputs!$K$5:$AJ$110,0,MATCH(I$2,Inputs!$K$4:$AJ$4,0)))+SUMPRODUCT((Inputs!$E$5:$E$110=$B32)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32" s="6" t="e">
        <f>IF(ISNA(MATCH(J$2,Inputs!$K$4:$AJ$4,0)),NA(),IF(SUMPRODUCT((Inputs!$A$5:$A$110=$B32)*ISNUMBER(INDEX(Inputs!$K$5:$AJ$110,0,MATCH(J$2,Inputs!$K$4:$AJ$4,0))))+SUMPRODUCT((Inputs!$C$5:$C$110=$B32)*ISNUMBER(INDEX(Inputs!$K$5:$AJ$110,0,MATCH(J$2,Inputs!$K$4:$AJ$4,0))))+SUMPRODUCT((Inputs!$E$5:$E$110=$B32)*ISNUMBER(INDEX(Inputs!$K$5:$AJ$110,0,MATCH(J$2,Inputs!$K$4:$AJ$4,0))))=0,NA(),SUMPRODUCT((Inputs!$A$5:$A$110=$B32)*Inputs!$B$5:$B$110*(((Inputs!$G$5:$G$110="moeda")+(Inputs!$G$5:$G$110="acoes"))*Inputs!$B$1+((Inputs!$G$5:$G$110&lt;&gt;"moeda")*(Inputs!$G$5:$G$110&lt;&gt;"acoes")))*INDEX(Inputs!$K$5:$AJ$110,0,MATCH(J$2,Inputs!$K$4:$AJ$4,0)))+SUMPRODUCT((Inputs!$C$5:$C$110=$B32)*Inputs!$D$5:$D$110*(((Inputs!$G$5:$G$110="moeda")+(Inputs!$G$5:$G$110="acoes"))*Inputs!$B$1+((Inputs!$G$5:$G$110&lt;&gt;"moeda")*(Inputs!$G$5:$G$110&lt;&gt;"acoes")))*INDEX(Inputs!$K$5:$AJ$110,0,MATCH(J$2,Inputs!$K$4:$AJ$4,0)))+SUMPRODUCT((Inputs!$E$5:$E$110=$B32)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32" s="6" t="e">
        <f>IF(ISNA(MATCH(K$2,Inputs!$K$4:$AJ$4,0)),NA(),IF(SUMPRODUCT((Inputs!$A$5:$A$110=$B32)*ISNUMBER(INDEX(Inputs!$K$5:$AJ$110,0,MATCH(K$2,Inputs!$K$4:$AJ$4,0))))+SUMPRODUCT((Inputs!$C$5:$C$110=$B32)*ISNUMBER(INDEX(Inputs!$K$5:$AJ$110,0,MATCH(K$2,Inputs!$K$4:$AJ$4,0))))+SUMPRODUCT((Inputs!$E$5:$E$110=$B32)*ISNUMBER(INDEX(Inputs!$K$5:$AJ$110,0,MATCH(K$2,Inputs!$K$4:$AJ$4,0))))=0,NA(),SUMPRODUCT((Inputs!$A$5:$A$110=$B32)*Inputs!$B$5:$B$110*(((Inputs!$G$5:$G$110="moeda")+(Inputs!$G$5:$G$110="acoes"))*Inputs!$B$1+((Inputs!$G$5:$G$110&lt;&gt;"moeda")*(Inputs!$G$5:$G$110&lt;&gt;"acoes")))*INDEX(Inputs!$K$5:$AJ$110,0,MATCH(K$2,Inputs!$K$4:$AJ$4,0)))+SUMPRODUCT((Inputs!$C$5:$C$110=$B32)*Inputs!$D$5:$D$110*(((Inputs!$G$5:$G$110="moeda")+(Inputs!$G$5:$G$110="acoes"))*Inputs!$B$1+((Inputs!$G$5:$G$110&lt;&gt;"moeda")*(Inputs!$G$5:$G$110&lt;&gt;"acoes")))*INDEX(Inputs!$K$5:$AJ$110,0,MATCH(K$2,Inputs!$K$4:$AJ$4,0)))+SUMPRODUCT((Inputs!$E$5:$E$110=$B32)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32" s="6" t="e">
        <f>IF(ISNA(MATCH(L$2,Inputs!$K$4:$AJ$4,0)),NA(),IF(SUMPRODUCT((Inputs!$A$5:$A$110=$B32)*ISNUMBER(INDEX(Inputs!$K$5:$AJ$110,0,MATCH(L$2,Inputs!$K$4:$AJ$4,0))))+SUMPRODUCT((Inputs!$C$5:$C$110=$B32)*ISNUMBER(INDEX(Inputs!$K$5:$AJ$110,0,MATCH(L$2,Inputs!$K$4:$AJ$4,0))))+SUMPRODUCT((Inputs!$E$5:$E$110=$B32)*ISNUMBER(INDEX(Inputs!$K$5:$AJ$110,0,MATCH(L$2,Inputs!$K$4:$AJ$4,0))))=0,NA(),SUMPRODUCT((Inputs!$A$5:$A$110=$B32)*Inputs!$B$5:$B$110*(((Inputs!$G$5:$G$110="moeda")+(Inputs!$G$5:$G$110="acoes"))*Inputs!$B$1+((Inputs!$G$5:$G$110&lt;&gt;"moeda")*(Inputs!$G$5:$G$110&lt;&gt;"acoes")))*INDEX(Inputs!$K$5:$AJ$110,0,MATCH(L$2,Inputs!$K$4:$AJ$4,0)))+SUMPRODUCT((Inputs!$C$5:$C$110=$B32)*Inputs!$D$5:$D$110*(((Inputs!$G$5:$G$110="moeda")+(Inputs!$G$5:$G$110="acoes"))*Inputs!$B$1+((Inputs!$G$5:$G$110&lt;&gt;"moeda")*(Inputs!$G$5:$G$110&lt;&gt;"acoes")))*INDEX(Inputs!$K$5:$AJ$110,0,MATCH(L$2,Inputs!$K$4:$AJ$4,0)))+SUMPRODUCT((Inputs!$E$5:$E$110=$B32)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32" s="3" t="e">
        <f>L32</f>
        <v>#N/A</v>
      </c>
      <c r="N32" s="6" t="e">
        <f>IF(ISNA(MATCH(N$2,Inputs!$K$4:$AJ$4,0)),NA(),IF(SUMPRODUCT((Inputs!$A$5:$A$110=$B32)*ISNUMBER(INDEX(Inputs!$K$5:$AJ$110,0,MATCH(N$2,Inputs!$K$4:$AJ$4,0))))+SUMPRODUCT((Inputs!$C$5:$C$110=$B32)*ISNUMBER(INDEX(Inputs!$K$5:$AJ$110,0,MATCH(N$2,Inputs!$K$4:$AJ$4,0))))+SUMPRODUCT((Inputs!$E$5:$E$110=$B32)*ISNUMBER(INDEX(Inputs!$K$5:$AJ$110,0,MATCH(N$2,Inputs!$K$4:$AJ$4,0))))=0,NA(),SUMPRODUCT((Inputs!$A$5:$A$110=$B32)*Inputs!$B$5:$B$110*(((Inputs!$G$5:$G$110="moeda")+(Inputs!$G$5:$G$110="acoes"))*Inputs!$B$1+((Inputs!$G$5:$G$110&lt;&gt;"moeda")*(Inputs!$G$5:$G$110&lt;&gt;"acoes")))*INDEX(Inputs!$K$5:$AJ$110,0,MATCH(N$2,Inputs!$K$4:$AJ$4,0)))+SUMPRODUCT((Inputs!$C$5:$C$110=$B32)*Inputs!$D$5:$D$110*(((Inputs!$G$5:$G$110="moeda")+(Inputs!$G$5:$G$110="acoes"))*Inputs!$B$1+((Inputs!$G$5:$G$110&lt;&gt;"moeda")*(Inputs!$G$5:$G$110&lt;&gt;"acoes")))*INDEX(Inputs!$K$5:$AJ$110,0,MATCH(N$2,Inputs!$K$4:$AJ$4,0)))+SUMPRODUCT((Inputs!$E$5:$E$110=$B32)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32" s="6" t="e">
        <f>IF(ISNA(MATCH(O$2,Inputs!$K$4:$AJ$4,0)),NA(),IF(SUMPRODUCT((Inputs!$A$5:$A$110=$B32)*ISNUMBER(INDEX(Inputs!$K$5:$AJ$110,0,MATCH(O$2,Inputs!$K$4:$AJ$4,0))))+SUMPRODUCT((Inputs!$C$5:$C$110=$B32)*ISNUMBER(INDEX(Inputs!$K$5:$AJ$110,0,MATCH(O$2,Inputs!$K$4:$AJ$4,0))))+SUMPRODUCT((Inputs!$E$5:$E$110=$B32)*ISNUMBER(INDEX(Inputs!$K$5:$AJ$110,0,MATCH(O$2,Inputs!$K$4:$AJ$4,0))))=0,NA(),SUMPRODUCT((Inputs!$A$5:$A$110=$B32)*Inputs!$B$5:$B$110*(((Inputs!$G$5:$G$110="moeda")+(Inputs!$G$5:$G$110="acoes"))*Inputs!$B$1+((Inputs!$G$5:$G$110&lt;&gt;"moeda")*(Inputs!$G$5:$G$110&lt;&gt;"acoes")))*INDEX(Inputs!$K$5:$AJ$110,0,MATCH(O$2,Inputs!$K$4:$AJ$4,0)))+SUMPRODUCT((Inputs!$C$5:$C$110=$B32)*Inputs!$D$5:$D$110*(((Inputs!$G$5:$G$110="moeda")+(Inputs!$G$5:$G$110="acoes"))*Inputs!$B$1+((Inputs!$G$5:$G$110&lt;&gt;"moeda")*(Inputs!$G$5:$G$110&lt;&gt;"acoes")))*INDEX(Inputs!$K$5:$AJ$110,0,MATCH(O$2,Inputs!$K$4:$AJ$4,0)))+SUMPRODUCT((Inputs!$E$5:$E$110=$B32)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32" s="6" t="e">
        <f>IF(ISNA(MATCH(P$2,Inputs!$K$4:$AJ$4,0)),NA(),IF(SUMPRODUCT((Inputs!$A$5:$A$110=$B32)*ISNUMBER(INDEX(Inputs!$K$5:$AJ$110,0,MATCH(P$2,Inputs!$K$4:$AJ$4,0))))+SUMPRODUCT((Inputs!$C$5:$C$110=$B32)*ISNUMBER(INDEX(Inputs!$K$5:$AJ$110,0,MATCH(P$2,Inputs!$K$4:$AJ$4,0))))+SUMPRODUCT((Inputs!$E$5:$E$110=$B32)*ISNUMBER(INDEX(Inputs!$K$5:$AJ$110,0,MATCH(P$2,Inputs!$K$4:$AJ$4,0))))=0,NA(),SUMPRODUCT((Inputs!$A$5:$A$110=$B32)*Inputs!$B$5:$B$110*(((Inputs!$G$5:$G$110="moeda")+(Inputs!$G$5:$G$110="acoes"))*Inputs!$B$1+((Inputs!$G$5:$G$110&lt;&gt;"moeda")*(Inputs!$G$5:$G$110&lt;&gt;"acoes")))*INDEX(Inputs!$K$5:$AJ$110,0,MATCH(P$2,Inputs!$K$4:$AJ$4,0)))+SUMPRODUCT((Inputs!$C$5:$C$110=$B32)*Inputs!$D$5:$D$110*(((Inputs!$G$5:$G$110="moeda")+(Inputs!$G$5:$G$110="acoes"))*Inputs!$B$1+((Inputs!$G$5:$G$110&lt;&gt;"moeda")*(Inputs!$G$5:$G$110&lt;&gt;"acoes")))*INDEX(Inputs!$K$5:$AJ$110,0,MATCH(P$2,Inputs!$K$4:$AJ$4,0)))+SUMPRODUCT((Inputs!$E$5:$E$110=$B32)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32" s="6" t="e">
        <f>IF(ISNA(MATCH(Q$2,Inputs!$K$4:$AJ$4,0)),NA(),IF(SUMPRODUCT((Inputs!$A$5:$A$110=$B32)*ISNUMBER(INDEX(Inputs!$K$5:$AJ$110,0,MATCH(Q$2,Inputs!$K$4:$AJ$4,0))))+SUMPRODUCT((Inputs!$C$5:$C$110=$B32)*ISNUMBER(INDEX(Inputs!$K$5:$AJ$110,0,MATCH(Q$2,Inputs!$K$4:$AJ$4,0))))+SUMPRODUCT((Inputs!$E$5:$E$110=$B32)*ISNUMBER(INDEX(Inputs!$K$5:$AJ$110,0,MATCH(Q$2,Inputs!$K$4:$AJ$4,0))))=0,NA(),SUMPRODUCT((Inputs!$A$5:$A$110=$B32)*Inputs!$B$5:$B$110*(((Inputs!$G$5:$G$110="moeda")+(Inputs!$G$5:$G$110="acoes"))*Inputs!$B$1+((Inputs!$G$5:$G$110&lt;&gt;"moeda")*(Inputs!$G$5:$G$110&lt;&gt;"acoes")))*INDEX(Inputs!$K$5:$AJ$110,0,MATCH(Q$2,Inputs!$K$4:$AJ$4,0)))+SUMPRODUCT((Inputs!$C$5:$C$110=$B32)*Inputs!$D$5:$D$110*(((Inputs!$G$5:$G$110="moeda")+(Inputs!$G$5:$G$110="acoes"))*Inputs!$B$1+((Inputs!$G$5:$G$110&lt;&gt;"moeda")*(Inputs!$G$5:$G$110&lt;&gt;"acoes")))*INDEX(Inputs!$K$5:$AJ$110,0,MATCH(Q$2,Inputs!$K$4:$AJ$4,0)))+SUMPRODUCT((Inputs!$E$5:$E$110=$B32)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32" s="3" t="e">
        <f>Q32</f>
        <v>#N/A</v>
      </c>
      <c r="S32" s="6" t="e">
        <f>IF(ISNA(MATCH(S$2,Inputs!$K$4:$AJ$4,0)),NA(),IF(SUMPRODUCT((Inputs!$A$5:$A$110=$B32)*ISNUMBER(INDEX(Inputs!$K$5:$AJ$110,0,MATCH(S$2,Inputs!$K$4:$AJ$4,0))))+SUMPRODUCT((Inputs!$C$5:$C$110=$B32)*ISNUMBER(INDEX(Inputs!$K$5:$AJ$110,0,MATCH(S$2,Inputs!$K$4:$AJ$4,0))))+SUMPRODUCT((Inputs!$E$5:$E$110=$B32)*ISNUMBER(INDEX(Inputs!$K$5:$AJ$110,0,MATCH(S$2,Inputs!$K$4:$AJ$4,0))))=0,NA(),SUMPRODUCT((Inputs!$A$5:$A$110=$B32)*Inputs!$B$5:$B$110*(((Inputs!$G$5:$G$110="moeda")+(Inputs!$G$5:$G$110="acoes"))*Inputs!$B$1+((Inputs!$G$5:$G$110&lt;&gt;"moeda")*(Inputs!$G$5:$G$110&lt;&gt;"acoes")))*INDEX(Inputs!$K$5:$AJ$110,0,MATCH(S$2,Inputs!$K$4:$AJ$4,0)))+SUMPRODUCT((Inputs!$C$5:$C$110=$B32)*Inputs!$D$5:$D$110*(((Inputs!$G$5:$G$110="moeda")+(Inputs!$G$5:$G$110="acoes"))*Inputs!$B$1+((Inputs!$G$5:$G$110&lt;&gt;"moeda")*(Inputs!$G$5:$G$110&lt;&gt;"acoes")))*INDEX(Inputs!$K$5:$AJ$110,0,MATCH(S$2,Inputs!$K$4:$AJ$4,0)))+SUMPRODUCT((Inputs!$E$5:$E$110=$B32)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32" s="6" t="e">
        <f>IF(ISNA(MATCH(T$2,Inputs!$K$4:$AJ$4,0)),NA(),IF(SUMPRODUCT((Inputs!$A$5:$A$110=$B32)*ISNUMBER(INDEX(Inputs!$K$5:$AJ$110,0,MATCH(T$2,Inputs!$K$4:$AJ$4,0))))+SUMPRODUCT((Inputs!$C$5:$C$110=$B32)*ISNUMBER(INDEX(Inputs!$K$5:$AJ$110,0,MATCH(T$2,Inputs!$K$4:$AJ$4,0))))+SUMPRODUCT((Inputs!$E$5:$E$110=$B32)*ISNUMBER(INDEX(Inputs!$K$5:$AJ$110,0,MATCH(T$2,Inputs!$K$4:$AJ$4,0))))=0,NA(),SUMPRODUCT((Inputs!$A$5:$A$110=$B32)*Inputs!$B$5:$B$110*(((Inputs!$G$5:$G$110="moeda")+(Inputs!$G$5:$G$110="acoes"))*Inputs!$B$1+((Inputs!$G$5:$G$110&lt;&gt;"moeda")*(Inputs!$G$5:$G$110&lt;&gt;"acoes")))*INDEX(Inputs!$K$5:$AJ$110,0,MATCH(T$2,Inputs!$K$4:$AJ$4,0)))+SUMPRODUCT((Inputs!$C$5:$C$110=$B32)*Inputs!$D$5:$D$110*(((Inputs!$G$5:$G$110="moeda")+(Inputs!$G$5:$G$110="acoes"))*Inputs!$B$1+((Inputs!$G$5:$G$110&lt;&gt;"moeda")*(Inputs!$G$5:$G$110&lt;&gt;"acoes")))*INDEX(Inputs!$K$5:$AJ$110,0,MATCH(T$2,Inputs!$K$4:$AJ$4,0)))+SUMPRODUCT((Inputs!$E$5:$E$110=$B32)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32" s="6" t="e">
        <f>IF(ISNA(MATCH(U$2,Inputs!$K$4:$AJ$4,0)),NA(),IF(SUMPRODUCT((Inputs!$A$5:$A$110=$B32)*ISNUMBER(INDEX(Inputs!$K$5:$AJ$110,0,MATCH(U$2,Inputs!$K$4:$AJ$4,0))))+SUMPRODUCT((Inputs!$C$5:$C$110=$B32)*ISNUMBER(INDEX(Inputs!$K$5:$AJ$110,0,MATCH(U$2,Inputs!$K$4:$AJ$4,0))))+SUMPRODUCT((Inputs!$E$5:$E$110=$B32)*ISNUMBER(INDEX(Inputs!$K$5:$AJ$110,0,MATCH(U$2,Inputs!$K$4:$AJ$4,0))))=0,NA(),SUMPRODUCT((Inputs!$A$5:$A$110=$B32)*Inputs!$B$5:$B$110*(((Inputs!$G$5:$G$110="moeda")+(Inputs!$G$5:$G$110="acoes"))*Inputs!$B$1+((Inputs!$G$5:$G$110&lt;&gt;"moeda")*(Inputs!$G$5:$G$110&lt;&gt;"acoes")))*INDEX(Inputs!$K$5:$AJ$110,0,MATCH(U$2,Inputs!$K$4:$AJ$4,0)))+SUMPRODUCT((Inputs!$C$5:$C$110=$B32)*Inputs!$D$5:$D$110*(((Inputs!$G$5:$G$110="moeda")+(Inputs!$G$5:$G$110="acoes"))*Inputs!$B$1+((Inputs!$G$5:$G$110&lt;&gt;"moeda")*(Inputs!$G$5:$G$110&lt;&gt;"acoes")))*INDEX(Inputs!$K$5:$AJ$110,0,MATCH(U$2,Inputs!$K$4:$AJ$4,0)))+SUMPRODUCT((Inputs!$E$5:$E$110=$B32)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32" s="6" t="e">
        <f>IF(ISNA(MATCH(V$2,Inputs!$K$4:$AJ$4,0)),NA(),IF(SUMPRODUCT((Inputs!$A$5:$A$110=$B32)*ISNUMBER(INDEX(Inputs!$K$5:$AJ$110,0,MATCH(V$2,Inputs!$K$4:$AJ$4,0))))+SUMPRODUCT((Inputs!$C$5:$C$110=$B32)*ISNUMBER(INDEX(Inputs!$K$5:$AJ$110,0,MATCH(V$2,Inputs!$K$4:$AJ$4,0))))+SUMPRODUCT((Inputs!$E$5:$E$110=$B32)*ISNUMBER(INDEX(Inputs!$K$5:$AJ$110,0,MATCH(V$2,Inputs!$K$4:$AJ$4,0))))=0,NA(),SUMPRODUCT((Inputs!$A$5:$A$110=$B32)*Inputs!$B$5:$B$110*(((Inputs!$G$5:$G$110="moeda")+(Inputs!$G$5:$G$110="acoes"))*Inputs!$B$1+((Inputs!$G$5:$G$110&lt;&gt;"moeda")*(Inputs!$G$5:$G$110&lt;&gt;"acoes")))*INDEX(Inputs!$K$5:$AJ$110,0,MATCH(V$2,Inputs!$K$4:$AJ$4,0)))+SUMPRODUCT((Inputs!$C$5:$C$110=$B32)*Inputs!$D$5:$D$110*(((Inputs!$G$5:$G$110="moeda")+(Inputs!$G$5:$G$110="acoes"))*Inputs!$B$1+((Inputs!$G$5:$G$110&lt;&gt;"moeda")*(Inputs!$G$5:$G$110&lt;&gt;"acoes")))*INDEX(Inputs!$K$5:$AJ$110,0,MATCH(V$2,Inputs!$K$4:$AJ$4,0)))+SUMPRODUCT((Inputs!$E$5:$E$110=$B32)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32" s="3" t="e">
        <f>V32</f>
        <v>#N/A</v>
      </c>
      <c r="X32" s="6" t="e">
        <f>IF(ISNA(MATCH(X$2,Inputs!$K$4:$AJ$4,0)),NA(),IF(SUMPRODUCT((Inputs!$A$5:$A$110=$B32)*ISNUMBER(INDEX(Inputs!$K$5:$AJ$110,0,MATCH(X$2,Inputs!$K$4:$AJ$4,0))))+SUMPRODUCT((Inputs!$C$5:$C$110=$B32)*ISNUMBER(INDEX(Inputs!$K$5:$AJ$110,0,MATCH(X$2,Inputs!$K$4:$AJ$4,0))))+SUMPRODUCT((Inputs!$E$5:$E$110=$B32)*ISNUMBER(INDEX(Inputs!$K$5:$AJ$110,0,MATCH(X$2,Inputs!$K$4:$AJ$4,0))))=0,NA(),SUMPRODUCT((Inputs!$A$5:$A$110=$B32)*Inputs!$B$5:$B$110*(((Inputs!$G$5:$G$110="moeda")+(Inputs!$G$5:$G$110="acoes"))*Inputs!$B$1+((Inputs!$G$5:$G$110&lt;&gt;"moeda")*(Inputs!$G$5:$G$110&lt;&gt;"acoes")))*INDEX(Inputs!$K$5:$AJ$110,0,MATCH(X$2,Inputs!$K$4:$AJ$4,0)))+SUMPRODUCT((Inputs!$C$5:$C$110=$B32)*Inputs!$D$5:$D$110*(((Inputs!$G$5:$G$110="moeda")+(Inputs!$G$5:$G$110="acoes"))*Inputs!$B$1+((Inputs!$G$5:$G$110&lt;&gt;"moeda")*(Inputs!$G$5:$G$110&lt;&gt;"acoes")))*INDEX(Inputs!$K$5:$AJ$110,0,MATCH(X$2,Inputs!$K$4:$AJ$4,0)))+SUMPRODUCT((Inputs!$E$5:$E$110=$B32)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32" s="6" t="e">
        <f>IF(ISNA(MATCH(Y$2,Inputs!$K$4:$AJ$4,0)),NA(),IF(SUMPRODUCT((Inputs!$A$5:$A$110=$B32)*ISNUMBER(INDEX(Inputs!$K$5:$AJ$110,0,MATCH(Y$2,Inputs!$K$4:$AJ$4,0))))+SUMPRODUCT((Inputs!$C$5:$C$110=$B32)*ISNUMBER(INDEX(Inputs!$K$5:$AJ$110,0,MATCH(Y$2,Inputs!$K$4:$AJ$4,0))))+SUMPRODUCT((Inputs!$E$5:$E$110=$B32)*ISNUMBER(INDEX(Inputs!$K$5:$AJ$110,0,MATCH(Y$2,Inputs!$K$4:$AJ$4,0))))=0,NA(),SUMPRODUCT((Inputs!$A$5:$A$110=$B32)*Inputs!$B$5:$B$110*(((Inputs!$G$5:$G$110="moeda")+(Inputs!$G$5:$G$110="acoes"))*Inputs!$B$1+((Inputs!$G$5:$G$110&lt;&gt;"moeda")*(Inputs!$G$5:$G$110&lt;&gt;"acoes")))*INDEX(Inputs!$K$5:$AJ$110,0,MATCH(Y$2,Inputs!$K$4:$AJ$4,0)))+SUMPRODUCT((Inputs!$C$5:$C$110=$B32)*Inputs!$D$5:$D$110*(((Inputs!$G$5:$G$110="moeda")+(Inputs!$G$5:$G$110="acoes"))*Inputs!$B$1+((Inputs!$G$5:$G$110&lt;&gt;"moeda")*(Inputs!$G$5:$G$110&lt;&gt;"acoes")))*INDEX(Inputs!$K$5:$AJ$110,0,MATCH(Y$2,Inputs!$K$4:$AJ$4,0)))+SUMPRODUCT((Inputs!$E$5:$E$110=$B32)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32" s="6" t="e">
        <f>IF(ISNA(MATCH(Z$2,Inputs!$K$4:$AJ$4,0)),NA(),IF(SUMPRODUCT((Inputs!$A$5:$A$110=$B32)*ISNUMBER(INDEX(Inputs!$K$5:$AJ$110,0,MATCH(Z$2,Inputs!$K$4:$AJ$4,0))))+SUMPRODUCT((Inputs!$C$5:$C$110=$B32)*ISNUMBER(INDEX(Inputs!$K$5:$AJ$110,0,MATCH(Z$2,Inputs!$K$4:$AJ$4,0))))+SUMPRODUCT((Inputs!$E$5:$E$110=$B32)*ISNUMBER(INDEX(Inputs!$K$5:$AJ$110,0,MATCH(Z$2,Inputs!$K$4:$AJ$4,0))))=0,NA(),SUMPRODUCT((Inputs!$A$5:$A$110=$B32)*Inputs!$B$5:$B$110*(((Inputs!$G$5:$G$110="moeda")+(Inputs!$G$5:$G$110="acoes"))*Inputs!$B$1+((Inputs!$G$5:$G$110&lt;&gt;"moeda")*(Inputs!$G$5:$G$110&lt;&gt;"acoes")))*INDEX(Inputs!$K$5:$AJ$110,0,MATCH(Z$2,Inputs!$K$4:$AJ$4,0)))+SUMPRODUCT((Inputs!$C$5:$C$110=$B32)*Inputs!$D$5:$D$110*(((Inputs!$G$5:$G$110="moeda")+(Inputs!$G$5:$G$110="acoes"))*Inputs!$B$1+((Inputs!$G$5:$G$110&lt;&gt;"moeda")*(Inputs!$G$5:$G$110&lt;&gt;"acoes")))*INDEX(Inputs!$K$5:$AJ$110,0,MATCH(Z$2,Inputs!$K$4:$AJ$4,0)))+SUMPRODUCT((Inputs!$E$5:$E$110=$B32)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32" s="6" t="e">
        <f>IF(ISNA(MATCH(AA$2,Inputs!$K$4:$AJ$4,0)),NA(),IF(SUMPRODUCT((Inputs!$A$5:$A$110=$B32)*ISNUMBER(INDEX(Inputs!$K$5:$AJ$110,0,MATCH(AA$2,Inputs!$K$4:$AJ$4,0))))+SUMPRODUCT((Inputs!$C$5:$C$110=$B32)*ISNUMBER(INDEX(Inputs!$K$5:$AJ$110,0,MATCH(AA$2,Inputs!$K$4:$AJ$4,0))))+SUMPRODUCT((Inputs!$E$5:$E$110=$B32)*ISNUMBER(INDEX(Inputs!$K$5:$AJ$110,0,MATCH(AA$2,Inputs!$K$4:$AJ$4,0))))=0,NA(),SUMPRODUCT((Inputs!$A$5:$A$110=$B32)*Inputs!$B$5:$B$110*(((Inputs!$G$5:$G$110="moeda")+(Inputs!$G$5:$G$110="acoes"))*Inputs!$B$1+((Inputs!$G$5:$G$110&lt;&gt;"moeda")*(Inputs!$G$5:$G$110&lt;&gt;"acoes")))*INDEX(Inputs!$K$5:$AJ$110,0,MATCH(AA$2,Inputs!$K$4:$AJ$4,0)))+SUMPRODUCT((Inputs!$C$5:$C$110=$B32)*Inputs!$D$5:$D$110*(((Inputs!$G$5:$G$110="moeda")+(Inputs!$G$5:$G$110="acoes"))*Inputs!$B$1+((Inputs!$G$5:$G$110&lt;&gt;"moeda")*(Inputs!$G$5:$G$110&lt;&gt;"acoes")))*INDEX(Inputs!$K$5:$AJ$110,0,MATCH(AA$2,Inputs!$K$4:$AJ$4,0)))+SUMPRODUCT((Inputs!$E$5:$E$110=$B32)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32" s="3" t="e">
        <f>AA32</f>
        <v>#N/A</v>
      </c>
      <c r="AC32" s="6" t="e">
        <f>IF(ISNA(MATCH(AC$2,Inputs!$K$4:$AJ$4,0)),NA(),IF(SUMPRODUCT((Inputs!$A$5:$A$110=$B32)*ISNUMBER(INDEX(Inputs!$K$5:$AJ$110,0,MATCH(AC$2,Inputs!$K$4:$AJ$4,0))))+SUMPRODUCT((Inputs!$C$5:$C$110=$B32)*ISNUMBER(INDEX(Inputs!$K$5:$AJ$110,0,MATCH(AC$2,Inputs!$K$4:$AJ$4,0))))+SUMPRODUCT((Inputs!$E$5:$E$110=$B32)*ISNUMBER(INDEX(Inputs!$K$5:$AJ$110,0,MATCH(AC$2,Inputs!$K$4:$AJ$4,0))))=0,NA(),SUMPRODUCT((Inputs!$A$5:$A$110=$B32)*Inputs!$B$5:$B$110*(((Inputs!$G$5:$G$110="moeda")+(Inputs!$G$5:$G$110="acoes"))*Inputs!$B$1+((Inputs!$G$5:$G$110&lt;&gt;"moeda")*(Inputs!$G$5:$G$110&lt;&gt;"acoes")))*INDEX(Inputs!$K$5:$AJ$110,0,MATCH(AC$2,Inputs!$K$4:$AJ$4,0)))+SUMPRODUCT((Inputs!$C$5:$C$110=$B32)*Inputs!$D$5:$D$110*(((Inputs!$G$5:$G$110="moeda")+(Inputs!$G$5:$G$110="acoes"))*Inputs!$B$1+((Inputs!$G$5:$G$110&lt;&gt;"moeda")*(Inputs!$G$5:$G$110&lt;&gt;"acoes")))*INDEX(Inputs!$K$5:$AJ$110,0,MATCH(AC$2,Inputs!$K$4:$AJ$4,0)))+SUMPRODUCT((Inputs!$E$5:$E$110=$B32)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32" s="6" t="e">
        <f>IF(ISNA(MATCH(AD$2,Inputs!$K$4:$AJ$4,0)),NA(),IF(SUMPRODUCT((Inputs!$A$5:$A$110=$B32)*ISNUMBER(INDEX(Inputs!$K$5:$AJ$110,0,MATCH(AD$2,Inputs!$K$4:$AJ$4,0))))+SUMPRODUCT((Inputs!$C$5:$C$110=$B32)*ISNUMBER(INDEX(Inputs!$K$5:$AJ$110,0,MATCH(AD$2,Inputs!$K$4:$AJ$4,0))))+SUMPRODUCT((Inputs!$E$5:$E$110=$B32)*ISNUMBER(INDEX(Inputs!$K$5:$AJ$110,0,MATCH(AD$2,Inputs!$K$4:$AJ$4,0))))=0,NA(),SUMPRODUCT((Inputs!$A$5:$A$110=$B32)*Inputs!$B$5:$B$110*(((Inputs!$G$5:$G$110="moeda")+(Inputs!$G$5:$G$110="acoes"))*Inputs!$B$1+((Inputs!$G$5:$G$110&lt;&gt;"moeda")*(Inputs!$G$5:$G$110&lt;&gt;"acoes")))*INDEX(Inputs!$K$5:$AJ$110,0,MATCH(AD$2,Inputs!$K$4:$AJ$4,0)))+SUMPRODUCT((Inputs!$C$5:$C$110=$B32)*Inputs!$D$5:$D$110*(((Inputs!$G$5:$G$110="moeda")+(Inputs!$G$5:$G$110="acoes"))*Inputs!$B$1+((Inputs!$G$5:$G$110&lt;&gt;"moeda")*(Inputs!$G$5:$G$110&lt;&gt;"acoes")))*INDEX(Inputs!$K$5:$AJ$110,0,MATCH(AD$2,Inputs!$K$4:$AJ$4,0)))+SUMPRODUCT((Inputs!$E$5:$E$110=$B32)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32" s="6" t="e">
        <f>IF(ISNA(MATCH(AE$2,Inputs!$K$4:$AJ$4,0)),NA(),IF(SUMPRODUCT((Inputs!$A$5:$A$110=$B32)*ISNUMBER(INDEX(Inputs!$K$5:$AJ$110,0,MATCH(AE$2,Inputs!$K$4:$AJ$4,0))))+SUMPRODUCT((Inputs!$C$5:$C$110=$B32)*ISNUMBER(INDEX(Inputs!$K$5:$AJ$110,0,MATCH(AE$2,Inputs!$K$4:$AJ$4,0))))+SUMPRODUCT((Inputs!$E$5:$E$110=$B32)*ISNUMBER(INDEX(Inputs!$K$5:$AJ$110,0,MATCH(AE$2,Inputs!$K$4:$AJ$4,0))))=0,NA(),SUMPRODUCT((Inputs!$A$5:$A$110=$B32)*Inputs!$B$5:$B$110*(((Inputs!$G$5:$G$110="moeda")+(Inputs!$G$5:$G$110="acoes"))*Inputs!$B$1+((Inputs!$G$5:$G$110&lt;&gt;"moeda")*(Inputs!$G$5:$G$110&lt;&gt;"acoes")))*INDEX(Inputs!$K$5:$AJ$110,0,MATCH(AE$2,Inputs!$K$4:$AJ$4,0)))+SUMPRODUCT((Inputs!$C$5:$C$110=$B32)*Inputs!$D$5:$D$110*(((Inputs!$G$5:$G$110="moeda")+(Inputs!$G$5:$G$110="acoes"))*Inputs!$B$1+((Inputs!$G$5:$G$110&lt;&gt;"moeda")*(Inputs!$G$5:$G$110&lt;&gt;"acoes")))*INDEX(Inputs!$K$5:$AJ$110,0,MATCH(AE$2,Inputs!$K$4:$AJ$4,0)))+SUMPRODUCT((Inputs!$E$5:$E$110=$B32)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2" s="6" t="e">
        <f>IF(ISNA(MATCH(AF$2,Inputs!$K$4:$AJ$4,0)),NA(),IF(SUMPRODUCT((Inputs!$A$5:$A$110=$B32)*ISNUMBER(INDEX(Inputs!$K$5:$AJ$110,0,MATCH(AF$2,Inputs!$K$4:$AJ$4,0))))+SUMPRODUCT((Inputs!$C$5:$C$110=$B32)*ISNUMBER(INDEX(Inputs!$K$5:$AJ$110,0,MATCH(AF$2,Inputs!$K$4:$AJ$4,0))))+SUMPRODUCT((Inputs!$E$5:$E$110=$B32)*ISNUMBER(INDEX(Inputs!$K$5:$AJ$110,0,MATCH(AF$2,Inputs!$K$4:$AJ$4,0))))=0,NA(),SUMPRODUCT((Inputs!$A$5:$A$110=$B32)*Inputs!$B$5:$B$110*(((Inputs!$G$5:$G$110="moeda")+(Inputs!$G$5:$G$110="acoes"))*Inputs!$B$1+((Inputs!$G$5:$G$110&lt;&gt;"moeda")*(Inputs!$G$5:$G$110&lt;&gt;"acoes")))*INDEX(Inputs!$K$5:$AJ$110,0,MATCH(AF$2,Inputs!$K$4:$AJ$4,0)))+SUMPRODUCT((Inputs!$C$5:$C$110=$B32)*Inputs!$D$5:$D$110*(((Inputs!$G$5:$G$110="moeda")+(Inputs!$G$5:$G$110="acoes"))*Inputs!$B$1+((Inputs!$G$5:$G$110&lt;&gt;"moeda")*(Inputs!$G$5:$G$110&lt;&gt;"acoes")))*INDEX(Inputs!$K$5:$AJ$110,0,MATCH(AF$2,Inputs!$K$4:$AJ$4,0)))+SUMPRODUCT((Inputs!$E$5:$E$110=$B32)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2" s="3" t="e">
        <f>AF32</f>
        <v>#N/A</v>
      </c>
      <c r="AH32" s="6" t="e">
        <f>IF(ISNA(MATCH(AH$2,Inputs!$K$4:$AJ$4,0)),NA(),IF(SUMPRODUCT((Inputs!$A$5:$A$110=$B32)*ISNUMBER(INDEX(Inputs!$K$5:$AJ$110,0,MATCH(AH$2,Inputs!$K$4:$AJ$4,0))))+SUMPRODUCT((Inputs!$C$5:$C$110=$B32)*ISNUMBER(INDEX(Inputs!$K$5:$AJ$110,0,MATCH(AH$2,Inputs!$K$4:$AJ$4,0))))+SUMPRODUCT((Inputs!$E$5:$E$110=$B32)*ISNUMBER(INDEX(Inputs!$K$5:$AJ$110,0,MATCH(AH$2,Inputs!$K$4:$AJ$4,0))))=0,NA(),SUMPRODUCT((Inputs!$A$5:$A$110=$B32)*Inputs!$B$5:$B$110*(((Inputs!$G$5:$G$110="moeda")+(Inputs!$G$5:$G$110="acoes"))*Inputs!$B$1+((Inputs!$G$5:$G$110&lt;&gt;"moeda")*(Inputs!$G$5:$G$110&lt;&gt;"acoes")))*INDEX(Inputs!$K$5:$AJ$110,0,MATCH(AH$2,Inputs!$K$4:$AJ$4,0)))+SUMPRODUCT((Inputs!$C$5:$C$110=$B32)*Inputs!$D$5:$D$110*(((Inputs!$G$5:$G$110="moeda")+(Inputs!$G$5:$G$110="acoes"))*Inputs!$B$1+((Inputs!$G$5:$G$110&lt;&gt;"moeda")*(Inputs!$G$5:$G$110&lt;&gt;"acoes")))*INDEX(Inputs!$K$5:$AJ$110,0,MATCH(AH$2,Inputs!$K$4:$AJ$4,0)))+SUMPRODUCT((Inputs!$E$5:$E$110=$B32)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32" s="6" t="e">
        <f>IF(ISNA(MATCH(AI$2,Inputs!$K$4:$AJ$4,0)),NA(),IF(SUMPRODUCT((Inputs!$A$5:$A$110=$B32)*ISNUMBER(INDEX(Inputs!$K$5:$AJ$110,0,MATCH(AI$2,Inputs!$K$4:$AJ$4,0))))+SUMPRODUCT((Inputs!$C$5:$C$110=$B32)*ISNUMBER(INDEX(Inputs!$K$5:$AJ$110,0,MATCH(AI$2,Inputs!$K$4:$AJ$4,0))))+SUMPRODUCT((Inputs!$E$5:$E$110=$B32)*ISNUMBER(INDEX(Inputs!$K$5:$AJ$110,0,MATCH(AI$2,Inputs!$K$4:$AJ$4,0))))=0,NA(),SUMPRODUCT((Inputs!$A$5:$A$110=$B32)*Inputs!$B$5:$B$110*(((Inputs!$G$5:$G$110="moeda")+(Inputs!$G$5:$G$110="acoes"))*Inputs!$B$1+((Inputs!$G$5:$G$110&lt;&gt;"moeda")*(Inputs!$G$5:$G$110&lt;&gt;"acoes")))*INDEX(Inputs!$K$5:$AJ$110,0,MATCH(AI$2,Inputs!$K$4:$AJ$4,0)))+SUMPRODUCT((Inputs!$C$5:$C$110=$B32)*Inputs!$D$5:$D$110*(((Inputs!$G$5:$G$110="moeda")+(Inputs!$G$5:$G$110="acoes"))*Inputs!$B$1+((Inputs!$G$5:$G$110&lt;&gt;"moeda")*(Inputs!$G$5:$G$110&lt;&gt;"acoes")))*INDEX(Inputs!$K$5:$AJ$110,0,MATCH(AI$2,Inputs!$K$4:$AJ$4,0)))+SUMPRODUCT((Inputs!$E$5:$E$110=$B32)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32" s="6" t="e">
        <f>IF(ISNA(MATCH(AJ$2,Inputs!$K$4:$AJ$4,0)),NA(),IF(SUMPRODUCT((Inputs!$A$5:$A$110=$B32)*ISNUMBER(INDEX(Inputs!$K$5:$AJ$110,0,MATCH(AJ$2,Inputs!$K$4:$AJ$4,0))))+SUMPRODUCT((Inputs!$C$5:$C$110=$B32)*ISNUMBER(INDEX(Inputs!$K$5:$AJ$110,0,MATCH(AJ$2,Inputs!$K$4:$AJ$4,0))))+SUMPRODUCT((Inputs!$E$5:$E$110=$B32)*ISNUMBER(INDEX(Inputs!$K$5:$AJ$110,0,MATCH(AJ$2,Inputs!$K$4:$AJ$4,0))))=0,NA(),SUMPRODUCT((Inputs!$A$5:$A$110=$B32)*Inputs!$B$5:$B$110*(((Inputs!$G$5:$G$110="moeda")+(Inputs!$G$5:$G$110="acoes"))*Inputs!$B$1+((Inputs!$G$5:$G$110&lt;&gt;"moeda")*(Inputs!$G$5:$G$110&lt;&gt;"acoes")))*INDEX(Inputs!$K$5:$AJ$110,0,MATCH(AJ$2,Inputs!$K$4:$AJ$4,0)))+SUMPRODUCT((Inputs!$C$5:$C$110=$B32)*Inputs!$D$5:$D$110*(((Inputs!$G$5:$G$110="moeda")+(Inputs!$G$5:$G$110="acoes"))*Inputs!$B$1+((Inputs!$G$5:$G$110&lt;&gt;"moeda")*(Inputs!$G$5:$G$110&lt;&gt;"acoes")))*INDEX(Inputs!$K$5:$AJ$110,0,MATCH(AJ$2,Inputs!$K$4:$AJ$4,0)))+SUMPRODUCT((Inputs!$E$5:$E$110=$B32)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32" s="6" t="e">
        <f>IF(ISNA(MATCH(AK$2,Inputs!$K$4:$AJ$4,0)),NA(),IF(SUMPRODUCT((Inputs!$A$5:$A$110=$B32)*ISNUMBER(INDEX(Inputs!$K$5:$AJ$110,0,MATCH(AK$2,Inputs!$K$4:$AJ$4,0))))+SUMPRODUCT((Inputs!$C$5:$C$110=$B32)*ISNUMBER(INDEX(Inputs!$K$5:$AJ$110,0,MATCH(AK$2,Inputs!$K$4:$AJ$4,0))))+SUMPRODUCT((Inputs!$E$5:$E$110=$B32)*ISNUMBER(INDEX(Inputs!$K$5:$AJ$110,0,MATCH(AK$2,Inputs!$K$4:$AJ$4,0))))=0,NA(),SUMPRODUCT((Inputs!$A$5:$A$110=$B32)*Inputs!$B$5:$B$110*(((Inputs!$G$5:$G$110="moeda")+(Inputs!$G$5:$G$110="acoes"))*Inputs!$B$1+((Inputs!$G$5:$G$110&lt;&gt;"moeda")*(Inputs!$G$5:$G$110&lt;&gt;"acoes")))*INDEX(Inputs!$K$5:$AJ$110,0,MATCH(AK$2,Inputs!$K$4:$AJ$4,0)))+SUMPRODUCT((Inputs!$C$5:$C$110=$B32)*Inputs!$D$5:$D$110*(((Inputs!$G$5:$G$110="moeda")+(Inputs!$G$5:$G$110="acoes"))*Inputs!$B$1+((Inputs!$G$5:$G$110&lt;&gt;"moeda")*(Inputs!$G$5:$G$110&lt;&gt;"acoes")))*INDEX(Inputs!$K$5:$AJ$110,0,MATCH(AK$2,Inputs!$K$4:$AJ$4,0)))+SUMPRODUCT((Inputs!$E$5:$E$110=$B32)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32" s="3" t="e">
        <f>AK32</f>
        <v>#N/A</v>
      </c>
    </row>
    <row r="33">
      <c r="B33" s="46" t="n">
        <v>28</v>
      </c>
      <c r="C33" s="26" t="inlineStr">
        <is>
          <t>Short term debt (Revolving credit facility)</t>
        </is>
      </c>
      <c r="D33" s="6" t="e">
        <f>IF(ISNA(MATCH(D$2,Inputs!$K$4:$AJ$4,0)),NA(),IF(SUMPRODUCT((Inputs!$A$5:$A$110=$B33)*ISNUMBER(INDEX(Inputs!$K$5:$AJ$110,0,MATCH(D$2,Inputs!$K$4:$AJ$4,0))))+SUMPRODUCT((Inputs!$C$5:$C$110=$B33)*ISNUMBER(INDEX(Inputs!$K$5:$AJ$110,0,MATCH(D$2,Inputs!$K$4:$AJ$4,0))))+SUMPRODUCT((Inputs!$E$5:$E$110=$B33)*ISNUMBER(INDEX(Inputs!$K$5:$AJ$110,0,MATCH(D$2,Inputs!$K$4:$AJ$4,0))))=0,NA(),SUMPRODUCT((Inputs!$A$5:$A$110=$B33)*Inputs!$B$5:$B$110*(((Inputs!$G$5:$G$110="moeda")+(Inputs!$G$5:$G$110="acoes"))*Inputs!$B$1+((Inputs!$G$5:$G$110&lt;&gt;"moeda")*(Inputs!$G$5:$G$110&lt;&gt;"acoes")))*INDEX(Inputs!$K$5:$AJ$110,0,MATCH(D$2,Inputs!$K$4:$AJ$4,0)))+SUMPRODUCT((Inputs!$C$5:$C$110=$B33)*Inputs!$D$5:$D$110*(((Inputs!$G$5:$G$110="moeda")+(Inputs!$G$5:$G$110="acoes"))*Inputs!$B$1+((Inputs!$G$5:$G$110&lt;&gt;"moeda")*(Inputs!$G$5:$G$110&lt;&gt;"acoes")))*INDEX(Inputs!$K$5:$AJ$110,0,MATCH(D$2,Inputs!$K$4:$AJ$4,0)))+SUMPRODUCT((Inputs!$E$5:$E$110=$B33)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33" s="6" t="e">
        <f>IF(ISNA(MATCH(E$2,Inputs!$K$4:$AJ$4,0)),NA(),IF(SUMPRODUCT((Inputs!$A$5:$A$110=$B33)*ISNUMBER(INDEX(Inputs!$K$5:$AJ$110,0,MATCH(E$2,Inputs!$K$4:$AJ$4,0))))+SUMPRODUCT((Inputs!$C$5:$C$110=$B33)*ISNUMBER(INDEX(Inputs!$K$5:$AJ$110,0,MATCH(E$2,Inputs!$K$4:$AJ$4,0))))+SUMPRODUCT((Inputs!$E$5:$E$110=$B33)*ISNUMBER(INDEX(Inputs!$K$5:$AJ$110,0,MATCH(E$2,Inputs!$K$4:$AJ$4,0))))=0,NA(),SUMPRODUCT((Inputs!$A$5:$A$110=$B33)*Inputs!$B$5:$B$110*(((Inputs!$G$5:$G$110="moeda")+(Inputs!$G$5:$G$110="acoes"))*Inputs!$B$1+((Inputs!$G$5:$G$110&lt;&gt;"moeda")*(Inputs!$G$5:$G$110&lt;&gt;"acoes")))*INDEX(Inputs!$K$5:$AJ$110,0,MATCH(E$2,Inputs!$K$4:$AJ$4,0)))+SUMPRODUCT((Inputs!$C$5:$C$110=$B33)*Inputs!$D$5:$D$110*(((Inputs!$G$5:$G$110="moeda")+(Inputs!$G$5:$G$110="acoes"))*Inputs!$B$1+((Inputs!$G$5:$G$110&lt;&gt;"moeda")*(Inputs!$G$5:$G$110&lt;&gt;"acoes")))*INDEX(Inputs!$K$5:$AJ$110,0,MATCH(E$2,Inputs!$K$4:$AJ$4,0)))+SUMPRODUCT((Inputs!$E$5:$E$110=$B33)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33" s="6" t="e">
        <f>IF(ISNA(MATCH(F$2,Inputs!$K$4:$AJ$4,0)),NA(),IF(SUMPRODUCT((Inputs!$A$5:$A$110=$B33)*ISNUMBER(INDEX(Inputs!$K$5:$AJ$110,0,MATCH(F$2,Inputs!$K$4:$AJ$4,0))))+SUMPRODUCT((Inputs!$C$5:$C$110=$B33)*ISNUMBER(INDEX(Inputs!$K$5:$AJ$110,0,MATCH(F$2,Inputs!$K$4:$AJ$4,0))))+SUMPRODUCT((Inputs!$E$5:$E$110=$B33)*ISNUMBER(INDEX(Inputs!$K$5:$AJ$110,0,MATCH(F$2,Inputs!$K$4:$AJ$4,0))))=0,NA(),SUMPRODUCT((Inputs!$A$5:$A$110=$B33)*Inputs!$B$5:$B$110*(((Inputs!$G$5:$G$110="moeda")+(Inputs!$G$5:$G$110="acoes"))*Inputs!$B$1+((Inputs!$G$5:$G$110&lt;&gt;"moeda")*(Inputs!$G$5:$G$110&lt;&gt;"acoes")))*INDEX(Inputs!$K$5:$AJ$110,0,MATCH(F$2,Inputs!$K$4:$AJ$4,0)))+SUMPRODUCT((Inputs!$C$5:$C$110=$B33)*Inputs!$D$5:$D$110*(((Inputs!$G$5:$G$110="moeda")+(Inputs!$G$5:$G$110="acoes"))*Inputs!$B$1+((Inputs!$G$5:$G$110&lt;&gt;"moeda")*(Inputs!$G$5:$G$110&lt;&gt;"acoes")))*INDEX(Inputs!$K$5:$AJ$110,0,MATCH(F$2,Inputs!$K$4:$AJ$4,0)))+SUMPRODUCT((Inputs!$E$5:$E$110=$B33)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33" s="6" t="e">
        <f>IF(ISNA(MATCH(G$2,Inputs!$K$4:$AJ$4,0)),NA(),IF(SUMPRODUCT((Inputs!$A$5:$A$110=$B33)*ISNUMBER(INDEX(Inputs!$K$5:$AJ$110,0,MATCH(G$2,Inputs!$K$4:$AJ$4,0))))+SUMPRODUCT((Inputs!$C$5:$C$110=$B33)*ISNUMBER(INDEX(Inputs!$K$5:$AJ$110,0,MATCH(G$2,Inputs!$K$4:$AJ$4,0))))+SUMPRODUCT((Inputs!$E$5:$E$110=$B33)*ISNUMBER(INDEX(Inputs!$K$5:$AJ$110,0,MATCH(G$2,Inputs!$K$4:$AJ$4,0))))=0,NA(),SUMPRODUCT((Inputs!$A$5:$A$110=$B33)*Inputs!$B$5:$B$110*(((Inputs!$G$5:$G$110="moeda")+(Inputs!$G$5:$G$110="acoes"))*Inputs!$B$1+((Inputs!$G$5:$G$110&lt;&gt;"moeda")*(Inputs!$G$5:$G$110&lt;&gt;"acoes")))*INDEX(Inputs!$K$5:$AJ$110,0,MATCH(G$2,Inputs!$K$4:$AJ$4,0)))+SUMPRODUCT((Inputs!$C$5:$C$110=$B33)*Inputs!$D$5:$D$110*(((Inputs!$G$5:$G$110="moeda")+(Inputs!$G$5:$G$110="acoes"))*Inputs!$B$1+((Inputs!$G$5:$G$110&lt;&gt;"moeda")*(Inputs!$G$5:$G$110&lt;&gt;"acoes")))*INDEX(Inputs!$K$5:$AJ$110,0,MATCH(G$2,Inputs!$K$4:$AJ$4,0)))+SUMPRODUCT((Inputs!$E$5:$E$110=$B33)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33" s="3" t="e">
        <f>G33</f>
        <v>#N/A</v>
      </c>
      <c r="I33" s="6" t="e">
        <f>IF(ISNA(MATCH(I$2,Inputs!$K$4:$AJ$4,0)),NA(),IF(SUMPRODUCT((Inputs!$A$5:$A$110=$B33)*ISNUMBER(INDEX(Inputs!$K$5:$AJ$110,0,MATCH(I$2,Inputs!$K$4:$AJ$4,0))))+SUMPRODUCT((Inputs!$C$5:$C$110=$B33)*ISNUMBER(INDEX(Inputs!$K$5:$AJ$110,0,MATCH(I$2,Inputs!$K$4:$AJ$4,0))))+SUMPRODUCT((Inputs!$E$5:$E$110=$B33)*ISNUMBER(INDEX(Inputs!$K$5:$AJ$110,0,MATCH(I$2,Inputs!$K$4:$AJ$4,0))))=0,NA(),SUMPRODUCT((Inputs!$A$5:$A$110=$B33)*Inputs!$B$5:$B$110*(((Inputs!$G$5:$G$110="moeda")+(Inputs!$G$5:$G$110="acoes"))*Inputs!$B$1+((Inputs!$G$5:$G$110&lt;&gt;"moeda")*(Inputs!$G$5:$G$110&lt;&gt;"acoes")))*INDEX(Inputs!$K$5:$AJ$110,0,MATCH(I$2,Inputs!$K$4:$AJ$4,0)))+SUMPRODUCT((Inputs!$C$5:$C$110=$B33)*Inputs!$D$5:$D$110*(((Inputs!$G$5:$G$110="moeda")+(Inputs!$G$5:$G$110="acoes"))*Inputs!$B$1+((Inputs!$G$5:$G$110&lt;&gt;"moeda")*(Inputs!$G$5:$G$110&lt;&gt;"acoes")))*INDEX(Inputs!$K$5:$AJ$110,0,MATCH(I$2,Inputs!$K$4:$AJ$4,0)))+SUMPRODUCT((Inputs!$E$5:$E$110=$B33)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33" s="6" t="e">
        <f>IF(ISNA(MATCH(J$2,Inputs!$K$4:$AJ$4,0)),NA(),IF(SUMPRODUCT((Inputs!$A$5:$A$110=$B33)*ISNUMBER(INDEX(Inputs!$K$5:$AJ$110,0,MATCH(J$2,Inputs!$K$4:$AJ$4,0))))+SUMPRODUCT((Inputs!$C$5:$C$110=$B33)*ISNUMBER(INDEX(Inputs!$K$5:$AJ$110,0,MATCH(J$2,Inputs!$K$4:$AJ$4,0))))+SUMPRODUCT((Inputs!$E$5:$E$110=$B33)*ISNUMBER(INDEX(Inputs!$K$5:$AJ$110,0,MATCH(J$2,Inputs!$K$4:$AJ$4,0))))=0,NA(),SUMPRODUCT((Inputs!$A$5:$A$110=$B33)*Inputs!$B$5:$B$110*(((Inputs!$G$5:$G$110="moeda")+(Inputs!$G$5:$G$110="acoes"))*Inputs!$B$1+((Inputs!$G$5:$G$110&lt;&gt;"moeda")*(Inputs!$G$5:$G$110&lt;&gt;"acoes")))*INDEX(Inputs!$K$5:$AJ$110,0,MATCH(J$2,Inputs!$K$4:$AJ$4,0)))+SUMPRODUCT((Inputs!$C$5:$C$110=$B33)*Inputs!$D$5:$D$110*(((Inputs!$G$5:$G$110="moeda")+(Inputs!$G$5:$G$110="acoes"))*Inputs!$B$1+((Inputs!$G$5:$G$110&lt;&gt;"moeda")*(Inputs!$G$5:$G$110&lt;&gt;"acoes")))*INDEX(Inputs!$K$5:$AJ$110,0,MATCH(J$2,Inputs!$K$4:$AJ$4,0)))+SUMPRODUCT((Inputs!$E$5:$E$110=$B33)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33" s="6" t="e">
        <f>IF(ISNA(MATCH(K$2,Inputs!$K$4:$AJ$4,0)),NA(),IF(SUMPRODUCT((Inputs!$A$5:$A$110=$B33)*ISNUMBER(INDEX(Inputs!$K$5:$AJ$110,0,MATCH(K$2,Inputs!$K$4:$AJ$4,0))))+SUMPRODUCT((Inputs!$C$5:$C$110=$B33)*ISNUMBER(INDEX(Inputs!$K$5:$AJ$110,0,MATCH(K$2,Inputs!$K$4:$AJ$4,0))))+SUMPRODUCT((Inputs!$E$5:$E$110=$B33)*ISNUMBER(INDEX(Inputs!$K$5:$AJ$110,0,MATCH(K$2,Inputs!$K$4:$AJ$4,0))))=0,NA(),SUMPRODUCT((Inputs!$A$5:$A$110=$B33)*Inputs!$B$5:$B$110*(((Inputs!$G$5:$G$110="moeda")+(Inputs!$G$5:$G$110="acoes"))*Inputs!$B$1+((Inputs!$G$5:$G$110&lt;&gt;"moeda")*(Inputs!$G$5:$G$110&lt;&gt;"acoes")))*INDEX(Inputs!$K$5:$AJ$110,0,MATCH(K$2,Inputs!$K$4:$AJ$4,0)))+SUMPRODUCT((Inputs!$C$5:$C$110=$B33)*Inputs!$D$5:$D$110*(((Inputs!$G$5:$G$110="moeda")+(Inputs!$G$5:$G$110="acoes"))*Inputs!$B$1+((Inputs!$G$5:$G$110&lt;&gt;"moeda")*(Inputs!$G$5:$G$110&lt;&gt;"acoes")))*INDEX(Inputs!$K$5:$AJ$110,0,MATCH(K$2,Inputs!$K$4:$AJ$4,0)))+SUMPRODUCT((Inputs!$E$5:$E$110=$B33)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33" s="6" t="e">
        <f>IF(ISNA(MATCH(L$2,Inputs!$K$4:$AJ$4,0)),NA(),IF(SUMPRODUCT((Inputs!$A$5:$A$110=$B33)*ISNUMBER(INDEX(Inputs!$K$5:$AJ$110,0,MATCH(L$2,Inputs!$K$4:$AJ$4,0))))+SUMPRODUCT((Inputs!$C$5:$C$110=$B33)*ISNUMBER(INDEX(Inputs!$K$5:$AJ$110,0,MATCH(L$2,Inputs!$K$4:$AJ$4,0))))+SUMPRODUCT((Inputs!$E$5:$E$110=$B33)*ISNUMBER(INDEX(Inputs!$K$5:$AJ$110,0,MATCH(L$2,Inputs!$K$4:$AJ$4,0))))=0,NA(),SUMPRODUCT((Inputs!$A$5:$A$110=$B33)*Inputs!$B$5:$B$110*(((Inputs!$G$5:$G$110="moeda")+(Inputs!$G$5:$G$110="acoes"))*Inputs!$B$1+((Inputs!$G$5:$G$110&lt;&gt;"moeda")*(Inputs!$G$5:$G$110&lt;&gt;"acoes")))*INDEX(Inputs!$K$5:$AJ$110,0,MATCH(L$2,Inputs!$K$4:$AJ$4,0)))+SUMPRODUCT((Inputs!$C$5:$C$110=$B33)*Inputs!$D$5:$D$110*(((Inputs!$G$5:$G$110="moeda")+(Inputs!$G$5:$G$110="acoes"))*Inputs!$B$1+((Inputs!$G$5:$G$110&lt;&gt;"moeda")*(Inputs!$G$5:$G$110&lt;&gt;"acoes")))*INDEX(Inputs!$K$5:$AJ$110,0,MATCH(L$2,Inputs!$K$4:$AJ$4,0)))+SUMPRODUCT((Inputs!$E$5:$E$110=$B33)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33" s="3" t="e">
        <f>L33</f>
        <v>#N/A</v>
      </c>
      <c r="N33" s="6" t="e">
        <f>IF(ISNA(MATCH(N$2,Inputs!$K$4:$AJ$4,0)),NA(),IF(SUMPRODUCT((Inputs!$A$5:$A$110=$B33)*ISNUMBER(INDEX(Inputs!$K$5:$AJ$110,0,MATCH(N$2,Inputs!$K$4:$AJ$4,0))))+SUMPRODUCT((Inputs!$C$5:$C$110=$B33)*ISNUMBER(INDEX(Inputs!$K$5:$AJ$110,0,MATCH(N$2,Inputs!$K$4:$AJ$4,0))))+SUMPRODUCT((Inputs!$E$5:$E$110=$B33)*ISNUMBER(INDEX(Inputs!$K$5:$AJ$110,0,MATCH(N$2,Inputs!$K$4:$AJ$4,0))))=0,NA(),SUMPRODUCT((Inputs!$A$5:$A$110=$B33)*Inputs!$B$5:$B$110*(((Inputs!$G$5:$G$110="moeda")+(Inputs!$G$5:$G$110="acoes"))*Inputs!$B$1+((Inputs!$G$5:$G$110&lt;&gt;"moeda")*(Inputs!$G$5:$G$110&lt;&gt;"acoes")))*INDEX(Inputs!$K$5:$AJ$110,0,MATCH(N$2,Inputs!$K$4:$AJ$4,0)))+SUMPRODUCT((Inputs!$C$5:$C$110=$B33)*Inputs!$D$5:$D$110*(((Inputs!$G$5:$G$110="moeda")+(Inputs!$G$5:$G$110="acoes"))*Inputs!$B$1+((Inputs!$G$5:$G$110&lt;&gt;"moeda")*(Inputs!$G$5:$G$110&lt;&gt;"acoes")))*INDEX(Inputs!$K$5:$AJ$110,0,MATCH(N$2,Inputs!$K$4:$AJ$4,0)))+SUMPRODUCT((Inputs!$E$5:$E$110=$B33)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33" s="6" t="e">
        <f>IF(ISNA(MATCH(O$2,Inputs!$K$4:$AJ$4,0)),NA(),IF(SUMPRODUCT((Inputs!$A$5:$A$110=$B33)*ISNUMBER(INDEX(Inputs!$K$5:$AJ$110,0,MATCH(O$2,Inputs!$K$4:$AJ$4,0))))+SUMPRODUCT((Inputs!$C$5:$C$110=$B33)*ISNUMBER(INDEX(Inputs!$K$5:$AJ$110,0,MATCH(O$2,Inputs!$K$4:$AJ$4,0))))+SUMPRODUCT((Inputs!$E$5:$E$110=$B33)*ISNUMBER(INDEX(Inputs!$K$5:$AJ$110,0,MATCH(O$2,Inputs!$K$4:$AJ$4,0))))=0,NA(),SUMPRODUCT((Inputs!$A$5:$A$110=$B33)*Inputs!$B$5:$B$110*(((Inputs!$G$5:$G$110="moeda")+(Inputs!$G$5:$G$110="acoes"))*Inputs!$B$1+((Inputs!$G$5:$G$110&lt;&gt;"moeda")*(Inputs!$G$5:$G$110&lt;&gt;"acoes")))*INDEX(Inputs!$K$5:$AJ$110,0,MATCH(O$2,Inputs!$K$4:$AJ$4,0)))+SUMPRODUCT((Inputs!$C$5:$C$110=$B33)*Inputs!$D$5:$D$110*(((Inputs!$G$5:$G$110="moeda")+(Inputs!$G$5:$G$110="acoes"))*Inputs!$B$1+((Inputs!$G$5:$G$110&lt;&gt;"moeda")*(Inputs!$G$5:$G$110&lt;&gt;"acoes")))*INDEX(Inputs!$K$5:$AJ$110,0,MATCH(O$2,Inputs!$K$4:$AJ$4,0)))+SUMPRODUCT((Inputs!$E$5:$E$110=$B33)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33" s="6" t="e">
        <f>IF(ISNA(MATCH(P$2,Inputs!$K$4:$AJ$4,0)),NA(),IF(SUMPRODUCT((Inputs!$A$5:$A$110=$B33)*ISNUMBER(INDEX(Inputs!$K$5:$AJ$110,0,MATCH(P$2,Inputs!$K$4:$AJ$4,0))))+SUMPRODUCT((Inputs!$C$5:$C$110=$B33)*ISNUMBER(INDEX(Inputs!$K$5:$AJ$110,0,MATCH(P$2,Inputs!$K$4:$AJ$4,0))))+SUMPRODUCT((Inputs!$E$5:$E$110=$B33)*ISNUMBER(INDEX(Inputs!$K$5:$AJ$110,0,MATCH(P$2,Inputs!$K$4:$AJ$4,0))))=0,NA(),SUMPRODUCT((Inputs!$A$5:$A$110=$B33)*Inputs!$B$5:$B$110*(((Inputs!$G$5:$G$110="moeda")+(Inputs!$G$5:$G$110="acoes"))*Inputs!$B$1+((Inputs!$G$5:$G$110&lt;&gt;"moeda")*(Inputs!$G$5:$G$110&lt;&gt;"acoes")))*INDEX(Inputs!$K$5:$AJ$110,0,MATCH(P$2,Inputs!$K$4:$AJ$4,0)))+SUMPRODUCT((Inputs!$C$5:$C$110=$B33)*Inputs!$D$5:$D$110*(((Inputs!$G$5:$G$110="moeda")+(Inputs!$G$5:$G$110="acoes"))*Inputs!$B$1+((Inputs!$G$5:$G$110&lt;&gt;"moeda")*(Inputs!$G$5:$G$110&lt;&gt;"acoes")))*INDEX(Inputs!$K$5:$AJ$110,0,MATCH(P$2,Inputs!$K$4:$AJ$4,0)))+SUMPRODUCT((Inputs!$E$5:$E$110=$B33)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33" s="6" t="e">
        <f>IF(ISNA(MATCH(Q$2,Inputs!$K$4:$AJ$4,0)),NA(),IF(SUMPRODUCT((Inputs!$A$5:$A$110=$B33)*ISNUMBER(INDEX(Inputs!$K$5:$AJ$110,0,MATCH(Q$2,Inputs!$K$4:$AJ$4,0))))+SUMPRODUCT((Inputs!$C$5:$C$110=$B33)*ISNUMBER(INDEX(Inputs!$K$5:$AJ$110,0,MATCH(Q$2,Inputs!$K$4:$AJ$4,0))))+SUMPRODUCT((Inputs!$E$5:$E$110=$B33)*ISNUMBER(INDEX(Inputs!$K$5:$AJ$110,0,MATCH(Q$2,Inputs!$K$4:$AJ$4,0))))=0,NA(),SUMPRODUCT((Inputs!$A$5:$A$110=$B33)*Inputs!$B$5:$B$110*(((Inputs!$G$5:$G$110="moeda")+(Inputs!$G$5:$G$110="acoes"))*Inputs!$B$1+((Inputs!$G$5:$G$110&lt;&gt;"moeda")*(Inputs!$G$5:$G$110&lt;&gt;"acoes")))*INDEX(Inputs!$K$5:$AJ$110,0,MATCH(Q$2,Inputs!$K$4:$AJ$4,0)))+SUMPRODUCT((Inputs!$C$5:$C$110=$B33)*Inputs!$D$5:$D$110*(((Inputs!$G$5:$G$110="moeda")+(Inputs!$G$5:$G$110="acoes"))*Inputs!$B$1+((Inputs!$G$5:$G$110&lt;&gt;"moeda")*(Inputs!$G$5:$G$110&lt;&gt;"acoes")))*INDEX(Inputs!$K$5:$AJ$110,0,MATCH(Q$2,Inputs!$K$4:$AJ$4,0)))+SUMPRODUCT((Inputs!$E$5:$E$110=$B33)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33" s="3" t="e">
        <f>Q33</f>
        <v>#N/A</v>
      </c>
      <c r="S33" s="6" t="e">
        <f>IF(ISNA(MATCH(S$2,Inputs!$K$4:$AJ$4,0)),NA(),IF(SUMPRODUCT((Inputs!$A$5:$A$110=$B33)*ISNUMBER(INDEX(Inputs!$K$5:$AJ$110,0,MATCH(S$2,Inputs!$K$4:$AJ$4,0))))+SUMPRODUCT((Inputs!$C$5:$C$110=$B33)*ISNUMBER(INDEX(Inputs!$K$5:$AJ$110,0,MATCH(S$2,Inputs!$K$4:$AJ$4,0))))+SUMPRODUCT((Inputs!$E$5:$E$110=$B33)*ISNUMBER(INDEX(Inputs!$K$5:$AJ$110,0,MATCH(S$2,Inputs!$K$4:$AJ$4,0))))=0,NA(),SUMPRODUCT((Inputs!$A$5:$A$110=$B33)*Inputs!$B$5:$B$110*(((Inputs!$G$5:$G$110="moeda")+(Inputs!$G$5:$G$110="acoes"))*Inputs!$B$1+((Inputs!$G$5:$G$110&lt;&gt;"moeda")*(Inputs!$G$5:$G$110&lt;&gt;"acoes")))*INDEX(Inputs!$K$5:$AJ$110,0,MATCH(S$2,Inputs!$K$4:$AJ$4,0)))+SUMPRODUCT((Inputs!$C$5:$C$110=$B33)*Inputs!$D$5:$D$110*(((Inputs!$G$5:$G$110="moeda")+(Inputs!$G$5:$G$110="acoes"))*Inputs!$B$1+((Inputs!$G$5:$G$110&lt;&gt;"moeda")*(Inputs!$G$5:$G$110&lt;&gt;"acoes")))*INDEX(Inputs!$K$5:$AJ$110,0,MATCH(S$2,Inputs!$K$4:$AJ$4,0)))+SUMPRODUCT((Inputs!$E$5:$E$110=$B33)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33" s="6" t="e">
        <f>IF(ISNA(MATCH(T$2,Inputs!$K$4:$AJ$4,0)),NA(),IF(SUMPRODUCT((Inputs!$A$5:$A$110=$B33)*ISNUMBER(INDEX(Inputs!$K$5:$AJ$110,0,MATCH(T$2,Inputs!$K$4:$AJ$4,0))))+SUMPRODUCT((Inputs!$C$5:$C$110=$B33)*ISNUMBER(INDEX(Inputs!$K$5:$AJ$110,0,MATCH(T$2,Inputs!$K$4:$AJ$4,0))))+SUMPRODUCT((Inputs!$E$5:$E$110=$B33)*ISNUMBER(INDEX(Inputs!$K$5:$AJ$110,0,MATCH(T$2,Inputs!$K$4:$AJ$4,0))))=0,NA(),SUMPRODUCT((Inputs!$A$5:$A$110=$B33)*Inputs!$B$5:$B$110*(((Inputs!$G$5:$G$110="moeda")+(Inputs!$G$5:$G$110="acoes"))*Inputs!$B$1+((Inputs!$G$5:$G$110&lt;&gt;"moeda")*(Inputs!$G$5:$G$110&lt;&gt;"acoes")))*INDEX(Inputs!$K$5:$AJ$110,0,MATCH(T$2,Inputs!$K$4:$AJ$4,0)))+SUMPRODUCT((Inputs!$C$5:$C$110=$B33)*Inputs!$D$5:$D$110*(((Inputs!$G$5:$G$110="moeda")+(Inputs!$G$5:$G$110="acoes"))*Inputs!$B$1+((Inputs!$G$5:$G$110&lt;&gt;"moeda")*(Inputs!$G$5:$G$110&lt;&gt;"acoes")))*INDEX(Inputs!$K$5:$AJ$110,0,MATCH(T$2,Inputs!$K$4:$AJ$4,0)))+SUMPRODUCT((Inputs!$E$5:$E$110=$B33)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33" s="6" t="e">
        <f>IF(ISNA(MATCH(U$2,Inputs!$K$4:$AJ$4,0)),NA(),IF(SUMPRODUCT((Inputs!$A$5:$A$110=$B33)*ISNUMBER(INDEX(Inputs!$K$5:$AJ$110,0,MATCH(U$2,Inputs!$K$4:$AJ$4,0))))+SUMPRODUCT((Inputs!$C$5:$C$110=$B33)*ISNUMBER(INDEX(Inputs!$K$5:$AJ$110,0,MATCH(U$2,Inputs!$K$4:$AJ$4,0))))+SUMPRODUCT((Inputs!$E$5:$E$110=$B33)*ISNUMBER(INDEX(Inputs!$K$5:$AJ$110,0,MATCH(U$2,Inputs!$K$4:$AJ$4,0))))=0,NA(),SUMPRODUCT((Inputs!$A$5:$A$110=$B33)*Inputs!$B$5:$B$110*(((Inputs!$G$5:$G$110="moeda")+(Inputs!$G$5:$G$110="acoes"))*Inputs!$B$1+((Inputs!$G$5:$G$110&lt;&gt;"moeda")*(Inputs!$G$5:$G$110&lt;&gt;"acoes")))*INDEX(Inputs!$K$5:$AJ$110,0,MATCH(U$2,Inputs!$K$4:$AJ$4,0)))+SUMPRODUCT((Inputs!$C$5:$C$110=$B33)*Inputs!$D$5:$D$110*(((Inputs!$G$5:$G$110="moeda")+(Inputs!$G$5:$G$110="acoes"))*Inputs!$B$1+((Inputs!$G$5:$G$110&lt;&gt;"moeda")*(Inputs!$G$5:$G$110&lt;&gt;"acoes")))*INDEX(Inputs!$K$5:$AJ$110,0,MATCH(U$2,Inputs!$K$4:$AJ$4,0)))+SUMPRODUCT((Inputs!$E$5:$E$110=$B33)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33" s="6" t="e">
        <f>IF(ISNA(MATCH(V$2,Inputs!$K$4:$AJ$4,0)),NA(),IF(SUMPRODUCT((Inputs!$A$5:$A$110=$B33)*ISNUMBER(INDEX(Inputs!$K$5:$AJ$110,0,MATCH(V$2,Inputs!$K$4:$AJ$4,0))))+SUMPRODUCT((Inputs!$C$5:$C$110=$B33)*ISNUMBER(INDEX(Inputs!$K$5:$AJ$110,0,MATCH(V$2,Inputs!$K$4:$AJ$4,0))))+SUMPRODUCT((Inputs!$E$5:$E$110=$B33)*ISNUMBER(INDEX(Inputs!$K$5:$AJ$110,0,MATCH(V$2,Inputs!$K$4:$AJ$4,0))))=0,NA(),SUMPRODUCT((Inputs!$A$5:$A$110=$B33)*Inputs!$B$5:$B$110*(((Inputs!$G$5:$G$110="moeda")+(Inputs!$G$5:$G$110="acoes"))*Inputs!$B$1+((Inputs!$G$5:$G$110&lt;&gt;"moeda")*(Inputs!$G$5:$G$110&lt;&gt;"acoes")))*INDEX(Inputs!$K$5:$AJ$110,0,MATCH(V$2,Inputs!$K$4:$AJ$4,0)))+SUMPRODUCT((Inputs!$C$5:$C$110=$B33)*Inputs!$D$5:$D$110*(((Inputs!$G$5:$G$110="moeda")+(Inputs!$G$5:$G$110="acoes"))*Inputs!$B$1+((Inputs!$G$5:$G$110&lt;&gt;"moeda")*(Inputs!$G$5:$G$110&lt;&gt;"acoes")))*INDEX(Inputs!$K$5:$AJ$110,0,MATCH(V$2,Inputs!$K$4:$AJ$4,0)))+SUMPRODUCT((Inputs!$E$5:$E$110=$B33)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33" s="3" t="e">
        <f>V33</f>
        <v>#N/A</v>
      </c>
      <c r="X33" s="6" t="e">
        <f>IF(ISNA(MATCH(X$2,Inputs!$K$4:$AJ$4,0)),NA(),IF(SUMPRODUCT((Inputs!$A$5:$A$110=$B33)*ISNUMBER(INDEX(Inputs!$K$5:$AJ$110,0,MATCH(X$2,Inputs!$K$4:$AJ$4,0))))+SUMPRODUCT((Inputs!$C$5:$C$110=$B33)*ISNUMBER(INDEX(Inputs!$K$5:$AJ$110,0,MATCH(X$2,Inputs!$K$4:$AJ$4,0))))+SUMPRODUCT((Inputs!$E$5:$E$110=$B33)*ISNUMBER(INDEX(Inputs!$K$5:$AJ$110,0,MATCH(X$2,Inputs!$K$4:$AJ$4,0))))=0,NA(),SUMPRODUCT((Inputs!$A$5:$A$110=$B33)*Inputs!$B$5:$B$110*(((Inputs!$G$5:$G$110="moeda")+(Inputs!$G$5:$G$110="acoes"))*Inputs!$B$1+((Inputs!$G$5:$G$110&lt;&gt;"moeda")*(Inputs!$G$5:$G$110&lt;&gt;"acoes")))*INDEX(Inputs!$K$5:$AJ$110,0,MATCH(X$2,Inputs!$K$4:$AJ$4,0)))+SUMPRODUCT((Inputs!$C$5:$C$110=$B33)*Inputs!$D$5:$D$110*(((Inputs!$G$5:$G$110="moeda")+(Inputs!$G$5:$G$110="acoes"))*Inputs!$B$1+((Inputs!$G$5:$G$110&lt;&gt;"moeda")*(Inputs!$G$5:$G$110&lt;&gt;"acoes")))*INDEX(Inputs!$K$5:$AJ$110,0,MATCH(X$2,Inputs!$K$4:$AJ$4,0)))+SUMPRODUCT((Inputs!$E$5:$E$110=$B33)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33" s="6" t="e">
        <f>IF(ISNA(MATCH(Y$2,Inputs!$K$4:$AJ$4,0)),NA(),IF(SUMPRODUCT((Inputs!$A$5:$A$110=$B33)*ISNUMBER(INDEX(Inputs!$K$5:$AJ$110,0,MATCH(Y$2,Inputs!$K$4:$AJ$4,0))))+SUMPRODUCT((Inputs!$C$5:$C$110=$B33)*ISNUMBER(INDEX(Inputs!$K$5:$AJ$110,0,MATCH(Y$2,Inputs!$K$4:$AJ$4,0))))+SUMPRODUCT((Inputs!$E$5:$E$110=$B33)*ISNUMBER(INDEX(Inputs!$K$5:$AJ$110,0,MATCH(Y$2,Inputs!$K$4:$AJ$4,0))))=0,NA(),SUMPRODUCT((Inputs!$A$5:$A$110=$B33)*Inputs!$B$5:$B$110*(((Inputs!$G$5:$G$110="moeda")+(Inputs!$G$5:$G$110="acoes"))*Inputs!$B$1+((Inputs!$G$5:$G$110&lt;&gt;"moeda")*(Inputs!$G$5:$G$110&lt;&gt;"acoes")))*INDEX(Inputs!$K$5:$AJ$110,0,MATCH(Y$2,Inputs!$K$4:$AJ$4,0)))+SUMPRODUCT((Inputs!$C$5:$C$110=$B33)*Inputs!$D$5:$D$110*(((Inputs!$G$5:$G$110="moeda")+(Inputs!$G$5:$G$110="acoes"))*Inputs!$B$1+((Inputs!$G$5:$G$110&lt;&gt;"moeda")*(Inputs!$G$5:$G$110&lt;&gt;"acoes")))*INDEX(Inputs!$K$5:$AJ$110,0,MATCH(Y$2,Inputs!$K$4:$AJ$4,0)))+SUMPRODUCT((Inputs!$E$5:$E$110=$B33)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33" s="6" t="e">
        <f>IF(ISNA(MATCH(Z$2,Inputs!$K$4:$AJ$4,0)),NA(),IF(SUMPRODUCT((Inputs!$A$5:$A$110=$B33)*ISNUMBER(INDEX(Inputs!$K$5:$AJ$110,0,MATCH(Z$2,Inputs!$K$4:$AJ$4,0))))+SUMPRODUCT((Inputs!$C$5:$C$110=$B33)*ISNUMBER(INDEX(Inputs!$K$5:$AJ$110,0,MATCH(Z$2,Inputs!$K$4:$AJ$4,0))))+SUMPRODUCT((Inputs!$E$5:$E$110=$B33)*ISNUMBER(INDEX(Inputs!$K$5:$AJ$110,0,MATCH(Z$2,Inputs!$K$4:$AJ$4,0))))=0,NA(),SUMPRODUCT((Inputs!$A$5:$A$110=$B33)*Inputs!$B$5:$B$110*(((Inputs!$G$5:$G$110="moeda")+(Inputs!$G$5:$G$110="acoes"))*Inputs!$B$1+((Inputs!$G$5:$G$110&lt;&gt;"moeda")*(Inputs!$G$5:$G$110&lt;&gt;"acoes")))*INDEX(Inputs!$K$5:$AJ$110,0,MATCH(Z$2,Inputs!$K$4:$AJ$4,0)))+SUMPRODUCT((Inputs!$C$5:$C$110=$B33)*Inputs!$D$5:$D$110*(((Inputs!$G$5:$G$110="moeda")+(Inputs!$G$5:$G$110="acoes"))*Inputs!$B$1+((Inputs!$G$5:$G$110&lt;&gt;"moeda")*(Inputs!$G$5:$G$110&lt;&gt;"acoes")))*INDEX(Inputs!$K$5:$AJ$110,0,MATCH(Z$2,Inputs!$K$4:$AJ$4,0)))+SUMPRODUCT((Inputs!$E$5:$E$110=$B33)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33" s="6" t="e">
        <f>IF(ISNA(MATCH(AA$2,Inputs!$K$4:$AJ$4,0)),NA(),IF(SUMPRODUCT((Inputs!$A$5:$A$110=$B33)*ISNUMBER(INDEX(Inputs!$K$5:$AJ$110,0,MATCH(AA$2,Inputs!$K$4:$AJ$4,0))))+SUMPRODUCT((Inputs!$C$5:$C$110=$B33)*ISNUMBER(INDEX(Inputs!$K$5:$AJ$110,0,MATCH(AA$2,Inputs!$K$4:$AJ$4,0))))+SUMPRODUCT((Inputs!$E$5:$E$110=$B33)*ISNUMBER(INDEX(Inputs!$K$5:$AJ$110,0,MATCH(AA$2,Inputs!$K$4:$AJ$4,0))))=0,NA(),SUMPRODUCT((Inputs!$A$5:$A$110=$B33)*Inputs!$B$5:$B$110*(((Inputs!$G$5:$G$110="moeda")+(Inputs!$G$5:$G$110="acoes"))*Inputs!$B$1+((Inputs!$G$5:$G$110&lt;&gt;"moeda")*(Inputs!$G$5:$G$110&lt;&gt;"acoes")))*INDEX(Inputs!$K$5:$AJ$110,0,MATCH(AA$2,Inputs!$K$4:$AJ$4,0)))+SUMPRODUCT((Inputs!$C$5:$C$110=$B33)*Inputs!$D$5:$D$110*(((Inputs!$G$5:$G$110="moeda")+(Inputs!$G$5:$G$110="acoes"))*Inputs!$B$1+((Inputs!$G$5:$G$110&lt;&gt;"moeda")*(Inputs!$G$5:$G$110&lt;&gt;"acoes")))*INDEX(Inputs!$K$5:$AJ$110,0,MATCH(AA$2,Inputs!$K$4:$AJ$4,0)))+SUMPRODUCT((Inputs!$E$5:$E$110=$B33)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33" s="3" t="e">
        <f>AA33</f>
        <v>#N/A</v>
      </c>
      <c r="AC33" s="6" t="e">
        <f>IF(ISNA(MATCH(AC$2,Inputs!$K$4:$AJ$4,0)),NA(),IF(SUMPRODUCT((Inputs!$A$5:$A$110=$B33)*ISNUMBER(INDEX(Inputs!$K$5:$AJ$110,0,MATCH(AC$2,Inputs!$K$4:$AJ$4,0))))+SUMPRODUCT((Inputs!$C$5:$C$110=$B33)*ISNUMBER(INDEX(Inputs!$K$5:$AJ$110,0,MATCH(AC$2,Inputs!$K$4:$AJ$4,0))))+SUMPRODUCT((Inputs!$E$5:$E$110=$B33)*ISNUMBER(INDEX(Inputs!$K$5:$AJ$110,0,MATCH(AC$2,Inputs!$K$4:$AJ$4,0))))=0,NA(),SUMPRODUCT((Inputs!$A$5:$A$110=$B33)*Inputs!$B$5:$B$110*(((Inputs!$G$5:$G$110="moeda")+(Inputs!$G$5:$G$110="acoes"))*Inputs!$B$1+((Inputs!$G$5:$G$110&lt;&gt;"moeda")*(Inputs!$G$5:$G$110&lt;&gt;"acoes")))*INDEX(Inputs!$K$5:$AJ$110,0,MATCH(AC$2,Inputs!$K$4:$AJ$4,0)))+SUMPRODUCT((Inputs!$C$5:$C$110=$B33)*Inputs!$D$5:$D$110*(((Inputs!$G$5:$G$110="moeda")+(Inputs!$G$5:$G$110="acoes"))*Inputs!$B$1+((Inputs!$G$5:$G$110&lt;&gt;"moeda")*(Inputs!$G$5:$G$110&lt;&gt;"acoes")))*INDEX(Inputs!$K$5:$AJ$110,0,MATCH(AC$2,Inputs!$K$4:$AJ$4,0)))+SUMPRODUCT((Inputs!$E$5:$E$110=$B33)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33" s="6" t="e">
        <f>IF(ISNA(MATCH(AD$2,Inputs!$K$4:$AJ$4,0)),NA(),IF(SUMPRODUCT((Inputs!$A$5:$A$110=$B33)*ISNUMBER(INDEX(Inputs!$K$5:$AJ$110,0,MATCH(AD$2,Inputs!$K$4:$AJ$4,0))))+SUMPRODUCT((Inputs!$C$5:$C$110=$B33)*ISNUMBER(INDEX(Inputs!$K$5:$AJ$110,0,MATCH(AD$2,Inputs!$K$4:$AJ$4,0))))+SUMPRODUCT((Inputs!$E$5:$E$110=$B33)*ISNUMBER(INDEX(Inputs!$K$5:$AJ$110,0,MATCH(AD$2,Inputs!$K$4:$AJ$4,0))))=0,NA(),SUMPRODUCT((Inputs!$A$5:$A$110=$B33)*Inputs!$B$5:$B$110*(((Inputs!$G$5:$G$110="moeda")+(Inputs!$G$5:$G$110="acoes"))*Inputs!$B$1+((Inputs!$G$5:$G$110&lt;&gt;"moeda")*(Inputs!$G$5:$G$110&lt;&gt;"acoes")))*INDEX(Inputs!$K$5:$AJ$110,0,MATCH(AD$2,Inputs!$K$4:$AJ$4,0)))+SUMPRODUCT((Inputs!$C$5:$C$110=$B33)*Inputs!$D$5:$D$110*(((Inputs!$G$5:$G$110="moeda")+(Inputs!$G$5:$G$110="acoes"))*Inputs!$B$1+((Inputs!$G$5:$G$110&lt;&gt;"moeda")*(Inputs!$G$5:$G$110&lt;&gt;"acoes")))*INDEX(Inputs!$K$5:$AJ$110,0,MATCH(AD$2,Inputs!$K$4:$AJ$4,0)))+SUMPRODUCT((Inputs!$E$5:$E$110=$B33)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33" s="6" t="e">
        <f>IF(ISNA(MATCH(AE$2,Inputs!$K$4:$AJ$4,0)),NA(),IF(SUMPRODUCT((Inputs!$A$5:$A$110=$B33)*ISNUMBER(INDEX(Inputs!$K$5:$AJ$110,0,MATCH(AE$2,Inputs!$K$4:$AJ$4,0))))+SUMPRODUCT((Inputs!$C$5:$C$110=$B33)*ISNUMBER(INDEX(Inputs!$K$5:$AJ$110,0,MATCH(AE$2,Inputs!$K$4:$AJ$4,0))))+SUMPRODUCT((Inputs!$E$5:$E$110=$B33)*ISNUMBER(INDEX(Inputs!$K$5:$AJ$110,0,MATCH(AE$2,Inputs!$K$4:$AJ$4,0))))=0,NA(),SUMPRODUCT((Inputs!$A$5:$A$110=$B33)*Inputs!$B$5:$B$110*(((Inputs!$G$5:$G$110="moeda")+(Inputs!$G$5:$G$110="acoes"))*Inputs!$B$1+((Inputs!$G$5:$G$110&lt;&gt;"moeda")*(Inputs!$G$5:$G$110&lt;&gt;"acoes")))*INDEX(Inputs!$K$5:$AJ$110,0,MATCH(AE$2,Inputs!$K$4:$AJ$4,0)))+SUMPRODUCT((Inputs!$C$5:$C$110=$B33)*Inputs!$D$5:$D$110*(((Inputs!$G$5:$G$110="moeda")+(Inputs!$G$5:$G$110="acoes"))*Inputs!$B$1+((Inputs!$G$5:$G$110&lt;&gt;"moeda")*(Inputs!$G$5:$G$110&lt;&gt;"acoes")))*INDEX(Inputs!$K$5:$AJ$110,0,MATCH(AE$2,Inputs!$K$4:$AJ$4,0)))+SUMPRODUCT((Inputs!$E$5:$E$110=$B33)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3" s="6" t="e">
        <f>IF(ISNA(MATCH(AF$2,Inputs!$K$4:$AJ$4,0)),NA(),IF(SUMPRODUCT((Inputs!$A$5:$A$110=$B33)*ISNUMBER(INDEX(Inputs!$K$5:$AJ$110,0,MATCH(AF$2,Inputs!$K$4:$AJ$4,0))))+SUMPRODUCT((Inputs!$C$5:$C$110=$B33)*ISNUMBER(INDEX(Inputs!$K$5:$AJ$110,0,MATCH(AF$2,Inputs!$K$4:$AJ$4,0))))+SUMPRODUCT((Inputs!$E$5:$E$110=$B33)*ISNUMBER(INDEX(Inputs!$K$5:$AJ$110,0,MATCH(AF$2,Inputs!$K$4:$AJ$4,0))))=0,NA(),SUMPRODUCT((Inputs!$A$5:$A$110=$B33)*Inputs!$B$5:$B$110*(((Inputs!$G$5:$G$110="moeda")+(Inputs!$G$5:$G$110="acoes"))*Inputs!$B$1+((Inputs!$G$5:$G$110&lt;&gt;"moeda")*(Inputs!$G$5:$G$110&lt;&gt;"acoes")))*INDEX(Inputs!$K$5:$AJ$110,0,MATCH(AF$2,Inputs!$K$4:$AJ$4,0)))+SUMPRODUCT((Inputs!$C$5:$C$110=$B33)*Inputs!$D$5:$D$110*(((Inputs!$G$5:$G$110="moeda")+(Inputs!$G$5:$G$110="acoes"))*Inputs!$B$1+((Inputs!$G$5:$G$110&lt;&gt;"moeda")*(Inputs!$G$5:$G$110&lt;&gt;"acoes")))*INDEX(Inputs!$K$5:$AJ$110,0,MATCH(AF$2,Inputs!$K$4:$AJ$4,0)))+SUMPRODUCT((Inputs!$E$5:$E$110=$B33)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3" s="3" t="e">
        <f>AF33</f>
        <v>#N/A</v>
      </c>
      <c r="AH33" s="6" t="e">
        <f>IF(ISNA(MATCH(AH$2,Inputs!$K$4:$AJ$4,0)),NA(),IF(SUMPRODUCT((Inputs!$A$5:$A$110=$B33)*ISNUMBER(INDEX(Inputs!$K$5:$AJ$110,0,MATCH(AH$2,Inputs!$K$4:$AJ$4,0))))+SUMPRODUCT((Inputs!$C$5:$C$110=$B33)*ISNUMBER(INDEX(Inputs!$K$5:$AJ$110,0,MATCH(AH$2,Inputs!$K$4:$AJ$4,0))))+SUMPRODUCT((Inputs!$E$5:$E$110=$B33)*ISNUMBER(INDEX(Inputs!$K$5:$AJ$110,0,MATCH(AH$2,Inputs!$K$4:$AJ$4,0))))=0,NA(),SUMPRODUCT((Inputs!$A$5:$A$110=$B33)*Inputs!$B$5:$B$110*(((Inputs!$G$5:$G$110="moeda")+(Inputs!$G$5:$G$110="acoes"))*Inputs!$B$1+((Inputs!$G$5:$G$110&lt;&gt;"moeda")*(Inputs!$G$5:$G$110&lt;&gt;"acoes")))*INDEX(Inputs!$K$5:$AJ$110,0,MATCH(AH$2,Inputs!$K$4:$AJ$4,0)))+SUMPRODUCT((Inputs!$C$5:$C$110=$B33)*Inputs!$D$5:$D$110*(((Inputs!$G$5:$G$110="moeda")+(Inputs!$G$5:$G$110="acoes"))*Inputs!$B$1+((Inputs!$G$5:$G$110&lt;&gt;"moeda")*(Inputs!$G$5:$G$110&lt;&gt;"acoes")))*INDEX(Inputs!$K$5:$AJ$110,0,MATCH(AH$2,Inputs!$K$4:$AJ$4,0)))+SUMPRODUCT((Inputs!$E$5:$E$110=$B33)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33" s="6" t="e">
        <f>IF(ISNA(MATCH(AI$2,Inputs!$K$4:$AJ$4,0)),NA(),IF(SUMPRODUCT((Inputs!$A$5:$A$110=$B33)*ISNUMBER(INDEX(Inputs!$K$5:$AJ$110,0,MATCH(AI$2,Inputs!$K$4:$AJ$4,0))))+SUMPRODUCT((Inputs!$C$5:$C$110=$B33)*ISNUMBER(INDEX(Inputs!$K$5:$AJ$110,0,MATCH(AI$2,Inputs!$K$4:$AJ$4,0))))+SUMPRODUCT((Inputs!$E$5:$E$110=$B33)*ISNUMBER(INDEX(Inputs!$K$5:$AJ$110,0,MATCH(AI$2,Inputs!$K$4:$AJ$4,0))))=0,NA(),SUMPRODUCT((Inputs!$A$5:$A$110=$B33)*Inputs!$B$5:$B$110*(((Inputs!$G$5:$G$110="moeda")+(Inputs!$G$5:$G$110="acoes"))*Inputs!$B$1+((Inputs!$G$5:$G$110&lt;&gt;"moeda")*(Inputs!$G$5:$G$110&lt;&gt;"acoes")))*INDEX(Inputs!$K$5:$AJ$110,0,MATCH(AI$2,Inputs!$K$4:$AJ$4,0)))+SUMPRODUCT((Inputs!$C$5:$C$110=$B33)*Inputs!$D$5:$D$110*(((Inputs!$G$5:$G$110="moeda")+(Inputs!$G$5:$G$110="acoes"))*Inputs!$B$1+((Inputs!$G$5:$G$110&lt;&gt;"moeda")*(Inputs!$G$5:$G$110&lt;&gt;"acoes")))*INDEX(Inputs!$K$5:$AJ$110,0,MATCH(AI$2,Inputs!$K$4:$AJ$4,0)))+SUMPRODUCT((Inputs!$E$5:$E$110=$B33)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33" s="6" t="e">
        <f>IF(ISNA(MATCH(AJ$2,Inputs!$K$4:$AJ$4,0)),NA(),IF(SUMPRODUCT((Inputs!$A$5:$A$110=$B33)*ISNUMBER(INDEX(Inputs!$K$5:$AJ$110,0,MATCH(AJ$2,Inputs!$K$4:$AJ$4,0))))+SUMPRODUCT((Inputs!$C$5:$C$110=$B33)*ISNUMBER(INDEX(Inputs!$K$5:$AJ$110,0,MATCH(AJ$2,Inputs!$K$4:$AJ$4,0))))+SUMPRODUCT((Inputs!$E$5:$E$110=$B33)*ISNUMBER(INDEX(Inputs!$K$5:$AJ$110,0,MATCH(AJ$2,Inputs!$K$4:$AJ$4,0))))=0,NA(),SUMPRODUCT((Inputs!$A$5:$A$110=$B33)*Inputs!$B$5:$B$110*(((Inputs!$G$5:$G$110="moeda")+(Inputs!$G$5:$G$110="acoes"))*Inputs!$B$1+((Inputs!$G$5:$G$110&lt;&gt;"moeda")*(Inputs!$G$5:$G$110&lt;&gt;"acoes")))*INDEX(Inputs!$K$5:$AJ$110,0,MATCH(AJ$2,Inputs!$K$4:$AJ$4,0)))+SUMPRODUCT((Inputs!$C$5:$C$110=$B33)*Inputs!$D$5:$D$110*(((Inputs!$G$5:$G$110="moeda")+(Inputs!$G$5:$G$110="acoes"))*Inputs!$B$1+((Inputs!$G$5:$G$110&lt;&gt;"moeda")*(Inputs!$G$5:$G$110&lt;&gt;"acoes")))*INDEX(Inputs!$K$5:$AJ$110,0,MATCH(AJ$2,Inputs!$K$4:$AJ$4,0)))+SUMPRODUCT((Inputs!$E$5:$E$110=$B33)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33" s="6" t="e">
        <f>IF(ISNA(MATCH(AK$2,Inputs!$K$4:$AJ$4,0)),NA(),IF(SUMPRODUCT((Inputs!$A$5:$A$110=$B33)*ISNUMBER(INDEX(Inputs!$K$5:$AJ$110,0,MATCH(AK$2,Inputs!$K$4:$AJ$4,0))))+SUMPRODUCT((Inputs!$C$5:$C$110=$B33)*ISNUMBER(INDEX(Inputs!$K$5:$AJ$110,0,MATCH(AK$2,Inputs!$K$4:$AJ$4,0))))+SUMPRODUCT((Inputs!$E$5:$E$110=$B33)*ISNUMBER(INDEX(Inputs!$K$5:$AJ$110,0,MATCH(AK$2,Inputs!$K$4:$AJ$4,0))))=0,NA(),SUMPRODUCT((Inputs!$A$5:$A$110=$B33)*Inputs!$B$5:$B$110*(((Inputs!$G$5:$G$110="moeda")+(Inputs!$G$5:$G$110="acoes"))*Inputs!$B$1+((Inputs!$G$5:$G$110&lt;&gt;"moeda")*(Inputs!$G$5:$G$110&lt;&gt;"acoes")))*INDEX(Inputs!$K$5:$AJ$110,0,MATCH(AK$2,Inputs!$K$4:$AJ$4,0)))+SUMPRODUCT((Inputs!$C$5:$C$110=$B33)*Inputs!$D$5:$D$110*(((Inputs!$G$5:$G$110="moeda")+(Inputs!$G$5:$G$110="acoes"))*Inputs!$B$1+((Inputs!$G$5:$G$110&lt;&gt;"moeda")*(Inputs!$G$5:$G$110&lt;&gt;"acoes")))*INDEX(Inputs!$K$5:$AJ$110,0,MATCH(AK$2,Inputs!$K$4:$AJ$4,0)))+SUMPRODUCT((Inputs!$E$5:$E$110=$B33)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33" s="3" t="e">
        <f>AK33</f>
        <v>#N/A</v>
      </c>
    </row>
    <row r="34">
      <c r="B34" s="46" t="n">
        <v>29</v>
      </c>
      <c r="C34" s="26" t="inlineStr">
        <is>
          <t>Short term operating leases</t>
        </is>
      </c>
      <c r="D34" s="6" t="e">
        <f>IF(ISNA(MATCH(D$2,Inputs!$K$4:$AJ$4,0)),NA(),IF(SUMPRODUCT((Inputs!$A$5:$A$110=$B34)*ISNUMBER(INDEX(Inputs!$K$5:$AJ$110,0,MATCH(D$2,Inputs!$K$4:$AJ$4,0))))+SUMPRODUCT((Inputs!$C$5:$C$110=$B34)*ISNUMBER(INDEX(Inputs!$K$5:$AJ$110,0,MATCH(D$2,Inputs!$K$4:$AJ$4,0))))+SUMPRODUCT((Inputs!$E$5:$E$110=$B34)*ISNUMBER(INDEX(Inputs!$K$5:$AJ$110,0,MATCH(D$2,Inputs!$K$4:$AJ$4,0))))=0,NA(),SUMPRODUCT((Inputs!$A$5:$A$110=$B34)*Inputs!$B$5:$B$110*(((Inputs!$G$5:$G$110="moeda")+(Inputs!$G$5:$G$110="acoes"))*Inputs!$B$1+((Inputs!$G$5:$G$110&lt;&gt;"moeda")*(Inputs!$G$5:$G$110&lt;&gt;"acoes")))*INDEX(Inputs!$K$5:$AJ$110,0,MATCH(D$2,Inputs!$K$4:$AJ$4,0)))+SUMPRODUCT((Inputs!$C$5:$C$110=$B34)*Inputs!$D$5:$D$110*(((Inputs!$G$5:$G$110="moeda")+(Inputs!$G$5:$G$110="acoes"))*Inputs!$B$1+((Inputs!$G$5:$G$110&lt;&gt;"moeda")*(Inputs!$G$5:$G$110&lt;&gt;"acoes")))*INDEX(Inputs!$K$5:$AJ$110,0,MATCH(D$2,Inputs!$K$4:$AJ$4,0)))+SUMPRODUCT((Inputs!$E$5:$E$110=$B34)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34" s="6" t="e">
        <f>IF(ISNA(MATCH(E$2,Inputs!$K$4:$AJ$4,0)),NA(),IF(SUMPRODUCT((Inputs!$A$5:$A$110=$B34)*ISNUMBER(INDEX(Inputs!$K$5:$AJ$110,0,MATCH(E$2,Inputs!$K$4:$AJ$4,0))))+SUMPRODUCT((Inputs!$C$5:$C$110=$B34)*ISNUMBER(INDEX(Inputs!$K$5:$AJ$110,0,MATCH(E$2,Inputs!$K$4:$AJ$4,0))))+SUMPRODUCT((Inputs!$E$5:$E$110=$B34)*ISNUMBER(INDEX(Inputs!$K$5:$AJ$110,0,MATCH(E$2,Inputs!$K$4:$AJ$4,0))))=0,NA(),SUMPRODUCT((Inputs!$A$5:$A$110=$B34)*Inputs!$B$5:$B$110*(((Inputs!$G$5:$G$110="moeda")+(Inputs!$G$5:$G$110="acoes"))*Inputs!$B$1+((Inputs!$G$5:$G$110&lt;&gt;"moeda")*(Inputs!$G$5:$G$110&lt;&gt;"acoes")))*INDEX(Inputs!$K$5:$AJ$110,0,MATCH(E$2,Inputs!$K$4:$AJ$4,0)))+SUMPRODUCT((Inputs!$C$5:$C$110=$B34)*Inputs!$D$5:$D$110*(((Inputs!$G$5:$G$110="moeda")+(Inputs!$G$5:$G$110="acoes"))*Inputs!$B$1+((Inputs!$G$5:$G$110&lt;&gt;"moeda")*(Inputs!$G$5:$G$110&lt;&gt;"acoes")))*INDEX(Inputs!$K$5:$AJ$110,0,MATCH(E$2,Inputs!$K$4:$AJ$4,0)))+SUMPRODUCT((Inputs!$E$5:$E$110=$B34)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34" s="6" t="e">
        <f>IF(ISNA(MATCH(F$2,Inputs!$K$4:$AJ$4,0)),NA(),IF(SUMPRODUCT((Inputs!$A$5:$A$110=$B34)*ISNUMBER(INDEX(Inputs!$K$5:$AJ$110,0,MATCH(F$2,Inputs!$K$4:$AJ$4,0))))+SUMPRODUCT((Inputs!$C$5:$C$110=$B34)*ISNUMBER(INDEX(Inputs!$K$5:$AJ$110,0,MATCH(F$2,Inputs!$K$4:$AJ$4,0))))+SUMPRODUCT((Inputs!$E$5:$E$110=$B34)*ISNUMBER(INDEX(Inputs!$K$5:$AJ$110,0,MATCH(F$2,Inputs!$K$4:$AJ$4,0))))=0,NA(),SUMPRODUCT((Inputs!$A$5:$A$110=$B34)*Inputs!$B$5:$B$110*(((Inputs!$G$5:$G$110="moeda")+(Inputs!$G$5:$G$110="acoes"))*Inputs!$B$1+((Inputs!$G$5:$G$110&lt;&gt;"moeda")*(Inputs!$G$5:$G$110&lt;&gt;"acoes")))*INDEX(Inputs!$K$5:$AJ$110,0,MATCH(F$2,Inputs!$K$4:$AJ$4,0)))+SUMPRODUCT((Inputs!$C$5:$C$110=$B34)*Inputs!$D$5:$D$110*(((Inputs!$G$5:$G$110="moeda")+(Inputs!$G$5:$G$110="acoes"))*Inputs!$B$1+((Inputs!$G$5:$G$110&lt;&gt;"moeda")*(Inputs!$G$5:$G$110&lt;&gt;"acoes")))*INDEX(Inputs!$K$5:$AJ$110,0,MATCH(F$2,Inputs!$K$4:$AJ$4,0)))+SUMPRODUCT((Inputs!$E$5:$E$110=$B34)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34" s="6" t="e">
        <f>IF(ISNA(MATCH(G$2,Inputs!$K$4:$AJ$4,0)),NA(),IF(SUMPRODUCT((Inputs!$A$5:$A$110=$B34)*ISNUMBER(INDEX(Inputs!$K$5:$AJ$110,0,MATCH(G$2,Inputs!$K$4:$AJ$4,0))))+SUMPRODUCT((Inputs!$C$5:$C$110=$B34)*ISNUMBER(INDEX(Inputs!$K$5:$AJ$110,0,MATCH(G$2,Inputs!$K$4:$AJ$4,0))))+SUMPRODUCT((Inputs!$E$5:$E$110=$B34)*ISNUMBER(INDEX(Inputs!$K$5:$AJ$110,0,MATCH(G$2,Inputs!$K$4:$AJ$4,0))))=0,NA(),SUMPRODUCT((Inputs!$A$5:$A$110=$B34)*Inputs!$B$5:$B$110*(((Inputs!$G$5:$G$110="moeda")+(Inputs!$G$5:$G$110="acoes"))*Inputs!$B$1+((Inputs!$G$5:$G$110&lt;&gt;"moeda")*(Inputs!$G$5:$G$110&lt;&gt;"acoes")))*INDEX(Inputs!$K$5:$AJ$110,0,MATCH(G$2,Inputs!$K$4:$AJ$4,0)))+SUMPRODUCT((Inputs!$C$5:$C$110=$B34)*Inputs!$D$5:$D$110*(((Inputs!$G$5:$G$110="moeda")+(Inputs!$G$5:$G$110="acoes"))*Inputs!$B$1+((Inputs!$G$5:$G$110&lt;&gt;"moeda")*(Inputs!$G$5:$G$110&lt;&gt;"acoes")))*INDEX(Inputs!$K$5:$AJ$110,0,MATCH(G$2,Inputs!$K$4:$AJ$4,0)))+SUMPRODUCT((Inputs!$E$5:$E$110=$B34)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34" s="3" t="e">
        <f>G34</f>
        <v>#N/A</v>
      </c>
      <c r="I34" s="6" t="e">
        <f>IF(ISNA(MATCH(I$2,Inputs!$K$4:$AJ$4,0)),NA(),IF(SUMPRODUCT((Inputs!$A$5:$A$110=$B34)*ISNUMBER(INDEX(Inputs!$K$5:$AJ$110,0,MATCH(I$2,Inputs!$K$4:$AJ$4,0))))+SUMPRODUCT((Inputs!$C$5:$C$110=$B34)*ISNUMBER(INDEX(Inputs!$K$5:$AJ$110,0,MATCH(I$2,Inputs!$K$4:$AJ$4,0))))+SUMPRODUCT((Inputs!$E$5:$E$110=$B34)*ISNUMBER(INDEX(Inputs!$K$5:$AJ$110,0,MATCH(I$2,Inputs!$K$4:$AJ$4,0))))=0,NA(),SUMPRODUCT((Inputs!$A$5:$A$110=$B34)*Inputs!$B$5:$B$110*(((Inputs!$G$5:$G$110="moeda")+(Inputs!$G$5:$G$110="acoes"))*Inputs!$B$1+((Inputs!$G$5:$G$110&lt;&gt;"moeda")*(Inputs!$G$5:$G$110&lt;&gt;"acoes")))*INDEX(Inputs!$K$5:$AJ$110,0,MATCH(I$2,Inputs!$K$4:$AJ$4,0)))+SUMPRODUCT((Inputs!$C$5:$C$110=$B34)*Inputs!$D$5:$D$110*(((Inputs!$G$5:$G$110="moeda")+(Inputs!$G$5:$G$110="acoes"))*Inputs!$B$1+((Inputs!$G$5:$G$110&lt;&gt;"moeda")*(Inputs!$G$5:$G$110&lt;&gt;"acoes")))*INDEX(Inputs!$K$5:$AJ$110,0,MATCH(I$2,Inputs!$K$4:$AJ$4,0)))+SUMPRODUCT((Inputs!$E$5:$E$110=$B34)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34" s="6" t="e">
        <f>IF(ISNA(MATCH(J$2,Inputs!$K$4:$AJ$4,0)),NA(),IF(SUMPRODUCT((Inputs!$A$5:$A$110=$B34)*ISNUMBER(INDEX(Inputs!$K$5:$AJ$110,0,MATCH(J$2,Inputs!$K$4:$AJ$4,0))))+SUMPRODUCT((Inputs!$C$5:$C$110=$B34)*ISNUMBER(INDEX(Inputs!$K$5:$AJ$110,0,MATCH(J$2,Inputs!$K$4:$AJ$4,0))))+SUMPRODUCT((Inputs!$E$5:$E$110=$B34)*ISNUMBER(INDEX(Inputs!$K$5:$AJ$110,0,MATCH(J$2,Inputs!$K$4:$AJ$4,0))))=0,NA(),SUMPRODUCT((Inputs!$A$5:$A$110=$B34)*Inputs!$B$5:$B$110*(((Inputs!$G$5:$G$110="moeda")+(Inputs!$G$5:$G$110="acoes"))*Inputs!$B$1+((Inputs!$G$5:$G$110&lt;&gt;"moeda")*(Inputs!$G$5:$G$110&lt;&gt;"acoes")))*INDEX(Inputs!$K$5:$AJ$110,0,MATCH(J$2,Inputs!$K$4:$AJ$4,0)))+SUMPRODUCT((Inputs!$C$5:$C$110=$B34)*Inputs!$D$5:$D$110*(((Inputs!$G$5:$G$110="moeda")+(Inputs!$G$5:$G$110="acoes"))*Inputs!$B$1+((Inputs!$G$5:$G$110&lt;&gt;"moeda")*(Inputs!$G$5:$G$110&lt;&gt;"acoes")))*INDEX(Inputs!$K$5:$AJ$110,0,MATCH(J$2,Inputs!$K$4:$AJ$4,0)))+SUMPRODUCT((Inputs!$E$5:$E$110=$B34)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34" s="6" t="e">
        <f>IF(ISNA(MATCH(K$2,Inputs!$K$4:$AJ$4,0)),NA(),IF(SUMPRODUCT((Inputs!$A$5:$A$110=$B34)*ISNUMBER(INDEX(Inputs!$K$5:$AJ$110,0,MATCH(K$2,Inputs!$K$4:$AJ$4,0))))+SUMPRODUCT((Inputs!$C$5:$C$110=$B34)*ISNUMBER(INDEX(Inputs!$K$5:$AJ$110,0,MATCH(K$2,Inputs!$K$4:$AJ$4,0))))+SUMPRODUCT((Inputs!$E$5:$E$110=$B34)*ISNUMBER(INDEX(Inputs!$K$5:$AJ$110,0,MATCH(K$2,Inputs!$K$4:$AJ$4,0))))=0,NA(),SUMPRODUCT((Inputs!$A$5:$A$110=$B34)*Inputs!$B$5:$B$110*(((Inputs!$G$5:$G$110="moeda")+(Inputs!$G$5:$G$110="acoes"))*Inputs!$B$1+((Inputs!$G$5:$G$110&lt;&gt;"moeda")*(Inputs!$G$5:$G$110&lt;&gt;"acoes")))*INDEX(Inputs!$K$5:$AJ$110,0,MATCH(K$2,Inputs!$K$4:$AJ$4,0)))+SUMPRODUCT((Inputs!$C$5:$C$110=$B34)*Inputs!$D$5:$D$110*(((Inputs!$G$5:$G$110="moeda")+(Inputs!$G$5:$G$110="acoes"))*Inputs!$B$1+((Inputs!$G$5:$G$110&lt;&gt;"moeda")*(Inputs!$G$5:$G$110&lt;&gt;"acoes")))*INDEX(Inputs!$K$5:$AJ$110,0,MATCH(K$2,Inputs!$K$4:$AJ$4,0)))+SUMPRODUCT((Inputs!$E$5:$E$110=$B34)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34" s="6" t="e">
        <f>IF(ISNA(MATCH(L$2,Inputs!$K$4:$AJ$4,0)),NA(),IF(SUMPRODUCT((Inputs!$A$5:$A$110=$B34)*ISNUMBER(INDEX(Inputs!$K$5:$AJ$110,0,MATCH(L$2,Inputs!$K$4:$AJ$4,0))))+SUMPRODUCT((Inputs!$C$5:$C$110=$B34)*ISNUMBER(INDEX(Inputs!$K$5:$AJ$110,0,MATCH(L$2,Inputs!$K$4:$AJ$4,0))))+SUMPRODUCT((Inputs!$E$5:$E$110=$B34)*ISNUMBER(INDEX(Inputs!$K$5:$AJ$110,0,MATCH(L$2,Inputs!$K$4:$AJ$4,0))))=0,NA(),SUMPRODUCT((Inputs!$A$5:$A$110=$B34)*Inputs!$B$5:$B$110*(((Inputs!$G$5:$G$110="moeda")+(Inputs!$G$5:$G$110="acoes"))*Inputs!$B$1+((Inputs!$G$5:$G$110&lt;&gt;"moeda")*(Inputs!$G$5:$G$110&lt;&gt;"acoes")))*INDEX(Inputs!$K$5:$AJ$110,0,MATCH(L$2,Inputs!$K$4:$AJ$4,0)))+SUMPRODUCT((Inputs!$C$5:$C$110=$B34)*Inputs!$D$5:$D$110*(((Inputs!$G$5:$G$110="moeda")+(Inputs!$G$5:$G$110="acoes"))*Inputs!$B$1+((Inputs!$G$5:$G$110&lt;&gt;"moeda")*(Inputs!$G$5:$G$110&lt;&gt;"acoes")))*INDEX(Inputs!$K$5:$AJ$110,0,MATCH(L$2,Inputs!$K$4:$AJ$4,0)))+SUMPRODUCT((Inputs!$E$5:$E$110=$B34)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34" s="3" t="e">
        <f>L34</f>
        <v>#N/A</v>
      </c>
      <c r="N34" s="6" t="e">
        <f>IF(ISNA(MATCH(N$2,Inputs!$K$4:$AJ$4,0)),NA(),IF(SUMPRODUCT((Inputs!$A$5:$A$110=$B34)*ISNUMBER(INDEX(Inputs!$K$5:$AJ$110,0,MATCH(N$2,Inputs!$K$4:$AJ$4,0))))+SUMPRODUCT((Inputs!$C$5:$C$110=$B34)*ISNUMBER(INDEX(Inputs!$K$5:$AJ$110,0,MATCH(N$2,Inputs!$K$4:$AJ$4,0))))+SUMPRODUCT((Inputs!$E$5:$E$110=$B34)*ISNUMBER(INDEX(Inputs!$K$5:$AJ$110,0,MATCH(N$2,Inputs!$K$4:$AJ$4,0))))=0,NA(),SUMPRODUCT((Inputs!$A$5:$A$110=$B34)*Inputs!$B$5:$B$110*(((Inputs!$G$5:$G$110="moeda")+(Inputs!$G$5:$G$110="acoes"))*Inputs!$B$1+((Inputs!$G$5:$G$110&lt;&gt;"moeda")*(Inputs!$G$5:$G$110&lt;&gt;"acoes")))*INDEX(Inputs!$K$5:$AJ$110,0,MATCH(N$2,Inputs!$K$4:$AJ$4,0)))+SUMPRODUCT((Inputs!$C$5:$C$110=$B34)*Inputs!$D$5:$D$110*(((Inputs!$G$5:$G$110="moeda")+(Inputs!$G$5:$G$110="acoes"))*Inputs!$B$1+((Inputs!$G$5:$G$110&lt;&gt;"moeda")*(Inputs!$G$5:$G$110&lt;&gt;"acoes")))*INDEX(Inputs!$K$5:$AJ$110,0,MATCH(N$2,Inputs!$K$4:$AJ$4,0)))+SUMPRODUCT((Inputs!$E$5:$E$110=$B34)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34" s="6" t="e">
        <f>IF(ISNA(MATCH(O$2,Inputs!$K$4:$AJ$4,0)),NA(),IF(SUMPRODUCT((Inputs!$A$5:$A$110=$B34)*ISNUMBER(INDEX(Inputs!$K$5:$AJ$110,0,MATCH(O$2,Inputs!$K$4:$AJ$4,0))))+SUMPRODUCT((Inputs!$C$5:$C$110=$B34)*ISNUMBER(INDEX(Inputs!$K$5:$AJ$110,0,MATCH(O$2,Inputs!$K$4:$AJ$4,0))))+SUMPRODUCT((Inputs!$E$5:$E$110=$B34)*ISNUMBER(INDEX(Inputs!$K$5:$AJ$110,0,MATCH(O$2,Inputs!$K$4:$AJ$4,0))))=0,NA(),SUMPRODUCT((Inputs!$A$5:$A$110=$B34)*Inputs!$B$5:$B$110*(((Inputs!$G$5:$G$110="moeda")+(Inputs!$G$5:$G$110="acoes"))*Inputs!$B$1+((Inputs!$G$5:$G$110&lt;&gt;"moeda")*(Inputs!$G$5:$G$110&lt;&gt;"acoes")))*INDEX(Inputs!$K$5:$AJ$110,0,MATCH(O$2,Inputs!$K$4:$AJ$4,0)))+SUMPRODUCT((Inputs!$C$5:$C$110=$B34)*Inputs!$D$5:$D$110*(((Inputs!$G$5:$G$110="moeda")+(Inputs!$G$5:$G$110="acoes"))*Inputs!$B$1+((Inputs!$G$5:$G$110&lt;&gt;"moeda")*(Inputs!$G$5:$G$110&lt;&gt;"acoes")))*INDEX(Inputs!$K$5:$AJ$110,0,MATCH(O$2,Inputs!$K$4:$AJ$4,0)))+SUMPRODUCT((Inputs!$E$5:$E$110=$B34)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34" s="6" t="e">
        <f>IF(ISNA(MATCH(P$2,Inputs!$K$4:$AJ$4,0)),NA(),IF(SUMPRODUCT((Inputs!$A$5:$A$110=$B34)*ISNUMBER(INDEX(Inputs!$K$5:$AJ$110,0,MATCH(P$2,Inputs!$K$4:$AJ$4,0))))+SUMPRODUCT((Inputs!$C$5:$C$110=$B34)*ISNUMBER(INDEX(Inputs!$K$5:$AJ$110,0,MATCH(P$2,Inputs!$K$4:$AJ$4,0))))+SUMPRODUCT((Inputs!$E$5:$E$110=$B34)*ISNUMBER(INDEX(Inputs!$K$5:$AJ$110,0,MATCH(P$2,Inputs!$K$4:$AJ$4,0))))=0,NA(),SUMPRODUCT((Inputs!$A$5:$A$110=$B34)*Inputs!$B$5:$B$110*(((Inputs!$G$5:$G$110="moeda")+(Inputs!$G$5:$G$110="acoes"))*Inputs!$B$1+((Inputs!$G$5:$G$110&lt;&gt;"moeda")*(Inputs!$G$5:$G$110&lt;&gt;"acoes")))*INDEX(Inputs!$K$5:$AJ$110,0,MATCH(P$2,Inputs!$K$4:$AJ$4,0)))+SUMPRODUCT((Inputs!$C$5:$C$110=$B34)*Inputs!$D$5:$D$110*(((Inputs!$G$5:$G$110="moeda")+(Inputs!$G$5:$G$110="acoes"))*Inputs!$B$1+((Inputs!$G$5:$G$110&lt;&gt;"moeda")*(Inputs!$G$5:$G$110&lt;&gt;"acoes")))*INDEX(Inputs!$K$5:$AJ$110,0,MATCH(P$2,Inputs!$K$4:$AJ$4,0)))+SUMPRODUCT((Inputs!$E$5:$E$110=$B34)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34" s="6" t="e">
        <f>IF(ISNA(MATCH(Q$2,Inputs!$K$4:$AJ$4,0)),NA(),IF(SUMPRODUCT((Inputs!$A$5:$A$110=$B34)*ISNUMBER(INDEX(Inputs!$K$5:$AJ$110,0,MATCH(Q$2,Inputs!$K$4:$AJ$4,0))))+SUMPRODUCT((Inputs!$C$5:$C$110=$B34)*ISNUMBER(INDEX(Inputs!$K$5:$AJ$110,0,MATCH(Q$2,Inputs!$K$4:$AJ$4,0))))+SUMPRODUCT((Inputs!$E$5:$E$110=$B34)*ISNUMBER(INDEX(Inputs!$K$5:$AJ$110,0,MATCH(Q$2,Inputs!$K$4:$AJ$4,0))))=0,NA(),SUMPRODUCT((Inputs!$A$5:$A$110=$B34)*Inputs!$B$5:$B$110*(((Inputs!$G$5:$G$110="moeda")+(Inputs!$G$5:$G$110="acoes"))*Inputs!$B$1+((Inputs!$G$5:$G$110&lt;&gt;"moeda")*(Inputs!$G$5:$G$110&lt;&gt;"acoes")))*INDEX(Inputs!$K$5:$AJ$110,0,MATCH(Q$2,Inputs!$K$4:$AJ$4,0)))+SUMPRODUCT((Inputs!$C$5:$C$110=$B34)*Inputs!$D$5:$D$110*(((Inputs!$G$5:$G$110="moeda")+(Inputs!$G$5:$G$110="acoes"))*Inputs!$B$1+((Inputs!$G$5:$G$110&lt;&gt;"moeda")*(Inputs!$G$5:$G$110&lt;&gt;"acoes")))*INDEX(Inputs!$K$5:$AJ$110,0,MATCH(Q$2,Inputs!$K$4:$AJ$4,0)))+SUMPRODUCT((Inputs!$E$5:$E$110=$B34)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34" s="3" t="e">
        <f>Q34</f>
        <v>#N/A</v>
      </c>
      <c r="S34" s="6" t="e">
        <f>IF(ISNA(MATCH(S$2,Inputs!$K$4:$AJ$4,0)),NA(),IF(SUMPRODUCT((Inputs!$A$5:$A$110=$B34)*ISNUMBER(INDEX(Inputs!$K$5:$AJ$110,0,MATCH(S$2,Inputs!$K$4:$AJ$4,0))))+SUMPRODUCT((Inputs!$C$5:$C$110=$B34)*ISNUMBER(INDEX(Inputs!$K$5:$AJ$110,0,MATCH(S$2,Inputs!$K$4:$AJ$4,0))))+SUMPRODUCT((Inputs!$E$5:$E$110=$B34)*ISNUMBER(INDEX(Inputs!$K$5:$AJ$110,0,MATCH(S$2,Inputs!$K$4:$AJ$4,0))))=0,NA(),SUMPRODUCT((Inputs!$A$5:$A$110=$B34)*Inputs!$B$5:$B$110*(((Inputs!$G$5:$G$110="moeda")+(Inputs!$G$5:$G$110="acoes"))*Inputs!$B$1+((Inputs!$G$5:$G$110&lt;&gt;"moeda")*(Inputs!$G$5:$G$110&lt;&gt;"acoes")))*INDEX(Inputs!$K$5:$AJ$110,0,MATCH(S$2,Inputs!$K$4:$AJ$4,0)))+SUMPRODUCT((Inputs!$C$5:$C$110=$B34)*Inputs!$D$5:$D$110*(((Inputs!$G$5:$G$110="moeda")+(Inputs!$G$5:$G$110="acoes"))*Inputs!$B$1+((Inputs!$G$5:$G$110&lt;&gt;"moeda")*(Inputs!$G$5:$G$110&lt;&gt;"acoes")))*INDEX(Inputs!$K$5:$AJ$110,0,MATCH(S$2,Inputs!$K$4:$AJ$4,0)))+SUMPRODUCT((Inputs!$E$5:$E$110=$B34)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34" s="6" t="e">
        <f>IF(ISNA(MATCH(T$2,Inputs!$K$4:$AJ$4,0)),NA(),IF(SUMPRODUCT((Inputs!$A$5:$A$110=$B34)*ISNUMBER(INDEX(Inputs!$K$5:$AJ$110,0,MATCH(T$2,Inputs!$K$4:$AJ$4,0))))+SUMPRODUCT((Inputs!$C$5:$C$110=$B34)*ISNUMBER(INDEX(Inputs!$K$5:$AJ$110,0,MATCH(T$2,Inputs!$K$4:$AJ$4,0))))+SUMPRODUCT((Inputs!$E$5:$E$110=$B34)*ISNUMBER(INDEX(Inputs!$K$5:$AJ$110,0,MATCH(T$2,Inputs!$K$4:$AJ$4,0))))=0,NA(),SUMPRODUCT((Inputs!$A$5:$A$110=$B34)*Inputs!$B$5:$B$110*(((Inputs!$G$5:$G$110="moeda")+(Inputs!$G$5:$G$110="acoes"))*Inputs!$B$1+((Inputs!$G$5:$G$110&lt;&gt;"moeda")*(Inputs!$G$5:$G$110&lt;&gt;"acoes")))*INDEX(Inputs!$K$5:$AJ$110,0,MATCH(T$2,Inputs!$K$4:$AJ$4,0)))+SUMPRODUCT((Inputs!$C$5:$C$110=$B34)*Inputs!$D$5:$D$110*(((Inputs!$G$5:$G$110="moeda")+(Inputs!$G$5:$G$110="acoes"))*Inputs!$B$1+((Inputs!$G$5:$G$110&lt;&gt;"moeda")*(Inputs!$G$5:$G$110&lt;&gt;"acoes")))*INDEX(Inputs!$K$5:$AJ$110,0,MATCH(T$2,Inputs!$K$4:$AJ$4,0)))+SUMPRODUCT((Inputs!$E$5:$E$110=$B34)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34" s="6" t="e">
        <f>IF(ISNA(MATCH(U$2,Inputs!$K$4:$AJ$4,0)),NA(),IF(SUMPRODUCT((Inputs!$A$5:$A$110=$B34)*ISNUMBER(INDEX(Inputs!$K$5:$AJ$110,0,MATCH(U$2,Inputs!$K$4:$AJ$4,0))))+SUMPRODUCT((Inputs!$C$5:$C$110=$B34)*ISNUMBER(INDEX(Inputs!$K$5:$AJ$110,0,MATCH(U$2,Inputs!$K$4:$AJ$4,0))))+SUMPRODUCT((Inputs!$E$5:$E$110=$B34)*ISNUMBER(INDEX(Inputs!$K$5:$AJ$110,0,MATCH(U$2,Inputs!$K$4:$AJ$4,0))))=0,NA(),SUMPRODUCT((Inputs!$A$5:$A$110=$B34)*Inputs!$B$5:$B$110*(((Inputs!$G$5:$G$110="moeda")+(Inputs!$G$5:$G$110="acoes"))*Inputs!$B$1+((Inputs!$G$5:$G$110&lt;&gt;"moeda")*(Inputs!$G$5:$G$110&lt;&gt;"acoes")))*INDEX(Inputs!$K$5:$AJ$110,0,MATCH(U$2,Inputs!$K$4:$AJ$4,0)))+SUMPRODUCT((Inputs!$C$5:$C$110=$B34)*Inputs!$D$5:$D$110*(((Inputs!$G$5:$G$110="moeda")+(Inputs!$G$5:$G$110="acoes"))*Inputs!$B$1+((Inputs!$G$5:$G$110&lt;&gt;"moeda")*(Inputs!$G$5:$G$110&lt;&gt;"acoes")))*INDEX(Inputs!$K$5:$AJ$110,0,MATCH(U$2,Inputs!$K$4:$AJ$4,0)))+SUMPRODUCT((Inputs!$E$5:$E$110=$B34)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34" s="6" t="e">
        <f>IF(ISNA(MATCH(V$2,Inputs!$K$4:$AJ$4,0)),NA(),IF(SUMPRODUCT((Inputs!$A$5:$A$110=$B34)*ISNUMBER(INDEX(Inputs!$K$5:$AJ$110,0,MATCH(V$2,Inputs!$K$4:$AJ$4,0))))+SUMPRODUCT((Inputs!$C$5:$C$110=$B34)*ISNUMBER(INDEX(Inputs!$K$5:$AJ$110,0,MATCH(V$2,Inputs!$K$4:$AJ$4,0))))+SUMPRODUCT((Inputs!$E$5:$E$110=$B34)*ISNUMBER(INDEX(Inputs!$K$5:$AJ$110,0,MATCH(V$2,Inputs!$K$4:$AJ$4,0))))=0,NA(),SUMPRODUCT((Inputs!$A$5:$A$110=$B34)*Inputs!$B$5:$B$110*(((Inputs!$G$5:$G$110="moeda")+(Inputs!$G$5:$G$110="acoes"))*Inputs!$B$1+((Inputs!$G$5:$G$110&lt;&gt;"moeda")*(Inputs!$G$5:$G$110&lt;&gt;"acoes")))*INDEX(Inputs!$K$5:$AJ$110,0,MATCH(V$2,Inputs!$K$4:$AJ$4,0)))+SUMPRODUCT((Inputs!$C$5:$C$110=$B34)*Inputs!$D$5:$D$110*(((Inputs!$G$5:$G$110="moeda")+(Inputs!$G$5:$G$110="acoes"))*Inputs!$B$1+((Inputs!$G$5:$G$110&lt;&gt;"moeda")*(Inputs!$G$5:$G$110&lt;&gt;"acoes")))*INDEX(Inputs!$K$5:$AJ$110,0,MATCH(V$2,Inputs!$K$4:$AJ$4,0)))+SUMPRODUCT((Inputs!$E$5:$E$110=$B34)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34" s="3" t="e">
        <f>V34</f>
        <v>#N/A</v>
      </c>
      <c r="X34" s="6" t="e">
        <f>IF(ISNA(MATCH(X$2,Inputs!$K$4:$AJ$4,0)),NA(),IF(SUMPRODUCT((Inputs!$A$5:$A$110=$B34)*ISNUMBER(INDEX(Inputs!$K$5:$AJ$110,0,MATCH(X$2,Inputs!$K$4:$AJ$4,0))))+SUMPRODUCT((Inputs!$C$5:$C$110=$B34)*ISNUMBER(INDEX(Inputs!$K$5:$AJ$110,0,MATCH(X$2,Inputs!$K$4:$AJ$4,0))))+SUMPRODUCT((Inputs!$E$5:$E$110=$B34)*ISNUMBER(INDEX(Inputs!$K$5:$AJ$110,0,MATCH(X$2,Inputs!$K$4:$AJ$4,0))))=0,NA(),SUMPRODUCT((Inputs!$A$5:$A$110=$B34)*Inputs!$B$5:$B$110*(((Inputs!$G$5:$G$110="moeda")+(Inputs!$G$5:$G$110="acoes"))*Inputs!$B$1+((Inputs!$G$5:$G$110&lt;&gt;"moeda")*(Inputs!$G$5:$G$110&lt;&gt;"acoes")))*INDEX(Inputs!$K$5:$AJ$110,0,MATCH(X$2,Inputs!$K$4:$AJ$4,0)))+SUMPRODUCT((Inputs!$C$5:$C$110=$B34)*Inputs!$D$5:$D$110*(((Inputs!$G$5:$G$110="moeda")+(Inputs!$G$5:$G$110="acoes"))*Inputs!$B$1+((Inputs!$G$5:$G$110&lt;&gt;"moeda")*(Inputs!$G$5:$G$110&lt;&gt;"acoes")))*INDEX(Inputs!$K$5:$AJ$110,0,MATCH(X$2,Inputs!$K$4:$AJ$4,0)))+SUMPRODUCT((Inputs!$E$5:$E$110=$B34)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34" s="6" t="e">
        <f>IF(ISNA(MATCH(Y$2,Inputs!$K$4:$AJ$4,0)),NA(),IF(SUMPRODUCT((Inputs!$A$5:$A$110=$B34)*ISNUMBER(INDEX(Inputs!$K$5:$AJ$110,0,MATCH(Y$2,Inputs!$K$4:$AJ$4,0))))+SUMPRODUCT((Inputs!$C$5:$C$110=$B34)*ISNUMBER(INDEX(Inputs!$K$5:$AJ$110,0,MATCH(Y$2,Inputs!$K$4:$AJ$4,0))))+SUMPRODUCT((Inputs!$E$5:$E$110=$B34)*ISNUMBER(INDEX(Inputs!$K$5:$AJ$110,0,MATCH(Y$2,Inputs!$K$4:$AJ$4,0))))=0,NA(),SUMPRODUCT((Inputs!$A$5:$A$110=$B34)*Inputs!$B$5:$B$110*(((Inputs!$G$5:$G$110="moeda")+(Inputs!$G$5:$G$110="acoes"))*Inputs!$B$1+((Inputs!$G$5:$G$110&lt;&gt;"moeda")*(Inputs!$G$5:$G$110&lt;&gt;"acoes")))*INDEX(Inputs!$K$5:$AJ$110,0,MATCH(Y$2,Inputs!$K$4:$AJ$4,0)))+SUMPRODUCT((Inputs!$C$5:$C$110=$B34)*Inputs!$D$5:$D$110*(((Inputs!$G$5:$G$110="moeda")+(Inputs!$G$5:$G$110="acoes"))*Inputs!$B$1+((Inputs!$G$5:$G$110&lt;&gt;"moeda")*(Inputs!$G$5:$G$110&lt;&gt;"acoes")))*INDEX(Inputs!$K$5:$AJ$110,0,MATCH(Y$2,Inputs!$K$4:$AJ$4,0)))+SUMPRODUCT((Inputs!$E$5:$E$110=$B34)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34" s="6" t="e">
        <f>IF(ISNA(MATCH(Z$2,Inputs!$K$4:$AJ$4,0)),NA(),IF(SUMPRODUCT((Inputs!$A$5:$A$110=$B34)*ISNUMBER(INDEX(Inputs!$K$5:$AJ$110,0,MATCH(Z$2,Inputs!$K$4:$AJ$4,0))))+SUMPRODUCT((Inputs!$C$5:$C$110=$B34)*ISNUMBER(INDEX(Inputs!$K$5:$AJ$110,0,MATCH(Z$2,Inputs!$K$4:$AJ$4,0))))+SUMPRODUCT((Inputs!$E$5:$E$110=$B34)*ISNUMBER(INDEX(Inputs!$K$5:$AJ$110,0,MATCH(Z$2,Inputs!$K$4:$AJ$4,0))))=0,NA(),SUMPRODUCT((Inputs!$A$5:$A$110=$B34)*Inputs!$B$5:$B$110*(((Inputs!$G$5:$G$110="moeda")+(Inputs!$G$5:$G$110="acoes"))*Inputs!$B$1+((Inputs!$G$5:$G$110&lt;&gt;"moeda")*(Inputs!$G$5:$G$110&lt;&gt;"acoes")))*INDEX(Inputs!$K$5:$AJ$110,0,MATCH(Z$2,Inputs!$K$4:$AJ$4,0)))+SUMPRODUCT((Inputs!$C$5:$C$110=$B34)*Inputs!$D$5:$D$110*(((Inputs!$G$5:$G$110="moeda")+(Inputs!$G$5:$G$110="acoes"))*Inputs!$B$1+((Inputs!$G$5:$G$110&lt;&gt;"moeda")*(Inputs!$G$5:$G$110&lt;&gt;"acoes")))*INDEX(Inputs!$K$5:$AJ$110,0,MATCH(Z$2,Inputs!$K$4:$AJ$4,0)))+SUMPRODUCT((Inputs!$E$5:$E$110=$B34)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34" s="6" t="e">
        <f>IF(ISNA(MATCH(AA$2,Inputs!$K$4:$AJ$4,0)),NA(),IF(SUMPRODUCT((Inputs!$A$5:$A$110=$B34)*ISNUMBER(INDEX(Inputs!$K$5:$AJ$110,0,MATCH(AA$2,Inputs!$K$4:$AJ$4,0))))+SUMPRODUCT((Inputs!$C$5:$C$110=$B34)*ISNUMBER(INDEX(Inputs!$K$5:$AJ$110,0,MATCH(AA$2,Inputs!$K$4:$AJ$4,0))))+SUMPRODUCT((Inputs!$E$5:$E$110=$B34)*ISNUMBER(INDEX(Inputs!$K$5:$AJ$110,0,MATCH(AA$2,Inputs!$K$4:$AJ$4,0))))=0,NA(),SUMPRODUCT((Inputs!$A$5:$A$110=$B34)*Inputs!$B$5:$B$110*(((Inputs!$G$5:$G$110="moeda")+(Inputs!$G$5:$G$110="acoes"))*Inputs!$B$1+((Inputs!$G$5:$G$110&lt;&gt;"moeda")*(Inputs!$G$5:$G$110&lt;&gt;"acoes")))*INDEX(Inputs!$K$5:$AJ$110,0,MATCH(AA$2,Inputs!$K$4:$AJ$4,0)))+SUMPRODUCT((Inputs!$C$5:$C$110=$B34)*Inputs!$D$5:$D$110*(((Inputs!$G$5:$G$110="moeda")+(Inputs!$G$5:$G$110="acoes"))*Inputs!$B$1+((Inputs!$G$5:$G$110&lt;&gt;"moeda")*(Inputs!$G$5:$G$110&lt;&gt;"acoes")))*INDEX(Inputs!$K$5:$AJ$110,0,MATCH(AA$2,Inputs!$K$4:$AJ$4,0)))+SUMPRODUCT((Inputs!$E$5:$E$110=$B34)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34" s="3" t="e">
        <f>AA34</f>
        <v>#N/A</v>
      </c>
      <c r="AC34" s="6" t="e">
        <f>IF(ISNA(MATCH(AC$2,Inputs!$K$4:$AJ$4,0)),NA(),IF(SUMPRODUCT((Inputs!$A$5:$A$110=$B34)*ISNUMBER(INDEX(Inputs!$K$5:$AJ$110,0,MATCH(AC$2,Inputs!$K$4:$AJ$4,0))))+SUMPRODUCT((Inputs!$C$5:$C$110=$B34)*ISNUMBER(INDEX(Inputs!$K$5:$AJ$110,0,MATCH(AC$2,Inputs!$K$4:$AJ$4,0))))+SUMPRODUCT((Inputs!$E$5:$E$110=$B34)*ISNUMBER(INDEX(Inputs!$K$5:$AJ$110,0,MATCH(AC$2,Inputs!$K$4:$AJ$4,0))))=0,NA(),SUMPRODUCT((Inputs!$A$5:$A$110=$B34)*Inputs!$B$5:$B$110*(((Inputs!$G$5:$G$110="moeda")+(Inputs!$G$5:$G$110="acoes"))*Inputs!$B$1+((Inputs!$G$5:$G$110&lt;&gt;"moeda")*(Inputs!$G$5:$G$110&lt;&gt;"acoes")))*INDEX(Inputs!$K$5:$AJ$110,0,MATCH(AC$2,Inputs!$K$4:$AJ$4,0)))+SUMPRODUCT((Inputs!$C$5:$C$110=$B34)*Inputs!$D$5:$D$110*(((Inputs!$G$5:$G$110="moeda")+(Inputs!$G$5:$G$110="acoes"))*Inputs!$B$1+((Inputs!$G$5:$G$110&lt;&gt;"moeda")*(Inputs!$G$5:$G$110&lt;&gt;"acoes")))*INDEX(Inputs!$K$5:$AJ$110,0,MATCH(AC$2,Inputs!$K$4:$AJ$4,0)))+SUMPRODUCT((Inputs!$E$5:$E$110=$B34)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34" s="6" t="e">
        <f>IF(ISNA(MATCH(AD$2,Inputs!$K$4:$AJ$4,0)),NA(),IF(SUMPRODUCT((Inputs!$A$5:$A$110=$B34)*ISNUMBER(INDEX(Inputs!$K$5:$AJ$110,0,MATCH(AD$2,Inputs!$K$4:$AJ$4,0))))+SUMPRODUCT((Inputs!$C$5:$C$110=$B34)*ISNUMBER(INDEX(Inputs!$K$5:$AJ$110,0,MATCH(AD$2,Inputs!$K$4:$AJ$4,0))))+SUMPRODUCT((Inputs!$E$5:$E$110=$B34)*ISNUMBER(INDEX(Inputs!$K$5:$AJ$110,0,MATCH(AD$2,Inputs!$K$4:$AJ$4,0))))=0,NA(),SUMPRODUCT((Inputs!$A$5:$A$110=$B34)*Inputs!$B$5:$B$110*(((Inputs!$G$5:$G$110="moeda")+(Inputs!$G$5:$G$110="acoes"))*Inputs!$B$1+((Inputs!$G$5:$G$110&lt;&gt;"moeda")*(Inputs!$G$5:$G$110&lt;&gt;"acoes")))*INDEX(Inputs!$K$5:$AJ$110,0,MATCH(AD$2,Inputs!$K$4:$AJ$4,0)))+SUMPRODUCT((Inputs!$C$5:$C$110=$B34)*Inputs!$D$5:$D$110*(((Inputs!$G$5:$G$110="moeda")+(Inputs!$G$5:$G$110="acoes"))*Inputs!$B$1+((Inputs!$G$5:$G$110&lt;&gt;"moeda")*(Inputs!$G$5:$G$110&lt;&gt;"acoes")))*INDEX(Inputs!$K$5:$AJ$110,0,MATCH(AD$2,Inputs!$K$4:$AJ$4,0)))+SUMPRODUCT((Inputs!$E$5:$E$110=$B34)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34" s="6" t="e">
        <f>IF(ISNA(MATCH(AE$2,Inputs!$K$4:$AJ$4,0)),NA(),IF(SUMPRODUCT((Inputs!$A$5:$A$110=$B34)*ISNUMBER(INDEX(Inputs!$K$5:$AJ$110,0,MATCH(AE$2,Inputs!$K$4:$AJ$4,0))))+SUMPRODUCT((Inputs!$C$5:$C$110=$B34)*ISNUMBER(INDEX(Inputs!$K$5:$AJ$110,0,MATCH(AE$2,Inputs!$K$4:$AJ$4,0))))+SUMPRODUCT((Inputs!$E$5:$E$110=$B34)*ISNUMBER(INDEX(Inputs!$K$5:$AJ$110,0,MATCH(AE$2,Inputs!$K$4:$AJ$4,0))))=0,NA(),SUMPRODUCT((Inputs!$A$5:$A$110=$B34)*Inputs!$B$5:$B$110*(((Inputs!$G$5:$G$110="moeda")+(Inputs!$G$5:$G$110="acoes"))*Inputs!$B$1+((Inputs!$G$5:$G$110&lt;&gt;"moeda")*(Inputs!$G$5:$G$110&lt;&gt;"acoes")))*INDEX(Inputs!$K$5:$AJ$110,0,MATCH(AE$2,Inputs!$K$4:$AJ$4,0)))+SUMPRODUCT((Inputs!$C$5:$C$110=$B34)*Inputs!$D$5:$D$110*(((Inputs!$G$5:$G$110="moeda")+(Inputs!$G$5:$G$110="acoes"))*Inputs!$B$1+((Inputs!$G$5:$G$110&lt;&gt;"moeda")*(Inputs!$G$5:$G$110&lt;&gt;"acoes")))*INDEX(Inputs!$K$5:$AJ$110,0,MATCH(AE$2,Inputs!$K$4:$AJ$4,0)))+SUMPRODUCT((Inputs!$E$5:$E$110=$B34)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4" s="6" t="e">
        <f>IF(ISNA(MATCH(AF$2,Inputs!$K$4:$AJ$4,0)),NA(),IF(SUMPRODUCT((Inputs!$A$5:$A$110=$B34)*ISNUMBER(INDEX(Inputs!$K$5:$AJ$110,0,MATCH(AF$2,Inputs!$K$4:$AJ$4,0))))+SUMPRODUCT((Inputs!$C$5:$C$110=$B34)*ISNUMBER(INDEX(Inputs!$K$5:$AJ$110,0,MATCH(AF$2,Inputs!$K$4:$AJ$4,0))))+SUMPRODUCT((Inputs!$E$5:$E$110=$B34)*ISNUMBER(INDEX(Inputs!$K$5:$AJ$110,0,MATCH(AF$2,Inputs!$K$4:$AJ$4,0))))=0,NA(),SUMPRODUCT((Inputs!$A$5:$A$110=$B34)*Inputs!$B$5:$B$110*(((Inputs!$G$5:$G$110="moeda")+(Inputs!$G$5:$G$110="acoes"))*Inputs!$B$1+((Inputs!$G$5:$G$110&lt;&gt;"moeda")*(Inputs!$G$5:$G$110&lt;&gt;"acoes")))*INDEX(Inputs!$K$5:$AJ$110,0,MATCH(AF$2,Inputs!$K$4:$AJ$4,0)))+SUMPRODUCT((Inputs!$C$5:$C$110=$B34)*Inputs!$D$5:$D$110*(((Inputs!$G$5:$G$110="moeda")+(Inputs!$G$5:$G$110="acoes"))*Inputs!$B$1+((Inputs!$G$5:$G$110&lt;&gt;"moeda")*(Inputs!$G$5:$G$110&lt;&gt;"acoes")))*INDEX(Inputs!$K$5:$AJ$110,0,MATCH(AF$2,Inputs!$K$4:$AJ$4,0)))+SUMPRODUCT((Inputs!$E$5:$E$110=$B34)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4" s="3" t="e">
        <f>AF34</f>
        <v>#N/A</v>
      </c>
      <c r="AH34" s="6" t="e">
        <f>IF(ISNA(MATCH(AH$2,Inputs!$K$4:$AJ$4,0)),NA(),IF(SUMPRODUCT((Inputs!$A$5:$A$110=$B34)*ISNUMBER(INDEX(Inputs!$K$5:$AJ$110,0,MATCH(AH$2,Inputs!$K$4:$AJ$4,0))))+SUMPRODUCT((Inputs!$C$5:$C$110=$B34)*ISNUMBER(INDEX(Inputs!$K$5:$AJ$110,0,MATCH(AH$2,Inputs!$K$4:$AJ$4,0))))+SUMPRODUCT((Inputs!$E$5:$E$110=$B34)*ISNUMBER(INDEX(Inputs!$K$5:$AJ$110,0,MATCH(AH$2,Inputs!$K$4:$AJ$4,0))))=0,NA(),SUMPRODUCT((Inputs!$A$5:$A$110=$B34)*Inputs!$B$5:$B$110*(((Inputs!$G$5:$G$110="moeda")+(Inputs!$G$5:$G$110="acoes"))*Inputs!$B$1+((Inputs!$G$5:$G$110&lt;&gt;"moeda")*(Inputs!$G$5:$G$110&lt;&gt;"acoes")))*INDEX(Inputs!$K$5:$AJ$110,0,MATCH(AH$2,Inputs!$K$4:$AJ$4,0)))+SUMPRODUCT((Inputs!$C$5:$C$110=$B34)*Inputs!$D$5:$D$110*(((Inputs!$G$5:$G$110="moeda")+(Inputs!$G$5:$G$110="acoes"))*Inputs!$B$1+((Inputs!$G$5:$G$110&lt;&gt;"moeda")*(Inputs!$G$5:$G$110&lt;&gt;"acoes")))*INDEX(Inputs!$K$5:$AJ$110,0,MATCH(AH$2,Inputs!$K$4:$AJ$4,0)))+SUMPRODUCT((Inputs!$E$5:$E$110=$B34)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34" s="6" t="e">
        <f>IF(ISNA(MATCH(AI$2,Inputs!$K$4:$AJ$4,0)),NA(),IF(SUMPRODUCT((Inputs!$A$5:$A$110=$B34)*ISNUMBER(INDEX(Inputs!$K$5:$AJ$110,0,MATCH(AI$2,Inputs!$K$4:$AJ$4,0))))+SUMPRODUCT((Inputs!$C$5:$C$110=$B34)*ISNUMBER(INDEX(Inputs!$K$5:$AJ$110,0,MATCH(AI$2,Inputs!$K$4:$AJ$4,0))))+SUMPRODUCT((Inputs!$E$5:$E$110=$B34)*ISNUMBER(INDEX(Inputs!$K$5:$AJ$110,0,MATCH(AI$2,Inputs!$K$4:$AJ$4,0))))=0,NA(),SUMPRODUCT((Inputs!$A$5:$A$110=$B34)*Inputs!$B$5:$B$110*(((Inputs!$G$5:$G$110="moeda")+(Inputs!$G$5:$G$110="acoes"))*Inputs!$B$1+((Inputs!$G$5:$G$110&lt;&gt;"moeda")*(Inputs!$G$5:$G$110&lt;&gt;"acoes")))*INDEX(Inputs!$K$5:$AJ$110,0,MATCH(AI$2,Inputs!$K$4:$AJ$4,0)))+SUMPRODUCT((Inputs!$C$5:$C$110=$B34)*Inputs!$D$5:$D$110*(((Inputs!$G$5:$G$110="moeda")+(Inputs!$G$5:$G$110="acoes"))*Inputs!$B$1+((Inputs!$G$5:$G$110&lt;&gt;"moeda")*(Inputs!$G$5:$G$110&lt;&gt;"acoes")))*INDEX(Inputs!$K$5:$AJ$110,0,MATCH(AI$2,Inputs!$K$4:$AJ$4,0)))+SUMPRODUCT((Inputs!$E$5:$E$110=$B34)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34" s="6" t="e">
        <f>IF(ISNA(MATCH(AJ$2,Inputs!$K$4:$AJ$4,0)),NA(),IF(SUMPRODUCT((Inputs!$A$5:$A$110=$B34)*ISNUMBER(INDEX(Inputs!$K$5:$AJ$110,0,MATCH(AJ$2,Inputs!$K$4:$AJ$4,0))))+SUMPRODUCT((Inputs!$C$5:$C$110=$B34)*ISNUMBER(INDEX(Inputs!$K$5:$AJ$110,0,MATCH(AJ$2,Inputs!$K$4:$AJ$4,0))))+SUMPRODUCT((Inputs!$E$5:$E$110=$B34)*ISNUMBER(INDEX(Inputs!$K$5:$AJ$110,0,MATCH(AJ$2,Inputs!$K$4:$AJ$4,0))))=0,NA(),SUMPRODUCT((Inputs!$A$5:$A$110=$B34)*Inputs!$B$5:$B$110*(((Inputs!$G$5:$G$110="moeda")+(Inputs!$G$5:$G$110="acoes"))*Inputs!$B$1+((Inputs!$G$5:$G$110&lt;&gt;"moeda")*(Inputs!$G$5:$G$110&lt;&gt;"acoes")))*INDEX(Inputs!$K$5:$AJ$110,0,MATCH(AJ$2,Inputs!$K$4:$AJ$4,0)))+SUMPRODUCT((Inputs!$C$5:$C$110=$B34)*Inputs!$D$5:$D$110*(((Inputs!$G$5:$G$110="moeda")+(Inputs!$G$5:$G$110="acoes"))*Inputs!$B$1+((Inputs!$G$5:$G$110&lt;&gt;"moeda")*(Inputs!$G$5:$G$110&lt;&gt;"acoes")))*INDEX(Inputs!$K$5:$AJ$110,0,MATCH(AJ$2,Inputs!$K$4:$AJ$4,0)))+SUMPRODUCT((Inputs!$E$5:$E$110=$B34)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34" s="6" t="e">
        <f>IF(ISNA(MATCH(AK$2,Inputs!$K$4:$AJ$4,0)),NA(),IF(SUMPRODUCT((Inputs!$A$5:$A$110=$B34)*ISNUMBER(INDEX(Inputs!$K$5:$AJ$110,0,MATCH(AK$2,Inputs!$K$4:$AJ$4,0))))+SUMPRODUCT((Inputs!$C$5:$C$110=$B34)*ISNUMBER(INDEX(Inputs!$K$5:$AJ$110,0,MATCH(AK$2,Inputs!$K$4:$AJ$4,0))))+SUMPRODUCT((Inputs!$E$5:$E$110=$B34)*ISNUMBER(INDEX(Inputs!$K$5:$AJ$110,0,MATCH(AK$2,Inputs!$K$4:$AJ$4,0))))=0,NA(),SUMPRODUCT((Inputs!$A$5:$A$110=$B34)*Inputs!$B$5:$B$110*(((Inputs!$G$5:$G$110="moeda")+(Inputs!$G$5:$G$110="acoes"))*Inputs!$B$1+((Inputs!$G$5:$G$110&lt;&gt;"moeda")*(Inputs!$G$5:$G$110&lt;&gt;"acoes")))*INDEX(Inputs!$K$5:$AJ$110,0,MATCH(AK$2,Inputs!$K$4:$AJ$4,0)))+SUMPRODUCT((Inputs!$C$5:$C$110=$B34)*Inputs!$D$5:$D$110*(((Inputs!$G$5:$G$110="moeda")+(Inputs!$G$5:$G$110="acoes"))*Inputs!$B$1+((Inputs!$G$5:$G$110&lt;&gt;"moeda")*(Inputs!$G$5:$G$110&lt;&gt;"acoes")))*INDEX(Inputs!$K$5:$AJ$110,0,MATCH(AK$2,Inputs!$K$4:$AJ$4,0)))+SUMPRODUCT((Inputs!$E$5:$E$110=$B34)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34" s="3" t="e">
        <f>AK34</f>
        <v>#N/A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$110=$B35)*ISNUMBER(INDEX(Inputs!$K$5:$AJ$110,0,MATCH(D$2,Inputs!$K$4:$AJ$4,0))))+SUMPRODUCT((Inputs!$C$5:$C$110=$B35)*ISNUMBER(INDEX(Inputs!$K$5:$AJ$110,0,MATCH(D$2,Inputs!$K$4:$AJ$4,0))))+SUMPRODUCT((Inputs!$E$5:$E$110=$B35)*ISNUMBER(INDEX(Inputs!$K$5:$AJ$110,0,MATCH(D$2,Inputs!$K$4:$AJ$4,0))))=0,NA(),SUMPRODUCT((Inputs!$A$5:$A$110=$B35)*Inputs!$B$5:$B$110*(((Inputs!$G$5:$G$110="moeda")+(Inputs!$G$5:$G$110="acoes"))*Inputs!$B$1+((Inputs!$G$5:$G$110&lt;&gt;"moeda")*(Inputs!$G$5:$G$110&lt;&gt;"acoes")))*INDEX(Inputs!$K$5:$AJ$110,0,MATCH(D$2,Inputs!$K$4:$AJ$4,0)))+SUMPRODUCT((Inputs!$C$5:$C$110=$B35)*Inputs!$D$5:$D$110*(((Inputs!$G$5:$G$110="moeda")+(Inputs!$G$5:$G$110="acoes"))*Inputs!$B$1+((Inputs!$G$5:$G$110&lt;&gt;"moeda")*(Inputs!$G$5:$G$110&lt;&gt;"acoes")))*INDEX(Inputs!$K$5:$AJ$110,0,MATCH(D$2,Inputs!$K$4:$AJ$4,0)))+SUMPRODUCT((Inputs!$E$5:$E$110=$B35)*Inputs!$F$5:$F$110*(((Inputs!$G$5:$G$110="moeda")+(Inputs!$G$5:$G$110="acoes"))*Inputs!$B$1+((Inputs!$G$5:$G$110&lt;&gt;"moeda")*(Inputs!$G$5:$G$110&lt;&gt;"acoes")))*INDEX(Inputs!$K$5:$AJ$110,0,MATCH(D$2,Inputs!$K$4:$AJ$4,0)))))</f>
        <v>13887</v>
      </c>
      <c r="E35" s="6">
        <f>IF(ISNA(MATCH(E$2,Inputs!$K$4:$AJ$4,0)),NA(),IF(SUMPRODUCT((Inputs!$A$5:$A$110=$B35)*ISNUMBER(INDEX(Inputs!$K$5:$AJ$110,0,MATCH(E$2,Inputs!$K$4:$AJ$4,0))))+SUMPRODUCT((Inputs!$C$5:$C$110=$B35)*ISNUMBER(INDEX(Inputs!$K$5:$AJ$110,0,MATCH(E$2,Inputs!$K$4:$AJ$4,0))))+SUMPRODUCT((Inputs!$E$5:$E$110=$B35)*ISNUMBER(INDEX(Inputs!$K$5:$AJ$110,0,MATCH(E$2,Inputs!$K$4:$AJ$4,0))))=0,NA(),SUMPRODUCT((Inputs!$A$5:$A$110=$B35)*Inputs!$B$5:$B$110*(((Inputs!$G$5:$G$110="moeda")+(Inputs!$G$5:$G$110="acoes"))*Inputs!$B$1+((Inputs!$G$5:$G$110&lt;&gt;"moeda")*(Inputs!$G$5:$G$110&lt;&gt;"acoes")))*INDEX(Inputs!$K$5:$AJ$110,0,MATCH(E$2,Inputs!$K$4:$AJ$4,0)))+SUMPRODUCT((Inputs!$C$5:$C$110=$B35)*Inputs!$D$5:$D$110*(((Inputs!$G$5:$G$110="moeda")+(Inputs!$G$5:$G$110="acoes"))*Inputs!$B$1+((Inputs!$G$5:$G$110&lt;&gt;"moeda")*(Inputs!$G$5:$G$110&lt;&gt;"acoes")))*INDEX(Inputs!$K$5:$AJ$110,0,MATCH(E$2,Inputs!$K$4:$AJ$4,0)))+SUMPRODUCT((Inputs!$E$5:$E$110=$B35)*Inputs!$F$5:$F$110*(((Inputs!$G$5:$G$110="moeda")+(Inputs!$G$5:$G$110="acoes"))*Inputs!$B$1+((Inputs!$G$5:$G$110&lt;&gt;"moeda")*(Inputs!$G$5:$G$110&lt;&gt;"acoes")))*INDEX(Inputs!$K$5:$AJ$110,0,MATCH(E$2,Inputs!$K$4:$AJ$4,0)))))</f>
        <v>14328</v>
      </c>
      <c r="F35" s="6">
        <f>IF(ISNA(MATCH(F$2,Inputs!$K$4:$AJ$4,0)),NA(),IF(SUMPRODUCT((Inputs!$A$5:$A$110=$B35)*ISNUMBER(INDEX(Inputs!$K$5:$AJ$110,0,MATCH(F$2,Inputs!$K$4:$AJ$4,0))))+SUMPRODUCT((Inputs!$C$5:$C$110=$B35)*ISNUMBER(INDEX(Inputs!$K$5:$AJ$110,0,MATCH(F$2,Inputs!$K$4:$AJ$4,0))))+SUMPRODUCT((Inputs!$E$5:$E$110=$B35)*ISNUMBER(INDEX(Inputs!$K$5:$AJ$110,0,MATCH(F$2,Inputs!$K$4:$AJ$4,0))))=0,NA(),SUMPRODUCT((Inputs!$A$5:$A$110=$B35)*Inputs!$B$5:$B$110*(((Inputs!$G$5:$G$110="moeda")+(Inputs!$G$5:$G$110="acoes"))*Inputs!$B$1+((Inputs!$G$5:$G$110&lt;&gt;"moeda")*(Inputs!$G$5:$G$110&lt;&gt;"acoes")))*INDEX(Inputs!$K$5:$AJ$110,0,MATCH(F$2,Inputs!$K$4:$AJ$4,0)))+SUMPRODUCT((Inputs!$C$5:$C$110=$B35)*Inputs!$D$5:$D$110*(((Inputs!$G$5:$G$110="moeda")+(Inputs!$G$5:$G$110="acoes"))*Inputs!$B$1+((Inputs!$G$5:$G$110&lt;&gt;"moeda")*(Inputs!$G$5:$G$110&lt;&gt;"acoes")))*INDEX(Inputs!$K$5:$AJ$110,0,MATCH(F$2,Inputs!$K$4:$AJ$4,0)))+SUMPRODUCT((Inputs!$E$5:$E$110=$B35)*Inputs!$F$5:$F$110*(((Inputs!$G$5:$G$110="moeda")+(Inputs!$G$5:$G$110="acoes"))*Inputs!$B$1+((Inputs!$G$5:$G$110&lt;&gt;"moeda")*(Inputs!$G$5:$G$110&lt;&gt;"acoes")))*INDEX(Inputs!$K$5:$AJ$110,0,MATCH(F$2,Inputs!$K$4:$AJ$4,0)))))</f>
        <v>14288</v>
      </c>
      <c r="G35" s="6">
        <f>IF(ISNA(MATCH(G$2,Inputs!$K$4:$AJ$4,0)),NA(),IF(SUMPRODUCT((Inputs!$A$5:$A$110=$B35)*ISNUMBER(INDEX(Inputs!$K$5:$AJ$110,0,MATCH(G$2,Inputs!$K$4:$AJ$4,0))))+SUMPRODUCT((Inputs!$C$5:$C$110=$B35)*ISNUMBER(INDEX(Inputs!$K$5:$AJ$110,0,MATCH(G$2,Inputs!$K$4:$AJ$4,0))))+SUMPRODUCT((Inputs!$E$5:$E$110=$B35)*ISNUMBER(INDEX(Inputs!$K$5:$AJ$110,0,MATCH(G$2,Inputs!$K$4:$AJ$4,0))))=0,NA(),SUMPRODUCT((Inputs!$A$5:$A$110=$B35)*Inputs!$B$5:$B$110*(((Inputs!$G$5:$G$110="moeda")+(Inputs!$G$5:$G$110="acoes"))*Inputs!$B$1+((Inputs!$G$5:$G$110&lt;&gt;"moeda")*(Inputs!$G$5:$G$110&lt;&gt;"acoes")))*INDEX(Inputs!$K$5:$AJ$110,0,MATCH(G$2,Inputs!$K$4:$AJ$4,0)))+SUMPRODUCT((Inputs!$C$5:$C$110=$B35)*Inputs!$D$5:$D$110*(((Inputs!$G$5:$G$110="moeda")+(Inputs!$G$5:$G$110="acoes"))*Inputs!$B$1+((Inputs!$G$5:$G$110&lt;&gt;"moeda")*(Inputs!$G$5:$G$110&lt;&gt;"acoes")))*INDEX(Inputs!$K$5:$AJ$110,0,MATCH(G$2,Inputs!$K$4:$AJ$4,0)))+SUMPRODUCT((Inputs!$E$5:$E$110=$B35)*Inputs!$F$5:$F$110*(((Inputs!$G$5:$G$110="moeda")+(Inputs!$G$5:$G$110="acoes"))*Inputs!$B$1+((Inputs!$G$5:$G$110&lt;&gt;"moeda")*(Inputs!$G$5:$G$110&lt;&gt;"acoes")))*INDEX(Inputs!$K$5:$AJ$110,0,MATCH(G$2,Inputs!$K$4:$AJ$4,0)))))</f>
        <v>14817</v>
      </c>
      <c r="H35" s="3">
        <f>G35</f>
        <v>14817</v>
      </c>
      <c r="I35" s="6">
        <f>IF(ISNA(MATCH(I$2,Inputs!$K$4:$AJ$4,0)),NA(),IF(SUMPRODUCT((Inputs!$A$5:$A$110=$B35)*ISNUMBER(INDEX(Inputs!$K$5:$AJ$110,0,MATCH(I$2,Inputs!$K$4:$AJ$4,0))))+SUMPRODUCT((Inputs!$C$5:$C$110=$B35)*ISNUMBER(INDEX(Inputs!$K$5:$AJ$110,0,MATCH(I$2,Inputs!$K$4:$AJ$4,0))))+SUMPRODUCT((Inputs!$E$5:$E$110=$B35)*ISNUMBER(INDEX(Inputs!$K$5:$AJ$110,0,MATCH(I$2,Inputs!$K$4:$AJ$4,0))))=0,NA(),SUMPRODUCT((Inputs!$A$5:$A$110=$B35)*Inputs!$B$5:$B$110*(((Inputs!$G$5:$G$110="moeda")+(Inputs!$G$5:$G$110="acoes"))*Inputs!$B$1+((Inputs!$G$5:$G$110&lt;&gt;"moeda")*(Inputs!$G$5:$G$110&lt;&gt;"acoes")))*INDEX(Inputs!$K$5:$AJ$110,0,MATCH(I$2,Inputs!$K$4:$AJ$4,0)))+SUMPRODUCT((Inputs!$C$5:$C$110=$B35)*Inputs!$D$5:$D$110*(((Inputs!$G$5:$G$110="moeda")+(Inputs!$G$5:$G$110="acoes"))*Inputs!$B$1+((Inputs!$G$5:$G$110&lt;&gt;"moeda")*(Inputs!$G$5:$G$110&lt;&gt;"acoes")))*INDEX(Inputs!$K$5:$AJ$110,0,MATCH(I$2,Inputs!$K$4:$AJ$4,0)))+SUMPRODUCT((Inputs!$E$5:$E$110=$B35)*Inputs!$F$5:$F$110*(((Inputs!$G$5:$G$110="moeda")+(Inputs!$G$5:$G$110="acoes"))*Inputs!$B$1+((Inputs!$G$5:$G$110&lt;&gt;"moeda")*(Inputs!$G$5:$G$110&lt;&gt;"acoes")))*INDEX(Inputs!$K$5:$AJ$110,0,MATCH(I$2,Inputs!$K$4:$AJ$4,0)))))</f>
        <v>14791</v>
      </c>
      <c r="J35" s="6">
        <f>IF(ISNA(MATCH(J$2,Inputs!$K$4:$AJ$4,0)),NA(),IF(SUMPRODUCT((Inputs!$A$5:$A$110=$B35)*ISNUMBER(INDEX(Inputs!$K$5:$AJ$110,0,MATCH(J$2,Inputs!$K$4:$AJ$4,0))))+SUMPRODUCT((Inputs!$C$5:$C$110=$B35)*ISNUMBER(INDEX(Inputs!$K$5:$AJ$110,0,MATCH(J$2,Inputs!$K$4:$AJ$4,0))))+SUMPRODUCT((Inputs!$E$5:$E$110=$B35)*ISNUMBER(INDEX(Inputs!$K$5:$AJ$110,0,MATCH(J$2,Inputs!$K$4:$AJ$4,0))))=0,NA(),SUMPRODUCT((Inputs!$A$5:$A$110=$B35)*Inputs!$B$5:$B$110*(((Inputs!$G$5:$G$110="moeda")+(Inputs!$G$5:$G$110="acoes"))*Inputs!$B$1+((Inputs!$G$5:$G$110&lt;&gt;"moeda")*(Inputs!$G$5:$G$110&lt;&gt;"acoes")))*INDEX(Inputs!$K$5:$AJ$110,0,MATCH(J$2,Inputs!$K$4:$AJ$4,0)))+SUMPRODUCT((Inputs!$C$5:$C$110=$B35)*Inputs!$D$5:$D$110*(((Inputs!$G$5:$G$110="moeda")+(Inputs!$G$5:$G$110="acoes"))*Inputs!$B$1+((Inputs!$G$5:$G$110&lt;&gt;"moeda")*(Inputs!$G$5:$G$110&lt;&gt;"acoes")))*INDEX(Inputs!$K$5:$AJ$110,0,MATCH(J$2,Inputs!$K$4:$AJ$4,0)))+SUMPRODUCT((Inputs!$E$5:$E$110=$B35)*Inputs!$F$5:$F$110*(((Inputs!$G$5:$G$110="moeda")+(Inputs!$G$5:$G$110="acoes"))*Inputs!$B$1+((Inputs!$G$5:$G$110&lt;&gt;"moeda")*(Inputs!$G$5:$G$110&lt;&gt;"acoes")))*INDEX(Inputs!$K$5:$AJ$110,0,MATCH(J$2,Inputs!$K$4:$AJ$4,0)))))</f>
        <v>14734</v>
      </c>
      <c r="K35" s="6">
        <f>IF(ISNA(MATCH(K$2,Inputs!$K$4:$AJ$4,0)),NA(),IF(SUMPRODUCT((Inputs!$A$5:$A$110=$B35)*ISNUMBER(INDEX(Inputs!$K$5:$AJ$110,0,MATCH(K$2,Inputs!$K$4:$AJ$4,0))))+SUMPRODUCT((Inputs!$C$5:$C$110=$B35)*ISNUMBER(INDEX(Inputs!$K$5:$AJ$110,0,MATCH(K$2,Inputs!$K$4:$AJ$4,0))))+SUMPRODUCT((Inputs!$E$5:$E$110=$B35)*ISNUMBER(INDEX(Inputs!$K$5:$AJ$110,0,MATCH(K$2,Inputs!$K$4:$AJ$4,0))))=0,NA(),SUMPRODUCT((Inputs!$A$5:$A$110=$B35)*Inputs!$B$5:$B$110*(((Inputs!$G$5:$G$110="moeda")+(Inputs!$G$5:$G$110="acoes"))*Inputs!$B$1+((Inputs!$G$5:$G$110&lt;&gt;"moeda")*(Inputs!$G$5:$G$110&lt;&gt;"acoes")))*INDEX(Inputs!$K$5:$AJ$110,0,MATCH(K$2,Inputs!$K$4:$AJ$4,0)))+SUMPRODUCT((Inputs!$C$5:$C$110=$B35)*Inputs!$D$5:$D$110*(((Inputs!$G$5:$G$110="moeda")+(Inputs!$G$5:$G$110="acoes"))*Inputs!$B$1+((Inputs!$G$5:$G$110&lt;&gt;"moeda")*(Inputs!$G$5:$G$110&lt;&gt;"acoes")))*INDEX(Inputs!$K$5:$AJ$110,0,MATCH(K$2,Inputs!$K$4:$AJ$4,0)))+SUMPRODUCT((Inputs!$E$5:$E$110=$B35)*Inputs!$F$5:$F$110*(((Inputs!$G$5:$G$110="moeda")+(Inputs!$G$5:$G$110="acoes"))*Inputs!$B$1+((Inputs!$G$5:$G$110&lt;&gt;"moeda")*(Inputs!$G$5:$G$110&lt;&gt;"acoes")))*INDEX(Inputs!$K$5:$AJ$110,0,MATCH(K$2,Inputs!$K$4:$AJ$4,0)))))</f>
        <v>14653</v>
      </c>
      <c r="L35" s="6">
        <f>IF(ISNA(MATCH(L$2,Inputs!$K$4:$AJ$4,0)),NA(),IF(SUMPRODUCT((Inputs!$A$5:$A$110=$B35)*ISNUMBER(INDEX(Inputs!$K$5:$AJ$110,0,MATCH(L$2,Inputs!$K$4:$AJ$4,0))))+SUMPRODUCT((Inputs!$C$5:$C$110=$B35)*ISNUMBER(INDEX(Inputs!$K$5:$AJ$110,0,MATCH(L$2,Inputs!$K$4:$AJ$4,0))))+SUMPRODUCT((Inputs!$E$5:$E$110=$B35)*ISNUMBER(INDEX(Inputs!$K$5:$AJ$110,0,MATCH(L$2,Inputs!$K$4:$AJ$4,0))))=0,NA(),SUMPRODUCT((Inputs!$A$5:$A$110=$B35)*Inputs!$B$5:$B$110*(((Inputs!$G$5:$G$110="moeda")+(Inputs!$G$5:$G$110="acoes"))*Inputs!$B$1+((Inputs!$G$5:$G$110&lt;&gt;"moeda")*(Inputs!$G$5:$G$110&lt;&gt;"acoes")))*INDEX(Inputs!$K$5:$AJ$110,0,MATCH(L$2,Inputs!$K$4:$AJ$4,0)))+SUMPRODUCT((Inputs!$C$5:$C$110=$B35)*Inputs!$D$5:$D$110*(((Inputs!$G$5:$G$110="moeda")+(Inputs!$G$5:$G$110="acoes"))*Inputs!$B$1+((Inputs!$G$5:$G$110&lt;&gt;"moeda")*(Inputs!$G$5:$G$110&lt;&gt;"acoes")))*INDEX(Inputs!$K$5:$AJ$110,0,MATCH(L$2,Inputs!$K$4:$AJ$4,0)))+SUMPRODUCT((Inputs!$E$5:$E$110=$B35)*Inputs!$F$5:$F$110*(((Inputs!$G$5:$G$110="moeda")+(Inputs!$G$5:$G$110="acoes"))*Inputs!$B$1+((Inputs!$G$5:$G$110&lt;&gt;"moeda")*(Inputs!$G$5:$G$110&lt;&gt;"acoes")))*INDEX(Inputs!$K$5:$AJ$110,0,MATCH(L$2,Inputs!$K$4:$AJ$4,0)))))</f>
        <v>14701</v>
      </c>
      <c r="M35" s="3">
        <f>L35</f>
        <v>14701</v>
      </c>
      <c r="N35" s="6">
        <f>IF(ISNA(MATCH(N$2,Inputs!$K$4:$AJ$4,0)),NA(),IF(SUMPRODUCT((Inputs!$A$5:$A$110=$B35)*ISNUMBER(INDEX(Inputs!$K$5:$AJ$110,0,MATCH(N$2,Inputs!$K$4:$AJ$4,0))))+SUMPRODUCT((Inputs!$C$5:$C$110=$B35)*ISNUMBER(INDEX(Inputs!$K$5:$AJ$110,0,MATCH(N$2,Inputs!$K$4:$AJ$4,0))))+SUMPRODUCT((Inputs!$E$5:$E$110=$B35)*ISNUMBER(INDEX(Inputs!$K$5:$AJ$110,0,MATCH(N$2,Inputs!$K$4:$AJ$4,0))))=0,NA(),SUMPRODUCT((Inputs!$A$5:$A$110=$B35)*Inputs!$B$5:$B$110*(((Inputs!$G$5:$G$110="moeda")+(Inputs!$G$5:$G$110="acoes"))*Inputs!$B$1+((Inputs!$G$5:$G$110&lt;&gt;"moeda")*(Inputs!$G$5:$G$110&lt;&gt;"acoes")))*INDEX(Inputs!$K$5:$AJ$110,0,MATCH(N$2,Inputs!$K$4:$AJ$4,0)))+SUMPRODUCT((Inputs!$C$5:$C$110=$B35)*Inputs!$D$5:$D$110*(((Inputs!$G$5:$G$110="moeda")+(Inputs!$G$5:$G$110="acoes"))*Inputs!$B$1+((Inputs!$G$5:$G$110&lt;&gt;"moeda")*(Inputs!$G$5:$G$110&lt;&gt;"acoes")))*INDEX(Inputs!$K$5:$AJ$110,0,MATCH(N$2,Inputs!$K$4:$AJ$4,0)))+SUMPRODUCT((Inputs!$E$5:$E$110=$B35)*Inputs!$F$5:$F$110*(((Inputs!$G$5:$G$110="moeda")+(Inputs!$G$5:$G$110="acoes"))*Inputs!$B$1+((Inputs!$G$5:$G$110&lt;&gt;"moeda")*(Inputs!$G$5:$G$110&lt;&gt;"acoes")))*INDEX(Inputs!$K$5:$AJ$110,0,MATCH(N$2,Inputs!$K$4:$AJ$4,0)))))</f>
        <v>13697</v>
      </c>
      <c r="O35" s="6">
        <f>IF(ISNA(MATCH(O$2,Inputs!$K$4:$AJ$4,0)),NA(),IF(SUMPRODUCT((Inputs!$A$5:$A$110=$B35)*ISNUMBER(INDEX(Inputs!$K$5:$AJ$110,0,MATCH(O$2,Inputs!$K$4:$AJ$4,0))))+SUMPRODUCT((Inputs!$C$5:$C$110=$B35)*ISNUMBER(INDEX(Inputs!$K$5:$AJ$110,0,MATCH(O$2,Inputs!$K$4:$AJ$4,0))))+SUMPRODUCT((Inputs!$E$5:$E$110=$B35)*ISNUMBER(INDEX(Inputs!$K$5:$AJ$110,0,MATCH(O$2,Inputs!$K$4:$AJ$4,0))))=0,NA(),SUMPRODUCT((Inputs!$A$5:$A$110=$B35)*Inputs!$B$5:$B$110*(((Inputs!$G$5:$G$110="moeda")+(Inputs!$G$5:$G$110="acoes"))*Inputs!$B$1+((Inputs!$G$5:$G$110&lt;&gt;"moeda")*(Inputs!$G$5:$G$110&lt;&gt;"acoes")))*INDEX(Inputs!$K$5:$AJ$110,0,MATCH(O$2,Inputs!$K$4:$AJ$4,0)))+SUMPRODUCT((Inputs!$C$5:$C$110=$B35)*Inputs!$D$5:$D$110*(((Inputs!$G$5:$G$110="moeda")+(Inputs!$G$5:$G$110="acoes"))*Inputs!$B$1+((Inputs!$G$5:$G$110&lt;&gt;"moeda")*(Inputs!$G$5:$G$110&lt;&gt;"acoes")))*INDEX(Inputs!$K$5:$AJ$110,0,MATCH(O$2,Inputs!$K$4:$AJ$4,0)))+SUMPRODUCT((Inputs!$E$5:$E$110=$B35)*Inputs!$F$5:$F$110*(((Inputs!$G$5:$G$110="moeda")+(Inputs!$G$5:$G$110="acoes"))*Inputs!$B$1+((Inputs!$G$5:$G$110&lt;&gt;"moeda")*(Inputs!$G$5:$G$110&lt;&gt;"acoes")))*INDEX(Inputs!$K$5:$AJ$110,0,MATCH(O$2,Inputs!$K$4:$AJ$4,0)))))</f>
        <v>13705</v>
      </c>
      <c r="P35" s="6">
        <f>IF(ISNA(MATCH(P$2,Inputs!$K$4:$AJ$4,0)),NA(),IF(SUMPRODUCT((Inputs!$A$5:$A$110=$B35)*ISNUMBER(INDEX(Inputs!$K$5:$AJ$110,0,MATCH(P$2,Inputs!$K$4:$AJ$4,0))))+SUMPRODUCT((Inputs!$C$5:$C$110=$B35)*ISNUMBER(INDEX(Inputs!$K$5:$AJ$110,0,MATCH(P$2,Inputs!$K$4:$AJ$4,0))))+SUMPRODUCT((Inputs!$E$5:$E$110=$B35)*ISNUMBER(INDEX(Inputs!$K$5:$AJ$110,0,MATCH(P$2,Inputs!$K$4:$AJ$4,0))))=0,NA(),SUMPRODUCT((Inputs!$A$5:$A$110=$B35)*Inputs!$B$5:$B$110*(((Inputs!$G$5:$G$110="moeda")+(Inputs!$G$5:$G$110="acoes"))*Inputs!$B$1+((Inputs!$G$5:$G$110&lt;&gt;"moeda")*(Inputs!$G$5:$G$110&lt;&gt;"acoes")))*INDEX(Inputs!$K$5:$AJ$110,0,MATCH(P$2,Inputs!$K$4:$AJ$4,0)))+SUMPRODUCT((Inputs!$C$5:$C$110=$B35)*Inputs!$D$5:$D$110*(((Inputs!$G$5:$G$110="moeda")+(Inputs!$G$5:$G$110="acoes"))*Inputs!$B$1+((Inputs!$G$5:$G$110&lt;&gt;"moeda")*(Inputs!$G$5:$G$110&lt;&gt;"acoes")))*INDEX(Inputs!$K$5:$AJ$110,0,MATCH(P$2,Inputs!$K$4:$AJ$4,0)))+SUMPRODUCT((Inputs!$E$5:$E$110=$B35)*Inputs!$F$5:$F$110*(((Inputs!$G$5:$G$110="moeda")+(Inputs!$G$5:$G$110="acoes"))*Inputs!$B$1+((Inputs!$G$5:$G$110&lt;&gt;"moeda")*(Inputs!$G$5:$G$110&lt;&gt;"acoes")))*INDEX(Inputs!$K$5:$AJ$110,0,MATCH(P$2,Inputs!$K$4:$AJ$4,0)))))</f>
        <v>13781</v>
      </c>
      <c r="Q35" s="6">
        <f>IF(ISNA(MATCH(Q$2,Inputs!$K$4:$AJ$4,0)),NA(),IF(SUMPRODUCT((Inputs!$A$5:$A$110=$B35)*ISNUMBER(INDEX(Inputs!$K$5:$AJ$110,0,MATCH(Q$2,Inputs!$K$4:$AJ$4,0))))+SUMPRODUCT((Inputs!$C$5:$C$110=$B35)*ISNUMBER(INDEX(Inputs!$K$5:$AJ$110,0,MATCH(Q$2,Inputs!$K$4:$AJ$4,0))))+SUMPRODUCT((Inputs!$E$5:$E$110=$B35)*ISNUMBER(INDEX(Inputs!$K$5:$AJ$110,0,MATCH(Q$2,Inputs!$K$4:$AJ$4,0))))=0,NA(),SUMPRODUCT((Inputs!$A$5:$A$110=$B35)*Inputs!$B$5:$B$110*(((Inputs!$G$5:$G$110="moeda")+(Inputs!$G$5:$G$110="acoes"))*Inputs!$B$1+((Inputs!$G$5:$G$110&lt;&gt;"moeda")*(Inputs!$G$5:$G$110&lt;&gt;"acoes")))*INDEX(Inputs!$K$5:$AJ$110,0,MATCH(Q$2,Inputs!$K$4:$AJ$4,0)))+SUMPRODUCT((Inputs!$C$5:$C$110=$B35)*Inputs!$D$5:$D$110*(((Inputs!$G$5:$G$110="moeda")+(Inputs!$G$5:$G$110="acoes"))*Inputs!$B$1+((Inputs!$G$5:$G$110&lt;&gt;"moeda")*(Inputs!$G$5:$G$110&lt;&gt;"acoes")))*INDEX(Inputs!$K$5:$AJ$110,0,MATCH(Q$2,Inputs!$K$4:$AJ$4,0)))+SUMPRODUCT((Inputs!$E$5:$E$110=$B35)*Inputs!$F$5:$F$110*(((Inputs!$G$5:$G$110="moeda")+(Inputs!$G$5:$G$110="acoes"))*Inputs!$B$1+((Inputs!$G$5:$G$110&lt;&gt;"moeda")*(Inputs!$G$5:$G$110&lt;&gt;"acoes")))*INDEX(Inputs!$K$5:$AJ$110,0,MATCH(Q$2,Inputs!$K$4:$AJ$4,0)))))</f>
        <v>13253</v>
      </c>
      <c r="R35" s="3">
        <f>Q35</f>
        <v>13253</v>
      </c>
      <c r="S35" s="6">
        <f>IF(ISNA(MATCH(S$2,Inputs!$K$4:$AJ$4,0)),NA(),IF(SUMPRODUCT((Inputs!$A$5:$A$110=$B35)*ISNUMBER(INDEX(Inputs!$K$5:$AJ$110,0,MATCH(S$2,Inputs!$K$4:$AJ$4,0))))+SUMPRODUCT((Inputs!$C$5:$C$110=$B35)*ISNUMBER(INDEX(Inputs!$K$5:$AJ$110,0,MATCH(S$2,Inputs!$K$4:$AJ$4,0))))+SUMPRODUCT((Inputs!$E$5:$E$110=$B35)*ISNUMBER(INDEX(Inputs!$K$5:$AJ$110,0,MATCH(S$2,Inputs!$K$4:$AJ$4,0))))=0,NA(),SUMPRODUCT((Inputs!$A$5:$A$110=$B35)*Inputs!$B$5:$B$110*(((Inputs!$G$5:$G$110="moeda")+(Inputs!$G$5:$G$110="acoes"))*Inputs!$B$1+((Inputs!$G$5:$G$110&lt;&gt;"moeda")*(Inputs!$G$5:$G$110&lt;&gt;"acoes")))*INDEX(Inputs!$K$5:$AJ$110,0,MATCH(S$2,Inputs!$K$4:$AJ$4,0)))+SUMPRODUCT((Inputs!$C$5:$C$110=$B35)*Inputs!$D$5:$D$110*(((Inputs!$G$5:$G$110="moeda")+(Inputs!$G$5:$G$110="acoes"))*Inputs!$B$1+((Inputs!$G$5:$G$110&lt;&gt;"moeda")*(Inputs!$G$5:$G$110&lt;&gt;"acoes")))*INDEX(Inputs!$K$5:$AJ$110,0,MATCH(S$2,Inputs!$K$4:$AJ$4,0)))+SUMPRODUCT((Inputs!$E$5:$E$110=$B35)*Inputs!$F$5:$F$110*(((Inputs!$G$5:$G$110="moeda")+(Inputs!$G$5:$G$110="acoes"))*Inputs!$B$1+((Inputs!$G$5:$G$110&lt;&gt;"moeda")*(Inputs!$G$5:$G$110&lt;&gt;"acoes")))*INDEX(Inputs!$K$5:$AJ$110,0,MATCH(S$2,Inputs!$K$4:$AJ$4,0)))))</f>
        <v>13228</v>
      </c>
      <c r="T35" s="6">
        <f>IF(ISNA(MATCH(T$2,Inputs!$K$4:$AJ$4,0)),NA(),IF(SUMPRODUCT((Inputs!$A$5:$A$110=$B35)*ISNUMBER(INDEX(Inputs!$K$5:$AJ$110,0,MATCH(T$2,Inputs!$K$4:$AJ$4,0))))+SUMPRODUCT((Inputs!$C$5:$C$110=$B35)*ISNUMBER(INDEX(Inputs!$K$5:$AJ$110,0,MATCH(T$2,Inputs!$K$4:$AJ$4,0))))+SUMPRODUCT((Inputs!$E$5:$E$110=$B35)*ISNUMBER(INDEX(Inputs!$K$5:$AJ$110,0,MATCH(T$2,Inputs!$K$4:$AJ$4,0))))=0,NA(),SUMPRODUCT((Inputs!$A$5:$A$110=$B35)*Inputs!$B$5:$B$110*(((Inputs!$G$5:$G$110="moeda")+(Inputs!$G$5:$G$110="acoes"))*Inputs!$B$1+((Inputs!$G$5:$G$110&lt;&gt;"moeda")*(Inputs!$G$5:$G$110&lt;&gt;"acoes")))*INDEX(Inputs!$K$5:$AJ$110,0,MATCH(T$2,Inputs!$K$4:$AJ$4,0)))+SUMPRODUCT((Inputs!$C$5:$C$110=$B35)*Inputs!$D$5:$D$110*(((Inputs!$G$5:$G$110="moeda")+(Inputs!$G$5:$G$110="acoes"))*Inputs!$B$1+((Inputs!$G$5:$G$110&lt;&gt;"moeda")*(Inputs!$G$5:$G$110&lt;&gt;"acoes")))*INDEX(Inputs!$K$5:$AJ$110,0,MATCH(T$2,Inputs!$K$4:$AJ$4,0)))+SUMPRODUCT((Inputs!$E$5:$E$110=$B35)*Inputs!$F$5:$F$110*(((Inputs!$G$5:$G$110="moeda")+(Inputs!$G$5:$G$110="acoes"))*Inputs!$B$1+((Inputs!$G$5:$G$110&lt;&gt;"moeda")*(Inputs!$G$5:$G$110&lt;&gt;"acoes")))*INDEX(Inputs!$K$5:$AJ$110,0,MATCH(T$2,Inputs!$K$4:$AJ$4,0)))))</f>
        <v>13238</v>
      </c>
      <c r="U35" s="6">
        <f>IF(ISNA(MATCH(U$2,Inputs!$K$4:$AJ$4,0)),NA(),IF(SUMPRODUCT((Inputs!$A$5:$A$110=$B35)*ISNUMBER(INDEX(Inputs!$K$5:$AJ$110,0,MATCH(U$2,Inputs!$K$4:$AJ$4,0))))+SUMPRODUCT((Inputs!$C$5:$C$110=$B35)*ISNUMBER(INDEX(Inputs!$K$5:$AJ$110,0,MATCH(U$2,Inputs!$K$4:$AJ$4,0))))+SUMPRODUCT((Inputs!$E$5:$E$110=$B35)*ISNUMBER(INDEX(Inputs!$K$5:$AJ$110,0,MATCH(U$2,Inputs!$K$4:$AJ$4,0))))=0,NA(),SUMPRODUCT((Inputs!$A$5:$A$110=$B35)*Inputs!$B$5:$B$110*(((Inputs!$G$5:$G$110="moeda")+(Inputs!$G$5:$G$110="acoes"))*Inputs!$B$1+((Inputs!$G$5:$G$110&lt;&gt;"moeda")*(Inputs!$G$5:$G$110&lt;&gt;"acoes")))*INDEX(Inputs!$K$5:$AJ$110,0,MATCH(U$2,Inputs!$K$4:$AJ$4,0)))+SUMPRODUCT((Inputs!$C$5:$C$110=$B35)*Inputs!$D$5:$D$110*(((Inputs!$G$5:$G$110="moeda")+(Inputs!$G$5:$G$110="acoes"))*Inputs!$B$1+((Inputs!$G$5:$G$110&lt;&gt;"moeda")*(Inputs!$G$5:$G$110&lt;&gt;"acoes")))*INDEX(Inputs!$K$5:$AJ$110,0,MATCH(U$2,Inputs!$K$4:$AJ$4,0)))+SUMPRODUCT((Inputs!$E$5:$E$110=$B35)*Inputs!$F$5:$F$110*(((Inputs!$G$5:$G$110="moeda")+(Inputs!$G$5:$G$110="acoes"))*Inputs!$B$1+((Inputs!$G$5:$G$110&lt;&gt;"moeda")*(Inputs!$G$5:$G$110&lt;&gt;"acoes")))*INDEX(Inputs!$K$5:$AJ$110,0,MATCH(U$2,Inputs!$K$4:$AJ$4,0)))))</f>
        <v>12297</v>
      </c>
      <c r="V35" s="6">
        <f>IF(ISNA(MATCH(V$2,Inputs!$K$4:$AJ$4,0)),NA(),IF(SUMPRODUCT((Inputs!$A$5:$A$110=$B35)*ISNUMBER(INDEX(Inputs!$K$5:$AJ$110,0,MATCH(V$2,Inputs!$K$4:$AJ$4,0))))+SUMPRODUCT((Inputs!$C$5:$C$110=$B35)*ISNUMBER(INDEX(Inputs!$K$5:$AJ$110,0,MATCH(V$2,Inputs!$K$4:$AJ$4,0))))+SUMPRODUCT((Inputs!$E$5:$E$110=$B35)*ISNUMBER(INDEX(Inputs!$K$5:$AJ$110,0,MATCH(V$2,Inputs!$K$4:$AJ$4,0))))=0,NA(),SUMPRODUCT((Inputs!$A$5:$A$110=$B35)*Inputs!$B$5:$B$110*(((Inputs!$G$5:$G$110="moeda")+(Inputs!$G$5:$G$110="acoes"))*Inputs!$B$1+((Inputs!$G$5:$G$110&lt;&gt;"moeda")*(Inputs!$G$5:$G$110&lt;&gt;"acoes")))*INDEX(Inputs!$K$5:$AJ$110,0,MATCH(V$2,Inputs!$K$4:$AJ$4,0)))+SUMPRODUCT((Inputs!$C$5:$C$110=$B35)*Inputs!$D$5:$D$110*(((Inputs!$G$5:$G$110="moeda")+(Inputs!$G$5:$G$110="acoes"))*Inputs!$B$1+((Inputs!$G$5:$G$110&lt;&gt;"moeda")*(Inputs!$G$5:$G$110&lt;&gt;"acoes")))*INDEX(Inputs!$K$5:$AJ$110,0,MATCH(V$2,Inputs!$K$4:$AJ$4,0)))+SUMPRODUCT((Inputs!$E$5:$E$110=$B35)*Inputs!$F$5:$F$110*(((Inputs!$G$5:$G$110="moeda")+(Inputs!$G$5:$G$110="acoes"))*Inputs!$B$1+((Inputs!$G$5:$G$110&lt;&gt;"moeda")*(Inputs!$G$5:$G$110&lt;&gt;"acoes")))*INDEX(Inputs!$K$5:$AJ$110,0,MATCH(V$2,Inputs!$K$4:$AJ$4,0)))))</f>
        <v>10883</v>
      </c>
      <c r="W35" s="3">
        <f>V35</f>
        <v>10883</v>
      </c>
      <c r="X35" s="6">
        <f>IF(ISNA(MATCH(X$2,Inputs!$K$4:$AJ$4,0)),NA(),IF(SUMPRODUCT((Inputs!$A$5:$A$110=$B35)*ISNUMBER(INDEX(Inputs!$K$5:$AJ$110,0,MATCH(X$2,Inputs!$K$4:$AJ$4,0))))+SUMPRODUCT((Inputs!$C$5:$C$110=$B35)*ISNUMBER(INDEX(Inputs!$K$5:$AJ$110,0,MATCH(X$2,Inputs!$K$4:$AJ$4,0))))+SUMPRODUCT((Inputs!$E$5:$E$110=$B35)*ISNUMBER(INDEX(Inputs!$K$5:$AJ$110,0,MATCH(X$2,Inputs!$K$4:$AJ$4,0))))=0,NA(),SUMPRODUCT((Inputs!$A$5:$A$110=$B35)*Inputs!$B$5:$B$110*(((Inputs!$G$5:$G$110="moeda")+(Inputs!$G$5:$G$110="acoes"))*Inputs!$B$1+((Inputs!$G$5:$G$110&lt;&gt;"moeda")*(Inputs!$G$5:$G$110&lt;&gt;"acoes")))*INDEX(Inputs!$K$5:$AJ$110,0,MATCH(X$2,Inputs!$K$4:$AJ$4,0)))+SUMPRODUCT((Inputs!$C$5:$C$110=$B35)*Inputs!$D$5:$D$110*(((Inputs!$G$5:$G$110="moeda")+(Inputs!$G$5:$G$110="acoes"))*Inputs!$B$1+((Inputs!$G$5:$G$110&lt;&gt;"moeda")*(Inputs!$G$5:$G$110&lt;&gt;"acoes")))*INDEX(Inputs!$K$5:$AJ$110,0,MATCH(X$2,Inputs!$K$4:$AJ$4,0)))+SUMPRODUCT((Inputs!$E$5:$E$110=$B35)*Inputs!$F$5:$F$110*(((Inputs!$G$5:$G$110="moeda")+(Inputs!$G$5:$G$110="acoes"))*Inputs!$B$1+((Inputs!$G$5:$G$110&lt;&gt;"moeda")*(Inputs!$G$5:$G$110&lt;&gt;"acoes")))*INDEX(Inputs!$K$5:$AJ$110,0,MATCH(X$2,Inputs!$K$4:$AJ$4,0)))))</f>
        <v>10886</v>
      </c>
      <c r="Y35" s="6">
        <f>IF(ISNA(MATCH(Y$2,Inputs!$K$4:$AJ$4,0)),NA(),IF(SUMPRODUCT((Inputs!$A$5:$A$110=$B35)*ISNUMBER(INDEX(Inputs!$K$5:$AJ$110,0,MATCH(Y$2,Inputs!$K$4:$AJ$4,0))))+SUMPRODUCT((Inputs!$C$5:$C$110=$B35)*ISNUMBER(INDEX(Inputs!$K$5:$AJ$110,0,MATCH(Y$2,Inputs!$K$4:$AJ$4,0))))+SUMPRODUCT((Inputs!$E$5:$E$110=$B35)*ISNUMBER(INDEX(Inputs!$K$5:$AJ$110,0,MATCH(Y$2,Inputs!$K$4:$AJ$4,0))))=0,NA(),SUMPRODUCT((Inputs!$A$5:$A$110=$B35)*Inputs!$B$5:$B$110*(((Inputs!$G$5:$G$110="moeda")+(Inputs!$G$5:$G$110="acoes"))*Inputs!$B$1+((Inputs!$G$5:$G$110&lt;&gt;"moeda")*(Inputs!$G$5:$G$110&lt;&gt;"acoes")))*INDEX(Inputs!$K$5:$AJ$110,0,MATCH(Y$2,Inputs!$K$4:$AJ$4,0)))+SUMPRODUCT((Inputs!$C$5:$C$110=$B35)*Inputs!$D$5:$D$110*(((Inputs!$G$5:$G$110="moeda")+(Inputs!$G$5:$G$110="acoes"))*Inputs!$B$1+((Inputs!$G$5:$G$110&lt;&gt;"moeda")*(Inputs!$G$5:$G$110&lt;&gt;"acoes")))*INDEX(Inputs!$K$5:$AJ$110,0,MATCH(Y$2,Inputs!$K$4:$AJ$4,0)))+SUMPRODUCT((Inputs!$E$5:$E$110=$B35)*Inputs!$F$5:$F$110*(((Inputs!$G$5:$G$110="moeda")+(Inputs!$G$5:$G$110="acoes"))*Inputs!$B$1+((Inputs!$G$5:$G$110&lt;&gt;"moeda")*(Inputs!$G$5:$G$110&lt;&gt;"acoes")))*INDEX(Inputs!$K$5:$AJ$110,0,MATCH(Y$2,Inputs!$K$4:$AJ$4,0)))))</f>
        <v>23607</v>
      </c>
      <c r="Z35" s="6">
        <f>IF(ISNA(MATCH(Z$2,Inputs!$K$4:$AJ$4,0)),NA(),IF(SUMPRODUCT((Inputs!$A$5:$A$110=$B35)*ISNUMBER(INDEX(Inputs!$K$5:$AJ$110,0,MATCH(Z$2,Inputs!$K$4:$AJ$4,0))))+SUMPRODUCT((Inputs!$C$5:$C$110=$B35)*ISNUMBER(INDEX(Inputs!$K$5:$AJ$110,0,MATCH(Z$2,Inputs!$K$4:$AJ$4,0))))+SUMPRODUCT((Inputs!$E$5:$E$110=$B35)*ISNUMBER(INDEX(Inputs!$K$5:$AJ$110,0,MATCH(Z$2,Inputs!$K$4:$AJ$4,0))))=0,NA(),SUMPRODUCT((Inputs!$A$5:$A$110=$B35)*Inputs!$B$5:$B$110*(((Inputs!$G$5:$G$110="moeda")+(Inputs!$G$5:$G$110="acoes"))*Inputs!$B$1+((Inputs!$G$5:$G$110&lt;&gt;"moeda")*(Inputs!$G$5:$G$110&lt;&gt;"acoes")))*INDEX(Inputs!$K$5:$AJ$110,0,MATCH(Z$2,Inputs!$K$4:$AJ$4,0)))+SUMPRODUCT((Inputs!$C$5:$C$110=$B35)*Inputs!$D$5:$D$110*(((Inputs!$G$5:$G$110="moeda")+(Inputs!$G$5:$G$110="acoes"))*Inputs!$B$1+((Inputs!$G$5:$G$110&lt;&gt;"moeda")*(Inputs!$G$5:$G$110&lt;&gt;"acoes")))*INDEX(Inputs!$K$5:$AJ$110,0,MATCH(Z$2,Inputs!$K$4:$AJ$4,0)))+SUMPRODUCT((Inputs!$E$5:$E$110=$B35)*Inputs!$F$5:$F$110*(((Inputs!$G$5:$G$110="moeda")+(Inputs!$G$5:$G$110="acoes"))*Inputs!$B$1+((Inputs!$G$5:$G$110&lt;&gt;"moeda")*(Inputs!$G$5:$G$110&lt;&gt;"acoes")))*INDEX(Inputs!$K$5:$AJ$110,0,MATCH(Z$2,Inputs!$K$4:$AJ$4,0)))))</f>
        <v>21607</v>
      </c>
      <c r="AA35" s="6">
        <f>IF(ISNA(MATCH(AA$2,Inputs!$K$4:$AJ$4,0)),NA(),IF(SUMPRODUCT((Inputs!$A$5:$A$110=$B35)*ISNUMBER(INDEX(Inputs!$K$5:$AJ$110,0,MATCH(AA$2,Inputs!$K$4:$AJ$4,0))))+SUMPRODUCT((Inputs!$C$5:$C$110=$B35)*ISNUMBER(INDEX(Inputs!$K$5:$AJ$110,0,MATCH(AA$2,Inputs!$K$4:$AJ$4,0))))+SUMPRODUCT((Inputs!$E$5:$E$110=$B35)*ISNUMBER(INDEX(Inputs!$K$5:$AJ$110,0,MATCH(AA$2,Inputs!$K$4:$AJ$4,0))))=0,NA(),SUMPRODUCT((Inputs!$A$5:$A$110=$B35)*Inputs!$B$5:$B$110*(((Inputs!$G$5:$G$110="moeda")+(Inputs!$G$5:$G$110="acoes"))*Inputs!$B$1+((Inputs!$G$5:$G$110&lt;&gt;"moeda")*(Inputs!$G$5:$G$110&lt;&gt;"acoes")))*INDEX(Inputs!$K$5:$AJ$110,0,MATCH(AA$2,Inputs!$K$4:$AJ$4,0)))+SUMPRODUCT((Inputs!$C$5:$C$110=$B35)*Inputs!$D$5:$D$110*(((Inputs!$G$5:$G$110="moeda")+(Inputs!$G$5:$G$110="acoes"))*Inputs!$B$1+((Inputs!$G$5:$G$110&lt;&gt;"moeda")*(Inputs!$G$5:$G$110&lt;&gt;"acoes")))*INDEX(Inputs!$K$5:$AJ$110,0,MATCH(AA$2,Inputs!$K$4:$AJ$4,0)))+SUMPRODUCT((Inputs!$E$5:$E$110=$B35)*Inputs!$F$5:$F$110*(((Inputs!$G$5:$G$110="moeda")+(Inputs!$G$5:$G$110="acoes"))*Inputs!$B$1+((Inputs!$G$5:$G$110&lt;&gt;"moeda")*(Inputs!$G$5:$G$110&lt;&gt;"acoes")))*INDEX(Inputs!$K$5:$AJ$110,0,MATCH(AA$2,Inputs!$K$4:$AJ$4,0)))))</f>
        <v>46547</v>
      </c>
      <c r="AB35" s="3">
        <f>AA35</f>
        <v>46547</v>
      </c>
      <c r="AC35" s="6">
        <f>IF(ISNA(MATCH(AC$2,Inputs!$K$4:$AJ$4,0)),NA(),IF(SUMPRODUCT((Inputs!$A$5:$A$110=$B35)*ISNUMBER(INDEX(Inputs!$K$5:$AJ$110,0,MATCH(AC$2,Inputs!$K$4:$AJ$4,0))))+SUMPRODUCT((Inputs!$C$5:$C$110=$B35)*ISNUMBER(INDEX(Inputs!$K$5:$AJ$110,0,MATCH(AC$2,Inputs!$K$4:$AJ$4,0))))+SUMPRODUCT((Inputs!$E$5:$E$110=$B35)*ISNUMBER(INDEX(Inputs!$K$5:$AJ$110,0,MATCH(AC$2,Inputs!$K$4:$AJ$4,0))))=0,NA(),SUMPRODUCT((Inputs!$A$5:$A$110=$B35)*Inputs!$B$5:$B$110*(((Inputs!$G$5:$G$110="moeda")+(Inputs!$G$5:$G$110="acoes"))*Inputs!$B$1+((Inputs!$G$5:$G$110&lt;&gt;"moeda")*(Inputs!$G$5:$G$110&lt;&gt;"acoes")))*INDEX(Inputs!$K$5:$AJ$110,0,MATCH(AC$2,Inputs!$K$4:$AJ$4,0)))+SUMPRODUCT((Inputs!$C$5:$C$110=$B35)*Inputs!$D$5:$D$110*(((Inputs!$G$5:$G$110="moeda")+(Inputs!$G$5:$G$110="acoes"))*Inputs!$B$1+((Inputs!$G$5:$G$110&lt;&gt;"moeda")*(Inputs!$G$5:$G$110&lt;&gt;"acoes")))*INDEX(Inputs!$K$5:$AJ$110,0,MATCH(AC$2,Inputs!$K$4:$AJ$4,0)))+SUMPRODUCT((Inputs!$E$5:$E$110=$B35)*Inputs!$F$5:$F$110*(((Inputs!$G$5:$G$110="moeda")+(Inputs!$G$5:$G$110="acoes"))*Inputs!$B$1+((Inputs!$G$5:$G$110&lt;&gt;"moeda")*(Inputs!$G$5:$G$110&lt;&gt;"acoes")))*INDEX(Inputs!$K$5:$AJ$110,0,MATCH(AC$2,Inputs!$K$4:$AJ$4,0)))))</f>
        <v>77501</v>
      </c>
      <c r="AD35" s="6">
        <f>IF(ISNA(MATCH(AD$2,Inputs!$K$4:$AJ$4,0)),NA(),IF(SUMPRODUCT((Inputs!$A$5:$A$110=$B35)*ISNUMBER(INDEX(Inputs!$K$5:$AJ$110,0,MATCH(AD$2,Inputs!$K$4:$AJ$4,0))))+SUMPRODUCT((Inputs!$C$5:$C$110=$B35)*ISNUMBER(INDEX(Inputs!$K$5:$AJ$110,0,MATCH(AD$2,Inputs!$K$4:$AJ$4,0))))+SUMPRODUCT((Inputs!$E$5:$E$110=$B35)*ISNUMBER(INDEX(Inputs!$K$5:$AJ$110,0,MATCH(AD$2,Inputs!$K$4:$AJ$4,0))))=0,NA(),SUMPRODUCT((Inputs!$A$5:$A$110=$B35)*Inputs!$B$5:$B$110*(((Inputs!$G$5:$G$110="moeda")+(Inputs!$G$5:$G$110="acoes"))*Inputs!$B$1+((Inputs!$G$5:$G$110&lt;&gt;"moeda")*(Inputs!$G$5:$G$110&lt;&gt;"acoes")))*INDEX(Inputs!$K$5:$AJ$110,0,MATCH(AD$2,Inputs!$K$4:$AJ$4,0)))+SUMPRODUCT((Inputs!$C$5:$C$110=$B35)*Inputs!$D$5:$D$110*(((Inputs!$G$5:$G$110="moeda")+(Inputs!$G$5:$G$110="acoes"))*Inputs!$B$1+((Inputs!$G$5:$G$110&lt;&gt;"moeda")*(Inputs!$G$5:$G$110&lt;&gt;"acoes")))*INDEX(Inputs!$K$5:$AJ$110,0,MATCH(AD$2,Inputs!$K$4:$AJ$4,0)))+SUMPRODUCT((Inputs!$E$5:$E$110=$B35)*Inputs!$F$5:$F$110*(((Inputs!$G$5:$G$110="moeda")+(Inputs!$G$5:$G$110="acoes"))*Inputs!$B$1+((Inputs!$G$5:$G$110&lt;&gt;"moeda")*(Inputs!$G$5:$G$110&lt;&gt;"acoes")))*INDEX(Inputs!$K$5:$AJ$110,0,MATCH(AD$2,Inputs!$K$4:$AJ$4,0)))))</f>
        <v>98165</v>
      </c>
      <c r="AE35" s="6" t="e">
        <f>IF(ISNA(MATCH(AE$2,Inputs!$K$4:$AJ$4,0)),NA(),IF(SUMPRODUCT((Inputs!$A$5:$A$110=$B35)*ISNUMBER(INDEX(Inputs!$K$5:$AJ$110,0,MATCH(AE$2,Inputs!$K$4:$AJ$4,0))))+SUMPRODUCT((Inputs!$C$5:$C$110=$B35)*ISNUMBER(INDEX(Inputs!$K$5:$AJ$110,0,MATCH(AE$2,Inputs!$K$4:$AJ$4,0))))+SUMPRODUCT((Inputs!$E$5:$E$110=$B35)*ISNUMBER(INDEX(Inputs!$K$5:$AJ$110,0,MATCH(AE$2,Inputs!$K$4:$AJ$4,0))))=0,NA(),SUMPRODUCT((Inputs!$A$5:$A$110=$B35)*Inputs!$B$5:$B$110*(((Inputs!$G$5:$G$110="moeda")+(Inputs!$G$5:$G$110="acoes"))*Inputs!$B$1+((Inputs!$G$5:$G$110&lt;&gt;"moeda")*(Inputs!$G$5:$G$110&lt;&gt;"acoes")))*INDEX(Inputs!$K$5:$AJ$110,0,MATCH(AE$2,Inputs!$K$4:$AJ$4,0)))+SUMPRODUCT((Inputs!$C$5:$C$110=$B35)*Inputs!$D$5:$D$110*(((Inputs!$G$5:$G$110="moeda")+(Inputs!$G$5:$G$110="acoes"))*Inputs!$B$1+((Inputs!$G$5:$G$110&lt;&gt;"moeda")*(Inputs!$G$5:$G$110&lt;&gt;"acoes")))*INDEX(Inputs!$K$5:$AJ$110,0,MATCH(AE$2,Inputs!$K$4:$AJ$4,0)))+SUMPRODUCT((Inputs!$E$5:$E$110=$B35)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5" s="6" t="e">
        <f>IF(ISNA(MATCH(AF$2,Inputs!$K$4:$AJ$4,0)),NA(),IF(SUMPRODUCT((Inputs!$A$5:$A$110=$B35)*ISNUMBER(INDEX(Inputs!$K$5:$AJ$110,0,MATCH(AF$2,Inputs!$K$4:$AJ$4,0))))+SUMPRODUCT((Inputs!$C$5:$C$110=$B35)*ISNUMBER(INDEX(Inputs!$K$5:$AJ$110,0,MATCH(AF$2,Inputs!$K$4:$AJ$4,0))))+SUMPRODUCT((Inputs!$E$5:$E$110=$B35)*ISNUMBER(INDEX(Inputs!$K$5:$AJ$110,0,MATCH(AF$2,Inputs!$K$4:$AJ$4,0))))=0,NA(),SUMPRODUCT((Inputs!$A$5:$A$110=$B35)*Inputs!$B$5:$B$110*(((Inputs!$G$5:$G$110="moeda")+(Inputs!$G$5:$G$110="acoes"))*Inputs!$B$1+((Inputs!$G$5:$G$110&lt;&gt;"moeda")*(Inputs!$G$5:$G$110&lt;&gt;"acoes")))*INDEX(Inputs!$K$5:$AJ$110,0,MATCH(AF$2,Inputs!$K$4:$AJ$4,0)))+SUMPRODUCT((Inputs!$C$5:$C$110=$B35)*Inputs!$D$5:$D$110*(((Inputs!$G$5:$G$110="moeda")+(Inputs!$G$5:$G$110="acoes"))*Inputs!$B$1+((Inputs!$G$5:$G$110&lt;&gt;"moeda")*(Inputs!$G$5:$G$110&lt;&gt;"acoes")))*INDEX(Inputs!$K$5:$AJ$110,0,MATCH(AF$2,Inputs!$K$4:$AJ$4,0)))+SUMPRODUCT((Inputs!$E$5:$E$110=$B35)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5" s="3" t="e">
        <f>AF35</f>
        <v>#N/A</v>
      </c>
      <c r="AH35" s="6">
        <f>IF(ISNA(MATCH(AH$2,Inputs!$K$4:$AJ$4,0)),NA(),IF(SUMPRODUCT((Inputs!$A$5:$A$110=$B35)*ISNUMBER(INDEX(Inputs!$K$5:$AJ$110,0,MATCH(AH$2,Inputs!$K$4:$AJ$4,0))))+SUMPRODUCT((Inputs!$C$5:$C$110=$B35)*ISNUMBER(INDEX(Inputs!$K$5:$AJ$110,0,MATCH(AH$2,Inputs!$K$4:$AJ$4,0))))+SUMPRODUCT((Inputs!$E$5:$E$110=$B35)*ISNUMBER(INDEX(Inputs!$K$5:$AJ$110,0,MATCH(AH$2,Inputs!$K$4:$AJ$4,0))))=0,NA(),SUMPRODUCT((Inputs!$A$5:$A$110=$B35)*Inputs!$B$5:$B$110*(((Inputs!$G$5:$G$110="moeda")+(Inputs!$G$5:$G$110="acoes"))*Inputs!$B$1+((Inputs!$G$5:$G$110&lt;&gt;"moeda")*(Inputs!$G$5:$G$110&lt;&gt;"acoes")))*INDEX(Inputs!$K$5:$AJ$110,0,MATCH(AH$2,Inputs!$K$4:$AJ$4,0)))+SUMPRODUCT((Inputs!$C$5:$C$110=$B35)*Inputs!$D$5:$D$110*(((Inputs!$G$5:$G$110="moeda")+(Inputs!$G$5:$G$110="acoes"))*Inputs!$B$1+((Inputs!$G$5:$G$110&lt;&gt;"moeda")*(Inputs!$G$5:$G$110&lt;&gt;"acoes")))*INDEX(Inputs!$K$5:$AJ$110,0,MATCH(AH$2,Inputs!$K$4:$AJ$4,0)))+SUMPRODUCT((Inputs!$E$5:$E$110=$B35)*Inputs!$F$5:$F$110*(((Inputs!$G$5:$G$110="moeda")+(Inputs!$G$5:$G$110="acoes"))*Inputs!$B$1+((Inputs!$G$5:$G$110&lt;&gt;"moeda")*(Inputs!$G$5:$G$110&lt;&gt;"acoes")))*INDEX(Inputs!$K$5:$AJ$110,0,MATCH(AH$2,Inputs!$K$4:$AJ$4,0)))))</f>
        <v>5016</v>
      </c>
      <c r="AI35" s="6">
        <f>IF(ISNA(MATCH(AI$2,Inputs!$K$4:$AJ$4,0)),NA(),IF(SUMPRODUCT((Inputs!$A$5:$A$110=$B35)*ISNUMBER(INDEX(Inputs!$K$5:$AJ$110,0,MATCH(AI$2,Inputs!$K$4:$AJ$4,0))))+SUMPRODUCT((Inputs!$C$5:$C$110=$B35)*ISNUMBER(INDEX(Inputs!$K$5:$AJ$110,0,MATCH(AI$2,Inputs!$K$4:$AJ$4,0))))+SUMPRODUCT((Inputs!$E$5:$E$110=$B35)*ISNUMBER(INDEX(Inputs!$K$5:$AJ$110,0,MATCH(AI$2,Inputs!$K$4:$AJ$4,0))))=0,NA(),SUMPRODUCT((Inputs!$A$5:$A$110=$B35)*Inputs!$B$5:$B$110*(((Inputs!$G$5:$G$110="moeda")+(Inputs!$G$5:$G$110="acoes"))*Inputs!$B$1+((Inputs!$G$5:$G$110&lt;&gt;"moeda")*(Inputs!$G$5:$G$110&lt;&gt;"acoes")))*INDEX(Inputs!$K$5:$AJ$110,0,MATCH(AI$2,Inputs!$K$4:$AJ$4,0)))+SUMPRODUCT((Inputs!$C$5:$C$110=$B35)*Inputs!$D$5:$D$110*(((Inputs!$G$5:$G$110="moeda")+(Inputs!$G$5:$G$110="acoes"))*Inputs!$B$1+((Inputs!$G$5:$G$110&lt;&gt;"moeda")*(Inputs!$G$5:$G$110&lt;&gt;"acoes")))*INDEX(Inputs!$K$5:$AJ$110,0,MATCH(AI$2,Inputs!$K$4:$AJ$4,0)))+SUMPRODUCT((Inputs!$E$5:$E$110=$B35)*Inputs!$F$5:$F$110*(((Inputs!$G$5:$G$110="moeda")+(Inputs!$G$5:$G$110="acoes"))*Inputs!$B$1+((Inputs!$G$5:$G$110&lt;&gt;"moeda")*(Inputs!$G$5:$G$110&lt;&gt;"acoes")))*INDEX(Inputs!$K$5:$AJ$110,0,MATCH(AI$2,Inputs!$K$4:$AJ$4,0)))))</f>
        <v>4018</v>
      </c>
      <c r="AJ35" s="6">
        <f>IF(ISNA(MATCH(AJ$2,Inputs!$K$4:$AJ$4,0)),NA(),IF(SUMPRODUCT((Inputs!$A$5:$A$110=$B35)*ISNUMBER(INDEX(Inputs!$K$5:$AJ$110,0,MATCH(AJ$2,Inputs!$K$4:$AJ$4,0))))+SUMPRODUCT((Inputs!$C$5:$C$110=$B35)*ISNUMBER(INDEX(Inputs!$K$5:$AJ$110,0,MATCH(AJ$2,Inputs!$K$4:$AJ$4,0))))+SUMPRODUCT((Inputs!$E$5:$E$110=$B35)*ISNUMBER(INDEX(Inputs!$K$5:$AJ$110,0,MATCH(AJ$2,Inputs!$K$4:$AJ$4,0))))=0,NA(),SUMPRODUCT((Inputs!$A$5:$A$110=$B35)*Inputs!$B$5:$B$110*(((Inputs!$G$5:$G$110="moeda")+(Inputs!$G$5:$G$110="acoes"))*Inputs!$B$1+((Inputs!$G$5:$G$110&lt;&gt;"moeda")*(Inputs!$G$5:$G$110&lt;&gt;"acoes")))*INDEX(Inputs!$K$5:$AJ$110,0,MATCH(AJ$2,Inputs!$K$4:$AJ$4,0)))+SUMPRODUCT((Inputs!$C$5:$C$110=$B35)*Inputs!$D$5:$D$110*(((Inputs!$G$5:$G$110="moeda")+(Inputs!$G$5:$G$110="acoes"))*Inputs!$B$1+((Inputs!$G$5:$G$110&lt;&gt;"moeda")*(Inputs!$G$5:$G$110&lt;&gt;"acoes")))*INDEX(Inputs!$K$5:$AJ$110,0,MATCH(AJ$2,Inputs!$K$4:$AJ$4,0)))+SUMPRODUCT((Inputs!$E$5:$E$110=$B35)*Inputs!$F$5:$F$110*(((Inputs!$G$5:$G$110="moeda")+(Inputs!$G$5:$G$110="acoes"))*Inputs!$B$1+((Inputs!$G$5:$G$110&lt;&gt;"moeda")*(Inputs!$G$5:$G$110&lt;&gt;"acoes")))*INDEX(Inputs!$K$5:$AJ$110,0,MATCH(AJ$2,Inputs!$K$4:$AJ$4,0)))))</f>
        <v>13902</v>
      </c>
      <c r="AK35" s="6">
        <f>IF(ISNA(MATCH(AK$2,Inputs!$K$4:$AJ$4,0)),NA(),IF(SUMPRODUCT((Inputs!$A$5:$A$110=$B35)*ISNUMBER(INDEX(Inputs!$K$5:$AJ$110,0,MATCH(AK$2,Inputs!$K$4:$AJ$4,0))))+SUMPRODUCT((Inputs!$C$5:$C$110=$B35)*ISNUMBER(INDEX(Inputs!$K$5:$AJ$110,0,MATCH(AK$2,Inputs!$K$4:$AJ$4,0))))+SUMPRODUCT((Inputs!$E$5:$E$110=$B35)*ISNUMBER(INDEX(Inputs!$K$5:$AJ$110,0,MATCH(AK$2,Inputs!$K$4:$AJ$4,0))))=0,NA(),SUMPRODUCT((Inputs!$A$5:$A$110=$B35)*Inputs!$B$5:$B$110*(((Inputs!$G$5:$G$110="moeda")+(Inputs!$G$5:$G$110="acoes"))*Inputs!$B$1+((Inputs!$G$5:$G$110&lt;&gt;"moeda")*(Inputs!$G$5:$G$110&lt;&gt;"acoes")))*INDEX(Inputs!$K$5:$AJ$110,0,MATCH(AK$2,Inputs!$K$4:$AJ$4,0)))+SUMPRODUCT((Inputs!$C$5:$C$110=$B35)*Inputs!$D$5:$D$110*(((Inputs!$G$5:$G$110="moeda")+(Inputs!$G$5:$G$110="acoes"))*Inputs!$B$1+((Inputs!$G$5:$G$110&lt;&gt;"moeda")*(Inputs!$G$5:$G$110&lt;&gt;"acoes")))*INDEX(Inputs!$K$5:$AJ$110,0,MATCH(AK$2,Inputs!$K$4:$AJ$4,0)))+SUMPRODUCT((Inputs!$E$5:$E$110=$B35)*Inputs!$F$5:$F$110*(((Inputs!$G$5:$G$110="moeda")+(Inputs!$G$5:$G$110="acoes"))*Inputs!$B$1+((Inputs!$G$5:$G$110&lt;&gt;"moeda")*(Inputs!$G$5:$G$110&lt;&gt;"acoes")))*INDEX(Inputs!$K$5:$AJ$110,0,MATCH(AK$2,Inputs!$K$4:$AJ$4,0)))))</f>
        <v>13932</v>
      </c>
      <c r="AL35" s="3">
        <f>AK35</f>
        <v>13932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$110=$B36)*ISNUMBER(INDEX(Inputs!$K$5:$AJ$110,0,MATCH(D$2,Inputs!$K$4:$AJ$4,0))))+SUMPRODUCT((Inputs!$C$5:$C$110=$B36)*ISNUMBER(INDEX(Inputs!$K$5:$AJ$110,0,MATCH(D$2,Inputs!$K$4:$AJ$4,0))))+SUMPRODUCT((Inputs!$E$5:$E$110=$B36)*ISNUMBER(INDEX(Inputs!$K$5:$AJ$110,0,MATCH(D$2,Inputs!$K$4:$AJ$4,0))))=0,NA(),SUMPRODUCT((Inputs!$A$5:$A$110=$B36)*Inputs!$B$5:$B$110*(((Inputs!$G$5:$G$110="moeda")+(Inputs!$G$5:$G$110="acoes"))*Inputs!$B$1+((Inputs!$G$5:$G$110&lt;&gt;"moeda")*(Inputs!$G$5:$G$110&lt;&gt;"acoes")))*INDEX(Inputs!$K$5:$AJ$110,0,MATCH(D$2,Inputs!$K$4:$AJ$4,0)))+SUMPRODUCT((Inputs!$C$5:$C$110=$B36)*Inputs!$D$5:$D$110*(((Inputs!$G$5:$G$110="moeda")+(Inputs!$G$5:$G$110="acoes"))*Inputs!$B$1+((Inputs!$G$5:$G$110&lt;&gt;"moeda")*(Inputs!$G$5:$G$110&lt;&gt;"acoes")))*INDEX(Inputs!$K$5:$AJ$110,0,MATCH(D$2,Inputs!$K$4:$AJ$4,0)))+SUMPRODUCT((Inputs!$E$5:$E$110=$B36)*Inputs!$F$5:$F$110*(((Inputs!$G$5:$G$110="moeda")+(Inputs!$G$5:$G$110="acoes"))*Inputs!$B$1+((Inputs!$G$5:$G$110&lt;&gt;"moeda")*(Inputs!$G$5:$G$110&lt;&gt;"acoes")))*INDEX(Inputs!$K$5:$AJ$110,0,MATCH(D$2,Inputs!$K$4:$AJ$4,0)))))</f>
        <v>11382</v>
      </c>
      <c r="E36" s="6">
        <f>IF(ISNA(MATCH(E$2,Inputs!$K$4:$AJ$4,0)),NA(),IF(SUMPRODUCT((Inputs!$A$5:$A$110=$B36)*ISNUMBER(INDEX(Inputs!$K$5:$AJ$110,0,MATCH(E$2,Inputs!$K$4:$AJ$4,0))))+SUMPRODUCT((Inputs!$C$5:$C$110=$B36)*ISNUMBER(INDEX(Inputs!$K$5:$AJ$110,0,MATCH(E$2,Inputs!$K$4:$AJ$4,0))))+SUMPRODUCT((Inputs!$E$5:$E$110=$B36)*ISNUMBER(INDEX(Inputs!$K$5:$AJ$110,0,MATCH(E$2,Inputs!$K$4:$AJ$4,0))))=0,NA(),SUMPRODUCT((Inputs!$A$5:$A$110=$B36)*Inputs!$B$5:$B$110*(((Inputs!$G$5:$G$110="moeda")+(Inputs!$G$5:$G$110="acoes"))*Inputs!$B$1+((Inputs!$G$5:$G$110&lt;&gt;"moeda")*(Inputs!$G$5:$G$110&lt;&gt;"acoes")))*INDEX(Inputs!$K$5:$AJ$110,0,MATCH(E$2,Inputs!$K$4:$AJ$4,0)))+SUMPRODUCT((Inputs!$C$5:$C$110=$B36)*Inputs!$D$5:$D$110*(((Inputs!$G$5:$G$110="moeda")+(Inputs!$G$5:$G$110="acoes"))*Inputs!$B$1+((Inputs!$G$5:$G$110&lt;&gt;"moeda")*(Inputs!$G$5:$G$110&lt;&gt;"acoes")))*INDEX(Inputs!$K$5:$AJ$110,0,MATCH(E$2,Inputs!$K$4:$AJ$4,0)))+SUMPRODUCT((Inputs!$E$5:$E$110=$B36)*Inputs!$F$5:$F$110*(((Inputs!$G$5:$G$110="moeda")+(Inputs!$G$5:$G$110="acoes"))*Inputs!$B$1+((Inputs!$G$5:$G$110&lt;&gt;"moeda")*(Inputs!$G$5:$G$110&lt;&gt;"acoes")))*INDEX(Inputs!$K$5:$AJ$110,0,MATCH(E$2,Inputs!$K$4:$AJ$4,0)))))</f>
        <v>11619</v>
      </c>
      <c r="F36" s="6">
        <f>IF(ISNA(MATCH(F$2,Inputs!$K$4:$AJ$4,0)),NA(),IF(SUMPRODUCT((Inputs!$A$5:$A$110=$B36)*ISNUMBER(INDEX(Inputs!$K$5:$AJ$110,0,MATCH(F$2,Inputs!$K$4:$AJ$4,0))))+SUMPRODUCT((Inputs!$C$5:$C$110=$B36)*ISNUMBER(INDEX(Inputs!$K$5:$AJ$110,0,MATCH(F$2,Inputs!$K$4:$AJ$4,0))))+SUMPRODUCT((Inputs!$E$5:$E$110=$B36)*ISNUMBER(INDEX(Inputs!$K$5:$AJ$110,0,MATCH(F$2,Inputs!$K$4:$AJ$4,0))))=0,NA(),SUMPRODUCT((Inputs!$A$5:$A$110=$B36)*Inputs!$B$5:$B$110*(((Inputs!$G$5:$G$110="moeda")+(Inputs!$G$5:$G$110="acoes"))*Inputs!$B$1+((Inputs!$G$5:$G$110&lt;&gt;"moeda")*(Inputs!$G$5:$G$110&lt;&gt;"acoes")))*INDEX(Inputs!$K$5:$AJ$110,0,MATCH(F$2,Inputs!$K$4:$AJ$4,0)))+SUMPRODUCT((Inputs!$C$5:$C$110=$B36)*Inputs!$D$5:$D$110*(((Inputs!$G$5:$G$110="moeda")+(Inputs!$G$5:$G$110="acoes"))*Inputs!$B$1+((Inputs!$G$5:$G$110&lt;&gt;"moeda")*(Inputs!$G$5:$G$110&lt;&gt;"acoes")))*INDEX(Inputs!$K$5:$AJ$110,0,MATCH(F$2,Inputs!$K$4:$AJ$4,0)))+SUMPRODUCT((Inputs!$E$5:$E$110=$B36)*Inputs!$F$5:$F$110*(((Inputs!$G$5:$G$110="moeda")+(Inputs!$G$5:$G$110="acoes"))*Inputs!$B$1+((Inputs!$G$5:$G$110&lt;&gt;"moeda")*(Inputs!$G$5:$G$110&lt;&gt;"acoes")))*INDEX(Inputs!$K$5:$AJ$110,0,MATCH(F$2,Inputs!$K$4:$AJ$4,0)))))</f>
        <v>11471</v>
      </c>
      <c r="G36" s="6">
        <f>IF(ISNA(MATCH(G$2,Inputs!$K$4:$AJ$4,0)),NA(),IF(SUMPRODUCT((Inputs!$A$5:$A$110=$B36)*ISNUMBER(INDEX(Inputs!$K$5:$AJ$110,0,MATCH(G$2,Inputs!$K$4:$AJ$4,0))))+SUMPRODUCT((Inputs!$C$5:$C$110=$B36)*ISNUMBER(INDEX(Inputs!$K$5:$AJ$110,0,MATCH(G$2,Inputs!$K$4:$AJ$4,0))))+SUMPRODUCT((Inputs!$E$5:$E$110=$B36)*ISNUMBER(INDEX(Inputs!$K$5:$AJ$110,0,MATCH(G$2,Inputs!$K$4:$AJ$4,0))))=0,NA(),SUMPRODUCT((Inputs!$A$5:$A$110=$B36)*Inputs!$B$5:$B$110*(((Inputs!$G$5:$G$110="moeda")+(Inputs!$G$5:$G$110="acoes"))*Inputs!$B$1+((Inputs!$G$5:$G$110&lt;&gt;"moeda")*(Inputs!$G$5:$G$110&lt;&gt;"acoes")))*INDEX(Inputs!$K$5:$AJ$110,0,MATCH(G$2,Inputs!$K$4:$AJ$4,0)))+SUMPRODUCT((Inputs!$C$5:$C$110=$B36)*Inputs!$D$5:$D$110*(((Inputs!$G$5:$G$110="moeda")+(Inputs!$G$5:$G$110="acoes"))*Inputs!$B$1+((Inputs!$G$5:$G$110&lt;&gt;"moeda")*(Inputs!$G$5:$G$110&lt;&gt;"acoes")))*INDEX(Inputs!$K$5:$AJ$110,0,MATCH(G$2,Inputs!$K$4:$AJ$4,0)))+SUMPRODUCT((Inputs!$E$5:$E$110=$B36)*Inputs!$F$5:$F$110*(((Inputs!$G$5:$G$110="moeda")+(Inputs!$G$5:$G$110="acoes"))*Inputs!$B$1+((Inputs!$G$5:$G$110&lt;&gt;"moeda")*(Inputs!$G$5:$G$110&lt;&gt;"acoes")))*INDEX(Inputs!$K$5:$AJ$110,0,MATCH(G$2,Inputs!$K$4:$AJ$4,0)))))</f>
        <v>11389</v>
      </c>
      <c r="H36" s="3">
        <f>G36</f>
        <v>11389</v>
      </c>
      <c r="I36" s="6">
        <f>IF(ISNA(MATCH(I$2,Inputs!$K$4:$AJ$4,0)),NA(),IF(SUMPRODUCT((Inputs!$A$5:$A$110=$B36)*ISNUMBER(INDEX(Inputs!$K$5:$AJ$110,0,MATCH(I$2,Inputs!$K$4:$AJ$4,0))))+SUMPRODUCT((Inputs!$C$5:$C$110=$B36)*ISNUMBER(INDEX(Inputs!$K$5:$AJ$110,0,MATCH(I$2,Inputs!$K$4:$AJ$4,0))))+SUMPRODUCT((Inputs!$E$5:$E$110=$B36)*ISNUMBER(INDEX(Inputs!$K$5:$AJ$110,0,MATCH(I$2,Inputs!$K$4:$AJ$4,0))))=0,NA(),SUMPRODUCT((Inputs!$A$5:$A$110=$B36)*Inputs!$B$5:$B$110*(((Inputs!$G$5:$G$110="moeda")+(Inputs!$G$5:$G$110="acoes"))*Inputs!$B$1+((Inputs!$G$5:$G$110&lt;&gt;"moeda")*(Inputs!$G$5:$G$110&lt;&gt;"acoes")))*INDEX(Inputs!$K$5:$AJ$110,0,MATCH(I$2,Inputs!$K$4:$AJ$4,0)))+SUMPRODUCT((Inputs!$C$5:$C$110=$B36)*Inputs!$D$5:$D$110*(((Inputs!$G$5:$G$110="moeda")+(Inputs!$G$5:$G$110="acoes"))*Inputs!$B$1+((Inputs!$G$5:$G$110&lt;&gt;"moeda")*(Inputs!$G$5:$G$110&lt;&gt;"acoes")))*INDEX(Inputs!$K$5:$AJ$110,0,MATCH(I$2,Inputs!$K$4:$AJ$4,0)))+SUMPRODUCT((Inputs!$E$5:$E$110=$B36)*Inputs!$F$5:$F$110*(((Inputs!$G$5:$G$110="moeda")+(Inputs!$G$5:$G$110="acoes"))*Inputs!$B$1+((Inputs!$G$5:$G$110&lt;&gt;"moeda")*(Inputs!$G$5:$G$110&lt;&gt;"acoes")))*INDEX(Inputs!$K$5:$AJ$110,0,MATCH(I$2,Inputs!$K$4:$AJ$4,0)))))</f>
        <v>11363</v>
      </c>
      <c r="J36" s="6">
        <f>IF(ISNA(MATCH(J$2,Inputs!$K$4:$AJ$4,0)),NA(),IF(SUMPRODUCT((Inputs!$A$5:$A$110=$B36)*ISNUMBER(INDEX(Inputs!$K$5:$AJ$110,0,MATCH(J$2,Inputs!$K$4:$AJ$4,0))))+SUMPRODUCT((Inputs!$C$5:$C$110=$B36)*ISNUMBER(INDEX(Inputs!$K$5:$AJ$110,0,MATCH(J$2,Inputs!$K$4:$AJ$4,0))))+SUMPRODUCT((Inputs!$E$5:$E$110=$B36)*ISNUMBER(INDEX(Inputs!$K$5:$AJ$110,0,MATCH(J$2,Inputs!$K$4:$AJ$4,0))))=0,NA(),SUMPRODUCT((Inputs!$A$5:$A$110=$B36)*Inputs!$B$5:$B$110*(((Inputs!$G$5:$G$110="moeda")+(Inputs!$G$5:$G$110="acoes"))*Inputs!$B$1+((Inputs!$G$5:$G$110&lt;&gt;"moeda")*(Inputs!$G$5:$G$110&lt;&gt;"acoes")))*INDEX(Inputs!$K$5:$AJ$110,0,MATCH(J$2,Inputs!$K$4:$AJ$4,0)))+SUMPRODUCT((Inputs!$C$5:$C$110=$B36)*Inputs!$D$5:$D$110*(((Inputs!$G$5:$G$110="moeda")+(Inputs!$G$5:$G$110="acoes"))*Inputs!$B$1+((Inputs!$G$5:$G$110&lt;&gt;"moeda")*(Inputs!$G$5:$G$110&lt;&gt;"acoes")))*INDEX(Inputs!$K$5:$AJ$110,0,MATCH(J$2,Inputs!$K$4:$AJ$4,0)))+SUMPRODUCT((Inputs!$E$5:$E$110=$B36)*Inputs!$F$5:$F$110*(((Inputs!$G$5:$G$110="moeda")+(Inputs!$G$5:$G$110="acoes"))*Inputs!$B$1+((Inputs!$G$5:$G$110&lt;&gt;"moeda")*(Inputs!$G$5:$G$110&lt;&gt;"acoes")))*INDEX(Inputs!$K$5:$AJ$110,0,MATCH(J$2,Inputs!$K$4:$AJ$4,0)))))</f>
        <v>11697</v>
      </c>
      <c r="K36" s="6">
        <f>IF(ISNA(MATCH(K$2,Inputs!$K$4:$AJ$4,0)),NA(),IF(SUMPRODUCT((Inputs!$A$5:$A$110=$B36)*ISNUMBER(INDEX(Inputs!$K$5:$AJ$110,0,MATCH(K$2,Inputs!$K$4:$AJ$4,0))))+SUMPRODUCT((Inputs!$C$5:$C$110=$B36)*ISNUMBER(INDEX(Inputs!$K$5:$AJ$110,0,MATCH(K$2,Inputs!$K$4:$AJ$4,0))))+SUMPRODUCT((Inputs!$E$5:$E$110=$B36)*ISNUMBER(INDEX(Inputs!$K$5:$AJ$110,0,MATCH(K$2,Inputs!$K$4:$AJ$4,0))))=0,NA(),SUMPRODUCT((Inputs!$A$5:$A$110=$B36)*Inputs!$B$5:$B$110*(((Inputs!$G$5:$G$110="moeda")+(Inputs!$G$5:$G$110="acoes"))*Inputs!$B$1+((Inputs!$G$5:$G$110&lt;&gt;"moeda")*(Inputs!$G$5:$G$110&lt;&gt;"acoes")))*INDEX(Inputs!$K$5:$AJ$110,0,MATCH(K$2,Inputs!$K$4:$AJ$4,0)))+SUMPRODUCT((Inputs!$C$5:$C$110=$B36)*Inputs!$D$5:$D$110*(((Inputs!$G$5:$G$110="moeda")+(Inputs!$G$5:$G$110="acoes"))*Inputs!$B$1+((Inputs!$G$5:$G$110&lt;&gt;"moeda")*(Inputs!$G$5:$G$110&lt;&gt;"acoes")))*INDEX(Inputs!$K$5:$AJ$110,0,MATCH(K$2,Inputs!$K$4:$AJ$4,0)))+SUMPRODUCT((Inputs!$E$5:$E$110=$B36)*Inputs!$F$5:$F$110*(((Inputs!$G$5:$G$110="moeda")+(Inputs!$G$5:$G$110="acoes"))*Inputs!$B$1+((Inputs!$G$5:$G$110&lt;&gt;"moeda")*(Inputs!$G$5:$G$110&lt;&gt;"acoes")))*INDEX(Inputs!$K$5:$AJ$110,0,MATCH(K$2,Inputs!$K$4:$AJ$4,0)))))</f>
        <v>11984</v>
      </c>
      <c r="L36" s="6">
        <f>IF(ISNA(MATCH(L$2,Inputs!$K$4:$AJ$4,0)),NA(),IF(SUMPRODUCT((Inputs!$A$5:$A$110=$B36)*ISNUMBER(INDEX(Inputs!$K$5:$AJ$110,0,MATCH(L$2,Inputs!$K$4:$AJ$4,0))))+SUMPRODUCT((Inputs!$C$5:$C$110=$B36)*ISNUMBER(INDEX(Inputs!$K$5:$AJ$110,0,MATCH(L$2,Inputs!$K$4:$AJ$4,0))))+SUMPRODUCT((Inputs!$E$5:$E$110=$B36)*ISNUMBER(INDEX(Inputs!$K$5:$AJ$110,0,MATCH(L$2,Inputs!$K$4:$AJ$4,0))))=0,NA(),SUMPRODUCT((Inputs!$A$5:$A$110=$B36)*Inputs!$B$5:$B$110*(((Inputs!$G$5:$G$110="moeda")+(Inputs!$G$5:$G$110="acoes"))*Inputs!$B$1+((Inputs!$G$5:$G$110&lt;&gt;"moeda")*(Inputs!$G$5:$G$110&lt;&gt;"acoes")))*INDEX(Inputs!$K$5:$AJ$110,0,MATCH(L$2,Inputs!$K$4:$AJ$4,0)))+SUMPRODUCT((Inputs!$C$5:$C$110=$B36)*Inputs!$D$5:$D$110*(((Inputs!$G$5:$G$110="moeda")+(Inputs!$G$5:$G$110="acoes"))*Inputs!$B$1+((Inputs!$G$5:$G$110&lt;&gt;"moeda")*(Inputs!$G$5:$G$110&lt;&gt;"acoes")))*INDEX(Inputs!$K$5:$AJ$110,0,MATCH(L$2,Inputs!$K$4:$AJ$4,0)))+SUMPRODUCT((Inputs!$E$5:$E$110=$B36)*Inputs!$F$5:$F$110*(((Inputs!$G$5:$G$110="moeda")+(Inputs!$G$5:$G$110="acoes"))*Inputs!$B$1+((Inputs!$G$5:$G$110&lt;&gt;"moeda")*(Inputs!$G$5:$G$110&lt;&gt;"acoes")))*INDEX(Inputs!$K$5:$AJ$110,0,MATCH(L$2,Inputs!$K$4:$AJ$4,0)))))</f>
        <v>12501</v>
      </c>
      <c r="M36" s="3">
        <f>L36</f>
        <v>12501</v>
      </c>
      <c r="N36" s="6">
        <f>IF(ISNA(MATCH(N$2,Inputs!$K$4:$AJ$4,0)),NA(),IF(SUMPRODUCT((Inputs!$A$5:$A$110=$B36)*ISNUMBER(INDEX(Inputs!$K$5:$AJ$110,0,MATCH(N$2,Inputs!$K$4:$AJ$4,0))))+SUMPRODUCT((Inputs!$C$5:$C$110=$B36)*ISNUMBER(INDEX(Inputs!$K$5:$AJ$110,0,MATCH(N$2,Inputs!$K$4:$AJ$4,0))))+SUMPRODUCT((Inputs!$E$5:$E$110=$B36)*ISNUMBER(INDEX(Inputs!$K$5:$AJ$110,0,MATCH(N$2,Inputs!$K$4:$AJ$4,0))))=0,NA(),SUMPRODUCT((Inputs!$A$5:$A$110=$B36)*Inputs!$B$5:$B$110*(((Inputs!$G$5:$G$110="moeda")+(Inputs!$G$5:$G$110="acoes"))*Inputs!$B$1+((Inputs!$G$5:$G$110&lt;&gt;"moeda")*(Inputs!$G$5:$G$110&lt;&gt;"acoes")))*INDEX(Inputs!$K$5:$AJ$110,0,MATCH(N$2,Inputs!$K$4:$AJ$4,0)))+SUMPRODUCT((Inputs!$C$5:$C$110=$B36)*Inputs!$D$5:$D$110*(((Inputs!$G$5:$G$110="moeda")+(Inputs!$G$5:$G$110="acoes"))*Inputs!$B$1+((Inputs!$G$5:$G$110&lt;&gt;"moeda")*(Inputs!$G$5:$G$110&lt;&gt;"acoes")))*INDEX(Inputs!$K$5:$AJ$110,0,MATCH(N$2,Inputs!$K$4:$AJ$4,0)))+SUMPRODUCT((Inputs!$E$5:$E$110=$B36)*Inputs!$F$5:$F$110*(((Inputs!$G$5:$G$110="moeda")+(Inputs!$G$5:$G$110="acoes"))*Inputs!$B$1+((Inputs!$G$5:$G$110&lt;&gt;"moeda")*(Inputs!$G$5:$G$110&lt;&gt;"acoes")))*INDEX(Inputs!$K$5:$AJ$110,0,MATCH(N$2,Inputs!$K$4:$AJ$4,0)))))</f>
        <v>12799</v>
      </c>
      <c r="O36" s="6">
        <f>IF(ISNA(MATCH(O$2,Inputs!$K$4:$AJ$4,0)),NA(),IF(SUMPRODUCT((Inputs!$A$5:$A$110=$B36)*ISNUMBER(INDEX(Inputs!$K$5:$AJ$110,0,MATCH(O$2,Inputs!$K$4:$AJ$4,0))))+SUMPRODUCT((Inputs!$C$5:$C$110=$B36)*ISNUMBER(INDEX(Inputs!$K$5:$AJ$110,0,MATCH(O$2,Inputs!$K$4:$AJ$4,0))))+SUMPRODUCT((Inputs!$E$5:$E$110=$B36)*ISNUMBER(INDEX(Inputs!$K$5:$AJ$110,0,MATCH(O$2,Inputs!$K$4:$AJ$4,0))))=0,NA(),SUMPRODUCT((Inputs!$A$5:$A$110=$B36)*Inputs!$B$5:$B$110*(((Inputs!$G$5:$G$110="moeda")+(Inputs!$G$5:$G$110="acoes"))*Inputs!$B$1+((Inputs!$G$5:$G$110&lt;&gt;"moeda")*(Inputs!$G$5:$G$110&lt;&gt;"acoes")))*INDEX(Inputs!$K$5:$AJ$110,0,MATCH(O$2,Inputs!$K$4:$AJ$4,0)))+SUMPRODUCT((Inputs!$C$5:$C$110=$B36)*Inputs!$D$5:$D$110*(((Inputs!$G$5:$G$110="moeda")+(Inputs!$G$5:$G$110="acoes"))*Inputs!$B$1+((Inputs!$G$5:$G$110&lt;&gt;"moeda")*(Inputs!$G$5:$G$110&lt;&gt;"acoes")))*INDEX(Inputs!$K$5:$AJ$110,0,MATCH(O$2,Inputs!$K$4:$AJ$4,0)))+SUMPRODUCT((Inputs!$E$5:$E$110=$B36)*Inputs!$F$5:$F$110*(((Inputs!$G$5:$G$110="moeda")+(Inputs!$G$5:$G$110="acoes"))*Inputs!$B$1+((Inputs!$G$5:$G$110&lt;&gt;"moeda")*(Inputs!$G$5:$G$110&lt;&gt;"acoes")))*INDEX(Inputs!$K$5:$AJ$110,0,MATCH(O$2,Inputs!$K$4:$AJ$4,0)))))</f>
        <v>12746</v>
      </c>
      <c r="P36" s="6">
        <f>IF(ISNA(MATCH(P$2,Inputs!$K$4:$AJ$4,0)),NA(),IF(SUMPRODUCT((Inputs!$A$5:$A$110=$B36)*ISNUMBER(INDEX(Inputs!$K$5:$AJ$110,0,MATCH(P$2,Inputs!$K$4:$AJ$4,0))))+SUMPRODUCT((Inputs!$C$5:$C$110=$B36)*ISNUMBER(INDEX(Inputs!$K$5:$AJ$110,0,MATCH(P$2,Inputs!$K$4:$AJ$4,0))))+SUMPRODUCT((Inputs!$E$5:$E$110=$B36)*ISNUMBER(INDEX(Inputs!$K$5:$AJ$110,0,MATCH(P$2,Inputs!$K$4:$AJ$4,0))))=0,NA(),SUMPRODUCT((Inputs!$A$5:$A$110=$B36)*Inputs!$B$5:$B$110*(((Inputs!$G$5:$G$110="moeda")+(Inputs!$G$5:$G$110="acoes"))*Inputs!$B$1+((Inputs!$G$5:$G$110&lt;&gt;"moeda")*(Inputs!$G$5:$G$110&lt;&gt;"acoes")))*INDEX(Inputs!$K$5:$AJ$110,0,MATCH(P$2,Inputs!$K$4:$AJ$4,0)))+SUMPRODUCT((Inputs!$C$5:$C$110=$B36)*Inputs!$D$5:$D$110*(((Inputs!$G$5:$G$110="moeda")+(Inputs!$G$5:$G$110="acoes"))*Inputs!$B$1+((Inputs!$G$5:$G$110&lt;&gt;"moeda")*(Inputs!$G$5:$G$110&lt;&gt;"acoes")))*INDEX(Inputs!$K$5:$AJ$110,0,MATCH(P$2,Inputs!$K$4:$AJ$4,0)))+SUMPRODUCT((Inputs!$E$5:$E$110=$B36)*Inputs!$F$5:$F$110*(((Inputs!$G$5:$G$110="moeda")+(Inputs!$G$5:$G$110="acoes"))*Inputs!$B$1+((Inputs!$G$5:$G$110&lt;&gt;"moeda")*(Inputs!$G$5:$G$110&lt;&gt;"acoes")))*INDEX(Inputs!$K$5:$AJ$110,0,MATCH(P$2,Inputs!$K$4:$AJ$4,0)))))</f>
        <v>12550</v>
      </c>
      <c r="Q36" s="6">
        <f>IF(ISNA(MATCH(Q$2,Inputs!$K$4:$AJ$4,0)),NA(),IF(SUMPRODUCT((Inputs!$A$5:$A$110=$B36)*ISNUMBER(INDEX(Inputs!$K$5:$AJ$110,0,MATCH(Q$2,Inputs!$K$4:$AJ$4,0))))+SUMPRODUCT((Inputs!$C$5:$C$110=$B36)*ISNUMBER(INDEX(Inputs!$K$5:$AJ$110,0,MATCH(Q$2,Inputs!$K$4:$AJ$4,0))))+SUMPRODUCT((Inputs!$E$5:$E$110=$B36)*ISNUMBER(INDEX(Inputs!$K$5:$AJ$110,0,MATCH(Q$2,Inputs!$K$4:$AJ$4,0))))=0,NA(),SUMPRODUCT((Inputs!$A$5:$A$110=$B36)*Inputs!$B$5:$B$110*(((Inputs!$G$5:$G$110="moeda")+(Inputs!$G$5:$G$110="acoes"))*Inputs!$B$1+((Inputs!$G$5:$G$110&lt;&gt;"moeda")*(Inputs!$G$5:$G$110&lt;&gt;"acoes")))*INDEX(Inputs!$K$5:$AJ$110,0,MATCH(Q$2,Inputs!$K$4:$AJ$4,0)))+SUMPRODUCT((Inputs!$C$5:$C$110=$B36)*Inputs!$D$5:$D$110*(((Inputs!$G$5:$G$110="moeda")+(Inputs!$G$5:$G$110="acoes"))*Inputs!$B$1+((Inputs!$G$5:$G$110&lt;&gt;"moeda")*(Inputs!$G$5:$G$110&lt;&gt;"acoes")))*INDEX(Inputs!$K$5:$AJ$110,0,MATCH(Q$2,Inputs!$K$4:$AJ$4,0)))+SUMPRODUCT((Inputs!$E$5:$E$110=$B36)*Inputs!$F$5:$F$110*(((Inputs!$G$5:$G$110="moeda")+(Inputs!$G$5:$G$110="acoes"))*Inputs!$B$1+((Inputs!$G$5:$G$110&lt;&gt;"moeda")*(Inputs!$G$5:$G$110&lt;&gt;"acoes")))*INDEX(Inputs!$K$5:$AJ$110,0,MATCH(Q$2,Inputs!$K$4:$AJ$4,0)))))</f>
        <v>12460</v>
      </c>
      <c r="R36" s="3">
        <f>Q36</f>
        <v>12460</v>
      </c>
      <c r="S36" s="6">
        <f>IF(ISNA(MATCH(S$2,Inputs!$K$4:$AJ$4,0)),NA(),IF(SUMPRODUCT((Inputs!$A$5:$A$110=$B36)*ISNUMBER(INDEX(Inputs!$K$5:$AJ$110,0,MATCH(S$2,Inputs!$K$4:$AJ$4,0))))+SUMPRODUCT((Inputs!$C$5:$C$110=$B36)*ISNUMBER(INDEX(Inputs!$K$5:$AJ$110,0,MATCH(S$2,Inputs!$K$4:$AJ$4,0))))+SUMPRODUCT((Inputs!$E$5:$E$110=$B36)*ISNUMBER(INDEX(Inputs!$K$5:$AJ$110,0,MATCH(S$2,Inputs!$K$4:$AJ$4,0))))=0,NA(),SUMPRODUCT((Inputs!$A$5:$A$110=$B36)*Inputs!$B$5:$B$110*(((Inputs!$G$5:$G$110="moeda")+(Inputs!$G$5:$G$110="acoes"))*Inputs!$B$1+((Inputs!$G$5:$G$110&lt;&gt;"moeda")*(Inputs!$G$5:$G$110&lt;&gt;"acoes")))*INDEX(Inputs!$K$5:$AJ$110,0,MATCH(S$2,Inputs!$K$4:$AJ$4,0)))+SUMPRODUCT((Inputs!$C$5:$C$110=$B36)*Inputs!$D$5:$D$110*(((Inputs!$G$5:$G$110="moeda")+(Inputs!$G$5:$G$110="acoes"))*Inputs!$B$1+((Inputs!$G$5:$G$110&lt;&gt;"moeda")*(Inputs!$G$5:$G$110&lt;&gt;"acoes")))*INDEX(Inputs!$K$5:$AJ$110,0,MATCH(S$2,Inputs!$K$4:$AJ$4,0)))+SUMPRODUCT((Inputs!$E$5:$E$110=$B36)*Inputs!$F$5:$F$110*(((Inputs!$G$5:$G$110="moeda")+(Inputs!$G$5:$G$110="acoes"))*Inputs!$B$1+((Inputs!$G$5:$G$110&lt;&gt;"moeda")*(Inputs!$G$5:$G$110&lt;&gt;"acoes")))*INDEX(Inputs!$K$5:$AJ$110,0,MATCH(S$2,Inputs!$K$4:$AJ$4,0)))))</f>
        <v>11957</v>
      </c>
      <c r="T36" s="6">
        <f>IF(ISNA(MATCH(T$2,Inputs!$K$4:$AJ$4,0)),NA(),IF(SUMPRODUCT((Inputs!$A$5:$A$110=$B36)*ISNUMBER(INDEX(Inputs!$K$5:$AJ$110,0,MATCH(T$2,Inputs!$K$4:$AJ$4,0))))+SUMPRODUCT((Inputs!$C$5:$C$110=$B36)*ISNUMBER(INDEX(Inputs!$K$5:$AJ$110,0,MATCH(T$2,Inputs!$K$4:$AJ$4,0))))+SUMPRODUCT((Inputs!$E$5:$E$110=$B36)*ISNUMBER(INDEX(Inputs!$K$5:$AJ$110,0,MATCH(T$2,Inputs!$K$4:$AJ$4,0))))=0,NA(),SUMPRODUCT((Inputs!$A$5:$A$110=$B36)*Inputs!$B$5:$B$110*(((Inputs!$G$5:$G$110="moeda")+(Inputs!$G$5:$G$110="acoes"))*Inputs!$B$1+((Inputs!$G$5:$G$110&lt;&gt;"moeda")*(Inputs!$G$5:$G$110&lt;&gt;"acoes")))*INDEX(Inputs!$K$5:$AJ$110,0,MATCH(T$2,Inputs!$K$4:$AJ$4,0)))+SUMPRODUCT((Inputs!$C$5:$C$110=$B36)*Inputs!$D$5:$D$110*(((Inputs!$G$5:$G$110="moeda")+(Inputs!$G$5:$G$110="acoes"))*Inputs!$B$1+((Inputs!$G$5:$G$110&lt;&gt;"moeda")*(Inputs!$G$5:$G$110&lt;&gt;"acoes")))*INDEX(Inputs!$K$5:$AJ$110,0,MATCH(T$2,Inputs!$K$4:$AJ$4,0)))+SUMPRODUCT((Inputs!$E$5:$E$110=$B36)*Inputs!$F$5:$F$110*(((Inputs!$G$5:$G$110="moeda")+(Inputs!$G$5:$G$110="acoes"))*Inputs!$B$1+((Inputs!$G$5:$G$110&lt;&gt;"moeda")*(Inputs!$G$5:$G$110&lt;&gt;"acoes")))*INDEX(Inputs!$K$5:$AJ$110,0,MATCH(T$2,Inputs!$K$4:$AJ$4,0)))))</f>
        <v>11708</v>
      </c>
      <c r="U36" s="6">
        <f>IF(ISNA(MATCH(U$2,Inputs!$K$4:$AJ$4,0)),NA(),IF(SUMPRODUCT((Inputs!$A$5:$A$110=$B36)*ISNUMBER(INDEX(Inputs!$K$5:$AJ$110,0,MATCH(U$2,Inputs!$K$4:$AJ$4,0))))+SUMPRODUCT((Inputs!$C$5:$C$110=$B36)*ISNUMBER(INDEX(Inputs!$K$5:$AJ$110,0,MATCH(U$2,Inputs!$K$4:$AJ$4,0))))+SUMPRODUCT((Inputs!$E$5:$E$110=$B36)*ISNUMBER(INDEX(Inputs!$K$5:$AJ$110,0,MATCH(U$2,Inputs!$K$4:$AJ$4,0))))=0,NA(),SUMPRODUCT((Inputs!$A$5:$A$110=$B36)*Inputs!$B$5:$B$110*(((Inputs!$G$5:$G$110="moeda")+(Inputs!$G$5:$G$110="acoes"))*Inputs!$B$1+((Inputs!$G$5:$G$110&lt;&gt;"moeda")*(Inputs!$G$5:$G$110&lt;&gt;"acoes")))*INDEX(Inputs!$K$5:$AJ$110,0,MATCH(U$2,Inputs!$K$4:$AJ$4,0)))+SUMPRODUCT((Inputs!$C$5:$C$110=$B36)*Inputs!$D$5:$D$110*(((Inputs!$G$5:$G$110="moeda")+(Inputs!$G$5:$G$110="acoes"))*Inputs!$B$1+((Inputs!$G$5:$G$110&lt;&gt;"moeda")*(Inputs!$G$5:$G$110&lt;&gt;"acoes")))*INDEX(Inputs!$K$5:$AJ$110,0,MATCH(U$2,Inputs!$K$4:$AJ$4,0)))+SUMPRODUCT((Inputs!$E$5:$E$110=$B36)*Inputs!$F$5:$F$110*(((Inputs!$G$5:$G$110="moeda")+(Inputs!$G$5:$G$110="acoes"))*Inputs!$B$1+((Inputs!$G$5:$G$110&lt;&gt;"moeda")*(Inputs!$G$5:$G$110&lt;&gt;"acoes")))*INDEX(Inputs!$K$5:$AJ$110,0,MATCH(U$2,Inputs!$K$4:$AJ$4,0)))))</f>
        <v>11654</v>
      </c>
      <c r="V36" s="6">
        <f>IF(ISNA(MATCH(V$2,Inputs!$K$4:$AJ$4,0)),NA(),IF(SUMPRODUCT((Inputs!$A$5:$A$110=$B36)*ISNUMBER(INDEX(Inputs!$K$5:$AJ$110,0,MATCH(V$2,Inputs!$K$4:$AJ$4,0))))+SUMPRODUCT((Inputs!$C$5:$C$110=$B36)*ISNUMBER(INDEX(Inputs!$K$5:$AJ$110,0,MATCH(V$2,Inputs!$K$4:$AJ$4,0))))+SUMPRODUCT((Inputs!$E$5:$E$110=$B36)*ISNUMBER(INDEX(Inputs!$K$5:$AJ$110,0,MATCH(V$2,Inputs!$K$4:$AJ$4,0))))=0,NA(),SUMPRODUCT((Inputs!$A$5:$A$110=$B36)*Inputs!$B$5:$B$110*(((Inputs!$G$5:$G$110="moeda")+(Inputs!$G$5:$G$110="acoes"))*Inputs!$B$1+((Inputs!$G$5:$G$110&lt;&gt;"moeda")*(Inputs!$G$5:$G$110&lt;&gt;"acoes")))*INDEX(Inputs!$K$5:$AJ$110,0,MATCH(V$2,Inputs!$K$4:$AJ$4,0)))+SUMPRODUCT((Inputs!$C$5:$C$110=$B36)*Inputs!$D$5:$D$110*(((Inputs!$G$5:$G$110="moeda")+(Inputs!$G$5:$G$110="acoes"))*Inputs!$B$1+((Inputs!$G$5:$G$110&lt;&gt;"moeda")*(Inputs!$G$5:$G$110&lt;&gt;"acoes")))*INDEX(Inputs!$K$5:$AJ$110,0,MATCH(V$2,Inputs!$K$4:$AJ$4,0)))+SUMPRODUCT((Inputs!$E$5:$E$110=$B36)*Inputs!$F$5:$F$110*(((Inputs!$G$5:$G$110="moeda")+(Inputs!$G$5:$G$110="acoes"))*Inputs!$B$1+((Inputs!$G$5:$G$110&lt;&gt;"moeda")*(Inputs!$G$5:$G$110&lt;&gt;"acoes")))*INDEX(Inputs!$K$5:$AJ$110,0,MATCH(V$2,Inputs!$K$4:$AJ$4,0)))))</f>
        <v>11691</v>
      </c>
      <c r="W36" s="3">
        <f>V36</f>
        <v>11691</v>
      </c>
      <c r="X36" s="6">
        <f>IF(ISNA(MATCH(X$2,Inputs!$K$4:$AJ$4,0)),NA(),IF(SUMPRODUCT((Inputs!$A$5:$A$110=$B36)*ISNUMBER(INDEX(Inputs!$K$5:$AJ$110,0,MATCH(X$2,Inputs!$K$4:$AJ$4,0))))+SUMPRODUCT((Inputs!$C$5:$C$110=$B36)*ISNUMBER(INDEX(Inputs!$K$5:$AJ$110,0,MATCH(X$2,Inputs!$K$4:$AJ$4,0))))+SUMPRODUCT((Inputs!$E$5:$E$110=$B36)*ISNUMBER(INDEX(Inputs!$K$5:$AJ$110,0,MATCH(X$2,Inputs!$K$4:$AJ$4,0))))=0,NA(),SUMPRODUCT((Inputs!$A$5:$A$110=$B36)*Inputs!$B$5:$B$110*(((Inputs!$G$5:$G$110="moeda")+(Inputs!$G$5:$G$110="acoes"))*Inputs!$B$1+((Inputs!$G$5:$G$110&lt;&gt;"moeda")*(Inputs!$G$5:$G$110&lt;&gt;"acoes")))*INDEX(Inputs!$K$5:$AJ$110,0,MATCH(X$2,Inputs!$K$4:$AJ$4,0)))+SUMPRODUCT((Inputs!$C$5:$C$110=$B36)*Inputs!$D$5:$D$110*(((Inputs!$G$5:$G$110="moeda")+(Inputs!$G$5:$G$110="acoes"))*Inputs!$B$1+((Inputs!$G$5:$G$110&lt;&gt;"moeda")*(Inputs!$G$5:$G$110&lt;&gt;"acoes")))*INDEX(Inputs!$K$5:$AJ$110,0,MATCH(X$2,Inputs!$K$4:$AJ$4,0)))+SUMPRODUCT((Inputs!$E$5:$E$110=$B36)*Inputs!$F$5:$F$110*(((Inputs!$G$5:$G$110="moeda")+(Inputs!$G$5:$G$110="acoes"))*Inputs!$B$1+((Inputs!$G$5:$G$110&lt;&gt;"moeda")*(Inputs!$G$5:$G$110&lt;&gt;"acoes")))*INDEX(Inputs!$K$5:$AJ$110,0,MATCH(X$2,Inputs!$K$4:$AJ$4,0)))))</f>
        <v>11678</v>
      </c>
      <c r="Y36" s="6">
        <f>IF(ISNA(MATCH(Y$2,Inputs!$K$4:$AJ$4,0)),NA(),IF(SUMPRODUCT((Inputs!$A$5:$A$110=$B36)*ISNUMBER(INDEX(Inputs!$K$5:$AJ$110,0,MATCH(Y$2,Inputs!$K$4:$AJ$4,0))))+SUMPRODUCT((Inputs!$C$5:$C$110=$B36)*ISNUMBER(INDEX(Inputs!$K$5:$AJ$110,0,MATCH(Y$2,Inputs!$K$4:$AJ$4,0))))+SUMPRODUCT((Inputs!$E$5:$E$110=$B36)*ISNUMBER(INDEX(Inputs!$K$5:$AJ$110,0,MATCH(Y$2,Inputs!$K$4:$AJ$4,0))))=0,NA(),SUMPRODUCT((Inputs!$A$5:$A$110=$B36)*Inputs!$B$5:$B$110*(((Inputs!$G$5:$G$110="moeda")+(Inputs!$G$5:$G$110="acoes"))*Inputs!$B$1+((Inputs!$G$5:$G$110&lt;&gt;"moeda")*(Inputs!$G$5:$G$110&lt;&gt;"acoes")))*INDEX(Inputs!$K$5:$AJ$110,0,MATCH(Y$2,Inputs!$K$4:$AJ$4,0)))+SUMPRODUCT((Inputs!$C$5:$C$110=$B36)*Inputs!$D$5:$D$110*(((Inputs!$G$5:$G$110="moeda")+(Inputs!$G$5:$G$110="acoes"))*Inputs!$B$1+((Inputs!$G$5:$G$110&lt;&gt;"moeda")*(Inputs!$G$5:$G$110&lt;&gt;"acoes")))*INDEX(Inputs!$K$5:$AJ$110,0,MATCH(Y$2,Inputs!$K$4:$AJ$4,0)))+SUMPRODUCT((Inputs!$E$5:$E$110=$B36)*Inputs!$F$5:$F$110*(((Inputs!$G$5:$G$110="moeda")+(Inputs!$G$5:$G$110="acoes"))*Inputs!$B$1+((Inputs!$G$5:$G$110&lt;&gt;"moeda")*(Inputs!$G$5:$G$110&lt;&gt;"acoes")))*INDEX(Inputs!$K$5:$AJ$110,0,MATCH(Y$2,Inputs!$K$4:$AJ$4,0)))))</f>
        <v>11952</v>
      </c>
      <c r="Z36" s="6">
        <f>IF(ISNA(MATCH(Z$2,Inputs!$K$4:$AJ$4,0)),NA(),IF(SUMPRODUCT((Inputs!$A$5:$A$110=$B36)*ISNUMBER(INDEX(Inputs!$K$5:$AJ$110,0,MATCH(Z$2,Inputs!$K$4:$AJ$4,0))))+SUMPRODUCT((Inputs!$C$5:$C$110=$B36)*ISNUMBER(INDEX(Inputs!$K$5:$AJ$110,0,MATCH(Z$2,Inputs!$K$4:$AJ$4,0))))+SUMPRODUCT((Inputs!$E$5:$E$110=$B36)*ISNUMBER(INDEX(Inputs!$K$5:$AJ$110,0,MATCH(Z$2,Inputs!$K$4:$AJ$4,0))))=0,NA(),SUMPRODUCT((Inputs!$A$5:$A$110=$B36)*Inputs!$B$5:$B$110*(((Inputs!$G$5:$G$110="moeda")+(Inputs!$G$5:$G$110="acoes"))*Inputs!$B$1+((Inputs!$G$5:$G$110&lt;&gt;"moeda")*(Inputs!$G$5:$G$110&lt;&gt;"acoes")))*INDEX(Inputs!$K$5:$AJ$110,0,MATCH(Z$2,Inputs!$K$4:$AJ$4,0)))+SUMPRODUCT((Inputs!$C$5:$C$110=$B36)*Inputs!$D$5:$D$110*(((Inputs!$G$5:$G$110="moeda")+(Inputs!$G$5:$G$110="acoes"))*Inputs!$B$1+((Inputs!$G$5:$G$110&lt;&gt;"moeda")*(Inputs!$G$5:$G$110&lt;&gt;"acoes")))*INDEX(Inputs!$K$5:$AJ$110,0,MATCH(Z$2,Inputs!$K$4:$AJ$4,0)))+SUMPRODUCT((Inputs!$E$5:$E$110=$B36)*Inputs!$F$5:$F$110*(((Inputs!$G$5:$G$110="moeda")+(Inputs!$G$5:$G$110="acoes"))*Inputs!$B$1+((Inputs!$G$5:$G$110&lt;&gt;"moeda")*(Inputs!$G$5:$G$110&lt;&gt;"acoes")))*INDEX(Inputs!$K$5:$AJ$110,0,MATCH(Z$2,Inputs!$K$4:$AJ$4,0)))))</f>
        <v>12106</v>
      </c>
      <c r="AA36" s="6">
        <f>IF(ISNA(MATCH(AA$2,Inputs!$K$4:$AJ$4,0)),NA(),IF(SUMPRODUCT((Inputs!$A$5:$A$110=$B36)*ISNUMBER(INDEX(Inputs!$K$5:$AJ$110,0,MATCH(AA$2,Inputs!$K$4:$AJ$4,0))))+SUMPRODUCT((Inputs!$C$5:$C$110=$B36)*ISNUMBER(INDEX(Inputs!$K$5:$AJ$110,0,MATCH(AA$2,Inputs!$K$4:$AJ$4,0))))+SUMPRODUCT((Inputs!$E$5:$E$110=$B36)*ISNUMBER(INDEX(Inputs!$K$5:$AJ$110,0,MATCH(AA$2,Inputs!$K$4:$AJ$4,0))))=0,NA(),SUMPRODUCT((Inputs!$A$5:$A$110=$B36)*Inputs!$B$5:$B$110*(((Inputs!$G$5:$G$110="moeda")+(Inputs!$G$5:$G$110="acoes"))*Inputs!$B$1+((Inputs!$G$5:$G$110&lt;&gt;"moeda")*(Inputs!$G$5:$G$110&lt;&gt;"acoes")))*INDEX(Inputs!$K$5:$AJ$110,0,MATCH(AA$2,Inputs!$K$4:$AJ$4,0)))+SUMPRODUCT((Inputs!$C$5:$C$110=$B36)*Inputs!$D$5:$D$110*(((Inputs!$G$5:$G$110="moeda")+(Inputs!$G$5:$G$110="acoes"))*Inputs!$B$1+((Inputs!$G$5:$G$110&lt;&gt;"moeda")*(Inputs!$G$5:$G$110&lt;&gt;"acoes")))*INDEX(Inputs!$K$5:$AJ$110,0,MATCH(AA$2,Inputs!$K$4:$AJ$4,0)))+SUMPRODUCT((Inputs!$E$5:$E$110=$B36)*Inputs!$F$5:$F$110*(((Inputs!$G$5:$G$110="moeda")+(Inputs!$G$5:$G$110="acoes"))*Inputs!$B$1+((Inputs!$G$5:$G$110&lt;&gt;"moeda")*(Inputs!$G$5:$G$110&lt;&gt;"acoes")))*INDEX(Inputs!$K$5:$AJ$110,0,MATCH(AA$2,Inputs!$K$4:$AJ$4,0)))))</f>
        <v>12744</v>
      </c>
      <c r="AB36" s="3">
        <f>AA36</f>
        <v>12744</v>
      </c>
      <c r="AC36" s="6">
        <f>IF(ISNA(MATCH(AC$2,Inputs!$K$4:$AJ$4,0)),NA(),IF(SUMPRODUCT((Inputs!$A$5:$A$110=$B36)*ISNUMBER(INDEX(Inputs!$K$5:$AJ$110,0,MATCH(AC$2,Inputs!$K$4:$AJ$4,0))))+SUMPRODUCT((Inputs!$C$5:$C$110=$B36)*ISNUMBER(INDEX(Inputs!$K$5:$AJ$110,0,MATCH(AC$2,Inputs!$K$4:$AJ$4,0))))+SUMPRODUCT((Inputs!$E$5:$E$110=$B36)*ISNUMBER(INDEX(Inputs!$K$5:$AJ$110,0,MATCH(AC$2,Inputs!$K$4:$AJ$4,0))))=0,NA(),SUMPRODUCT((Inputs!$A$5:$A$110=$B36)*Inputs!$B$5:$B$110*(((Inputs!$G$5:$G$110="moeda")+(Inputs!$G$5:$G$110="acoes"))*Inputs!$B$1+((Inputs!$G$5:$G$110&lt;&gt;"moeda")*(Inputs!$G$5:$G$110&lt;&gt;"acoes")))*INDEX(Inputs!$K$5:$AJ$110,0,MATCH(AC$2,Inputs!$K$4:$AJ$4,0)))+SUMPRODUCT((Inputs!$C$5:$C$110=$B36)*Inputs!$D$5:$D$110*(((Inputs!$G$5:$G$110="moeda")+(Inputs!$G$5:$G$110="acoes"))*Inputs!$B$1+((Inputs!$G$5:$G$110&lt;&gt;"moeda")*(Inputs!$G$5:$G$110&lt;&gt;"acoes")))*INDEX(Inputs!$K$5:$AJ$110,0,MATCH(AC$2,Inputs!$K$4:$AJ$4,0)))+SUMPRODUCT((Inputs!$E$5:$E$110=$B36)*Inputs!$F$5:$F$110*(((Inputs!$G$5:$G$110="moeda")+(Inputs!$G$5:$G$110="acoes"))*Inputs!$B$1+((Inputs!$G$5:$G$110&lt;&gt;"moeda")*(Inputs!$G$5:$G$110&lt;&gt;"acoes")))*INDEX(Inputs!$K$5:$AJ$110,0,MATCH(AC$2,Inputs!$K$4:$AJ$4,0)))))</f>
        <v>12983</v>
      </c>
      <c r="AD36" s="6">
        <f>IF(ISNA(MATCH(AD$2,Inputs!$K$4:$AJ$4,0)),NA(),IF(SUMPRODUCT((Inputs!$A$5:$A$110=$B36)*ISNUMBER(INDEX(Inputs!$K$5:$AJ$110,0,MATCH(AD$2,Inputs!$K$4:$AJ$4,0))))+SUMPRODUCT((Inputs!$C$5:$C$110=$B36)*ISNUMBER(INDEX(Inputs!$K$5:$AJ$110,0,MATCH(AD$2,Inputs!$K$4:$AJ$4,0))))+SUMPRODUCT((Inputs!$E$5:$E$110=$B36)*ISNUMBER(INDEX(Inputs!$K$5:$AJ$110,0,MATCH(AD$2,Inputs!$K$4:$AJ$4,0))))=0,NA(),SUMPRODUCT((Inputs!$A$5:$A$110=$B36)*Inputs!$B$5:$B$110*(((Inputs!$G$5:$G$110="moeda")+(Inputs!$G$5:$G$110="acoes"))*Inputs!$B$1+((Inputs!$G$5:$G$110&lt;&gt;"moeda")*(Inputs!$G$5:$G$110&lt;&gt;"acoes")))*INDEX(Inputs!$K$5:$AJ$110,0,MATCH(AD$2,Inputs!$K$4:$AJ$4,0)))+SUMPRODUCT((Inputs!$C$5:$C$110=$B36)*Inputs!$D$5:$D$110*(((Inputs!$G$5:$G$110="moeda")+(Inputs!$G$5:$G$110="acoes"))*Inputs!$B$1+((Inputs!$G$5:$G$110&lt;&gt;"moeda")*(Inputs!$G$5:$G$110&lt;&gt;"acoes")))*INDEX(Inputs!$K$5:$AJ$110,0,MATCH(AD$2,Inputs!$K$4:$AJ$4,0)))+SUMPRODUCT((Inputs!$E$5:$E$110=$B36)*Inputs!$F$5:$F$110*(((Inputs!$G$5:$G$110="moeda")+(Inputs!$G$5:$G$110="acoes"))*Inputs!$B$1+((Inputs!$G$5:$G$110&lt;&gt;"moeda")*(Inputs!$G$5:$G$110&lt;&gt;"acoes")))*INDEX(Inputs!$K$5:$AJ$110,0,MATCH(AD$2,Inputs!$K$4:$AJ$4,0)))))</f>
        <v>14591</v>
      </c>
      <c r="AE36" s="6" t="e">
        <f>IF(ISNA(MATCH(AE$2,Inputs!$K$4:$AJ$4,0)),NA(),IF(SUMPRODUCT((Inputs!$A$5:$A$110=$B36)*ISNUMBER(INDEX(Inputs!$K$5:$AJ$110,0,MATCH(AE$2,Inputs!$K$4:$AJ$4,0))))+SUMPRODUCT((Inputs!$C$5:$C$110=$B36)*ISNUMBER(INDEX(Inputs!$K$5:$AJ$110,0,MATCH(AE$2,Inputs!$K$4:$AJ$4,0))))+SUMPRODUCT((Inputs!$E$5:$E$110=$B36)*ISNUMBER(INDEX(Inputs!$K$5:$AJ$110,0,MATCH(AE$2,Inputs!$K$4:$AJ$4,0))))=0,NA(),SUMPRODUCT((Inputs!$A$5:$A$110=$B36)*Inputs!$B$5:$B$110*(((Inputs!$G$5:$G$110="moeda")+(Inputs!$G$5:$G$110="acoes"))*Inputs!$B$1+((Inputs!$G$5:$G$110&lt;&gt;"moeda")*(Inputs!$G$5:$G$110&lt;&gt;"acoes")))*INDEX(Inputs!$K$5:$AJ$110,0,MATCH(AE$2,Inputs!$K$4:$AJ$4,0)))+SUMPRODUCT((Inputs!$C$5:$C$110=$B36)*Inputs!$D$5:$D$110*(((Inputs!$G$5:$G$110="moeda")+(Inputs!$G$5:$G$110="acoes"))*Inputs!$B$1+((Inputs!$G$5:$G$110&lt;&gt;"moeda")*(Inputs!$G$5:$G$110&lt;&gt;"acoes")))*INDEX(Inputs!$K$5:$AJ$110,0,MATCH(AE$2,Inputs!$K$4:$AJ$4,0)))+SUMPRODUCT((Inputs!$E$5:$E$110=$B36)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6" s="6" t="e">
        <f>IF(ISNA(MATCH(AF$2,Inputs!$K$4:$AJ$4,0)),NA(),IF(SUMPRODUCT((Inputs!$A$5:$A$110=$B36)*ISNUMBER(INDEX(Inputs!$K$5:$AJ$110,0,MATCH(AF$2,Inputs!$K$4:$AJ$4,0))))+SUMPRODUCT((Inputs!$C$5:$C$110=$B36)*ISNUMBER(INDEX(Inputs!$K$5:$AJ$110,0,MATCH(AF$2,Inputs!$K$4:$AJ$4,0))))+SUMPRODUCT((Inputs!$E$5:$E$110=$B36)*ISNUMBER(INDEX(Inputs!$K$5:$AJ$110,0,MATCH(AF$2,Inputs!$K$4:$AJ$4,0))))=0,NA(),SUMPRODUCT((Inputs!$A$5:$A$110=$B36)*Inputs!$B$5:$B$110*(((Inputs!$G$5:$G$110="moeda")+(Inputs!$G$5:$G$110="acoes"))*Inputs!$B$1+((Inputs!$G$5:$G$110&lt;&gt;"moeda")*(Inputs!$G$5:$G$110&lt;&gt;"acoes")))*INDEX(Inputs!$K$5:$AJ$110,0,MATCH(AF$2,Inputs!$K$4:$AJ$4,0)))+SUMPRODUCT((Inputs!$C$5:$C$110=$B36)*Inputs!$D$5:$D$110*(((Inputs!$G$5:$G$110="moeda")+(Inputs!$G$5:$G$110="acoes"))*Inputs!$B$1+((Inputs!$G$5:$G$110&lt;&gt;"moeda")*(Inputs!$G$5:$G$110&lt;&gt;"acoes")))*INDEX(Inputs!$K$5:$AJ$110,0,MATCH(AF$2,Inputs!$K$4:$AJ$4,0)))+SUMPRODUCT((Inputs!$E$5:$E$110=$B36)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6" s="3" t="e">
        <f>AF36</f>
        <v>#N/A</v>
      </c>
      <c r="AH36" s="6">
        <f>IF(ISNA(MATCH(AH$2,Inputs!$K$4:$AJ$4,0)),NA(),IF(SUMPRODUCT((Inputs!$A$5:$A$110=$B36)*ISNUMBER(INDEX(Inputs!$K$5:$AJ$110,0,MATCH(AH$2,Inputs!$K$4:$AJ$4,0))))+SUMPRODUCT((Inputs!$C$5:$C$110=$B36)*ISNUMBER(INDEX(Inputs!$K$5:$AJ$110,0,MATCH(AH$2,Inputs!$K$4:$AJ$4,0))))+SUMPRODUCT((Inputs!$E$5:$E$110=$B36)*ISNUMBER(INDEX(Inputs!$K$5:$AJ$110,0,MATCH(AH$2,Inputs!$K$4:$AJ$4,0))))=0,NA(),SUMPRODUCT((Inputs!$A$5:$A$110=$B36)*Inputs!$B$5:$B$110*(((Inputs!$G$5:$G$110="moeda")+(Inputs!$G$5:$G$110="acoes"))*Inputs!$B$1+((Inputs!$G$5:$G$110&lt;&gt;"moeda")*(Inputs!$G$5:$G$110&lt;&gt;"acoes")))*INDEX(Inputs!$K$5:$AJ$110,0,MATCH(AH$2,Inputs!$K$4:$AJ$4,0)))+SUMPRODUCT((Inputs!$C$5:$C$110=$B36)*Inputs!$D$5:$D$110*(((Inputs!$G$5:$G$110="moeda")+(Inputs!$G$5:$G$110="acoes"))*Inputs!$B$1+((Inputs!$G$5:$G$110&lt;&gt;"moeda")*(Inputs!$G$5:$G$110&lt;&gt;"acoes")))*INDEX(Inputs!$K$5:$AJ$110,0,MATCH(AH$2,Inputs!$K$4:$AJ$4,0)))+SUMPRODUCT((Inputs!$E$5:$E$110=$B36)*Inputs!$F$5:$F$110*(((Inputs!$G$5:$G$110="moeda")+(Inputs!$G$5:$G$110="acoes"))*Inputs!$B$1+((Inputs!$G$5:$G$110&lt;&gt;"moeda")*(Inputs!$G$5:$G$110&lt;&gt;"acoes")))*INDEX(Inputs!$K$5:$AJ$110,0,MATCH(AH$2,Inputs!$K$4:$AJ$4,0)))))</f>
        <v>10476</v>
      </c>
      <c r="AI36" s="6">
        <f>IF(ISNA(MATCH(AI$2,Inputs!$K$4:$AJ$4,0)),NA(),IF(SUMPRODUCT((Inputs!$A$5:$A$110=$B36)*ISNUMBER(INDEX(Inputs!$K$5:$AJ$110,0,MATCH(AI$2,Inputs!$K$4:$AJ$4,0))))+SUMPRODUCT((Inputs!$C$5:$C$110=$B36)*ISNUMBER(INDEX(Inputs!$K$5:$AJ$110,0,MATCH(AI$2,Inputs!$K$4:$AJ$4,0))))+SUMPRODUCT((Inputs!$E$5:$E$110=$B36)*ISNUMBER(INDEX(Inputs!$K$5:$AJ$110,0,MATCH(AI$2,Inputs!$K$4:$AJ$4,0))))=0,NA(),SUMPRODUCT((Inputs!$A$5:$A$110=$B36)*Inputs!$B$5:$B$110*(((Inputs!$G$5:$G$110="moeda")+(Inputs!$G$5:$G$110="acoes"))*Inputs!$B$1+((Inputs!$G$5:$G$110&lt;&gt;"moeda")*(Inputs!$G$5:$G$110&lt;&gt;"acoes")))*INDEX(Inputs!$K$5:$AJ$110,0,MATCH(AI$2,Inputs!$K$4:$AJ$4,0)))+SUMPRODUCT((Inputs!$C$5:$C$110=$B36)*Inputs!$D$5:$D$110*(((Inputs!$G$5:$G$110="moeda")+(Inputs!$G$5:$G$110="acoes"))*Inputs!$B$1+((Inputs!$G$5:$G$110&lt;&gt;"moeda")*(Inputs!$G$5:$G$110&lt;&gt;"acoes")))*INDEX(Inputs!$K$5:$AJ$110,0,MATCH(AI$2,Inputs!$K$4:$AJ$4,0)))+SUMPRODUCT((Inputs!$E$5:$E$110=$B36)*Inputs!$F$5:$F$110*(((Inputs!$G$5:$G$110="moeda")+(Inputs!$G$5:$G$110="acoes"))*Inputs!$B$1+((Inputs!$G$5:$G$110&lt;&gt;"moeda")*(Inputs!$G$5:$G$110&lt;&gt;"acoes")))*INDEX(Inputs!$K$5:$AJ$110,0,MATCH(AI$2,Inputs!$K$4:$AJ$4,0)))))</f>
        <v>10709</v>
      </c>
      <c r="AJ36" s="6">
        <f>IF(ISNA(MATCH(AJ$2,Inputs!$K$4:$AJ$4,0)),NA(),IF(SUMPRODUCT((Inputs!$A$5:$A$110=$B36)*ISNUMBER(INDEX(Inputs!$K$5:$AJ$110,0,MATCH(AJ$2,Inputs!$K$4:$AJ$4,0))))+SUMPRODUCT((Inputs!$C$5:$C$110=$B36)*ISNUMBER(INDEX(Inputs!$K$5:$AJ$110,0,MATCH(AJ$2,Inputs!$K$4:$AJ$4,0))))+SUMPRODUCT((Inputs!$E$5:$E$110=$B36)*ISNUMBER(INDEX(Inputs!$K$5:$AJ$110,0,MATCH(AJ$2,Inputs!$K$4:$AJ$4,0))))=0,NA(),SUMPRODUCT((Inputs!$A$5:$A$110=$B36)*Inputs!$B$5:$B$110*(((Inputs!$G$5:$G$110="moeda")+(Inputs!$G$5:$G$110="acoes"))*Inputs!$B$1+((Inputs!$G$5:$G$110&lt;&gt;"moeda")*(Inputs!$G$5:$G$110&lt;&gt;"acoes")))*INDEX(Inputs!$K$5:$AJ$110,0,MATCH(AJ$2,Inputs!$K$4:$AJ$4,0)))+SUMPRODUCT((Inputs!$C$5:$C$110=$B36)*Inputs!$D$5:$D$110*(((Inputs!$G$5:$G$110="moeda")+(Inputs!$G$5:$G$110="acoes"))*Inputs!$B$1+((Inputs!$G$5:$G$110&lt;&gt;"moeda")*(Inputs!$G$5:$G$110&lt;&gt;"acoes")))*INDEX(Inputs!$K$5:$AJ$110,0,MATCH(AJ$2,Inputs!$K$4:$AJ$4,0)))+SUMPRODUCT((Inputs!$E$5:$E$110=$B36)*Inputs!$F$5:$F$110*(((Inputs!$G$5:$G$110="moeda")+(Inputs!$G$5:$G$110="acoes"))*Inputs!$B$1+((Inputs!$G$5:$G$110&lt;&gt;"moeda")*(Inputs!$G$5:$G$110&lt;&gt;"acoes")))*INDEX(Inputs!$K$5:$AJ$110,0,MATCH(AJ$2,Inputs!$K$4:$AJ$4,0)))))</f>
        <v>10984</v>
      </c>
      <c r="AK36" s="6">
        <f>IF(ISNA(MATCH(AK$2,Inputs!$K$4:$AJ$4,0)),NA(),IF(SUMPRODUCT((Inputs!$A$5:$A$110=$B36)*ISNUMBER(INDEX(Inputs!$K$5:$AJ$110,0,MATCH(AK$2,Inputs!$K$4:$AJ$4,0))))+SUMPRODUCT((Inputs!$C$5:$C$110=$B36)*ISNUMBER(INDEX(Inputs!$K$5:$AJ$110,0,MATCH(AK$2,Inputs!$K$4:$AJ$4,0))))+SUMPRODUCT((Inputs!$E$5:$E$110=$B36)*ISNUMBER(INDEX(Inputs!$K$5:$AJ$110,0,MATCH(AK$2,Inputs!$K$4:$AJ$4,0))))=0,NA(),SUMPRODUCT((Inputs!$A$5:$A$110=$B36)*Inputs!$B$5:$B$110*(((Inputs!$G$5:$G$110="moeda")+(Inputs!$G$5:$G$110="acoes"))*Inputs!$B$1+((Inputs!$G$5:$G$110&lt;&gt;"moeda")*(Inputs!$G$5:$G$110&lt;&gt;"acoes")))*INDEX(Inputs!$K$5:$AJ$110,0,MATCH(AK$2,Inputs!$K$4:$AJ$4,0)))+SUMPRODUCT((Inputs!$C$5:$C$110=$B36)*Inputs!$D$5:$D$110*(((Inputs!$G$5:$G$110="moeda")+(Inputs!$G$5:$G$110="acoes"))*Inputs!$B$1+((Inputs!$G$5:$G$110&lt;&gt;"moeda")*(Inputs!$G$5:$G$110&lt;&gt;"acoes")))*INDEX(Inputs!$K$5:$AJ$110,0,MATCH(AK$2,Inputs!$K$4:$AJ$4,0)))+SUMPRODUCT((Inputs!$E$5:$E$110=$B36)*Inputs!$F$5:$F$110*(((Inputs!$G$5:$G$110="moeda")+(Inputs!$G$5:$G$110="acoes"))*Inputs!$B$1+((Inputs!$G$5:$G$110&lt;&gt;"moeda")*(Inputs!$G$5:$G$110&lt;&gt;"acoes")))*INDEX(Inputs!$K$5:$AJ$110,0,MATCH(AK$2,Inputs!$K$4:$AJ$4,0)))))</f>
        <v>11146</v>
      </c>
      <c r="AL36" s="3">
        <f>AK36</f>
        <v>11146</v>
      </c>
    </row>
    <row r="37">
      <c r="B37" s="46" t="n">
        <v>32</v>
      </c>
      <c r="C37" s="26" t="inlineStr">
        <is>
          <t>Convertible debt</t>
        </is>
      </c>
      <c r="D37" s="6" t="e">
        <f>IF(ISNA(MATCH(D$2,Inputs!$K$4:$AJ$4,0)),NA(),IF(SUMPRODUCT((Inputs!$A$5:$A$110=$B37)*ISNUMBER(INDEX(Inputs!$K$5:$AJ$110,0,MATCH(D$2,Inputs!$K$4:$AJ$4,0))))+SUMPRODUCT((Inputs!$C$5:$C$110=$B37)*ISNUMBER(INDEX(Inputs!$K$5:$AJ$110,0,MATCH(D$2,Inputs!$K$4:$AJ$4,0))))+SUMPRODUCT((Inputs!$E$5:$E$110=$B37)*ISNUMBER(INDEX(Inputs!$K$5:$AJ$110,0,MATCH(D$2,Inputs!$K$4:$AJ$4,0))))=0,NA(),SUMPRODUCT((Inputs!$A$5:$A$110=$B37)*Inputs!$B$5:$B$110*(((Inputs!$G$5:$G$110="moeda")+(Inputs!$G$5:$G$110="acoes"))*Inputs!$B$1+((Inputs!$G$5:$G$110&lt;&gt;"moeda")*(Inputs!$G$5:$G$110&lt;&gt;"acoes")))*INDEX(Inputs!$K$5:$AJ$110,0,MATCH(D$2,Inputs!$K$4:$AJ$4,0)))+SUMPRODUCT((Inputs!$C$5:$C$110=$B37)*Inputs!$D$5:$D$110*(((Inputs!$G$5:$G$110="moeda")+(Inputs!$G$5:$G$110="acoes"))*Inputs!$B$1+((Inputs!$G$5:$G$110&lt;&gt;"moeda")*(Inputs!$G$5:$G$110&lt;&gt;"acoes")))*INDEX(Inputs!$K$5:$AJ$110,0,MATCH(D$2,Inputs!$K$4:$AJ$4,0)))+SUMPRODUCT((Inputs!$E$5:$E$110=$B37)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37" s="6" t="e">
        <f>IF(ISNA(MATCH(E$2,Inputs!$K$4:$AJ$4,0)),NA(),IF(SUMPRODUCT((Inputs!$A$5:$A$110=$B37)*ISNUMBER(INDEX(Inputs!$K$5:$AJ$110,0,MATCH(E$2,Inputs!$K$4:$AJ$4,0))))+SUMPRODUCT((Inputs!$C$5:$C$110=$B37)*ISNUMBER(INDEX(Inputs!$K$5:$AJ$110,0,MATCH(E$2,Inputs!$K$4:$AJ$4,0))))+SUMPRODUCT((Inputs!$E$5:$E$110=$B37)*ISNUMBER(INDEX(Inputs!$K$5:$AJ$110,0,MATCH(E$2,Inputs!$K$4:$AJ$4,0))))=0,NA(),SUMPRODUCT((Inputs!$A$5:$A$110=$B37)*Inputs!$B$5:$B$110*(((Inputs!$G$5:$G$110="moeda")+(Inputs!$G$5:$G$110="acoes"))*Inputs!$B$1+((Inputs!$G$5:$G$110&lt;&gt;"moeda")*(Inputs!$G$5:$G$110&lt;&gt;"acoes")))*INDEX(Inputs!$K$5:$AJ$110,0,MATCH(E$2,Inputs!$K$4:$AJ$4,0)))+SUMPRODUCT((Inputs!$C$5:$C$110=$B37)*Inputs!$D$5:$D$110*(((Inputs!$G$5:$G$110="moeda")+(Inputs!$G$5:$G$110="acoes"))*Inputs!$B$1+((Inputs!$G$5:$G$110&lt;&gt;"moeda")*(Inputs!$G$5:$G$110&lt;&gt;"acoes")))*INDEX(Inputs!$K$5:$AJ$110,0,MATCH(E$2,Inputs!$K$4:$AJ$4,0)))+SUMPRODUCT((Inputs!$E$5:$E$110=$B37)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37" s="6" t="e">
        <f>IF(ISNA(MATCH(F$2,Inputs!$K$4:$AJ$4,0)),NA(),IF(SUMPRODUCT((Inputs!$A$5:$A$110=$B37)*ISNUMBER(INDEX(Inputs!$K$5:$AJ$110,0,MATCH(F$2,Inputs!$K$4:$AJ$4,0))))+SUMPRODUCT((Inputs!$C$5:$C$110=$B37)*ISNUMBER(INDEX(Inputs!$K$5:$AJ$110,0,MATCH(F$2,Inputs!$K$4:$AJ$4,0))))+SUMPRODUCT((Inputs!$E$5:$E$110=$B37)*ISNUMBER(INDEX(Inputs!$K$5:$AJ$110,0,MATCH(F$2,Inputs!$K$4:$AJ$4,0))))=0,NA(),SUMPRODUCT((Inputs!$A$5:$A$110=$B37)*Inputs!$B$5:$B$110*(((Inputs!$G$5:$G$110="moeda")+(Inputs!$G$5:$G$110="acoes"))*Inputs!$B$1+((Inputs!$G$5:$G$110&lt;&gt;"moeda")*(Inputs!$G$5:$G$110&lt;&gt;"acoes")))*INDEX(Inputs!$K$5:$AJ$110,0,MATCH(F$2,Inputs!$K$4:$AJ$4,0)))+SUMPRODUCT((Inputs!$C$5:$C$110=$B37)*Inputs!$D$5:$D$110*(((Inputs!$G$5:$G$110="moeda")+(Inputs!$G$5:$G$110="acoes"))*Inputs!$B$1+((Inputs!$G$5:$G$110&lt;&gt;"moeda")*(Inputs!$G$5:$G$110&lt;&gt;"acoes")))*INDEX(Inputs!$K$5:$AJ$110,0,MATCH(F$2,Inputs!$K$4:$AJ$4,0)))+SUMPRODUCT((Inputs!$E$5:$E$110=$B37)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37" s="6" t="e">
        <f>IF(ISNA(MATCH(G$2,Inputs!$K$4:$AJ$4,0)),NA(),IF(SUMPRODUCT((Inputs!$A$5:$A$110=$B37)*ISNUMBER(INDEX(Inputs!$K$5:$AJ$110,0,MATCH(G$2,Inputs!$K$4:$AJ$4,0))))+SUMPRODUCT((Inputs!$C$5:$C$110=$B37)*ISNUMBER(INDEX(Inputs!$K$5:$AJ$110,0,MATCH(G$2,Inputs!$K$4:$AJ$4,0))))+SUMPRODUCT((Inputs!$E$5:$E$110=$B37)*ISNUMBER(INDEX(Inputs!$K$5:$AJ$110,0,MATCH(G$2,Inputs!$K$4:$AJ$4,0))))=0,NA(),SUMPRODUCT((Inputs!$A$5:$A$110=$B37)*Inputs!$B$5:$B$110*(((Inputs!$G$5:$G$110="moeda")+(Inputs!$G$5:$G$110="acoes"))*Inputs!$B$1+((Inputs!$G$5:$G$110&lt;&gt;"moeda")*(Inputs!$G$5:$G$110&lt;&gt;"acoes")))*INDEX(Inputs!$K$5:$AJ$110,0,MATCH(G$2,Inputs!$K$4:$AJ$4,0)))+SUMPRODUCT((Inputs!$C$5:$C$110=$B37)*Inputs!$D$5:$D$110*(((Inputs!$G$5:$G$110="moeda")+(Inputs!$G$5:$G$110="acoes"))*Inputs!$B$1+((Inputs!$G$5:$G$110&lt;&gt;"moeda")*(Inputs!$G$5:$G$110&lt;&gt;"acoes")))*INDEX(Inputs!$K$5:$AJ$110,0,MATCH(G$2,Inputs!$K$4:$AJ$4,0)))+SUMPRODUCT((Inputs!$E$5:$E$110=$B37)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37" s="3" t="e">
        <f>G37</f>
        <v>#N/A</v>
      </c>
      <c r="I37" s="6" t="e">
        <f>IF(ISNA(MATCH(I$2,Inputs!$K$4:$AJ$4,0)),NA(),IF(SUMPRODUCT((Inputs!$A$5:$A$110=$B37)*ISNUMBER(INDEX(Inputs!$K$5:$AJ$110,0,MATCH(I$2,Inputs!$K$4:$AJ$4,0))))+SUMPRODUCT((Inputs!$C$5:$C$110=$B37)*ISNUMBER(INDEX(Inputs!$K$5:$AJ$110,0,MATCH(I$2,Inputs!$K$4:$AJ$4,0))))+SUMPRODUCT((Inputs!$E$5:$E$110=$B37)*ISNUMBER(INDEX(Inputs!$K$5:$AJ$110,0,MATCH(I$2,Inputs!$K$4:$AJ$4,0))))=0,NA(),SUMPRODUCT((Inputs!$A$5:$A$110=$B37)*Inputs!$B$5:$B$110*(((Inputs!$G$5:$G$110="moeda")+(Inputs!$G$5:$G$110="acoes"))*Inputs!$B$1+((Inputs!$G$5:$G$110&lt;&gt;"moeda")*(Inputs!$G$5:$G$110&lt;&gt;"acoes")))*INDEX(Inputs!$K$5:$AJ$110,0,MATCH(I$2,Inputs!$K$4:$AJ$4,0)))+SUMPRODUCT((Inputs!$C$5:$C$110=$B37)*Inputs!$D$5:$D$110*(((Inputs!$G$5:$G$110="moeda")+(Inputs!$G$5:$G$110="acoes"))*Inputs!$B$1+((Inputs!$G$5:$G$110&lt;&gt;"moeda")*(Inputs!$G$5:$G$110&lt;&gt;"acoes")))*INDEX(Inputs!$K$5:$AJ$110,0,MATCH(I$2,Inputs!$K$4:$AJ$4,0)))+SUMPRODUCT((Inputs!$E$5:$E$110=$B37)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37" s="6" t="e">
        <f>IF(ISNA(MATCH(J$2,Inputs!$K$4:$AJ$4,0)),NA(),IF(SUMPRODUCT((Inputs!$A$5:$A$110=$B37)*ISNUMBER(INDEX(Inputs!$K$5:$AJ$110,0,MATCH(J$2,Inputs!$K$4:$AJ$4,0))))+SUMPRODUCT((Inputs!$C$5:$C$110=$B37)*ISNUMBER(INDEX(Inputs!$K$5:$AJ$110,0,MATCH(J$2,Inputs!$K$4:$AJ$4,0))))+SUMPRODUCT((Inputs!$E$5:$E$110=$B37)*ISNUMBER(INDEX(Inputs!$K$5:$AJ$110,0,MATCH(J$2,Inputs!$K$4:$AJ$4,0))))=0,NA(),SUMPRODUCT((Inputs!$A$5:$A$110=$B37)*Inputs!$B$5:$B$110*(((Inputs!$G$5:$G$110="moeda")+(Inputs!$G$5:$G$110="acoes"))*Inputs!$B$1+((Inputs!$G$5:$G$110&lt;&gt;"moeda")*(Inputs!$G$5:$G$110&lt;&gt;"acoes")))*INDEX(Inputs!$K$5:$AJ$110,0,MATCH(J$2,Inputs!$K$4:$AJ$4,0)))+SUMPRODUCT((Inputs!$C$5:$C$110=$B37)*Inputs!$D$5:$D$110*(((Inputs!$G$5:$G$110="moeda")+(Inputs!$G$5:$G$110="acoes"))*Inputs!$B$1+((Inputs!$G$5:$G$110&lt;&gt;"moeda")*(Inputs!$G$5:$G$110&lt;&gt;"acoes")))*INDEX(Inputs!$K$5:$AJ$110,0,MATCH(J$2,Inputs!$K$4:$AJ$4,0)))+SUMPRODUCT((Inputs!$E$5:$E$110=$B37)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37" s="6" t="e">
        <f>IF(ISNA(MATCH(K$2,Inputs!$K$4:$AJ$4,0)),NA(),IF(SUMPRODUCT((Inputs!$A$5:$A$110=$B37)*ISNUMBER(INDEX(Inputs!$K$5:$AJ$110,0,MATCH(K$2,Inputs!$K$4:$AJ$4,0))))+SUMPRODUCT((Inputs!$C$5:$C$110=$B37)*ISNUMBER(INDEX(Inputs!$K$5:$AJ$110,0,MATCH(K$2,Inputs!$K$4:$AJ$4,0))))+SUMPRODUCT((Inputs!$E$5:$E$110=$B37)*ISNUMBER(INDEX(Inputs!$K$5:$AJ$110,0,MATCH(K$2,Inputs!$K$4:$AJ$4,0))))=0,NA(),SUMPRODUCT((Inputs!$A$5:$A$110=$B37)*Inputs!$B$5:$B$110*(((Inputs!$G$5:$G$110="moeda")+(Inputs!$G$5:$G$110="acoes"))*Inputs!$B$1+((Inputs!$G$5:$G$110&lt;&gt;"moeda")*(Inputs!$G$5:$G$110&lt;&gt;"acoes")))*INDEX(Inputs!$K$5:$AJ$110,0,MATCH(K$2,Inputs!$K$4:$AJ$4,0)))+SUMPRODUCT((Inputs!$C$5:$C$110=$B37)*Inputs!$D$5:$D$110*(((Inputs!$G$5:$G$110="moeda")+(Inputs!$G$5:$G$110="acoes"))*Inputs!$B$1+((Inputs!$G$5:$G$110&lt;&gt;"moeda")*(Inputs!$G$5:$G$110&lt;&gt;"acoes")))*INDEX(Inputs!$K$5:$AJ$110,0,MATCH(K$2,Inputs!$K$4:$AJ$4,0)))+SUMPRODUCT((Inputs!$E$5:$E$110=$B37)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37" s="6" t="e">
        <f>IF(ISNA(MATCH(L$2,Inputs!$K$4:$AJ$4,0)),NA(),IF(SUMPRODUCT((Inputs!$A$5:$A$110=$B37)*ISNUMBER(INDEX(Inputs!$K$5:$AJ$110,0,MATCH(L$2,Inputs!$K$4:$AJ$4,0))))+SUMPRODUCT((Inputs!$C$5:$C$110=$B37)*ISNUMBER(INDEX(Inputs!$K$5:$AJ$110,0,MATCH(L$2,Inputs!$K$4:$AJ$4,0))))+SUMPRODUCT((Inputs!$E$5:$E$110=$B37)*ISNUMBER(INDEX(Inputs!$K$5:$AJ$110,0,MATCH(L$2,Inputs!$K$4:$AJ$4,0))))=0,NA(),SUMPRODUCT((Inputs!$A$5:$A$110=$B37)*Inputs!$B$5:$B$110*(((Inputs!$G$5:$G$110="moeda")+(Inputs!$G$5:$G$110="acoes"))*Inputs!$B$1+((Inputs!$G$5:$G$110&lt;&gt;"moeda")*(Inputs!$G$5:$G$110&lt;&gt;"acoes")))*INDEX(Inputs!$K$5:$AJ$110,0,MATCH(L$2,Inputs!$K$4:$AJ$4,0)))+SUMPRODUCT((Inputs!$C$5:$C$110=$B37)*Inputs!$D$5:$D$110*(((Inputs!$G$5:$G$110="moeda")+(Inputs!$G$5:$G$110="acoes"))*Inputs!$B$1+((Inputs!$G$5:$G$110&lt;&gt;"moeda")*(Inputs!$G$5:$G$110&lt;&gt;"acoes")))*INDEX(Inputs!$K$5:$AJ$110,0,MATCH(L$2,Inputs!$K$4:$AJ$4,0)))+SUMPRODUCT((Inputs!$E$5:$E$110=$B37)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37" s="3" t="e">
        <f>L37</f>
        <v>#N/A</v>
      </c>
      <c r="N37" s="6" t="e">
        <f>IF(ISNA(MATCH(N$2,Inputs!$K$4:$AJ$4,0)),NA(),IF(SUMPRODUCT((Inputs!$A$5:$A$110=$B37)*ISNUMBER(INDEX(Inputs!$K$5:$AJ$110,0,MATCH(N$2,Inputs!$K$4:$AJ$4,0))))+SUMPRODUCT((Inputs!$C$5:$C$110=$B37)*ISNUMBER(INDEX(Inputs!$K$5:$AJ$110,0,MATCH(N$2,Inputs!$K$4:$AJ$4,0))))+SUMPRODUCT((Inputs!$E$5:$E$110=$B37)*ISNUMBER(INDEX(Inputs!$K$5:$AJ$110,0,MATCH(N$2,Inputs!$K$4:$AJ$4,0))))=0,NA(),SUMPRODUCT((Inputs!$A$5:$A$110=$B37)*Inputs!$B$5:$B$110*(((Inputs!$G$5:$G$110="moeda")+(Inputs!$G$5:$G$110="acoes"))*Inputs!$B$1+((Inputs!$G$5:$G$110&lt;&gt;"moeda")*(Inputs!$G$5:$G$110&lt;&gt;"acoes")))*INDEX(Inputs!$K$5:$AJ$110,0,MATCH(N$2,Inputs!$K$4:$AJ$4,0)))+SUMPRODUCT((Inputs!$C$5:$C$110=$B37)*Inputs!$D$5:$D$110*(((Inputs!$G$5:$G$110="moeda")+(Inputs!$G$5:$G$110="acoes"))*Inputs!$B$1+((Inputs!$G$5:$G$110&lt;&gt;"moeda")*(Inputs!$G$5:$G$110&lt;&gt;"acoes")))*INDEX(Inputs!$K$5:$AJ$110,0,MATCH(N$2,Inputs!$K$4:$AJ$4,0)))+SUMPRODUCT((Inputs!$E$5:$E$110=$B37)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37" s="6" t="e">
        <f>IF(ISNA(MATCH(O$2,Inputs!$K$4:$AJ$4,0)),NA(),IF(SUMPRODUCT((Inputs!$A$5:$A$110=$B37)*ISNUMBER(INDEX(Inputs!$K$5:$AJ$110,0,MATCH(O$2,Inputs!$K$4:$AJ$4,0))))+SUMPRODUCT((Inputs!$C$5:$C$110=$B37)*ISNUMBER(INDEX(Inputs!$K$5:$AJ$110,0,MATCH(O$2,Inputs!$K$4:$AJ$4,0))))+SUMPRODUCT((Inputs!$E$5:$E$110=$B37)*ISNUMBER(INDEX(Inputs!$K$5:$AJ$110,0,MATCH(O$2,Inputs!$K$4:$AJ$4,0))))=0,NA(),SUMPRODUCT((Inputs!$A$5:$A$110=$B37)*Inputs!$B$5:$B$110*(((Inputs!$G$5:$G$110="moeda")+(Inputs!$G$5:$G$110="acoes"))*Inputs!$B$1+((Inputs!$G$5:$G$110&lt;&gt;"moeda")*(Inputs!$G$5:$G$110&lt;&gt;"acoes")))*INDEX(Inputs!$K$5:$AJ$110,0,MATCH(O$2,Inputs!$K$4:$AJ$4,0)))+SUMPRODUCT((Inputs!$C$5:$C$110=$B37)*Inputs!$D$5:$D$110*(((Inputs!$G$5:$G$110="moeda")+(Inputs!$G$5:$G$110="acoes"))*Inputs!$B$1+((Inputs!$G$5:$G$110&lt;&gt;"moeda")*(Inputs!$G$5:$G$110&lt;&gt;"acoes")))*INDEX(Inputs!$K$5:$AJ$110,0,MATCH(O$2,Inputs!$K$4:$AJ$4,0)))+SUMPRODUCT((Inputs!$E$5:$E$110=$B37)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37" s="6" t="e">
        <f>IF(ISNA(MATCH(P$2,Inputs!$K$4:$AJ$4,0)),NA(),IF(SUMPRODUCT((Inputs!$A$5:$A$110=$B37)*ISNUMBER(INDEX(Inputs!$K$5:$AJ$110,0,MATCH(P$2,Inputs!$K$4:$AJ$4,0))))+SUMPRODUCT((Inputs!$C$5:$C$110=$B37)*ISNUMBER(INDEX(Inputs!$K$5:$AJ$110,0,MATCH(P$2,Inputs!$K$4:$AJ$4,0))))+SUMPRODUCT((Inputs!$E$5:$E$110=$B37)*ISNUMBER(INDEX(Inputs!$K$5:$AJ$110,0,MATCH(P$2,Inputs!$K$4:$AJ$4,0))))=0,NA(),SUMPRODUCT((Inputs!$A$5:$A$110=$B37)*Inputs!$B$5:$B$110*(((Inputs!$G$5:$G$110="moeda")+(Inputs!$G$5:$G$110="acoes"))*Inputs!$B$1+((Inputs!$G$5:$G$110&lt;&gt;"moeda")*(Inputs!$G$5:$G$110&lt;&gt;"acoes")))*INDEX(Inputs!$K$5:$AJ$110,0,MATCH(P$2,Inputs!$K$4:$AJ$4,0)))+SUMPRODUCT((Inputs!$C$5:$C$110=$B37)*Inputs!$D$5:$D$110*(((Inputs!$G$5:$G$110="moeda")+(Inputs!$G$5:$G$110="acoes"))*Inputs!$B$1+((Inputs!$G$5:$G$110&lt;&gt;"moeda")*(Inputs!$G$5:$G$110&lt;&gt;"acoes")))*INDEX(Inputs!$K$5:$AJ$110,0,MATCH(P$2,Inputs!$K$4:$AJ$4,0)))+SUMPRODUCT((Inputs!$E$5:$E$110=$B37)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37" s="6" t="e">
        <f>IF(ISNA(MATCH(Q$2,Inputs!$K$4:$AJ$4,0)),NA(),IF(SUMPRODUCT((Inputs!$A$5:$A$110=$B37)*ISNUMBER(INDEX(Inputs!$K$5:$AJ$110,0,MATCH(Q$2,Inputs!$K$4:$AJ$4,0))))+SUMPRODUCT((Inputs!$C$5:$C$110=$B37)*ISNUMBER(INDEX(Inputs!$K$5:$AJ$110,0,MATCH(Q$2,Inputs!$K$4:$AJ$4,0))))+SUMPRODUCT((Inputs!$E$5:$E$110=$B37)*ISNUMBER(INDEX(Inputs!$K$5:$AJ$110,0,MATCH(Q$2,Inputs!$K$4:$AJ$4,0))))=0,NA(),SUMPRODUCT((Inputs!$A$5:$A$110=$B37)*Inputs!$B$5:$B$110*(((Inputs!$G$5:$G$110="moeda")+(Inputs!$G$5:$G$110="acoes"))*Inputs!$B$1+((Inputs!$G$5:$G$110&lt;&gt;"moeda")*(Inputs!$G$5:$G$110&lt;&gt;"acoes")))*INDEX(Inputs!$K$5:$AJ$110,0,MATCH(Q$2,Inputs!$K$4:$AJ$4,0)))+SUMPRODUCT((Inputs!$C$5:$C$110=$B37)*Inputs!$D$5:$D$110*(((Inputs!$G$5:$G$110="moeda")+(Inputs!$G$5:$G$110="acoes"))*Inputs!$B$1+((Inputs!$G$5:$G$110&lt;&gt;"moeda")*(Inputs!$G$5:$G$110&lt;&gt;"acoes")))*INDEX(Inputs!$K$5:$AJ$110,0,MATCH(Q$2,Inputs!$K$4:$AJ$4,0)))+SUMPRODUCT((Inputs!$E$5:$E$110=$B37)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37" s="3" t="e">
        <f>Q37</f>
        <v>#N/A</v>
      </c>
      <c r="S37" s="6" t="e">
        <f>IF(ISNA(MATCH(S$2,Inputs!$K$4:$AJ$4,0)),NA(),IF(SUMPRODUCT((Inputs!$A$5:$A$110=$B37)*ISNUMBER(INDEX(Inputs!$K$5:$AJ$110,0,MATCH(S$2,Inputs!$K$4:$AJ$4,0))))+SUMPRODUCT((Inputs!$C$5:$C$110=$B37)*ISNUMBER(INDEX(Inputs!$K$5:$AJ$110,0,MATCH(S$2,Inputs!$K$4:$AJ$4,0))))+SUMPRODUCT((Inputs!$E$5:$E$110=$B37)*ISNUMBER(INDEX(Inputs!$K$5:$AJ$110,0,MATCH(S$2,Inputs!$K$4:$AJ$4,0))))=0,NA(),SUMPRODUCT((Inputs!$A$5:$A$110=$B37)*Inputs!$B$5:$B$110*(((Inputs!$G$5:$G$110="moeda")+(Inputs!$G$5:$G$110="acoes"))*Inputs!$B$1+((Inputs!$G$5:$G$110&lt;&gt;"moeda")*(Inputs!$G$5:$G$110&lt;&gt;"acoes")))*INDEX(Inputs!$K$5:$AJ$110,0,MATCH(S$2,Inputs!$K$4:$AJ$4,0)))+SUMPRODUCT((Inputs!$C$5:$C$110=$B37)*Inputs!$D$5:$D$110*(((Inputs!$G$5:$G$110="moeda")+(Inputs!$G$5:$G$110="acoes"))*Inputs!$B$1+((Inputs!$G$5:$G$110&lt;&gt;"moeda")*(Inputs!$G$5:$G$110&lt;&gt;"acoes")))*INDEX(Inputs!$K$5:$AJ$110,0,MATCH(S$2,Inputs!$K$4:$AJ$4,0)))+SUMPRODUCT((Inputs!$E$5:$E$110=$B37)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37" s="6" t="e">
        <f>IF(ISNA(MATCH(T$2,Inputs!$K$4:$AJ$4,0)),NA(),IF(SUMPRODUCT((Inputs!$A$5:$A$110=$B37)*ISNUMBER(INDEX(Inputs!$K$5:$AJ$110,0,MATCH(T$2,Inputs!$K$4:$AJ$4,0))))+SUMPRODUCT((Inputs!$C$5:$C$110=$B37)*ISNUMBER(INDEX(Inputs!$K$5:$AJ$110,0,MATCH(T$2,Inputs!$K$4:$AJ$4,0))))+SUMPRODUCT((Inputs!$E$5:$E$110=$B37)*ISNUMBER(INDEX(Inputs!$K$5:$AJ$110,0,MATCH(T$2,Inputs!$K$4:$AJ$4,0))))=0,NA(),SUMPRODUCT((Inputs!$A$5:$A$110=$B37)*Inputs!$B$5:$B$110*(((Inputs!$G$5:$G$110="moeda")+(Inputs!$G$5:$G$110="acoes"))*Inputs!$B$1+((Inputs!$G$5:$G$110&lt;&gt;"moeda")*(Inputs!$G$5:$G$110&lt;&gt;"acoes")))*INDEX(Inputs!$K$5:$AJ$110,0,MATCH(T$2,Inputs!$K$4:$AJ$4,0)))+SUMPRODUCT((Inputs!$C$5:$C$110=$B37)*Inputs!$D$5:$D$110*(((Inputs!$G$5:$G$110="moeda")+(Inputs!$G$5:$G$110="acoes"))*Inputs!$B$1+((Inputs!$G$5:$G$110&lt;&gt;"moeda")*(Inputs!$G$5:$G$110&lt;&gt;"acoes")))*INDEX(Inputs!$K$5:$AJ$110,0,MATCH(T$2,Inputs!$K$4:$AJ$4,0)))+SUMPRODUCT((Inputs!$E$5:$E$110=$B37)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37" s="6" t="e">
        <f>IF(ISNA(MATCH(U$2,Inputs!$K$4:$AJ$4,0)),NA(),IF(SUMPRODUCT((Inputs!$A$5:$A$110=$B37)*ISNUMBER(INDEX(Inputs!$K$5:$AJ$110,0,MATCH(U$2,Inputs!$K$4:$AJ$4,0))))+SUMPRODUCT((Inputs!$C$5:$C$110=$B37)*ISNUMBER(INDEX(Inputs!$K$5:$AJ$110,0,MATCH(U$2,Inputs!$K$4:$AJ$4,0))))+SUMPRODUCT((Inputs!$E$5:$E$110=$B37)*ISNUMBER(INDEX(Inputs!$K$5:$AJ$110,0,MATCH(U$2,Inputs!$K$4:$AJ$4,0))))=0,NA(),SUMPRODUCT((Inputs!$A$5:$A$110=$B37)*Inputs!$B$5:$B$110*(((Inputs!$G$5:$G$110="moeda")+(Inputs!$G$5:$G$110="acoes"))*Inputs!$B$1+((Inputs!$G$5:$G$110&lt;&gt;"moeda")*(Inputs!$G$5:$G$110&lt;&gt;"acoes")))*INDEX(Inputs!$K$5:$AJ$110,0,MATCH(U$2,Inputs!$K$4:$AJ$4,0)))+SUMPRODUCT((Inputs!$C$5:$C$110=$B37)*Inputs!$D$5:$D$110*(((Inputs!$G$5:$G$110="moeda")+(Inputs!$G$5:$G$110="acoes"))*Inputs!$B$1+((Inputs!$G$5:$G$110&lt;&gt;"moeda")*(Inputs!$G$5:$G$110&lt;&gt;"acoes")))*INDEX(Inputs!$K$5:$AJ$110,0,MATCH(U$2,Inputs!$K$4:$AJ$4,0)))+SUMPRODUCT((Inputs!$E$5:$E$110=$B37)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37" s="6" t="e">
        <f>IF(ISNA(MATCH(V$2,Inputs!$K$4:$AJ$4,0)),NA(),IF(SUMPRODUCT((Inputs!$A$5:$A$110=$B37)*ISNUMBER(INDEX(Inputs!$K$5:$AJ$110,0,MATCH(V$2,Inputs!$K$4:$AJ$4,0))))+SUMPRODUCT((Inputs!$C$5:$C$110=$B37)*ISNUMBER(INDEX(Inputs!$K$5:$AJ$110,0,MATCH(V$2,Inputs!$K$4:$AJ$4,0))))+SUMPRODUCT((Inputs!$E$5:$E$110=$B37)*ISNUMBER(INDEX(Inputs!$K$5:$AJ$110,0,MATCH(V$2,Inputs!$K$4:$AJ$4,0))))=0,NA(),SUMPRODUCT((Inputs!$A$5:$A$110=$B37)*Inputs!$B$5:$B$110*(((Inputs!$G$5:$G$110="moeda")+(Inputs!$G$5:$G$110="acoes"))*Inputs!$B$1+((Inputs!$G$5:$G$110&lt;&gt;"moeda")*(Inputs!$G$5:$G$110&lt;&gt;"acoes")))*INDEX(Inputs!$K$5:$AJ$110,0,MATCH(V$2,Inputs!$K$4:$AJ$4,0)))+SUMPRODUCT((Inputs!$C$5:$C$110=$B37)*Inputs!$D$5:$D$110*(((Inputs!$G$5:$G$110="moeda")+(Inputs!$G$5:$G$110="acoes"))*Inputs!$B$1+((Inputs!$G$5:$G$110&lt;&gt;"moeda")*(Inputs!$G$5:$G$110&lt;&gt;"acoes")))*INDEX(Inputs!$K$5:$AJ$110,0,MATCH(V$2,Inputs!$K$4:$AJ$4,0)))+SUMPRODUCT((Inputs!$E$5:$E$110=$B37)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37" s="3" t="e">
        <f>V37</f>
        <v>#N/A</v>
      </c>
      <c r="X37" s="6" t="e">
        <f>IF(ISNA(MATCH(X$2,Inputs!$K$4:$AJ$4,0)),NA(),IF(SUMPRODUCT((Inputs!$A$5:$A$110=$B37)*ISNUMBER(INDEX(Inputs!$K$5:$AJ$110,0,MATCH(X$2,Inputs!$K$4:$AJ$4,0))))+SUMPRODUCT((Inputs!$C$5:$C$110=$B37)*ISNUMBER(INDEX(Inputs!$K$5:$AJ$110,0,MATCH(X$2,Inputs!$K$4:$AJ$4,0))))+SUMPRODUCT((Inputs!$E$5:$E$110=$B37)*ISNUMBER(INDEX(Inputs!$K$5:$AJ$110,0,MATCH(X$2,Inputs!$K$4:$AJ$4,0))))=0,NA(),SUMPRODUCT((Inputs!$A$5:$A$110=$B37)*Inputs!$B$5:$B$110*(((Inputs!$G$5:$G$110="moeda")+(Inputs!$G$5:$G$110="acoes"))*Inputs!$B$1+((Inputs!$G$5:$G$110&lt;&gt;"moeda")*(Inputs!$G$5:$G$110&lt;&gt;"acoes")))*INDEX(Inputs!$K$5:$AJ$110,0,MATCH(X$2,Inputs!$K$4:$AJ$4,0)))+SUMPRODUCT((Inputs!$C$5:$C$110=$B37)*Inputs!$D$5:$D$110*(((Inputs!$G$5:$G$110="moeda")+(Inputs!$G$5:$G$110="acoes"))*Inputs!$B$1+((Inputs!$G$5:$G$110&lt;&gt;"moeda")*(Inputs!$G$5:$G$110&lt;&gt;"acoes")))*INDEX(Inputs!$K$5:$AJ$110,0,MATCH(X$2,Inputs!$K$4:$AJ$4,0)))+SUMPRODUCT((Inputs!$E$5:$E$110=$B37)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37" s="6" t="e">
        <f>IF(ISNA(MATCH(Y$2,Inputs!$K$4:$AJ$4,0)),NA(),IF(SUMPRODUCT((Inputs!$A$5:$A$110=$B37)*ISNUMBER(INDEX(Inputs!$K$5:$AJ$110,0,MATCH(Y$2,Inputs!$K$4:$AJ$4,0))))+SUMPRODUCT((Inputs!$C$5:$C$110=$B37)*ISNUMBER(INDEX(Inputs!$K$5:$AJ$110,0,MATCH(Y$2,Inputs!$K$4:$AJ$4,0))))+SUMPRODUCT((Inputs!$E$5:$E$110=$B37)*ISNUMBER(INDEX(Inputs!$K$5:$AJ$110,0,MATCH(Y$2,Inputs!$K$4:$AJ$4,0))))=0,NA(),SUMPRODUCT((Inputs!$A$5:$A$110=$B37)*Inputs!$B$5:$B$110*(((Inputs!$G$5:$G$110="moeda")+(Inputs!$G$5:$G$110="acoes"))*Inputs!$B$1+((Inputs!$G$5:$G$110&lt;&gt;"moeda")*(Inputs!$G$5:$G$110&lt;&gt;"acoes")))*INDEX(Inputs!$K$5:$AJ$110,0,MATCH(Y$2,Inputs!$K$4:$AJ$4,0)))+SUMPRODUCT((Inputs!$C$5:$C$110=$B37)*Inputs!$D$5:$D$110*(((Inputs!$G$5:$G$110="moeda")+(Inputs!$G$5:$G$110="acoes"))*Inputs!$B$1+((Inputs!$G$5:$G$110&lt;&gt;"moeda")*(Inputs!$G$5:$G$110&lt;&gt;"acoes")))*INDEX(Inputs!$K$5:$AJ$110,0,MATCH(Y$2,Inputs!$K$4:$AJ$4,0)))+SUMPRODUCT((Inputs!$E$5:$E$110=$B37)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37" s="6" t="e">
        <f>IF(ISNA(MATCH(Z$2,Inputs!$K$4:$AJ$4,0)),NA(),IF(SUMPRODUCT((Inputs!$A$5:$A$110=$B37)*ISNUMBER(INDEX(Inputs!$K$5:$AJ$110,0,MATCH(Z$2,Inputs!$K$4:$AJ$4,0))))+SUMPRODUCT((Inputs!$C$5:$C$110=$B37)*ISNUMBER(INDEX(Inputs!$K$5:$AJ$110,0,MATCH(Z$2,Inputs!$K$4:$AJ$4,0))))+SUMPRODUCT((Inputs!$E$5:$E$110=$B37)*ISNUMBER(INDEX(Inputs!$K$5:$AJ$110,0,MATCH(Z$2,Inputs!$K$4:$AJ$4,0))))=0,NA(),SUMPRODUCT((Inputs!$A$5:$A$110=$B37)*Inputs!$B$5:$B$110*(((Inputs!$G$5:$G$110="moeda")+(Inputs!$G$5:$G$110="acoes"))*Inputs!$B$1+((Inputs!$G$5:$G$110&lt;&gt;"moeda")*(Inputs!$G$5:$G$110&lt;&gt;"acoes")))*INDEX(Inputs!$K$5:$AJ$110,0,MATCH(Z$2,Inputs!$K$4:$AJ$4,0)))+SUMPRODUCT((Inputs!$C$5:$C$110=$B37)*Inputs!$D$5:$D$110*(((Inputs!$G$5:$G$110="moeda")+(Inputs!$G$5:$G$110="acoes"))*Inputs!$B$1+((Inputs!$G$5:$G$110&lt;&gt;"moeda")*(Inputs!$G$5:$G$110&lt;&gt;"acoes")))*INDEX(Inputs!$K$5:$AJ$110,0,MATCH(Z$2,Inputs!$K$4:$AJ$4,0)))+SUMPRODUCT((Inputs!$E$5:$E$110=$B37)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37" s="6" t="e">
        <f>IF(ISNA(MATCH(AA$2,Inputs!$K$4:$AJ$4,0)),NA(),IF(SUMPRODUCT((Inputs!$A$5:$A$110=$B37)*ISNUMBER(INDEX(Inputs!$K$5:$AJ$110,0,MATCH(AA$2,Inputs!$K$4:$AJ$4,0))))+SUMPRODUCT((Inputs!$C$5:$C$110=$B37)*ISNUMBER(INDEX(Inputs!$K$5:$AJ$110,0,MATCH(AA$2,Inputs!$K$4:$AJ$4,0))))+SUMPRODUCT((Inputs!$E$5:$E$110=$B37)*ISNUMBER(INDEX(Inputs!$K$5:$AJ$110,0,MATCH(AA$2,Inputs!$K$4:$AJ$4,0))))=0,NA(),SUMPRODUCT((Inputs!$A$5:$A$110=$B37)*Inputs!$B$5:$B$110*(((Inputs!$G$5:$G$110="moeda")+(Inputs!$G$5:$G$110="acoes"))*Inputs!$B$1+((Inputs!$G$5:$G$110&lt;&gt;"moeda")*(Inputs!$G$5:$G$110&lt;&gt;"acoes")))*INDEX(Inputs!$K$5:$AJ$110,0,MATCH(AA$2,Inputs!$K$4:$AJ$4,0)))+SUMPRODUCT((Inputs!$C$5:$C$110=$B37)*Inputs!$D$5:$D$110*(((Inputs!$G$5:$G$110="moeda")+(Inputs!$G$5:$G$110="acoes"))*Inputs!$B$1+((Inputs!$G$5:$G$110&lt;&gt;"moeda")*(Inputs!$G$5:$G$110&lt;&gt;"acoes")))*INDEX(Inputs!$K$5:$AJ$110,0,MATCH(AA$2,Inputs!$K$4:$AJ$4,0)))+SUMPRODUCT((Inputs!$E$5:$E$110=$B37)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37" s="3" t="e">
        <f>AA37</f>
        <v>#N/A</v>
      </c>
      <c r="AC37" s="6" t="e">
        <f>IF(ISNA(MATCH(AC$2,Inputs!$K$4:$AJ$4,0)),NA(),IF(SUMPRODUCT((Inputs!$A$5:$A$110=$B37)*ISNUMBER(INDEX(Inputs!$K$5:$AJ$110,0,MATCH(AC$2,Inputs!$K$4:$AJ$4,0))))+SUMPRODUCT((Inputs!$C$5:$C$110=$B37)*ISNUMBER(INDEX(Inputs!$K$5:$AJ$110,0,MATCH(AC$2,Inputs!$K$4:$AJ$4,0))))+SUMPRODUCT((Inputs!$E$5:$E$110=$B37)*ISNUMBER(INDEX(Inputs!$K$5:$AJ$110,0,MATCH(AC$2,Inputs!$K$4:$AJ$4,0))))=0,NA(),SUMPRODUCT((Inputs!$A$5:$A$110=$B37)*Inputs!$B$5:$B$110*(((Inputs!$G$5:$G$110="moeda")+(Inputs!$G$5:$G$110="acoes"))*Inputs!$B$1+((Inputs!$G$5:$G$110&lt;&gt;"moeda")*(Inputs!$G$5:$G$110&lt;&gt;"acoes")))*INDEX(Inputs!$K$5:$AJ$110,0,MATCH(AC$2,Inputs!$K$4:$AJ$4,0)))+SUMPRODUCT((Inputs!$C$5:$C$110=$B37)*Inputs!$D$5:$D$110*(((Inputs!$G$5:$G$110="moeda")+(Inputs!$G$5:$G$110="acoes"))*Inputs!$B$1+((Inputs!$G$5:$G$110&lt;&gt;"moeda")*(Inputs!$G$5:$G$110&lt;&gt;"acoes")))*INDEX(Inputs!$K$5:$AJ$110,0,MATCH(AC$2,Inputs!$K$4:$AJ$4,0)))+SUMPRODUCT((Inputs!$E$5:$E$110=$B37)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37" s="6" t="e">
        <f>IF(ISNA(MATCH(AD$2,Inputs!$K$4:$AJ$4,0)),NA(),IF(SUMPRODUCT((Inputs!$A$5:$A$110=$B37)*ISNUMBER(INDEX(Inputs!$K$5:$AJ$110,0,MATCH(AD$2,Inputs!$K$4:$AJ$4,0))))+SUMPRODUCT((Inputs!$C$5:$C$110=$B37)*ISNUMBER(INDEX(Inputs!$K$5:$AJ$110,0,MATCH(AD$2,Inputs!$K$4:$AJ$4,0))))+SUMPRODUCT((Inputs!$E$5:$E$110=$B37)*ISNUMBER(INDEX(Inputs!$K$5:$AJ$110,0,MATCH(AD$2,Inputs!$K$4:$AJ$4,0))))=0,NA(),SUMPRODUCT((Inputs!$A$5:$A$110=$B37)*Inputs!$B$5:$B$110*(((Inputs!$G$5:$G$110="moeda")+(Inputs!$G$5:$G$110="acoes"))*Inputs!$B$1+((Inputs!$G$5:$G$110&lt;&gt;"moeda")*(Inputs!$G$5:$G$110&lt;&gt;"acoes")))*INDEX(Inputs!$K$5:$AJ$110,0,MATCH(AD$2,Inputs!$K$4:$AJ$4,0)))+SUMPRODUCT((Inputs!$C$5:$C$110=$B37)*Inputs!$D$5:$D$110*(((Inputs!$G$5:$G$110="moeda")+(Inputs!$G$5:$G$110="acoes"))*Inputs!$B$1+((Inputs!$G$5:$G$110&lt;&gt;"moeda")*(Inputs!$G$5:$G$110&lt;&gt;"acoes")))*INDEX(Inputs!$K$5:$AJ$110,0,MATCH(AD$2,Inputs!$K$4:$AJ$4,0)))+SUMPRODUCT((Inputs!$E$5:$E$110=$B37)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37" s="6" t="e">
        <f>IF(ISNA(MATCH(AE$2,Inputs!$K$4:$AJ$4,0)),NA(),IF(SUMPRODUCT((Inputs!$A$5:$A$110=$B37)*ISNUMBER(INDEX(Inputs!$K$5:$AJ$110,0,MATCH(AE$2,Inputs!$K$4:$AJ$4,0))))+SUMPRODUCT((Inputs!$C$5:$C$110=$B37)*ISNUMBER(INDEX(Inputs!$K$5:$AJ$110,0,MATCH(AE$2,Inputs!$K$4:$AJ$4,0))))+SUMPRODUCT((Inputs!$E$5:$E$110=$B37)*ISNUMBER(INDEX(Inputs!$K$5:$AJ$110,0,MATCH(AE$2,Inputs!$K$4:$AJ$4,0))))=0,NA(),SUMPRODUCT((Inputs!$A$5:$A$110=$B37)*Inputs!$B$5:$B$110*(((Inputs!$G$5:$G$110="moeda")+(Inputs!$G$5:$G$110="acoes"))*Inputs!$B$1+((Inputs!$G$5:$G$110&lt;&gt;"moeda")*(Inputs!$G$5:$G$110&lt;&gt;"acoes")))*INDEX(Inputs!$K$5:$AJ$110,0,MATCH(AE$2,Inputs!$K$4:$AJ$4,0)))+SUMPRODUCT((Inputs!$C$5:$C$110=$B37)*Inputs!$D$5:$D$110*(((Inputs!$G$5:$G$110="moeda")+(Inputs!$G$5:$G$110="acoes"))*Inputs!$B$1+((Inputs!$G$5:$G$110&lt;&gt;"moeda")*(Inputs!$G$5:$G$110&lt;&gt;"acoes")))*INDEX(Inputs!$K$5:$AJ$110,0,MATCH(AE$2,Inputs!$K$4:$AJ$4,0)))+SUMPRODUCT((Inputs!$E$5:$E$110=$B37)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7" s="6" t="e">
        <f>IF(ISNA(MATCH(AF$2,Inputs!$K$4:$AJ$4,0)),NA(),IF(SUMPRODUCT((Inputs!$A$5:$A$110=$B37)*ISNUMBER(INDEX(Inputs!$K$5:$AJ$110,0,MATCH(AF$2,Inputs!$K$4:$AJ$4,0))))+SUMPRODUCT((Inputs!$C$5:$C$110=$B37)*ISNUMBER(INDEX(Inputs!$K$5:$AJ$110,0,MATCH(AF$2,Inputs!$K$4:$AJ$4,0))))+SUMPRODUCT((Inputs!$E$5:$E$110=$B37)*ISNUMBER(INDEX(Inputs!$K$5:$AJ$110,0,MATCH(AF$2,Inputs!$K$4:$AJ$4,0))))=0,NA(),SUMPRODUCT((Inputs!$A$5:$A$110=$B37)*Inputs!$B$5:$B$110*(((Inputs!$G$5:$G$110="moeda")+(Inputs!$G$5:$G$110="acoes"))*Inputs!$B$1+((Inputs!$G$5:$G$110&lt;&gt;"moeda")*(Inputs!$G$5:$G$110&lt;&gt;"acoes")))*INDEX(Inputs!$K$5:$AJ$110,0,MATCH(AF$2,Inputs!$K$4:$AJ$4,0)))+SUMPRODUCT((Inputs!$C$5:$C$110=$B37)*Inputs!$D$5:$D$110*(((Inputs!$G$5:$G$110="moeda")+(Inputs!$G$5:$G$110="acoes"))*Inputs!$B$1+((Inputs!$G$5:$G$110&lt;&gt;"moeda")*(Inputs!$G$5:$G$110&lt;&gt;"acoes")))*INDEX(Inputs!$K$5:$AJ$110,0,MATCH(AF$2,Inputs!$K$4:$AJ$4,0)))+SUMPRODUCT((Inputs!$E$5:$E$110=$B37)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7" s="3" t="e">
        <f>AF37</f>
        <v>#N/A</v>
      </c>
      <c r="AH37" s="6" t="e">
        <f>IF(ISNA(MATCH(AH$2,Inputs!$K$4:$AJ$4,0)),NA(),IF(SUMPRODUCT((Inputs!$A$5:$A$110=$B37)*ISNUMBER(INDEX(Inputs!$K$5:$AJ$110,0,MATCH(AH$2,Inputs!$K$4:$AJ$4,0))))+SUMPRODUCT((Inputs!$C$5:$C$110=$B37)*ISNUMBER(INDEX(Inputs!$K$5:$AJ$110,0,MATCH(AH$2,Inputs!$K$4:$AJ$4,0))))+SUMPRODUCT((Inputs!$E$5:$E$110=$B37)*ISNUMBER(INDEX(Inputs!$K$5:$AJ$110,0,MATCH(AH$2,Inputs!$K$4:$AJ$4,0))))=0,NA(),SUMPRODUCT((Inputs!$A$5:$A$110=$B37)*Inputs!$B$5:$B$110*(((Inputs!$G$5:$G$110="moeda")+(Inputs!$G$5:$G$110="acoes"))*Inputs!$B$1+((Inputs!$G$5:$G$110&lt;&gt;"moeda")*(Inputs!$G$5:$G$110&lt;&gt;"acoes")))*INDEX(Inputs!$K$5:$AJ$110,0,MATCH(AH$2,Inputs!$K$4:$AJ$4,0)))+SUMPRODUCT((Inputs!$C$5:$C$110=$B37)*Inputs!$D$5:$D$110*(((Inputs!$G$5:$G$110="moeda")+(Inputs!$G$5:$G$110="acoes"))*Inputs!$B$1+((Inputs!$G$5:$G$110&lt;&gt;"moeda")*(Inputs!$G$5:$G$110&lt;&gt;"acoes")))*INDEX(Inputs!$K$5:$AJ$110,0,MATCH(AH$2,Inputs!$K$4:$AJ$4,0)))+SUMPRODUCT((Inputs!$E$5:$E$110=$B37)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37" s="6" t="e">
        <f>IF(ISNA(MATCH(AI$2,Inputs!$K$4:$AJ$4,0)),NA(),IF(SUMPRODUCT((Inputs!$A$5:$A$110=$B37)*ISNUMBER(INDEX(Inputs!$K$5:$AJ$110,0,MATCH(AI$2,Inputs!$K$4:$AJ$4,0))))+SUMPRODUCT((Inputs!$C$5:$C$110=$B37)*ISNUMBER(INDEX(Inputs!$K$5:$AJ$110,0,MATCH(AI$2,Inputs!$K$4:$AJ$4,0))))+SUMPRODUCT((Inputs!$E$5:$E$110=$B37)*ISNUMBER(INDEX(Inputs!$K$5:$AJ$110,0,MATCH(AI$2,Inputs!$K$4:$AJ$4,0))))=0,NA(),SUMPRODUCT((Inputs!$A$5:$A$110=$B37)*Inputs!$B$5:$B$110*(((Inputs!$G$5:$G$110="moeda")+(Inputs!$G$5:$G$110="acoes"))*Inputs!$B$1+((Inputs!$G$5:$G$110&lt;&gt;"moeda")*(Inputs!$G$5:$G$110&lt;&gt;"acoes")))*INDEX(Inputs!$K$5:$AJ$110,0,MATCH(AI$2,Inputs!$K$4:$AJ$4,0)))+SUMPRODUCT((Inputs!$C$5:$C$110=$B37)*Inputs!$D$5:$D$110*(((Inputs!$G$5:$G$110="moeda")+(Inputs!$G$5:$G$110="acoes"))*Inputs!$B$1+((Inputs!$G$5:$G$110&lt;&gt;"moeda")*(Inputs!$G$5:$G$110&lt;&gt;"acoes")))*INDEX(Inputs!$K$5:$AJ$110,0,MATCH(AI$2,Inputs!$K$4:$AJ$4,0)))+SUMPRODUCT((Inputs!$E$5:$E$110=$B37)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37" s="6" t="e">
        <f>IF(ISNA(MATCH(AJ$2,Inputs!$K$4:$AJ$4,0)),NA(),IF(SUMPRODUCT((Inputs!$A$5:$A$110=$B37)*ISNUMBER(INDEX(Inputs!$K$5:$AJ$110,0,MATCH(AJ$2,Inputs!$K$4:$AJ$4,0))))+SUMPRODUCT((Inputs!$C$5:$C$110=$B37)*ISNUMBER(INDEX(Inputs!$K$5:$AJ$110,0,MATCH(AJ$2,Inputs!$K$4:$AJ$4,0))))+SUMPRODUCT((Inputs!$E$5:$E$110=$B37)*ISNUMBER(INDEX(Inputs!$K$5:$AJ$110,0,MATCH(AJ$2,Inputs!$K$4:$AJ$4,0))))=0,NA(),SUMPRODUCT((Inputs!$A$5:$A$110=$B37)*Inputs!$B$5:$B$110*(((Inputs!$G$5:$G$110="moeda")+(Inputs!$G$5:$G$110="acoes"))*Inputs!$B$1+((Inputs!$G$5:$G$110&lt;&gt;"moeda")*(Inputs!$G$5:$G$110&lt;&gt;"acoes")))*INDEX(Inputs!$K$5:$AJ$110,0,MATCH(AJ$2,Inputs!$K$4:$AJ$4,0)))+SUMPRODUCT((Inputs!$C$5:$C$110=$B37)*Inputs!$D$5:$D$110*(((Inputs!$G$5:$G$110="moeda")+(Inputs!$G$5:$G$110="acoes"))*Inputs!$B$1+((Inputs!$G$5:$G$110&lt;&gt;"moeda")*(Inputs!$G$5:$G$110&lt;&gt;"acoes")))*INDEX(Inputs!$K$5:$AJ$110,0,MATCH(AJ$2,Inputs!$K$4:$AJ$4,0)))+SUMPRODUCT((Inputs!$E$5:$E$110=$B37)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37" s="6" t="e">
        <f>IF(ISNA(MATCH(AK$2,Inputs!$K$4:$AJ$4,0)),NA(),IF(SUMPRODUCT((Inputs!$A$5:$A$110=$B37)*ISNUMBER(INDEX(Inputs!$K$5:$AJ$110,0,MATCH(AK$2,Inputs!$K$4:$AJ$4,0))))+SUMPRODUCT((Inputs!$C$5:$C$110=$B37)*ISNUMBER(INDEX(Inputs!$K$5:$AJ$110,0,MATCH(AK$2,Inputs!$K$4:$AJ$4,0))))+SUMPRODUCT((Inputs!$E$5:$E$110=$B37)*ISNUMBER(INDEX(Inputs!$K$5:$AJ$110,0,MATCH(AK$2,Inputs!$K$4:$AJ$4,0))))=0,NA(),SUMPRODUCT((Inputs!$A$5:$A$110=$B37)*Inputs!$B$5:$B$110*(((Inputs!$G$5:$G$110="moeda")+(Inputs!$G$5:$G$110="acoes"))*Inputs!$B$1+((Inputs!$G$5:$G$110&lt;&gt;"moeda")*(Inputs!$G$5:$G$110&lt;&gt;"acoes")))*INDEX(Inputs!$K$5:$AJ$110,0,MATCH(AK$2,Inputs!$K$4:$AJ$4,0)))+SUMPRODUCT((Inputs!$C$5:$C$110=$B37)*Inputs!$D$5:$D$110*(((Inputs!$G$5:$G$110="moeda")+(Inputs!$G$5:$G$110="acoes"))*Inputs!$B$1+((Inputs!$G$5:$G$110&lt;&gt;"moeda")*(Inputs!$G$5:$G$110&lt;&gt;"acoes")))*INDEX(Inputs!$K$5:$AJ$110,0,MATCH(AK$2,Inputs!$K$4:$AJ$4,0)))+SUMPRODUCT((Inputs!$E$5:$E$110=$B37)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37" s="3" t="e">
        <f>AK37</f>
        <v>#N/A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$110=$B38)*ISNUMBER(INDEX(Inputs!$K$5:$AJ$110,0,MATCH(D$2,Inputs!$K$4:$AJ$4,0))))+SUMPRODUCT((Inputs!$C$5:$C$110=$B38)*ISNUMBER(INDEX(Inputs!$K$5:$AJ$110,0,MATCH(D$2,Inputs!$K$4:$AJ$4,0))))+SUMPRODUCT((Inputs!$E$5:$E$110=$B38)*ISNUMBER(INDEX(Inputs!$K$5:$AJ$110,0,MATCH(D$2,Inputs!$K$4:$AJ$4,0))))=0,NA(),SUMPRODUCT((Inputs!$A$5:$A$110=$B38)*Inputs!$B$5:$B$110*(((Inputs!$G$5:$G$110="moeda")+(Inputs!$G$5:$G$110="acoes"))*Inputs!$B$1+((Inputs!$G$5:$G$110&lt;&gt;"moeda")*(Inputs!$G$5:$G$110&lt;&gt;"acoes")))*INDEX(Inputs!$K$5:$AJ$110,0,MATCH(D$2,Inputs!$K$4:$AJ$4,0)))+SUMPRODUCT((Inputs!$C$5:$C$110=$B38)*Inputs!$D$5:$D$110*(((Inputs!$G$5:$G$110="moeda")+(Inputs!$G$5:$G$110="acoes"))*Inputs!$B$1+((Inputs!$G$5:$G$110&lt;&gt;"moeda")*(Inputs!$G$5:$G$110&lt;&gt;"acoes")))*INDEX(Inputs!$K$5:$AJ$110,0,MATCH(D$2,Inputs!$K$4:$AJ$4,0)))+SUMPRODUCT((Inputs!$E$5:$E$110=$B38)*Inputs!$F$5:$F$110*(((Inputs!$G$5:$G$110="moeda")+(Inputs!$G$5:$G$110="acoes"))*Inputs!$B$1+((Inputs!$G$5:$G$110&lt;&gt;"moeda")*(Inputs!$G$5:$G$110&lt;&gt;"acoes")))*INDEX(Inputs!$K$5:$AJ$110,0,MATCH(D$2,Inputs!$K$4:$AJ$4,0)))))</f>
        <v>4406</v>
      </c>
      <c r="E38" s="6">
        <f>IF(ISNA(MATCH(E$2,Inputs!$K$4:$AJ$4,0)),NA(),IF(SUMPRODUCT((Inputs!$A$5:$A$110=$B38)*ISNUMBER(INDEX(Inputs!$K$5:$AJ$110,0,MATCH(E$2,Inputs!$K$4:$AJ$4,0))))+SUMPRODUCT((Inputs!$C$5:$C$110=$B38)*ISNUMBER(INDEX(Inputs!$K$5:$AJ$110,0,MATCH(E$2,Inputs!$K$4:$AJ$4,0))))+SUMPRODUCT((Inputs!$E$5:$E$110=$B38)*ISNUMBER(INDEX(Inputs!$K$5:$AJ$110,0,MATCH(E$2,Inputs!$K$4:$AJ$4,0))))=0,NA(),SUMPRODUCT((Inputs!$A$5:$A$110=$B38)*Inputs!$B$5:$B$110*(((Inputs!$G$5:$G$110="moeda")+(Inputs!$G$5:$G$110="acoes"))*Inputs!$B$1+((Inputs!$G$5:$G$110&lt;&gt;"moeda")*(Inputs!$G$5:$G$110&lt;&gt;"acoes")))*INDEX(Inputs!$K$5:$AJ$110,0,MATCH(E$2,Inputs!$K$4:$AJ$4,0)))+SUMPRODUCT((Inputs!$C$5:$C$110=$B38)*Inputs!$D$5:$D$110*(((Inputs!$G$5:$G$110="moeda")+(Inputs!$G$5:$G$110="acoes"))*Inputs!$B$1+((Inputs!$G$5:$G$110&lt;&gt;"moeda")*(Inputs!$G$5:$G$110&lt;&gt;"acoes")))*INDEX(Inputs!$K$5:$AJ$110,0,MATCH(E$2,Inputs!$K$4:$AJ$4,0)))+SUMPRODUCT((Inputs!$E$5:$E$110=$B38)*Inputs!$F$5:$F$110*(((Inputs!$G$5:$G$110="moeda")+(Inputs!$G$5:$G$110="acoes"))*Inputs!$B$1+((Inputs!$G$5:$G$110&lt;&gt;"moeda")*(Inputs!$G$5:$G$110&lt;&gt;"acoes")))*INDEX(Inputs!$K$5:$AJ$110,0,MATCH(E$2,Inputs!$K$4:$AJ$4,0)))))</f>
        <v>4703</v>
      </c>
      <c r="F38" s="6">
        <f>IF(ISNA(MATCH(F$2,Inputs!$K$4:$AJ$4,0)),NA(),IF(SUMPRODUCT((Inputs!$A$5:$A$110=$B38)*ISNUMBER(INDEX(Inputs!$K$5:$AJ$110,0,MATCH(F$2,Inputs!$K$4:$AJ$4,0))))+SUMPRODUCT((Inputs!$C$5:$C$110=$B38)*ISNUMBER(INDEX(Inputs!$K$5:$AJ$110,0,MATCH(F$2,Inputs!$K$4:$AJ$4,0))))+SUMPRODUCT((Inputs!$E$5:$E$110=$B38)*ISNUMBER(INDEX(Inputs!$K$5:$AJ$110,0,MATCH(F$2,Inputs!$K$4:$AJ$4,0))))=0,NA(),SUMPRODUCT((Inputs!$A$5:$A$110=$B38)*Inputs!$B$5:$B$110*(((Inputs!$G$5:$G$110="moeda")+(Inputs!$G$5:$G$110="acoes"))*Inputs!$B$1+((Inputs!$G$5:$G$110&lt;&gt;"moeda")*(Inputs!$G$5:$G$110&lt;&gt;"acoes")))*INDEX(Inputs!$K$5:$AJ$110,0,MATCH(F$2,Inputs!$K$4:$AJ$4,0)))+SUMPRODUCT((Inputs!$C$5:$C$110=$B38)*Inputs!$D$5:$D$110*(((Inputs!$G$5:$G$110="moeda")+(Inputs!$G$5:$G$110="acoes"))*Inputs!$B$1+((Inputs!$G$5:$G$110&lt;&gt;"moeda")*(Inputs!$G$5:$G$110&lt;&gt;"acoes")))*INDEX(Inputs!$K$5:$AJ$110,0,MATCH(F$2,Inputs!$K$4:$AJ$4,0)))+SUMPRODUCT((Inputs!$E$5:$E$110=$B38)*Inputs!$F$5:$F$110*(((Inputs!$G$5:$G$110="moeda")+(Inputs!$G$5:$G$110="acoes"))*Inputs!$B$1+((Inputs!$G$5:$G$110&lt;&gt;"moeda")*(Inputs!$G$5:$G$110&lt;&gt;"acoes")))*INDEX(Inputs!$K$5:$AJ$110,0,MATCH(F$2,Inputs!$K$4:$AJ$4,0)))))</f>
        <v>3551</v>
      </c>
      <c r="G38" s="6">
        <f>IF(ISNA(MATCH(G$2,Inputs!$K$4:$AJ$4,0)),NA(),IF(SUMPRODUCT((Inputs!$A$5:$A$110=$B38)*ISNUMBER(INDEX(Inputs!$K$5:$AJ$110,0,MATCH(G$2,Inputs!$K$4:$AJ$4,0))))+SUMPRODUCT((Inputs!$C$5:$C$110=$B38)*ISNUMBER(INDEX(Inputs!$K$5:$AJ$110,0,MATCH(G$2,Inputs!$K$4:$AJ$4,0))))+SUMPRODUCT((Inputs!$E$5:$E$110=$B38)*ISNUMBER(INDEX(Inputs!$K$5:$AJ$110,0,MATCH(G$2,Inputs!$K$4:$AJ$4,0))))=0,NA(),SUMPRODUCT((Inputs!$A$5:$A$110=$B38)*Inputs!$B$5:$B$110*(((Inputs!$G$5:$G$110="moeda")+(Inputs!$G$5:$G$110="acoes"))*Inputs!$B$1+((Inputs!$G$5:$G$110&lt;&gt;"moeda")*(Inputs!$G$5:$G$110&lt;&gt;"acoes")))*INDEX(Inputs!$K$5:$AJ$110,0,MATCH(G$2,Inputs!$K$4:$AJ$4,0)))+SUMPRODUCT((Inputs!$C$5:$C$110=$B38)*Inputs!$D$5:$D$110*(((Inputs!$G$5:$G$110="moeda")+(Inputs!$G$5:$G$110="acoes"))*Inputs!$B$1+((Inputs!$G$5:$G$110&lt;&gt;"moeda")*(Inputs!$G$5:$G$110&lt;&gt;"acoes")))*INDEX(Inputs!$K$5:$AJ$110,0,MATCH(G$2,Inputs!$K$4:$AJ$4,0)))+SUMPRODUCT((Inputs!$E$5:$E$110=$B38)*Inputs!$F$5:$F$110*(((Inputs!$G$5:$G$110="moeda")+(Inputs!$G$5:$G$110="acoes"))*Inputs!$B$1+((Inputs!$G$5:$G$110&lt;&gt;"moeda")*(Inputs!$G$5:$G$110&lt;&gt;"acoes")))*INDEX(Inputs!$K$5:$AJ$110,0,MATCH(G$2,Inputs!$K$4:$AJ$4,0)))))</f>
        <v>5257</v>
      </c>
      <c r="H38" s="3">
        <f>G38</f>
        <v>5257</v>
      </c>
      <c r="I38" s="6">
        <f>IF(ISNA(MATCH(I$2,Inputs!$K$4:$AJ$4,0)),NA(),IF(SUMPRODUCT((Inputs!$A$5:$A$110=$B38)*ISNUMBER(INDEX(Inputs!$K$5:$AJ$110,0,MATCH(I$2,Inputs!$K$4:$AJ$4,0))))+SUMPRODUCT((Inputs!$C$5:$C$110=$B38)*ISNUMBER(INDEX(Inputs!$K$5:$AJ$110,0,MATCH(I$2,Inputs!$K$4:$AJ$4,0))))+SUMPRODUCT((Inputs!$E$5:$E$110=$B38)*ISNUMBER(INDEX(Inputs!$K$5:$AJ$110,0,MATCH(I$2,Inputs!$K$4:$AJ$4,0))))=0,NA(),SUMPRODUCT((Inputs!$A$5:$A$110=$B38)*Inputs!$B$5:$B$110*(((Inputs!$G$5:$G$110="moeda")+(Inputs!$G$5:$G$110="acoes"))*Inputs!$B$1+((Inputs!$G$5:$G$110&lt;&gt;"moeda")*(Inputs!$G$5:$G$110&lt;&gt;"acoes")))*INDEX(Inputs!$K$5:$AJ$110,0,MATCH(I$2,Inputs!$K$4:$AJ$4,0)))+SUMPRODUCT((Inputs!$C$5:$C$110=$B38)*Inputs!$D$5:$D$110*(((Inputs!$G$5:$G$110="moeda")+(Inputs!$G$5:$G$110="acoes"))*Inputs!$B$1+((Inputs!$G$5:$G$110&lt;&gt;"moeda")*(Inputs!$G$5:$G$110&lt;&gt;"acoes")))*INDEX(Inputs!$K$5:$AJ$110,0,MATCH(I$2,Inputs!$K$4:$AJ$4,0)))+SUMPRODUCT((Inputs!$E$5:$E$110=$B38)*Inputs!$F$5:$F$110*(((Inputs!$G$5:$G$110="moeda")+(Inputs!$G$5:$G$110="acoes"))*Inputs!$B$1+((Inputs!$G$5:$G$110&lt;&gt;"moeda")*(Inputs!$G$5:$G$110&lt;&gt;"acoes")))*INDEX(Inputs!$K$5:$AJ$110,0,MATCH(I$2,Inputs!$K$4:$AJ$4,0)))))</f>
        <v>2843</v>
      </c>
      <c r="J38" s="6">
        <f>IF(ISNA(MATCH(J$2,Inputs!$K$4:$AJ$4,0)),NA(),IF(SUMPRODUCT((Inputs!$A$5:$A$110=$B38)*ISNUMBER(INDEX(Inputs!$K$5:$AJ$110,0,MATCH(J$2,Inputs!$K$4:$AJ$4,0))))+SUMPRODUCT((Inputs!$C$5:$C$110=$B38)*ISNUMBER(INDEX(Inputs!$K$5:$AJ$110,0,MATCH(J$2,Inputs!$K$4:$AJ$4,0))))+SUMPRODUCT((Inputs!$E$5:$E$110=$B38)*ISNUMBER(INDEX(Inputs!$K$5:$AJ$110,0,MATCH(J$2,Inputs!$K$4:$AJ$4,0))))=0,NA(),SUMPRODUCT((Inputs!$A$5:$A$110=$B38)*Inputs!$B$5:$B$110*(((Inputs!$G$5:$G$110="moeda")+(Inputs!$G$5:$G$110="acoes"))*Inputs!$B$1+((Inputs!$G$5:$G$110&lt;&gt;"moeda")*(Inputs!$G$5:$G$110&lt;&gt;"acoes")))*INDEX(Inputs!$K$5:$AJ$110,0,MATCH(J$2,Inputs!$K$4:$AJ$4,0)))+SUMPRODUCT((Inputs!$C$5:$C$110=$B38)*Inputs!$D$5:$D$110*(((Inputs!$G$5:$G$110="moeda")+(Inputs!$G$5:$G$110="acoes"))*Inputs!$B$1+((Inputs!$G$5:$G$110&lt;&gt;"moeda")*(Inputs!$G$5:$G$110&lt;&gt;"acoes")))*INDEX(Inputs!$K$5:$AJ$110,0,MATCH(J$2,Inputs!$K$4:$AJ$4,0)))+SUMPRODUCT((Inputs!$E$5:$E$110=$B38)*Inputs!$F$5:$F$110*(((Inputs!$G$5:$G$110="moeda")+(Inputs!$G$5:$G$110="acoes"))*Inputs!$B$1+((Inputs!$G$5:$G$110&lt;&gt;"moeda")*(Inputs!$G$5:$G$110&lt;&gt;"acoes")))*INDEX(Inputs!$K$5:$AJ$110,0,MATCH(J$2,Inputs!$K$4:$AJ$4,0)))))</f>
        <v>924</v>
      </c>
      <c r="K38" s="6">
        <f>IF(ISNA(MATCH(K$2,Inputs!$K$4:$AJ$4,0)),NA(),IF(SUMPRODUCT((Inputs!$A$5:$A$110=$B38)*ISNUMBER(INDEX(Inputs!$K$5:$AJ$110,0,MATCH(K$2,Inputs!$K$4:$AJ$4,0))))+SUMPRODUCT((Inputs!$C$5:$C$110=$B38)*ISNUMBER(INDEX(Inputs!$K$5:$AJ$110,0,MATCH(K$2,Inputs!$K$4:$AJ$4,0))))+SUMPRODUCT((Inputs!$E$5:$E$110=$B38)*ISNUMBER(INDEX(Inputs!$K$5:$AJ$110,0,MATCH(K$2,Inputs!$K$4:$AJ$4,0))))=0,NA(),SUMPRODUCT((Inputs!$A$5:$A$110=$B38)*Inputs!$B$5:$B$110*(((Inputs!$G$5:$G$110="moeda")+(Inputs!$G$5:$G$110="acoes"))*Inputs!$B$1+((Inputs!$G$5:$G$110&lt;&gt;"moeda")*(Inputs!$G$5:$G$110&lt;&gt;"acoes")))*INDEX(Inputs!$K$5:$AJ$110,0,MATCH(K$2,Inputs!$K$4:$AJ$4,0)))+SUMPRODUCT((Inputs!$C$5:$C$110=$B38)*Inputs!$D$5:$D$110*(((Inputs!$G$5:$G$110="moeda")+(Inputs!$G$5:$G$110="acoes"))*Inputs!$B$1+((Inputs!$G$5:$G$110&lt;&gt;"moeda")*(Inputs!$G$5:$G$110&lt;&gt;"acoes")))*INDEX(Inputs!$K$5:$AJ$110,0,MATCH(K$2,Inputs!$K$4:$AJ$4,0)))+SUMPRODUCT((Inputs!$E$5:$E$110=$B38)*Inputs!$F$5:$F$110*(((Inputs!$G$5:$G$110="moeda")+(Inputs!$G$5:$G$110="acoes"))*Inputs!$B$1+((Inputs!$G$5:$G$110&lt;&gt;"moeda")*(Inputs!$G$5:$G$110&lt;&gt;"acoes")))*INDEX(Inputs!$K$5:$AJ$110,0,MATCH(K$2,Inputs!$K$4:$AJ$4,0)))))</f>
        <v>476</v>
      </c>
      <c r="L38" s="6">
        <f>IF(ISNA(MATCH(L$2,Inputs!$K$4:$AJ$4,0)),NA(),IF(SUMPRODUCT((Inputs!$A$5:$A$110=$B38)*ISNUMBER(INDEX(Inputs!$K$5:$AJ$110,0,MATCH(L$2,Inputs!$K$4:$AJ$4,0))))+SUMPRODUCT((Inputs!$C$5:$C$110=$B38)*ISNUMBER(INDEX(Inputs!$K$5:$AJ$110,0,MATCH(L$2,Inputs!$K$4:$AJ$4,0))))+SUMPRODUCT((Inputs!$E$5:$E$110=$B38)*ISNUMBER(INDEX(Inputs!$K$5:$AJ$110,0,MATCH(L$2,Inputs!$K$4:$AJ$4,0))))=0,NA(),SUMPRODUCT((Inputs!$A$5:$A$110=$B38)*Inputs!$B$5:$B$110*(((Inputs!$G$5:$G$110="moeda")+(Inputs!$G$5:$G$110="acoes"))*Inputs!$B$1+((Inputs!$G$5:$G$110&lt;&gt;"moeda")*(Inputs!$G$5:$G$110&lt;&gt;"acoes")))*INDEX(Inputs!$K$5:$AJ$110,0,MATCH(L$2,Inputs!$K$4:$AJ$4,0)))+SUMPRODUCT((Inputs!$C$5:$C$110=$B38)*Inputs!$D$5:$D$110*(((Inputs!$G$5:$G$110="moeda")+(Inputs!$G$5:$G$110="acoes"))*Inputs!$B$1+((Inputs!$G$5:$G$110&lt;&gt;"moeda")*(Inputs!$G$5:$G$110&lt;&gt;"acoes")))*INDEX(Inputs!$K$5:$AJ$110,0,MATCH(L$2,Inputs!$K$4:$AJ$4,0)))+SUMPRODUCT((Inputs!$E$5:$E$110=$B38)*Inputs!$F$5:$F$110*(((Inputs!$G$5:$G$110="moeda")+(Inputs!$G$5:$G$110="acoes"))*Inputs!$B$1+((Inputs!$G$5:$G$110&lt;&gt;"moeda")*(Inputs!$G$5:$G$110&lt;&gt;"acoes")))*INDEX(Inputs!$K$5:$AJ$110,0,MATCH(L$2,Inputs!$K$4:$AJ$4,0)))))</f>
        <v>514</v>
      </c>
      <c r="M38" s="3">
        <f>L38</f>
        <v>514</v>
      </c>
      <c r="N38" s="6">
        <f>IF(ISNA(MATCH(N$2,Inputs!$K$4:$AJ$4,0)),NA(),IF(SUMPRODUCT((Inputs!$A$5:$A$110=$B38)*ISNUMBER(INDEX(Inputs!$K$5:$AJ$110,0,MATCH(N$2,Inputs!$K$4:$AJ$4,0))))+SUMPRODUCT((Inputs!$C$5:$C$110=$B38)*ISNUMBER(INDEX(Inputs!$K$5:$AJ$110,0,MATCH(N$2,Inputs!$K$4:$AJ$4,0))))+SUMPRODUCT((Inputs!$E$5:$E$110=$B38)*ISNUMBER(INDEX(Inputs!$K$5:$AJ$110,0,MATCH(N$2,Inputs!$K$4:$AJ$4,0))))=0,NA(),SUMPRODUCT((Inputs!$A$5:$A$110=$B38)*Inputs!$B$5:$B$110*(((Inputs!$G$5:$G$110="moeda")+(Inputs!$G$5:$G$110="acoes"))*Inputs!$B$1+((Inputs!$G$5:$G$110&lt;&gt;"moeda")*(Inputs!$G$5:$G$110&lt;&gt;"acoes")))*INDEX(Inputs!$K$5:$AJ$110,0,MATCH(N$2,Inputs!$K$4:$AJ$4,0)))+SUMPRODUCT((Inputs!$C$5:$C$110=$B38)*Inputs!$D$5:$D$110*(((Inputs!$G$5:$G$110="moeda")+(Inputs!$G$5:$G$110="acoes"))*Inputs!$B$1+((Inputs!$G$5:$G$110&lt;&gt;"moeda")*(Inputs!$G$5:$G$110&lt;&gt;"acoes")))*INDEX(Inputs!$K$5:$AJ$110,0,MATCH(N$2,Inputs!$K$4:$AJ$4,0)))+SUMPRODUCT((Inputs!$E$5:$E$110=$B38)*Inputs!$F$5:$F$110*(((Inputs!$G$5:$G$110="moeda")+(Inputs!$G$5:$G$110="acoes"))*Inputs!$B$1+((Inputs!$G$5:$G$110&lt;&gt;"moeda")*(Inputs!$G$5:$G$110&lt;&gt;"acoes")))*INDEX(Inputs!$K$5:$AJ$110,0,MATCH(N$2,Inputs!$K$4:$AJ$4,0)))))</f>
        <v>542</v>
      </c>
      <c r="O38" s="6">
        <f>IF(ISNA(MATCH(O$2,Inputs!$K$4:$AJ$4,0)),NA(),IF(SUMPRODUCT((Inputs!$A$5:$A$110=$B38)*ISNUMBER(INDEX(Inputs!$K$5:$AJ$110,0,MATCH(O$2,Inputs!$K$4:$AJ$4,0))))+SUMPRODUCT((Inputs!$C$5:$C$110=$B38)*ISNUMBER(INDEX(Inputs!$K$5:$AJ$110,0,MATCH(O$2,Inputs!$K$4:$AJ$4,0))))+SUMPRODUCT((Inputs!$E$5:$E$110=$B38)*ISNUMBER(INDEX(Inputs!$K$5:$AJ$110,0,MATCH(O$2,Inputs!$K$4:$AJ$4,0))))=0,NA(),SUMPRODUCT((Inputs!$A$5:$A$110=$B38)*Inputs!$B$5:$B$110*(((Inputs!$G$5:$G$110="moeda")+(Inputs!$G$5:$G$110="acoes"))*Inputs!$B$1+((Inputs!$G$5:$G$110&lt;&gt;"moeda")*(Inputs!$G$5:$G$110&lt;&gt;"acoes")))*INDEX(Inputs!$K$5:$AJ$110,0,MATCH(O$2,Inputs!$K$4:$AJ$4,0)))+SUMPRODUCT((Inputs!$C$5:$C$110=$B38)*Inputs!$D$5:$D$110*(((Inputs!$G$5:$G$110="moeda")+(Inputs!$G$5:$G$110="acoes"))*Inputs!$B$1+((Inputs!$G$5:$G$110&lt;&gt;"moeda")*(Inputs!$G$5:$G$110&lt;&gt;"acoes")))*INDEX(Inputs!$K$5:$AJ$110,0,MATCH(O$2,Inputs!$K$4:$AJ$4,0)))+SUMPRODUCT((Inputs!$E$5:$E$110=$B38)*Inputs!$F$5:$F$110*(((Inputs!$G$5:$G$110="moeda")+(Inputs!$G$5:$G$110="acoes"))*Inputs!$B$1+((Inputs!$G$5:$G$110&lt;&gt;"moeda")*(Inputs!$G$5:$G$110&lt;&gt;"acoes")))*INDEX(Inputs!$K$5:$AJ$110,0,MATCH(O$2,Inputs!$K$4:$AJ$4,0)))))</f>
        <v>558</v>
      </c>
      <c r="P38" s="6">
        <f>IF(ISNA(MATCH(P$2,Inputs!$K$4:$AJ$4,0)),NA(),IF(SUMPRODUCT((Inputs!$A$5:$A$110=$B38)*ISNUMBER(INDEX(Inputs!$K$5:$AJ$110,0,MATCH(P$2,Inputs!$K$4:$AJ$4,0))))+SUMPRODUCT((Inputs!$C$5:$C$110=$B38)*ISNUMBER(INDEX(Inputs!$K$5:$AJ$110,0,MATCH(P$2,Inputs!$K$4:$AJ$4,0))))+SUMPRODUCT((Inputs!$E$5:$E$110=$B38)*ISNUMBER(INDEX(Inputs!$K$5:$AJ$110,0,MATCH(P$2,Inputs!$K$4:$AJ$4,0))))=0,NA(),SUMPRODUCT((Inputs!$A$5:$A$110=$B38)*Inputs!$B$5:$B$110*(((Inputs!$G$5:$G$110="moeda")+(Inputs!$G$5:$G$110="acoes"))*Inputs!$B$1+((Inputs!$G$5:$G$110&lt;&gt;"moeda")*(Inputs!$G$5:$G$110&lt;&gt;"acoes")))*INDEX(Inputs!$K$5:$AJ$110,0,MATCH(P$2,Inputs!$K$4:$AJ$4,0)))+SUMPRODUCT((Inputs!$C$5:$C$110=$B38)*Inputs!$D$5:$D$110*(((Inputs!$G$5:$G$110="moeda")+(Inputs!$G$5:$G$110="acoes"))*Inputs!$B$1+((Inputs!$G$5:$G$110&lt;&gt;"moeda")*(Inputs!$G$5:$G$110&lt;&gt;"acoes")))*INDEX(Inputs!$K$5:$AJ$110,0,MATCH(P$2,Inputs!$K$4:$AJ$4,0)))+SUMPRODUCT((Inputs!$E$5:$E$110=$B38)*Inputs!$F$5:$F$110*(((Inputs!$G$5:$G$110="moeda")+(Inputs!$G$5:$G$110="acoes"))*Inputs!$B$1+((Inputs!$G$5:$G$110&lt;&gt;"moeda")*(Inputs!$G$5:$G$110&lt;&gt;"acoes")))*INDEX(Inputs!$K$5:$AJ$110,0,MATCH(P$2,Inputs!$K$4:$AJ$4,0)))))</f>
        <v>528</v>
      </c>
      <c r="Q38" s="6">
        <f>IF(ISNA(MATCH(Q$2,Inputs!$K$4:$AJ$4,0)),NA(),IF(SUMPRODUCT((Inputs!$A$5:$A$110=$B38)*ISNUMBER(INDEX(Inputs!$K$5:$AJ$110,0,MATCH(Q$2,Inputs!$K$4:$AJ$4,0))))+SUMPRODUCT((Inputs!$C$5:$C$110=$B38)*ISNUMBER(INDEX(Inputs!$K$5:$AJ$110,0,MATCH(Q$2,Inputs!$K$4:$AJ$4,0))))+SUMPRODUCT((Inputs!$E$5:$E$110=$B38)*ISNUMBER(INDEX(Inputs!$K$5:$AJ$110,0,MATCH(Q$2,Inputs!$K$4:$AJ$4,0))))=0,NA(),SUMPRODUCT((Inputs!$A$5:$A$110=$B38)*Inputs!$B$5:$B$110*(((Inputs!$G$5:$G$110="moeda")+(Inputs!$G$5:$G$110="acoes"))*Inputs!$B$1+((Inputs!$G$5:$G$110&lt;&gt;"moeda")*(Inputs!$G$5:$G$110&lt;&gt;"acoes")))*INDEX(Inputs!$K$5:$AJ$110,0,MATCH(Q$2,Inputs!$K$4:$AJ$4,0)))+SUMPRODUCT((Inputs!$C$5:$C$110=$B38)*Inputs!$D$5:$D$110*(((Inputs!$G$5:$G$110="moeda")+(Inputs!$G$5:$G$110="acoes"))*Inputs!$B$1+((Inputs!$G$5:$G$110&lt;&gt;"moeda")*(Inputs!$G$5:$G$110&lt;&gt;"acoes")))*INDEX(Inputs!$K$5:$AJ$110,0,MATCH(Q$2,Inputs!$K$4:$AJ$4,0)))+SUMPRODUCT((Inputs!$E$5:$E$110=$B38)*Inputs!$F$5:$F$110*(((Inputs!$G$5:$G$110="moeda")+(Inputs!$G$5:$G$110="acoes"))*Inputs!$B$1+((Inputs!$G$5:$G$110&lt;&gt;"moeda")*(Inputs!$G$5:$G$110&lt;&gt;"acoes")))*INDEX(Inputs!$K$5:$AJ$110,0,MATCH(Q$2,Inputs!$K$4:$AJ$4,0)))))</f>
        <v>485</v>
      </c>
      <c r="R38" s="3">
        <f>Q38</f>
        <v>485</v>
      </c>
      <c r="S38" s="6">
        <f>IF(ISNA(MATCH(S$2,Inputs!$K$4:$AJ$4,0)),NA(),IF(SUMPRODUCT((Inputs!$A$5:$A$110=$B38)*ISNUMBER(INDEX(Inputs!$K$5:$AJ$110,0,MATCH(S$2,Inputs!$K$4:$AJ$4,0))))+SUMPRODUCT((Inputs!$C$5:$C$110=$B38)*ISNUMBER(INDEX(Inputs!$K$5:$AJ$110,0,MATCH(S$2,Inputs!$K$4:$AJ$4,0))))+SUMPRODUCT((Inputs!$E$5:$E$110=$B38)*ISNUMBER(INDEX(Inputs!$K$5:$AJ$110,0,MATCH(S$2,Inputs!$K$4:$AJ$4,0))))=0,NA(),SUMPRODUCT((Inputs!$A$5:$A$110=$B38)*Inputs!$B$5:$B$110*(((Inputs!$G$5:$G$110="moeda")+(Inputs!$G$5:$G$110="acoes"))*Inputs!$B$1+((Inputs!$G$5:$G$110&lt;&gt;"moeda")*(Inputs!$G$5:$G$110&lt;&gt;"acoes")))*INDEX(Inputs!$K$5:$AJ$110,0,MATCH(S$2,Inputs!$K$4:$AJ$4,0)))+SUMPRODUCT((Inputs!$C$5:$C$110=$B38)*Inputs!$D$5:$D$110*(((Inputs!$G$5:$G$110="moeda")+(Inputs!$G$5:$G$110="acoes"))*Inputs!$B$1+((Inputs!$G$5:$G$110&lt;&gt;"moeda")*(Inputs!$G$5:$G$110&lt;&gt;"acoes")))*INDEX(Inputs!$K$5:$AJ$110,0,MATCH(S$2,Inputs!$K$4:$AJ$4,0)))+SUMPRODUCT((Inputs!$E$5:$E$110=$B38)*Inputs!$F$5:$F$110*(((Inputs!$G$5:$G$110="moeda")+(Inputs!$G$5:$G$110="acoes"))*Inputs!$B$1+((Inputs!$G$5:$G$110&lt;&gt;"moeda")*(Inputs!$G$5:$G$110&lt;&gt;"acoes")))*INDEX(Inputs!$K$5:$AJ$110,0,MATCH(S$2,Inputs!$K$4:$AJ$4,0)))))</f>
        <v>486</v>
      </c>
      <c r="T38" s="6">
        <f>IF(ISNA(MATCH(T$2,Inputs!$K$4:$AJ$4,0)),NA(),IF(SUMPRODUCT((Inputs!$A$5:$A$110=$B38)*ISNUMBER(INDEX(Inputs!$K$5:$AJ$110,0,MATCH(T$2,Inputs!$K$4:$AJ$4,0))))+SUMPRODUCT((Inputs!$C$5:$C$110=$B38)*ISNUMBER(INDEX(Inputs!$K$5:$AJ$110,0,MATCH(T$2,Inputs!$K$4:$AJ$4,0))))+SUMPRODUCT((Inputs!$E$5:$E$110=$B38)*ISNUMBER(INDEX(Inputs!$K$5:$AJ$110,0,MATCH(T$2,Inputs!$K$4:$AJ$4,0))))=0,NA(),SUMPRODUCT((Inputs!$A$5:$A$110=$B38)*Inputs!$B$5:$B$110*(((Inputs!$G$5:$G$110="moeda")+(Inputs!$G$5:$G$110="acoes"))*Inputs!$B$1+((Inputs!$G$5:$G$110&lt;&gt;"moeda")*(Inputs!$G$5:$G$110&lt;&gt;"acoes")))*INDEX(Inputs!$K$5:$AJ$110,0,MATCH(T$2,Inputs!$K$4:$AJ$4,0)))+SUMPRODUCT((Inputs!$C$5:$C$110=$B38)*Inputs!$D$5:$D$110*(((Inputs!$G$5:$G$110="moeda")+(Inputs!$G$5:$G$110="acoes"))*Inputs!$B$1+((Inputs!$G$5:$G$110&lt;&gt;"moeda")*(Inputs!$G$5:$G$110&lt;&gt;"acoes")))*INDEX(Inputs!$K$5:$AJ$110,0,MATCH(T$2,Inputs!$K$4:$AJ$4,0)))+SUMPRODUCT((Inputs!$E$5:$E$110=$B38)*Inputs!$F$5:$F$110*(((Inputs!$G$5:$G$110="moeda")+(Inputs!$G$5:$G$110="acoes"))*Inputs!$B$1+((Inputs!$G$5:$G$110&lt;&gt;"moeda")*(Inputs!$G$5:$G$110&lt;&gt;"acoes")))*INDEX(Inputs!$K$5:$AJ$110,0,MATCH(T$2,Inputs!$K$4:$AJ$4,0)))))</f>
        <v>717</v>
      </c>
      <c r="U38" s="6">
        <f>IF(ISNA(MATCH(U$2,Inputs!$K$4:$AJ$4,0)),NA(),IF(SUMPRODUCT((Inputs!$A$5:$A$110=$B38)*ISNUMBER(INDEX(Inputs!$K$5:$AJ$110,0,MATCH(U$2,Inputs!$K$4:$AJ$4,0))))+SUMPRODUCT((Inputs!$C$5:$C$110=$B38)*ISNUMBER(INDEX(Inputs!$K$5:$AJ$110,0,MATCH(U$2,Inputs!$K$4:$AJ$4,0))))+SUMPRODUCT((Inputs!$E$5:$E$110=$B38)*ISNUMBER(INDEX(Inputs!$K$5:$AJ$110,0,MATCH(U$2,Inputs!$K$4:$AJ$4,0))))=0,NA(),SUMPRODUCT((Inputs!$A$5:$A$110=$B38)*Inputs!$B$5:$B$110*(((Inputs!$G$5:$G$110="moeda")+(Inputs!$G$5:$G$110="acoes"))*Inputs!$B$1+((Inputs!$G$5:$G$110&lt;&gt;"moeda")*(Inputs!$G$5:$G$110&lt;&gt;"acoes")))*INDEX(Inputs!$K$5:$AJ$110,0,MATCH(U$2,Inputs!$K$4:$AJ$4,0)))+SUMPRODUCT((Inputs!$C$5:$C$110=$B38)*Inputs!$D$5:$D$110*(((Inputs!$G$5:$G$110="moeda")+(Inputs!$G$5:$G$110="acoes"))*Inputs!$B$1+((Inputs!$G$5:$G$110&lt;&gt;"moeda")*(Inputs!$G$5:$G$110&lt;&gt;"acoes")))*INDEX(Inputs!$K$5:$AJ$110,0,MATCH(U$2,Inputs!$K$4:$AJ$4,0)))+SUMPRODUCT((Inputs!$E$5:$E$110=$B38)*Inputs!$F$5:$F$110*(((Inputs!$G$5:$G$110="moeda")+(Inputs!$G$5:$G$110="acoes"))*Inputs!$B$1+((Inputs!$G$5:$G$110&lt;&gt;"moeda")*(Inputs!$G$5:$G$110&lt;&gt;"acoes")))*INDEX(Inputs!$K$5:$AJ$110,0,MATCH(U$2,Inputs!$K$4:$AJ$4,0)))))</f>
        <v>706</v>
      </c>
      <c r="V38" s="6">
        <f>IF(ISNA(MATCH(V$2,Inputs!$K$4:$AJ$4,0)),NA(),IF(SUMPRODUCT((Inputs!$A$5:$A$110=$B38)*ISNUMBER(INDEX(Inputs!$K$5:$AJ$110,0,MATCH(V$2,Inputs!$K$4:$AJ$4,0))))+SUMPRODUCT((Inputs!$C$5:$C$110=$B38)*ISNUMBER(INDEX(Inputs!$K$5:$AJ$110,0,MATCH(V$2,Inputs!$K$4:$AJ$4,0))))+SUMPRODUCT((Inputs!$E$5:$E$110=$B38)*ISNUMBER(INDEX(Inputs!$K$5:$AJ$110,0,MATCH(V$2,Inputs!$K$4:$AJ$4,0))))=0,NA(),SUMPRODUCT((Inputs!$A$5:$A$110=$B38)*Inputs!$B$5:$B$110*(((Inputs!$G$5:$G$110="moeda")+(Inputs!$G$5:$G$110="acoes"))*Inputs!$B$1+((Inputs!$G$5:$G$110&lt;&gt;"moeda")*(Inputs!$G$5:$G$110&lt;&gt;"acoes")))*INDEX(Inputs!$K$5:$AJ$110,0,MATCH(V$2,Inputs!$K$4:$AJ$4,0)))+SUMPRODUCT((Inputs!$C$5:$C$110=$B38)*Inputs!$D$5:$D$110*(((Inputs!$G$5:$G$110="moeda")+(Inputs!$G$5:$G$110="acoes"))*Inputs!$B$1+((Inputs!$G$5:$G$110&lt;&gt;"moeda")*(Inputs!$G$5:$G$110&lt;&gt;"acoes")))*INDEX(Inputs!$K$5:$AJ$110,0,MATCH(V$2,Inputs!$K$4:$AJ$4,0)))+SUMPRODUCT((Inputs!$E$5:$E$110=$B38)*Inputs!$F$5:$F$110*(((Inputs!$G$5:$G$110="moeda")+(Inputs!$G$5:$G$110="acoes"))*Inputs!$B$1+((Inputs!$G$5:$G$110&lt;&gt;"moeda")*(Inputs!$G$5:$G$110&lt;&gt;"acoes")))*INDEX(Inputs!$K$5:$AJ$110,0,MATCH(V$2,Inputs!$K$4:$AJ$4,0)))))</f>
        <v>0</v>
      </c>
      <c r="W38" s="3">
        <f>V38</f>
        <v>0</v>
      </c>
      <c r="X38" s="6">
        <f>IF(ISNA(MATCH(X$2,Inputs!$K$4:$AJ$4,0)),NA(),IF(SUMPRODUCT((Inputs!$A$5:$A$110=$B38)*ISNUMBER(INDEX(Inputs!$K$5:$AJ$110,0,MATCH(X$2,Inputs!$K$4:$AJ$4,0))))+SUMPRODUCT((Inputs!$C$5:$C$110=$B38)*ISNUMBER(INDEX(Inputs!$K$5:$AJ$110,0,MATCH(X$2,Inputs!$K$4:$AJ$4,0))))+SUMPRODUCT((Inputs!$E$5:$E$110=$B38)*ISNUMBER(INDEX(Inputs!$K$5:$AJ$110,0,MATCH(X$2,Inputs!$K$4:$AJ$4,0))))=0,NA(),SUMPRODUCT((Inputs!$A$5:$A$110=$B38)*Inputs!$B$5:$B$110*(((Inputs!$G$5:$G$110="moeda")+(Inputs!$G$5:$G$110="acoes"))*Inputs!$B$1+((Inputs!$G$5:$G$110&lt;&gt;"moeda")*(Inputs!$G$5:$G$110&lt;&gt;"acoes")))*INDEX(Inputs!$K$5:$AJ$110,0,MATCH(X$2,Inputs!$K$4:$AJ$4,0)))+SUMPRODUCT((Inputs!$C$5:$C$110=$B38)*Inputs!$D$5:$D$110*(((Inputs!$G$5:$G$110="moeda")+(Inputs!$G$5:$G$110="acoes"))*Inputs!$B$1+((Inputs!$G$5:$G$110&lt;&gt;"moeda")*(Inputs!$G$5:$G$110&lt;&gt;"acoes")))*INDEX(Inputs!$K$5:$AJ$110,0,MATCH(X$2,Inputs!$K$4:$AJ$4,0)))+SUMPRODUCT((Inputs!$E$5:$E$110=$B38)*Inputs!$F$5:$F$110*(((Inputs!$G$5:$G$110="moeda")+(Inputs!$G$5:$G$110="acoes"))*Inputs!$B$1+((Inputs!$G$5:$G$110&lt;&gt;"moeda")*(Inputs!$G$5:$G$110&lt;&gt;"acoes")))*INDEX(Inputs!$K$5:$AJ$110,0,MATCH(X$2,Inputs!$K$4:$AJ$4,0)))))</f>
        <v>0</v>
      </c>
      <c r="Y38" s="6">
        <f>IF(ISNA(MATCH(Y$2,Inputs!$K$4:$AJ$4,0)),NA(),IF(SUMPRODUCT((Inputs!$A$5:$A$110=$B38)*ISNUMBER(INDEX(Inputs!$K$5:$AJ$110,0,MATCH(Y$2,Inputs!$K$4:$AJ$4,0))))+SUMPRODUCT((Inputs!$C$5:$C$110=$B38)*ISNUMBER(INDEX(Inputs!$K$5:$AJ$110,0,MATCH(Y$2,Inputs!$K$4:$AJ$4,0))))+SUMPRODUCT((Inputs!$E$5:$E$110=$B38)*ISNUMBER(INDEX(Inputs!$K$5:$AJ$110,0,MATCH(Y$2,Inputs!$K$4:$AJ$4,0))))=0,NA(),SUMPRODUCT((Inputs!$A$5:$A$110=$B38)*Inputs!$B$5:$B$110*(((Inputs!$G$5:$G$110="moeda")+(Inputs!$G$5:$G$110="acoes"))*Inputs!$B$1+((Inputs!$G$5:$G$110&lt;&gt;"moeda")*(Inputs!$G$5:$G$110&lt;&gt;"acoes")))*INDEX(Inputs!$K$5:$AJ$110,0,MATCH(Y$2,Inputs!$K$4:$AJ$4,0)))+SUMPRODUCT((Inputs!$C$5:$C$110=$B38)*Inputs!$D$5:$D$110*(((Inputs!$G$5:$G$110="moeda")+(Inputs!$G$5:$G$110="acoes"))*Inputs!$B$1+((Inputs!$G$5:$G$110&lt;&gt;"moeda")*(Inputs!$G$5:$G$110&lt;&gt;"acoes")))*INDEX(Inputs!$K$5:$AJ$110,0,MATCH(Y$2,Inputs!$K$4:$AJ$4,0)))+SUMPRODUCT((Inputs!$E$5:$E$110=$B38)*Inputs!$F$5:$F$110*(((Inputs!$G$5:$G$110="moeda")+(Inputs!$G$5:$G$110="acoes"))*Inputs!$B$1+((Inputs!$G$5:$G$110&lt;&gt;"moeda")*(Inputs!$G$5:$G$110&lt;&gt;"acoes")))*INDEX(Inputs!$K$5:$AJ$110,0,MATCH(Y$2,Inputs!$K$4:$AJ$4,0)))))</f>
        <v>0</v>
      </c>
      <c r="Z38" s="6">
        <f>IF(ISNA(MATCH(Z$2,Inputs!$K$4:$AJ$4,0)),NA(),IF(SUMPRODUCT((Inputs!$A$5:$A$110=$B38)*ISNUMBER(INDEX(Inputs!$K$5:$AJ$110,0,MATCH(Z$2,Inputs!$K$4:$AJ$4,0))))+SUMPRODUCT((Inputs!$C$5:$C$110=$B38)*ISNUMBER(INDEX(Inputs!$K$5:$AJ$110,0,MATCH(Z$2,Inputs!$K$4:$AJ$4,0))))+SUMPRODUCT((Inputs!$E$5:$E$110=$B38)*ISNUMBER(INDEX(Inputs!$K$5:$AJ$110,0,MATCH(Z$2,Inputs!$K$4:$AJ$4,0))))=0,NA(),SUMPRODUCT((Inputs!$A$5:$A$110=$B38)*Inputs!$B$5:$B$110*(((Inputs!$G$5:$G$110="moeda")+(Inputs!$G$5:$G$110="acoes"))*Inputs!$B$1+((Inputs!$G$5:$G$110&lt;&gt;"moeda")*(Inputs!$G$5:$G$110&lt;&gt;"acoes")))*INDEX(Inputs!$K$5:$AJ$110,0,MATCH(Z$2,Inputs!$K$4:$AJ$4,0)))+SUMPRODUCT((Inputs!$C$5:$C$110=$B38)*Inputs!$D$5:$D$110*(((Inputs!$G$5:$G$110="moeda")+(Inputs!$G$5:$G$110="acoes"))*Inputs!$B$1+((Inputs!$G$5:$G$110&lt;&gt;"moeda")*(Inputs!$G$5:$G$110&lt;&gt;"acoes")))*INDEX(Inputs!$K$5:$AJ$110,0,MATCH(Z$2,Inputs!$K$4:$AJ$4,0)))+SUMPRODUCT((Inputs!$E$5:$E$110=$B38)*Inputs!$F$5:$F$110*(((Inputs!$G$5:$G$110="moeda")+(Inputs!$G$5:$G$110="acoes"))*Inputs!$B$1+((Inputs!$G$5:$G$110&lt;&gt;"moeda")*(Inputs!$G$5:$G$110&lt;&gt;"acoes")))*INDEX(Inputs!$K$5:$AJ$110,0,MATCH(Z$2,Inputs!$K$4:$AJ$4,0)))))</f>
        <v>0</v>
      </c>
      <c r="AA38" s="6">
        <f>IF(ISNA(MATCH(AA$2,Inputs!$K$4:$AJ$4,0)),NA(),IF(SUMPRODUCT((Inputs!$A$5:$A$110=$B38)*ISNUMBER(INDEX(Inputs!$K$5:$AJ$110,0,MATCH(AA$2,Inputs!$K$4:$AJ$4,0))))+SUMPRODUCT((Inputs!$C$5:$C$110=$B38)*ISNUMBER(INDEX(Inputs!$K$5:$AJ$110,0,MATCH(AA$2,Inputs!$K$4:$AJ$4,0))))+SUMPRODUCT((Inputs!$E$5:$E$110=$B38)*ISNUMBER(INDEX(Inputs!$K$5:$AJ$110,0,MATCH(AA$2,Inputs!$K$4:$AJ$4,0))))=0,NA(),SUMPRODUCT((Inputs!$A$5:$A$110=$B38)*Inputs!$B$5:$B$110*(((Inputs!$G$5:$G$110="moeda")+(Inputs!$G$5:$G$110="acoes"))*Inputs!$B$1+((Inputs!$G$5:$G$110&lt;&gt;"moeda")*(Inputs!$G$5:$G$110&lt;&gt;"acoes")))*INDEX(Inputs!$K$5:$AJ$110,0,MATCH(AA$2,Inputs!$K$4:$AJ$4,0)))+SUMPRODUCT((Inputs!$C$5:$C$110=$B38)*Inputs!$D$5:$D$110*(((Inputs!$G$5:$G$110="moeda")+(Inputs!$G$5:$G$110="acoes"))*Inputs!$B$1+((Inputs!$G$5:$G$110&lt;&gt;"moeda")*(Inputs!$G$5:$G$110&lt;&gt;"acoes")))*INDEX(Inputs!$K$5:$AJ$110,0,MATCH(AA$2,Inputs!$K$4:$AJ$4,0)))+SUMPRODUCT((Inputs!$E$5:$E$110=$B38)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8" s="3">
        <f>AA38</f>
        <v>0</v>
      </c>
      <c r="AC38" s="6">
        <f>IF(ISNA(MATCH(AC$2,Inputs!$K$4:$AJ$4,0)),NA(),IF(SUMPRODUCT((Inputs!$A$5:$A$110=$B38)*ISNUMBER(INDEX(Inputs!$K$5:$AJ$110,0,MATCH(AC$2,Inputs!$K$4:$AJ$4,0))))+SUMPRODUCT((Inputs!$C$5:$C$110=$B38)*ISNUMBER(INDEX(Inputs!$K$5:$AJ$110,0,MATCH(AC$2,Inputs!$K$4:$AJ$4,0))))+SUMPRODUCT((Inputs!$E$5:$E$110=$B38)*ISNUMBER(INDEX(Inputs!$K$5:$AJ$110,0,MATCH(AC$2,Inputs!$K$4:$AJ$4,0))))=0,NA(),SUMPRODUCT((Inputs!$A$5:$A$110=$B38)*Inputs!$B$5:$B$110*(((Inputs!$G$5:$G$110="moeda")+(Inputs!$G$5:$G$110="acoes"))*Inputs!$B$1+((Inputs!$G$5:$G$110&lt;&gt;"moeda")*(Inputs!$G$5:$G$110&lt;&gt;"acoes")))*INDEX(Inputs!$K$5:$AJ$110,0,MATCH(AC$2,Inputs!$K$4:$AJ$4,0)))+SUMPRODUCT((Inputs!$C$5:$C$110=$B38)*Inputs!$D$5:$D$110*(((Inputs!$G$5:$G$110="moeda")+(Inputs!$G$5:$G$110="acoes"))*Inputs!$B$1+((Inputs!$G$5:$G$110&lt;&gt;"moeda")*(Inputs!$G$5:$G$110&lt;&gt;"acoes")))*INDEX(Inputs!$K$5:$AJ$110,0,MATCH(AC$2,Inputs!$K$4:$AJ$4,0)))+SUMPRODUCT((Inputs!$E$5:$E$110=$B38)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8" s="6">
        <f>IF(ISNA(MATCH(AD$2,Inputs!$K$4:$AJ$4,0)),NA(),IF(SUMPRODUCT((Inputs!$A$5:$A$110=$B38)*ISNUMBER(INDEX(Inputs!$K$5:$AJ$110,0,MATCH(AD$2,Inputs!$K$4:$AJ$4,0))))+SUMPRODUCT((Inputs!$C$5:$C$110=$B38)*ISNUMBER(INDEX(Inputs!$K$5:$AJ$110,0,MATCH(AD$2,Inputs!$K$4:$AJ$4,0))))+SUMPRODUCT((Inputs!$E$5:$E$110=$B38)*ISNUMBER(INDEX(Inputs!$K$5:$AJ$110,0,MATCH(AD$2,Inputs!$K$4:$AJ$4,0))))=0,NA(),SUMPRODUCT((Inputs!$A$5:$A$110=$B38)*Inputs!$B$5:$B$110*(((Inputs!$G$5:$G$110="moeda")+(Inputs!$G$5:$G$110="acoes"))*Inputs!$B$1+((Inputs!$G$5:$G$110&lt;&gt;"moeda")*(Inputs!$G$5:$G$110&lt;&gt;"acoes")))*INDEX(Inputs!$K$5:$AJ$110,0,MATCH(AD$2,Inputs!$K$4:$AJ$4,0)))+SUMPRODUCT((Inputs!$C$5:$C$110=$B38)*Inputs!$D$5:$D$110*(((Inputs!$G$5:$G$110="moeda")+(Inputs!$G$5:$G$110="acoes"))*Inputs!$B$1+((Inputs!$G$5:$G$110&lt;&gt;"moeda")*(Inputs!$G$5:$G$110&lt;&gt;"acoes")))*INDEX(Inputs!$K$5:$AJ$110,0,MATCH(AD$2,Inputs!$K$4:$AJ$4,0)))+SUMPRODUCT((Inputs!$E$5:$E$110=$B38)*Inputs!$F$5:$F$110*(((Inputs!$G$5:$G$110="moeda")+(Inputs!$G$5:$G$110="acoes"))*Inputs!$B$1+((Inputs!$G$5:$G$110&lt;&gt;"moeda")*(Inputs!$G$5:$G$110&lt;&gt;"acoes")))*INDEX(Inputs!$K$5:$AJ$110,0,MATCH(AD$2,Inputs!$K$4:$AJ$4,0)))))</f>
        <v>22819</v>
      </c>
      <c r="AE38" s="6" t="e">
        <f>IF(ISNA(MATCH(AE$2,Inputs!$K$4:$AJ$4,0)),NA(),IF(SUMPRODUCT((Inputs!$A$5:$A$110=$B38)*ISNUMBER(INDEX(Inputs!$K$5:$AJ$110,0,MATCH(AE$2,Inputs!$K$4:$AJ$4,0))))+SUMPRODUCT((Inputs!$C$5:$C$110=$B38)*ISNUMBER(INDEX(Inputs!$K$5:$AJ$110,0,MATCH(AE$2,Inputs!$K$4:$AJ$4,0))))+SUMPRODUCT((Inputs!$E$5:$E$110=$B38)*ISNUMBER(INDEX(Inputs!$K$5:$AJ$110,0,MATCH(AE$2,Inputs!$K$4:$AJ$4,0))))=0,NA(),SUMPRODUCT((Inputs!$A$5:$A$110=$B38)*Inputs!$B$5:$B$110*(((Inputs!$G$5:$G$110="moeda")+(Inputs!$G$5:$G$110="acoes"))*Inputs!$B$1+((Inputs!$G$5:$G$110&lt;&gt;"moeda")*(Inputs!$G$5:$G$110&lt;&gt;"acoes")))*INDEX(Inputs!$K$5:$AJ$110,0,MATCH(AE$2,Inputs!$K$4:$AJ$4,0)))+SUMPRODUCT((Inputs!$C$5:$C$110=$B38)*Inputs!$D$5:$D$110*(((Inputs!$G$5:$G$110="moeda")+(Inputs!$G$5:$G$110="acoes"))*Inputs!$B$1+((Inputs!$G$5:$G$110&lt;&gt;"moeda")*(Inputs!$G$5:$G$110&lt;&gt;"acoes")))*INDEX(Inputs!$K$5:$AJ$110,0,MATCH(AE$2,Inputs!$K$4:$AJ$4,0)))+SUMPRODUCT((Inputs!$E$5:$E$110=$B38)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8" s="6" t="e">
        <f>IF(ISNA(MATCH(AF$2,Inputs!$K$4:$AJ$4,0)),NA(),IF(SUMPRODUCT((Inputs!$A$5:$A$110=$B38)*ISNUMBER(INDEX(Inputs!$K$5:$AJ$110,0,MATCH(AF$2,Inputs!$K$4:$AJ$4,0))))+SUMPRODUCT((Inputs!$C$5:$C$110=$B38)*ISNUMBER(INDEX(Inputs!$K$5:$AJ$110,0,MATCH(AF$2,Inputs!$K$4:$AJ$4,0))))+SUMPRODUCT((Inputs!$E$5:$E$110=$B38)*ISNUMBER(INDEX(Inputs!$K$5:$AJ$110,0,MATCH(AF$2,Inputs!$K$4:$AJ$4,0))))=0,NA(),SUMPRODUCT((Inputs!$A$5:$A$110=$B38)*Inputs!$B$5:$B$110*(((Inputs!$G$5:$G$110="moeda")+(Inputs!$G$5:$G$110="acoes"))*Inputs!$B$1+((Inputs!$G$5:$G$110&lt;&gt;"moeda")*(Inputs!$G$5:$G$110&lt;&gt;"acoes")))*INDEX(Inputs!$K$5:$AJ$110,0,MATCH(AF$2,Inputs!$K$4:$AJ$4,0)))+SUMPRODUCT((Inputs!$C$5:$C$110=$B38)*Inputs!$D$5:$D$110*(((Inputs!$G$5:$G$110="moeda")+(Inputs!$G$5:$G$110="acoes"))*Inputs!$B$1+((Inputs!$G$5:$G$110&lt;&gt;"moeda")*(Inputs!$G$5:$G$110&lt;&gt;"acoes")))*INDEX(Inputs!$K$5:$AJ$110,0,MATCH(AF$2,Inputs!$K$4:$AJ$4,0)))+SUMPRODUCT((Inputs!$E$5:$E$110=$B38)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8" s="3" t="e">
        <f>AF38</f>
        <v>#N/A</v>
      </c>
      <c r="AH38" s="6">
        <f>IF(ISNA(MATCH(AH$2,Inputs!$K$4:$AJ$4,0)),NA(),IF(SUMPRODUCT((Inputs!$A$5:$A$110=$B38)*ISNUMBER(INDEX(Inputs!$K$5:$AJ$110,0,MATCH(AH$2,Inputs!$K$4:$AJ$4,0))))+SUMPRODUCT((Inputs!$C$5:$C$110=$B38)*ISNUMBER(INDEX(Inputs!$K$5:$AJ$110,0,MATCH(AH$2,Inputs!$K$4:$AJ$4,0))))+SUMPRODUCT((Inputs!$E$5:$E$110=$B38)*ISNUMBER(INDEX(Inputs!$K$5:$AJ$110,0,MATCH(AH$2,Inputs!$K$4:$AJ$4,0))))=0,NA(),SUMPRODUCT((Inputs!$A$5:$A$110=$B38)*Inputs!$B$5:$B$110*(((Inputs!$G$5:$G$110="moeda")+(Inputs!$G$5:$G$110="acoes"))*Inputs!$B$1+((Inputs!$G$5:$G$110&lt;&gt;"moeda")*(Inputs!$G$5:$G$110&lt;&gt;"acoes")))*INDEX(Inputs!$K$5:$AJ$110,0,MATCH(AH$2,Inputs!$K$4:$AJ$4,0)))+SUMPRODUCT((Inputs!$C$5:$C$110=$B38)*Inputs!$D$5:$D$110*(((Inputs!$G$5:$G$110="moeda")+(Inputs!$G$5:$G$110="acoes"))*Inputs!$B$1+((Inputs!$G$5:$G$110&lt;&gt;"moeda")*(Inputs!$G$5:$G$110&lt;&gt;"acoes")))*INDEX(Inputs!$K$5:$AJ$110,0,MATCH(AH$2,Inputs!$K$4:$AJ$4,0)))+SUMPRODUCT((Inputs!$E$5:$E$110=$B38)*Inputs!$F$5:$F$110*(((Inputs!$G$5:$G$110="moeda")+(Inputs!$G$5:$G$110="acoes"))*Inputs!$B$1+((Inputs!$G$5:$G$110&lt;&gt;"moeda")*(Inputs!$G$5:$G$110&lt;&gt;"acoes")))*INDEX(Inputs!$K$5:$AJ$110,0,MATCH(AH$2,Inputs!$K$4:$AJ$4,0)))))</f>
        <v>2079</v>
      </c>
      <c r="AI38" s="6">
        <f>IF(ISNA(MATCH(AI$2,Inputs!$K$4:$AJ$4,0)),NA(),IF(SUMPRODUCT((Inputs!$A$5:$A$110=$B38)*ISNUMBER(INDEX(Inputs!$K$5:$AJ$110,0,MATCH(AI$2,Inputs!$K$4:$AJ$4,0))))+SUMPRODUCT((Inputs!$C$5:$C$110=$B38)*ISNUMBER(INDEX(Inputs!$K$5:$AJ$110,0,MATCH(AI$2,Inputs!$K$4:$AJ$4,0))))+SUMPRODUCT((Inputs!$E$5:$E$110=$B38)*ISNUMBER(INDEX(Inputs!$K$5:$AJ$110,0,MATCH(AI$2,Inputs!$K$4:$AJ$4,0))))=0,NA(),SUMPRODUCT((Inputs!$A$5:$A$110=$B38)*Inputs!$B$5:$B$110*(((Inputs!$G$5:$G$110="moeda")+(Inputs!$G$5:$G$110="acoes"))*Inputs!$B$1+((Inputs!$G$5:$G$110&lt;&gt;"moeda")*(Inputs!$G$5:$G$110&lt;&gt;"acoes")))*INDEX(Inputs!$K$5:$AJ$110,0,MATCH(AI$2,Inputs!$K$4:$AJ$4,0)))+SUMPRODUCT((Inputs!$C$5:$C$110=$B38)*Inputs!$D$5:$D$110*(((Inputs!$G$5:$G$110="moeda")+(Inputs!$G$5:$G$110="acoes"))*Inputs!$B$1+((Inputs!$G$5:$G$110&lt;&gt;"moeda")*(Inputs!$G$5:$G$110&lt;&gt;"acoes")))*INDEX(Inputs!$K$5:$AJ$110,0,MATCH(AI$2,Inputs!$K$4:$AJ$4,0)))+SUMPRODUCT((Inputs!$E$5:$E$110=$B38)*Inputs!$F$5:$F$110*(((Inputs!$G$5:$G$110="moeda")+(Inputs!$G$5:$G$110="acoes"))*Inputs!$B$1+((Inputs!$G$5:$G$110&lt;&gt;"moeda")*(Inputs!$G$5:$G$110&lt;&gt;"acoes")))*INDEX(Inputs!$K$5:$AJ$110,0,MATCH(AI$2,Inputs!$K$4:$AJ$4,0)))))</f>
        <v>1797</v>
      </c>
      <c r="AJ38" s="6">
        <f>IF(ISNA(MATCH(AJ$2,Inputs!$K$4:$AJ$4,0)),NA(),IF(SUMPRODUCT((Inputs!$A$5:$A$110=$B38)*ISNUMBER(INDEX(Inputs!$K$5:$AJ$110,0,MATCH(AJ$2,Inputs!$K$4:$AJ$4,0))))+SUMPRODUCT((Inputs!$C$5:$C$110=$B38)*ISNUMBER(INDEX(Inputs!$K$5:$AJ$110,0,MATCH(AJ$2,Inputs!$K$4:$AJ$4,0))))+SUMPRODUCT((Inputs!$E$5:$E$110=$B38)*ISNUMBER(INDEX(Inputs!$K$5:$AJ$110,0,MATCH(AJ$2,Inputs!$K$4:$AJ$4,0))))=0,NA(),SUMPRODUCT((Inputs!$A$5:$A$110=$B38)*Inputs!$B$5:$B$110*(((Inputs!$G$5:$G$110="moeda")+(Inputs!$G$5:$G$110="acoes"))*Inputs!$B$1+((Inputs!$G$5:$G$110&lt;&gt;"moeda")*(Inputs!$G$5:$G$110&lt;&gt;"acoes")))*INDEX(Inputs!$K$5:$AJ$110,0,MATCH(AJ$2,Inputs!$K$4:$AJ$4,0)))+SUMPRODUCT((Inputs!$C$5:$C$110=$B38)*Inputs!$D$5:$D$110*(((Inputs!$G$5:$G$110="moeda")+(Inputs!$G$5:$G$110="acoes"))*Inputs!$B$1+((Inputs!$G$5:$G$110&lt;&gt;"moeda")*(Inputs!$G$5:$G$110&lt;&gt;"acoes")))*INDEX(Inputs!$K$5:$AJ$110,0,MATCH(AJ$2,Inputs!$K$4:$AJ$4,0)))+SUMPRODUCT((Inputs!$E$5:$E$110=$B38)*Inputs!$F$5:$F$110*(((Inputs!$G$5:$G$110="moeda")+(Inputs!$G$5:$G$110="acoes"))*Inputs!$B$1+((Inputs!$G$5:$G$110&lt;&gt;"moeda")*(Inputs!$G$5:$G$110&lt;&gt;"acoes")))*INDEX(Inputs!$K$5:$AJ$110,0,MATCH(AJ$2,Inputs!$K$4:$AJ$4,0)))))</f>
        <v>1973</v>
      </c>
      <c r="AK38" s="6">
        <f>IF(ISNA(MATCH(AK$2,Inputs!$K$4:$AJ$4,0)),NA(),IF(SUMPRODUCT((Inputs!$A$5:$A$110=$B38)*ISNUMBER(INDEX(Inputs!$K$5:$AJ$110,0,MATCH(AK$2,Inputs!$K$4:$AJ$4,0))))+SUMPRODUCT((Inputs!$C$5:$C$110=$B38)*ISNUMBER(INDEX(Inputs!$K$5:$AJ$110,0,MATCH(AK$2,Inputs!$K$4:$AJ$4,0))))+SUMPRODUCT((Inputs!$E$5:$E$110=$B38)*ISNUMBER(INDEX(Inputs!$K$5:$AJ$110,0,MATCH(AK$2,Inputs!$K$4:$AJ$4,0))))=0,NA(),SUMPRODUCT((Inputs!$A$5:$A$110=$B38)*Inputs!$B$5:$B$110*(((Inputs!$G$5:$G$110="moeda")+(Inputs!$G$5:$G$110="acoes"))*Inputs!$B$1+((Inputs!$G$5:$G$110&lt;&gt;"moeda")*(Inputs!$G$5:$G$110&lt;&gt;"acoes")))*INDEX(Inputs!$K$5:$AJ$110,0,MATCH(AK$2,Inputs!$K$4:$AJ$4,0)))+SUMPRODUCT((Inputs!$C$5:$C$110=$B38)*Inputs!$D$5:$D$110*(((Inputs!$G$5:$G$110="moeda")+(Inputs!$G$5:$G$110="acoes"))*Inputs!$B$1+((Inputs!$G$5:$G$110&lt;&gt;"moeda")*(Inputs!$G$5:$G$110&lt;&gt;"acoes")))*INDEX(Inputs!$K$5:$AJ$110,0,MATCH(AK$2,Inputs!$K$4:$AJ$4,0)))+SUMPRODUCT((Inputs!$E$5:$E$110=$B38)*Inputs!$F$5:$F$110*(((Inputs!$G$5:$G$110="moeda")+(Inputs!$G$5:$G$110="acoes"))*Inputs!$B$1+((Inputs!$G$5:$G$110&lt;&gt;"moeda")*(Inputs!$G$5:$G$110&lt;&gt;"acoes")))*INDEX(Inputs!$K$5:$AJ$110,0,MATCH(AK$2,Inputs!$K$4:$AJ$4,0)))))</f>
        <v>3561</v>
      </c>
      <c r="AL38" s="3">
        <f>AK38</f>
        <v>3561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$110=$B39)*ISNUMBER(INDEX(Inputs!$K$5:$AJ$110,0,MATCH(D$2,Inputs!$K$4:$AJ$4,0))))+SUMPRODUCT((Inputs!$C$5:$C$110=$B39)*ISNUMBER(INDEX(Inputs!$K$5:$AJ$110,0,MATCH(D$2,Inputs!$K$4:$AJ$4,0))))+SUMPRODUCT((Inputs!$E$5:$E$110=$B39)*ISNUMBER(INDEX(Inputs!$K$5:$AJ$110,0,MATCH(D$2,Inputs!$K$4:$AJ$4,0))))=0,NA(),SUMPRODUCT((Inputs!$A$5:$A$110=$B39)*Inputs!$B$5:$B$110*(((Inputs!$G$5:$G$110="moeda")+(Inputs!$G$5:$G$110="acoes"))*Inputs!$B$1+((Inputs!$G$5:$G$110&lt;&gt;"moeda")*(Inputs!$G$5:$G$110&lt;&gt;"acoes")))*INDEX(Inputs!$K$5:$AJ$110,0,MATCH(D$2,Inputs!$K$4:$AJ$4,0)))+SUMPRODUCT((Inputs!$C$5:$C$110=$B39)*Inputs!$D$5:$D$110*(((Inputs!$G$5:$G$110="moeda")+(Inputs!$G$5:$G$110="acoes"))*Inputs!$B$1+((Inputs!$G$5:$G$110&lt;&gt;"moeda")*(Inputs!$G$5:$G$110&lt;&gt;"acoes")))*INDEX(Inputs!$K$5:$AJ$110,0,MATCH(D$2,Inputs!$K$4:$AJ$4,0)))+SUMPRODUCT((Inputs!$E$5:$E$110=$B39)*Inputs!$F$5:$F$110*(((Inputs!$G$5:$G$110="moeda")+(Inputs!$G$5:$G$110="acoes"))*Inputs!$B$1+((Inputs!$G$5:$G$110&lt;&gt;"moeda")*(Inputs!$G$5:$G$110&lt;&gt;"acoes")))*INDEX(Inputs!$K$5:$AJ$110,0,MATCH(D$2,Inputs!$K$4:$AJ$4,0)))))</f>
        <v>11954</v>
      </c>
      <c r="E39" s="6">
        <f>IF(ISNA(MATCH(E$2,Inputs!$K$4:$AJ$4,0)),NA(),IF(SUMPRODUCT((Inputs!$A$5:$A$110=$B39)*ISNUMBER(INDEX(Inputs!$K$5:$AJ$110,0,MATCH(E$2,Inputs!$K$4:$AJ$4,0))))+SUMPRODUCT((Inputs!$C$5:$C$110=$B39)*ISNUMBER(INDEX(Inputs!$K$5:$AJ$110,0,MATCH(E$2,Inputs!$K$4:$AJ$4,0))))+SUMPRODUCT((Inputs!$E$5:$E$110=$B39)*ISNUMBER(INDEX(Inputs!$K$5:$AJ$110,0,MATCH(E$2,Inputs!$K$4:$AJ$4,0))))=0,NA(),SUMPRODUCT((Inputs!$A$5:$A$110=$B39)*Inputs!$B$5:$B$110*(((Inputs!$G$5:$G$110="moeda")+(Inputs!$G$5:$G$110="acoes"))*Inputs!$B$1+((Inputs!$G$5:$G$110&lt;&gt;"moeda")*(Inputs!$G$5:$G$110&lt;&gt;"acoes")))*INDEX(Inputs!$K$5:$AJ$110,0,MATCH(E$2,Inputs!$K$4:$AJ$4,0)))+SUMPRODUCT((Inputs!$C$5:$C$110=$B39)*Inputs!$D$5:$D$110*(((Inputs!$G$5:$G$110="moeda")+(Inputs!$G$5:$G$110="acoes"))*Inputs!$B$1+((Inputs!$G$5:$G$110&lt;&gt;"moeda")*(Inputs!$G$5:$G$110&lt;&gt;"acoes")))*INDEX(Inputs!$K$5:$AJ$110,0,MATCH(E$2,Inputs!$K$4:$AJ$4,0)))+SUMPRODUCT((Inputs!$E$5:$E$110=$B39)*Inputs!$F$5:$F$110*(((Inputs!$G$5:$G$110="moeda")+(Inputs!$G$5:$G$110="acoes"))*Inputs!$B$1+((Inputs!$G$5:$G$110&lt;&gt;"moeda")*(Inputs!$G$5:$G$110&lt;&gt;"acoes")))*INDEX(Inputs!$K$5:$AJ$110,0,MATCH(E$2,Inputs!$K$4:$AJ$4,0)))))</f>
        <v>11431</v>
      </c>
      <c r="F39" s="6">
        <f>IF(ISNA(MATCH(F$2,Inputs!$K$4:$AJ$4,0)),NA(),IF(SUMPRODUCT((Inputs!$A$5:$A$110=$B39)*ISNUMBER(INDEX(Inputs!$K$5:$AJ$110,0,MATCH(F$2,Inputs!$K$4:$AJ$4,0))))+SUMPRODUCT((Inputs!$C$5:$C$110=$B39)*ISNUMBER(INDEX(Inputs!$K$5:$AJ$110,0,MATCH(F$2,Inputs!$K$4:$AJ$4,0))))+SUMPRODUCT((Inputs!$E$5:$E$110=$B39)*ISNUMBER(INDEX(Inputs!$K$5:$AJ$110,0,MATCH(F$2,Inputs!$K$4:$AJ$4,0))))=0,NA(),SUMPRODUCT((Inputs!$A$5:$A$110=$B39)*Inputs!$B$5:$B$110*(((Inputs!$G$5:$G$110="moeda")+(Inputs!$G$5:$G$110="acoes"))*Inputs!$B$1+((Inputs!$G$5:$G$110&lt;&gt;"moeda")*(Inputs!$G$5:$G$110&lt;&gt;"acoes")))*INDEX(Inputs!$K$5:$AJ$110,0,MATCH(F$2,Inputs!$K$4:$AJ$4,0)))+SUMPRODUCT((Inputs!$C$5:$C$110=$B39)*Inputs!$D$5:$D$110*(((Inputs!$G$5:$G$110="moeda")+(Inputs!$G$5:$G$110="acoes"))*Inputs!$B$1+((Inputs!$G$5:$G$110&lt;&gt;"moeda")*(Inputs!$G$5:$G$110&lt;&gt;"acoes")))*INDEX(Inputs!$K$5:$AJ$110,0,MATCH(F$2,Inputs!$K$4:$AJ$4,0)))+SUMPRODUCT((Inputs!$E$5:$E$110=$B39)*Inputs!$F$5:$F$110*(((Inputs!$G$5:$G$110="moeda")+(Inputs!$G$5:$G$110="acoes"))*Inputs!$B$1+((Inputs!$G$5:$G$110&lt;&gt;"moeda")*(Inputs!$G$5:$G$110&lt;&gt;"acoes")))*INDEX(Inputs!$K$5:$AJ$110,0,MATCH(F$2,Inputs!$K$4:$AJ$4,0)))))</f>
        <v>11744</v>
      </c>
      <c r="G39" s="6">
        <f>IF(ISNA(MATCH(G$2,Inputs!$K$4:$AJ$4,0)),NA(),IF(SUMPRODUCT((Inputs!$A$5:$A$110=$B39)*ISNUMBER(INDEX(Inputs!$K$5:$AJ$110,0,MATCH(G$2,Inputs!$K$4:$AJ$4,0))))+SUMPRODUCT((Inputs!$C$5:$C$110=$B39)*ISNUMBER(INDEX(Inputs!$K$5:$AJ$110,0,MATCH(G$2,Inputs!$K$4:$AJ$4,0))))+SUMPRODUCT((Inputs!$E$5:$E$110=$B39)*ISNUMBER(INDEX(Inputs!$K$5:$AJ$110,0,MATCH(G$2,Inputs!$K$4:$AJ$4,0))))=0,NA(),SUMPRODUCT((Inputs!$A$5:$A$110=$B39)*Inputs!$B$5:$B$110*(((Inputs!$G$5:$G$110="moeda")+(Inputs!$G$5:$G$110="acoes"))*Inputs!$B$1+((Inputs!$G$5:$G$110&lt;&gt;"moeda")*(Inputs!$G$5:$G$110&lt;&gt;"acoes")))*INDEX(Inputs!$K$5:$AJ$110,0,MATCH(G$2,Inputs!$K$4:$AJ$4,0)))+SUMPRODUCT((Inputs!$C$5:$C$110=$B39)*Inputs!$D$5:$D$110*(((Inputs!$G$5:$G$110="moeda")+(Inputs!$G$5:$G$110="acoes"))*Inputs!$B$1+((Inputs!$G$5:$G$110&lt;&gt;"moeda")*(Inputs!$G$5:$G$110&lt;&gt;"acoes")))*INDEX(Inputs!$K$5:$AJ$110,0,MATCH(G$2,Inputs!$K$4:$AJ$4,0)))+SUMPRODUCT((Inputs!$E$5:$E$110=$B39)*Inputs!$F$5:$F$110*(((Inputs!$G$5:$G$110="moeda")+(Inputs!$G$5:$G$110="acoes"))*Inputs!$B$1+((Inputs!$G$5:$G$110&lt;&gt;"moeda")*(Inputs!$G$5:$G$110&lt;&gt;"acoes")))*INDEX(Inputs!$K$5:$AJ$110,0,MATCH(G$2,Inputs!$K$4:$AJ$4,0)))))</f>
        <v>11916</v>
      </c>
      <c r="H39" s="3">
        <f>G39</f>
        <v>11916</v>
      </c>
      <c r="I39" s="6">
        <f>IF(ISNA(MATCH(I$2,Inputs!$K$4:$AJ$4,0)),NA(),IF(SUMPRODUCT((Inputs!$A$5:$A$110=$B39)*ISNUMBER(INDEX(Inputs!$K$5:$AJ$110,0,MATCH(I$2,Inputs!$K$4:$AJ$4,0))))+SUMPRODUCT((Inputs!$C$5:$C$110=$B39)*ISNUMBER(INDEX(Inputs!$K$5:$AJ$110,0,MATCH(I$2,Inputs!$K$4:$AJ$4,0))))+SUMPRODUCT((Inputs!$E$5:$E$110=$B39)*ISNUMBER(INDEX(Inputs!$K$5:$AJ$110,0,MATCH(I$2,Inputs!$K$4:$AJ$4,0))))=0,NA(),SUMPRODUCT((Inputs!$A$5:$A$110=$B39)*Inputs!$B$5:$B$110*(((Inputs!$G$5:$G$110="moeda")+(Inputs!$G$5:$G$110="acoes"))*Inputs!$B$1+((Inputs!$G$5:$G$110&lt;&gt;"moeda")*(Inputs!$G$5:$G$110&lt;&gt;"acoes")))*INDEX(Inputs!$K$5:$AJ$110,0,MATCH(I$2,Inputs!$K$4:$AJ$4,0)))+SUMPRODUCT((Inputs!$C$5:$C$110=$B39)*Inputs!$D$5:$D$110*(((Inputs!$G$5:$G$110="moeda")+(Inputs!$G$5:$G$110="acoes"))*Inputs!$B$1+((Inputs!$G$5:$G$110&lt;&gt;"moeda")*(Inputs!$G$5:$G$110&lt;&gt;"acoes")))*INDEX(Inputs!$K$5:$AJ$110,0,MATCH(I$2,Inputs!$K$4:$AJ$4,0)))+SUMPRODUCT((Inputs!$E$5:$E$110=$B39)*Inputs!$F$5:$F$110*(((Inputs!$G$5:$G$110="moeda")+(Inputs!$G$5:$G$110="acoes"))*Inputs!$B$1+((Inputs!$G$5:$G$110&lt;&gt;"moeda")*(Inputs!$G$5:$G$110&lt;&gt;"acoes")))*INDEX(Inputs!$K$5:$AJ$110,0,MATCH(I$2,Inputs!$K$4:$AJ$4,0)))))</f>
        <v>12147</v>
      </c>
      <c r="J39" s="6">
        <f>IF(ISNA(MATCH(J$2,Inputs!$K$4:$AJ$4,0)),NA(),IF(SUMPRODUCT((Inputs!$A$5:$A$110=$B39)*ISNUMBER(INDEX(Inputs!$K$5:$AJ$110,0,MATCH(J$2,Inputs!$K$4:$AJ$4,0))))+SUMPRODUCT((Inputs!$C$5:$C$110=$B39)*ISNUMBER(INDEX(Inputs!$K$5:$AJ$110,0,MATCH(J$2,Inputs!$K$4:$AJ$4,0))))+SUMPRODUCT((Inputs!$E$5:$E$110=$B39)*ISNUMBER(INDEX(Inputs!$K$5:$AJ$110,0,MATCH(J$2,Inputs!$K$4:$AJ$4,0))))=0,NA(),SUMPRODUCT((Inputs!$A$5:$A$110=$B39)*Inputs!$B$5:$B$110*(((Inputs!$G$5:$G$110="moeda")+(Inputs!$G$5:$G$110="acoes"))*Inputs!$B$1+((Inputs!$G$5:$G$110&lt;&gt;"moeda")*(Inputs!$G$5:$G$110&lt;&gt;"acoes")))*INDEX(Inputs!$K$5:$AJ$110,0,MATCH(J$2,Inputs!$K$4:$AJ$4,0)))+SUMPRODUCT((Inputs!$C$5:$C$110=$B39)*Inputs!$D$5:$D$110*(((Inputs!$G$5:$G$110="moeda")+(Inputs!$G$5:$G$110="acoes"))*Inputs!$B$1+((Inputs!$G$5:$G$110&lt;&gt;"moeda")*(Inputs!$G$5:$G$110&lt;&gt;"acoes")))*INDEX(Inputs!$K$5:$AJ$110,0,MATCH(J$2,Inputs!$K$4:$AJ$4,0)))+SUMPRODUCT((Inputs!$E$5:$E$110=$B39)*Inputs!$F$5:$F$110*(((Inputs!$G$5:$G$110="moeda")+(Inputs!$G$5:$G$110="acoes"))*Inputs!$B$1+((Inputs!$G$5:$G$110&lt;&gt;"moeda")*(Inputs!$G$5:$G$110&lt;&gt;"acoes")))*INDEX(Inputs!$K$5:$AJ$110,0,MATCH(J$2,Inputs!$K$4:$AJ$4,0)))))</f>
        <v>11057</v>
      </c>
      <c r="K39" s="6">
        <f>IF(ISNA(MATCH(K$2,Inputs!$K$4:$AJ$4,0)),NA(),IF(SUMPRODUCT((Inputs!$A$5:$A$110=$B39)*ISNUMBER(INDEX(Inputs!$K$5:$AJ$110,0,MATCH(K$2,Inputs!$K$4:$AJ$4,0))))+SUMPRODUCT((Inputs!$C$5:$C$110=$B39)*ISNUMBER(INDEX(Inputs!$K$5:$AJ$110,0,MATCH(K$2,Inputs!$K$4:$AJ$4,0))))+SUMPRODUCT((Inputs!$E$5:$E$110=$B39)*ISNUMBER(INDEX(Inputs!$K$5:$AJ$110,0,MATCH(K$2,Inputs!$K$4:$AJ$4,0))))=0,NA(),SUMPRODUCT((Inputs!$A$5:$A$110=$B39)*Inputs!$B$5:$B$110*(((Inputs!$G$5:$G$110="moeda")+(Inputs!$G$5:$G$110="acoes"))*Inputs!$B$1+((Inputs!$G$5:$G$110&lt;&gt;"moeda")*(Inputs!$G$5:$G$110&lt;&gt;"acoes")))*INDEX(Inputs!$K$5:$AJ$110,0,MATCH(K$2,Inputs!$K$4:$AJ$4,0)))+SUMPRODUCT((Inputs!$C$5:$C$110=$B39)*Inputs!$D$5:$D$110*(((Inputs!$G$5:$G$110="moeda")+(Inputs!$G$5:$G$110="acoes"))*Inputs!$B$1+((Inputs!$G$5:$G$110&lt;&gt;"moeda")*(Inputs!$G$5:$G$110&lt;&gt;"acoes")))*INDEX(Inputs!$K$5:$AJ$110,0,MATCH(K$2,Inputs!$K$4:$AJ$4,0)))+SUMPRODUCT((Inputs!$E$5:$E$110=$B39)*Inputs!$F$5:$F$110*(((Inputs!$G$5:$G$110="moeda")+(Inputs!$G$5:$G$110="acoes"))*Inputs!$B$1+((Inputs!$G$5:$G$110&lt;&gt;"moeda")*(Inputs!$G$5:$G$110&lt;&gt;"acoes")))*INDEX(Inputs!$K$5:$AJ$110,0,MATCH(K$2,Inputs!$K$4:$AJ$4,0)))))</f>
        <v>11537</v>
      </c>
      <c r="L39" s="6">
        <f>IF(ISNA(MATCH(L$2,Inputs!$K$4:$AJ$4,0)),NA(),IF(SUMPRODUCT((Inputs!$A$5:$A$110=$B39)*ISNUMBER(INDEX(Inputs!$K$5:$AJ$110,0,MATCH(L$2,Inputs!$K$4:$AJ$4,0))))+SUMPRODUCT((Inputs!$C$5:$C$110=$B39)*ISNUMBER(INDEX(Inputs!$K$5:$AJ$110,0,MATCH(L$2,Inputs!$K$4:$AJ$4,0))))+SUMPRODUCT((Inputs!$E$5:$E$110=$B39)*ISNUMBER(INDEX(Inputs!$K$5:$AJ$110,0,MATCH(L$2,Inputs!$K$4:$AJ$4,0))))=0,NA(),SUMPRODUCT((Inputs!$A$5:$A$110=$B39)*Inputs!$B$5:$B$110*(((Inputs!$G$5:$G$110="moeda")+(Inputs!$G$5:$G$110="acoes"))*Inputs!$B$1+((Inputs!$G$5:$G$110&lt;&gt;"moeda")*(Inputs!$G$5:$G$110&lt;&gt;"acoes")))*INDEX(Inputs!$K$5:$AJ$110,0,MATCH(L$2,Inputs!$K$4:$AJ$4,0)))+SUMPRODUCT((Inputs!$C$5:$C$110=$B39)*Inputs!$D$5:$D$110*(((Inputs!$G$5:$G$110="moeda")+(Inputs!$G$5:$G$110="acoes"))*Inputs!$B$1+((Inputs!$G$5:$G$110&lt;&gt;"moeda")*(Inputs!$G$5:$G$110&lt;&gt;"acoes")))*INDEX(Inputs!$K$5:$AJ$110,0,MATCH(L$2,Inputs!$K$4:$AJ$4,0)))+SUMPRODUCT((Inputs!$E$5:$E$110=$B39)*Inputs!$F$5:$F$110*(((Inputs!$G$5:$G$110="moeda")+(Inputs!$G$5:$G$110="acoes"))*Inputs!$B$1+((Inputs!$G$5:$G$110&lt;&gt;"moeda")*(Inputs!$G$5:$G$110&lt;&gt;"acoes")))*INDEX(Inputs!$K$5:$AJ$110,0,MATCH(L$2,Inputs!$K$4:$AJ$4,0)))))</f>
        <v>12104</v>
      </c>
      <c r="M39" s="3">
        <f>L39</f>
        <v>12104</v>
      </c>
      <c r="N39" s="6">
        <f>IF(ISNA(MATCH(N$2,Inputs!$K$4:$AJ$4,0)),NA(),IF(SUMPRODUCT((Inputs!$A$5:$A$110=$B39)*ISNUMBER(INDEX(Inputs!$K$5:$AJ$110,0,MATCH(N$2,Inputs!$K$4:$AJ$4,0))))+SUMPRODUCT((Inputs!$C$5:$C$110=$B39)*ISNUMBER(INDEX(Inputs!$K$5:$AJ$110,0,MATCH(N$2,Inputs!$K$4:$AJ$4,0))))+SUMPRODUCT((Inputs!$E$5:$E$110=$B39)*ISNUMBER(INDEX(Inputs!$K$5:$AJ$110,0,MATCH(N$2,Inputs!$K$4:$AJ$4,0))))=0,NA(),SUMPRODUCT((Inputs!$A$5:$A$110=$B39)*Inputs!$B$5:$B$110*(((Inputs!$G$5:$G$110="moeda")+(Inputs!$G$5:$G$110="acoes"))*Inputs!$B$1+((Inputs!$G$5:$G$110&lt;&gt;"moeda")*(Inputs!$G$5:$G$110&lt;&gt;"acoes")))*INDEX(Inputs!$K$5:$AJ$110,0,MATCH(N$2,Inputs!$K$4:$AJ$4,0)))+SUMPRODUCT((Inputs!$C$5:$C$110=$B39)*Inputs!$D$5:$D$110*(((Inputs!$G$5:$G$110="moeda")+(Inputs!$G$5:$G$110="acoes"))*Inputs!$B$1+((Inputs!$G$5:$G$110&lt;&gt;"moeda")*(Inputs!$G$5:$G$110&lt;&gt;"acoes")))*INDEX(Inputs!$K$5:$AJ$110,0,MATCH(N$2,Inputs!$K$4:$AJ$4,0)))+SUMPRODUCT((Inputs!$E$5:$E$110=$B39)*Inputs!$F$5:$F$110*(((Inputs!$G$5:$G$110="moeda")+(Inputs!$G$5:$G$110="acoes"))*Inputs!$B$1+((Inputs!$G$5:$G$110&lt;&gt;"moeda")*(Inputs!$G$5:$G$110&lt;&gt;"acoes")))*INDEX(Inputs!$K$5:$AJ$110,0,MATCH(N$2,Inputs!$K$4:$AJ$4,0)))))</f>
        <v>12705</v>
      </c>
      <c r="O39" s="6">
        <f>IF(ISNA(MATCH(O$2,Inputs!$K$4:$AJ$4,0)),NA(),IF(SUMPRODUCT((Inputs!$A$5:$A$110=$B39)*ISNUMBER(INDEX(Inputs!$K$5:$AJ$110,0,MATCH(O$2,Inputs!$K$4:$AJ$4,0))))+SUMPRODUCT((Inputs!$C$5:$C$110=$B39)*ISNUMBER(INDEX(Inputs!$K$5:$AJ$110,0,MATCH(O$2,Inputs!$K$4:$AJ$4,0))))+SUMPRODUCT((Inputs!$E$5:$E$110=$B39)*ISNUMBER(INDEX(Inputs!$K$5:$AJ$110,0,MATCH(O$2,Inputs!$K$4:$AJ$4,0))))=0,NA(),SUMPRODUCT((Inputs!$A$5:$A$110=$B39)*Inputs!$B$5:$B$110*(((Inputs!$G$5:$G$110="moeda")+(Inputs!$G$5:$G$110="acoes"))*Inputs!$B$1+((Inputs!$G$5:$G$110&lt;&gt;"moeda")*(Inputs!$G$5:$G$110&lt;&gt;"acoes")))*INDEX(Inputs!$K$5:$AJ$110,0,MATCH(O$2,Inputs!$K$4:$AJ$4,0)))+SUMPRODUCT((Inputs!$C$5:$C$110=$B39)*Inputs!$D$5:$D$110*(((Inputs!$G$5:$G$110="moeda")+(Inputs!$G$5:$G$110="acoes"))*Inputs!$B$1+((Inputs!$G$5:$G$110&lt;&gt;"moeda")*(Inputs!$G$5:$G$110&lt;&gt;"acoes")))*INDEX(Inputs!$K$5:$AJ$110,0,MATCH(O$2,Inputs!$K$4:$AJ$4,0)))+SUMPRODUCT((Inputs!$E$5:$E$110=$B39)*Inputs!$F$5:$F$110*(((Inputs!$G$5:$G$110="moeda")+(Inputs!$G$5:$G$110="acoes"))*Inputs!$B$1+((Inputs!$G$5:$G$110&lt;&gt;"moeda")*(Inputs!$G$5:$G$110&lt;&gt;"acoes")))*INDEX(Inputs!$K$5:$AJ$110,0,MATCH(O$2,Inputs!$K$4:$AJ$4,0)))))</f>
        <v>11185</v>
      </c>
      <c r="P39" s="6">
        <f>IF(ISNA(MATCH(P$2,Inputs!$K$4:$AJ$4,0)),NA(),IF(SUMPRODUCT((Inputs!$A$5:$A$110=$B39)*ISNUMBER(INDEX(Inputs!$K$5:$AJ$110,0,MATCH(P$2,Inputs!$K$4:$AJ$4,0))))+SUMPRODUCT((Inputs!$C$5:$C$110=$B39)*ISNUMBER(INDEX(Inputs!$K$5:$AJ$110,0,MATCH(P$2,Inputs!$K$4:$AJ$4,0))))+SUMPRODUCT((Inputs!$E$5:$E$110=$B39)*ISNUMBER(INDEX(Inputs!$K$5:$AJ$110,0,MATCH(P$2,Inputs!$K$4:$AJ$4,0))))=0,NA(),SUMPRODUCT((Inputs!$A$5:$A$110=$B39)*Inputs!$B$5:$B$110*(((Inputs!$G$5:$G$110="moeda")+(Inputs!$G$5:$G$110="acoes"))*Inputs!$B$1+((Inputs!$G$5:$G$110&lt;&gt;"moeda")*(Inputs!$G$5:$G$110&lt;&gt;"acoes")))*INDEX(Inputs!$K$5:$AJ$110,0,MATCH(P$2,Inputs!$K$4:$AJ$4,0)))+SUMPRODUCT((Inputs!$C$5:$C$110=$B39)*Inputs!$D$5:$D$110*(((Inputs!$G$5:$G$110="moeda")+(Inputs!$G$5:$G$110="acoes"))*Inputs!$B$1+((Inputs!$G$5:$G$110&lt;&gt;"moeda")*(Inputs!$G$5:$G$110&lt;&gt;"acoes")))*INDEX(Inputs!$K$5:$AJ$110,0,MATCH(P$2,Inputs!$K$4:$AJ$4,0)))+SUMPRODUCT((Inputs!$E$5:$E$110=$B39)*Inputs!$F$5:$F$110*(((Inputs!$G$5:$G$110="moeda")+(Inputs!$G$5:$G$110="acoes"))*Inputs!$B$1+((Inputs!$G$5:$G$110&lt;&gt;"moeda")*(Inputs!$G$5:$G$110&lt;&gt;"acoes")))*INDEX(Inputs!$K$5:$AJ$110,0,MATCH(P$2,Inputs!$K$4:$AJ$4,0)))))</f>
        <v>10355</v>
      </c>
      <c r="Q39" s="6">
        <f>IF(ISNA(MATCH(Q$2,Inputs!$K$4:$AJ$4,0)),NA(),IF(SUMPRODUCT((Inputs!$A$5:$A$110=$B39)*ISNUMBER(INDEX(Inputs!$K$5:$AJ$110,0,MATCH(Q$2,Inputs!$K$4:$AJ$4,0))))+SUMPRODUCT((Inputs!$C$5:$C$110=$B39)*ISNUMBER(INDEX(Inputs!$K$5:$AJ$110,0,MATCH(Q$2,Inputs!$K$4:$AJ$4,0))))+SUMPRODUCT((Inputs!$E$5:$E$110=$B39)*ISNUMBER(INDEX(Inputs!$K$5:$AJ$110,0,MATCH(Q$2,Inputs!$K$4:$AJ$4,0))))=0,NA(),SUMPRODUCT((Inputs!$A$5:$A$110=$B39)*Inputs!$B$5:$B$110*(((Inputs!$G$5:$G$110="moeda")+(Inputs!$G$5:$G$110="acoes"))*Inputs!$B$1+((Inputs!$G$5:$G$110&lt;&gt;"moeda")*(Inputs!$G$5:$G$110&lt;&gt;"acoes")))*INDEX(Inputs!$K$5:$AJ$110,0,MATCH(Q$2,Inputs!$K$4:$AJ$4,0)))+SUMPRODUCT((Inputs!$C$5:$C$110=$B39)*Inputs!$D$5:$D$110*(((Inputs!$G$5:$G$110="moeda")+(Inputs!$G$5:$G$110="acoes"))*Inputs!$B$1+((Inputs!$G$5:$G$110&lt;&gt;"moeda")*(Inputs!$G$5:$G$110&lt;&gt;"acoes")))*INDEX(Inputs!$K$5:$AJ$110,0,MATCH(Q$2,Inputs!$K$4:$AJ$4,0)))+SUMPRODUCT((Inputs!$E$5:$E$110=$B39)*Inputs!$F$5:$F$110*(((Inputs!$G$5:$G$110="moeda")+(Inputs!$G$5:$G$110="acoes"))*Inputs!$B$1+((Inputs!$G$5:$G$110&lt;&gt;"moeda")*(Inputs!$G$5:$G$110&lt;&gt;"acoes")))*INDEX(Inputs!$K$5:$AJ$110,0,MATCH(Q$2,Inputs!$K$4:$AJ$4,0)))))</f>
        <v>11001</v>
      </c>
      <c r="R39" s="3">
        <f>Q39</f>
        <v>11001</v>
      </c>
      <c r="S39" s="6">
        <f>IF(ISNA(MATCH(S$2,Inputs!$K$4:$AJ$4,0)),NA(),IF(SUMPRODUCT((Inputs!$A$5:$A$110=$B39)*ISNUMBER(INDEX(Inputs!$K$5:$AJ$110,0,MATCH(S$2,Inputs!$K$4:$AJ$4,0))))+SUMPRODUCT((Inputs!$C$5:$C$110=$B39)*ISNUMBER(INDEX(Inputs!$K$5:$AJ$110,0,MATCH(S$2,Inputs!$K$4:$AJ$4,0))))+SUMPRODUCT((Inputs!$E$5:$E$110=$B39)*ISNUMBER(INDEX(Inputs!$K$5:$AJ$110,0,MATCH(S$2,Inputs!$K$4:$AJ$4,0))))=0,NA(),SUMPRODUCT((Inputs!$A$5:$A$110=$B39)*Inputs!$B$5:$B$110*(((Inputs!$G$5:$G$110="moeda")+(Inputs!$G$5:$G$110="acoes"))*Inputs!$B$1+((Inputs!$G$5:$G$110&lt;&gt;"moeda")*(Inputs!$G$5:$G$110&lt;&gt;"acoes")))*INDEX(Inputs!$K$5:$AJ$110,0,MATCH(S$2,Inputs!$K$4:$AJ$4,0)))+SUMPRODUCT((Inputs!$C$5:$C$110=$B39)*Inputs!$D$5:$D$110*(((Inputs!$G$5:$G$110="moeda")+(Inputs!$G$5:$G$110="acoes"))*Inputs!$B$1+((Inputs!$G$5:$G$110&lt;&gt;"moeda")*(Inputs!$G$5:$G$110&lt;&gt;"acoes")))*INDEX(Inputs!$K$5:$AJ$110,0,MATCH(S$2,Inputs!$K$4:$AJ$4,0)))+SUMPRODUCT((Inputs!$E$5:$E$110=$B39)*Inputs!$F$5:$F$110*(((Inputs!$G$5:$G$110="moeda")+(Inputs!$G$5:$G$110="acoes"))*Inputs!$B$1+((Inputs!$G$5:$G$110&lt;&gt;"moeda")*(Inputs!$G$5:$G$110&lt;&gt;"acoes")))*INDEX(Inputs!$K$5:$AJ$110,0,MATCH(S$2,Inputs!$K$4:$AJ$4,0)))))</f>
        <v>11838</v>
      </c>
      <c r="T39" s="6">
        <f>IF(ISNA(MATCH(T$2,Inputs!$K$4:$AJ$4,0)),NA(),IF(SUMPRODUCT((Inputs!$A$5:$A$110=$B39)*ISNUMBER(INDEX(Inputs!$K$5:$AJ$110,0,MATCH(T$2,Inputs!$K$4:$AJ$4,0))))+SUMPRODUCT((Inputs!$C$5:$C$110=$B39)*ISNUMBER(INDEX(Inputs!$K$5:$AJ$110,0,MATCH(T$2,Inputs!$K$4:$AJ$4,0))))+SUMPRODUCT((Inputs!$E$5:$E$110=$B39)*ISNUMBER(INDEX(Inputs!$K$5:$AJ$110,0,MATCH(T$2,Inputs!$K$4:$AJ$4,0))))=0,NA(),SUMPRODUCT((Inputs!$A$5:$A$110=$B39)*Inputs!$B$5:$B$110*(((Inputs!$G$5:$G$110="moeda")+(Inputs!$G$5:$G$110="acoes"))*Inputs!$B$1+((Inputs!$G$5:$G$110&lt;&gt;"moeda")*(Inputs!$G$5:$G$110&lt;&gt;"acoes")))*INDEX(Inputs!$K$5:$AJ$110,0,MATCH(T$2,Inputs!$K$4:$AJ$4,0)))+SUMPRODUCT((Inputs!$C$5:$C$110=$B39)*Inputs!$D$5:$D$110*(((Inputs!$G$5:$G$110="moeda")+(Inputs!$G$5:$G$110="acoes"))*Inputs!$B$1+((Inputs!$G$5:$G$110&lt;&gt;"moeda")*(Inputs!$G$5:$G$110&lt;&gt;"acoes")))*INDEX(Inputs!$K$5:$AJ$110,0,MATCH(T$2,Inputs!$K$4:$AJ$4,0)))+SUMPRODUCT((Inputs!$E$5:$E$110=$B39)*Inputs!$F$5:$F$110*(((Inputs!$G$5:$G$110="moeda")+(Inputs!$G$5:$G$110="acoes"))*Inputs!$B$1+((Inputs!$G$5:$G$110&lt;&gt;"moeda")*(Inputs!$G$5:$G$110&lt;&gt;"acoes")))*INDEX(Inputs!$K$5:$AJ$110,0,MATCH(T$2,Inputs!$K$4:$AJ$4,0)))))</f>
        <v>10441</v>
      </c>
      <c r="U39" s="6">
        <f>IF(ISNA(MATCH(U$2,Inputs!$K$4:$AJ$4,0)),NA(),IF(SUMPRODUCT((Inputs!$A$5:$A$110=$B39)*ISNUMBER(INDEX(Inputs!$K$5:$AJ$110,0,MATCH(U$2,Inputs!$K$4:$AJ$4,0))))+SUMPRODUCT((Inputs!$C$5:$C$110=$B39)*ISNUMBER(INDEX(Inputs!$K$5:$AJ$110,0,MATCH(U$2,Inputs!$K$4:$AJ$4,0))))+SUMPRODUCT((Inputs!$E$5:$E$110=$B39)*ISNUMBER(INDEX(Inputs!$K$5:$AJ$110,0,MATCH(U$2,Inputs!$K$4:$AJ$4,0))))=0,NA(),SUMPRODUCT((Inputs!$A$5:$A$110=$B39)*Inputs!$B$5:$B$110*(((Inputs!$G$5:$G$110="moeda")+(Inputs!$G$5:$G$110="acoes"))*Inputs!$B$1+((Inputs!$G$5:$G$110&lt;&gt;"moeda")*(Inputs!$G$5:$G$110&lt;&gt;"acoes")))*INDEX(Inputs!$K$5:$AJ$110,0,MATCH(U$2,Inputs!$K$4:$AJ$4,0)))+SUMPRODUCT((Inputs!$C$5:$C$110=$B39)*Inputs!$D$5:$D$110*(((Inputs!$G$5:$G$110="moeda")+(Inputs!$G$5:$G$110="acoes"))*Inputs!$B$1+((Inputs!$G$5:$G$110&lt;&gt;"moeda")*(Inputs!$G$5:$G$110&lt;&gt;"acoes")))*INDEX(Inputs!$K$5:$AJ$110,0,MATCH(U$2,Inputs!$K$4:$AJ$4,0)))+SUMPRODUCT((Inputs!$E$5:$E$110=$B39)*Inputs!$F$5:$F$110*(((Inputs!$G$5:$G$110="moeda")+(Inputs!$G$5:$G$110="acoes"))*Inputs!$B$1+((Inputs!$G$5:$G$110&lt;&gt;"moeda")*(Inputs!$G$5:$G$110&lt;&gt;"acoes")))*INDEX(Inputs!$K$5:$AJ$110,0,MATCH(U$2,Inputs!$K$4:$AJ$4,0)))))</f>
        <v>10687</v>
      </c>
      <c r="V39" s="6">
        <f>IF(ISNA(MATCH(V$2,Inputs!$K$4:$AJ$4,0)),NA(),IF(SUMPRODUCT((Inputs!$A$5:$A$110=$B39)*ISNUMBER(INDEX(Inputs!$K$5:$AJ$110,0,MATCH(V$2,Inputs!$K$4:$AJ$4,0))))+SUMPRODUCT((Inputs!$C$5:$C$110=$B39)*ISNUMBER(INDEX(Inputs!$K$5:$AJ$110,0,MATCH(V$2,Inputs!$K$4:$AJ$4,0))))+SUMPRODUCT((Inputs!$E$5:$E$110=$B39)*ISNUMBER(INDEX(Inputs!$K$5:$AJ$110,0,MATCH(V$2,Inputs!$K$4:$AJ$4,0))))=0,NA(),SUMPRODUCT((Inputs!$A$5:$A$110=$B39)*Inputs!$B$5:$B$110*(((Inputs!$G$5:$G$110="moeda")+(Inputs!$G$5:$G$110="acoes"))*Inputs!$B$1+((Inputs!$G$5:$G$110&lt;&gt;"moeda")*(Inputs!$G$5:$G$110&lt;&gt;"acoes")))*INDEX(Inputs!$K$5:$AJ$110,0,MATCH(V$2,Inputs!$K$4:$AJ$4,0)))+SUMPRODUCT((Inputs!$C$5:$C$110=$B39)*Inputs!$D$5:$D$110*(((Inputs!$G$5:$G$110="moeda")+(Inputs!$G$5:$G$110="acoes"))*Inputs!$B$1+((Inputs!$G$5:$G$110&lt;&gt;"moeda")*(Inputs!$G$5:$G$110&lt;&gt;"acoes")))*INDEX(Inputs!$K$5:$AJ$110,0,MATCH(V$2,Inputs!$K$4:$AJ$4,0)))+SUMPRODUCT((Inputs!$E$5:$E$110=$B39)*Inputs!$F$5:$F$110*(((Inputs!$G$5:$G$110="moeda")+(Inputs!$G$5:$G$110="acoes"))*Inputs!$B$1+((Inputs!$G$5:$G$110&lt;&gt;"moeda")*(Inputs!$G$5:$G$110&lt;&gt;"acoes")))*INDEX(Inputs!$K$5:$AJ$110,0,MATCH(V$2,Inputs!$K$4:$AJ$4,0)))))</f>
        <v>13476</v>
      </c>
      <c r="W39" s="3">
        <f>V39</f>
        <v>13476</v>
      </c>
      <c r="X39" s="6">
        <f>IF(ISNA(MATCH(X$2,Inputs!$K$4:$AJ$4,0)),NA(),IF(SUMPRODUCT((Inputs!$A$5:$A$110=$B39)*ISNUMBER(INDEX(Inputs!$K$5:$AJ$110,0,MATCH(X$2,Inputs!$K$4:$AJ$4,0))))+SUMPRODUCT((Inputs!$C$5:$C$110=$B39)*ISNUMBER(INDEX(Inputs!$K$5:$AJ$110,0,MATCH(X$2,Inputs!$K$4:$AJ$4,0))))+SUMPRODUCT((Inputs!$E$5:$E$110=$B39)*ISNUMBER(INDEX(Inputs!$K$5:$AJ$110,0,MATCH(X$2,Inputs!$K$4:$AJ$4,0))))=0,NA(),SUMPRODUCT((Inputs!$A$5:$A$110=$B39)*Inputs!$B$5:$B$110*(((Inputs!$G$5:$G$110="moeda")+(Inputs!$G$5:$G$110="acoes"))*Inputs!$B$1+((Inputs!$G$5:$G$110&lt;&gt;"moeda")*(Inputs!$G$5:$G$110&lt;&gt;"acoes")))*INDEX(Inputs!$K$5:$AJ$110,0,MATCH(X$2,Inputs!$K$4:$AJ$4,0)))+SUMPRODUCT((Inputs!$C$5:$C$110=$B39)*Inputs!$D$5:$D$110*(((Inputs!$G$5:$G$110="moeda")+(Inputs!$G$5:$G$110="acoes"))*Inputs!$B$1+((Inputs!$G$5:$G$110&lt;&gt;"moeda")*(Inputs!$G$5:$G$110&lt;&gt;"acoes")))*INDEX(Inputs!$K$5:$AJ$110,0,MATCH(X$2,Inputs!$K$4:$AJ$4,0)))+SUMPRODUCT((Inputs!$E$5:$E$110=$B39)*Inputs!$F$5:$F$110*(((Inputs!$G$5:$G$110="moeda")+(Inputs!$G$5:$G$110="acoes"))*Inputs!$B$1+((Inputs!$G$5:$G$110&lt;&gt;"moeda")*(Inputs!$G$5:$G$110&lt;&gt;"acoes")))*INDEX(Inputs!$K$5:$AJ$110,0,MATCH(X$2,Inputs!$K$4:$AJ$4,0)))))</f>
        <v>15889</v>
      </c>
      <c r="Y39" s="6">
        <f>IF(ISNA(MATCH(Y$2,Inputs!$K$4:$AJ$4,0)),NA(),IF(SUMPRODUCT((Inputs!$A$5:$A$110=$B39)*ISNUMBER(INDEX(Inputs!$K$5:$AJ$110,0,MATCH(Y$2,Inputs!$K$4:$AJ$4,0))))+SUMPRODUCT((Inputs!$C$5:$C$110=$B39)*ISNUMBER(INDEX(Inputs!$K$5:$AJ$110,0,MATCH(Y$2,Inputs!$K$4:$AJ$4,0))))+SUMPRODUCT((Inputs!$E$5:$E$110=$B39)*ISNUMBER(INDEX(Inputs!$K$5:$AJ$110,0,MATCH(Y$2,Inputs!$K$4:$AJ$4,0))))=0,NA(),SUMPRODUCT((Inputs!$A$5:$A$110=$B39)*Inputs!$B$5:$B$110*(((Inputs!$G$5:$G$110="moeda")+(Inputs!$G$5:$G$110="acoes"))*Inputs!$B$1+((Inputs!$G$5:$G$110&lt;&gt;"moeda")*(Inputs!$G$5:$G$110&lt;&gt;"acoes")))*INDEX(Inputs!$K$5:$AJ$110,0,MATCH(Y$2,Inputs!$K$4:$AJ$4,0)))+SUMPRODUCT((Inputs!$C$5:$C$110=$B39)*Inputs!$D$5:$D$110*(((Inputs!$G$5:$G$110="moeda")+(Inputs!$G$5:$G$110="acoes"))*Inputs!$B$1+((Inputs!$G$5:$G$110&lt;&gt;"moeda")*(Inputs!$G$5:$G$110&lt;&gt;"acoes")))*INDEX(Inputs!$K$5:$AJ$110,0,MATCH(Y$2,Inputs!$K$4:$AJ$4,0)))+SUMPRODUCT((Inputs!$E$5:$E$110=$B39)*Inputs!$F$5:$F$110*(((Inputs!$G$5:$G$110="moeda")+(Inputs!$G$5:$G$110="acoes"))*Inputs!$B$1+((Inputs!$G$5:$G$110&lt;&gt;"moeda")*(Inputs!$G$5:$G$110&lt;&gt;"acoes")))*INDEX(Inputs!$K$5:$AJ$110,0,MATCH(Y$2,Inputs!$K$4:$AJ$4,0)))))</f>
        <v>16268</v>
      </c>
      <c r="Z39" s="6">
        <f>IF(ISNA(MATCH(Z$2,Inputs!$K$4:$AJ$4,0)),NA(),IF(SUMPRODUCT((Inputs!$A$5:$A$110=$B39)*ISNUMBER(INDEX(Inputs!$K$5:$AJ$110,0,MATCH(Z$2,Inputs!$K$4:$AJ$4,0))))+SUMPRODUCT((Inputs!$C$5:$C$110=$B39)*ISNUMBER(INDEX(Inputs!$K$5:$AJ$110,0,MATCH(Z$2,Inputs!$K$4:$AJ$4,0))))+SUMPRODUCT((Inputs!$E$5:$E$110=$B39)*ISNUMBER(INDEX(Inputs!$K$5:$AJ$110,0,MATCH(Z$2,Inputs!$K$4:$AJ$4,0))))=0,NA(),SUMPRODUCT((Inputs!$A$5:$A$110=$B39)*Inputs!$B$5:$B$110*(((Inputs!$G$5:$G$110="moeda")+(Inputs!$G$5:$G$110="acoes"))*Inputs!$B$1+((Inputs!$G$5:$G$110&lt;&gt;"moeda")*(Inputs!$G$5:$G$110&lt;&gt;"acoes")))*INDEX(Inputs!$K$5:$AJ$110,0,MATCH(Z$2,Inputs!$K$4:$AJ$4,0)))+SUMPRODUCT((Inputs!$C$5:$C$110=$B39)*Inputs!$D$5:$D$110*(((Inputs!$G$5:$G$110="moeda")+(Inputs!$G$5:$G$110="acoes"))*Inputs!$B$1+((Inputs!$G$5:$G$110&lt;&gt;"moeda")*(Inputs!$G$5:$G$110&lt;&gt;"acoes")))*INDEX(Inputs!$K$5:$AJ$110,0,MATCH(Z$2,Inputs!$K$4:$AJ$4,0)))+SUMPRODUCT((Inputs!$E$5:$E$110=$B39)*Inputs!$F$5:$F$110*(((Inputs!$G$5:$G$110="moeda")+(Inputs!$G$5:$G$110="acoes"))*Inputs!$B$1+((Inputs!$G$5:$G$110&lt;&gt;"moeda")*(Inputs!$G$5:$G$110&lt;&gt;"acoes")))*INDEX(Inputs!$K$5:$AJ$110,0,MATCH(Z$2,Inputs!$K$4:$AJ$4,0)))))</f>
        <v>16339</v>
      </c>
      <c r="AA39" s="6">
        <f>IF(ISNA(MATCH(AA$2,Inputs!$K$4:$AJ$4,0)),NA(),IF(SUMPRODUCT((Inputs!$A$5:$A$110=$B39)*ISNUMBER(INDEX(Inputs!$K$5:$AJ$110,0,MATCH(AA$2,Inputs!$K$4:$AJ$4,0))))+SUMPRODUCT((Inputs!$C$5:$C$110=$B39)*ISNUMBER(INDEX(Inputs!$K$5:$AJ$110,0,MATCH(AA$2,Inputs!$K$4:$AJ$4,0))))+SUMPRODUCT((Inputs!$E$5:$E$110=$B39)*ISNUMBER(INDEX(Inputs!$K$5:$AJ$110,0,MATCH(AA$2,Inputs!$K$4:$AJ$4,0))))=0,NA(),SUMPRODUCT((Inputs!$A$5:$A$110=$B39)*Inputs!$B$5:$B$110*(((Inputs!$G$5:$G$110="moeda")+(Inputs!$G$5:$G$110="acoes"))*Inputs!$B$1+((Inputs!$G$5:$G$110&lt;&gt;"moeda")*(Inputs!$G$5:$G$110&lt;&gt;"acoes")))*INDEX(Inputs!$K$5:$AJ$110,0,MATCH(AA$2,Inputs!$K$4:$AJ$4,0)))+SUMPRODUCT((Inputs!$C$5:$C$110=$B39)*Inputs!$D$5:$D$110*(((Inputs!$G$5:$G$110="moeda")+(Inputs!$G$5:$G$110="acoes"))*Inputs!$B$1+((Inputs!$G$5:$G$110&lt;&gt;"moeda")*(Inputs!$G$5:$G$110&lt;&gt;"acoes")))*INDEX(Inputs!$K$5:$AJ$110,0,MATCH(AA$2,Inputs!$K$4:$AJ$4,0)))+SUMPRODUCT((Inputs!$E$5:$E$110=$B39)*Inputs!$F$5:$F$110*(((Inputs!$G$5:$G$110="moeda")+(Inputs!$G$5:$G$110="acoes"))*Inputs!$B$1+((Inputs!$G$5:$G$110&lt;&gt;"moeda")*(Inputs!$G$5:$G$110&lt;&gt;"acoes")))*INDEX(Inputs!$K$5:$AJ$110,0,MATCH(AA$2,Inputs!$K$4:$AJ$4,0)))))</f>
        <v>17980</v>
      </c>
      <c r="AB39" s="3">
        <f>AA39</f>
        <v>17980</v>
      </c>
      <c r="AC39" s="6">
        <f>IF(ISNA(MATCH(AC$2,Inputs!$K$4:$AJ$4,0)),NA(),IF(SUMPRODUCT((Inputs!$A$5:$A$110=$B39)*ISNUMBER(INDEX(Inputs!$K$5:$AJ$110,0,MATCH(AC$2,Inputs!$K$4:$AJ$4,0))))+SUMPRODUCT((Inputs!$C$5:$C$110=$B39)*ISNUMBER(INDEX(Inputs!$K$5:$AJ$110,0,MATCH(AC$2,Inputs!$K$4:$AJ$4,0))))+SUMPRODUCT((Inputs!$E$5:$E$110=$B39)*ISNUMBER(INDEX(Inputs!$K$5:$AJ$110,0,MATCH(AC$2,Inputs!$K$4:$AJ$4,0))))=0,NA(),SUMPRODUCT((Inputs!$A$5:$A$110=$B39)*Inputs!$B$5:$B$110*(((Inputs!$G$5:$G$110="moeda")+(Inputs!$G$5:$G$110="acoes"))*Inputs!$B$1+((Inputs!$G$5:$G$110&lt;&gt;"moeda")*(Inputs!$G$5:$G$110&lt;&gt;"acoes")))*INDEX(Inputs!$K$5:$AJ$110,0,MATCH(AC$2,Inputs!$K$4:$AJ$4,0)))+SUMPRODUCT((Inputs!$C$5:$C$110=$B39)*Inputs!$D$5:$D$110*(((Inputs!$G$5:$G$110="moeda")+(Inputs!$G$5:$G$110="acoes"))*Inputs!$B$1+((Inputs!$G$5:$G$110&lt;&gt;"moeda")*(Inputs!$G$5:$G$110&lt;&gt;"acoes")))*INDEX(Inputs!$K$5:$AJ$110,0,MATCH(AC$2,Inputs!$K$4:$AJ$4,0)))+SUMPRODUCT((Inputs!$E$5:$E$110=$B39)*Inputs!$F$5:$F$110*(((Inputs!$G$5:$G$110="moeda")+(Inputs!$G$5:$G$110="acoes"))*Inputs!$B$1+((Inputs!$G$5:$G$110&lt;&gt;"moeda")*(Inputs!$G$5:$G$110&lt;&gt;"acoes")))*INDEX(Inputs!$K$5:$AJ$110,0,MATCH(AC$2,Inputs!$K$4:$AJ$4,0)))))</f>
        <v>23501</v>
      </c>
      <c r="AD39" s="6">
        <f>IF(ISNA(MATCH(AD$2,Inputs!$K$4:$AJ$4,0)),NA(),IF(SUMPRODUCT((Inputs!$A$5:$A$110=$B39)*ISNUMBER(INDEX(Inputs!$K$5:$AJ$110,0,MATCH(AD$2,Inputs!$K$4:$AJ$4,0))))+SUMPRODUCT((Inputs!$C$5:$C$110=$B39)*ISNUMBER(INDEX(Inputs!$K$5:$AJ$110,0,MATCH(AD$2,Inputs!$K$4:$AJ$4,0))))+SUMPRODUCT((Inputs!$E$5:$E$110=$B39)*ISNUMBER(INDEX(Inputs!$K$5:$AJ$110,0,MATCH(AD$2,Inputs!$K$4:$AJ$4,0))))=0,NA(),SUMPRODUCT((Inputs!$A$5:$A$110=$B39)*Inputs!$B$5:$B$110*(((Inputs!$G$5:$G$110="moeda")+(Inputs!$G$5:$G$110="acoes"))*Inputs!$B$1+((Inputs!$G$5:$G$110&lt;&gt;"moeda")*(Inputs!$G$5:$G$110&lt;&gt;"acoes")))*INDEX(Inputs!$K$5:$AJ$110,0,MATCH(AD$2,Inputs!$K$4:$AJ$4,0)))+SUMPRODUCT((Inputs!$C$5:$C$110=$B39)*Inputs!$D$5:$D$110*(((Inputs!$G$5:$G$110="moeda")+(Inputs!$G$5:$G$110="acoes"))*Inputs!$B$1+((Inputs!$G$5:$G$110&lt;&gt;"moeda")*(Inputs!$G$5:$G$110&lt;&gt;"acoes")))*INDEX(Inputs!$K$5:$AJ$110,0,MATCH(AD$2,Inputs!$K$4:$AJ$4,0)))+SUMPRODUCT((Inputs!$E$5:$E$110=$B39)*Inputs!$F$5:$F$110*(((Inputs!$G$5:$G$110="moeda")+(Inputs!$G$5:$G$110="acoes"))*Inputs!$B$1+((Inputs!$G$5:$G$110&lt;&gt;"moeda")*(Inputs!$G$5:$G$110&lt;&gt;"acoes")))*INDEX(Inputs!$K$5:$AJ$110,0,MATCH(AD$2,Inputs!$K$4:$AJ$4,0)))))</f>
        <v>19817</v>
      </c>
      <c r="AE39" s="6" t="e">
        <f>IF(ISNA(MATCH(AE$2,Inputs!$K$4:$AJ$4,0)),NA(),IF(SUMPRODUCT((Inputs!$A$5:$A$110=$B39)*ISNUMBER(INDEX(Inputs!$K$5:$AJ$110,0,MATCH(AE$2,Inputs!$K$4:$AJ$4,0))))+SUMPRODUCT((Inputs!$C$5:$C$110=$B39)*ISNUMBER(INDEX(Inputs!$K$5:$AJ$110,0,MATCH(AE$2,Inputs!$K$4:$AJ$4,0))))+SUMPRODUCT((Inputs!$E$5:$E$110=$B39)*ISNUMBER(INDEX(Inputs!$K$5:$AJ$110,0,MATCH(AE$2,Inputs!$K$4:$AJ$4,0))))=0,NA(),SUMPRODUCT((Inputs!$A$5:$A$110=$B39)*Inputs!$B$5:$B$110*(((Inputs!$G$5:$G$110="moeda")+(Inputs!$G$5:$G$110="acoes"))*Inputs!$B$1+((Inputs!$G$5:$G$110&lt;&gt;"moeda")*(Inputs!$G$5:$G$110&lt;&gt;"acoes")))*INDEX(Inputs!$K$5:$AJ$110,0,MATCH(AE$2,Inputs!$K$4:$AJ$4,0)))+SUMPRODUCT((Inputs!$C$5:$C$110=$B39)*Inputs!$D$5:$D$110*(((Inputs!$G$5:$G$110="moeda")+(Inputs!$G$5:$G$110="acoes"))*Inputs!$B$1+((Inputs!$G$5:$G$110&lt;&gt;"moeda")*(Inputs!$G$5:$G$110&lt;&gt;"acoes")))*INDEX(Inputs!$K$5:$AJ$110,0,MATCH(AE$2,Inputs!$K$4:$AJ$4,0)))+SUMPRODUCT((Inputs!$E$5:$E$110=$B39)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9" s="6" t="e">
        <f>IF(ISNA(MATCH(AF$2,Inputs!$K$4:$AJ$4,0)),NA(),IF(SUMPRODUCT((Inputs!$A$5:$A$110=$B39)*ISNUMBER(INDEX(Inputs!$K$5:$AJ$110,0,MATCH(AF$2,Inputs!$K$4:$AJ$4,0))))+SUMPRODUCT((Inputs!$C$5:$C$110=$B39)*ISNUMBER(INDEX(Inputs!$K$5:$AJ$110,0,MATCH(AF$2,Inputs!$K$4:$AJ$4,0))))+SUMPRODUCT((Inputs!$E$5:$E$110=$B39)*ISNUMBER(INDEX(Inputs!$K$5:$AJ$110,0,MATCH(AF$2,Inputs!$K$4:$AJ$4,0))))=0,NA(),SUMPRODUCT((Inputs!$A$5:$A$110=$B39)*Inputs!$B$5:$B$110*(((Inputs!$G$5:$G$110="moeda")+(Inputs!$G$5:$G$110="acoes"))*Inputs!$B$1+((Inputs!$G$5:$G$110&lt;&gt;"moeda")*(Inputs!$G$5:$G$110&lt;&gt;"acoes")))*INDEX(Inputs!$K$5:$AJ$110,0,MATCH(AF$2,Inputs!$K$4:$AJ$4,0)))+SUMPRODUCT((Inputs!$C$5:$C$110=$B39)*Inputs!$D$5:$D$110*(((Inputs!$G$5:$G$110="moeda")+(Inputs!$G$5:$G$110="acoes"))*Inputs!$B$1+((Inputs!$G$5:$G$110&lt;&gt;"moeda")*(Inputs!$G$5:$G$110&lt;&gt;"acoes")))*INDEX(Inputs!$K$5:$AJ$110,0,MATCH(AF$2,Inputs!$K$4:$AJ$4,0)))+SUMPRODUCT((Inputs!$E$5:$E$110=$B39)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9" s="3" t="e">
        <f>AF39</f>
        <v>#N/A</v>
      </c>
      <c r="AH39" s="6">
        <f>IF(ISNA(MATCH(AH$2,Inputs!$K$4:$AJ$4,0)),NA(),IF(SUMPRODUCT((Inputs!$A$5:$A$110=$B39)*ISNUMBER(INDEX(Inputs!$K$5:$AJ$110,0,MATCH(AH$2,Inputs!$K$4:$AJ$4,0))))+SUMPRODUCT((Inputs!$C$5:$C$110=$B39)*ISNUMBER(INDEX(Inputs!$K$5:$AJ$110,0,MATCH(AH$2,Inputs!$K$4:$AJ$4,0))))+SUMPRODUCT((Inputs!$E$5:$E$110=$B39)*ISNUMBER(INDEX(Inputs!$K$5:$AJ$110,0,MATCH(AH$2,Inputs!$K$4:$AJ$4,0))))=0,NA(),SUMPRODUCT((Inputs!$A$5:$A$110=$B39)*Inputs!$B$5:$B$110*(((Inputs!$G$5:$G$110="moeda")+(Inputs!$G$5:$G$110="acoes"))*Inputs!$B$1+((Inputs!$G$5:$G$110&lt;&gt;"moeda")*(Inputs!$G$5:$G$110&lt;&gt;"acoes")))*INDEX(Inputs!$K$5:$AJ$110,0,MATCH(AH$2,Inputs!$K$4:$AJ$4,0)))+SUMPRODUCT((Inputs!$C$5:$C$110=$B39)*Inputs!$D$5:$D$110*(((Inputs!$G$5:$G$110="moeda")+(Inputs!$G$5:$G$110="acoes"))*Inputs!$B$1+((Inputs!$G$5:$G$110&lt;&gt;"moeda")*(Inputs!$G$5:$G$110&lt;&gt;"acoes")))*INDEX(Inputs!$K$5:$AJ$110,0,MATCH(AH$2,Inputs!$K$4:$AJ$4,0)))+SUMPRODUCT((Inputs!$E$5:$E$110=$B39)*Inputs!$F$5:$F$110*(((Inputs!$G$5:$G$110="moeda")+(Inputs!$G$5:$G$110="acoes"))*Inputs!$B$1+((Inputs!$G$5:$G$110&lt;&gt;"moeda")*(Inputs!$G$5:$G$110&lt;&gt;"acoes")))*INDEX(Inputs!$K$5:$AJ$110,0,MATCH(AH$2,Inputs!$K$4:$AJ$4,0)))))</f>
        <v>11984</v>
      </c>
      <c r="AI39" s="6">
        <f>IF(ISNA(MATCH(AI$2,Inputs!$K$4:$AJ$4,0)),NA(),IF(SUMPRODUCT((Inputs!$A$5:$A$110=$B39)*ISNUMBER(INDEX(Inputs!$K$5:$AJ$110,0,MATCH(AI$2,Inputs!$K$4:$AJ$4,0))))+SUMPRODUCT((Inputs!$C$5:$C$110=$B39)*ISNUMBER(INDEX(Inputs!$K$5:$AJ$110,0,MATCH(AI$2,Inputs!$K$4:$AJ$4,0))))+SUMPRODUCT((Inputs!$E$5:$E$110=$B39)*ISNUMBER(INDEX(Inputs!$K$5:$AJ$110,0,MATCH(AI$2,Inputs!$K$4:$AJ$4,0))))=0,NA(),SUMPRODUCT((Inputs!$A$5:$A$110=$B39)*Inputs!$B$5:$B$110*(((Inputs!$G$5:$G$110="moeda")+(Inputs!$G$5:$G$110="acoes"))*Inputs!$B$1+((Inputs!$G$5:$G$110&lt;&gt;"moeda")*(Inputs!$G$5:$G$110&lt;&gt;"acoes")))*INDEX(Inputs!$K$5:$AJ$110,0,MATCH(AI$2,Inputs!$K$4:$AJ$4,0)))+SUMPRODUCT((Inputs!$C$5:$C$110=$B39)*Inputs!$D$5:$D$110*(((Inputs!$G$5:$G$110="moeda")+(Inputs!$G$5:$G$110="acoes"))*Inputs!$B$1+((Inputs!$G$5:$G$110&lt;&gt;"moeda")*(Inputs!$G$5:$G$110&lt;&gt;"acoes")))*INDEX(Inputs!$K$5:$AJ$110,0,MATCH(AI$2,Inputs!$K$4:$AJ$4,0)))+SUMPRODUCT((Inputs!$E$5:$E$110=$B39)*Inputs!$F$5:$F$110*(((Inputs!$G$5:$G$110="moeda")+(Inputs!$G$5:$G$110="acoes"))*Inputs!$B$1+((Inputs!$G$5:$G$110&lt;&gt;"moeda")*(Inputs!$G$5:$G$110&lt;&gt;"acoes")))*INDEX(Inputs!$K$5:$AJ$110,0,MATCH(AI$2,Inputs!$K$4:$AJ$4,0)))))</f>
        <v>10988</v>
      </c>
      <c r="AJ39" s="6">
        <f>IF(ISNA(MATCH(AJ$2,Inputs!$K$4:$AJ$4,0)),NA(),IF(SUMPRODUCT((Inputs!$A$5:$A$110=$B39)*ISNUMBER(INDEX(Inputs!$K$5:$AJ$110,0,MATCH(AJ$2,Inputs!$K$4:$AJ$4,0))))+SUMPRODUCT((Inputs!$C$5:$C$110=$B39)*ISNUMBER(INDEX(Inputs!$K$5:$AJ$110,0,MATCH(AJ$2,Inputs!$K$4:$AJ$4,0))))+SUMPRODUCT((Inputs!$E$5:$E$110=$B39)*ISNUMBER(INDEX(Inputs!$K$5:$AJ$110,0,MATCH(AJ$2,Inputs!$K$4:$AJ$4,0))))=0,NA(),SUMPRODUCT((Inputs!$A$5:$A$110=$B39)*Inputs!$B$5:$B$110*(((Inputs!$G$5:$G$110="moeda")+(Inputs!$G$5:$G$110="acoes"))*Inputs!$B$1+((Inputs!$G$5:$G$110&lt;&gt;"moeda")*(Inputs!$G$5:$G$110&lt;&gt;"acoes")))*INDEX(Inputs!$K$5:$AJ$110,0,MATCH(AJ$2,Inputs!$K$4:$AJ$4,0)))+SUMPRODUCT((Inputs!$C$5:$C$110=$B39)*Inputs!$D$5:$D$110*(((Inputs!$G$5:$G$110="moeda")+(Inputs!$G$5:$G$110="acoes"))*Inputs!$B$1+((Inputs!$G$5:$G$110&lt;&gt;"moeda")*(Inputs!$G$5:$G$110&lt;&gt;"acoes")))*INDEX(Inputs!$K$5:$AJ$110,0,MATCH(AJ$2,Inputs!$K$4:$AJ$4,0)))+SUMPRODUCT((Inputs!$E$5:$E$110=$B39)*Inputs!$F$5:$F$110*(((Inputs!$G$5:$G$110="moeda")+(Inputs!$G$5:$G$110="acoes"))*Inputs!$B$1+((Inputs!$G$5:$G$110&lt;&gt;"moeda")*(Inputs!$G$5:$G$110&lt;&gt;"acoes")))*INDEX(Inputs!$K$5:$AJ$110,0,MATCH(AJ$2,Inputs!$K$4:$AJ$4,0)))))</f>
        <v>11264</v>
      </c>
      <c r="AK39" s="6">
        <f>IF(ISNA(MATCH(AK$2,Inputs!$K$4:$AJ$4,0)),NA(),IF(SUMPRODUCT((Inputs!$A$5:$A$110=$B39)*ISNUMBER(INDEX(Inputs!$K$5:$AJ$110,0,MATCH(AK$2,Inputs!$K$4:$AJ$4,0))))+SUMPRODUCT((Inputs!$C$5:$C$110=$B39)*ISNUMBER(INDEX(Inputs!$K$5:$AJ$110,0,MATCH(AK$2,Inputs!$K$4:$AJ$4,0))))+SUMPRODUCT((Inputs!$E$5:$E$110=$B39)*ISNUMBER(INDEX(Inputs!$K$5:$AJ$110,0,MATCH(AK$2,Inputs!$K$4:$AJ$4,0))))=0,NA(),SUMPRODUCT((Inputs!$A$5:$A$110=$B39)*Inputs!$B$5:$B$110*(((Inputs!$G$5:$G$110="moeda")+(Inputs!$G$5:$G$110="acoes"))*Inputs!$B$1+((Inputs!$G$5:$G$110&lt;&gt;"moeda")*(Inputs!$G$5:$G$110&lt;&gt;"acoes")))*INDEX(Inputs!$K$5:$AJ$110,0,MATCH(AK$2,Inputs!$K$4:$AJ$4,0)))+SUMPRODUCT((Inputs!$C$5:$C$110=$B39)*Inputs!$D$5:$D$110*(((Inputs!$G$5:$G$110="moeda")+(Inputs!$G$5:$G$110="acoes"))*Inputs!$B$1+((Inputs!$G$5:$G$110&lt;&gt;"moeda")*(Inputs!$G$5:$G$110&lt;&gt;"acoes")))*INDEX(Inputs!$K$5:$AJ$110,0,MATCH(AK$2,Inputs!$K$4:$AJ$4,0)))+SUMPRODUCT((Inputs!$E$5:$E$110=$B39)*Inputs!$F$5:$F$110*(((Inputs!$G$5:$G$110="moeda")+(Inputs!$G$5:$G$110="acoes"))*Inputs!$B$1+((Inputs!$G$5:$G$110&lt;&gt;"moeda")*(Inputs!$G$5:$G$110&lt;&gt;"acoes")))*INDEX(Inputs!$K$5:$AJ$110,0,MATCH(AK$2,Inputs!$K$4:$AJ$4,0)))))</f>
        <v>11599</v>
      </c>
      <c r="AL39" s="3">
        <f>AK39</f>
        <v>11599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 t="e">
        <f>IF(ISNA(MATCH(D$2,Inputs!$K$4:$AJ$4,0)),NA(),IF(SUMPRODUCT((Inputs!$A$5:$A$110=$B41)*ISNUMBER(INDEX(Inputs!$K$5:$AJ$110,0,MATCH(D$2,Inputs!$K$4:$AJ$4,0))))+SUMPRODUCT((Inputs!$C$5:$C$110=$B41)*ISNUMBER(INDEX(Inputs!$K$5:$AJ$110,0,MATCH(D$2,Inputs!$K$4:$AJ$4,0))))+SUMPRODUCT((Inputs!$E$5:$E$110=$B41)*ISNUMBER(INDEX(Inputs!$K$5:$AJ$110,0,MATCH(D$2,Inputs!$K$4:$AJ$4,0))))=0,NA(),SUMPRODUCT((Inputs!$A$5:$A$110=$B41)*Inputs!$B$5:$B$110*(((Inputs!$G$5:$G$110="moeda")+(Inputs!$G$5:$G$110="acoes"))*Inputs!$B$1+((Inputs!$G$5:$G$110&lt;&gt;"moeda")*(Inputs!$G$5:$G$110&lt;&gt;"acoes")))*INDEX(Inputs!$K$5:$AJ$110,0,MATCH(D$2,Inputs!$K$4:$AJ$4,0)))+SUMPRODUCT((Inputs!$C$5:$C$110=$B41)*Inputs!$D$5:$D$110*(((Inputs!$G$5:$G$110="moeda")+(Inputs!$G$5:$G$110="acoes"))*Inputs!$B$1+((Inputs!$G$5:$G$110&lt;&gt;"moeda")*(Inputs!$G$5:$G$110&lt;&gt;"acoes")))*INDEX(Inputs!$K$5:$AJ$110,0,MATCH(D$2,Inputs!$K$4:$AJ$4,0)))+SUMPRODUCT((Inputs!$E$5:$E$110=$B41)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41" s="6" t="e">
        <f>IF(ISNA(MATCH(E$2,Inputs!$K$4:$AJ$4,0)),NA(),IF(SUMPRODUCT((Inputs!$A$5:$A$110=$B41)*ISNUMBER(INDEX(Inputs!$K$5:$AJ$110,0,MATCH(E$2,Inputs!$K$4:$AJ$4,0))))+SUMPRODUCT((Inputs!$C$5:$C$110=$B41)*ISNUMBER(INDEX(Inputs!$K$5:$AJ$110,0,MATCH(E$2,Inputs!$K$4:$AJ$4,0))))+SUMPRODUCT((Inputs!$E$5:$E$110=$B41)*ISNUMBER(INDEX(Inputs!$K$5:$AJ$110,0,MATCH(E$2,Inputs!$K$4:$AJ$4,0))))=0,NA(),SUMPRODUCT((Inputs!$A$5:$A$110=$B41)*Inputs!$B$5:$B$110*(((Inputs!$G$5:$G$110="moeda")+(Inputs!$G$5:$G$110="acoes"))*Inputs!$B$1+((Inputs!$G$5:$G$110&lt;&gt;"moeda")*(Inputs!$G$5:$G$110&lt;&gt;"acoes")))*INDEX(Inputs!$K$5:$AJ$110,0,MATCH(E$2,Inputs!$K$4:$AJ$4,0)))+SUMPRODUCT((Inputs!$C$5:$C$110=$B41)*Inputs!$D$5:$D$110*(((Inputs!$G$5:$G$110="moeda")+(Inputs!$G$5:$G$110="acoes"))*Inputs!$B$1+((Inputs!$G$5:$G$110&lt;&gt;"moeda")*(Inputs!$G$5:$G$110&lt;&gt;"acoes")))*INDEX(Inputs!$K$5:$AJ$110,0,MATCH(E$2,Inputs!$K$4:$AJ$4,0)))+SUMPRODUCT((Inputs!$E$5:$E$110=$B41)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41" s="6" t="e">
        <f>IF(ISNA(MATCH(F$2,Inputs!$K$4:$AJ$4,0)),NA(),IF(SUMPRODUCT((Inputs!$A$5:$A$110=$B41)*ISNUMBER(INDEX(Inputs!$K$5:$AJ$110,0,MATCH(F$2,Inputs!$K$4:$AJ$4,0))))+SUMPRODUCT((Inputs!$C$5:$C$110=$B41)*ISNUMBER(INDEX(Inputs!$K$5:$AJ$110,0,MATCH(F$2,Inputs!$K$4:$AJ$4,0))))+SUMPRODUCT((Inputs!$E$5:$E$110=$B41)*ISNUMBER(INDEX(Inputs!$K$5:$AJ$110,0,MATCH(F$2,Inputs!$K$4:$AJ$4,0))))=0,NA(),SUMPRODUCT((Inputs!$A$5:$A$110=$B41)*Inputs!$B$5:$B$110*(((Inputs!$G$5:$G$110="moeda")+(Inputs!$G$5:$G$110="acoes"))*Inputs!$B$1+((Inputs!$G$5:$G$110&lt;&gt;"moeda")*(Inputs!$G$5:$G$110&lt;&gt;"acoes")))*INDEX(Inputs!$K$5:$AJ$110,0,MATCH(F$2,Inputs!$K$4:$AJ$4,0)))+SUMPRODUCT((Inputs!$C$5:$C$110=$B41)*Inputs!$D$5:$D$110*(((Inputs!$G$5:$G$110="moeda")+(Inputs!$G$5:$G$110="acoes"))*Inputs!$B$1+((Inputs!$G$5:$G$110&lt;&gt;"moeda")*(Inputs!$G$5:$G$110&lt;&gt;"acoes")))*INDEX(Inputs!$K$5:$AJ$110,0,MATCH(F$2,Inputs!$K$4:$AJ$4,0)))+SUMPRODUCT((Inputs!$E$5:$E$110=$B41)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41" s="6" t="e">
        <f>IF(ISNA(MATCH(G$2,Inputs!$K$4:$AJ$4,0)),NA(),IF(SUMPRODUCT((Inputs!$A$5:$A$110=$B41)*ISNUMBER(INDEX(Inputs!$K$5:$AJ$110,0,MATCH(G$2,Inputs!$K$4:$AJ$4,0))))+SUMPRODUCT((Inputs!$C$5:$C$110=$B41)*ISNUMBER(INDEX(Inputs!$K$5:$AJ$110,0,MATCH(G$2,Inputs!$K$4:$AJ$4,0))))+SUMPRODUCT((Inputs!$E$5:$E$110=$B41)*ISNUMBER(INDEX(Inputs!$K$5:$AJ$110,0,MATCH(G$2,Inputs!$K$4:$AJ$4,0))))=0,NA(),SUMPRODUCT((Inputs!$A$5:$A$110=$B41)*Inputs!$B$5:$B$110*(((Inputs!$G$5:$G$110="moeda")+(Inputs!$G$5:$G$110="acoes"))*Inputs!$B$1+((Inputs!$G$5:$G$110&lt;&gt;"moeda")*(Inputs!$G$5:$G$110&lt;&gt;"acoes")))*INDEX(Inputs!$K$5:$AJ$110,0,MATCH(G$2,Inputs!$K$4:$AJ$4,0)))+SUMPRODUCT((Inputs!$C$5:$C$110=$B41)*Inputs!$D$5:$D$110*(((Inputs!$G$5:$G$110="moeda")+(Inputs!$G$5:$G$110="acoes"))*Inputs!$B$1+((Inputs!$G$5:$G$110&lt;&gt;"moeda")*(Inputs!$G$5:$G$110&lt;&gt;"acoes")))*INDEX(Inputs!$K$5:$AJ$110,0,MATCH(G$2,Inputs!$K$4:$AJ$4,0)))+SUMPRODUCT((Inputs!$E$5:$E$110=$B41)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41" s="3" t="e">
        <f>G41</f>
        <v>#N/A</v>
      </c>
      <c r="I41" s="6" t="e">
        <f>IF(ISNA(MATCH(I$2,Inputs!$K$4:$AJ$4,0)),NA(),IF(SUMPRODUCT((Inputs!$A$5:$A$110=$B41)*ISNUMBER(INDEX(Inputs!$K$5:$AJ$110,0,MATCH(I$2,Inputs!$K$4:$AJ$4,0))))+SUMPRODUCT((Inputs!$C$5:$C$110=$B41)*ISNUMBER(INDEX(Inputs!$K$5:$AJ$110,0,MATCH(I$2,Inputs!$K$4:$AJ$4,0))))+SUMPRODUCT((Inputs!$E$5:$E$110=$B41)*ISNUMBER(INDEX(Inputs!$K$5:$AJ$110,0,MATCH(I$2,Inputs!$K$4:$AJ$4,0))))=0,NA(),SUMPRODUCT((Inputs!$A$5:$A$110=$B41)*Inputs!$B$5:$B$110*(((Inputs!$G$5:$G$110="moeda")+(Inputs!$G$5:$G$110="acoes"))*Inputs!$B$1+((Inputs!$G$5:$G$110&lt;&gt;"moeda")*(Inputs!$G$5:$G$110&lt;&gt;"acoes")))*INDEX(Inputs!$K$5:$AJ$110,0,MATCH(I$2,Inputs!$K$4:$AJ$4,0)))+SUMPRODUCT((Inputs!$C$5:$C$110=$B41)*Inputs!$D$5:$D$110*(((Inputs!$G$5:$G$110="moeda")+(Inputs!$G$5:$G$110="acoes"))*Inputs!$B$1+((Inputs!$G$5:$G$110&lt;&gt;"moeda")*(Inputs!$G$5:$G$110&lt;&gt;"acoes")))*INDEX(Inputs!$K$5:$AJ$110,0,MATCH(I$2,Inputs!$K$4:$AJ$4,0)))+SUMPRODUCT((Inputs!$E$5:$E$110=$B41)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41" s="6" t="e">
        <f>IF(ISNA(MATCH(J$2,Inputs!$K$4:$AJ$4,0)),NA(),IF(SUMPRODUCT((Inputs!$A$5:$A$110=$B41)*ISNUMBER(INDEX(Inputs!$K$5:$AJ$110,0,MATCH(J$2,Inputs!$K$4:$AJ$4,0))))+SUMPRODUCT((Inputs!$C$5:$C$110=$B41)*ISNUMBER(INDEX(Inputs!$K$5:$AJ$110,0,MATCH(J$2,Inputs!$K$4:$AJ$4,0))))+SUMPRODUCT((Inputs!$E$5:$E$110=$B41)*ISNUMBER(INDEX(Inputs!$K$5:$AJ$110,0,MATCH(J$2,Inputs!$K$4:$AJ$4,0))))=0,NA(),SUMPRODUCT((Inputs!$A$5:$A$110=$B41)*Inputs!$B$5:$B$110*(((Inputs!$G$5:$G$110="moeda")+(Inputs!$G$5:$G$110="acoes"))*Inputs!$B$1+((Inputs!$G$5:$G$110&lt;&gt;"moeda")*(Inputs!$G$5:$G$110&lt;&gt;"acoes")))*INDEX(Inputs!$K$5:$AJ$110,0,MATCH(J$2,Inputs!$K$4:$AJ$4,0)))+SUMPRODUCT((Inputs!$C$5:$C$110=$B41)*Inputs!$D$5:$D$110*(((Inputs!$G$5:$G$110="moeda")+(Inputs!$G$5:$G$110="acoes"))*Inputs!$B$1+((Inputs!$G$5:$G$110&lt;&gt;"moeda")*(Inputs!$G$5:$G$110&lt;&gt;"acoes")))*INDEX(Inputs!$K$5:$AJ$110,0,MATCH(J$2,Inputs!$K$4:$AJ$4,0)))+SUMPRODUCT((Inputs!$E$5:$E$110=$B41)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41" s="6" t="e">
        <f>IF(ISNA(MATCH(K$2,Inputs!$K$4:$AJ$4,0)),NA(),IF(SUMPRODUCT((Inputs!$A$5:$A$110=$B41)*ISNUMBER(INDEX(Inputs!$K$5:$AJ$110,0,MATCH(K$2,Inputs!$K$4:$AJ$4,0))))+SUMPRODUCT((Inputs!$C$5:$C$110=$B41)*ISNUMBER(INDEX(Inputs!$K$5:$AJ$110,0,MATCH(K$2,Inputs!$K$4:$AJ$4,0))))+SUMPRODUCT((Inputs!$E$5:$E$110=$B41)*ISNUMBER(INDEX(Inputs!$K$5:$AJ$110,0,MATCH(K$2,Inputs!$K$4:$AJ$4,0))))=0,NA(),SUMPRODUCT((Inputs!$A$5:$A$110=$B41)*Inputs!$B$5:$B$110*(((Inputs!$G$5:$G$110="moeda")+(Inputs!$G$5:$G$110="acoes"))*Inputs!$B$1+((Inputs!$G$5:$G$110&lt;&gt;"moeda")*(Inputs!$G$5:$G$110&lt;&gt;"acoes")))*INDEX(Inputs!$K$5:$AJ$110,0,MATCH(K$2,Inputs!$K$4:$AJ$4,0)))+SUMPRODUCT((Inputs!$C$5:$C$110=$B41)*Inputs!$D$5:$D$110*(((Inputs!$G$5:$G$110="moeda")+(Inputs!$G$5:$G$110="acoes"))*Inputs!$B$1+((Inputs!$G$5:$G$110&lt;&gt;"moeda")*(Inputs!$G$5:$G$110&lt;&gt;"acoes")))*INDEX(Inputs!$K$5:$AJ$110,0,MATCH(K$2,Inputs!$K$4:$AJ$4,0)))+SUMPRODUCT((Inputs!$E$5:$E$110=$B41)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41" s="6" t="e">
        <f>IF(ISNA(MATCH(L$2,Inputs!$K$4:$AJ$4,0)),NA(),IF(SUMPRODUCT((Inputs!$A$5:$A$110=$B41)*ISNUMBER(INDEX(Inputs!$K$5:$AJ$110,0,MATCH(L$2,Inputs!$K$4:$AJ$4,0))))+SUMPRODUCT((Inputs!$C$5:$C$110=$B41)*ISNUMBER(INDEX(Inputs!$K$5:$AJ$110,0,MATCH(L$2,Inputs!$K$4:$AJ$4,0))))+SUMPRODUCT((Inputs!$E$5:$E$110=$B41)*ISNUMBER(INDEX(Inputs!$K$5:$AJ$110,0,MATCH(L$2,Inputs!$K$4:$AJ$4,0))))=0,NA(),SUMPRODUCT((Inputs!$A$5:$A$110=$B41)*Inputs!$B$5:$B$110*(((Inputs!$G$5:$G$110="moeda")+(Inputs!$G$5:$G$110="acoes"))*Inputs!$B$1+((Inputs!$G$5:$G$110&lt;&gt;"moeda")*(Inputs!$G$5:$G$110&lt;&gt;"acoes")))*INDEX(Inputs!$K$5:$AJ$110,0,MATCH(L$2,Inputs!$K$4:$AJ$4,0)))+SUMPRODUCT((Inputs!$C$5:$C$110=$B41)*Inputs!$D$5:$D$110*(((Inputs!$G$5:$G$110="moeda")+(Inputs!$G$5:$G$110="acoes"))*Inputs!$B$1+((Inputs!$G$5:$G$110&lt;&gt;"moeda")*(Inputs!$G$5:$G$110&lt;&gt;"acoes")))*INDEX(Inputs!$K$5:$AJ$110,0,MATCH(L$2,Inputs!$K$4:$AJ$4,0)))+SUMPRODUCT((Inputs!$E$5:$E$110=$B41)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41" s="3" t="e">
        <f>L41</f>
        <v>#N/A</v>
      </c>
      <c r="N41" s="6" t="e">
        <f>IF(ISNA(MATCH(N$2,Inputs!$K$4:$AJ$4,0)),NA(),IF(SUMPRODUCT((Inputs!$A$5:$A$110=$B41)*ISNUMBER(INDEX(Inputs!$K$5:$AJ$110,0,MATCH(N$2,Inputs!$K$4:$AJ$4,0))))+SUMPRODUCT((Inputs!$C$5:$C$110=$B41)*ISNUMBER(INDEX(Inputs!$K$5:$AJ$110,0,MATCH(N$2,Inputs!$K$4:$AJ$4,0))))+SUMPRODUCT((Inputs!$E$5:$E$110=$B41)*ISNUMBER(INDEX(Inputs!$K$5:$AJ$110,0,MATCH(N$2,Inputs!$K$4:$AJ$4,0))))=0,NA(),SUMPRODUCT((Inputs!$A$5:$A$110=$B41)*Inputs!$B$5:$B$110*(((Inputs!$G$5:$G$110="moeda")+(Inputs!$G$5:$G$110="acoes"))*Inputs!$B$1+((Inputs!$G$5:$G$110&lt;&gt;"moeda")*(Inputs!$G$5:$G$110&lt;&gt;"acoes")))*INDEX(Inputs!$K$5:$AJ$110,0,MATCH(N$2,Inputs!$K$4:$AJ$4,0)))+SUMPRODUCT((Inputs!$C$5:$C$110=$B41)*Inputs!$D$5:$D$110*(((Inputs!$G$5:$G$110="moeda")+(Inputs!$G$5:$G$110="acoes"))*Inputs!$B$1+((Inputs!$G$5:$G$110&lt;&gt;"moeda")*(Inputs!$G$5:$G$110&lt;&gt;"acoes")))*INDEX(Inputs!$K$5:$AJ$110,0,MATCH(N$2,Inputs!$K$4:$AJ$4,0)))+SUMPRODUCT((Inputs!$E$5:$E$110=$B41)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41" s="6" t="e">
        <f>IF(ISNA(MATCH(O$2,Inputs!$K$4:$AJ$4,0)),NA(),IF(SUMPRODUCT((Inputs!$A$5:$A$110=$B41)*ISNUMBER(INDEX(Inputs!$K$5:$AJ$110,0,MATCH(O$2,Inputs!$K$4:$AJ$4,0))))+SUMPRODUCT((Inputs!$C$5:$C$110=$B41)*ISNUMBER(INDEX(Inputs!$K$5:$AJ$110,0,MATCH(O$2,Inputs!$K$4:$AJ$4,0))))+SUMPRODUCT((Inputs!$E$5:$E$110=$B41)*ISNUMBER(INDEX(Inputs!$K$5:$AJ$110,0,MATCH(O$2,Inputs!$K$4:$AJ$4,0))))=0,NA(),SUMPRODUCT((Inputs!$A$5:$A$110=$B41)*Inputs!$B$5:$B$110*(((Inputs!$G$5:$G$110="moeda")+(Inputs!$G$5:$G$110="acoes"))*Inputs!$B$1+((Inputs!$G$5:$G$110&lt;&gt;"moeda")*(Inputs!$G$5:$G$110&lt;&gt;"acoes")))*INDEX(Inputs!$K$5:$AJ$110,0,MATCH(O$2,Inputs!$K$4:$AJ$4,0)))+SUMPRODUCT((Inputs!$C$5:$C$110=$B41)*Inputs!$D$5:$D$110*(((Inputs!$G$5:$G$110="moeda")+(Inputs!$G$5:$G$110="acoes"))*Inputs!$B$1+((Inputs!$G$5:$G$110&lt;&gt;"moeda")*(Inputs!$G$5:$G$110&lt;&gt;"acoes")))*INDEX(Inputs!$K$5:$AJ$110,0,MATCH(O$2,Inputs!$K$4:$AJ$4,0)))+SUMPRODUCT((Inputs!$E$5:$E$110=$B41)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41" s="6" t="e">
        <f>IF(ISNA(MATCH(P$2,Inputs!$K$4:$AJ$4,0)),NA(),IF(SUMPRODUCT((Inputs!$A$5:$A$110=$B41)*ISNUMBER(INDEX(Inputs!$K$5:$AJ$110,0,MATCH(P$2,Inputs!$K$4:$AJ$4,0))))+SUMPRODUCT((Inputs!$C$5:$C$110=$B41)*ISNUMBER(INDEX(Inputs!$K$5:$AJ$110,0,MATCH(P$2,Inputs!$K$4:$AJ$4,0))))+SUMPRODUCT((Inputs!$E$5:$E$110=$B41)*ISNUMBER(INDEX(Inputs!$K$5:$AJ$110,0,MATCH(P$2,Inputs!$K$4:$AJ$4,0))))=0,NA(),SUMPRODUCT((Inputs!$A$5:$A$110=$B41)*Inputs!$B$5:$B$110*(((Inputs!$G$5:$G$110="moeda")+(Inputs!$G$5:$G$110="acoes"))*Inputs!$B$1+((Inputs!$G$5:$G$110&lt;&gt;"moeda")*(Inputs!$G$5:$G$110&lt;&gt;"acoes")))*INDEX(Inputs!$K$5:$AJ$110,0,MATCH(P$2,Inputs!$K$4:$AJ$4,0)))+SUMPRODUCT((Inputs!$C$5:$C$110=$B41)*Inputs!$D$5:$D$110*(((Inputs!$G$5:$G$110="moeda")+(Inputs!$G$5:$G$110="acoes"))*Inputs!$B$1+((Inputs!$G$5:$G$110&lt;&gt;"moeda")*(Inputs!$G$5:$G$110&lt;&gt;"acoes")))*INDEX(Inputs!$K$5:$AJ$110,0,MATCH(P$2,Inputs!$K$4:$AJ$4,0)))+SUMPRODUCT((Inputs!$E$5:$E$110=$B41)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41" s="6" t="e">
        <f>IF(ISNA(MATCH(Q$2,Inputs!$K$4:$AJ$4,0)),NA(),IF(SUMPRODUCT((Inputs!$A$5:$A$110=$B41)*ISNUMBER(INDEX(Inputs!$K$5:$AJ$110,0,MATCH(Q$2,Inputs!$K$4:$AJ$4,0))))+SUMPRODUCT((Inputs!$C$5:$C$110=$B41)*ISNUMBER(INDEX(Inputs!$K$5:$AJ$110,0,MATCH(Q$2,Inputs!$K$4:$AJ$4,0))))+SUMPRODUCT((Inputs!$E$5:$E$110=$B41)*ISNUMBER(INDEX(Inputs!$K$5:$AJ$110,0,MATCH(Q$2,Inputs!$K$4:$AJ$4,0))))=0,NA(),SUMPRODUCT((Inputs!$A$5:$A$110=$B41)*Inputs!$B$5:$B$110*(((Inputs!$G$5:$G$110="moeda")+(Inputs!$G$5:$G$110="acoes"))*Inputs!$B$1+((Inputs!$G$5:$G$110&lt;&gt;"moeda")*(Inputs!$G$5:$G$110&lt;&gt;"acoes")))*INDEX(Inputs!$K$5:$AJ$110,0,MATCH(Q$2,Inputs!$K$4:$AJ$4,0)))+SUMPRODUCT((Inputs!$C$5:$C$110=$B41)*Inputs!$D$5:$D$110*(((Inputs!$G$5:$G$110="moeda")+(Inputs!$G$5:$G$110="acoes"))*Inputs!$B$1+((Inputs!$G$5:$G$110&lt;&gt;"moeda")*(Inputs!$G$5:$G$110&lt;&gt;"acoes")))*INDEX(Inputs!$K$5:$AJ$110,0,MATCH(Q$2,Inputs!$K$4:$AJ$4,0)))+SUMPRODUCT((Inputs!$E$5:$E$110=$B41)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41" s="3" t="e">
        <f>Q41</f>
        <v>#N/A</v>
      </c>
      <c r="S41" s="6" t="e">
        <f>IF(ISNA(MATCH(S$2,Inputs!$K$4:$AJ$4,0)),NA(),IF(SUMPRODUCT((Inputs!$A$5:$A$110=$B41)*ISNUMBER(INDEX(Inputs!$K$5:$AJ$110,0,MATCH(S$2,Inputs!$K$4:$AJ$4,0))))+SUMPRODUCT((Inputs!$C$5:$C$110=$B41)*ISNUMBER(INDEX(Inputs!$K$5:$AJ$110,0,MATCH(S$2,Inputs!$K$4:$AJ$4,0))))+SUMPRODUCT((Inputs!$E$5:$E$110=$B41)*ISNUMBER(INDEX(Inputs!$K$5:$AJ$110,0,MATCH(S$2,Inputs!$K$4:$AJ$4,0))))=0,NA(),SUMPRODUCT((Inputs!$A$5:$A$110=$B41)*Inputs!$B$5:$B$110*(((Inputs!$G$5:$G$110="moeda")+(Inputs!$G$5:$G$110="acoes"))*Inputs!$B$1+((Inputs!$G$5:$G$110&lt;&gt;"moeda")*(Inputs!$G$5:$G$110&lt;&gt;"acoes")))*INDEX(Inputs!$K$5:$AJ$110,0,MATCH(S$2,Inputs!$K$4:$AJ$4,0)))+SUMPRODUCT((Inputs!$C$5:$C$110=$B41)*Inputs!$D$5:$D$110*(((Inputs!$G$5:$G$110="moeda")+(Inputs!$G$5:$G$110="acoes"))*Inputs!$B$1+((Inputs!$G$5:$G$110&lt;&gt;"moeda")*(Inputs!$G$5:$G$110&lt;&gt;"acoes")))*INDEX(Inputs!$K$5:$AJ$110,0,MATCH(S$2,Inputs!$K$4:$AJ$4,0)))+SUMPRODUCT((Inputs!$E$5:$E$110=$B41)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41" s="6" t="e">
        <f>IF(ISNA(MATCH(T$2,Inputs!$K$4:$AJ$4,0)),NA(),IF(SUMPRODUCT((Inputs!$A$5:$A$110=$B41)*ISNUMBER(INDEX(Inputs!$K$5:$AJ$110,0,MATCH(T$2,Inputs!$K$4:$AJ$4,0))))+SUMPRODUCT((Inputs!$C$5:$C$110=$B41)*ISNUMBER(INDEX(Inputs!$K$5:$AJ$110,0,MATCH(T$2,Inputs!$K$4:$AJ$4,0))))+SUMPRODUCT((Inputs!$E$5:$E$110=$B41)*ISNUMBER(INDEX(Inputs!$K$5:$AJ$110,0,MATCH(T$2,Inputs!$K$4:$AJ$4,0))))=0,NA(),SUMPRODUCT((Inputs!$A$5:$A$110=$B41)*Inputs!$B$5:$B$110*(((Inputs!$G$5:$G$110="moeda")+(Inputs!$G$5:$G$110="acoes"))*Inputs!$B$1+((Inputs!$G$5:$G$110&lt;&gt;"moeda")*(Inputs!$G$5:$G$110&lt;&gt;"acoes")))*INDEX(Inputs!$K$5:$AJ$110,0,MATCH(T$2,Inputs!$K$4:$AJ$4,0)))+SUMPRODUCT((Inputs!$C$5:$C$110=$B41)*Inputs!$D$5:$D$110*(((Inputs!$G$5:$G$110="moeda")+(Inputs!$G$5:$G$110="acoes"))*Inputs!$B$1+((Inputs!$G$5:$G$110&lt;&gt;"moeda")*(Inputs!$G$5:$G$110&lt;&gt;"acoes")))*INDEX(Inputs!$K$5:$AJ$110,0,MATCH(T$2,Inputs!$K$4:$AJ$4,0)))+SUMPRODUCT((Inputs!$E$5:$E$110=$B41)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41" s="6" t="e">
        <f>IF(ISNA(MATCH(U$2,Inputs!$K$4:$AJ$4,0)),NA(),IF(SUMPRODUCT((Inputs!$A$5:$A$110=$B41)*ISNUMBER(INDEX(Inputs!$K$5:$AJ$110,0,MATCH(U$2,Inputs!$K$4:$AJ$4,0))))+SUMPRODUCT((Inputs!$C$5:$C$110=$B41)*ISNUMBER(INDEX(Inputs!$K$5:$AJ$110,0,MATCH(U$2,Inputs!$K$4:$AJ$4,0))))+SUMPRODUCT((Inputs!$E$5:$E$110=$B41)*ISNUMBER(INDEX(Inputs!$K$5:$AJ$110,0,MATCH(U$2,Inputs!$K$4:$AJ$4,0))))=0,NA(),SUMPRODUCT((Inputs!$A$5:$A$110=$B41)*Inputs!$B$5:$B$110*(((Inputs!$G$5:$G$110="moeda")+(Inputs!$G$5:$G$110="acoes"))*Inputs!$B$1+((Inputs!$G$5:$G$110&lt;&gt;"moeda")*(Inputs!$G$5:$G$110&lt;&gt;"acoes")))*INDEX(Inputs!$K$5:$AJ$110,0,MATCH(U$2,Inputs!$K$4:$AJ$4,0)))+SUMPRODUCT((Inputs!$C$5:$C$110=$B41)*Inputs!$D$5:$D$110*(((Inputs!$G$5:$G$110="moeda")+(Inputs!$G$5:$G$110="acoes"))*Inputs!$B$1+((Inputs!$G$5:$G$110&lt;&gt;"moeda")*(Inputs!$G$5:$G$110&lt;&gt;"acoes")))*INDEX(Inputs!$K$5:$AJ$110,0,MATCH(U$2,Inputs!$K$4:$AJ$4,0)))+SUMPRODUCT((Inputs!$E$5:$E$110=$B41)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41" s="6" t="e">
        <f>IF(ISNA(MATCH(V$2,Inputs!$K$4:$AJ$4,0)),NA(),IF(SUMPRODUCT((Inputs!$A$5:$A$110=$B41)*ISNUMBER(INDEX(Inputs!$K$5:$AJ$110,0,MATCH(V$2,Inputs!$K$4:$AJ$4,0))))+SUMPRODUCT((Inputs!$C$5:$C$110=$B41)*ISNUMBER(INDEX(Inputs!$K$5:$AJ$110,0,MATCH(V$2,Inputs!$K$4:$AJ$4,0))))+SUMPRODUCT((Inputs!$E$5:$E$110=$B41)*ISNUMBER(INDEX(Inputs!$K$5:$AJ$110,0,MATCH(V$2,Inputs!$K$4:$AJ$4,0))))=0,NA(),SUMPRODUCT((Inputs!$A$5:$A$110=$B41)*Inputs!$B$5:$B$110*(((Inputs!$G$5:$G$110="moeda")+(Inputs!$G$5:$G$110="acoes"))*Inputs!$B$1+((Inputs!$G$5:$G$110&lt;&gt;"moeda")*(Inputs!$G$5:$G$110&lt;&gt;"acoes")))*INDEX(Inputs!$K$5:$AJ$110,0,MATCH(V$2,Inputs!$K$4:$AJ$4,0)))+SUMPRODUCT((Inputs!$C$5:$C$110=$B41)*Inputs!$D$5:$D$110*(((Inputs!$G$5:$G$110="moeda")+(Inputs!$G$5:$G$110="acoes"))*Inputs!$B$1+((Inputs!$G$5:$G$110&lt;&gt;"moeda")*(Inputs!$G$5:$G$110&lt;&gt;"acoes")))*INDEX(Inputs!$K$5:$AJ$110,0,MATCH(V$2,Inputs!$K$4:$AJ$4,0)))+SUMPRODUCT((Inputs!$E$5:$E$110=$B41)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41" s="3" t="e">
        <f>V41</f>
        <v>#N/A</v>
      </c>
      <c r="X41" s="6" t="e">
        <f>IF(ISNA(MATCH(X$2,Inputs!$K$4:$AJ$4,0)),NA(),IF(SUMPRODUCT((Inputs!$A$5:$A$110=$B41)*ISNUMBER(INDEX(Inputs!$K$5:$AJ$110,0,MATCH(X$2,Inputs!$K$4:$AJ$4,0))))+SUMPRODUCT((Inputs!$C$5:$C$110=$B41)*ISNUMBER(INDEX(Inputs!$K$5:$AJ$110,0,MATCH(X$2,Inputs!$K$4:$AJ$4,0))))+SUMPRODUCT((Inputs!$E$5:$E$110=$B41)*ISNUMBER(INDEX(Inputs!$K$5:$AJ$110,0,MATCH(X$2,Inputs!$K$4:$AJ$4,0))))=0,NA(),SUMPRODUCT((Inputs!$A$5:$A$110=$B41)*Inputs!$B$5:$B$110*(((Inputs!$G$5:$G$110="moeda")+(Inputs!$G$5:$G$110="acoes"))*Inputs!$B$1+((Inputs!$G$5:$G$110&lt;&gt;"moeda")*(Inputs!$G$5:$G$110&lt;&gt;"acoes")))*INDEX(Inputs!$K$5:$AJ$110,0,MATCH(X$2,Inputs!$K$4:$AJ$4,0)))+SUMPRODUCT((Inputs!$C$5:$C$110=$B41)*Inputs!$D$5:$D$110*(((Inputs!$G$5:$G$110="moeda")+(Inputs!$G$5:$G$110="acoes"))*Inputs!$B$1+((Inputs!$G$5:$G$110&lt;&gt;"moeda")*(Inputs!$G$5:$G$110&lt;&gt;"acoes")))*INDEX(Inputs!$K$5:$AJ$110,0,MATCH(X$2,Inputs!$K$4:$AJ$4,0)))+SUMPRODUCT((Inputs!$E$5:$E$110=$B41)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41" s="6" t="e">
        <f>IF(ISNA(MATCH(Y$2,Inputs!$K$4:$AJ$4,0)),NA(),IF(SUMPRODUCT((Inputs!$A$5:$A$110=$B41)*ISNUMBER(INDEX(Inputs!$K$5:$AJ$110,0,MATCH(Y$2,Inputs!$K$4:$AJ$4,0))))+SUMPRODUCT((Inputs!$C$5:$C$110=$B41)*ISNUMBER(INDEX(Inputs!$K$5:$AJ$110,0,MATCH(Y$2,Inputs!$K$4:$AJ$4,0))))+SUMPRODUCT((Inputs!$E$5:$E$110=$B41)*ISNUMBER(INDEX(Inputs!$K$5:$AJ$110,0,MATCH(Y$2,Inputs!$K$4:$AJ$4,0))))=0,NA(),SUMPRODUCT((Inputs!$A$5:$A$110=$B41)*Inputs!$B$5:$B$110*(((Inputs!$G$5:$G$110="moeda")+(Inputs!$G$5:$G$110="acoes"))*Inputs!$B$1+((Inputs!$G$5:$G$110&lt;&gt;"moeda")*(Inputs!$G$5:$G$110&lt;&gt;"acoes")))*INDEX(Inputs!$K$5:$AJ$110,0,MATCH(Y$2,Inputs!$K$4:$AJ$4,0)))+SUMPRODUCT((Inputs!$C$5:$C$110=$B41)*Inputs!$D$5:$D$110*(((Inputs!$G$5:$G$110="moeda")+(Inputs!$G$5:$G$110="acoes"))*Inputs!$B$1+((Inputs!$G$5:$G$110&lt;&gt;"moeda")*(Inputs!$G$5:$G$110&lt;&gt;"acoes")))*INDEX(Inputs!$K$5:$AJ$110,0,MATCH(Y$2,Inputs!$K$4:$AJ$4,0)))+SUMPRODUCT((Inputs!$E$5:$E$110=$B41)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41" s="6" t="e">
        <f>IF(ISNA(MATCH(Z$2,Inputs!$K$4:$AJ$4,0)),NA(),IF(SUMPRODUCT((Inputs!$A$5:$A$110=$B41)*ISNUMBER(INDEX(Inputs!$K$5:$AJ$110,0,MATCH(Z$2,Inputs!$K$4:$AJ$4,0))))+SUMPRODUCT((Inputs!$C$5:$C$110=$B41)*ISNUMBER(INDEX(Inputs!$K$5:$AJ$110,0,MATCH(Z$2,Inputs!$K$4:$AJ$4,0))))+SUMPRODUCT((Inputs!$E$5:$E$110=$B41)*ISNUMBER(INDEX(Inputs!$K$5:$AJ$110,0,MATCH(Z$2,Inputs!$K$4:$AJ$4,0))))=0,NA(),SUMPRODUCT((Inputs!$A$5:$A$110=$B41)*Inputs!$B$5:$B$110*(((Inputs!$G$5:$G$110="moeda")+(Inputs!$G$5:$G$110="acoes"))*Inputs!$B$1+((Inputs!$G$5:$G$110&lt;&gt;"moeda")*(Inputs!$G$5:$G$110&lt;&gt;"acoes")))*INDEX(Inputs!$K$5:$AJ$110,0,MATCH(Z$2,Inputs!$K$4:$AJ$4,0)))+SUMPRODUCT((Inputs!$C$5:$C$110=$B41)*Inputs!$D$5:$D$110*(((Inputs!$G$5:$G$110="moeda")+(Inputs!$G$5:$G$110="acoes"))*Inputs!$B$1+((Inputs!$G$5:$G$110&lt;&gt;"moeda")*(Inputs!$G$5:$G$110&lt;&gt;"acoes")))*INDEX(Inputs!$K$5:$AJ$110,0,MATCH(Z$2,Inputs!$K$4:$AJ$4,0)))+SUMPRODUCT((Inputs!$E$5:$E$110=$B41)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41" s="6" t="e">
        <f>IF(ISNA(MATCH(AA$2,Inputs!$K$4:$AJ$4,0)),NA(),IF(SUMPRODUCT((Inputs!$A$5:$A$110=$B41)*ISNUMBER(INDEX(Inputs!$K$5:$AJ$110,0,MATCH(AA$2,Inputs!$K$4:$AJ$4,0))))+SUMPRODUCT((Inputs!$C$5:$C$110=$B41)*ISNUMBER(INDEX(Inputs!$K$5:$AJ$110,0,MATCH(AA$2,Inputs!$K$4:$AJ$4,0))))+SUMPRODUCT((Inputs!$E$5:$E$110=$B41)*ISNUMBER(INDEX(Inputs!$K$5:$AJ$110,0,MATCH(AA$2,Inputs!$K$4:$AJ$4,0))))=0,NA(),SUMPRODUCT((Inputs!$A$5:$A$110=$B41)*Inputs!$B$5:$B$110*(((Inputs!$G$5:$G$110="moeda")+(Inputs!$G$5:$G$110="acoes"))*Inputs!$B$1+((Inputs!$G$5:$G$110&lt;&gt;"moeda")*(Inputs!$G$5:$G$110&lt;&gt;"acoes")))*INDEX(Inputs!$K$5:$AJ$110,0,MATCH(AA$2,Inputs!$K$4:$AJ$4,0)))+SUMPRODUCT((Inputs!$C$5:$C$110=$B41)*Inputs!$D$5:$D$110*(((Inputs!$G$5:$G$110="moeda")+(Inputs!$G$5:$G$110="acoes"))*Inputs!$B$1+((Inputs!$G$5:$G$110&lt;&gt;"moeda")*(Inputs!$G$5:$G$110&lt;&gt;"acoes")))*INDEX(Inputs!$K$5:$AJ$110,0,MATCH(AA$2,Inputs!$K$4:$AJ$4,0)))+SUMPRODUCT((Inputs!$E$5:$E$110=$B41)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41" s="3" t="e">
        <f>AA41</f>
        <v>#N/A</v>
      </c>
      <c r="AC41" s="6" t="e">
        <f>IF(ISNA(MATCH(AC$2,Inputs!$K$4:$AJ$4,0)),NA(),IF(SUMPRODUCT((Inputs!$A$5:$A$110=$B41)*ISNUMBER(INDEX(Inputs!$K$5:$AJ$110,0,MATCH(AC$2,Inputs!$K$4:$AJ$4,0))))+SUMPRODUCT((Inputs!$C$5:$C$110=$B41)*ISNUMBER(INDEX(Inputs!$K$5:$AJ$110,0,MATCH(AC$2,Inputs!$K$4:$AJ$4,0))))+SUMPRODUCT((Inputs!$E$5:$E$110=$B41)*ISNUMBER(INDEX(Inputs!$K$5:$AJ$110,0,MATCH(AC$2,Inputs!$K$4:$AJ$4,0))))=0,NA(),SUMPRODUCT((Inputs!$A$5:$A$110=$B41)*Inputs!$B$5:$B$110*(((Inputs!$G$5:$G$110="moeda")+(Inputs!$G$5:$G$110="acoes"))*Inputs!$B$1+((Inputs!$G$5:$G$110&lt;&gt;"moeda")*(Inputs!$G$5:$G$110&lt;&gt;"acoes")))*INDEX(Inputs!$K$5:$AJ$110,0,MATCH(AC$2,Inputs!$K$4:$AJ$4,0)))+SUMPRODUCT((Inputs!$C$5:$C$110=$B41)*Inputs!$D$5:$D$110*(((Inputs!$G$5:$G$110="moeda")+(Inputs!$G$5:$G$110="acoes"))*Inputs!$B$1+((Inputs!$G$5:$G$110&lt;&gt;"moeda")*(Inputs!$G$5:$G$110&lt;&gt;"acoes")))*INDEX(Inputs!$K$5:$AJ$110,0,MATCH(AC$2,Inputs!$K$4:$AJ$4,0)))+SUMPRODUCT((Inputs!$E$5:$E$110=$B41)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41" s="6" t="e">
        <f>IF(ISNA(MATCH(AD$2,Inputs!$K$4:$AJ$4,0)),NA(),IF(SUMPRODUCT((Inputs!$A$5:$A$110=$B41)*ISNUMBER(INDEX(Inputs!$K$5:$AJ$110,0,MATCH(AD$2,Inputs!$K$4:$AJ$4,0))))+SUMPRODUCT((Inputs!$C$5:$C$110=$B41)*ISNUMBER(INDEX(Inputs!$K$5:$AJ$110,0,MATCH(AD$2,Inputs!$K$4:$AJ$4,0))))+SUMPRODUCT((Inputs!$E$5:$E$110=$B41)*ISNUMBER(INDEX(Inputs!$K$5:$AJ$110,0,MATCH(AD$2,Inputs!$K$4:$AJ$4,0))))=0,NA(),SUMPRODUCT((Inputs!$A$5:$A$110=$B41)*Inputs!$B$5:$B$110*(((Inputs!$G$5:$G$110="moeda")+(Inputs!$G$5:$G$110="acoes"))*Inputs!$B$1+((Inputs!$G$5:$G$110&lt;&gt;"moeda")*(Inputs!$G$5:$G$110&lt;&gt;"acoes")))*INDEX(Inputs!$K$5:$AJ$110,0,MATCH(AD$2,Inputs!$K$4:$AJ$4,0)))+SUMPRODUCT((Inputs!$C$5:$C$110=$B41)*Inputs!$D$5:$D$110*(((Inputs!$G$5:$G$110="moeda")+(Inputs!$G$5:$G$110="acoes"))*Inputs!$B$1+((Inputs!$G$5:$G$110&lt;&gt;"moeda")*(Inputs!$G$5:$G$110&lt;&gt;"acoes")))*INDEX(Inputs!$K$5:$AJ$110,0,MATCH(AD$2,Inputs!$K$4:$AJ$4,0)))+SUMPRODUCT((Inputs!$E$5:$E$110=$B41)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41" s="6" t="e">
        <f>IF(ISNA(MATCH(AE$2,Inputs!$K$4:$AJ$4,0)),NA(),IF(SUMPRODUCT((Inputs!$A$5:$A$110=$B41)*ISNUMBER(INDEX(Inputs!$K$5:$AJ$110,0,MATCH(AE$2,Inputs!$K$4:$AJ$4,0))))+SUMPRODUCT((Inputs!$C$5:$C$110=$B41)*ISNUMBER(INDEX(Inputs!$K$5:$AJ$110,0,MATCH(AE$2,Inputs!$K$4:$AJ$4,0))))+SUMPRODUCT((Inputs!$E$5:$E$110=$B41)*ISNUMBER(INDEX(Inputs!$K$5:$AJ$110,0,MATCH(AE$2,Inputs!$K$4:$AJ$4,0))))=0,NA(),SUMPRODUCT((Inputs!$A$5:$A$110=$B41)*Inputs!$B$5:$B$110*(((Inputs!$G$5:$G$110="moeda")+(Inputs!$G$5:$G$110="acoes"))*Inputs!$B$1+((Inputs!$G$5:$G$110&lt;&gt;"moeda")*(Inputs!$G$5:$G$110&lt;&gt;"acoes")))*INDEX(Inputs!$K$5:$AJ$110,0,MATCH(AE$2,Inputs!$K$4:$AJ$4,0)))+SUMPRODUCT((Inputs!$C$5:$C$110=$B41)*Inputs!$D$5:$D$110*(((Inputs!$G$5:$G$110="moeda")+(Inputs!$G$5:$G$110="acoes"))*Inputs!$B$1+((Inputs!$G$5:$G$110&lt;&gt;"moeda")*(Inputs!$G$5:$G$110&lt;&gt;"acoes")))*INDEX(Inputs!$K$5:$AJ$110,0,MATCH(AE$2,Inputs!$K$4:$AJ$4,0)))+SUMPRODUCT((Inputs!$E$5:$E$110=$B41)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1" s="6" t="e">
        <f>IF(ISNA(MATCH(AF$2,Inputs!$K$4:$AJ$4,0)),NA(),IF(SUMPRODUCT((Inputs!$A$5:$A$110=$B41)*ISNUMBER(INDEX(Inputs!$K$5:$AJ$110,0,MATCH(AF$2,Inputs!$K$4:$AJ$4,0))))+SUMPRODUCT((Inputs!$C$5:$C$110=$B41)*ISNUMBER(INDEX(Inputs!$K$5:$AJ$110,0,MATCH(AF$2,Inputs!$K$4:$AJ$4,0))))+SUMPRODUCT((Inputs!$E$5:$E$110=$B41)*ISNUMBER(INDEX(Inputs!$K$5:$AJ$110,0,MATCH(AF$2,Inputs!$K$4:$AJ$4,0))))=0,NA(),SUMPRODUCT((Inputs!$A$5:$A$110=$B41)*Inputs!$B$5:$B$110*(((Inputs!$G$5:$G$110="moeda")+(Inputs!$G$5:$G$110="acoes"))*Inputs!$B$1+((Inputs!$G$5:$G$110&lt;&gt;"moeda")*(Inputs!$G$5:$G$110&lt;&gt;"acoes")))*INDEX(Inputs!$K$5:$AJ$110,0,MATCH(AF$2,Inputs!$K$4:$AJ$4,0)))+SUMPRODUCT((Inputs!$C$5:$C$110=$B41)*Inputs!$D$5:$D$110*(((Inputs!$G$5:$G$110="moeda")+(Inputs!$G$5:$G$110="acoes"))*Inputs!$B$1+((Inputs!$G$5:$G$110&lt;&gt;"moeda")*(Inputs!$G$5:$G$110&lt;&gt;"acoes")))*INDEX(Inputs!$K$5:$AJ$110,0,MATCH(AF$2,Inputs!$K$4:$AJ$4,0)))+SUMPRODUCT((Inputs!$E$5:$E$110=$B41)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1" s="3" t="e">
        <f>AF41</f>
        <v>#N/A</v>
      </c>
      <c r="AH41" s="6" t="e">
        <f>IF(ISNA(MATCH(AH$2,Inputs!$K$4:$AJ$4,0)),NA(),IF(SUMPRODUCT((Inputs!$A$5:$A$110=$B41)*ISNUMBER(INDEX(Inputs!$K$5:$AJ$110,0,MATCH(AH$2,Inputs!$K$4:$AJ$4,0))))+SUMPRODUCT((Inputs!$C$5:$C$110=$B41)*ISNUMBER(INDEX(Inputs!$K$5:$AJ$110,0,MATCH(AH$2,Inputs!$K$4:$AJ$4,0))))+SUMPRODUCT((Inputs!$E$5:$E$110=$B41)*ISNUMBER(INDEX(Inputs!$K$5:$AJ$110,0,MATCH(AH$2,Inputs!$K$4:$AJ$4,0))))=0,NA(),SUMPRODUCT((Inputs!$A$5:$A$110=$B41)*Inputs!$B$5:$B$110*(((Inputs!$G$5:$G$110="moeda")+(Inputs!$G$5:$G$110="acoes"))*Inputs!$B$1+((Inputs!$G$5:$G$110&lt;&gt;"moeda")*(Inputs!$G$5:$G$110&lt;&gt;"acoes")))*INDEX(Inputs!$K$5:$AJ$110,0,MATCH(AH$2,Inputs!$K$4:$AJ$4,0)))+SUMPRODUCT((Inputs!$C$5:$C$110=$B41)*Inputs!$D$5:$D$110*(((Inputs!$G$5:$G$110="moeda")+(Inputs!$G$5:$G$110="acoes"))*Inputs!$B$1+((Inputs!$G$5:$G$110&lt;&gt;"moeda")*(Inputs!$G$5:$G$110&lt;&gt;"acoes")))*INDEX(Inputs!$K$5:$AJ$110,0,MATCH(AH$2,Inputs!$K$4:$AJ$4,0)))+SUMPRODUCT((Inputs!$E$5:$E$110=$B41)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41" s="6" t="e">
        <f>IF(ISNA(MATCH(AI$2,Inputs!$K$4:$AJ$4,0)),NA(),IF(SUMPRODUCT((Inputs!$A$5:$A$110=$B41)*ISNUMBER(INDEX(Inputs!$K$5:$AJ$110,0,MATCH(AI$2,Inputs!$K$4:$AJ$4,0))))+SUMPRODUCT((Inputs!$C$5:$C$110=$B41)*ISNUMBER(INDEX(Inputs!$K$5:$AJ$110,0,MATCH(AI$2,Inputs!$K$4:$AJ$4,0))))+SUMPRODUCT((Inputs!$E$5:$E$110=$B41)*ISNUMBER(INDEX(Inputs!$K$5:$AJ$110,0,MATCH(AI$2,Inputs!$K$4:$AJ$4,0))))=0,NA(),SUMPRODUCT((Inputs!$A$5:$A$110=$B41)*Inputs!$B$5:$B$110*(((Inputs!$G$5:$G$110="moeda")+(Inputs!$G$5:$G$110="acoes"))*Inputs!$B$1+((Inputs!$G$5:$G$110&lt;&gt;"moeda")*(Inputs!$G$5:$G$110&lt;&gt;"acoes")))*INDEX(Inputs!$K$5:$AJ$110,0,MATCH(AI$2,Inputs!$K$4:$AJ$4,0)))+SUMPRODUCT((Inputs!$C$5:$C$110=$B41)*Inputs!$D$5:$D$110*(((Inputs!$G$5:$G$110="moeda")+(Inputs!$G$5:$G$110="acoes"))*Inputs!$B$1+((Inputs!$G$5:$G$110&lt;&gt;"moeda")*(Inputs!$G$5:$G$110&lt;&gt;"acoes")))*INDEX(Inputs!$K$5:$AJ$110,0,MATCH(AI$2,Inputs!$K$4:$AJ$4,0)))+SUMPRODUCT((Inputs!$E$5:$E$110=$B41)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41" s="6" t="e">
        <f>IF(ISNA(MATCH(AJ$2,Inputs!$K$4:$AJ$4,0)),NA(),IF(SUMPRODUCT((Inputs!$A$5:$A$110=$B41)*ISNUMBER(INDEX(Inputs!$K$5:$AJ$110,0,MATCH(AJ$2,Inputs!$K$4:$AJ$4,0))))+SUMPRODUCT((Inputs!$C$5:$C$110=$B41)*ISNUMBER(INDEX(Inputs!$K$5:$AJ$110,0,MATCH(AJ$2,Inputs!$K$4:$AJ$4,0))))+SUMPRODUCT((Inputs!$E$5:$E$110=$B41)*ISNUMBER(INDEX(Inputs!$K$5:$AJ$110,0,MATCH(AJ$2,Inputs!$K$4:$AJ$4,0))))=0,NA(),SUMPRODUCT((Inputs!$A$5:$A$110=$B41)*Inputs!$B$5:$B$110*(((Inputs!$G$5:$G$110="moeda")+(Inputs!$G$5:$G$110="acoes"))*Inputs!$B$1+((Inputs!$G$5:$G$110&lt;&gt;"moeda")*(Inputs!$G$5:$G$110&lt;&gt;"acoes")))*INDEX(Inputs!$K$5:$AJ$110,0,MATCH(AJ$2,Inputs!$K$4:$AJ$4,0)))+SUMPRODUCT((Inputs!$C$5:$C$110=$B41)*Inputs!$D$5:$D$110*(((Inputs!$G$5:$G$110="moeda")+(Inputs!$G$5:$G$110="acoes"))*Inputs!$B$1+((Inputs!$G$5:$G$110&lt;&gt;"moeda")*(Inputs!$G$5:$G$110&lt;&gt;"acoes")))*INDEX(Inputs!$K$5:$AJ$110,0,MATCH(AJ$2,Inputs!$K$4:$AJ$4,0)))+SUMPRODUCT((Inputs!$E$5:$E$110=$B41)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41" s="6" t="e">
        <f>IF(ISNA(MATCH(AK$2,Inputs!$K$4:$AJ$4,0)),NA(),IF(SUMPRODUCT((Inputs!$A$5:$A$110=$B41)*ISNUMBER(INDEX(Inputs!$K$5:$AJ$110,0,MATCH(AK$2,Inputs!$K$4:$AJ$4,0))))+SUMPRODUCT((Inputs!$C$5:$C$110=$B41)*ISNUMBER(INDEX(Inputs!$K$5:$AJ$110,0,MATCH(AK$2,Inputs!$K$4:$AJ$4,0))))+SUMPRODUCT((Inputs!$E$5:$E$110=$B41)*ISNUMBER(INDEX(Inputs!$K$5:$AJ$110,0,MATCH(AK$2,Inputs!$K$4:$AJ$4,0))))=0,NA(),SUMPRODUCT((Inputs!$A$5:$A$110=$B41)*Inputs!$B$5:$B$110*(((Inputs!$G$5:$G$110="moeda")+(Inputs!$G$5:$G$110="acoes"))*Inputs!$B$1+((Inputs!$G$5:$G$110&lt;&gt;"moeda")*(Inputs!$G$5:$G$110&lt;&gt;"acoes")))*INDEX(Inputs!$K$5:$AJ$110,0,MATCH(AK$2,Inputs!$K$4:$AJ$4,0)))+SUMPRODUCT((Inputs!$C$5:$C$110=$B41)*Inputs!$D$5:$D$110*(((Inputs!$G$5:$G$110="moeda")+(Inputs!$G$5:$G$110="acoes"))*Inputs!$B$1+((Inputs!$G$5:$G$110&lt;&gt;"moeda")*(Inputs!$G$5:$G$110&lt;&gt;"acoes")))*INDEX(Inputs!$K$5:$AJ$110,0,MATCH(AK$2,Inputs!$K$4:$AJ$4,0)))+SUMPRODUCT((Inputs!$E$5:$E$110=$B41)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41" s="3" t="e">
        <f>AK41</f>
        <v>#N/A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$110=$B42)*ISNUMBER(INDEX(Inputs!$K$5:$AJ$110,0,MATCH(D$2,Inputs!$K$4:$AJ$4,0))))+SUMPRODUCT((Inputs!$C$5:$C$110=$B42)*ISNUMBER(INDEX(Inputs!$K$5:$AJ$110,0,MATCH(D$2,Inputs!$K$4:$AJ$4,0))))+SUMPRODUCT((Inputs!$E$5:$E$110=$B42)*ISNUMBER(INDEX(Inputs!$K$5:$AJ$110,0,MATCH(D$2,Inputs!$K$4:$AJ$4,0))))=0,NA(),SUMPRODUCT((Inputs!$A$5:$A$110=$B42)*Inputs!$B$5:$B$110*(((Inputs!$G$5:$G$110="moeda")+(Inputs!$G$5:$G$110="acoes"))*Inputs!$B$1+((Inputs!$G$5:$G$110&lt;&gt;"moeda")*(Inputs!$G$5:$G$110&lt;&gt;"acoes")))*INDEX(Inputs!$K$5:$AJ$110,0,MATCH(D$2,Inputs!$K$4:$AJ$4,0)))+SUMPRODUCT((Inputs!$C$5:$C$110=$B42)*Inputs!$D$5:$D$110*(((Inputs!$G$5:$G$110="moeda")+(Inputs!$G$5:$G$110="acoes"))*Inputs!$B$1+((Inputs!$G$5:$G$110&lt;&gt;"moeda")*(Inputs!$G$5:$G$110&lt;&gt;"acoes")))*INDEX(Inputs!$K$5:$AJ$110,0,MATCH(D$2,Inputs!$K$4:$AJ$4,0)))+SUMPRODUCT((Inputs!$E$5:$E$110=$B42)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42" s="6" t="e">
        <f>IF(ISNA(MATCH(E$2,Inputs!$K$4:$AJ$4,0)),NA(),IF(SUMPRODUCT((Inputs!$A$5:$A$110=$B42)*ISNUMBER(INDEX(Inputs!$K$5:$AJ$110,0,MATCH(E$2,Inputs!$K$4:$AJ$4,0))))+SUMPRODUCT((Inputs!$C$5:$C$110=$B42)*ISNUMBER(INDEX(Inputs!$K$5:$AJ$110,0,MATCH(E$2,Inputs!$K$4:$AJ$4,0))))+SUMPRODUCT((Inputs!$E$5:$E$110=$B42)*ISNUMBER(INDEX(Inputs!$K$5:$AJ$110,0,MATCH(E$2,Inputs!$K$4:$AJ$4,0))))=0,NA(),SUMPRODUCT((Inputs!$A$5:$A$110=$B42)*Inputs!$B$5:$B$110*(((Inputs!$G$5:$G$110="moeda")+(Inputs!$G$5:$G$110="acoes"))*Inputs!$B$1+((Inputs!$G$5:$G$110&lt;&gt;"moeda")*(Inputs!$G$5:$G$110&lt;&gt;"acoes")))*INDEX(Inputs!$K$5:$AJ$110,0,MATCH(E$2,Inputs!$K$4:$AJ$4,0)))+SUMPRODUCT((Inputs!$C$5:$C$110=$B42)*Inputs!$D$5:$D$110*(((Inputs!$G$5:$G$110="moeda")+(Inputs!$G$5:$G$110="acoes"))*Inputs!$B$1+((Inputs!$G$5:$G$110&lt;&gt;"moeda")*(Inputs!$G$5:$G$110&lt;&gt;"acoes")))*INDEX(Inputs!$K$5:$AJ$110,0,MATCH(E$2,Inputs!$K$4:$AJ$4,0)))+SUMPRODUCT((Inputs!$E$5:$E$110=$B42)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42" s="6" t="e">
        <f>IF(ISNA(MATCH(F$2,Inputs!$K$4:$AJ$4,0)),NA(),IF(SUMPRODUCT((Inputs!$A$5:$A$110=$B42)*ISNUMBER(INDEX(Inputs!$K$5:$AJ$110,0,MATCH(F$2,Inputs!$K$4:$AJ$4,0))))+SUMPRODUCT((Inputs!$C$5:$C$110=$B42)*ISNUMBER(INDEX(Inputs!$K$5:$AJ$110,0,MATCH(F$2,Inputs!$K$4:$AJ$4,0))))+SUMPRODUCT((Inputs!$E$5:$E$110=$B42)*ISNUMBER(INDEX(Inputs!$K$5:$AJ$110,0,MATCH(F$2,Inputs!$K$4:$AJ$4,0))))=0,NA(),SUMPRODUCT((Inputs!$A$5:$A$110=$B42)*Inputs!$B$5:$B$110*(((Inputs!$G$5:$G$110="moeda")+(Inputs!$G$5:$G$110="acoes"))*Inputs!$B$1+((Inputs!$G$5:$G$110&lt;&gt;"moeda")*(Inputs!$G$5:$G$110&lt;&gt;"acoes")))*INDEX(Inputs!$K$5:$AJ$110,0,MATCH(F$2,Inputs!$K$4:$AJ$4,0)))+SUMPRODUCT((Inputs!$C$5:$C$110=$B42)*Inputs!$D$5:$D$110*(((Inputs!$G$5:$G$110="moeda")+(Inputs!$G$5:$G$110="acoes"))*Inputs!$B$1+((Inputs!$G$5:$G$110&lt;&gt;"moeda")*(Inputs!$G$5:$G$110&lt;&gt;"acoes")))*INDEX(Inputs!$K$5:$AJ$110,0,MATCH(F$2,Inputs!$K$4:$AJ$4,0)))+SUMPRODUCT((Inputs!$E$5:$E$110=$B42)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42" s="6" t="e">
        <f>IF(ISNA(MATCH(G$2,Inputs!$K$4:$AJ$4,0)),NA(),IF(SUMPRODUCT((Inputs!$A$5:$A$110=$B42)*ISNUMBER(INDEX(Inputs!$K$5:$AJ$110,0,MATCH(G$2,Inputs!$K$4:$AJ$4,0))))+SUMPRODUCT((Inputs!$C$5:$C$110=$B42)*ISNUMBER(INDEX(Inputs!$K$5:$AJ$110,0,MATCH(G$2,Inputs!$K$4:$AJ$4,0))))+SUMPRODUCT((Inputs!$E$5:$E$110=$B42)*ISNUMBER(INDEX(Inputs!$K$5:$AJ$110,0,MATCH(G$2,Inputs!$K$4:$AJ$4,0))))=0,NA(),SUMPRODUCT((Inputs!$A$5:$A$110=$B42)*Inputs!$B$5:$B$110*(((Inputs!$G$5:$G$110="moeda")+(Inputs!$G$5:$G$110="acoes"))*Inputs!$B$1+((Inputs!$G$5:$G$110&lt;&gt;"moeda")*(Inputs!$G$5:$G$110&lt;&gt;"acoes")))*INDEX(Inputs!$K$5:$AJ$110,0,MATCH(G$2,Inputs!$K$4:$AJ$4,0)))+SUMPRODUCT((Inputs!$C$5:$C$110=$B42)*Inputs!$D$5:$D$110*(((Inputs!$G$5:$G$110="moeda")+(Inputs!$G$5:$G$110="acoes"))*Inputs!$B$1+((Inputs!$G$5:$G$110&lt;&gt;"moeda")*(Inputs!$G$5:$G$110&lt;&gt;"acoes")))*INDEX(Inputs!$K$5:$AJ$110,0,MATCH(G$2,Inputs!$K$4:$AJ$4,0)))+SUMPRODUCT((Inputs!$E$5:$E$110=$B42)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42" s="3" t="e">
        <f>G42</f>
        <v>#N/A</v>
      </c>
      <c r="I42" s="6" t="e">
        <f>IF(ISNA(MATCH(I$2,Inputs!$K$4:$AJ$4,0)),NA(),IF(SUMPRODUCT((Inputs!$A$5:$A$110=$B42)*ISNUMBER(INDEX(Inputs!$K$5:$AJ$110,0,MATCH(I$2,Inputs!$K$4:$AJ$4,0))))+SUMPRODUCT((Inputs!$C$5:$C$110=$B42)*ISNUMBER(INDEX(Inputs!$K$5:$AJ$110,0,MATCH(I$2,Inputs!$K$4:$AJ$4,0))))+SUMPRODUCT((Inputs!$E$5:$E$110=$B42)*ISNUMBER(INDEX(Inputs!$K$5:$AJ$110,0,MATCH(I$2,Inputs!$K$4:$AJ$4,0))))=0,NA(),SUMPRODUCT((Inputs!$A$5:$A$110=$B42)*Inputs!$B$5:$B$110*(((Inputs!$G$5:$G$110="moeda")+(Inputs!$G$5:$G$110="acoes"))*Inputs!$B$1+((Inputs!$G$5:$G$110&lt;&gt;"moeda")*(Inputs!$G$5:$G$110&lt;&gt;"acoes")))*INDEX(Inputs!$K$5:$AJ$110,0,MATCH(I$2,Inputs!$K$4:$AJ$4,0)))+SUMPRODUCT((Inputs!$C$5:$C$110=$B42)*Inputs!$D$5:$D$110*(((Inputs!$G$5:$G$110="moeda")+(Inputs!$G$5:$G$110="acoes"))*Inputs!$B$1+((Inputs!$G$5:$G$110&lt;&gt;"moeda")*(Inputs!$G$5:$G$110&lt;&gt;"acoes")))*INDEX(Inputs!$K$5:$AJ$110,0,MATCH(I$2,Inputs!$K$4:$AJ$4,0)))+SUMPRODUCT((Inputs!$E$5:$E$110=$B42)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42" s="6" t="e">
        <f>IF(ISNA(MATCH(J$2,Inputs!$K$4:$AJ$4,0)),NA(),IF(SUMPRODUCT((Inputs!$A$5:$A$110=$B42)*ISNUMBER(INDEX(Inputs!$K$5:$AJ$110,0,MATCH(J$2,Inputs!$K$4:$AJ$4,0))))+SUMPRODUCT((Inputs!$C$5:$C$110=$B42)*ISNUMBER(INDEX(Inputs!$K$5:$AJ$110,0,MATCH(J$2,Inputs!$K$4:$AJ$4,0))))+SUMPRODUCT((Inputs!$E$5:$E$110=$B42)*ISNUMBER(INDEX(Inputs!$K$5:$AJ$110,0,MATCH(J$2,Inputs!$K$4:$AJ$4,0))))=0,NA(),SUMPRODUCT((Inputs!$A$5:$A$110=$B42)*Inputs!$B$5:$B$110*(((Inputs!$G$5:$G$110="moeda")+(Inputs!$G$5:$G$110="acoes"))*Inputs!$B$1+((Inputs!$G$5:$G$110&lt;&gt;"moeda")*(Inputs!$G$5:$G$110&lt;&gt;"acoes")))*INDEX(Inputs!$K$5:$AJ$110,0,MATCH(J$2,Inputs!$K$4:$AJ$4,0)))+SUMPRODUCT((Inputs!$C$5:$C$110=$B42)*Inputs!$D$5:$D$110*(((Inputs!$G$5:$G$110="moeda")+(Inputs!$G$5:$G$110="acoes"))*Inputs!$B$1+((Inputs!$G$5:$G$110&lt;&gt;"moeda")*(Inputs!$G$5:$G$110&lt;&gt;"acoes")))*INDEX(Inputs!$K$5:$AJ$110,0,MATCH(J$2,Inputs!$K$4:$AJ$4,0)))+SUMPRODUCT((Inputs!$E$5:$E$110=$B42)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42" s="6" t="e">
        <f>IF(ISNA(MATCH(K$2,Inputs!$K$4:$AJ$4,0)),NA(),IF(SUMPRODUCT((Inputs!$A$5:$A$110=$B42)*ISNUMBER(INDEX(Inputs!$K$5:$AJ$110,0,MATCH(K$2,Inputs!$K$4:$AJ$4,0))))+SUMPRODUCT((Inputs!$C$5:$C$110=$B42)*ISNUMBER(INDEX(Inputs!$K$5:$AJ$110,0,MATCH(K$2,Inputs!$K$4:$AJ$4,0))))+SUMPRODUCT((Inputs!$E$5:$E$110=$B42)*ISNUMBER(INDEX(Inputs!$K$5:$AJ$110,0,MATCH(K$2,Inputs!$K$4:$AJ$4,0))))=0,NA(),SUMPRODUCT((Inputs!$A$5:$A$110=$B42)*Inputs!$B$5:$B$110*(((Inputs!$G$5:$G$110="moeda")+(Inputs!$G$5:$G$110="acoes"))*Inputs!$B$1+((Inputs!$G$5:$G$110&lt;&gt;"moeda")*(Inputs!$G$5:$G$110&lt;&gt;"acoes")))*INDEX(Inputs!$K$5:$AJ$110,0,MATCH(K$2,Inputs!$K$4:$AJ$4,0)))+SUMPRODUCT((Inputs!$C$5:$C$110=$B42)*Inputs!$D$5:$D$110*(((Inputs!$G$5:$G$110="moeda")+(Inputs!$G$5:$G$110="acoes"))*Inputs!$B$1+((Inputs!$G$5:$G$110&lt;&gt;"moeda")*(Inputs!$G$5:$G$110&lt;&gt;"acoes")))*INDEX(Inputs!$K$5:$AJ$110,0,MATCH(K$2,Inputs!$K$4:$AJ$4,0)))+SUMPRODUCT((Inputs!$E$5:$E$110=$B42)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42" s="6" t="e">
        <f>IF(ISNA(MATCH(L$2,Inputs!$K$4:$AJ$4,0)),NA(),IF(SUMPRODUCT((Inputs!$A$5:$A$110=$B42)*ISNUMBER(INDEX(Inputs!$K$5:$AJ$110,0,MATCH(L$2,Inputs!$K$4:$AJ$4,0))))+SUMPRODUCT((Inputs!$C$5:$C$110=$B42)*ISNUMBER(INDEX(Inputs!$K$5:$AJ$110,0,MATCH(L$2,Inputs!$K$4:$AJ$4,0))))+SUMPRODUCT((Inputs!$E$5:$E$110=$B42)*ISNUMBER(INDEX(Inputs!$K$5:$AJ$110,0,MATCH(L$2,Inputs!$K$4:$AJ$4,0))))=0,NA(),SUMPRODUCT((Inputs!$A$5:$A$110=$B42)*Inputs!$B$5:$B$110*(((Inputs!$G$5:$G$110="moeda")+(Inputs!$G$5:$G$110="acoes"))*Inputs!$B$1+((Inputs!$G$5:$G$110&lt;&gt;"moeda")*(Inputs!$G$5:$G$110&lt;&gt;"acoes")))*INDEX(Inputs!$K$5:$AJ$110,0,MATCH(L$2,Inputs!$K$4:$AJ$4,0)))+SUMPRODUCT((Inputs!$C$5:$C$110=$B42)*Inputs!$D$5:$D$110*(((Inputs!$G$5:$G$110="moeda")+(Inputs!$G$5:$G$110="acoes"))*Inputs!$B$1+((Inputs!$G$5:$G$110&lt;&gt;"moeda")*(Inputs!$G$5:$G$110&lt;&gt;"acoes")))*INDEX(Inputs!$K$5:$AJ$110,0,MATCH(L$2,Inputs!$K$4:$AJ$4,0)))+SUMPRODUCT((Inputs!$E$5:$E$110=$B42)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42" s="3" t="e">
        <f>L42</f>
        <v>#N/A</v>
      </c>
      <c r="N42" s="6" t="e">
        <f>IF(ISNA(MATCH(N$2,Inputs!$K$4:$AJ$4,0)),NA(),IF(SUMPRODUCT((Inputs!$A$5:$A$110=$B42)*ISNUMBER(INDEX(Inputs!$K$5:$AJ$110,0,MATCH(N$2,Inputs!$K$4:$AJ$4,0))))+SUMPRODUCT((Inputs!$C$5:$C$110=$B42)*ISNUMBER(INDEX(Inputs!$K$5:$AJ$110,0,MATCH(N$2,Inputs!$K$4:$AJ$4,0))))+SUMPRODUCT((Inputs!$E$5:$E$110=$B42)*ISNUMBER(INDEX(Inputs!$K$5:$AJ$110,0,MATCH(N$2,Inputs!$K$4:$AJ$4,0))))=0,NA(),SUMPRODUCT((Inputs!$A$5:$A$110=$B42)*Inputs!$B$5:$B$110*(((Inputs!$G$5:$G$110="moeda")+(Inputs!$G$5:$G$110="acoes"))*Inputs!$B$1+((Inputs!$G$5:$G$110&lt;&gt;"moeda")*(Inputs!$G$5:$G$110&lt;&gt;"acoes")))*INDEX(Inputs!$K$5:$AJ$110,0,MATCH(N$2,Inputs!$K$4:$AJ$4,0)))+SUMPRODUCT((Inputs!$C$5:$C$110=$B42)*Inputs!$D$5:$D$110*(((Inputs!$G$5:$G$110="moeda")+(Inputs!$G$5:$G$110="acoes"))*Inputs!$B$1+((Inputs!$G$5:$G$110&lt;&gt;"moeda")*(Inputs!$G$5:$G$110&lt;&gt;"acoes")))*INDEX(Inputs!$K$5:$AJ$110,0,MATCH(N$2,Inputs!$K$4:$AJ$4,0)))+SUMPRODUCT((Inputs!$E$5:$E$110=$B42)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42" s="6" t="e">
        <f>IF(ISNA(MATCH(O$2,Inputs!$K$4:$AJ$4,0)),NA(),IF(SUMPRODUCT((Inputs!$A$5:$A$110=$B42)*ISNUMBER(INDEX(Inputs!$K$5:$AJ$110,0,MATCH(O$2,Inputs!$K$4:$AJ$4,0))))+SUMPRODUCT((Inputs!$C$5:$C$110=$B42)*ISNUMBER(INDEX(Inputs!$K$5:$AJ$110,0,MATCH(O$2,Inputs!$K$4:$AJ$4,0))))+SUMPRODUCT((Inputs!$E$5:$E$110=$B42)*ISNUMBER(INDEX(Inputs!$K$5:$AJ$110,0,MATCH(O$2,Inputs!$K$4:$AJ$4,0))))=0,NA(),SUMPRODUCT((Inputs!$A$5:$A$110=$B42)*Inputs!$B$5:$B$110*(((Inputs!$G$5:$G$110="moeda")+(Inputs!$G$5:$G$110="acoes"))*Inputs!$B$1+((Inputs!$G$5:$G$110&lt;&gt;"moeda")*(Inputs!$G$5:$G$110&lt;&gt;"acoes")))*INDEX(Inputs!$K$5:$AJ$110,0,MATCH(O$2,Inputs!$K$4:$AJ$4,0)))+SUMPRODUCT((Inputs!$C$5:$C$110=$B42)*Inputs!$D$5:$D$110*(((Inputs!$G$5:$G$110="moeda")+(Inputs!$G$5:$G$110="acoes"))*Inputs!$B$1+((Inputs!$G$5:$G$110&lt;&gt;"moeda")*(Inputs!$G$5:$G$110&lt;&gt;"acoes")))*INDEX(Inputs!$K$5:$AJ$110,0,MATCH(O$2,Inputs!$K$4:$AJ$4,0)))+SUMPRODUCT((Inputs!$E$5:$E$110=$B42)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42" s="6" t="e">
        <f>IF(ISNA(MATCH(P$2,Inputs!$K$4:$AJ$4,0)),NA(),IF(SUMPRODUCT((Inputs!$A$5:$A$110=$B42)*ISNUMBER(INDEX(Inputs!$K$5:$AJ$110,0,MATCH(P$2,Inputs!$K$4:$AJ$4,0))))+SUMPRODUCT((Inputs!$C$5:$C$110=$B42)*ISNUMBER(INDEX(Inputs!$K$5:$AJ$110,0,MATCH(P$2,Inputs!$K$4:$AJ$4,0))))+SUMPRODUCT((Inputs!$E$5:$E$110=$B42)*ISNUMBER(INDEX(Inputs!$K$5:$AJ$110,0,MATCH(P$2,Inputs!$K$4:$AJ$4,0))))=0,NA(),SUMPRODUCT((Inputs!$A$5:$A$110=$B42)*Inputs!$B$5:$B$110*(((Inputs!$G$5:$G$110="moeda")+(Inputs!$G$5:$G$110="acoes"))*Inputs!$B$1+((Inputs!$G$5:$G$110&lt;&gt;"moeda")*(Inputs!$G$5:$G$110&lt;&gt;"acoes")))*INDEX(Inputs!$K$5:$AJ$110,0,MATCH(P$2,Inputs!$K$4:$AJ$4,0)))+SUMPRODUCT((Inputs!$C$5:$C$110=$B42)*Inputs!$D$5:$D$110*(((Inputs!$G$5:$G$110="moeda")+(Inputs!$G$5:$G$110="acoes"))*Inputs!$B$1+((Inputs!$G$5:$G$110&lt;&gt;"moeda")*(Inputs!$G$5:$G$110&lt;&gt;"acoes")))*INDEX(Inputs!$K$5:$AJ$110,0,MATCH(P$2,Inputs!$K$4:$AJ$4,0)))+SUMPRODUCT((Inputs!$E$5:$E$110=$B42)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42" s="6" t="e">
        <f>IF(ISNA(MATCH(Q$2,Inputs!$K$4:$AJ$4,0)),NA(),IF(SUMPRODUCT((Inputs!$A$5:$A$110=$B42)*ISNUMBER(INDEX(Inputs!$K$5:$AJ$110,0,MATCH(Q$2,Inputs!$K$4:$AJ$4,0))))+SUMPRODUCT((Inputs!$C$5:$C$110=$B42)*ISNUMBER(INDEX(Inputs!$K$5:$AJ$110,0,MATCH(Q$2,Inputs!$K$4:$AJ$4,0))))+SUMPRODUCT((Inputs!$E$5:$E$110=$B42)*ISNUMBER(INDEX(Inputs!$K$5:$AJ$110,0,MATCH(Q$2,Inputs!$K$4:$AJ$4,0))))=0,NA(),SUMPRODUCT((Inputs!$A$5:$A$110=$B42)*Inputs!$B$5:$B$110*(((Inputs!$G$5:$G$110="moeda")+(Inputs!$G$5:$G$110="acoes"))*Inputs!$B$1+((Inputs!$G$5:$G$110&lt;&gt;"moeda")*(Inputs!$G$5:$G$110&lt;&gt;"acoes")))*INDEX(Inputs!$K$5:$AJ$110,0,MATCH(Q$2,Inputs!$K$4:$AJ$4,0)))+SUMPRODUCT((Inputs!$C$5:$C$110=$B42)*Inputs!$D$5:$D$110*(((Inputs!$G$5:$G$110="moeda")+(Inputs!$G$5:$G$110="acoes"))*Inputs!$B$1+((Inputs!$G$5:$G$110&lt;&gt;"moeda")*(Inputs!$G$5:$G$110&lt;&gt;"acoes")))*INDEX(Inputs!$K$5:$AJ$110,0,MATCH(Q$2,Inputs!$K$4:$AJ$4,0)))+SUMPRODUCT((Inputs!$E$5:$E$110=$B42)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42" s="3" t="e">
        <f>Q42</f>
        <v>#N/A</v>
      </c>
      <c r="S42" s="6" t="e">
        <f>IF(ISNA(MATCH(S$2,Inputs!$K$4:$AJ$4,0)),NA(),IF(SUMPRODUCT((Inputs!$A$5:$A$110=$B42)*ISNUMBER(INDEX(Inputs!$K$5:$AJ$110,0,MATCH(S$2,Inputs!$K$4:$AJ$4,0))))+SUMPRODUCT((Inputs!$C$5:$C$110=$B42)*ISNUMBER(INDEX(Inputs!$K$5:$AJ$110,0,MATCH(S$2,Inputs!$K$4:$AJ$4,0))))+SUMPRODUCT((Inputs!$E$5:$E$110=$B42)*ISNUMBER(INDEX(Inputs!$K$5:$AJ$110,0,MATCH(S$2,Inputs!$K$4:$AJ$4,0))))=0,NA(),SUMPRODUCT((Inputs!$A$5:$A$110=$B42)*Inputs!$B$5:$B$110*(((Inputs!$G$5:$G$110="moeda")+(Inputs!$G$5:$G$110="acoes"))*Inputs!$B$1+((Inputs!$G$5:$G$110&lt;&gt;"moeda")*(Inputs!$G$5:$G$110&lt;&gt;"acoes")))*INDEX(Inputs!$K$5:$AJ$110,0,MATCH(S$2,Inputs!$K$4:$AJ$4,0)))+SUMPRODUCT((Inputs!$C$5:$C$110=$B42)*Inputs!$D$5:$D$110*(((Inputs!$G$5:$G$110="moeda")+(Inputs!$G$5:$G$110="acoes"))*Inputs!$B$1+((Inputs!$G$5:$G$110&lt;&gt;"moeda")*(Inputs!$G$5:$G$110&lt;&gt;"acoes")))*INDEX(Inputs!$K$5:$AJ$110,0,MATCH(S$2,Inputs!$K$4:$AJ$4,0)))+SUMPRODUCT((Inputs!$E$5:$E$110=$B42)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42" s="6" t="e">
        <f>IF(ISNA(MATCH(T$2,Inputs!$K$4:$AJ$4,0)),NA(),IF(SUMPRODUCT((Inputs!$A$5:$A$110=$B42)*ISNUMBER(INDEX(Inputs!$K$5:$AJ$110,0,MATCH(T$2,Inputs!$K$4:$AJ$4,0))))+SUMPRODUCT((Inputs!$C$5:$C$110=$B42)*ISNUMBER(INDEX(Inputs!$K$5:$AJ$110,0,MATCH(T$2,Inputs!$K$4:$AJ$4,0))))+SUMPRODUCT((Inputs!$E$5:$E$110=$B42)*ISNUMBER(INDEX(Inputs!$K$5:$AJ$110,0,MATCH(T$2,Inputs!$K$4:$AJ$4,0))))=0,NA(),SUMPRODUCT((Inputs!$A$5:$A$110=$B42)*Inputs!$B$5:$B$110*(((Inputs!$G$5:$G$110="moeda")+(Inputs!$G$5:$G$110="acoes"))*Inputs!$B$1+((Inputs!$G$5:$G$110&lt;&gt;"moeda")*(Inputs!$G$5:$G$110&lt;&gt;"acoes")))*INDEX(Inputs!$K$5:$AJ$110,0,MATCH(T$2,Inputs!$K$4:$AJ$4,0)))+SUMPRODUCT((Inputs!$C$5:$C$110=$B42)*Inputs!$D$5:$D$110*(((Inputs!$G$5:$G$110="moeda")+(Inputs!$G$5:$G$110="acoes"))*Inputs!$B$1+((Inputs!$G$5:$G$110&lt;&gt;"moeda")*(Inputs!$G$5:$G$110&lt;&gt;"acoes")))*INDEX(Inputs!$K$5:$AJ$110,0,MATCH(T$2,Inputs!$K$4:$AJ$4,0)))+SUMPRODUCT((Inputs!$E$5:$E$110=$B42)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42" s="6" t="e">
        <f>IF(ISNA(MATCH(U$2,Inputs!$K$4:$AJ$4,0)),NA(),IF(SUMPRODUCT((Inputs!$A$5:$A$110=$B42)*ISNUMBER(INDEX(Inputs!$K$5:$AJ$110,0,MATCH(U$2,Inputs!$K$4:$AJ$4,0))))+SUMPRODUCT((Inputs!$C$5:$C$110=$B42)*ISNUMBER(INDEX(Inputs!$K$5:$AJ$110,0,MATCH(U$2,Inputs!$K$4:$AJ$4,0))))+SUMPRODUCT((Inputs!$E$5:$E$110=$B42)*ISNUMBER(INDEX(Inputs!$K$5:$AJ$110,0,MATCH(U$2,Inputs!$K$4:$AJ$4,0))))=0,NA(),SUMPRODUCT((Inputs!$A$5:$A$110=$B42)*Inputs!$B$5:$B$110*(((Inputs!$G$5:$G$110="moeda")+(Inputs!$G$5:$G$110="acoes"))*Inputs!$B$1+((Inputs!$G$5:$G$110&lt;&gt;"moeda")*(Inputs!$G$5:$G$110&lt;&gt;"acoes")))*INDEX(Inputs!$K$5:$AJ$110,0,MATCH(U$2,Inputs!$K$4:$AJ$4,0)))+SUMPRODUCT((Inputs!$C$5:$C$110=$B42)*Inputs!$D$5:$D$110*(((Inputs!$G$5:$G$110="moeda")+(Inputs!$G$5:$G$110="acoes"))*Inputs!$B$1+((Inputs!$G$5:$G$110&lt;&gt;"moeda")*(Inputs!$G$5:$G$110&lt;&gt;"acoes")))*INDEX(Inputs!$K$5:$AJ$110,0,MATCH(U$2,Inputs!$K$4:$AJ$4,0)))+SUMPRODUCT((Inputs!$E$5:$E$110=$B42)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42" s="6" t="e">
        <f>IF(ISNA(MATCH(V$2,Inputs!$K$4:$AJ$4,0)),NA(),IF(SUMPRODUCT((Inputs!$A$5:$A$110=$B42)*ISNUMBER(INDEX(Inputs!$K$5:$AJ$110,0,MATCH(V$2,Inputs!$K$4:$AJ$4,0))))+SUMPRODUCT((Inputs!$C$5:$C$110=$B42)*ISNUMBER(INDEX(Inputs!$K$5:$AJ$110,0,MATCH(V$2,Inputs!$K$4:$AJ$4,0))))+SUMPRODUCT((Inputs!$E$5:$E$110=$B42)*ISNUMBER(INDEX(Inputs!$K$5:$AJ$110,0,MATCH(V$2,Inputs!$K$4:$AJ$4,0))))=0,NA(),SUMPRODUCT((Inputs!$A$5:$A$110=$B42)*Inputs!$B$5:$B$110*(((Inputs!$G$5:$G$110="moeda")+(Inputs!$G$5:$G$110="acoes"))*Inputs!$B$1+((Inputs!$G$5:$G$110&lt;&gt;"moeda")*(Inputs!$G$5:$G$110&lt;&gt;"acoes")))*INDEX(Inputs!$K$5:$AJ$110,0,MATCH(V$2,Inputs!$K$4:$AJ$4,0)))+SUMPRODUCT((Inputs!$C$5:$C$110=$B42)*Inputs!$D$5:$D$110*(((Inputs!$G$5:$G$110="moeda")+(Inputs!$G$5:$G$110="acoes"))*Inputs!$B$1+((Inputs!$G$5:$G$110&lt;&gt;"moeda")*(Inputs!$G$5:$G$110&lt;&gt;"acoes")))*INDEX(Inputs!$K$5:$AJ$110,0,MATCH(V$2,Inputs!$K$4:$AJ$4,0)))+SUMPRODUCT((Inputs!$E$5:$E$110=$B42)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42" s="3" t="e">
        <f>V42</f>
        <v>#N/A</v>
      </c>
      <c r="X42" s="6" t="e">
        <f>IF(ISNA(MATCH(X$2,Inputs!$K$4:$AJ$4,0)),NA(),IF(SUMPRODUCT((Inputs!$A$5:$A$110=$B42)*ISNUMBER(INDEX(Inputs!$K$5:$AJ$110,0,MATCH(X$2,Inputs!$K$4:$AJ$4,0))))+SUMPRODUCT((Inputs!$C$5:$C$110=$B42)*ISNUMBER(INDEX(Inputs!$K$5:$AJ$110,0,MATCH(X$2,Inputs!$K$4:$AJ$4,0))))+SUMPRODUCT((Inputs!$E$5:$E$110=$B42)*ISNUMBER(INDEX(Inputs!$K$5:$AJ$110,0,MATCH(X$2,Inputs!$K$4:$AJ$4,0))))=0,NA(),SUMPRODUCT((Inputs!$A$5:$A$110=$B42)*Inputs!$B$5:$B$110*(((Inputs!$G$5:$G$110="moeda")+(Inputs!$G$5:$G$110="acoes"))*Inputs!$B$1+((Inputs!$G$5:$G$110&lt;&gt;"moeda")*(Inputs!$G$5:$G$110&lt;&gt;"acoes")))*INDEX(Inputs!$K$5:$AJ$110,0,MATCH(X$2,Inputs!$K$4:$AJ$4,0)))+SUMPRODUCT((Inputs!$C$5:$C$110=$B42)*Inputs!$D$5:$D$110*(((Inputs!$G$5:$G$110="moeda")+(Inputs!$G$5:$G$110="acoes"))*Inputs!$B$1+((Inputs!$G$5:$G$110&lt;&gt;"moeda")*(Inputs!$G$5:$G$110&lt;&gt;"acoes")))*INDEX(Inputs!$K$5:$AJ$110,0,MATCH(X$2,Inputs!$K$4:$AJ$4,0)))+SUMPRODUCT((Inputs!$E$5:$E$110=$B42)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42" s="6" t="e">
        <f>IF(ISNA(MATCH(Y$2,Inputs!$K$4:$AJ$4,0)),NA(),IF(SUMPRODUCT((Inputs!$A$5:$A$110=$B42)*ISNUMBER(INDEX(Inputs!$K$5:$AJ$110,0,MATCH(Y$2,Inputs!$K$4:$AJ$4,0))))+SUMPRODUCT((Inputs!$C$5:$C$110=$B42)*ISNUMBER(INDEX(Inputs!$K$5:$AJ$110,0,MATCH(Y$2,Inputs!$K$4:$AJ$4,0))))+SUMPRODUCT((Inputs!$E$5:$E$110=$B42)*ISNUMBER(INDEX(Inputs!$K$5:$AJ$110,0,MATCH(Y$2,Inputs!$K$4:$AJ$4,0))))=0,NA(),SUMPRODUCT((Inputs!$A$5:$A$110=$B42)*Inputs!$B$5:$B$110*(((Inputs!$G$5:$G$110="moeda")+(Inputs!$G$5:$G$110="acoes"))*Inputs!$B$1+((Inputs!$G$5:$G$110&lt;&gt;"moeda")*(Inputs!$G$5:$G$110&lt;&gt;"acoes")))*INDEX(Inputs!$K$5:$AJ$110,0,MATCH(Y$2,Inputs!$K$4:$AJ$4,0)))+SUMPRODUCT((Inputs!$C$5:$C$110=$B42)*Inputs!$D$5:$D$110*(((Inputs!$G$5:$G$110="moeda")+(Inputs!$G$5:$G$110="acoes"))*Inputs!$B$1+((Inputs!$G$5:$G$110&lt;&gt;"moeda")*(Inputs!$G$5:$G$110&lt;&gt;"acoes")))*INDEX(Inputs!$K$5:$AJ$110,0,MATCH(Y$2,Inputs!$K$4:$AJ$4,0)))+SUMPRODUCT((Inputs!$E$5:$E$110=$B42)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42" s="6" t="e">
        <f>IF(ISNA(MATCH(Z$2,Inputs!$K$4:$AJ$4,0)),NA(),IF(SUMPRODUCT((Inputs!$A$5:$A$110=$B42)*ISNUMBER(INDEX(Inputs!$K$5:$AJ$110,0,MATCH(Z$2,Inputs!$K$4:$AJ$4,0))))+SUMPRODUCT((Inputs!$C$5:$C$110=$B42)*ISNUMBER(INDEX(Inputs!$K$5:$AJ$110,0,MATCH(Z$2,Inputs!$K$4:$AJ$4,0))))+SUMPRODUCT((Inputs!$E$5:$E$110=$B42)*ISNUMBER(INDEX(Inputs!$K$5:$AJ$110,0,MATCH(Z$2,Inputs!$K$4:$AJ$4,0))))=0,NA(),SUMPRODUCT((Inputs!$A$5:$A$110=$B42)*Inputs!$B$5:$B$110*(((Inputs!$G$5:$G$110="moeda")+(Inputs!$G$5:$G$110="acoes"))*Inputs!$B$1+((Inputs!$G$5:$G$110&lt;&gt;"moeda")*(Inputs!$G$5:$G$110&lt;&gt;"acoes")))*INDEX(Inputs!$K$5:$AJ$110,0,MATCH(Z$2,Inputs!$K$4:$AJ$4,0)))+SUMPRODUCT((Inputs!$C$5:$C$110=$B42)*Inputs!$D$5:$D$110*(((Inputs!$G$5:$G$110="moeda")+(Inputs!$G$5:$G$110="acoes"))*Inputs!$B$1+((Inputs!$G$5:$G$110&lt;&gt;"moeda")*(Inputs!$G$5:$G$110&lt;&gt;"acoes")))*INDEX(Inputs!$K$5:$AJ$110,0,MATCH(Z$2,Inputs!$K$4:$AJ$4,0)))+SUMPRODUCT((Inputs!$E$5:$E$110=$B42)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42" s="6" t="e">
        <f>IF(ISNA(MATCH(AA$2,Inputs!$K$4:$AJ$4,0)),NA(),IF(SUMPRODUCT((Inputs!$A$5:$A$110=$B42)*ISNUMBER(INDEX(Inputs!$K$5:$AJ$110,0,MATCH(AA$2,Inputs!$K$4:$AJ$4,0))))+SUMPRODUCT((Inputs!$C$5:$C$110=$B42)*ISNUMBER(INDEX(Inputs!$K$5:$AJ$110,0,MATCH(AA$2,Inputs!$K$4:$AJ$4,0))))+SUMPRODUCT((Inputs!$E$5:$E$110=$B42)*ISNUMBER(INDEX(Inputs!$K$5:$AJ$110,0,MATCH(AA$2,Inputs!$K$4:$AJ$4,0))))=0,NA(),SUMPRODUCT((Inputs!$A$5:$A$110=$B42)*Inputs!$B$5:$B$110*(((Inputs!$G$5:$G$110="moeda")+(Inputs!$G$5:$G$110="acoes"))*Inputs!$B$1+((Inputs!$G$5:$G$110&lt;&gt;"moeda")*(Inputs!$G$5:$G$110&lt;&gt;"acoes")))*INDEX(Inputs!$K$5:$AJ$110,0,MATCH(AA$2,Inputs!$K$4:$AJ$4,0)))+SUMPRODUCT((Inputs!$C$5:$C$110=$B42)*Inputs!$D$5:$D$110*(((Inputs!$G$5:$G$110="moeda")+(Inputs!$G$5:$G$110="acoes"))*Inputs!$B$1+((Inputs!$G$5:$G$110&lt;&gt;"moeda")*(Inputs!$G$5:$G$110&lt;&gt;"acoes")))*INDEX(Inputs!$K$5:$AJ$110,0,MATCH(AA$2,Inputs!$K$4:$AJ$4,0)))+SUMPRODUCT((Inputs!$E$5:$E$110=$B42)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42" s="3" t="e">
        <f>AA42</f>
        <v>#N/A</v>
      </c>
      <c r="AC42" s="6" t="e">
        <f>IF(ISNA(MATCH(AC$2,Inputs!$K$4:$AJ$4,0)),NA(),IF(SUMPRODUCT((Inputs!$A$5:$A$110=$B42)*ISNUMBER(INDEX(Inputs!$K$5:$AJ$110,0,MATCH(AC$2,Inputs!$K$4:$AJ$4,0))))+SUMPRODUCT((Inputs!$C$5:$C$110=$B42)*ISNUMBER(INDEX(Inputs!$K$5:$AJ$110,0,MATCH(AC$2,Inputs!$K$4:$AJ$4,0))))+SUMPRODUCT((Inputs!$E$5:$E$110=$B42)*ISNUMBER(INDEX(Inputs!$K$5:$AJ$110,0,MATCH(AC$2,Inputs!$K$4:$AJ$4,0))))=0,NA(),SUMPRODUCT((Inputs!$A$5:$A$110=$B42)*Inputs!$B$5:$B$110*(((Inputs!$G$5:$G$110="moeda")+(Inputs!$G$5:$G$110="acoes"))*Inputs!$B$1+((Inputs!$G$5:$G$110&lt;&gt;"moeda")*(Inputs!$G$5:$G$110&lt;&gt;"acoes")))*INDEX(Inputs!$K$5:$AJ$110,0,MATCH(AC$2,Inputs!$K$4:$AJ$4,0)))+SUMPRODUCT((Inputs!$C$5:$C$110=$B42)*Inputs!$D$5:$D$110*(((Inputs!$G$5:$G$110="moeda")+(Inputs!$G$5:$G$110="acoes"))*Inputs!$B$1+((Inputs!$G$5:$G$110&lt;&gt;"moeda")*(Inputs!$G$5:$G$110&lt;&gt;"acoes")))*INDEX(Inputs!$K$5:$AJ$110,0,MATCH(AC$2,Inputs!$K$4:$AJ$4,0)))+SUMPRODUCT((Inputs!$E$5:$E$110=$B42)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42" s="6" t="e">
        <f>IF(ISNA(MATCH(AD$2,Inputs!$K$4:$AJ$4,0)),NA(),IF(SUMPRODUCT((Inputs!$A$5:$A$110=$B42)*ISNUMBER(INDEX(Inputs!$K$5:$AJ$110,0,MATCH(AD$2,Inputs!$K$4:$AJ$4,0))))+SUMPRODUCT((Inputs!$C$5:$C$110=$B42)*ISNUMBER(INDEX(Inputs!$K$5:$AJ$110,0,MATCH(AD$2,Inputs!$K$4:$AJ$4,0))))+SUMPRODUCT((Inputs!$E$5:$E$110=$B42)*ISNUMBER(INDEX(Inputs!$K$5:$AJ$110,0,MATCH(AD$2,Inputs!$K$4:$AJ$4,0))))=0,NA(),SUMPRODUCT((Inputs!$A$5:$A$110=$B42)*Inputs!$B$5:$B$110*(((Inputs!$G$5:$G$110="moeda")+(Inputs!$G$5:$G$110="acoes"))*Inputs!$B$1+((Inputs!$G$5:$G$110&lt;&gt;"moeda")*(Inputs!$G$5:$G$110&lt;&gt;"acoes")))*INDEX(Inputs!$K$5:$AJ$110,0,MATCH(AD$2,Inputs!$K$4:$AJ$4,0)))+SUMPRODUCT((Inputs!$C$5:$C$110=$B42)*Inputs!$D$5:$D$110*(((Inputs!$G$5:$G$110="moeda")+(Inputs!$G$5:$G$110="acoes"))*Inputs!$B$1+((Inputs!$G$5:$G$110&lt;&gt;"moeda")*(Inputs!$G$5:$G$110&lt;&gt;"acoes")))*INDEX(Inputs!$K$5:$AJ$110,0,MATCH(AD$2,Inputs!$K$4:$AJ$4,0)))+SUMPRODUCT((Inputs!$E$5:$E$110=$B42)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42" s="6" t="e">
        <f>IF(ISNA(MATCH(AE$2,Inputs!$K$4:$AJ$4,0)),NA(),IF(SUMPRODUCT((Inputs!$A$5:$A$110=$B42)*ISNUMBER(INDEX(Inputs!$K$5:$AJ$110,0,MATCH(AE$2,Inputs!$K$4:$AJ$4,0))))+SUMPRODUCT((Inputs!$C$5:$C$110=$B42)*ISNUMBER(INDEX(Inputs!$K$5:$AJ$110,0,MATCH(AE$2,Inputs!$K$4:$AJ$4,0))))+SUMPRODUCT((Inputs!$E$5:$E$110=$B42)*ISNUMBER(INDEX(Inputs!$K$5:$AJ$110,0,MATCH(AE$2,Inputs!$K$4:$AJ$4,0))))=0,NA(),SUMPRODUCT((Inputs!$A$5:$A$110=$B42)*Inputs!$B$5:$B$110*(((Inputs!$G$5:$G$110="moeda")+(Inputs!$G$5:$G$110="acoes"))*Inputs!$B$1+((Inputs!$G$5:$G$110&lt;&gt;"moeda")*(Inputs!$G$5:$G$110&lt;&gt;"acoes")))*INDEX(Inputs!$K$5:$AJ$110,0,MATCH(AE$2,Inputs!$K$4:$AJ$4,0)))+SUMPRODUCT((Inputs!$C$5:$C$110=$B42)*Inputs!$D$5:$D$110*(((Inputs!$G$5:$G$110="moeda")+(Inputs!$G$5:$G$110="acoes"))*Inputs!$B$1+((Inputs!$G$5:$G$110&lt;&gt;"moeda")*(Inputs!$G$5:$G$110&lt;&gt;"acoes")))*INDEX(Inputs!$K$5:$AJ$110,0,MATCH(AE$2,Inputs!$K$4:$AJ$4,0)))+SUMPRODUCT((Inputs!$E$5:$E$110=$B42)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2" s="6" t="e">
        <f>IF(ISNA(MATCH(AF$2,Inputs!$K$4:$AJ$4,0)),NA(),IF(SUMPRODUCT((Inputs!$A$5:$A$110=$B42)*ISNUMBER(INDEX(Inputs!$K$5:$AJ$110,0,MATCH(AF$2,Inputs!$K$4:$AJ$4,0))))+SUMPRODUCT((Inputs!$C$5:$C$110=$B42)*ISNUMBER(INDEX(Inputs!$K$5:$AJ$110,0,MATCH(AF$2,Inputs!$K$4:$AJ$4,0))))+SUMPRODUCT((Inputs!$E$5:$E$110=$B42)*ISNUMBER(INDEX(Inputs!$K$5:$AJ$110,0,MATCH(AF$2,Inputs!$K$4:$AJ$4,0))))=0,NA(),SUMPRODUCT((Inputs!$A$5:$A$110=$B42)*Inputs!$B$5:$B$110*(((Inputs!$G$5:$G$110="moeda")+(Inputs!$G$5:$G$110="acoes"))*Inputs!$B$1+((Inputs!$G$5:$G$110&lt;&gt;"moeda")*(Inputs!$G$5:$G$110&lt;&gt;"acoes")))*INDEX(Inputs!$K$5:$AJ$110,0,MATCH(AF$2,Inputs!$K$4:$AJ$4,0)))+SUMPRODUCT((Inputs!$C$5:$C$110=$B42)*Inputs!$D$5:$D$110*(((Inputs!$G$5:$G$110="moeda")+(Inputs!$G$5:$G$110="acoes"))*Inputs!$B$1+((Inputs!$G$5:$G$110&lt;&gt;"moeda")*(Inputs!$G$5:$G$110&lt;&gt;"acoes")))*INDEX(Inputs!$K$5:$AJ$110,0,MATCH(AF$2,Inputs!$K$4:$AJ$4,0)))+SUMPRODUCT((Inputs!$E$5:$E$110=$B42)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2" s="3" t="e">
        <f>AF42</f>
        <v>#N/A</v>
      </c>
      <c r="AH42" s="6" t="e">
        <f>IF(ISNA(MATCH(AH$2,Inputs!$K$4:$AJ$4,0)),NA(),IF(SUMPRODUCT((Inputs!$A$5:$A$110=$B42)*ISNUMBER(INDEX(Inputs!$K$5:$AJ$110,0,MATCH(AH$2,Inputs!$K$4:$AJ$4,0))))+SUMPRODUCT((Inputs!$C$5:$C$110=$B42)*ISNUMBER(INDEX(Inputs!$K$5:$AJ$110,0,MATCH(AH$2,Inputs!$K$4:$AJ$4,0))))+SUMPRODUCT((Inputs!$E$5:$E$110=$B42)*ISNUMBER(INDEX(Inputs!$K$5:$AJ$110,0,MATCH(AH$2,Inputs!$K$4:$AJ$4,0))))=0,NA(),SUMPRODUCT((Inputs!$A$5:$A$110=$B42)*Inputs!$B$5:$B$110*(((Inputs!$G$5:$G$110="moeda")+(Inputs!$G$5:$G$110="acoes"))*Inputs!$B$1+((Inputs!$G$5:$G$110&lt;&gt;"moeda")*(Inputs!$G$5:$G$110&lt;&gt;"acoes")))*INDEX(Inputs!$K$5:$AJ$110,0,MATCH(AH$2,Inputs!$K$4:$AJ$4,0)))+SUMPRODUCT((Inputs!$C$5:$C$110=$B42)*Inputs!$D$5:$D$110*(((Inputs!$G$5:$G$110="moeda")+(Inputs!$G$5:$G$110="acoes"))*Inputs!$B$1+((Inputs!$G$5:$G$110&lt;&gt;"moeda")*(Inputs!$G$5:$G$110&lt;&gt;"acoes")))*INDEX(Inputs!$K$5:$AJ$110,0,MATCH(AH$2,Inputs!$K$4:$AJ$4,0)))+SUMPRODUCT((Inputs!$E$5:$E$110=$B42)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42" s="6" t="e">
        <f>IF(ISNA(MATCH(AI$2,Inputs!$K$4:$AJ$4,0)),NA(),IF(SUMPRODUCT((Inputs!$A$5:$A$110=$B42)*ISNUMBER(INDEX(Inputs!$K$5:$AJ$110,0,MATCH(AI$2,Inputs!$K$4:$AJ$4,0))))+SUMPRODUCT((Inputs!$C$5:$C$110=$B42)*ISNUMBER(INDEX(Inputs!$K$5:$AJ$110,0,MATCH(AI$2,Inputs!$K$4:$AJ$4,0))))+SUMPRODUCT((Inputs!$E$5:$E$110=$B42)*ISNUMBER(INDEX(Inputs!$K$5:$AJ$110,0,MATCH(AI$2,Inputs!$K$4:$AJ$4,0))))=0,NA(),SUMPRODUCT((Inputs!$A$5:$A$110=$B42)*Inputs!$B$5:$B$110*(((Inputs!$G$5:$G$110="moeda")+(Inputs!$G$5:$G$110="acoes"))*Inputs!$B$1+((Inputs!$G$5:$G$110&lt;&gt;"moeda")*(Inputs!$G$5:$G$110&lt;&gt;"acoes")))*INDEX(Inputs!$K$5:$AJ$110,0,MATCH(AI$2,Inputs!$K$4:$AJ$4,0)))+SUMPRODUCT((Inputs!$C$5:$C$110=$B42)*Inputs!$D$5:$D$110*(((Inputs!$G$5:$G$110="moeda")+(Inputs!$G$5:$G$110="acoes"))*Inputs!$B$1+((Inputs!$G$5:$G$110&lt;&gt;"moeda")*(Inputs!$G$5:$G$110&lt;&gt;"acoes")))*INDEX(Inputs!$K$5:$AJ$110,0,MATCH(AI$2,Inputs!$K$4:$AJ$4,0)))+SUMPRODUCT((Inputs!$E$5:$E$110=$B42)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42" s="6" t="e">
        <f>IF(ISNA(MATCH(AJ$2,Inputs!$K$4:$AJ$4,0)),NA(),IF(SUMPRODUCT((Inputs!$A$5:$A$110=$B42)*ISNUMBER(INDEX(Inputs!$K$5:$AJ$110,0,MATCH(AJ$2,Inputs!$K$4:$AJ$4,0))))+SUMPRODUCT((Inputs!$C$5:$C$110=$B42)*ISNUMBER(INDEX(Inputs!$K$5:$AJ$110,0,MATCH(AJ$2,Inputs!$K$4:$AJ$4,0))))+SUMPRODUCT((Inputs!$E$5:$E$110=$B42)*ISNUMBER(INDEX(Inputs!$K$5:$AJ$110,0,MATCH(AJ$2,Inputs!$K$4:$AJ$4,0))))=0,NA(),SUMPRODUCT((Inputs!$A$5:$A$110=$B42)*Inputs!$B$5:$B$110*(((Inputs!$G$5:$G$110="moeda")+(Inputs!$G$5:$G$110="acoes"))*Inputs!$B$1+((Inputs!$G$5:$G$110&lt;&gt;"moeda")*(Inputs!$G$5:$G$110&lt;&gt;"acoes")))*INDEX(Inputs!$K$5:$AJ$110,0,MATCH(AJ$2,Inputs!$K$4:$AJ$4,0)))+SUMPRODUCT((Inputs!$C$5:$C$110=$B42)*Inputs!$D$5:$D$110*(((Inputs!$G$5:$G$110="moeda")+(Inputs!$G$5:$G$110="acoes"))*Inputs!$B$1+((Inputs!$G$5:$G$110&lt;&gt;"moeda")*(Inputs!$G$5:$G$110&lt;&gt;"acoes")))*INDEX(Inputs!$K$5:$AJ$110,0,MATCH(AJ$2,Inputs!$K$4:$AJ$4,0)))+SUMPRODUCT((Inputs!$E$5:$E$110=$B42)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42" s="6" t="e">
        <f>IF(ISNA(MATCH(AK$2,Inputs!$K$4:$AJ$4,0)),NA(),IF(SUMPRODUCT((Inputs!$A$5:$A$110=$B42)*ISNUMBER(INDEX(Inputs!$K$5:$AJ$110,0,MATCH(AK$2,Inputs!$K$4:$AJ$4,0))))+SUMPRODUCT((Inputs!$C$5:$C$110=$B42)*ISNUMBER(INDEX(Inputs!$K$5:$AJ$110,0,MATCH(AK$2,Inputs!$K$4:$AJ$4,0))))+SUMPRODUCT((Inputs!$E$5:$E$110=$B42)*ISNUMBER(INDEX(Inputs!$K$5:$AJ$110,0,MATCH(AK$2,Inputs!$K$4:$AJ$4,0))))=0,NA(),SUMPRODUCT((Inputs!$A$5:$A$110=$B42)*Inputs!$B$5:$B$110*(((Inputs!$G$5:$G$110="moeda")+(Inputs!$G$5:$G$110="acoes"))*Inputs!$B$1+((Inputs!$G$5:$G$110&lt;&gt;"moeda")*(Inputs!$G$5:$G$110&lt;&gt;"acoes")))*INDEX(Inputs!$K$5:$AJ$110,0,MATCH(AK$2,Inputs!$K$4:$AJ$4,0)))+SUMPRODUCT((Inputs!$C$5:$C$110=$B42)*Inputs!$D$5:$D$110*(((Inputs!$G$5:$G$110="moeda")+(Inputs!$G$5:$G$110="acoes"))*Inputs!$B$1+((Inputs!$G$5:$G$110&lt;&gt;"moeda")*(Inputs!$G$5:$G$110&lt;&gt;"acoes")))*INDEX(Inputs!$K$5:$AJ$110,0,MATCH(AK$2,Inputs!$K$4:$AJ$4,0)))+SUMPRODUCT((Inputs!$E$5:$E$110=$B42)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$110=$B43)*ISNUMBER(INDEX(Inputs!$K$5:$AJ$110,0,MATCH(D$2,Inputs!$K$4:$AJ$4,0))))+SUMPRODUCT((Inputs!$C$5:$C$110=$B43)*ISNUMBER(INDEX(Inputs!$K$5:$AJ$110,0,MATCH(D$2,Inputs!$K$4:$AJ$4,0))))+SUMPRODUCT((Inputs!$E$5:$E$110=$B43)*ISNUMBER(INDEX(Inputs!$K$5:$AJ$110,0,MATCH(D$2,Inputs!$K$4:$AJ$4,0))))=0,NA(),SUMPRODUCT((Inputs!$A$5:$A$110=$B43)*Inputs!$B$5:$B$110*(((Inputs!$G$5:$G$110="moeda")+(Inputs!$G$5:$G$110="acoes"))*Inputs!$B$1+((Inputs!$G$5:$G$110&lt;&gt;"moeda")*(Inputs!$G$5:$G$110&lt;&gt;"acoes")))*INDEX(Inputs!$K$5:$AJ$110,0,MATCH(D$2,Inputs!$K$4:$AJ$4,0)))+SUMPRODUCT((Inputs!$C$5:$C$110=$B43)*Inputs!$D$5:$D$110*(((Inputs!$G$5:$G$110="moeda")+(Inputs!$G$5:$G$110="acoes"))*Inputs!$B$1+((Inputs!$G$5:$G$110&lt;&gt;"moeda")*(Inputs!$G$5:$G$110&lt;&gt;"acoes")))*INDEX(Inputs!$K$5:$AJ$110,0,MATCH(D$2,Inputs!$K$4:$AJ$4,0)))+SUMPRODUCT((Inputs!$E$5:$E$110=$B43)*Inputs!$F$5:$F$110*(((Inputs!$G$5:$G$110="moeda")+(Inputs!$G$5:$G$110="acoes"))*Inputs!$B$1+((Inputs!$G$5:$G$110&lt;&gt;"moeda")*(Inputs!$G$5:$G$110&lt;&gt;"acoes")))*INDEX(Inputs!$K$5:$AJ$110,0,MATCH(D$2,Inputs!$K$4:$AJ$4,0)))))</f>
        <v>59436</v>
      </c>
      <c r="E43" s="6">
        <f>IF(ISNA(MATCH(E$2,Inputs!$K$4:$AJ$4,0)),NA(),IF(SUMPRODUCT((Inputs!$A$5:$A$110=$B43)*ISNUMBER(INDEX(Inputs!$K$5:$AJ$110,0,MATCH(E$2,Inputs!$K$4:$AJ$4,0))))+SUMPRODUCT((Inputs!$C$5:$C$110=$B43)*ISNUMBER(INDEX(Inputs!$K$5:$AJ$110,0,MATCH(E$2,Inputs!$K$4:$AJ$4,0))))+SUMPRODUCT((Inputs!$E$5:$E$110=$B43)*ISNUMBER(INDEX(Inputs!$K$5:$AJ$110,0,MATCH(E$2,Inputs!$K$4:$AJ$4,0))))=0,NA(),SUMPRODUCT((Inputs!$A$5:$A$110=$B43)*Inputs!$B$5:$B$110*(((Inputs!$G$5:$G$110="moeda")+(Inputs!$G$5:$G$110="acoes"))*Inputs!$B$1+((Inputs!$G$5:$G$110&lt;&gt;"moeda")*(Inputs!$G$5:$G$110&lt;&gt;"acoes")))*INDEX(Inputs!$K$5:$AJ$110,0,MATCH(E$2,Inputs!$K$4:$AJ$4,0)))+SUMPRODUCT((Inputs!$C$5:$C$110=$B43)*Inputs!$D$5:$D$110*(((Inputs!$G$5:$G$110="moeda")+(Inputs!$G$5:$G$110="acoes"))*Inputs!$B$1+((Inputs!$G$5:$G$110&lt;&gt;"moeda")*(Inputs!$G$5:$G$110&lt;&gt;"acoes")))*INDEX(Inputs!$K$5:$AJ$110,0,MATCH(E$2,Inputs!$K$4:$AJ$4,0)))+SUMPRODUCT((Inputs!$E$5:$E$110=$B43)*Inputs!$F$5:$F$110*(((Inputs!$G$5:$G$110="moeda")+(Inputs!$G$5:$G$110="acoes"))*Inputs!$B$1+((Inputs!$G$5:$G$110&lt;&gt;"moeda")*(Inputs!$G$5:$G$110&lt;&gt;"acoes")))*INDEX(Inputs!$K$5:$AJ$110,0,MATCH(E$2,Inputs!$K$4:$AJ$4,0)))))</f>
        <v>60436</v>
      </c>
      <c r="F43" s="6">
        <f>IF(ISNA(MATCH(F$2,Inputs!$K$4:$AJ$4,0)),NA(),IF(SUMPRODUCT((Inputs!$A$5:$A$110=$B43)*ISNUMBER(INDEX(Inputs!$K$5:$AJ$110,0,MATCH(F$2,Inputs!$K$4:$AJ$4,0))))+SUMPRODUCT((Inputs!$C$5:$C$110=$B43)*ISNUMBER(INDEX(Inputs!$K$5:$AJ$110,0,MATCH(F$2,Inputs!$K$4:$AJ$4,0))))+SUMPRODUCT((Inputs!$E$5:$E$110=$B43)*ISNUMBER(INDEX(Inputs!$K$5:$AJ$110,0,MATCH(F$2,Inputs!$K$4:$AJ$4,0))))=0,NA(),SUMPRODUCT((Inputs!$A$5:$A$110=$B43)*Inputs!$B$5:$B$110*(((Inputs!$G$5:$G$110="moeda")+(Inputs!$G$5:$G$110="acoes"))*Inputs!$B$1+((Inputs!$G$5:$G$110&lt;&gt;"moeda")*(Inputs!$G$5:$G$110&lt;&gt;"acoes")))*INDEX(Inputs!$K$5:$AJ$110,0,MATCH(F$2,Inputs!$K$4:$AJ$4,0)))+SUMPRODUCT((Inputs!$C$5:$C$110=$B43)*Inputs!$D$5:$D$110*(((Inputs!$G$5:$G$110="moeda")+(Inputs!$G$5:$G$110="acoes"))*Inputs!$B$1+((Inputs!$G$5:$G$110&lt;&gt;"moeda")*(Inputs!$G$5:$G$110&lt;&gt;"acoes")))*INDEX(Inputs!$K$5:$AJ$110,0,MATCH(F$2,Inputs!$K$4:$AJ$4,0)))+SUMPRODUCT((Inputs!$E$5:$E$110=$B43)*Inputs!$F$5:$F$110*(((Inputs!$G$5:$G$110="moeda")+(Inputs!$G$5:$G$110="acoes"))*Inputs!$B$1+((Inputs!$G$5:$G$110&lt;&gt;"moeda")*(Inputs!$G$5:$G$110&lt;&gt;"acoes")))*INDEX(Inputs!$K$5:$AJ$110,0,MATCH(F$2,Inputs!$K$4:$AJ$4,0)))))</f>
        <v>61193</v>
      </c>
      <c r="G43" s="6">
        <f>IF(ISNA(MATCH(G$2,Inputs!$K$4:$AJ$4,0)),NA(),IF(SUMPRODUCT((Inputs!$A$5:$A$110=$B43)*ISNUMBER(INDEX(Inputs!$K$5:$AJ$110,0,MATCH(G$2,Inputs!$K$4:$AJ$4,0))))+SUMPRODUCT((Inputs!$C$5:$C$110=$B43)*ISNUMBER(INDEX(Inputs!$K$5:$AJ$110,0,MATCH(G$2,Inputs!$K$4:$AJ$4,0))))+SUMPRODUCT((Inputs!$E$5:$E$110=$B43)*ISNUMBER(INDEX(Inputs!$K$5:$AJ$110,0,MATCH(G$2,Inputs!$K$4:$AJ$4,0))))=0,NA(),SUMPRODUCT((Inputs!$A$5:$A$110=$B43)*Inputs!$B$5:$B$110*(((Inputs!$G$5:$G$110="moeda")+(Inputs!$G$5:$G$110="acoes"))*Inputs!$B$1+((Inputs!$G$5:$G$110&lt;&gt;"moeda")*(Inputs!$G$5:$G$110&lt;&gt;"acoes")))*INDEX(Inputs!$K$5:$AJ$110,0,MATCH(G$2,Inputs!$K$4:$AJ$4,0)))+SUMPRODUCT((Inputs!$C$5:$C$110=$B43)*Inputs!$D$5:$D$110*(((Inputs!$G$5:$G$110="moeda")+(Inputs!$G$5:$G$110="acoes"))*Inputs!$B$1+((Inputs!$G$5:$G$110&lt;&gt;"moeda")*(Inputs!$G$5:$G$110&lt;&gt;"acoes")))*INDEX(Inputs!$K$5:$AJ$110,0,MATCH(G$2,Inputs!$K$4:$AJ$4,0)))+SUMPRODUCT((Inputs!$E$5:$E$110=$B43)*Inputs!$F$5:$F$110*(((Inputs!$G$5:$G$110="moeda")+(Inputs!$G$5:$G$110="acoes"))*Inputs!$B$1+((Inputs!$G$5:$G$110&lt;&gt;"moeda")*(Inputs!$G$5:$G$110&lt;&gt;"acoes")))*INDEX(Inputs!$K$5:$AJ$110,0,MATCH(G$2,Inputs!$K$4:$AJ$4,0)))))</f>
        <v>61774</v>
      </c>
      <c r="H43" s="3">
        <f>G43</f>
        <v>61774</v>
      </c>
      <c r="I43" s="6">
        <f>IF(ISNA(MATCH(I$2,Inputs!$K$4:$AJ$4,0)),NA(),IF(SUMPRODUCT((Inputs!$A$5:$A$110=$B43)*ISNUMBER(INDEX(Inputs!$K$5:$AJ$110,0,MATCH(I$2,Inputs!$K$4:$AJ$4,0))))+SUMPRODUCT((Inputs!$C$5:$C$110=$B43)*ISNUMBER(INDEX(Inputs!$K$5:$AJ$110,0,MATCH(I$2,Inputs!$K$4:$AJ$4,0))))+SUMPRODUCT((Inputs!$E$5:$E$110=$B43)*ISNUMBER(INDEX(Inputs!$K$5:$AJ$110,0,MATCH(I$2,Inputs!$K$4:$AJ$4,0))))=0,NA(),SUMPRODUCT((Inputs!$A$5:$A$110=$B43)*Inputs!$B$5:$B$110*(((Inputs!$G$5:$G$110="moeda")+(Inputs!$G$5:$G$110="acoes"))*Inputs!$B$1+((Inputs!$G$5:$G$110&lt;&gt;"moeda")*(Inputs!$G$5:$G$110&lt;&gt;"acoes")))*INDEX(Inputs!$K$5:$AJ$110,0,MATCH(I$2,Inputs!$K$4:$AJ$4,0)))+SUMPRODUCT((Inputs!$C$5:$C$110=$B43)*Inputs!$D$5:$D$110*(((Inputs!$G$5:$G$110="moeda")+(Inputs!$G$5:$G$110="acoes"))*Inputs!$B$1+((Inputs!$G$5:$G$110&lt;&gt;"moeda")*(Inputs!$G$5:$G$110&lt;&gt;"acoes")))*INDEX(Inputs!$K$5:$AJ$110,0,MATCH(I$2,Inputs!$K$4:$AJ$4,0)))+SUMPRODUCT((Inputs!$E$5:$E$110=$B43)*Inputs!$F$5:$F$110*(((Inputs!$G$5:$G$110="moeda")+(Inputs!$G$5:$G$110="acoes"))*Inputs!$B$1+((Inputs!$G$5:$G$110&lt;&gt;"moeda")*(Inputs!$G$5:$G$110&lt;&gt;"acoes")))*INDEX(Inputs!$K$5:$AJ$110,0,MATCH(I$2,Inputs!$K$4:$AJ$4,0)))))</f>
        <v>62832</v>
      </c>
      <c r="J43" s="6">
        <f>IF(ISNA(MATCH(J$2,Inputs!$K$4:$AJ$4,0)),NA(),IF(SUMPRODUCT((Inputs!$A$5:$A$110=$B43)*ISNUMBER(INDEX(Inputs!$K$5:$AJ$110,0,MATCH(J$2,Inputs!$K$4:$AJ$4,0))))+SUMPRODUCT((Inputs!$C$5:$C$110=$B43)*ISNUMBER(INDEX(Inputs!$K$5:$AJ$110,0,MATCH(J$2,Inputs!$K$4:$AJ$4,0))))+SUMPRODUCT((Inputs!$E$5:$E$110=$B43)*ISNUMBER(INDEX(Inputs!$K$5:$AJ$110,0,MATCH(J$2,Inputs!$K$4:$AJ$4,0))))=0,NA(),SUMPRODUCT((Inputs!$A$5:$A$110=$B43)*Inputs!$B$5:$B$110*(((Inputs!$G$5:$G$110="moeda")+(Inputs!$G$5:$G$110="acoes"))*Inputs!$B$1+((Inputs!$G$5:$G$110&lt;&gt;"moeda")*(Inputs!$G$5:$G$110&lt;&gt;"acoes")))*INDEX(Inputs!$K$5:$AJ$110,0,MATCH(J$2,Inputs!$K$4:$AJ$4,0)))+SUMPRODUCT((Inputs!$C$5:$C$110=$B43)*Inputs!$D$5:$D$110*(((Inputs!$G$5:$G$110="moeda")+(Inputs!$G$5:$G$110="acoes"))*Inputs!$B$1+((Inputs!$G$5:$G$110&lt;&gt;"moeda")*(Inputs!$G$5:$G$110&lt;&gt;"acoes")))*INDEX(Inputs!$K$5:$AJ$110,0,MATCH(J$2,Inputs!$K$4:$AJ$4,0)))+SUMPRODUCT((Inputs!$E$5:$E$110=$B43)*Inputs!$F$5:$F$110*(((Inputs!$G$5:$G$110="moeda")+(Inputs!$G$5:$G$110="acoes"))*Inputs!$B$1+((Inputs!$G$5:$G$110&lt;&gt;"moeda")*(Inputs!$G$5:$G$110&lt;&gt;"acoes")))*INDEX(Inputs!$K$5:$AJ$110,0,MATCH(J$2,Inputs!$K$4:$AJ$4,0)))))</f>
        <v>64402</v>
      </c>
      <c r="K43" s="6">
        <f>IF(ISNA(MATCH(K$2,Inputs!$K$4:$AJ$4,0)),NA(),IF(SUMPRODUCT((Inputs!$A$5:$A$110=$B43)*ISNUMBER(INDEX(Inputs!$K$5:$AJ$110,0,MATCH(K$2,Inputs!$K$4:$AJ$4,0))))+SUMPRODUCT((Inputs!$C$5:$C$110=$B43)*ISNUMBER(INDEX(Inputs!$K$5:$AJ$110,0,MATCH(K$2,Inputs!$K$4:$AJ$4,0))))+SUMPRODUCT((Inputs!$E$5:$E$110=$B43)*ISNUMBER(INDEX(Inputs!$K$5:$AJ$110,0,MATCH(K$2,Inputs!$K$4:$AJ$4,0))))=0,NA(),SUMPRODUCT((Inputs!$A$5:$A$110=$B43)*Inputs!$B$5:$B$110*(((Inputs!$G$5:$G$110="moeda")+(Inputs!$G$5:$G$110="acoes"))*Inputs!$B$1+((Inputs!$G$5:$G$110&lt;&gt;"moeda")*(Inputs!$G$5:$G$110&lt;&gt;"acoes")))*INDEX(Inputs!$K$5:$AJ$110,0,MATCH(K$2,Inputs!$K$4:$AJ$4,0)))+SUMPRODUCT((Inputs!$C$5:$C$110=$B43)*Inputs!$D$5:$D$110*(((Inputs!$G$5:$G$110="moeda")+(Inputs!$G$5:$G$110="acoes"))*Inputs!$B$1+((Inputs!$G$5:$G$110&lt;&gt;"moeda")*(Inputs!$G$5:$G$110&lt;&gt;"acoes")))*INDEX(Inputs!$K$5:$AJ$110,0,MATCH(K$2,Inputs!$K$4:$AJ$4,0)))+SUMPRODUCT((Inputs!$E$5:$E$110=$B43)*Inputs!$F$5:$F$110*(((Inputs!$G$5:$G$110="moeda")+(Inputs!$G$5:$G$110="acoes"))*Inputs!$B$1+((Inputs!$G$5:$G$110&lt;&gt;"moeda")*(Inputs!$G$5:$G$110&lt;&gt;"acoes")))*INDEX(Inputs!$K$5:$AJ$110,0,MATCH(K$2,Inputs!$K$4:$AJ$4,0)))))</f>
        <v>66258</v>
      </c>
      <c r="L43" s="6">
        <f>IF(ISNA(MATCH(L$2,Inputs!$K$4:$AJ$4,0)),NA(),IF(SUMPRODUCT((Inputs!$A$5:$A$110=$B43)*ISNUMBER(INDEX(Inputs!$K$5:$AJ$110,0,MATCH(L$2,Inputs!$K$4:$AJ$4,0))))+SUMPRODUCT((Inputs!$C$5:$C$110=$B43)*ISNUMBER(INDEX(Inputs!$K$5:$AJ$110,0,MATCH(L$2,Inputs!$K$4:$AJ$4,0))))+SUMPRODUCT((Inputs!$E$5:$E$110=$B43)*ISNUMBER(INDEX(Inputs!$K$5:$AJ$110,0,MATCH(L$2,Inputs!$K$4:$AJ$4,0))))=0,NA(),SUMPRODUCT((Inputs!$A$5:$A$110=$B43)*Inputs!$B$5:$B$110*(((Inputs!$G$5:$G$110="moeda")+(Inputs!$G$5:$G$110="acoes"))*Inputs!$B$1+((Inputs!$G$5:$G$110&lt;&gt;"moeda")*(Inputs!$G$5:$G$110&lt;&gt;"acoes")))*INDEX(Inputs!$K$5:$AJ$110,0,MATCH(L$2,Inputs!$K$4:$AJ$4,0)))+SUMPRODUCT((Inputs!$C$5:$C$110=$B43)*Inputs!$D$5:$D$110*(((Inputs!$G$5:$G$110="moeda")+(Inputs!$G$5:$G$110="acoes"))*Inputs!$B$1+((Inputs!$G$5:$G$110&lt;&gt;"moeda")*(Inputs!$G$5:$G$110&lt;&gt;"acoes")))*INDEX(Inputs!$K$5:$AJ$110,0,MATCH(L$2,Inputs!$K$4:$AJ$4,0)))+SUMPRODUCT((Inputs!$E$5:$E$110=$B43)*Inputs!$F$5:$F$110*(((Inputs!$G$5:$G$110="moeda")+(Inputs!$G$5:$G$110="acoes"))*Inputs!$B$1+((Inputs!$G$5:$G$110&lt;&gt;"moeda")*(Inputs!$G$5:$G$110&lt;&gt;"acoes")))*INDEX(Inputs!$K$5:$AJ$110,0,MATCH(L$2,Inputs!$K$4:$AJ$4,0)))))</f>
        <v>68184</v>
      </c>
      <c r="M43" s="3">
        <f>L43</f>
        <v>68184</v>
      </c>
      <c r="N43" s="6">
        <f>IF(ISNA(MATCH(N$2,Inputs!$K$4:$AJ$4,0)),NA(),IF(SUMPRODUCT((Inputs!$A$5:$A$110=$B43)*ISNUMBER(INDEX(Inputs!$K$5:$AJ$110,0,MATCH(N$2,Inputs!$K$4:$AJ$4,0))))+SUMPRODUCT((Inputs!$C$5:$C$110=$B43)*ISNUMBER(INDEX(Inputs!$K$5:$AJ$110,0,MATCH(N$2,Inputs!$K$4:$AJ$4,0))))+SUMPRODUCT((Inputs!$E$5:$E$110=$B43)*ISNUMBER(INDEX(Inputs!$K$5:$AJ$110,0,MATCH(N$2,Inputs!$K$4:$AJ$4,0))))=0,NA(),SUMPRODUCT((Inputs!$A$5:$A$110=$B43)*Inputs!$B$5:$B$110*(((Inputs!$G$5:$G$110="moeda")+(Inputs!$G$5:$G$110="acoes"))*Inputs!$B$1+((Inputs!$G$5:$G$110&lt;&gt;"moeda")*(Inputs!$G$5:$G$110&lt;&gt;"acoes")))*INDEX(Inputs!$K$5:$AJ$110,0,MATCH(N$2,Inputs!$K$4:$AJ$4,0)))+SUMPRODUCT((Inputs!$C$5:$C$110=$B43)*Inputs!$D$5:$D$110*(((Inputs!$G$5:$G$110="moeda")+(Inputs!$G$5:$G$110="acoes"))*Inputs!$B$1+((Inputs!$G$5:$G$110&lt;&gt;"moeda")*(Inputs!$G$5:$G$110&lt;&gt;"acoes")))*INDEX(Inputs!$K$5:$AJ$110,0,MATCH(N$2,Inputs!$K$4:$AJ$4,0)))+SUMPRODUCT((Inputs!$E$5:$E$110=$B43)*Inputs!$F$5:$F$110*(((Inputs!$G$5:$G$110="moeda")+(Inputs!$G$5:$G$110="acoes"))*Inputs!$B$1+((Inputs!$G$5:$G$110&lt;&gt;"moeda")*(Inputs!$G$5:$G$110&lt;&gt;"acoes")))*INDEX(Inputs!$K$5:$AJ$110,0,MATCH(N$2,Inputs!$K$4:$AJ$4,0)))))</f>
        <v>70269</v>
      </c>
      <c r="O43" s="6">
        <f>IF(ISNA(MATCH(O$2,Inputs!$K$4:$AJ$4,0)),NA(),IF(SUMPRODUCT((Inputs!$A$5:$A$110=$B43)*ISNUMBER(INDEX(Inputs!$K$5:$AJ$110,0,MATCH(O$2,Inputs!$K$4:$AJ$4,0))))+SUMPRODUCT((Inputs!$C$5:$C$110=$B43)*ISNUMBER(INDEX(Inputs!$K$5:$AJ$110,0,MATCH(O$2,Inputs!$K$4:$AJ$4,0))))+SUMPRODUCT((Inputs!$E$5:$E$110=$B43)*ISNUMBER(INDEX(Inputs!$K$5:$AJ$110,0,MATCH(O$2,Inputs!$K$4:$AJ$4,0))))=0,NA(),SUMPRODUCT((Inputs!$A$5:$A$110=$B43)*Inputs!$B$5:$B$110*(((Inputs!$G$5:$G$110="moeda")+(Inputs!$G$5:$G$110="acoes"))*Inputs!$B$1+((Inputs!$G$5:$G$110&lt;&gt;"moeda")*(Inputs!$G$5:$G$110&lt;&gt;"acoes")))*INDEX(Inputs!$K$5:$AJ$110,0,MATCH(O$2,Inputs!$K$4:$AJ$4,0)))+SUMPRODUCT((Inputs!$C$5:$C$110=$B43)*Inputs!$D$5:$D$110*(((Inputs!$G$5:$G$110="moeda")+(Inputs!$G$5:$G$110="acoes"))*Inputs!$B$1+((Inputs!$G$5:$G$110&lt;&gt;"moeda")*(Inputs!$G$5:$G$110&lt;&gt;"acoes")))*INDEX(Inputs!$K$5:$AJ$110,0,MATCH(O$2,Inputs!$K$4:$AJ$4,0)))+SUMPRODUCT((Inputs!$E$5:$E$110=$B43)*Inputs!$F$5:$F$110*(((Inputs!$G$5:$G$110="moeda")+(Inputs!$G$5:$G$110="acoes"))*Inputs!$B$1+((Inputs!$G$5:$G$110&lt;&gt;"moeda")*(Inputs!$G$5:$G$110&lt;&gt;"acoes")))*INDEX(Inputs!$K$5:$AJ$110,0,MATCH(O$2,Inputs!$K$4:$AJ$4,0)))))</f>
        <v>72248</v>
      </c>
      <c r="P43" s="6">
        <f>IF(ISNA(MATCH(P$2,Inputs!$K$4:$AJ$4,0)),NA(),IF(SUMPRODUCT((Inputs!$A$5:$A$110=$B43)*ISNUMBER(INDEX(Inputs!$K$5:$AJ$110,0,MATCH(P$2,Inputs!$K$4:$AJ$4,0))))+SUMPRODUCT((Inputs!$C$5:$C$110=$B43)*ISNUMBER(INDEX(Inputs!$K$5:$AJ$110,0,MATCH(P$2,Inputs!$K$4:$AJ$4,0))))+SUMPRODUCT((Inputs!$E$5:$E$110=$B43)*ISNUMBER(INDEX(Inputs!$K$5:$AJ$110,0,MATCH(P$2,Inputs!$K$4:$AJ$4,0))))=0,NA(),SUMPRODUCT((Inputs!$A$5:$A$110=$B43)*Inputs!$B$5:$B$110*(((Inputs!$G$5:$G$110="moeda")+(Inputs!$G$5:$G$110="acoes"))*Inputs!$B$1+((Inputs!$G$5:$G$110&lt;&gt;"moeda")*(Inputs!$G$5:$G$110&lt;&gt;"acoes")))*INDEX(Inputs!$K$5:$AJ$110,0,MATCH(P$2,Inputs!$K$4:$AJ$4,0)))+SUMPRODUCT((Inputs!$C$5:$C$110=$B43)*Inputs!$D$5:$D$110*(((Inputs!$G$5:$G$110="moeda")+(Inputs!$G$5:$G$110="acoes"))*Inputs!$B$1+((Inputs!$G$5:$G$110&lt;&gt;"moeda")*(Inputs!$G$5:$G$110&lt;&gt;"acoes")))*INDEX(Inputs!$K$5:$AJ$110,0,MATCH(P$2,Inputs!$K$4:$AJ$4,0)))+SUMPRODUCT((Inputs!$E$5:$E$110=$B43)*Inputs!$F$5:$F$110*(((Inputs!$G$5:$G$110="moeda")+(Inputs!$G$5:$G$110="acoes"))*Inputs!$B$1+((Inputs!$G$5:$G$110&lt;&gt;"moeda")*(Inputs!$G$5:$G$110&lt;&gt;"acoes")))*INDEX(Inputs!$K$5:$AJ$110,0,MATCH(P$2,Inputs!$K$4:$AJ$4,0)))))</f>
        <v>74591</v>
      </c>
      <c r="Q43" s="6">
        <f>IF(ISNA(MATCH(Q$2,Inputs!$K$4:$AJ$4,0)),NA(),IF(SUMPRODUCT((Inputs!$A$5:$A$110=$B43)*ISNUMBER(INDEX(Inputs!$K$5:$AJ$110,0,MATCH(Q$2,Inputs!$K$4:$AJ$4,0))))+SUMPRODUCT((Inputs!$C$5:$C$110=$B43)*ISNUMBER(INDEX(Inputs!$K$5:$AJ$110,0,MATCH(Q$2,Inputs!$K$4:$AJ$4,0))))+SUMPRODUCT((Inputs!$E$5:$E$110=$B43)*ISNUMBER(INDEX(Inputs!$K$5:$AJ$110,0,MATCH(Q$2,Inputs!$K$4:$AJ$4,0))))=0,NA(),SUMPRODUCT((Inputs!$A$5:$A$110=$B43)*Inputs!$B$5:$B$110*(((Inputs!$G$5:$G$110="moeda")+(Inputs!$G$5:$G$110="acoes"))*Inputs!$B$1+((Inputs!$G$5:$G$110&lt;&gt;"moeda")*(Inputs!$G$5:$G$110&lt;&gt;"acoes")))*INDEX(Inputs!$K$5:$AJ$110,0,MATCH(Q$2,Inputs!$K$4:$AJ$4,0)))+SUMPRODUCT((Inputs!$C$5:$C$110=$B43)*Inputs!$D$5:$D$110*(((Inputs!$G$5:$G$110="moeda")+(Inputs!$G$5:$G$110="acoes"))*Inputs!$B$1+((Inputs!$G$5:$G$110&lt;&gt;"moeda")*(Inputs!$G$5:$G$110&lt;&gt;"acoes")))*INDEX(Inputs!$K$5:$AJ$110,0,MATCH(Q$2,Inputs!$K$4:$AJ$4,0)))+SUMPRODUCT((Inputs!$E$5:$E$110=$B43)*Inputs!$F$5:$F$110*(((Inputs!$G$5:$G$110="moeda")+(Inputs!$G$5:$G$110="acoes"))*Inputs!$B$1+((Inputs!$G$5:$G$110&lt;&gt;"moeda")*(Inputs!$G$5:$G$110&lt;&gt;"acoes")))*INDEX(Inputs!$K$5:$AJ$110,0,MATCH(Q$2,Inputs!$K$4:$AJ$4,0)))))</f>
        <v>76534</v>
      </c>
      <c r="R43" s="3">
        <f>Q43</f>
        <v>76534</v>
      </c>
      <c r="S43" s="6">
        <f>IF(ISNA(MATCH(S$2,Inputs!$K$4:$AJ$4,0)),NA(),IF(SUMPRODUCT((Inputs!$A$5:$A$110=$B43)*ISNUMBER(INDEX(Inputs!$K$5:$AJ$110,0,MATCH(S$2,Inputs!$K$4:$AJ$4,0))))+SUMPRODUCT((Inputs!$C$5:$C$110=$B43)*ISNUMBER(INDEX(Inputs!$K$5:$AJ$110,0,MATCH(S$2,Inputs!$K$4:$AJ$4,0))))+SUMPRODUCT((Inputs!$E$5:$E$110=$B43)*ISNUMBER(INDEX(Inputs!$K$5:$AJ$110,0,MATCH(S$2,Inputs!$K$4:$AJ$4,0))))=0,NA(),SUMPRODUCT((Inputs!$A$5:$A$110=$B43)*Inputs!$B$5:$B$110*(((Inputs!$G$5:$G$110="moeda")+(Inputs!$G$5:$G$110="acoes"))*Inputs!$B$1+((Inputs!$G$5:$G$110&lt;&gt;"moeda")*(Inputs!$G$5:$G$110&lt;&gt;"acoes")))*INDEX(Inputs!$K$5:$AJ$110,0,MATCH(S$2,Inputs!$K$4:$AJ$4,0)))+SUMPRODUCT((Inputs!$C$5:$C$110=$B43)*Inputs!$D$5:$D$110*(((Inputs!$G$5:$G$110="moeda")+(Inputs!$G$5:$G$110="acoes"))*Inputs!$B$1+((Inputs!$G$5:$G$110&lt;&gt;"moeda")*(Inputs!$G$5:$G$110&lt;&gt;"acoes")))*INDEX(Inputs!$K$5:$AJ$110,0,MATCH(S$2,Inputs!$K$4:$AJ$4,0)))+SUMPRODUCT((Inputs!$E$5:$E$110=$B43)*Inputs!$F$5:$F$110*(((Inputs!$G$5:$G$110="moeda")+(Inputs!$G$5:$G$110="acoes"))*Inputs!$B$1+((Inputs!$G$5:$G$110&lt;&gt;"moeda")*(Inputs!$G$5:$G$110&lt;&gt;"acoes")))*INDEX(Inputs!$K$5:$AJ$110,0,MATCH(S$2,Inputs!$K$4:$AJ$4,0)))))</f>
        <v>77913</v>
      </c>
      <c r="T43" s="6">
        <f>IF(ISNA(MATCH(T$2,Inputs!$K$4:$AJ$4,0)),NA(),IF(SUMPRODUCT((Inputs!$A$5:$A$110=$B43)*ISNUMBER(INDEX(Inputs!$K$5:$AJ$110,0,MATCH(T$2,Inputs!$K$4:$AJ$4,0))))+SUMPRODUCT((Inputs!$C$5:$C$110=$B43)*ISNUMBER(INDEX(Inputs!$K$5:$AJ$110,0,MATCH(T$2,Inputs!$K$4:$AJ$4,0))))+SUMPRODUCT((Inputs!$E$5:$E$110=$B43)*ISNUMBER(INDEX(Inputs!$K$5:$AJ$110,0,MATCH(T$2,Inputs!$K$4:$AJ$4,0))))=0,NA(),SUMPRODUCT((Inputs!$A$5:$A$110=$B43)*Inputs!$B$5:$B$110*(((Inputs!$G$5:$G$110="moeda")+(Inputs!$G$5:$G$110="acoes"))*Inputs!$B$1+((Inputs!$G$5:$G$110&lt;&gt;"moeda")*(Inputs!$G$5:$G$110&lt;&gt;"acoes")))*INDEX(Inputs!$K$5:$AJ$110,0,MATCH(T$2,Inputs!$K$4:$AJ$4,0)))+SUMPRODUCT((Inputs!$C$5:$C$110=$B43)*Inputs!$D$5:$D$110*(((Inputs!$G$5:$G$110="moeda")+(Inputs!$G$5:$G$110="acoes"))*Inputs!$B$1+((Inputs!$G$5:$G$110&lt;&gt;"moeda")*(Inputs!$G$5:$G$110&lt;&gt;"acoes")))*INDEX(Inputs!$K$5:$AJ$110,0,MATCH(T$2,Inputs!$K$4:$AJ$4,0)))+SUMPRODUCT((Inputs!$E$5:$E$110=$B43)*Inputs!$F$5:$F$110*(((Inputs!$G$5:$G$110="moeda")+(Inputs!$G$5:$G$110="acoes"))*Inputs!$B$1+((Inputs!$G$5:$G$110&lt;&gt;"moeda")*(Inputs!$G$5:$G$110&lt;&gt;"acoes")))*INDEX(Inputs!$K$5:$AJ$110,0,MATCH(T$2,Inputs!$K$4:$AJ$4,0)))))</f>
        <v>79732</v>
      </c>
      <c r="U43" s="6">
        <f>IF(ISNA(MATCH(U$2,Inputs!$K$4:$AJ$4,0)),NA(),IF(SUMPRODUCT((Inputs!$A$5:$A$110=$B43)*ISNUMBER(INDEX(Inputs!$K$5:$AJ$110,0,MATCH(U$2,Inputs!$K$4:$AJ$4,0))))+SUMPRODUCT((Inputs!$C$5:$C$110=$B43)*ISNUMBER(INDEX(Inputs!$K$5:$AJ$110,0,MATCH(U$2,Inputs!$K$4:$AJ$4,0))))+SUMPRODUCT((Inputs!$E$5:$E$110=$B43)*ISNUMBER(INDEX(Inputs!$K$5:$AJ$110,0,MATCH(U$2,Inputs!$K$4:$AJ$4,0))))=0,NA(),SUMPRODUCT((Inputs!$A$5:$A$110=$B43)*Inputs!$B$5:$B$110*(((Inputs!$G$5:$G$110="moeda")+(Inputs!$G$5:$G$110="acoes"))*Inputs!$B$1+((Inputs!$G$5:$G$110&lt;&gt;"moeda")*(Inputs!$G$5:$G$110&lt;&gt;"acoes")))*INDEX(Inputs!$K$5:$AJ$110,0,MATCH(U$2,Inputs!$K$4:$AJ$4,0)))+SUMPRODUCT((Inputs!$C$5:$C$110=$B43)*Inputs!$D$5:$D$110*(((Inputs!$G$5:$G$110="moeda")+(Inputs!$G$5:$G$110="acoes"))*Inputs!$B$1+((Inputs!$G$5:$G$110&lt;&gt;"moeda")*(Inputs!$G$5:$G$110&lt;&gt;"acoes")))*INDEX(Inputs!$K$5:$AJ$110,0,MATCH(U$2,Inputs!$K$4:$AJ$4,0)))+SUMPRODUCT((Inputs!$E$5:$E$110=$B43)*Inputs!$F$5:$F$110*(((Inputs!$G$5:$G$110="moeda")+(Inputs!$G$5:$G$110="acoes"))*Inputs!$B$1+((Inputs!$G$5:$G$110&lt;&gt;"moeda")*(Inputs!$G$5:$G$110&lt;&gt;"acoes")))*INDEX(Inputs!$K$5:$AJ$110,0,MATCH(U$2,Inputs!$K$4:$AJ$4,0)))))</f>
        <v>82030</v>
      </c>
      <c r="V43" s="6">
        <f>IF(ISNA(MATCH(V$2,Inputs!$K$4:$AJ$4,0)),NA(),IF(SUMPRODUCT((Inputs!$A$5:$A$110=$B43)*ISNUMBER(INDEX(Inputs!$K$5:$AJ$110,0,MATCH(V$2,Inputs!$K$4:$AJ$4,0))))+SUMPRODUCT((Inputs!$C$5:$C$110=$B43)*ISNUMBER(INDEX(Inputs!$K$5:$AJ$110,0,MATCH(V$2,Inputs!$K$4:$AJ$4,0))))+SUMPRODUCT((Inputs!$E$5:$E$110=$B43)*ISNUMBER(INDEX(Inputs!$K$5:$AJ$110,0,MATCH(V$2,Inputs!$K$4:$AJ$4,0))))=0,NA(),SUMPRODUCT((Inputs!$A$5:$A$110=$B43)*Inputs!$B$5:$B$110*(((Inputs!$G$5:$G$110="moeda")+(Inputs!$G$5:$G$110="acoes"))*Inputs!$B$1+((Inputs!$G$5:$G$110&lt;&gt;"moeda")*(Inputs!$G$5:$G$110&lt;&gt;"acoes")))*INDEX(Inputs!$K$5:$AJ$110,0,MATCH(V$2,Inputs!$K$4:$AJ$4,0)))+SUMPRODUCT((Inputs!$C$5:$C$110=$B43)*Inputs!$D$5:$D$110*(((Inputs!$G$5:$G$110="moeda")+(Inputs!$G$5:$G$110="acoes"))*Inputs!$B$1+((Inputs!$G$5:$G$110&lt;&gt;"moeda")*(Inputs!$G$5:$G$110&lt;&gt;"acoes")))*INDEX(Inputs!$K$5:$AJ$110,0,MATCH(V$2,Inputs!$K$4:$AJ$4,0)))+SUMPRODUCT((Inputs!$E$5:$E$110=$B43)*Inputs!$F$5:$F$110*(((Inputs!$G$5:$G$110="moeda")+(Inputs!$G$5:$G$110="acoes"))*Inputs!$B$1+((Inputs!$G$5:$G$110&lt;&gt;"moeda")*(Inputs!$G$5:$G$110&lt;&gt;"acoes")))*INDEX(Inputs!$K$5:$AJ$110,0,MATCH(V$2,Inputs!$K$4:$AJ$4,0)))))</f>
        <v>84800</v>
      </c>
      <c r="W43" s="3">
        <f>V43</f>
        <v>84800</v>
      </c>
      <c r="X43" s="6">
        <f>IF(ISNA(MATCH(X$2,Inputs!$K$4:$AJ$4,0)),NA(),IF(SUMPRODUCT((Inputs!$A$5:$A$110=$B43)*ISNUMBER(INDEX(Inputs!$K$5:$AJ$110,0,MATCH(X$2,Inputs!$K$4:$AJ$4,0))))+SUMPRODUCT((Inputs!$C$5:$C$110=$B43)*ISNUMBER(INDEX(Inputs!$K$5:$AJ$110,0,MATCH(X$2,Inputs!$K$4:$AJ$4,0))))+SUMPRODUCT((Inputs!$E$5:$E$110=$B43)*ISNUMBER(INDEX(Inputs!$K$5:$AJ$110,0,MATCH(X$2,Inputs!$K$4:$AJ$4,0))))=0,NA(),SUMPRODUCT((Inputs!$A$5:$A$110=$B43)*Inputs!$B$5:$B$110*(((Inputs!$G$5:$G$110="moeda")+(Inputs!$G$5:$G$110="acoes"))*Inputs!$B$1+((Inputs!$G$5:$G$110&lt;&gt;"moeda")*(Inputs!$G$5:$G$110&lt;&gt;"acoes")))*INDEX(Inputs!$K$5:$AJ$110,0,MATCH(X$2,Inputs!$K$4:$AJ$4,0)))+SUMPRODUCT((Inputs!$C$5:$C$110=$B43)*Inputs!$D$5:$D$110*(((Inputs!$G$5:$G$110="moeda")+(Inputs!$G$5:$G$110="acoes"))*Inputs!$B$1+((Inputs!$G$5:$G$110&lt;&gt;"moeda")*(Inputs!$G$5:$G$110&lt;&gt;"acoes")))*INDEX(Inputs!$K$5:$AJ$110,0,MATCH(X$2,Inputs!$K$4:$AJ$4,0)))+SUMPRODUCT((Inputs!$E$5:$E$110=$B43)*Inputs!$F$5:$F$110*(((Inputs!$G$5:$G$110="moeda")+(Inputs!$G$5:$G$110="acoes"))*Inputs!$B$1+((Inputs!$G$5:$G$110&lt;&gt;"moeda")*(Inputs!$G$5:$G$110&lt;&gt;"acoes")))*INDEX(Inputs!$K$5:$AJ$110,0,MATCH(X$2,Inputs!$K$4:$AJ$4,0)))))</f>
        <v>86725</v>
      </c>
      <c r="Y43" s="6">
        <f>IF(ISNA(MATCH(Y$2,Inputs!$K$4:$AJ$4,0)),NA(),IF(SUMPRODUCT((Inputs!$A$5:$A$110=$B43)*ISNUMBER(INDEX(Inputs!$K$5:$AJ$110,0,MATCH(Y$2,Inputs!$K$4:$AJ$4,0))))+SUMPRODUCT((Inputs!$C$5:$C$110=$B43)*ISNUMBER(INDEX(Inputs!$K$5:$AJ$110,0,MATCH(Y$2,Inputs!$K$4:$AJ$4,0))))+SUMPRODUCT((Inputs!$E$5:$E$110=$B43)*ISNUMBER(INDEX(Inputs!$K$5:$AJ$110,0,MATCH(Y$2,Inputs!$K$4:$AJ$4,0))))=0,NA(),SUMPRODUCT((Inputs!$A$5:$A$110=$B43)*Inputs!$B$5:$B$110*(((Inputs!$G$5:$G$110="moeda")+(Inputs!$G$5:$G$110="acoes"))*Inputs!$B$1+((Inputs!$G$5:$G$110&lt;&gt;"moeda")*(Inputs!$G$5:$G$110&lt;&gt;"acoes")))*INDEX(Inputs!$K$5:$AJ$110,0,MATCH(Y$2,Inputs!$K$4:$AJ$4,0)))+SUMPRODUCT((Inputs!$C$5:$C$110=$B43)*Inputs!$D$5:$D$110*(((Inputs!$G$5:$G$110="moeda")+(Inputs!$G$5:$G$110="acoes"))*Inputs!$B$1+((Inputs!$G$5:$G$110&lt;&gt;"moeda")*(Inputs!$G$5:$G$110&lt;&gt;"acoes")))*INDEX(Inputs!$K$5:$AJ$110,0,MATCH(Y$2,Inputs!$K$4:$AJ$4,0)))+SUMPRODUCT((Inputs!$E$5:$E$110=$B43)*Inputs!$F$5:$F$110*(((Inputs!$G$5:$G$110="moeda")+(Inputs!$G$5:$G$110="acoes"))*Inputs!$B$1+((Inputs!$G$5:$G$110&lt;&gt;"moeda")*(Inputs!$G$5:$G$110&lt;&gt;"acoes")))*INDEX(Inputs!$K$5:$AJ$110,0,MATCH(Y$2,Inputs!$K$4:$AJ$4,0)))))</f>
        <v>89283</v>
      </c>
      <c r="Z43" s="6">
        <f>IF(ISNA(MATCH(Z$2,Inputs!$K$4:$AJ$4,0)),NA(),IF(SUMPRODUCT((Inputs!$A$5:$A$110=$B43)*ISNUMBER(INDEX(Inputs!$K$5:$AJ$110,0,MATCH(Z$2,Inputs!$K$4:$AJ$4,0))))+SUMPRODUCT((Inputs!$C$5:$C$110=$B43)*ISNUMBER(INDEX(Inputs!$K$5:$AJ$110,0,MATCH(Z$2,Inputs!$K$4:$AJ$4,0))))+SUMPRODUCT((Inputs!$E$5:$E$110=$B43)*ISNUMBER(INDEX(Inputs!$K$5:$AJ$110,0,MATCH(Z$2,Inputs!$K$4:$AJ$4,0))))=0,NA(),SUMPRODUCT((Inputs!$A$5:$A$110=$B43)*Inputs!$B$5:$B$110*(((Inputs!$G$5:$G$110="moeda")+(Inputs!$G$5:$G$110="acoes"))*Inputs!$B$1+((Inputs!$G$5:$G$110&lt;&gt;"moeda")*(Inputs!$G$5:$G$110&lt;&gt;"acoes")))*INDEX(Inputs!$K$5:$AJ$110,0,MATCH(Z$2,Inputs!$K$4:$AJ$4,0)))+SUMPRODUCT((Inputs!$C$5:$C$110=$B43)*Inputs!$D$5:$D$110*(((Inputs!$G$5:$G$110="moeda")+(Inputs!$G$5:$G$110="acoes"))*Inputs!$B$1+((Inputs!$G$5:$G$110&lt;&gt;"moeda")*(Inputs!$G$5:$G$110&lt;&gt;"acoes")))*INDEX(Inputs!$K$5:$AJ$110,0,MATCH(Z$2,Inputs!$K$4:$AJ$4,0)))+SUMPRODUCT((Inputs!$E$5:$E$110=$B43)*Inputs!$F$5:$F$110*(((Inputs!$G$5:$G$110="moeda")+(Inputs!$G$5:$G$110="acoes"))*Inputs!$B$1+((Inputs!$G$5:$G$110&lt;&gt;"moeda")*(Inputs!$G$5:$G$110&lt;&gt;"acoes")))*INDEX(Inputs!$K$5:$AJ$110,0,MATCH(Z$2,Inputs!$K$4:$AJ$4,0)))))</f>
        <v>91695</v>
      </c>
      <c r="AA43" s="6">
        <f>IF(ISNA(MATCH(AA$2,Inputs!$K$4:$AJ$4,0)),NA(),IF(SUMPRODUCT((Inputs!$A$5:$A$110=$B43)*ISNUMBER(INDEX(Inputs!$K$5:$AJ$110,0,MATCH(AA$2,Inputs!$K$4:$AJ$4,0))))+SUMPRODUCT((Inputs!$C$5:$C$110=$B43)*ISNUMBER(INDEX(Inputs!$K$5:$AJ$110,0,MATCH(AA$2,Inputs!$K$4:$AJ$4,0))))+SUMPRODUCT((Inputs!$E$5:$E$110=$B43)*ISNUMBER(INDEX(Inputs!$K$5:$AJ$110,0,MATCH(AA$2,Inputs!$K$4:$AJ$4,0))))=0,NA(),SUMPRODUCT((Inputs!$A$5:$A$110=$B43)*Inputs!$B$5:$B$110*(((Inputs!$G$5:$G$110="moeda")+(Inputs!$G$5:$G$110="acoes"))*Inputs!$B$1+((Inputs!$G$5:$G$110&lt;&gt;"moeda")*(Inputs!$G$5:$G$110&lt;&gt;"acoes")))*INDEX(Inputs!$K$5:$AJ$110,0,MATCH(AA$2,Inputs!$K$4:$AJ$4,0)))+SUMPRODUCT((Inputs!$C$5:$C$110=$B43)*Inputs!$D$5:$D$110*(((Inputs!$G$5:$G$110="moeda")+(Inputs!$G$5:$G$110="acoes"))*Inputs!$B$1+((Inputs!$G$5:$G$110&lt;&gt;"moeda")*(Inputs!$G$5:$G$110&lt;&gt;"acoes")))*INDEX(Inputs!$K$5:$AJ$110,0,MATCH(AA$2,Inputs!$K$4:$AJ$4,0)))+SUMPRODUCT((Inputs!$E$5:$E$110=$B43)*Inputs!$F$5:$F$110*(((Inputs!$G$5:$G$110="moeda")+(Inputs!$G$5:$G$110="acoes"))*Inputs!$B$1+((Inputs!$G$5:$G$110&lt;&gt;"moeda")*(Inputs!$G$5:$G$110&lt;&gt;"acoes")))*INDEX(Inputs!$K$5:$AJ$110,0,MATCH(AA$2,Inputs!$K$4:$AJ$4,0)))))</f>
        <v>93126</v>
      </c>
      <c r="AB43" s="3">
        <f>AA43</f>
        <v>93126</v>
      </c>
      <c r="AC43" s="6">
        <f>IF(ISNA(MATCH(AC$2,Inputs!$K$4:$AJ$4,0)),NA(),IF(SUMPRODUCT((Inputs!$A$5:$A$110=$B43)*ISNUMBER(INDEX(Inputs!$K$5:$AJ$110,0,MATCH(AC$2,Inputs!$K$4:$AJ$4,0))))+SUMPRODUCT((Inputs!$C$5:$C$110=$B43)*ISNUMBER(INDEX(Inputs!$K$5:$AJ$110,0,MATCH(AC$2,Inputs!$K$4:$AJ$4,0))))+SUMPRODUCT((Inputs!$E$5:$E$110=$B43)*ISNUMBER(INDEX(Inputs!$K$5:$AJ$110,0,MATCH(AC$2,Inputs!$K$4:$AJ$4,0))))=0,NA(),SUMPRODUCT((Inputs!$A$5:$A$110=$B43)*Inputs!$B$5:$B$110*(((Inputs!$G$5:$G$110="moeda")+(Inputs!$G$5:$G$110="acoes"))*Inputs!$B$1+((Inputs!$G$5:$G$110&lt;&gt;"moeda")*(Inputs!$G$5:$G$110&lt;&gt;"acoes")))*INDEX(Inputs!$K$5:$AJ$110,0,MATCH(AC$2,Inputs!$K$4:$AJ$4,0)))+SUMPRODUCT((Inputs!$C$5:$C$110=$B43)*Inputs!$D$5:$D$110*(((Inputs!$G$5:$G$110="moeda")+(Inputs!$G$5:$G$110="acoes"))*Inputs!$B$1+((Inputs!$G$5:$G$110&lt;&gt;"moeda")*(Inputs!$G$5:$G$110&lt;&gt;"acoes")))*INDEX(Inputs!$K$5:$AJ$110,0,MATCH(AC$2,Inputs!$K$4:$AJ$4,0)))+SUMPRODUCT((Inputs!$E$5:$E$110=$B43)*Inputs!$F$5:$F$110*(((Inputs!$G$5:$G$110="moeda")+(Inputs!$G$5:$G$110="acoes"))*Inputs!$B$1+((Inputs!$G$5:$G$110&lt;&gt;"moeda")*(Inputs!$G$5:$G$110&lt;&gt;"acoes")))*INDEX(Inputs!$K$5:$AJ$110,0,MATCH(AC$2,Inputs!$K$4:$AJ$4,0)))))</f>
        <v>96902</v>
      </c>
      <c r="AD43" s="6">
        <f>IF(ISNA(MATCH(AD$2,Inputs!$K$4:$AJ$4,0)),NA(),IF(SUMPRODUCT((Inputs!$A$5:$A$110=$B43)*ISNUMBER(INDEX(Inputs!$K$5:$AJ$110,0,MATCH(AD$2,Inputs!$K$4:$AJ$4,0))))+SUMPRODUCT((Inputs!$C$5:$C$110=$B43)*ISNUMBER(INDEX(Inputs!$K$5:$AJ$110,0,MATCH(AD$2,Inputs!$K$4:$AJ$4,0))))+SUMPRODUCT((Inputs!$E$5:$E$110=$B43)*ISNUMBER(INDEX(Inputs!$K$5:$AJ$110,0,MATCH(AD$2,Inputs!$K$4:$AJ$4,0))))=0,NA(),SUMPRODUCT((Inputs!$A$5:$A$110=$B43)*Inputs!$B$5:$B$110*(((Inputs!$G$5:$G$110="moeda")+(Inputs!$G$5:$G$110="acoes"))*Inputs!$B$1+((Inputs!$G$5:$G$110&lt;&gt;"moeda")*(Inputs!$G$5:$G$110&lt;&gt;"acoes")))*INDEX(Inputs!$K$5:$AJ$110,0,MATCH(AD$2,Inputs!$K$4:$AJ$4,0)))+SUMPRODUCT((Inputs!$C$5:$C$110=$B43)*Inputs!$D$5:$D$110*(((Inputs!$G$5:$G$110="moeda")+(Inputs!$G$5:$G$110="acoes"))*Inputs!$B$1+((Inputs!$G$5:$G$110&lt;&gt;"moeda")*(Inputs!$G$5:$G$110&lt;&gt;"acoes")))*INDEX(Inputs!$K$5:$AJ$110,0,MATCH(AD$2,Inputs!$K$4:$AJ$4,0)))+SUMPRODUCT((Inputs!$E$5:$E$110=$B43)*Inputs!$F$5:$F$110*(((Inputs!$G$5:$G$110="moeda")+(Inputs!$G$5:$G$110="acoes"))*Inputs!$B$1+((Inputs!$G$5:$G$110&lt;&gt;"moeda")*(Inputs!$G$5:$G$110&lt;&gt;"acoes")))*INDEX(Inputs!$K$5:$AJ$110,0,MATCH(AD$2,Inputs!$K$4:$AJ$4,0)))))</f>
        <v>131371</v>
      </c>
      <c r="AE43" s="6" t="e">
        <f>IF(ISNA(MATCH(AE$2,Inputs!$K$4:$AJ$4,0)),NA(),IF(SUMPRODUCT((Inputs!$A$5:$A$110=$B43)*ISNUMBER(INDEX(Inputs!$K$5:$AJ$110,0,MATCH(AE$2,Inputs!$K$4:$AJ$4,0))))+SUMPRODUCT((Inputs!$C$5:$C$110=$B43)*ISNUMBER(INDEX(Inputs!$K$5:$AJ$110,0,MATCH(AE$2,Inputs!$K$4:$AJ$4,0))))+SUMPRODUCT((Inputs!$E$5:$E$110=$B43)*ISNUMBER(INDEX(Inputs!$K$5:$AJ$110,0,MATCH(AE$2,Inputs!$K$4:$AJ$4,0))))=0,NA(),SUMPRODUCT((Inputs!$A$5:$A$110=$B43)*Inputs!$B$5:$B$110*(((Inputs!$G$5:$G$110="moeda")+(Inputs!$G$5:$G$110="acoes"))*Inputs!$B$1+((Inputs!$G$5:$G$110&lt;&gt;"moeda")*(Inputs!$G$5:$G$110&lt;&gt;"acoes")))*INDEX(Inputs!$K$5:$AJ$110,0,MATCH(AE$2,Inputs!$K$4:$AJ$4,0)))+SUMPRODUCT((Inputs!$C$5:$C$110=$B43)*Inputs!$D$5:$D$110*(((Inputs!$G$5:$G$110="moeda")+(Inputs!$G$5:$G$110="acoes"))*Inputs!$B$1+((Inputs!$G$5:$G$110&lt;&gt;"moeda")*(Inputs!$G$5:$G$110&lt;&gt;"acoes")))*INDEX(Inputs!$K$5:$AJ$110,0,MATCH(AE$2,Inputs!$K$4:$AJ$4,0)))+SUMPRODUCT((Inputs!$E$5:$E$110=$B43)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3" s="6" t="e">
        <f>IF(ISNA(MATCH(AF$2,Inputs!$K$4:$AJ$4,0)),NA(),IF(SUMPRODUCT((Inputs!$A$5:$A$110=$B43)*ISNUMBER(INDEX(Inputs!$K$5:$AJ$110,0,MATCH(AF$2,Inputs!$K$4:$AJ$4,0))))+SUMPRODUCT((Inputs!$C$5:$C$110=$B43)*ISNUMBER(INDEX(Inputs!$K$5:$AJ$110,0,MATCH(AF$2,Inputs!$K$4:$AJ$4,0))))+SUMPRODUCT((Inputs!$E$5:$E$110=$B43)*ISNUMBER(INDEX(Inputs!$K$5:$AJ$110,0,MATCH(AF$2,Inputs!$K$4:$AJ$4,0))))=0,NA(),SUMPRODUCT((Inputs!$A$5:$A$110=$B43)*Inputs!$B$5:$B$110*(((Inputs!$G$5:$G$110="moeda")+(Inputs!$G$5:$G$110="acoes"))*Inputs!$B$1+((Inputs!$G$5:$G$110&lt;&gt;"moeda")*(Inputs!$G$5:$G$110&lt;&gt;"acoes")))*INDEX(Inputs!$K$5:$AJ$110,0,MATCH(AF$2,Inputs!$K$4:$AJ$4,0)))+SUMPRODUCT((Inputs!$C$5:$C$110=$B43)*Inputs!$D$5:$D$110*(((Inputs!$G$5:$G$110="moeda")+(Inputs!$G$5:$G$110="acoes"))*Inputs!$B$1+((Inputs!$G$5:$G$110&lt;&gt;"moeda")*(Inputs!$G$5:$G$110&lt;&gt;"acoes")))*INDEX(Inputs!$K$5:$AJ$110,0,MATCH(AF$2,Inputs!$K$4:$AJ$4,0)))+SUMPRODUCT((Inputs!$E$5:$E$110=$B43)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3" s="3" t="e">
        <f>AF43</f>
        <v>#N/A</v>
      </c>
      <c r="AH43" s="6">
        <f>IF(ISNA(MATCH(AH$2,Inputs!$K$4:$AJ$4,0)),NA(),IF(SUMPRODUCT((Inputs!$A$5:$A$110=$B43)*ISNUMBER(INDEX(Inputs!$K$5:$AJ$110,0,MATCH(AH$2,Inputs!$K$4:$AJ$4,0))))+SUMPRODUCT((Inputs!$C$5:$C$110=$B43)*ISNUMBER(INDEX(Inputs!$K$5:$AJ$110,0,MATCH(AH$2,Inputs!$K$4:$AJ$4,0))))+SUMPRODUCT((Inputs!$E$5:$E$110=$B43)*ISNUMBER(INDEX(Inputs!$K$5:$AJ$110,0,MATCH(AH$2,Inputs!$K$4:$AJ$4,0))))=0,NA(),SUMPRODUCT((Inputs!$A$5:$A$110=$B43)*Inputs!$B$5:$B$110*(((Inputs!$G$5:$G$110="moeda")+(Inputs!$G$5:$G$110="acoes"))*Inputs!$B$1+((Inputs!$G$5:$G$110&lt;&gt;"moeda")*(Inputs!$G$5:$G$110&lt;&gt;"acoes")))*INDEX(Inputs!$K$5:$AJ$110,0,MATCH(AH$2,Inputs!$K$4:$AJ$4,0)))+SUMPRODUCT((Inputs!$C$5:$C$110=$B43)*Inputs!$D$5:$D$110*(((Inputs!$G$5:$G$110="moeda")+(Inputs!$G$5:$G$110="acoes"))*Inputs!$B$1+((Inputs!$G$5:$G$110&lt;&gt;"moeda")*(Inputs!$G$5:$G$110&lt;&gt;"acoes")))*INDEX(Inputs!$K$5:$AJ$110,0,MATCH(AH$2,Inputs!$K$4:$AJ$4,0)))+SUMPRODUCT((Inputs!$E$5:$E$110=$B43)*Inputs!$F$5:$F$110*(((Inputs!$G$5:$G$110="moeda")+(Inputs!$G$5:$G$110="acoes"))*Inputs!$B$1+((Inputs!$G$5:$G$110&lt;&gt;"moeda")*(Inputs!$G$5:$G$110&lt;&gt;"acoes")))*INDEX(Inputs!$K$5:$AJ$110,0,MATCH(AH$2,Inputs!$K$4:$AJ$4,0)))))</f>
        <v>53688</v>
      </c>
      <c r="AI43" s="6">
        <f>IF(ISNA(MATCH(AI$2,Inputs!$K$4:$AJ$4,0)),NA(),IF(SUMPRODUCT((Inputs!$A$5:$A$110=$B43)*ISNUMBER(INDEX(Inputs!$K$5:$AJ$110,0,MATCH(AI$2,Inputs!$K$4:$AJ$4,0))))+SUMPRODUCT((Inputs!$C$5:$C$110=$B43)*ISNUMBER(INDEX(Inputs!$K$5:$AJ$110,0,MATCH(AI$2,Inputs!$K$4:$AJ$4,0))))+SUMPRODUCT((Inputs!$E$5:$E$110=$B43)*ISNUMBER(INDEX(Inputs!$K$5:$AJ$110,0,MATCH(AI$2,Inputs!$K$4:$AJ$4,0))))=0,NA(),SUMPRODUCT((Inputs!$A$5:$A$110=$B43)*Inputs!$B$5:$B$110*(((Inputs!$G$5:$G$110="moeda")+(Inputs!$G$5:$G$110="acoes"))*Inputs!$B$1+((Inputs!$G$5:$G$110&lt;&gt;"moeda")*(Inputs!$G$5:$G$110&lt;&gt;"acoes")))*INDEX(Inputs!$K$5:$AJ$110,0,MATCH(AI$2,Inputs!$K$4:$AJ$4,0)))+SUMPRODUCT((Inputs!$C$5:$C$110=$B43)*Inputs!$D$5:$D$110*(((Inputs!$G$5:$G$110="moeda")+(Inputs!$G$5:$G$110="acoes"))*Inputs!$B$1+((Inputs!$G$5:$G$110&lt;&gt;"moeda")*(Inputs!$G$5:$G$110&lt;&gt;"acoes")))*INDEX(Inputs!$K$5:$AJ$110,0,MATCH(AI$2,Inputs!$K$4:$AJ$4,0)))+SUMPRODUCT((Inputs!$E$5:$E$110=$B43)*Inputs!$F$5:$F$110*(((Inputs!$G$5:$G$110="moeda")+(Inputs!$G$5:$G$110="acoes"))*Inputs!$B$1+((Inputs!$G$5:$G$110&lt;&gt;"moeda")*(Inputs!$G$5:$G$110&lt;&gt;"acoes")))*INDEX(Inputs!$K$5:$AJ$110,0,MATCH(AI$2,Inputs!$K$4:$AJ$4,0)))))</f>
        <v>55937</v>
      </c>
      <c r="AJ43" s="6">
        <f>IF(ISNA(MATCH(AJ$2,Inputs!$K$4:$AJ$4,0)),NA(),IF(SUMPRODUCT((Inputs!$A$5:$A$110=$B43)*ISNUMBER(INDEX(Inputs!$K$5:$AJ$110,0,MATCH(AJ$2,Inputs!$K$4:$AJ$4,0))))+SUMPRODUCT((Inputs!$C$5:$C$110=$B43)*ISNUMBER(INDEX(Inputs!$K$5:$AJ$110,0,MATCH(AJ$2,Inputs!$K$4:$AJ$4,0))))+SUMPRODUCT((Inputs!$E$5:$E$110=$B43)*ISNUMBER(INDEX(Inputs!$K$5:$AJ$110,0,MATCH(AJ$2,Inputs!$K$4:$AJ$4,0))))=0,NA(),SUMPRODUCT((Inputs!$A$5:$A$110=$B43)*Inputs!$B$5:$B$110*(((Inputs!$G$5:$G$110="moeda")+(Inputs!$G$5:$G$110="acoes"))*Inputs!$B$1+((Inputs!$G$5:$G$110&lt;&gt;"moeda")*(Inputs!$G$5:$G$110&lt;&gt;"acoes")))*INDEX(Inputs!$K$5:$AJ$110,0,MATCH(AJ$2,Inputs!$K$4:$AJ$4,0)))+SUMPRODUCT((Inputs!$C$5:$C$110=$B43)*Inputs!$D$5:$D$110*(((Inputs!$G$5:$G$110="moeda")+(Inputs!$G$5:$G$110="acoes"))*Inputs!$B$1+((Inputs!$G$5:$G$110&lt;&gt;"moeda")*(Inputs!$G$5:$G$110&lt;&gt;"acoes")))*INDEX(Inputs!$K$5:$AJ$110,0,MATCH(AJ$2,Inputs!$K$4:$AJ$4,0)))+SUMPRODUCT((Inputs!$E$5:$E$110=$B43)*Inputs!$F$5:$F$110*(((Inputs!$G$5:$G$110="moeda")+(Inputs!$G$5:$G$110="acoes"))*Inputs!$B$1+((Inputs!$G$5:$G$110&lt;&gt;"moeda")*(Inputs!$G$5:$G$110&lt;&gt;"acoes")))*INDEX(Inputs!$K$5:$AJ$110,0,MATCH(AJ$2,Inputs!$K$4:$AJ$4,0)))))</f>
        <v>57307</v>
      </c>
      <c r="AK43" s="6">
        <f>IF(ISNA(MATCH(AK$2,Inputs!$K$4:$AJ$4,0)),NA(),IF(SUMPRODUCT((Inputs!$A$5:$A$110=$B43)*ISNUMBER(INDEX(Inputs!$K$5:$AJ$110,0,MATCH(AK$2,Inputs!$K$4:$AJ$4,0))))+SUMPRODUCT((Inputs!$C$5:$C$110=$B43)*ISNUMBER(INDEX(Inputs!$K$5:$AJ$110,0,MATCH(AK$2,Inputs!$K$4:$AJ$4,0))))+SUMPRODUCT((Inputs!$E$5:$E$110=$B43)*ISNUMBER(INDEX(Inputs!$K$5:$AJ$110,0,MATCH(AK$2,Inputs!$K$4:$AJ$4,0))))=0,NA(),SUMPRODUCT((Inputs!$A$5:$A$110=$B43)*Inputs!$B$5:$B$110*(((Inputs!$G$5:$G$110="moeda")+(Inputs!$G$5:$G$110="acoes"))*Inputs!$B$1+((Inputs!$G$5:$G$110&lt;&gt;"moeda")*(Inputs!$G$5:$G$110&lt;&gt;"acoes")))*INDEX(Inputs!$K$5:$AJ$110,0,MATCH(AK$2,Inputs!$K$4:$AJ$4,0)))+SUMPRODUCT((Inputs!$C$5:$C$110=$B43)*Inputs!$D$5:$D$110*(((Inputs!$G$5:$G$110="moeda")+(Inputs!$G$5:$G$110="acoes"))*Inputs!$B$1+((Inputs!$G$5:$G$110&lt;&gt;"moeda")*(Inputs!$G$5:$G$110&lt;&gt;"acoes")))*INDEX(Inputs!$K$5:$AJ$110,0,MATCH(AK$2,Inputs!$K$4:$AJ$4,0)))+SUMPRODUCT((Inputs!$E$5:$E$110=$B43)*Inputs!$F$5:$F$110*(((Inputs!$G$5:$G$110="moeda")+(Inputs!$G$5:$G$110="acoes"))*Inputs!$B$1+((Inputs!$G$5:$G$110&lt;&gt;"moeda")*(Inputs!$G$5:$G$110&lt;&gt;"acoes")))*INDEX(Inputs!$K$5:$AJ$110,0,MATCH(AK$2,Inputs!$K$4:$AJ$4,0)))))</f>
        <v>58510</v>
      </c>
      <c r="AL43" s="3">
        <f>AK43</f>
        <v>58510</v>
      </c>
    </row>
    <row r="44">
      <c r="B44" s="46" t="n">
        <v>38</v>
      </c>
      <c r="C44" s="26" t="inlineStr">
        <is>
          <t>Treasury stock (contra account)</t>
        </is>
      </c>
      <c r="D44" s="6" t="e">
        <f>IF(ISNA(MATCH(D$2,Inputs!$K$4:$AJ$4,0)),NA(),IF(SUMPRODUCT((Inputs!$A$5:$A$110=$B44)*ISNUMBER(INDEX(Inputs!$K$5:$AJ$110,0,MATCH(D$2,Inputs!$K$4:$AJ$4,0))))+SUMPRODUCT((Inputs!$C$5:$C$110=$B44)*ISNUMBER(INDEX(Inputs!$K$5:$AJ$110,0,MATCH(D$2,Inputs!$K$4:$AJ$4,0))))+SUMPRODUCT((Inputs!$E$5:$E$110=$B44)*ISNUMBER(INDEX(Inputs!$K$5:$AJ$110,0,MATCH(D$2,Inputs!$K$4:$AJ$4,0))))=0,NA(),SUMPRODUCT((Inputs!$A$5:$A$110=$B44)*Inputs!$B$5:$B$110*(((Inputs!$G$5:$G$110="moeda")+(Inputs!$G$5:$G$110="acoes"))*Inputs!$B$1+((Inputs!$G$5:$G$110&lt;&gt;"moeda")*(Inputs!$G$5:$G$110&lt;&gt;"acoes")))*INDEX(Inputs!$K$5:$AJ$110,0,MATCH(D$2,Inputs!$K$4:$AJ$4,0)))+SUMPRODUCT((Inputs!$C$5:$C$110=$B44)*Inputs!$D$5:$D$110*(((Inputs!$G$5:$G$110="moeda")+(Inputs!$G$5:$G$110="acoes"))*Inputs!$B$1+((Inputs!$G$5:$G$110&lt;&gt;"moeda")*(Inputs!$G$5:$G$110&lt;&gt;"acoes")))*INDEX(Inputs!$K$5:$AJ$110,0,MATCH(D$2,Inputs!$K$4:$AJ$4,0)))+SUMPRODUCT((Inputs!$E$5:$E$110=$B44)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44" s="6" t="e">
        <f>IF(ISNA(MATCH(E$2,Inputs!$K$4:$AJ$4,0)),NA(),IF(SUMPRODUCT((Inputs!$A$5:$A$110=$B44)*ISNUMBER(INDEX(Inputs!$K$5:$AJ$110,0,MATCH(E$2,Inputs!$K$4:$AJ$4,0))))+SUMPRODUCT((Inputs!$C$5:$C$110=$B44)*ISNUMBER(INDEX(Inputs!$K$5:$AJ$110,0,MATCH(E$2,Inputs!$K$4:$AJ$4,0))))+SUMPRODUCT((Inputs!$E$5:$E$110=$B44)*ISNUMBER(INDEX(Inputs!$K$5:$AJ$110,0,MATCH(E$2,Inputs!$K$4:$AJ$4,0))))=0,NA(),SUMPRODUCT((Inputs!$A$5:$A$110=$B44)*Inputs!$B$5:$B$110*(((Inputs!$G$5:$G$110="moeda")+(Inputs!$G$5:$G$110="acoes"))*Inputs!$B$1+((Inputs!$G$5:$G$110&lt;&gt;"moeda")*(Inputs!$G$5:$G$110&lt;&gt;"acoes")))*INDEX(Inputs!$K$5:$AJ$110,0,MATCH(E$2,Inputs!$K$4:$AJ$4,0)))+SUMPRODUCT((Inputs!$C$5:$C$110=$B44)*Inputs!$D$5:$D$110*(((Inputs!$G$5:$G$110="moeda")+(Inputs!$G$5:$G$110="acoes"))*Inputs!$B$1+((Inputs!$G$5:$G$110&lt;&gt;"moeda")*(Inputs!$G$5:$G$110&lt;&gt;"acoes")))*INDEX(Inputs!$K$5:$AJ$110,0,MATCH(E$2,Inputs!$K$4:$AJ$4,0)))+SUMPRODUCT((Inputs!$E$5:$E$110=$B44)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44" s="6" t="e">
        <f>IF(ISNA(MATCH(F$2,Inputs!$K$4:$AJ$4,0)),NA(),IF(SUMPRODUCT((Inputs!$A$5:$A$110=$B44)*ISNUMBER(INDEX(Inputs!$K$5:$AJ$110,0,MATCH(F$2,Inputs!$K$4:$AJ$4,0))))+SUMPRODUCT((Inputs!$C$5:$C$110=$B44)*ISNUMBER(INDEX(Inputs!$K$5:$AJ$110,0,MATCH(F$2,Inputs!$K$4:$AJ$4,0))))+SUMPRODUCT((Inputs!$E$5:$E$110=$B44)*ISNUMBER(INDEX(Inputs!$K$5:$AJ$110,0,MATCH(F$2,Inputs!$K$4:$AJ$4,0))))=0,NA(),SUMPRODUCT((Inputs!$A$5:$A$110=$B44)*Inputs!$B$5:$B$110*(((Inputs!$G$5:$G$110="moeda")+(Inputs!$G$5:$G$110="acoes"))*Inputs!$B$1+((Inputs!$G$5:$G$110&lt;&gt;"moeda")*(Inputs!$G$5:$G$110&lt;&gt;"acoes")))*INDEX(Inputs!$K$5:$AJ$110,0,MATCH(F$2,Inputs!$K$4:$AJ$4,0)))+SUMPRODUCT((Inputs!$C$5:$C$110=$B44)*Inputs!$D$5:$D$110*(((Inputs!$G$5:$G$110="moeda")+(Inputs!$G$5:$G$110="acoes"))*Inputs!$B$1+((Inputs!$G$5:$G$110&lt;&gt;"moeda")*(Inputs!$G$5:$G$110&lt;&gt;"acoes")))*INDEX(Inputs!$K$5:$AJ$110,0,MATCH(F$2,Inputs!$K$4:$AJ$4,0)))+SUMPRODUCT((Inputs!$E$5:$E$110=$B44)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44" s="6" t="e">
        <f>IF(ISNA(MATCH(G$2,Inputs!$K$4:$AJ$4,0)),NA(),IF(SUMPRODUCT((Inputs!$A$5:$A$110=$B44)*ISNUMBER(INDEX(Inputs!$K$5:$AJ$110,0,MATCH(G$2,Inputs!$K$4:$AJ$4,0))))+SUMPRODUCT((Inputs!$C$5:$C$110=$B44)*ISNUMBER(INDEX(Inputs!$K$5:$AJ$110,0,MATCH(G$2,Inputs!$K$4:$AJ$4,0))))+SUMPRODUCT((Inputs!$E$5:$E$110=$B44)*ISNUMBER(INDEX(Inputs!$K$5:$AJ$110,0,MATCH(G$2,Inputs!$K$4:$AJ$4,0))))=0,NA(),SUMPRODUCT((Inputs!$A$5:$A$110=$B44)*Inputs!$B$5:$B$110*(((Inputs!$G$5:$G$110="moeda")+(Inputs!$G$5:$G$110="acoes"))*Inputs!$B$1+((Inputs!$G$5:$G$110&lt;&gt;"moeda")*(Inputs!$G$5:$G$110&lt;&gt;"acoes")))*INDEX(Inputs!$K$5:$AJ$110,0,MATCH(G$2,Inputs!$K$4:$AJ$4,0)))+SUMPRODUCT((Inputs!$C$5:$C$110=$B44)*Inputs!$D$5:$D$110*(((Inputs!$G$5:$G$110="moeda")+(Inputs!$G$5:$G$110="acoes"))*Inputs!$B$1+((Inputs!$G$5:$G$110&lt;&gt;"moeda")*(Inputs!$G$5:$G$110&lt;&gt;"acoes")))*INDEX(Inputs!$K$5:$AJ$110,0,MATCH(G$2,Inputs!$K$4:$AJ$4,0)))+SUMPRODUCT((Inputs!$E$5:$E$110=$B44)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44" s="3" t="e">
        <f>G44</f>
        <v>#N/A</v>
      </c>
      <c r="I44" s="6" t="e">
        <f>IF(ISNA(MATCH(I$2,Inputs!$K$4:$AJ$4,0)),NA(),IF(SUMPRODUCT((Inputs!$A$5:$A$110=$B44)*ISNUMBER(INDEX(Inputs!$K$5:$AJ$110,0,MATCH(I$2,Inputs!$K$4:$AJ$4,0))))+SUMPRODUCT((Inputs!$C$5:$C$110=$B44)*ISNUMBER(INDEX(Inputs!$K$5:$AJ$110,0,MATCH(I$2,Inputs!$K$4:$AJ$4,0))))+SUMPRODUCT((Inputs!$E$5:$E$110=$B44)*ISNUMBER(INDEX(Inputs!$K$5:$AJ$110,0,MATCH(I$2,Inputs!$K$4:$AJ$4,0))))=0,NA(),SUMPRODUCT((Inputs!$A$5:$A$110=$B44)*Inputs!$B$5:$B$110*(((Inputs!$G$5:$G$110="moeda")+(Inputs!$G$5:$G$110="acoes"))*Inputs!$B$1+((Inputs!$G$5:$G$110&lt;&gt;"moeda")*(Inputs!$G$5:$G$110&lt;&gt;"acoes")))*INDEX(Inputs!$K$5:$AJ$110,0,MATCH(I$2,Inputs!$K$4:$AJ$4,0)))+SUMPRODUCT((Inputs!$C$5:$C$110=$B44)*Inputs!$D$5:$D$110*(((Inputs!$G$5:$G$110="moeda")+(Inputs!$G$5:$G$110="acoes"))*Inputs!$B$1+((Inputs!$G$5:$G$110&lt;&gt;"moeda")*(Inputs!$G$5:$G$110&lt;&gt;"acoes")))*INDEX(Inputs!$K$5:$AJ$110,0,MATCH(I$2,Inputs!$K$4:$AJ$4,0)))+SUMPRODUCT((Inputs!$E$5:$E$110=$B44)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44" s="6" t="e">
        <f>IF(ISNA(MATCH(J$2,Inputs!$K$4:$AJ$4,0)),NA(),IF(SUMPRODUCT((Inputs!$A$5:$A$110=$B44)*ISNUMBER(INDEX(Inputs!$K$5:$AJ$110,0,MATCH(J$2,Inputs!$K$4:$AJ$4,0))))+SUMPRODUCT((Inputs!$C$5:$C$110=$B44)*ISNUMBER(INDEX(Inputs!$K$5:$AJ$110,0,MATCH(J$2,Inputs!$K$4:$AJ$4,0))))+SUMPRODUCT((Inputs!$E$5:$E$110=$B44)*ISNUMBER(INDEX(Inputs!$K$5:$AJ$110,0,MATCH(J$2,Inputs!$K$4:$AJ$4,0))))=0,NA(),SUMPRODUCT((Inputs!$A$5:$A$110=$B44)*Inputs!$B$5:$B$110*(((Inputs!$G$5:$G$110="moeda")+(Inputs!$G$5:$G$110="acoes"))*Inputs!$B$1+((Inputs!$G$5:$G$110&lt;&gt;"moeda")*(Inputs!$G$5:$G$110&lt;&gt;"acoes")))*INDEX(Inputs!$K$5:$AJ$110,0,MATCH(J$2,Inputs!$K$4:$AJ$4,0)))+SUMPRODUCT((Inputs!$C$5:$C$110=$B44)*Inputs!$D$5:$D$110*(((Inputs!$G$5:$G$110="moeda")+(Inputs!$G$5:$G$110="acoes"))*Inputs!$B$1+((Inputs!$G$5:$G$110&lt;&gt;"moeda")*(Inputs!$G$5:$G$110&lt;&gt;"acoes")))*INDEX(Inputs!$K$5:$AJ$110,0,MATCH(J$2,Inputs!$K$4:$AJ$4,0)))+SUMPRODUCT((Inputs!$E$5:$E$110=$B44)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44" s="6" t="e">
        <f>IF(ISNA(MATCH(K$2,Inputs!$K$4:$AJ$4,0)),NA(),IF(SUMPRODUCT((Inputs!$A$5:$A$110=$B44)*ISNUMBER(INDEX(Inputs!$K$5:$AJ$110,0,MATCH(K$2,Inputs!$K$4:$AJ$4,0))))+SUMPRODUCT((Inputs!$C$5:$C$110=$B44)*ISNUMBER(INDEX(Inputs!$K$5:$AJ$110,0,MATCH(K$2,Inputs!$K$4:$AJ$4,0))))+SUMPRODUCT((Inputs!$E$5:$E$110=$B44)*ISNUMBER(INDEX(Inputs!$K$5:$AJ$110,0,MATCH(K$2,Inputs!$K$4:$AJ$4,0))))=0,NA(),SUMPRODUCT((Inputs!$A$5:$A$110=$B44)*Inputs!$B$5:$B$110*(((Inputs!$G$5:$G$110="moeda")+(Inputs!$G$5:$G$110="acoes"))*Inputs!$B$1+((Inputs!$G$5:$G$110&lt;&gt;"moeda")*(Inputs!$G$5:$G$110&lt;&gt;"acoes")))*INDEX(Inputs!$K$5:$AJ$110,0,MATCH(K$2,Inputs!$K$4:$AJ$4,0)))+SUMPRODUCT((Inputs!$C$5:$C$110=$B44)*Inputs!$D$5:$D$110*(((Inputs!$G$5:$G$110="moeda")+(Inputs!$G$5:$G$110="acoes"))*Inputs!$B$1+((Inputs!$G$5:$G$110&lt;&gt;"moeda")*(Inputs!$G$5:$G$110&lt;&gt;"acoes")))*INDEX(Inputs!$K$5:$AJ$110,0,MATCH(K$2,Inputs!$K$4:$AJ$4,0)))+SUMPRODUCT((Inputs!$E$5:$E$110=$B44)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44" s="6" t="e">
        <f>IF(ISNA(MATCH(L$2,Inputs!$K$4:$AJ$4,0)),NA(),IF(SUMPRODUCT((Inputs!$A$5:$A$110=$B44)*ISNUMBER(INDEX(Inputs!$K$5:$AJ$110,0,MATCH(L$2,Inputs!$K$4:$AJ$4,0))))+SUMPRODUCT((Inputs!$C$5:$C$110=$B44)*ISNUMBER(INDEX(Inputs!$K$5:$AJ$110,0,MATCH(L$2,Inputs!$K$4:$AJ$4,0))))+SUMPRODUCT((Inputs!$E$5:$E$110=$B44)*ISNUMBER(INDEX(Inputs!$K$5:$AJ$110,0,MATCH(L$2,Inputs!$K$4:$AJ$4,0))))=0,NA(),SUMPRODUCT((Inputs!$A$5:$A$110=$B44)*Inputs!$B$5:$B$110*(((Inputs!$G$5:$G$110="moeda")+(Inputs!$G$5:$G$110="acoes"))*Inputs!$B$1+((Inputs!$G$5:$G$110&lt;&gt;"moeda")*(Inputs!$G$5:$G$110&lt;&gt;"acoes")))*INDEX(Inputs!$K$5:$AJ$110,0,MATCH(L$2,Inputs!$K$4:$AJ$4,0)))+SUMPRODUCT((Inputs!$C$5:$C$110=$B44)*Inputs!$D$5:$D$110*(((Inputs!$G$5:$G$110="moeda")+(Inputs!$G$5:$G$110="acoes"))*Inputs!$B$1+((Inputs!$G$5:$G$110&lt;&gt;"moeda")*(Inputs!$G$5:$G$110&lt;&gt;"acoes")))*INDEX(Inputs!$K$5:$AJ$110,0,MATCH(L$2,Inputs!$K$4:$AJ$4,0)))+SUMPRODUCT((Inputs!$E$5:$E$110=$B44)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44" s="3" t="e">
        <f>L44</f>
        <v>#N/A</v>
      </c>
      <c r="N44" s="6" t="e">
        <f>IF(ISNA(MATCH(N$2,Inputs!$K$4:$AJ$4,0)),NA(),IF(SUMPRODUCT((Inputs!$A$5:$A$110=$B44)*ISNUMBER(INDEX(Inputs!$K$5:$AJ$110,0,MATCH(N$2,Inputs!$K$4:$AJ$4,0))))+SUMPRODUCT((Inputs!$C$5:$C$110=$B44)*ISNUMBER(INDEX(Inputs!$K$5:$AJ$110,0,MATCH(N$2,Inputs!$K$4:$AJ$4,0))))+SUMPRODUCT((Inputs!$E$5:$E$110=$B44)*ISNUMBER(INDEX(Inputs!$K$5:$AJ$110,0,MATCH(N$2,Inputs!$K$4:$AJ$4,0))))=0,NA(),SUMPRODUCT((Inputs!$A$5:$A$110=$B44)*Inputs!$B$5:$B$110*(((Inputs!$G$5:$G$110="moeda")+(Inputs!$G$5:$G$110="acoes"))*Inputs!$B$1+((Inputs!$G$5:$G$110&lt;&gt;"moeda")*(Inputs!$G$5:$G$110&lt;&gt;"acoes")))*INDEX(Inputs!$K$5:$AJ$110,0,MATCH(N$2,Inputs!$K$4:$AJ$4,0)))+SUMPRODUCT((Inputs!$C$5:$C$110=$B44)*Inputs!$D$5:$D$110*(((Inputs!$G$5:$G$110="moeda")+(Inputs!$G$5:$G$110="acoes"))*Inputs!$B$1+((Inputs!$G$5:$G$110&lt;&gt;"moeda")*(Inputs!$G$5:$G$110&lt;&gt;"acoes")))*INDEX(Inputs!$K$5:$AJ$110,0,MATCH(N$2,Inputs!$K$4:$AJ$4,0)))+SUMPRODUCT((Inputs!$E$5:$E$110=$B44)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44" s="6" t="e">
        <f>IF(ISNA(MATCH(O$2,Inputs!$K$4:$AJ$4,0)),NA(),IF(SUMPRODUCT((Inputs!$A$5:$A$110=$B44)*ISNUMBER(INDEX(Inputs!$K$5:$AJ$110,0,MATCH(O$2,Inputs!$K$4:$AJ$4,0))))+SUMPRODUCT((Inputs!$C$5:$C$110=$B44)*ISNUMBER(INDEX(Inputs!$K$5:$AJ$110,0,MATCH(O$2,Inputs!$K$4:$AJ$4,0))))+SUMPRODUCT((Inputs!$E$5:$E$110=$B44)*ISNUMBER(INDEX(Inputs!$K$5:$AJ$110,0,MATCH(O$2,Inputs!$K$4:$AJ$4,0))))=0,NA(),SUMPRODUCT((Inputs!$A$5:$A$110=$B44)*Inputs!$B$5:$B$110*(((Inputs!$G$5:$G$110="moeda")+(Inputs!$G$5:$G$110="acoes"))*Inputs!$B$1+((Inputs!$G$5:$G$110&lt;&gt;"moeda")*(Inputs!$G$5:$G$110&lt;&gt;"acoes")))*INDEX(Inputs!$K$5:$AJ$110,0,MATCH(O$2,Inputs!$K$4:$AJ$4,0)))+SUMPRODUCT((Inputs!$C$5:$C$110=$B44)*Inputs!$D$5:$D$110*(((Inputs!$G$5:$G$110="moeda")+(Inputs!$G$5:$G$110="acoes"))*Inputs!$B$1+((Inputs!$G$5:$G$110&lt;&gt;"moeda")*(Inputs!$G$5:$G$110&lt;&gt;"acoes")))*INDEX(Inputs!$K$5:$AJ$110,0,MATCH(O$2,Inputs!$K$4:$AJ$4,0)))+SUMPRODUCT((Inputs!$E$5:$E$110=$B44)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44" s="6" t="e">
        <f>IF(ISNA(MATCH(P$2,Inputs!$K$4:$AJ$4,0)),NA(),IF(SUMPRODUCT((Inputs!$A$5:$A$110=$B44)*ISNUMBER(INDEX(Inputs!$K$5:$AJ$110,0,MATCH(P$2,Inputs!$K$4:$AJ$4,0))))+SUMPRODUCT((Inputs!$C$5:$C$110=$B44)*ISNUMBER(INDEX(Inputs!$K$5:$AJ$110,0,MATCH(P$2,Inputs!$K$4:$AJ$4,0))))+SUMPRODUCT((Inputs!$E$5:$E$110=$B44)*ISNUMBER(INDEX(Inputs!$K$5:$AJ$110,0,MATCH(P$2,Inputs!$K$4:$AJ$4,0))))=0,NA(),SUMPRODUCT((Inputs!$A$5:$A$110=$B44)*Inputs!$B$5:$B$110*(((Inputs!$G$5:$G$110="moeda")+(Inputs!$G$5:$G$110="acoes"))*Inputs!$B$1+((Inputs!$G$5:$G$110&lt;&gt;"moeda")*(Inputs!$G$5:$G$110&lt;&gt;"acoes")))*INDEX(Inputs!$K$5:$AJ$110,0,MATCH(P$2,Inputs!$K$4:$AJ$4,0)))+SUMPRODUCT((Inputs!$C$5:$C$110=$B44)*Inputs!$D$5:$D$110*(((Inputs!$G$5:$G$110="moeda")+(Inputs!$G$5:$G$110="acoes"))*Inputs!$B$1+((Inputs!$G$5:$G$110&lt;&gt;"moeda")*(Inputs!$G$5:$G$110&lt;&gt;"acoes")))*INDEX(Inputs!$K$5:$AJ$110,0,MATCH(P$2,Inputs!$K$4:$AJ$4,0)))+SUMPRODUCT((Inputs!$E$5:$E$110=$B44)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44" s="6" t="e">
        <f>IF(ISNA(MATCH(Q$2,Inputs!$K$4:$AJ$4,0)),NA(),IF(SUMPRODUCT((Inputs!$A$5:$A$110=$B44)*ISNUMBER(INDEX(Inputs!$K$5:$AJ$110,0,MATCH(Q$2,Inputs!$K$4:$AJ$4,0))))+SUMPRODUCT((Inputs!$C$5:$C$110=$B44)*ISNUMBER(INDEX(Inputs!$K$5:$AJ$110,0,MATCH(Q$2,Inputs!$K$4:$AJ$4,0))))+SUMPRODUCT((Inputs!$E$5:$E$110=$B44)*ISNUMBER(INDEX(Inputs!$K$5:$AJ$110,0,MATCH(Q$2,Inputs!$K$4:$AJ$4,0))))=0,NA(),SUMPRODUCT((Inputs!$A$5:$A$110=$B44)*Inputs!$B$5:$B$110*(((Inputs!$G$5:$G$110="moeda")+(Inputs!$G$5:$G$110="acoes"))*Inputs!$B$1+((Inputs!$G$5:$G$110&lt;&gt;"moeda")*(Inputs!$G$5:$G$110&lt;&gt;"acoes")))*INDEX(Inputs!$K$5:$AJ$110,0,MATCH(Q$2,Inputs!$K$4:$AJ$4,0)))+SUMPRODUCT((Inputs!$C$5:$C$110=$B44)*Inputs!$D$5:$D$110*(((Inputs!$G$5:$G$110="moeda")+(Inputs!$G$5:$G$110="acoes"))*Inputs!$B$1+((Inputs!$G$5:$G$110&lt;&gt;"moeda")*(Inputs!$G$5:$G$110&lt;&gt;"acoes")))*INDEX(Inputs!$K$5:$AJ$110,0,MATCH(Q$2,Inputs!$K$4:$AJ$4,0)))+SUMPRODUCT((Inputs!$E$5:$E$110=$B44)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44" s="3" t="e">
        <f>Q44</f>
        <v>#N/A</v>
      </c>
      <c r="S44" s="6" t="e">
        <f>IF(ISNA(MATCH(S$2,Inputs!$K$4:$AJ$4,0)),NA(),IF(SUMPRODUCT((Inputs!$A$5:$A$110=$B44)*ISNUMBER(INDEX(Inputs!$K$5:$AJ$110,0,MATCH(S$2,Inputs!$K$4:$AJ$4,0))))+SUMPRODUCT((Inputs!$C$5:$C$110=$B44)*ISNUMBER(INDEX(Inputs!$K$5:$AJ$110,0,MATCH(S$2,Inputs!$K$4:$AJ$4,0))))+SUMPRODUCT((Inputs!$E$5:$E$110=$B44)*ISNUMBER(INDEX(Inputs!$K$5:$AJ$110,0,MATCH(S$2,Inputs!$K$4:$AJ$4,0))))=0,NA(),SUMPRODUCT((Inputs!$A$5:$A$110=$B44)*Inputs!$B$5:$B$110*(((Inputs!$G$5:$G$110="moeda")+(Inputs!$G$5:$G$110="acoes"))*Inputs!$B$1+((Inputs!$G$5:$G$110&lt;&gt;"moeda")*(Inputs!$G$5:$G$110&lt;&gt;"acoes")))*INDEX(Inputs!$K$5:$AJ$110,0,MATCH(S$2,Inputs!$K$4:$AJ$4,0)))+SUMPRODUCT((Inputs!$C$5:$C$110=$B44)*Inputs!$D$5:$D$110*(((Inputs!$G$5:$G$110="moeda")+(Inputs!$G$5:$G$110="acoes"))*Inputs!$B$1+((Inputs!$G$5:$G$110&lt;&gt;"moeda")*(Inputs!$G$5:$G$110&lt;&gt;"acoes")))*INDEX(Inputs!$K$5:$AJ$110,0,MATCH(S$2,Inputs!$K$4:$AJ$4,0)))+SUMPRODUCT((Inputs!$E$5:$E$110=$B44)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44" s="6" t="e">
        <f>IF(ISNA(MATCH(T$2,Inputs!$K$4:$AJ$4,0)),NA(),IF(SUMPRODUCT((Inputs!$A$5:$A$110=$B44)*ISNUMBER(INDEX(Inputs!$K$5:$AJ$110,0,MATCH(T$2,Inputs!$K$4:$AJ$4,0))))+SUMPRODUCT((Inputs!$C$5:$C$110=$B44)*ISNUMBER(INDEX(Inputs!$K$5:$AJ$110,0,MATCH(T$2,Inputs!$K$4:$AJ$4,0))))+SUMPRODUCT((Inputs!$E$5:$E$110=$B44)*ISNUMBER(INDEX(Inputs!$K$5:$AJ$110,0,MATCH(T$2,Inputs!$K$4:$AJ$4,0))))=0,NA(),SUMPRODUCT((Inputs!$A$5:$A$110=$B44)*Inputs!$B$5:$B$110*(((Inputs!$G$5:$G$110="moeda")+(Inputs!$G$5:$G$110="acoes"))*Inputs!$B$1+((Inputs!$G$5:$G$110&lt;&gt;"moeda")*(Inputs!$G$5:$G$110&lt;&gt;"acoes")))*INDEX(Inputs!$K$5:$AJ$110,0,MATCH(T$2,Inputs!$K$4:$AJ$4,0)))+SUMPRODUCT((Inputs!$C$5:$C$110=$B44)*Inputs!$D$5:$D$110*(((Inputs!$G$5:$G$110="moeda")+(Inputs!$G$5:$G$110="acoes"))*Inputs!$B$1+((Inputs!$G$5:$G$110&lt;&gt;"moeda")*(Inputs!$G$5:$G$110&lt;&gt;"acoes")))*INDEX(Inputs!$K$5:$AJ$110,0,MATCH(T$2,Inputs!$K$4:$AJ$4,0)))+SUMPRODUCT((Inputs!$E$5:$E$110=$B44)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44" s="6" t="e">
        <f>IF(ISNA(MATCH(U$2,Inputs!$K$4:$AJ$4,0)),NA(),IF(SUMPRODUCT((Inputs!$A$5:$A$110=$B44)*ISNUMBER(INDEX(Inputs!$K$5:$AJ$110,0,MATCH(U$2,Inputs!$K$4:$AJ$4,0))))+SUMPRODUCT((Inputs!$C$5:$C$110=$B44)*ISNUMBER(INDEX(Inputs!$K$5:$AJ$110,0,MATCH(U$2,Inputs!$K$4:$AJ$4,0))))+SUMPRODUCT((Inputs!$E$5:$E$110=$B44)*ISNUMBER(INDEX(Inputs!$K$5:$AJ$110,0,MATCH(U$2,Inputs!$K$4:$AJ$4,0))))=0,NA(),SUMPRODUCT((Inputs!$A$5:$A$110=$B44)*Inputs!$B$5:$B$110*(((Inputs!$G$5:$G$110="moeda")+(Inputs!$G$5:$G$110="acoes"))*Inputs!$B$1+((Inputs!$G$5:$G$110&lt;&gt;"moeda")*(Inputs!$G$5:$G$110&lt;&gt;"acoes")))*INDEX(Inputs!$K$5:$AJ$110,0,MATCH(U$2,Inputs!$K$4:$AJ$4,0)))+SUMPRODUCT((Inputs!$C$5:$C$110=$B44)*Inputs!$D$5:$D$110*(((Inputs!$G$5:$G$110="moeda")+(Inputs!$G$5:$G$110="acoes"))*Inputs!$B$1+((Inputs!$G$5:$G$110&lt;&gt;"moeda")*(Inputs!$G$5:$G$110&lt;&gt;"acoes")))*INDEX(Inputs!$K$5:$AJ$110,0,MATCH(U$2,Inputs!$K$4:$AJ$4,0)))+SUMPRODUCT((Inputs!$E$5:$E$110=$B44)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44" s="6" t="e">
        <f>IF(ISNA(MATCH(V$2,Inputs!$K$4:$AJ$4,0)),NA(),IF(SUMPRODUCT((Inputs!$A$5:$A$110=$B44)*ISNUMBER(INDEX(Inputs!$K$5:$AJ$110,0,MATCH(V$2,Inputs!$K$4:$AJ$4,0))))+SUMPRODUCT((Inputs!$C$5:$C$110=$B44)*ISNUMBER(INDEX(Inputs!$K$5:$AJ$110,0,MATCH(V$2,Inputs!$K$4:$AJ$4,0))))+SUMPRODUCT((Inputs!$E$5:$E$110=$B44)*ISNUMBER(INDEX(Inputs!$K$5:$AJ$110,0,MATCH(V$2,Inputs!$K$4:$AJ$4,0))))=0,NA(),SUMPRODUCT((Inputs!$A$5:$A$110=$B44)*Inputs!$B$5:$B$110*(((Inputs!$G$5:$G$110="moeda")+(Inputs!$G$5:$G$110="acoes"))*Inputs!$B$1+((Inputs!$G$5:$G$110&lt;&gt;"moeda")*(Inputs!$G$5:$G$110&lt;&gt;"acoes")))*INDEX(Inputs!$K$5:$AJ$110,0,MATCH(V$2,Inputs!$K$4:$AJ$4,0)))+SUMPRODUCT((Inputs!$C$5:$C$110=$B44)*Inputs!$D$5:$D$110*(((Inputs!$G$5:$G$110="moeda")+(Inputs!$G$5:$G$110="acoes"))*Inputs!$B$1+((Inputs!$G$5:$G$110&lt;&gt;"moeda")*(Inputs!$G$5:$G$110&lt;&gt;"acoes")))*INDEX(Inputs!$K$5:$AJ$110,0,MATCH(V$2,Inputs!$K$4:$AJ$4,0)))+SUMPRODUCT((Inputs!$E$5:$E$110=$B44)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44" s="3" t="e">
        <f>V44</f>
        <v>#N/A</v>
      </c>
      <c r="X44" s="6" t="e">
        <f>IF(ISNA(MATCH(X$2,Inputs!$K$4:$AJ$4,0)),NA(),IF(SUMPRODUCT((Inputs!$A$5:$A$110=$B44)*ISNUMBER(INDEX(Inputs!$K$5:$AJ$110,0,MATCH(X$2,Inputs!$K$4:$AJ$4,0))))+SUMPRODUCT((Inputs!$C$5:$C$110=$B44)*ISNUMBER(INDEX(Inputs!$K$5:$AJ$110,0,MATCH(X$2,Inputs!$K$4:$AJ$4,0))))+SUMPRODUCT((Inputs!$E$5:$E$110=$B44)*ISNUMBER(INDEX(Inputs!$K$5:$AJ$110,0,MATCH(X$2,Inputs!$K$4:$AJ$4,0))))=0,NA(),SUMPRODUCT((Inputs!$A$5:$A$110=$B44)*Inputs!$B$5:$B$110*(((Inputs!$G$5:$G$110="moeda")+(Inputs!$G$5:$G$110="acoes"))*Inputs!$B$1+((Inputs!$G$5:$G$110&lt;&gt;"moeda")*(Inputs!$G$5:$G$110&lt;&gt;"acoes")))*INDEX(Inputs!$K$5:$AJ$110,0,MATCH(X$2,Inputs!$K$4:$AJ$4,0)))+SUMPRODUCT((Inputs!$C$5:$C$110=$B44)*Inputs!$D$5:$D$110*(((Inputs!$G$5:$G$110="moeda")+(Inputs!$G$5:$G$110="acoes"))*Inputs!$B$1+((Inputs!$G$5:$G$110&lt;&gt;"moeda")*(Inputs!$G$5:$G$110&lt;&gt;"acoes")))*INDEX(Inputs!$K$5:$AJ$110,0,MATCH(X$2,Inputs!$K$4:$AJ$4,0)))+SUMPRODUCT((Inputs!$E$5:$E$110=$B44)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44" s="6" t="e">
        <f>IF(ISNA(MATCH(Y$2,Inputs!$K$4:$AJ$4,0)),NA(),IF(SUMPRODUCT((Inputs!$A$5:$A$110=$B44)*ISNUMBER(INDEX(Inputs!$K$5:$AJ$110,0,MATCH(Y$2,Inputs!$K$4:$AJ$4,0))))+SUMPRODUCT((Inputs!$C$5:$C$110=$B44)*ISNUMBER(INDEX(Inputs!$K$5:$AJ$110,0,MATCH(Y$2,Inputs!$K$4:$AJ$4,0))))+SUMPRODUCT((Inputs!$E$5:$E$110=$B44)*ISNUMBER(INDEX(Inputs!$K$5:$AJ$110,0,MATCH(Y$2,Inputs!$K$4:$AJ$4,0))))=0,NA(),SUMPRODUCT((Inputs!$A$5:$A$110=$B44)*Inputs!$B$5:$B$110*(((Inputs!$G$5:$G$110="moeda")+(Inputs!$G$5:$G$110="acoes"))*Inputs!$B$1+((Inputs!$G$5:$G$110&lt;&gt;"moeda")*(Inputs!$G$5:$G$110&lt;&gt;"acoes")))*INDEX(Inputs!$K$5:$AJ$110,0,MATCH(Y$2,Inputs!$K$4:$AJ$4,0)))+SUMPRODUCT((Inputs!$C$5:$C$110=$B44)*Inputs!$D$5:$D$110*(((Inputs!$G$5:$G$110="moeda")+(Inputs!$G$5:$G$110="acoes"))*Inputs!$B$1+((Inputs!$G$5:$G$110&lt;&gt;"moeda")*(Inputs!$G$5:$G$110&lt;&gt;"acoes")))*INDEX(Inputs!$K$5:$AJ$110,0,MATCH(Y$2,Inputs!$K$4:$AJ$4,0)))+SUMPRODUCT((Inputs!$E$5:$E$110=$B44)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44" s="6" t="e">
        <f>IF(ISNA(MATCH(Z$2,Inputs!$K$4:$AJ$4,0)),NA(),IF(SUMPRODUCT((Inputs!$A$5:$A$110=$B44)*ISNUMBER(INDEX(Inputs!$K$5:$AJ$110,0,MATCH(Z$2,Inputs!$K$4:$AJ$4,0))))+SUMPRODUCT((Inputs!$C$5:$C$110=$B44)*ISNUMBER(INDEX(Inputs!$K$5:$AJ$110,0,MATCH(Z$2,Inputs!$K$4:$AJ$4,0))))+SUMPRODUCT((Inputs!$E$5:$E$110=$B44)*ISNUMBER(INDEX(Inputs!$K$5:$AJ$110,0,MATCH(Z$2,Inputs!$K$4:$AJ$4,0))))=0,NA(),SUMPRODUCT((Inputs!$A$5:$A$110=$B44)*Inputs!$B$5:$B$110*(((Inputs!$G$5:$G$110="moeda")+(Inputs!$G$5:$G$110="acoes"))*Inputs!$B$1+((Inputs!$G$5:$G$110&lt;&gt;"moeda")*(Inputs!$G$5:$G$110&lt;&gt;"acoes")))*INDEX(Inputs!$K$5:$AJ$110,0,MATCH(Z$2,Inputs!$K$4:$AJ$4,0)))+SUMPRODUCT((Inputs!$C$5:$C$110=$B44)*Inputs!$D$5:$D$110*(((Inputs!$G$5:$G$110="moeda")+(Inputs!$G$5:$G$110="acoes"))*Inputs!$B$1+((Inputs!$G$5:$G$110&lt;&gt;"moeda")*(Inputs!$G$5:$G$110&lt;&gt;"acoes")))*INDEX(Inputs!$K$5:$AJ$110,0,MATCH(Z$2,Inputs!$K$4:$AJ$4,0)))+SUMPRODUCT((Inputs!$E$5:$E$110=$B44)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44" s="6" t="e">
        <f>IF(ISNA(MATCH(AA$2,Inputs!$K$4:$AJ$4,0)),NA(),IF(SUMPRODUCT((Inputs!$A$5:$A$110=$B44)*ISNUMBER(INDEX(Inputs!$K$5:$AJ$110,0,MATCH(AA$2,Inputs!$K$4:$AJ$4,0))))+SUMPRODUCT((Inputs!$C$5:$C$110=$B44)*ISNUMBER(INDEX(Inputs!$K$5:$AJ$110,0,MATCH(AA$2,Inputs!$K$4:$AJ$4,0))))+SUMPRODUCT((Inputs!$E$5:$E$110=$B44)*ISNUMBER(INDEX(Inputs!$K$5:$AJ$110,0,MATCH(AA$2,Inputs!$K$4:$AJ$4,0))))=0,NA(),SUMPRODUCT((Inputs!$A$5:$A$110=$B44)*Inputs!$B$5:$B$110*(((Inputs!$G$5:$G$110="moeda")+(Inputs!$G$5:$G$110="acoes"))*Inputs!$B$1+((Inputs!$G$5:$G$110&lt;&gt;"moeda")*(Inputs!$G$5:$G$110&lt;&gt;"acoes")))*INDEX(Inputs!$K$5:$AJ$110,0,MATCH(AA$2,Inputs!$K$4:$AJ$4,0)))+SUMPRODUCT((Inputs!$C$5:$C$110=$B44)*Inputs!$D$5:$D$110*(((Inputs!$G$5:$G$110="moeda")+(Inputs!$G$5:$G$110="acoes"))*Inputs!$B$1+((Inputs!$G$5:$G$110&lt;&gt;"moeda")*(Inputs!$G$5:$G$110&lt;&gt;"acoes")))*INDEX(Inputs!$K$5:$AJ$110,0,MATCH(AA$2,Inputs!$K$4:$AJ$4,0)))+SUMPRODUCT((Inputs!$E$5:$E$110=$B44)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44" s="3" t="e">
        <f>AA44</f>
        <v>#N/A</v>
      </c>
      <c r="AC44" s="6" t="e">
        <f>IF(ISNA(MATCH(AC$2,Inputs!$K$4:$AJ$4,0)),NA(),IF(SUMPRODUCT((Inputs!$A$5:$A$110=$B44)*ISNUMBER(INDEX(Inputs!$K$5:$AJ$110,0,MATCH(AC$2,Inputs!$K$4:$AJ$4,0))))+SUMPRODUCT((Inputs!$C$5:$C$110=$B44)*ISNUMBER(INDEX(Inputs!$K$5:$AJ$110,0,MATCH(AC$2,Inputs!$K$4:$AJ$4,0))))+SUMPRODUCT((Inputs!$E$5:$E$110=$B44)*ISNUMBER(INDEX(Inputs!$K$5:$AJ$110,0,MATCH(AC$2,Inputs!$K$4:$AJ$4,0))))=0,NA(),SUMPRODUCT((Inputs!$A$5:$A$110=$B44)*Inputs!$B$5:$B$110*(((Inputs!$G$5:$G$110="moeda")+(Inputs!$G$5:$G$110="acoes"))*Inputs!$B$1+((Inputs!$G$5:$G$110&lt;&gt;"moeda")*(Inputs!$G$5:$G$110&lt;&gt;"acoes")))*INDEX(Inputs!$K$5:$AJ$110,0,MATCH(AC$2,Inputs!$K$4:$AJ$4,0)))+SUMPRODUCT((Inputs!$C$5:$C$110=$B44)*Inputs!$D$5:$D$110*(((Inputs!$G$5:$G$110="moeda")+(Inputs!$G$5:$G$110="acoes"))*Inputs!$B$1+((Inputs!$G$5:$G$110&lt;&gt;"moeda")*(Inputs!$G$5:$G$110&lt;&gt;"acoes")))*INDEX(Inputs!$K$5:$AJ$110,0,MATCH(AC$2,Inputs!$K$4:$AJ$4,0)))+SUMPRODUCT((Inputs!$E$5:$E$110=$B44)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44" s="6" t="e">
        <f>IF(ISNA(MATCH(AD$2,Inputs!$K$4:$AJ$4,0)),NA(),IF(SUMPRODUCT((Inputs!$A$5:$A$110=$B44)*ISNUMBER(INDEX(Inputs!$K$5:$AJ$110,0,MATCH(AD$2,Inputs!$K$4:$AJ$4,0))))+SUMPRODUCT((Inputs!$C$5:$C$110=$B44)*ISNUMBER(INDEX(Inputs!$K$5:$AJ$110,0,MATCH(AD$2,Inputs!$K$4:$AJ$4,0))))+SUMPRODUCT((Inputs!$E$5:$E$110=$B44)*ISNUMBER(INDEX(Inputs!$K$5:$AJ$110,0,MATCH(AD$2,Inputs!$K$4:$AJ$4,0))))=0,NA(),SUMPRODUCT((Inputs!$A$5:$A$110=$B44)*Inputs!$B$5:$B$110*(((Inputs!$G$5:$G$110="moeda")+(Inputs!$G$5:$G$110="acoes"))*Inputs!$B$1+((Inputs!$G$5:$G$110&lt;&gt;"moeda")*(Inputs!$G$5:$G$110&lt;&gt;"acoes")))*INDEX(Inputs!$K$5:$AJ$110,0,MATCH(AD$2,Inputs!$K$4:$AJ$4,0)))+SUMPRODUCT((Inputs!$C$5:$C$110=$B44)*Inputs!$D$5:$D$110*(((Inputs!$G$5:$G$110="moeda")+(Inputs!$G$5:$G$110="acoes"))*Inputs!$B$1+((Inputs!$G$5:$G$110&lt;&gt;"moeda")*(Inputs!$G$5:$G$110&lt;&gt;"acoes")))*INDEX(Inputs!$K$5:$AJ$110,0,MATCH(AD$2,Inputs!$K$4:$AJ$4,0)))+SUMPRODUCT((Inputs!$E$5:$E$110=$B44)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44" s="6" t="e">
        <f>IF(ISNA(MATCH(AE$2,Inputs!$K$4:$AJ$4,0)),NA(),IF(SUMPRODUCT((Inputs!$A$5:$A$110=$B44)*ISNUMBER(INDEX(Inputs!$K$5:$AJ$110,0,MATCH(AE$2,Inputs!$K$4:$AJ$4,0))))+SUMPRODUCT((Inputs!$C$5:$C$110=$B44)*ISNUMBER(INDEX(Inputs!$K$5:$AJ$110,0,MATCH(AE$2,Inputs!$K$4:$AJ$4,0))))+SUMPRODUCT((Inputs!$E$5:$E$110=$B44)*ISNUMBER(INDEX(Inputs!$K$5:$AJ$110,0,MATCH(AE$2,Inputs!$K$4:$AJ$4,0))))=0,NA(),SUMPRODUCT((Inputs!$A$5:$A$110=$B44)*Inputs!$B$5:$B$110*(((Inputs!$G$5:$G$110="moeda")+(Inputs!$G$5:$G$110="acoes"))*Inputs!$B$1+((Inputs!$G$5:$G$110&lt;&gt;"moeda")*(Inputs!$G$5:$G$110&lt;&gt;"acoes")))*INDEX(Inputs!$K$5:$AJ$110,0,MATCH(AE$2,Inputs!$K$4:$AJ$4,0)))+SUMPRODUCT((Inputs!$C$5:$C$110=$B44)*Inputs!$D$5:$D$110*(((Inputs!$G$5:$G$110="moeda")+(Inputs!$G$5:$G$110="acoes"))*Inputs!$B$1+((Inputs!$G$5:$G$110&lt;&gt;"moeda")*(Inputs!$G$5:$G$110&lt;&gt;"acoes")))*INDEX(Inputs!$K$5:$AJ$110,0,MATCH(AE$2,Inputs!$K$4:$AJ$4,0)))+SUMPRODUCT((Inputs!$E$5:$E$110=$B44)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4" s="6" t="e">
        <f>IF(ISNA(MATCH(AF$2,Inputs!$K$4:$AJ$4,0)),NA(),IF(SUMPRODUCT((Inputs!$A$5:$A$110=$B44)*ISNUMBER(INDEX(Inputs!$K$5:$AJ$110,0,MATCH(AF$2,Inputs!$K$4:$AJ$4,0))))+SUMPRODUCT((Inputs!$C$5:$C$110=$B44)*ISNUMBER(INDEX(Inputs!$K$5:$AJ$110,0,MATCH(AF$2,Inputs!$K$4:$AJ$4,0))))+SUMPRODUCT((Inputs!$E$5:$E$110=$B44)*ISNUMBER(INDEX(Inputs!$K$5:$AJ$110,0,MATCH(AF$2,Inputs!$K$4:$AJ$4,0))))=0,NA(),SUMPRODUCT((Inputs!$A$5:$A$110=$B44)*Inputs!$B$5:$B$110*(((Inputs!$G$5:$G$110="moeda")+(Inputs!$G$5:$G$110="acoes"))*Inputs!$B$1+((Inputs!$G$5:$G$110&lt;&gt;"moeda")*(Inputs!$G$5:$G$110&lt;&gt;"acoes")))*INDEX(Inputs!$K$5:$AJ$110,0,MATCH(AF$2,Inputs!$K$4:$AJ$4,0)))+SUMPRODUCT((Inputs!$C$5:$C$110=$B44)*Inputs!$D$5:$D$110*(((Inputs!$G$5:$G$110="moeda")+(Inputs!$G$5:$G$110="acoes"))*Inputs!$B$1+((Inputs!$G$5:$G$110&lt;&gt;"moeda")*(Inputs!$G$5:$G$110&lt;&gt;"acoes")))*INDEX(Inputs!$K$5:$AJ$110,0,MATCH(AF$2,Inputs!$K$4:$AJ$4,0)))+SUMPRODUCT((Inputs!$E$5:$E$110=$B44)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4" s="3" t="e">
        <f>AF44</f>
        <v>#N/A</v>
      </c>
      <c r="AH44" s="6" t="e">
        <f>IF(ISNA(MATCH(AH$2,Inputs!$K$4:$AJ$4,0)),NA(),IF(SUMPRODUCT((Inputs!$A$5:$A$110=$B44)*ISNUMBER(INDEX(Inputs!$K$5:$AJ$110,0,MATCH(AH$2,Inputs!$K$4:$AJ$4,0))))+SUMPRODUCT((Inputs!$C$5:$C$110=$B44)*ISNUMBER(INDEX(Inputs!$K$5:$AJ$110,0,MATCH(AH$2,Inputs!$K$4:$AJ$4,0))))+SUMPRODUCT((Inputs!$E$5:$E$110=$B44)*ISNUMBER(INDEX(Inputs!$K$5:$AJ$110,0,MATCH(AH$2,Inputs!$K$4:$AJ$4,0))))=0,NA(),SUMPRODUCT((Inputs!$A$5:$A$110=$B44)*Inputs!$B$5:$B$110*(((Inputs!$G$5:$G$110="moeda")+(Inputs!$G$5:$G$110="acoes"))*Inputs!$B$1+((Inputs!$G$5:$G$110&lt;&gt;"moeda")*(Inputs!$G$5:$G$110&lt;&gt;"acoes")))*INDEX(Inputs!$K$5:$AJ$110,0,MATCH(AH$2,Inputs!$K$4:$AJ$4,0)))+SUMPRODUCT((Inputs!$C$5:$C$110=$B44)*Inputs!$D$5:$D$110*(((Inputs!$G$5:$G$110="moeda")+(Inputs!$G$5:$G$110="acoes"))*Inputs!$B$1+((Inputs!$G$5:$G$110&lt;&gt;"moeda")*(Inputs!$G$5:$G$110&lt;&gt;"acoes")))*INDEX(Inputs!$K$5:$AJ$110,0,MATCH(AH$2,Inputs!$K$4:$AJ$4,0)))+SUMPRODUCT((Inputs!$E$5:$E$110=$B44)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44" s="6" t="e">
        <f>IF(ISNA(MATCH(AI$2,Inputs!$K$4:$AJ$4,0)),NA(),IF(SUMPRODUCT((Inputs!$A$5:$A$110=$B44)*ISNUMBER(INDEX(Inputs!$K$5:$AJ$110,0,MATCH(AI$2,Inputs!$K$4:$AJ$4,0))))+SUMPRODUCT((Inputs!$C$5:$C$110=$B44)*ISNUMBER(INDEX(Inputs!$K$5:$AJ$110,0,MATCH(AI$2,Inputs!$K$4:$AJ$4,0))))+SUMPRODUCT((Inputs!$E$5:$E$110=$B44)*ISNUMBER(INDEX(Inputs!$K$5:$AJ$110,0,MATCH(AI$2,Inputs!$K$4:$AJ$4,0))))=0,NA(),SUMPRODUCT((Inputs!$A$5:$A$110=$B44)*Inputs!$B$5:$B$110*(((Inputs!$G$5:$G$110="moeda")+(Inputs!$G$5:$G$110="acoes"))*Inputs!$B$1+((Inputs!$G$5:$G$110&lt;&gt;"moeda")*(Inputs!$G$5:$G$110&lt;&gt;"acoes")))*INDEX(Inputs!$K$5:$AJ$110,0,MATCH(AI$2,Inputs!$K$4:$AJ$4,0)))+SUMPRODUCT((Inputs!$C$5:$C$110=$B44)*Inputs!$D$5:$D$110*(((Inputs!$G$5:$G$110="moeda")+(Inputs!$G$5:$G$110="acoes"))*Inputs!$B$1+((Inputs!$G$5:$G$110&lt;&gt;"moeda")*(Inputs!$G$5:$G$110&lt;&gt;"acoes")))*INDEX(Inputs!$K$5:$AJ$110,0,MATCH(AI$2,Inputs!$K$4:$AJ$4,0)))+SUMPRODUCT((Inputs!$E$5:$E$110=$B44)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44" s="6" t="e">
        <f>IF(ISNA(MATCH(AJ$2,Inputs!$K$4:$AJ$4,0)),NA(),IF(SUMPRODUCT((Inputs!$A$5:$A$110=$B44)*ISNUMBER(INDEX(Inputs!$K$5:$AJ$110,0,MATCH(AJ$2,Inputs!$K$4:$AJ$4,0))))+SUMPRODUCT((Inputs!$C$5:$C$110=$B44)*ISNUMBER(INDEX(Inputs!$K$5:$AJ$110,0,MATCH(AJ$2,Inputs!$K$4:$AJ$4,0))))+SUMPRODUCT((Inputs!$E$5:$E$110=$B44)*ISNUMBER(INDEX(Inputs!$K$5:$AJ$110,0,MATCH(AJ$2,Inputs!$K$4:$AJ$4,0))))=0,NA(),SUMPRODUCT((Inputs!$A$5:$A$110=$B44)*Inputs!$B$5:$B$110*(((Inputs!$G$5:$G$110="moeda")+(Inputs!$G$5:$G$110="acoes"))*Inputs!$B$1+((Inputs!$G$5:$G$110&lt;&gt;"moeda")*(Inputs!$G$5:$G$110&lt;&gt;"acoes")))*INDEX(Inputs!$K$5:$AJ$110,0,MATCH(AJ$2,Inputs!$K$4:$AJ$4,0)))+SUMPRODUCT((Inputs!$C$5:$C$110=$B44)*Inputs!$D$5:$D$110*(((Inputs!$G$5:$G$110="moeda")+(Inputs!$G$5:$G$110="acoes"))*Inputs!$B$1+((Inputs!$G$5:$G$110&lt;&gt;"moeda")*(Inputs!$G$5:$G$110&lt;&gt;"acoes")))*INDEX(Inputs!$K$5:$AJ$110,0,MATCH(AJ$2,Inputs!$K$4:$AJ$4,0)))+SUMPRODUCT((Inputs!$E$5:$E$110=$B44)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44" s="6" t="e">
        <f>IF(ISNA(MATCH(AK$2,Inputs!$K$4:$AJ$4,0)),NA(),IF(SUMPRODUCT((Inputs!$A$5:$A$110=$B44)*ISNUMBER(INDEX(Inputs!$K$5:$AJ$110,0,MATCH(AK$2,Inputs!$K$4:$AJ$4,0))))+SUMPRODUCT((Inputs!$C$5:$C$110=$B44)*ISNUMBER(INDEX(Inputs!$K$5:$AJ$110,0,MATCH(AK$2,Inputs!$K$4:$AJ$4,0))))+SUMPRODUCT((Inputs!$E$5:$E$110=$B44)*ISNUMBER(INDEX(Inputs!$K$5:$AJ$110,0,MATCH(AK$2,Inputs!$K$4:$AJ$4,0))))=0,NA(),SUMPRODUCT((Inputs!$A$5:$A$110=$B44)*Inputs!$B$5:$B$110*(((Inputs!$G$5:$G$110="moeda")+(Inputs!$G$5:$G$110="acoes"))*Inputs!$B$1+((Inputs!$G$5:$G$110&lt;&gt;"moeda")*(Inputs!$G$5:$G$110&lt;&gt;"acoes")))*INDEX(Inputs!$K$5:$AJ$110,0,MATCH(AK$2,Inputs!$K$4:$AJ$4,0)))+SUMPRODUCT((Inputs!$C$5:$C$110=$B44)*Inputs!$D$5:$D$110*(((Inputs!$G$5:$G$110="moeda")+(Inputs!$G$5:$G$110="acoes"))*Inputs!$B$1+((Inputs!$G$5:$G$110&lt;&gt;"moeda")*(Inputs!$G$5:$G$110&lt;&gt;"acoes")))*INDEX(Inputs!$K$5:$AJ$110,0,MATCH(AK$2,Inputs!$K$4:$AJ$4,0)))+SUMPRODUCT((Inputs!$E$5:$E$110=$B44)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44" s="3" t="e">
        <f>AK44</f>
        <v>#N/A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$110=$B45)*ISNUMBER(INDEX(Inputs!$K$5:$AJ$110,0,MATCH(D$2,Inputs!$K$4:$AJ$4,0))))+SUMPRODUCT((Inputs!$C$5:$C$110=$B45)*ISNUMBER(INDEX(Inputs!$K$5:$AJ$110,0,MATCH(D$2,Inputs!$K$4:$AJ$4,0))))+SUMPRODUCT((Inputs!$E$5:$E$110=$B45)*ISNUMBER(INDEX(Inputs!$K$5:$AJ$110,0,MATCH(D$2,Inputs!$K$4:$AJ$4,0))))=0,NA(),SUMPRODUCT((Inputs!$A$5:$A$110=$B45)*Inputs!$B$5:$B$110*(((Inputs!$G$5:$G$110="moeda")+(Inputs!$G$5:$G$110="acoes"))*Inputs!$B$1+((Inputs!$G$5:$G$110&lt;&gt;"moeda")*(Inputs!$G$5:$G$110&lt;&gt;"acoes")))*INDEX(Inputs!$K$5:$AJ$110,0,MATCH(D$2,Inputs!$K$4:$AJ$4,0)))+SUMPRODUCT((Inputs!$C$5:$C$110=$B45)*Inputs!$D$5:$D$110*(((Inputs!$G$5:$G$110="moeda")+(Inputs!$G$5:$G$110="acoes"))*Inputs!$B$1+((Inputs!$G$5:$G$110&lt;&gt;"moeda")*(Inputs!$G$5:$G$110&lt;&gt;"acoes")))*INDEX(Inputs!$K$5:$AJ$110,0,MATCH(D$2,Inputs!$K$4:$AJ$4,0)))+SUMPRODUCT((Inputs!$E$5:$E$110=$B45)*Inputs!$F$5:$F$110*(((Inputs!$G$5:$G$110="moeda")+(Inputs!$G$5:$G$110="acoes"))*Inputs!$B$1+((Inputs!$G$5:$G$110&lt;&gt;"moeda")*(Inputs!$G$5:$G$110&lt;&gt;"acoes")))*INDEX(Inputs!$K$5:$AJ$110,0,MATCH(D$2,Inputs!$K$4:$AJ$4,0)))))</f>
        <v>-3</v>
      </c>
      <c r="E45" s="6">
        <f>IF(ISNA(MATCH(E$2,Inputs!$K$4:$AJ$4,0)),NA(),IF(SUMPRODUCT((Inputs!$A$5:$A$110=$B45)*ISNUMBER(INDEX(Inputs!$K$5:$AJ$110,0,MATCH(E$2,Inputs!$K$4:$AJ$4,0))))+SUMPRODUCT((Inputs!$C$5:$C$110=$B45)*ISNUMBER(INDEX(Inputs!$K$5:$AJ$110,0,MATCH(E$2,Inputs!$K$4:$AJ$4,0))))+SUMPRODUCT((Inputs!$E$5:$E$110=$B45)*ISNUMBER(INDEX(Inputs!$K$5:$AJ$110,0,MATCH(E$2,Inputs!$K$4:$AJ$4,0))))=0,NA(),SUMPRODUCT((Inputs!$A$5:$A$110=$B45)*Inputs!$B$5:$B$110*(((Inputs!$G$5:$G$110="moeda")+(Inputs!$G$5:$G$110="acoes"))*Inputs!$B$1+((Inputs!$G$5:$G$110&lt;&gt;"moeda")*(Inputs!$G$5:$G$110&lt;&gt;"acoes")))*INDEX(Inputs!$K$5:$AJ$110,0,MATCH(E$2,Inputs!$K$4:$AJ$4,0)))+SUMPRODUCT((Inputs!$C$5:$C$110=$B45)*Inputs!$D$5:$D$110*(((Inputs!$G$5:$G$110="moeda")+(Inputs!$G$5:$G$110="acoes"))*Inputs!$B$1+((Inputs!$G$5:$G$110&lt;&gt;"moeda")*(Inputs!$G$5:$G$110&lt;&gt;"acoes")))*INDEX(Inputs!$K$5:$AJ$110,0,MATCH(E$2,Inputs!$K$4:$AJ$4,0)))+SUMPRODUCT((Inputs!$E$5:$E$110=$B45)*Inputs!$F$5:$F$110*(((Inputs!$G$5:$G$110="moeda")+(Inputs!$G$5:$G$110="acoes"))*Inputs!$B$1+((Inputs!$G$5:$G$110&lt;&gt;"moeda")*(Inputs!$G$5:$G$110&lt;&gt;"acoes")))*INDEX(Inputs!$K$5:$AJ$110,0,MATCH(E$2,Inputs!$K$4:$AJ$4,0)))))</f>
        <v>190</v>
      </c>
      <c r="F45" s="6">
        <f>IF(ISNA(MATCH(F$2,Inputs!$K$4:$AJ$4,0)),NA(),IF(SUMPRODUCT((Inputs!$A$5:$A$110=$B45)*ISNUMBER(INDEX(Inputs!$K$5:$AJ$110,0,MATCH(F$2,Inputs!$K$4:$AJ$4,0))))+SUMPRODUCT((Inputs!$C$5:$C$110=$B45)*ISNUMBER(INDEX(Inputs!$K$5:$AJ$110,0,MATCH(F$2,Inputs!$K$4:$AJ$4,0))))+SUMPRODUCT((Inputs!$E$5:$E$110=$B45)*ISNUMBER(INDEX(Inputs!$K$5:$AJ$110,0,MATCH(F$2,Inputs!$K$4:$AJ$4,0))))=0,NA(),SUMPRODUCT((Inputs!$A$5:$A$110=$B45)*Inputs!$B$5:$B$110*(((Inputs!$G$5:$G$110="moeda")+(Inputs!$G$5:$G$110="acoes"))*Inputs!$B$1+((Inputs!$G$5:$G$110&lt;&gt;"moeda")*(Inputs!$G$5:$G$110&lt;&gt;"acoes")))*INDEX(Inputs!$K$5:$AJ$110,0,MATCH(F$2,Inputs!$K$4:$AJ$4,0)))+SUMPRODUCT((Inputs!$C$5:$C$110=$B45)*Inputs!$D$5:$D$110*(((Inputs!$G$5:$G$110="moeda")+(Inputs!$G$5:$G$110="acoes"))*Inputs!$B$1+((Inputs!$G$5:$G$110&lt;&gt;"moeda")*(Inputs!$G$5:$G$110&lt;&gt;"acoes")))*INDEX(Inputs!$K$5:$AJ$110,0,MATCH(F$2,Inputs!$K$4:$AJ$4,0)))+SUMPRODUCT((Inputs!$E$5:$E$110=$B45)*Inputs!$F$5:$F$110*(((Inputs!$G$5:$G$110="moeda")+(Inputs!$G$5:$G$110="acoes"))*Inputs!$B$1+((Inputs!$G$5:$G$110&lt;&gt;"moeda")*(Inputs!$G$5:$G$110&lt;&gt;"acoes")))*INDEX(Inputs!$K$5:$AJ$110,0,MATCH(F$2,Inputs!$K$4:$AJ$4,0)))))</f>
        <v>-408</v>
      </c>
      <c r="G45" s="6">
        <f>IF(ISNA(MATCH(G$2,Inputs!$K$4:$AJ$4,0)),NA(),IF(SUMPRODUCT((Inputs!$A$5:$A$110=$B45)*ISNUMBER(INDEX(Inputs!$K$5:$AJ$110,0,MATCH(G$2,Inputs!$K$4:$AJ$4,0))))+SUMPRODUCT((Inputs!$C$5:$C$110=$B45)*ISNUMBER(INDEX(Inputs!$K$5:$AJ$110,0,MATCH(G$2,Inputs!$K$4:$AJ$4,0))))+SUMPRODUCT((Inputs!$E$5:$E$110=$B45)*ISNUMBER(INDEX(Inputs!$K$5:$AJ$110,0,MATCH(G$2,Inputs!$K$4:$AJ$4,0))))=0,NA(),SUMPRODUCT((Inputs!$A$5:$A$110=$B45)*Inputs!$B$5:$B$110*(((Inputs!$G$5:$G$110="moeda")+(Inputs!$G$5:$G$110="acoes"))*Inputs!$B$1+((Inputs!$G$5:$G$110&lt;&gt;"moeda")*(Inputs!$G$5:$G$110&lt;&gt;"acoes")))*INDEX(Inputs!$K$5:$AJ$110,0,MATCH(G$2,Inputs!$K$4:$AJ$4,0)))+SUMPRODUCT((Inputs!$C$5:$C$110=$B45)*Inputs!$D$5:$D$110*(((Inputs!$G$5:$G$110="moeda")+(Inputs!$G$5:$G$110="acoes"))*Inputs!$B$1+((Inputs!$G$5:$G$110&lt;&gt;"moeda")*(Inputs!$G$5:$G$110&lt;&gt;"acoes")))*INDEX(Inputs!$K$5:$AJ$110,0,MATCH(G$2,Inputs!$K$4:$AJ$4,0)))+SUMPRODUCT((Inputs!$E$5:$E$110=$B45)*Inputs!$F$5:$F$110*(((Inputs!$G$5:$G$110="moeda")+(Inputs!$G$5:$G$110="acoes"))*Inputs!$B$1+((Inputs!$G$5:$G$110&lt;&gt;"moeda")*(Inputs!$G$5:$G$110&lt;&gt;"acoes")))*INDEX(Inputs!$K$5:$AJ$110,0,MATCH(G$2,Inputs!$K$4:$AJ$4,0)))))</f>
        <v>-1623</v>
      </c>
      <c r="H45" s="3">
        <f>G45</f>
        <v>-1623</v>
      </c>
      <c r="I45" s="6">
        <f>IF(ISNA(MATCH(I$2,Inputs!$K$4:$AJ$4,0)),NA(),IF(SUMPRODUCT((Inputs!$A$5:$A$110=$B45)*ISNUMBER(INDEX(Inputs!$K$5:$AJ$110,0,MATCH(I$2,Inputs!$K$4:$AJ$4,0))))+SUMPRODUCT((Inputs!$C$5:$C$110=$B45)*ISNUMBER(INDEX(Inputs!$K$5:$AJ$110,0,MATCH(I$2,Inputs!$K$4:$AJ$4,0))))+SUMPRODUCT((Inputs!$E$5:$E$110=$B45)*ISNUMBER(INDEX(Inputs!$K$5:$AJ$110,0,MATCH(I$2,Inputs!$K$4:$AJ$4,0))))=0,NA(),SUMPRODUCT((Inputs!$A$5:$A$110=$B45)*Inputs!$B$5:$B$110*(((Inputs!$G$5:$G$110="moeda")+(Inputs!$G$5:$G$110="acoes"))*Inputs!$B$1+((Inputs!$G$5:$G$110&lt;&gt;"moeda")*(Inputs!$G$5:$G$110&lt;&gt;"acoes")))*INDEX(Inputs!$K$5:$AJ$110,0,MATCH(I$2,Inputs!$K$4:$AJ$4,0)))+SUMPRODUCT((Inputs!$C$5:$C$110=$B45)*Inputs!$D$5:$D$110*(((Inputs!$G$5:$G$110="moeda")+(Inputs!$G$5:$G$110="acoes"))*Inputs!$B$1+((Inputs!$G$5:$G$110&lt;&gt;"moeda")*(Inputs!$G$5:$G$110&lt;&gt;"acoes")))*INDEX(Inputs!$K$5:$AJ$110,0,MATCH(I$2,Inputs!$K$4:$AJ$4,0)))+SUMPRODUCT((Inputs!$E$5:$E$110=$B45)*Inputs!$F$5:$F$110*(((Inputs!$G$5:$G$110="moeda")+(Inputs!$G$5:$G$110="acoes"))*Inputs!$B$1+((Inputs!$G$5:$G$110&lt;&gt;"moeda")*(Inputs!$G$5:$G$110&lt;&gt;"acoes")))*INDEX(Inputs!$K$5:$AJ$110,0,MATCH(I$2,Inputs!$K$4:$AJ$4,0)))))</f>
        <v>-4049</v>
      </c>
      <c r="J45" s="6">
        <f>IF(ISNA(MATCH(J$2,Inputs!$K$4:$AJ$4,0)),NA(),IF(SUMPRODUCT((Inputs!$A$5:$A$110=$B45)*ISNUMBER(INDEX(Inputs!$K$5:$AJ$110,0,MATCH(J$2,Inputs!$K$4:$AJ$4,0))))+SUMPRODUCT((Inputs!$C$5:$C$110=$B45)*ISNUMBER(INDEX(Inputs!$K$5:$AJ$110,0,MATCH(J$2,Inputs!$K$4:$AJ$4,0))))+SUMPRODUCT((Inputs!$E$5:$E$110=$B45)*ISNUMBER(INDEX(Inputs!$K$5:$AJ$110,0,MATCH(J$2,Inputs!$K$4:$AJ$4,0))))=0,NA(),SUMPRODUCT((Inputs!$A$5:$A$110=$B45)*Inputs!$B$5:$B$110*(((Inputs!$G$5:$G$110="moeda")+(Inputs!$G$5:$G$110="acoes"))*Inputs!$B$1+((Inputs!$G$5:$G$110&lt;&gt;"moeda")*(Inputs!$G$5:$G$110&lt;&gt;"acoes")))*INDEX(Inputs!$K$5:$AJ$110,0,MATCH(J$2,Inputs!$K$4:$AJ$4,0)))+SUMPRODUCT((Inputs!$C$5:$C$110=$B45)*Inputs!$D$5:$D$110*(((Inputs!$G$5:$G$110="moeda")+(Inputs!$G$5:$G$110="acoes"))*Inputs!$B$1+((Inputs!$G$5:$G$110&lt;&gt;"moeda")*(Inputs!$G$5:$G$110&lt;&gt;"acoes")))*INDEX(Inputs!$K$5:$AJ$110,0,MATCH(J$2,Inputs!$K$4:$AJ$4,0)))+SUMPRODUCT((Inputs!$E$5:$E$110=$B45)*Inputs!$F$5:$F$110*(((Inputs!$G$5:$G$110="moeda")+(Inputs!$G$5:$G$110="acoes"))*Inputs!$B$1+((Inputs!$G$5:$G$110&lt;&gt;"moeda")*(Inputs!$G$5:$G$110&lt;&gt;"acoes")))*INDEX(Inputs!$K$5:$AJ$110,0,MATCH(J$2,Inputs!$K$4:$AJ$4,0)))))</f>
        <v>-5828</v>
      </c>
      <c r="K45" s="6">
        <f>IF(ISNA(MATCH(K$2,Inputs!$K$4:$AJ$4,0)),NA(),IF(SUMPRODUCT((Inputs!$A$5:$A$110=$B45)*ISNUMBER(INDEX(Inputs!$K$5:$AJ$110,0,MATCH(K$2,Inputs!$K$4:$AJ$4,0))))+SUMPRODUCT((Inputs!$C$5:$C$110=$B45)*ISNUMBER(INDEX(Inputs!$K$5:$AJ$110,0,MATCH(K$2,Inputs!$K$4:$AJ$4,0))))+SUMPRODUCT((Inputs!$E$5:$E$110=$B45)*ISNUMBER(INDEX(Inputs!$K$5:$AJ$110,0,MATCH(K$2,Inputs!$K$4:$AJ$4,0))))=0,NA(),SUMPRODUCT((Inputs!$A$5:$A$110=$B45)*Inputs!$B$5:$B$110*(((Inputs!$G$5:$G$110="moeda")+(Inputs!$G$5:$G$110="acoes"))*Inputs!$B$1+((Inputs!$G$5:$G$110&lt;&gt;"moeda")*(Inputs!$G$5:$G$110&lt;&gt;"acoes")))*INDEX(Inputs!$K$5:$AJ$110,0,MATCH(K$2,Inputs!$K$4:$AJ$4,0)))+SUMPRODUCT((Inputs!$C$5:$C$110=$B45)*Inputs!$D$5:$D$110*(((Inputs!$G$5:$G$110="moeda")+(Inputs!$G$5:$G$110="acoes"))*Inputs!$B$1+((Inputs!$G$5:$G$110&lt;&gt;"moeda")*(Inputs!$G$5:$G$110&lt;&gt;"acoes")))*INDEX(Inputs!$K$5:$AJ$110,0,MATCH(K$2,Inputs!$K$4:$AJ$4,0)))+SUMPRODUCT((Inputs!$E$5:$E$110=$B45)*Inputs!$F$5:$F$110*(((Inputs!$G$5:$G$110="moeda")+(Inputs!$G$5:$G$110="acoes"))*Inputs!$B$1+((Inputs!$G$5:$G$110&lt;&gt;"moeda")*(Inputs!$G$5:$G$110&lt;&gt;"acoes")))*INDEX(Inputs!$K$5:$AJ$110,0,MATCH(K$2,Inputs!$K$4:$AJ$4,0)))))</f>
        <v>-8852</v>
      </c>
      <c r="L45" s="6">
        <f>IF(ISNA(MATCH(L$2,Inputs!$K$4:$AJ$4,0)),NA(),IF(SUMPRODUCT((Inputs!$A$5:$A$110=$B45)*ISNUMBER(INDEX(Inputs!$K$5:$AJ$110,0,MATCH(L$2,Inputs!$K$4:$AJ$4,0))))+SUMPRODUCT((Inputs!$C$5:$C$110=$B45)*ISNUMBER(INDEX(Inputs!$K$5:$AJ$110,0,MATCH(L$2,Inputs!$K$4:$AJ$4,0))))+SUMPRODUCT((Inputs!$E$5:$E$110=$B45)*ISNUMBER(INDEX(Inputs!$K$5:$AJ$110,0,MATCH(L$2,Inputs!$K$4:$AJ$4,0))))=0,NA(),SUMPRODUCT((Inputs!$A$5:$A$110=$B45)*Inputs!$B$5:$B$110*(((Inputs!$G$5:$G$110="moeda")+(Inputs!$G$5:$G$110="acoes"))*Inputs!$B$1+((Inputs!$G$5:$G$110&lt;&gt;"moeda")*(Inputs!$G$5:$G$110&lt;&gt;"acoes")))*INDEX(Inputs!$K$5:$AJ$110,0,MATCH(L$2,Inputs!$K$4:$AJ$4,0)))+SUMPRODUCT((Inputs!$C$5:$C$110=$B45)*Inputs!$D$5:$D$110*(((Inputs!$G$5:$G$110="moeda")+(Inputs!$G$5:$G$110="acoes"))*Inputs!$B$1+((Inputs!$G$5:$G$110&lt;&gt;"moeda")*(Inputs!$G$5:$G$110&lt;&gt;"acoes")))*INDEX(Inputs!$K$5:$AJ$110,0,MATCH(L$2,Inputs!$K$4:$AJ$4,0)))+SUMPRODUCT((Inputs!$E$5:$E$110=$B45)*Inputs!$F$5:$F$110*(((Inputs!$G$5:$G$110="moeda")+(Inputs!$G$5:$G$110="acoes"))*Inputs!$B$1+((Inputs!$G$5:$G$110&lt;&gt;"moeda")*(Inputs!$G$5:$G$110&lt;&gt;"acoes")))*INDEX(Inputs!$K$5:$AJ$110,0,MATCH(L$2,Inputs!$K$4:$AJ$4,0)))))</f>
        <v>-7603</v>
      </c>
      <c r="M45" s="3">
        <f>L45</f>
        <v>-7603</v>
      </c>
      <c r="N45" s="6">
        <f>IF(ISNA(MATCH(N$2,Inputs!$K$4:$AJ$4,0)),NA(),IF(SUMPRODUCT((Inputs!$A$5:$A$110=$B45)*ISNUMBER(INDEX(Inputs!$K$5:$AJ$110,0,MATCH(N$2,Inputs!$K$4:$AJ$4,0))))+SUMPRODUCT((Inputs!$C$5:$C$110=$B45)*ISNUMBER(INDEX(Inputs!$K$5:$AJ$110,0,MATCH(N$2,Inputs!$K$4:$AJ$4,0))))+SUMPRODUCT((Inputs!$E$5:$E$110=$B45)*ISNUMBER(INDEX(Inputs!$K$5:$AJ$110,0,MATCH(N$2,Inputs!$K$4:$AJ$4,0))))=0,NA(),SUMPRODUCT((Inputs!$A$5:$A$110=$B45)*Inputs!$B$5:$B$110*(((Inputs!$G$5:$G$110="moeda")+(Inputs!$G$5:$G$110="acoes"))*Inputs!$B$1+((Inputs!$G$5:$G$110&lt;&gt;"moeda")*(Inputs!$G$5:$G$110&lt;&gt;"acoes")))*INDEX(Inputs!$K$5:$AJ$110,0,MATCH(N$2,Inputs!$K$4:$AJ$4,0)))+SUMPRODUCT((Inputs!$C$5:$C$110=$B45)*Inputs!$D$5:$D$110*(((Inputs!$G$5:$G$110="moeda")+(Inputs!$G$5:$G$110="acoes"))*Inputs!$B$1+((Inputs!$G$5:$G$110&lt;&gt;"moeda")*(Inputs!$G$5:$G$110&lt;&gt;"acoes")))*INDEX(Inputs!$K$5:$AJ$110,0,MATCH(N$2,Inputs!$K$4:$AJ$4,0)))+SUMPRODUCT((Inputs!$E$5:$E$110=$B45)*Inputs!$F$5:$F$110*(((Inputs!$G$5:$G$110="moeda")+(Inputs!$G$5:$G$110="acoes"))*Inputs!$B$1+((Inputs!$G$5:$G$110&lt;&gt;"moeda")*(Inputs!$G$5:$G$110&lt;&gt;"acoes")))*INDEX(Inputs!$K$5:$AJ$110,0,MATCH(N$2,Inputs!$K$4:$AJ$4,0)))))</f>
        <v>-6000</v>
      </c>
      <c r="O45" s="6">
        <f>IF(ISNA(MATCH(O$2,Inputs!$K$4:$AJ$4,0)),NA(),IF(SUMPRODUCT((Inputs!$A$5:$A$110=$B45)*ISNUMBER(INDEX(Inputs!$K$5:$AJ$110,0,MATCH(O$2,Inputs!$K$4:$AJ$4,0))))+SUMPRODUCT((Inputs!$C$5:$C$110=$B45)*ISNUMBER(INDEX(Inputs!$K$5:$AJ$110,0,MATCH(O$2,Inputs!$K$4:$AJ$4,0))))+SUMPRODUCT((Inputs!$E$5:$E$110=$B45)*ISNUMBER(INDEX(Inputs!$K$5:$AJ$110,0,MATCH(O$2,Inputs!$K$4:$AJ$4,0))))=0,NA(),SUMPRODUCT((Inputs!$A$5:$A$110=$B45)*Inputs!$B$5:$B$110*(((Inputs!$G$5:$G$110="moeda")+(Inputs!$G$5:$G$110="acoes"))*Inputs!$B$1+((Inputs!$G$5:$G$110&lt;&gt;"moeda")*(Inputs!$G$5:$G$110&lt;&gt;"acoes")))*INDEX(Inputs!$K$5:$AJ$110,0,MATCH(O$2,Inputs!$K$4:$AJ$4,0)))+SUMPRODUCT((Inputs!$C$5:$C$110=$B45)*Inputs!$D$5:$D$110*(((Inputs!$G$5:$G$110="moeda")+(Inputs!$G$5:$G$110="acoes"))*Inputs!$B$1+((Inputs!$G$5:$G$110&lt;&gt;"moeda")*(Inputs!$G$5:$G$110&lt;&gt;"acoes")))*INDEX(Inputs!$K$5:$AJ$110,0,MATCH(O$2,Inputs!$K$4:$AJ$4,0)))+SUMPRODUCT((Inputs!$E$5:$E$110=$B45)*Inputs!$F$5:$F$110*(((Inputs!$G$5:$G$110="moeda")+(Inputs!$G$5:$G$110="acoes"))*Inputs!$B$1+((Inputs!$G$5:$G$110&lt;&gt;"moeda")*(Inputs!$G$5:$G$110&lt;&gt;"acoes")))*INDEX(Inputs!$K$5:$AJ$110,0,MATCH(O$2,Inputs!$K$4:$AJ$4,0)))))</f>
        <v>-5991</v>
      </c>
      <c r="P45" s="6">
        <f>IF(ISNA(MATCH(P$2,Inputs!$K$4:$AJ$4,0)),NA(),IF(SUMPRODUCT((Inputs!$A$5:$A$110=$B45)*ISNUMBER(INDEX(Inputs!$K$5:$AJ$110,0,MATCH(P$2,Inputs!$K$4:$AJ$4,0))))+SUMPRODUCT((Inputs!$C$5:$C$110=$B45)*ISNUMBER(INDEX(Inputs!$K$5:$AJ$110,0,MATCH(P$2,Inputs!$K$4:$AJ$4,0))))+SUMPRODUCT((Inputs!$E$5:$E$110=$B45)*ISNUMBER(INDEX(Inputs!$K$5:$AJ$110,0,MATCH(P$2,Inputs!$K$4:$AJ$4,0))))=0,NA(),SUMPRODUCT((Inputs!$A$5:$A$110=$B45)*Inputs!$B$5:$B$110*(((Inputs!$G$5:$G$110="moeda")+(Inputs!$G$5:$G$110="acoes"))*Inputs!$B$1+((Inputs!$G$5:$G$110&lt;&gt;"moeda")*(Inputs!$G$5:$G$110&lt;&gt;"acoes")))*INDEX(Inputs!$K$5:$AJ$110,0,MATCH(P$2,Inputs!$K$4:$AJ$4,0)))+SUMPRODUCT((Inputs!$C$5:$C$110=$B45)*Inputs!$D$5:$D$110*(((Inputs!$G$5:$G$110="moeda")+(Inputs!$G$5:$G$110="acoes"))*Inputs!$B$1+((Inputs!$G$5:$G$110&lt;&gt;"moeda")*(Inputs!$G$5:$G$110&lt;&gt;"acoes")))*INDEX(Inputs!$K$5:$AJ$110,0,MATCH(P$2,Inputs!$K$4:$AJ$4,0)))+SUMPRODUCT((Inputs!$E$5:$E$110=$B45)*Inputs!$F$5:$F$110*(((Inputs!$G$5:$G$110="moeda")+(Inputs!$G$5:$G$110="acoes"))*Inputs!$B$1+((Inputs!$G$5:$G$110&lt;&gt;"moeda")*(Inputs!$G$5:$G$110&lt;&gt;"acoes")))*INDEX(Inputs!$K$5:$AJ$110,0,MATCH(P$2,Inputs!$K$4:$AJ$4,0)))))</f>
        <v>-7036</v>
      </c>
      <c r="Q45" s="6">
        <f>IF(ISNA(MATCH(Q$2,Inputs!$K$4:$AJ$4,0)),NA(),IF(SUMPRODUCT((Inputs!$A$5:$A$110=$B45)*ISNUMBER(INDEX(Inputs!$K$5:$AJ$110,0,MATCH(Q$2,Inputs!$K$4:$AJ$4,0))))+SUMPRODUCT((Inputs!$C$5:$C$110=$B45)*ISNUMBER(INDEX(Inputs!$K$5:$AJ$110,0,MATCH(Q$2,Inputs!$K$4:$AJ$4,0))))+SUMPRODUCT((Inputs!$E$5:$E$110=$B45)*ISNUMBER(INDEX(Inputs!$K$5:$AJ$110,0,MATCH(Q$2,Inputs!$K$4:$AJ$4,0))))=0,NA(),SUMPRODUCT((Inputs!$A$5:$A$110=$B45)*Inputs!$B$5:$B$110*(((Inputs!$G$5:$G$110="moeda")+(Inputs!$G$5:$G$110="acoes"))*Inputs!$B$1+((Inputs!$G$5:$G$110&lt;&gt;"moeda")*(Inputs!$G$5:$G$110&lt;&gt;"acoes")))*INDEX(Inputs!$K$5:$AJ$110,0,MATCH(Q$2,Inputs!$K$4:$AJ$4,0)))+SUMPRODUCT((Inputs!$C$5:$C$110=$B45)*Inputs!$D$5:$D$110*(((Inputs!$G$5:$G$110="moeda")+(Inputs!$G$5:$G$110="acoes"))*Inputs!$B$1+((Inputs!$G$5:$G$110&lt;&gt;"moeda")*(Inputs!$G$5:$G$110&lt;&gt;"acoes")))*INDEX(Inputs!$K$5:$AJ$110,0,MATCH(Q$2,Inputs!$K$4:$AJ$4,0)))+SUMPRODUCT((Inputs!$E$5:$E$110=$B45)*Inputs!$F$5:$F$110*(((Inputs!$G$5:$G$110="moeda")+(Inputs!$G$5:$G$110="acoes"))*Inputs!$B$1+((Inputs!$G$5:$G$110&lt;&gt;"moeda")*(Inputs!$G$5:$G$110&lt;&gt;"acoes")))*INDEX(Inputs!$K$5:$AJ$110,0,MATCH(Q$2,Inputs!$K$4:$AJ$4,0)))))</f>
        <v>-4402</v>
      </c>
      <c r="R45" s="3">
        <f>Q45</f>
        <v>-4402</v>
      </c>
      <c r="S45" s="6">
        <f>IF(ISNA(MATCH(S$2,Inputs!$K$4:$AJ$4,0)),NA(),IF(SUMPRODUCT((Inputs!$A$5:$A$110=$B45)*ISNUMBER(INDEX(Inputs!$K$5:$AJ$110,0,MATCH(S$2,Inputs!$K$4:$AJ$4,0))))+SUMPRODUCT((Inputs!$C$5:$C$110=$B45)*ISNUMBER(INDEX(Inputs!$K$5:$AJ$110,0,MATCH(S$2,Inputs!$K$4:$AJ$4,0))))+SUMPRODUCT((Inputs!$E$5:$E$110=$B45)*ISNUMBER(INDEX(Inputs!$K$5:$AJ$110,0,MATCH(S$2,Inputs!$K$4:$AJ$4,0))))=0,NA(),SUMPRODUCT((Inputs!$A$5:$A$110=$B45)*Inputs!$B$5:$B$110*(((Inputs!$G$5:$G$110="moeda")+(Inputs!$G$5:$G$110="acoes"))*Inputs!$B$1+((Inputs!$G$5:$G$110&lt;&gt;"moeda")*(Inputs!$G$5:$G$110&lt;&gt;"acoes")))*INDEX(Inputs!$K$5:$AJ$110,0,MATCH(S$2,Inputs!$K$4:$AJ$4,0)))+SUMPRODUCT((Inputs!$C$5:$C$110=$B45)*Inputs!$D$5:$D$110*(((Inputs!$G$5:$G$110="moeda")+(Inputs!$G$5:$G$110="acoes"))*Inputs!$B$1+((Inputs!$G$5:$G$110&lt;&gt;"moeda")*(Inputs!$G$5:$G$110&lt;&gt;"acoes")))*INDEX(Inputs!$K$5:$AJ$110,0,MATCH(S$2,Inputs!$K$4:$AJ$4,0)))+SUMPRODUCT((Inputs!$E$5:$E$110=$B45)*Inputs!$F$5:$F$110*(((Inputs!$G$5:$G$110="moeda")+(Inputs!$G$5:$G$110="acoes"))*Inputs!$B$1+((Inputs!$G$5:$G$110&lt;&gt;"moeda")*(Inputs!$G$5:$G$110&lt;&gt;"acoes")))*INDEX(Inputs!$K$5:$AJ$110,0,MATCH(S$2,Inputs!$K$4:$AJ$4,0)))))</f>
        <v>-4839</v>
      </c>
      <c r="T45" s="6">
        <f>IF(ISNA(MATCH(T$2,Inputs!$K$4:$AJ$4,0)),NA(),IF(SUMPRODUCT((Inputs!$A$5:$A$110=$B45)*ISNUMBER(INDEX(Inputs!$K$5:$AJ$110,0,MATCH(T$2,Inputs!$K$4:$AJ$4,0))))+SUMPRODUCT((Inputs!$C$5:$C$110=$B45)*ISNUMBER(INDEX(Inputs!$K$5:$AJ$110,0,MATCH(T$2,Inputs!$K$4:$AJ$4,0))))+SUMPRODUCT((Inputs!$E$5:$E$110=$B45)*ISNUMBER(INDEX(Inputs!$K$5:$AJ$110,0,MATCH(T$2,Inputs!$K$4:$AJ$4,0))))=0,NA(),SUMPRODUCT((Inputs!$A$5:$A$110=$B45)*Inputs!$B$5:$B$110*(((Inputs!$G$5:$G$110="moeda")+(Inputs!$G$5:$G$110="acoes"))*Inputs!$B$1+((Inputs!$G$5:$G$110&lt;&gt;"moeda")*(Inputs!$G$5:$G$110&lt;&gt;"acoes")))*INDEX(Inputs!$K$5:$AJ$110,0,MATCH(T$2,Inputs!$K$4:$AJ$4,0)))+SUMPRODUCT((Inputs!$C$5:$C$110=$B45)*Inputs!$D$5:$D$110*(((Inputs!$G$5:$G$110="moeda")+(Inputs!$G$5:$G$110="acoes"))*Inputs!$B$1+((Inputs!$G$5:$G$110&lt;&gt;"moeda")*(Inputs!$G$5:$G$110&lt;&gt;"acoes")))*INDEX(Inputs!$K$5:$AJ$110,0,MATCH(T$2,Inputs!$K$4:$AJ$4,0)))+SUMPRODUCT((Inputs!$E$5:$E$110=$B45)*Inputs!$F$5:$F$110*(((Inputs!$G$5:$G$110="moeda")+(Inputs!$G$5:$G$110="acoes"))*Inputs!$B$1+((Inputs!$G$5:$G$110&lt;&gt;"moeda")*(Inputs!$G$5:$G$110&lt;&gt;"acoes")))*INDEX(Inputs!$K$5:$AJ$110,0,MATCH(T$2,Inputs!$K$4:$AJ$4,0)))))</f>
        <v>-5012</v>
      </c>
      <c r="U45" s="6">
        <f>IF(ISNA(MATCH(U$2,Inputs!$K$4:$AJ$4,0)),NA(),IF(SUMPRODUCT((Inputs!$A$5:$A$110=$B45)*ISNUMBER(INDEX(Inputs!$K$5:$AJ$110,0,MATCH(U$2,Inputs!$K$4:$AJ$4,0))))+SUMPRODUCT((Inputs!$C$5:$C$110=$B45)*ISNUMBER(INDEX(Inputs!$K$5:$AJ$110,0,MATCH(U$2,Inputs!$K$4:$AJ$4,0))))+SUMPRODUCT((Inputs!$E$5:$E$110=$B45)*ISNUMBER(INDEX(Inputs!$K$5:$AJ$110,0,MATCH(U$2,Inputs!$K$4:$AJ$4,0))))=0,NA(),SUMPRODUCT((Inputs!$A$5:$A$110=$B45)*Inputs!$B$5:$B$110*(((Inputs!$G$5:$G$110="moeda")+(Inputs!$G$5:$G$110="acoes"))*Inputs!$B$1+((Inputs!$G$5:$G$110&lt;&gt;"moeda")*(Inputs!$G$5:$G$110&lt;&gt;"acoes")))*INDEX(Inputs!$K$5:$AJ$110,0,MATCH(U$2,Inputs!$K$4:$AJ$4,0)))+SUMPRODUCT((Inputs!$C$5:$C$110=$B45)*Inputs!$D$5:$D$110*(((Inputs!$G$5:$G$110="moeda")+(Inputs!$G$5:$G$110="acoes"))*Inputs!$B$1+((Inputs!$G$5:$G$110&lt;&gt;"moeda")*(Inputs!$G$5:$G$110&lt;&gt;"acoes")))*INDEX(Inputs!$K$5:$AJ$110,0,MATCH(U$2,Inputs!$K$4:$AJ$4,0)))+SUMPRODUCT((Inputs!$E$5:$E$110=$B45)*Inputs!$F$5:$F$110*(((Inputs!$G$5:$G$110="moeda")+(Inputs!$G$5:$G$110="acoes"))*Inputs!$B$1+((Inputs!$G$5:$G$110&lt;&gt;"moeda")*(Inputs!$G$5:$G$110&lt;&gt;"acoes")))*INDEX(Inputs!$K$5:$AJ$110,0,MATCH(U$2,Inputs!$K$4:$AJ$4,0)))))</f>
        <v>-3228</v>
      </c>
      <c r="V45" s="6">
        <f>IF(ISNA(MATCH(V$2,Inputs!$K$4:$AJ$4,0)),NA(),IF(SUMPRODUCT((Inputs!$A$5:$A$110=$B45)*ISNUMBER(INDEX(Inputs!$K$5:$AJ$110,0,MATCH(V$2,Inputs!$K$4:$AJ$4,0))))+SUMPRODUCT((Inputs!$C$5:$C$110=$B45)*ISNUMBER(INDEX(Inputs!$K$5:$AJ$110,0,MATCH(V$2,Inputs!$K$4:$AJ$4,0))))+SUMPRODUCT((Inputs!$E$5:$E$110=$B45)*ISNUMBER(INDEX(Inputs!$K$5:$AJ$110,0,MATCH(V$2,Inputs!$K$4:$AJ$4,0))))=0,NA(),SUMPRODUCT((Inputs!$A$5:$A$110=$B45)*Inputs!$B$5:$B$110*(((Inputs!$G$5:$G$110="moeda")+(Inputs!$G$5:$G$110="acoes"))*Inputs!$B$1+((Inputs!$G$5:$G$110&lt;&gt;"moeda")*(Inputs!$G$5:$G$110&lt;&gt;"acoes")))*INDEX(Inputs!$K$5:$AJ$110,0,MATCH(V$2,Inputs!$K$4:$AJ$4,0)))+SUMPRODUCT((Inputs!$C$5:$C$110=$B45)*Inputs!$D$5:$D$110*(((Inputs!$G$5:$G$110="moeda")+(Inputs!$G$5:$G$110="acoes"))*Inputs!$B$1+((Inputs!$G$5:$G$110&lt;&gt;"moeda")*(Inputs!$G$5:$G$110&lt;&gt;"acoes")))*INDEX(Inputs!$K$5:$AJ$110,0,MATCH(V$2,Inputs!$K$4:$AJ$4,0)))+SUMPRODUCT((Inputs!$E$5:$E$110=$B45)*Inputs!$F$5:$F$110*(((Inputs!$G$5:$G$110="moeda")+(Inputs!$G$5:$G$110="acoes"))*Inputs!$B$1+((Inputs!$G$5:$G$110&lt;&gt;"moeda")*(Inputs!$G$5:$G$110&lt;&gt;"acoes")))*INDEX(Inputs!$K$5:$AJ$110,0,MATCH(V$2,Inputs!$K$4:$AJ$4,0)))))</f>
        <v>-4800</v>
      </c>
      <c r="W45" s="3">
        <f>V45</f>
        <v>-4800</v>
      </c>
      <c r="X45" s="6">
        <f>IF(ISNA(MATCH(X$2,Inputs!$K$4:$AJ$4,0)),NA(),IF(SUMPRODUCT((Inputs!$A$5:$A$110=$B45)*ISNUMBER(INDEX(Inputs!$K$5:$AJ$110,0,MATCH(X$2,Inputs!$K$4:$AJ$4,0))))+SUMPRODUCT((Inputs!$C$5:$C$110=$B45)*ISNUMBER(INDEX(Inputs!$K$5:$AJ$110,0,MATCH(X$2,Inputs!$K$4:$AJ$4,0))))+SUMPRODUCT((Inputs!$E$5:$E$110=$B45)*ISNUMBER(INDEX(Inputs!$K$5:$AJ$110,0,MATCH(X$2,Inputs!$K$4:$AJ$4,0))))=0,NA(),SUMPRODUCT((Inputs!$A$5:$A$110=$B45)*Inputs!$B$5:$B$110*(((Inputs!$G$5:$G$110="moeda")+(Inputs!$G$5:$G$110="acoes"))*Inputs!$B$1+((Inputs!$G$5:$G$110&lt;&gt;"moeda")*(Inputs!$G$5:$G$110&lt;&gt;"acoes")))*INDEX(Inputs!$K$5:$AJ$110,0,MATCH(X$2,Inputs!$K$4:$AJ$4,0)))+SUMPRODUCT((Inputs!$C$5:$C$110=$B45)*Inputs!$D$5:$D$110*(((Inputs!$G$5:$G$110="moeda")+(Inputs!$G$5:$G$110="acoes"))*Inputs!$B$1+((Inputs!$G$5:$G$110&lt;&gt;"moeda")*(Inputs!$G$5:$G$110&lt;&gt;"acoes")))*INDEX(Inputs!$K$5:$AJ$110,0,MATCH(X$2,Inputs!$K$4:$AJ$4,0)))+SUMPRODUCT((Inputs!$E$5:$E$110=$B45)*Inputs!$F$5:$F$110*(((Inputs!$G$5:$G$110="moeda")+(Inputs!$G$5:$G$110="acoes"))*Inputs!$B$1+((Inputs!$G$5:$G$110&lt;&gt;"moeda")*(Inputs!$G$5:$G$110&lt;&gt;"acoes")))*INDEX(Inputs!$K$5:$AJ$110,0,MATCH(X$2,Inputs!$K$4:$AJ$4,0)))))</f>
        <v>-4086</v>
      </c>
      <c r="Y45" s="6">
        <f>IF(ISNA(MATCH(Y$2,Inputs!$K$4:$AJ$4,0)),NA(),IF(SUMPRODUCT((Inputs!$A$5:$A$110=$B45)*ISNUMBER(INDEX(Inputs!$K$5:$AJ$110,0,MATCH(Y$2,Inputs!$K$4:$AJ$4,0))))+SUMPRODUCT((Inputs!$C$5:$C$110=$B45)*ISNUMBER(INDEX(Inputs!$K$5:$AJ$110,0,MATCH(Y$2,Inputs!$K$4:$AJ$4,0))))+SUMPRODUCT((Inputs!$E$5:$E$110=$B45)*ISNUMBER(INDEX(Inputs!$K$5:$AJ$110,0,MATCH(Y$2,Inputs!$K$4:$AJ$4,0))))=0,NA(),SUMPRODUCT((Inputs!$A$5:$A$110=$B45)*Inputs!$B$5:$B$110*(((Inputs!$G$5:$G$110="moeda")+(Inputs!$G$5:$G$110="acoes"))*Inputs!$B$1+((Inputs!$G$5:$G$110&lt;&gt;"moeda")*(Inputs!$G$5:$G$110&lt;&gt;"acoes")))*INDEX(Inputs!$K$5:$AJ$110,0,MATCH(Y$2,Inputs!$K$4:$AJ$4,0)))+SUMPRODUCT((Inputs!$C$5:$C$110=$B45)*Inputs!$D$5:$D$110*(((Inputs!$G$5:$G$110="moeda")+(Inputs!$G$5:$G$110="acoes"))*Inputs!$B$1+((Inputs!$G$5:$G$110&lt;&gt;"moeda")*(Inputs!$G$5:$G$110&lt;&gt;"acoes")))*INDEX(Inputs!$K$5:$AJ$110,0,MATCH(Y$2,Inputs!$K$4:$AJ$4,0)))+SUMPRODUCT((Inputs!$E$5:$E$110=$B45)*Inputs!$F$5:$F$110*(((Inputs!$G$5:$G$110="moeda")+(Inputs!$G$5:$G$110="acoes"))*Inputs!$B$1+((Inputs!$G$5:$G$110&lt;&gt;"moeda")*(Inputs!$G$5:$G$110&lt;&gt;"acoes")))*INDEX(Inputs!$K$5:$AJ$110,0,MATCH(Y$2,Inputs!$K$4:$AJ$4,0)))))</f>
        <v>-2127</v>
      </c>
      <c r="Z45" s="6">
        <f>IF(ISNA(MATCH(Z$2,Inputs!$K$4:$AJ$4,0)),NA(),IF(SUMPRODUCT((Inputs!$A$5:$A$110=$B45)*ISNUMBER(INDEX(Inputs!$K$5:$AJ$110,0,MATCH(Z$2,Inputs!$K$4:$AJ$4,0))))+SUMPRODUCT((Inputs!$C$5:$C$110=$B45)*ISNUMBER(INDEX(Inputs!$K$5:$AJ$110,0,MATCH(Z$2,Inputs!$K$4:$AJ$4,0))))+SUMPRODUCT((Inputs!$E$5:$E$110=$B45)*ISNUMBER(INDEX(Inputs!$K$5:$AJ$110,0,MATCH(Z$2,Inputs!$K$4:$AJ$4,0))))=0,NA(),SUMPRODUCT((Inputs!$A$5:$A$110=$B45)*Inputs!$B$5:$B$110*(((Inputs!$G$5:$G$110="moeda")+(Inputs!$G$5:$G$110="acoes"))*Inputs!$B$1+((Inputs!$G$5:$G$110&lt;&gt;"moeda")*(Inputs!$G$5:$G$110&lt;&gt;"acoes")))*INDEX(Inputs!$K$5:$AJ$110,0,MATCH(Z$2,Inputs!$K$4:$AJ$4,0)))+SUMPRODUCT((Inputs!$C$5:$C$110=$B45)*Inputs!$D$5:$D$110*(((Inputs!$G$5:$G$110="moeda")+(Inputs!$G$5:$G$110="acoes"))*Inputs!$B$1+((Inputs!$G$5:$G$110&lt;&gt;"moeda")*(Inputs!$G$5:$G$110&lt;&gt;"acoes")))*INDEX(Inputs!$K$5:$AJ$110,0,MATCH(Z$2,Inputs!$K$4:$AJ$4,0)))+SUMPRODUCT((Inputs!$E$5:$E$110=$B45)*Inputs!$F$5:$F$110*(((Inputs!$G$5:$G$110="moeda")+(Inputs!$G$5:$G$110="acoes"))*Inputs!$B$1+((Inputs!$G$5:$G$110&lt;&gt;"moeda")*(Inputs!$G$5:$G$110&lt;&gt;"acoes")))*INDEX(Inputs!$K$5:$AJ$110,0,MATCH(Z$2,Inputs!$K$4:$AJ$4,0)))))</f>
        <v>-2054</v>
      </c>
      <c r="AA45" s="6">
        <f>IF(ISNA(MATCH(AA$2,Inputs!$K$4:$AJ$4,0)),NA(),IF(SUMPRODUCT((Inputs!$A$5:$A$110=$B45)*ISNUMBER(INDEX(Inputs!$K$5:$AJ$110,0,MATCH(AA$2,Inputs!$K$4:$AJ$4,0))))+SUMPRODUCT((Inputs!$C$5:$C$110=$B45)*ISNUMBER(INDEX(Inputs!$K$5:$AJ$110,0,MATCH(AA$2,Inputs!$K$4:$AJ$4,0))))+SUMPRODUCT((Inputs!$E$5:$E$110=$B45)*ISNUMBER(INDEX(Inputs!$K$5:$AJ$110,0,MATCH(AA$2,Inputs!$K$4:$AJ$4,0))))=0,NA(),SUMPRODUCT((Inputs!$A$5:$A$110=$B45)*Inputs!$B$5:$B$110*(((Inputs!$G$5:$G$110="moeda")+(Inputs!$G$5:$G$110="acoes"))*Inputs!$B$1+((Inputs!$G$5:$G$110&lt;&gt;"moeda")*(Inputs!$G$5:$G$110&lt;&gt;"acoes")))*INDEX(Inputs!$K$5:$AJ$110,0,MATCH(AA$2,Inputs!$K$4:$AJ$4,0)))+SUMPRODUCT((Inputs!$C$5:$C$110=$B45)*Inputs!$D$5:$D$110*(((Inputs!$G$5:$G$110="moeda")+(Inputs!$G$5:$G$110="acoes"))*Inputs!$B$1+((Inputs!$G$5:$G$110&lt;&gt;"moeda")*(Inputs!$G$5:$G$110&lt;&gt;"acoes")))*INDEX(Inputs!$K$5:$AJ$110,0,MATCH(AA$2,Inputs!$K$4:$AJ$4,0)))+SUMPRODUCT((Inputs!$E$5:$E$110=$B45)*Inputs!$F$5:$F$110*(((Inputs!$G$5:$G$110="moeda")+(Inputs!$G$5:$G$110="acoes"))*Inputs!$B$1+((Inputs!$G$5:$G$110&lt;&gt;"moeda")*(Inputs!$G$5:$G$110&lt;&gt;"acoes")))*INDEX(Inputs!$K$5:$AJ$110,0,MATCH(AA$2,Inputs!$K$4:$AJ$4,0)))))</f>
        <v>-1916</v>
      </c>
      <c r="AB45" s="3">
        <f>AA45</f>
        <v>-1916</v>
      </c>
      <c r="AC45" s="6">
        <f>IF(ISNA(MATCH(AC$2,Inputs!$K$4:$AJ$4,0)),NA(),IF(SUMPRODUCT((Inputs!$A$5:$A$110=$B45)*ISNUMBER(INDEX(Inputs!$K$5:$AJ$110,0,MATCH(AC$2,Inputs!$K$4:$AJ$4,0))))+SUMPRODUCT((Inputs!$C$5:$C$110=$B45)*ISNUMBER(INDEX(Inputs!$K$5:$AJ$110,0,MATCH(AC$2,Inputs!$K$4:$AJ$4,0))))+SUMPRODUCT((Inputs!$E$5:$E$110=$B45)*ISNUMBER(INDEX(Inputs!$K$5:$AJ$110,0,MATCH(AC$2,Inputs!$K$4:$AJ$4,0))))=0,NA(),SUMPRODUCT((Inputs!$A$5:$A$110=$B45)*Inputs!$B$5:$B$110*(((Inputs!$G$5:$G$110="moeda")+(Inputs!$G$5:$G$110="acoes"))*Inputs!$B$1+((Inputs!$G$5:$G$110&lt;&gt;"moeda")*(Inputs!$G$5:$G$110&lt;&gt;"acoes")))*INDEX(Inputs!$K$5:$AJ$110,0,MATCH(AC$2,Inputs!$K$4:$AJ$4,0)))+SUMPRODUCT((Inputs!$C$5:$C$110=$B45)*Inputs!$D$5:$D$110*(((Inputs!$G$5:$G$110="moeda")+(Inputs!$G$5:$G$110="acoes"))*Inputs!$B$1+((Inputs!$G$5:$G$110&lt;&gt;"moeda")*(Inputs!$G$5:$G$110&lt;&gt;"acoes")))*INDEX(Inputs!$K$5:$AJ$110,0,MATCH(AC$2,Inputs!$K$4:$AJ$4,0)))+SUMPRODUCT((Inputs!$E$5:$E$110=$B45)*Inputs!$F$5:$F$110*(((Inputs!$G$5:$G$110="moeda")+(Inputs!$G$5:$G$110="acoes"))*Inputs!$B$1+((Inputs!$G$5:$G$110&lt;&gt;"moeda")*(Inputs!$G$5:$G$110&lt;&gt;"acoes")))*INDEX(Inputs!$K$5:$AJ$110,0,MATCH(AC$2,Inputs!$K$4:$AJ$4,0)))))</f>
        <v>-2180</v>
      </c>
      <c r="AD45" s="6">
        <f>IF(ISNA(MATCH(AD$2,Inputs!$K$4:$AJ$4,0)),NA(),IF(SUMPRODUCT((Inputs!$A$5:$A$110=$B45)*ISNUMBER(INDEX(Inputs!$K$5:$AJ$110,0,MATCH(AD$2,Inputs!$K$4:$AJ$4,0))))+SUMPRODUCT((Inputs!$C$5:$C$110=$B45)*ISNUMBER(INDEX(Inputs!$K$5:$AJ$110,0,MATCH(AD$2,Inputs!$K$4:$AJ$4,0))))+SUMPRODUCT((Inputs!$E$5:$E$110=$B45)*ISNUMBER(INDEX(Inputs!$K$5:$AJ$110,0,MATCH(AD$2,Inputs!$K$4:$AJ$4,0))))=0,NA(),SUMPRODUCT((Inputs!$A$5:$A$110=$B45)*Inputs!$B$5:$B$110*(((Inputs!$G$5:$G$110="moeda")+(Inputs!$G$5:$G$110="acoes"))*Inputs!$B$1+((Inputs!$G$5:$G$110&lt;&gt;"moeda")*(Inputs!$G$5:$G$110&lt;&gt;"acoes")))*INDEX(Inputs!$K$5:$AJ$110,0,MATCH(AD$2,Inputs!$K$4:$AJ$4,0)))+SUMPRODUCT((Inputs!$C$5:$C$110=$B45)*Inputs!$D$5:$D$110*(((Inputs!$G$5:$G$110="moeda")+(Inputs!$G$5:$G$110="acoes"))*Inputs!$B$1+((Inputs!$G$5:$G$110&lt;&gt;"moeda")*(Inputs!$G$5:$G$110&lt;&gt;"acoes")))*INDEX(Inputs!$K$5:$AJ$110,0,MATCH(AD$2,Inputs!$K$4:$AJ$4,0)))+SUMPRODUCT((Inputs!$E$5:$E$110=$B45)*Inputs!$F$5:$F$110*(((Inputs!$G$5:$G$110="moeda")+(Inputs!$G$5:$G$110="acoes"))*Inputs!$B$1+((Inputs!$G$5:$G$110&lt;&gt;"moeda")*(Inputs!$G$5:$G$110&lt;&gt;"acoes")))*INDEX(Inputs!$K$5:$AJ$110,0,MATCH(AD$2,Inputs!$K$4:$AJ$4,0)))))</f>
        <v>-2285</v>
      </c>
      <c r="AE45" s="6" t="e">
        <f>IF(ISNA(MATCH(AE$2,Inputs!$K$4:$AJ$4,0)),NA(),IF(SUMPRODUCT((Inputs!$A$5:$A$110=$B45)*ISNUMBER(INDEX(Inputs!$K$5:$AJ$110,0,MATCH(AE$2,Inputs!$K$4:$AJ$4,0))))+SUMPRODUCT((Inputs!$C$5:$C$110=$B45)*ISNUMBER(INDEX(Inputs!$K$5:$AJ$110,0,MATCH(AE$2,Inputs!$K$4:$AJ$4,0))))+SUMPRODUCT((Inputs!$E$5:$E$110=$B45)*ISNUMBER(INDEX(Inputs!$K$5:$AJ$110,0,MATCH(AE$2,Inputs!$K$4:$AJ$4,0))))=0,NA(),SUMPRODUCT((Inputs!$A$5:$A$110=$B45)*Inputs!$B$5:$B$110*(((Inputs!$G$5:$G$110="moeda")+(Inputs!$G$5:$G$110="acoes"))*Inputs!$B$1+((Inputs!$G$5:$G$110&lt;&gt;"moeda")*(Inputs!$G$5:$G$110&lt;&gt;"acoes")))*INDEX(Inputs!$K$5:$AJ$110,0,MATCH(AE$2,Inputs!$K$4:$AJ$4,0)))+SUMPRODUCT((Inputs!$C$5:$C$110=$B45)*Inputs!$D$5:$D$110*(((Inputs!$G$5:$G$110="moeda")+(Inputs!$G$5:$G$110="acoes"))*Inputs!$B$1+((Inputs!$G$5:$G$110&lt;&gt;"moeda")*(Inputs!$G$5:$G$110&lt;&gt;"acoes")))*INDEX(Inputs!$K$5:$AJ$110,0,MATCH(AE$2,Inputs!$K$4:$AJ$4,0)))+SUMPRODUCT((Inputs!$E$5:$E$110=$B45)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5" s="6" t="e">
        <f>IF(ISNA(MATCH(AF$2,Inputs!$K$4:$AJ$4,0)),NA(),IF(SUMPRODUCT((Inputs!$A$5:$A$110=$B45)*ISNUMBER(INDEX(Inputs!$K$5:$AJ$110,0,MATCH(AF$2,Inputs!$K$4:$AJ$4,0))))+SUMPRODUCT((Inputs!$C$5:$C$110=$B45)*ISNUMBER(INDEX(Inputs!$K$5:$AJ$110,0,MATCH(AF$2,Inputs!$K$4:$AJ$4,0))))+SUMPRODUCT((Inputs!$E$5:$E$110=$B45)*ISNUMBER(INDEX(Inputs!$K$5:$AJ$110,0,MATCH(AF$2,Inputs!$K$4:$AJ$4,0))))=0,NA(),SUMPRODUCT((Inputs!$A$5:$A$110=$B45)*Inputs!$B$5:$B$110*(((Inputs!$G$5:$G$110="moeda")+(Inputs!$G$5:$G$110="acoes"))*Inputs!$B$1+((Inputs!$G$5:$G$110&lt;&gt;"moeda")*(Inputs!$G$5:$G$110&lt;&gt;"acoes")))*INDEX(Inputs!$K$5:$AJ$110,0,MATCH(AF$2,Inputs!$K$4:$AJ$4,0)))+SUMPRODUCT((Inputs!$C$5:$C$110=$B45)*Inputs!$D$5:$D$110*(((Inputs!$G$5:$G$110="moeda")+(Inputs!$G$5:$G$110="acoes"))*Inputs!$B$1+((Inputs!$G$5:$G$110&lt;&gt;"moeda")*(Inputs!$G$5:$G$110&lt;&gt;"acoes")))*INDEX(Inputs!$K$5:$AJ$110,0,MATCH(AF$2,Inputs!$K$4:$AJ$4,0)))+SUMPRODUCT((Inputs!$E$5:$E$110=$B45)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5" s="3" t="e">
        <f>AF45</f>
        <v>#N/A</v>
      </c>
      <c r="AH45" s="6">
        <f>IF(ISNA(MATCH(AH$2,Inputs!$K$4:$AJ$4,0)),NA(),IF(SUMPRODUCT((Inputs!$A$5:$A$110=$B45)*ISNUMBER(INDEX(Inputs!$K$5:$AJ$110,0,MATCH(AH$2,Inputs!$K$4:$AJ$4,0))))+SUMPRODUCT((Inputs!$C$5:$C$110=$B45)*ISNUMBER(INDEX(Inputs!$K$5:$AJ$110,0,MATCH(AH$2,Inputs!$K$4:$AJ$4,0))))+SUMPRODUCT((Inputs!$E$5:$E$110=$B45)*ISNUMBER(INDEX(Inputs!$K$5:$AJ$110,0,MATCH(AH$2,Inputs!$K$4:$AJ$4,0))))=0,NA(),SUMPRODUCT((Inputs!$A$5:$A$110=$B45)*Inputs!$B$5:$B$110*(((Inputs!$G$5:$G$110="moeda")+(Inputs!$G$5:$G$110="acoes"))*Inputs!$B$1+((Inputs!$G$5:$G$110&lt;&gt;"moeda")*(Inputs!$G$5:$G$110&lt;&gt;"acoes")))*INDEX(Inputs!$K$5:$AJ$110,0,MATCH(AH$2,Inputs!$K$4:$AJ$4,0)))+SUMPRODUCT((Inputs!$C$5:$C$110=$B45)*Inputs!$D$5:$D$110*(((Inputs!$G$5:$G$110="moeda")+(Inputs!$G$5:$G$110="acoes"))*Inputs!$B$1+((Inputs!$G$5:$G$110&lt;&gt;"moeda")*(Inputs!$G$5:$G$110&lt;&gt;"acoes")))*INDEX(Inputs!$K$5:$AJ$110,0,MATCH(AH$2,Inputs!$K$4:$AJ$4,0)))+SUMPRODUCT((Inputs!$E$5:$E$110=$B45)*Inputs!$F$5:$F$110*(((Inputs!$G$5:$G$110="moeda")+(Inputs!$G$5:$G$110="acoes"))*Inputs!$B$1+((Inputs!$G$5:$G$110&lt;&gt;"moeda")*(Inputs!$G$5:$G$110&lt;&gt;"acoes")))*INDEX(Inputs!$K$5:$AJ$110,0,MATCH(AH$2,Inputs!$K$4:$AJ$4,0)))))</f>
        <v>-1097</v>
      </c>
      <c r="AI45" s="6">
        <f>IF(ISNA(MATCH(AI$2,Inputs!$K$4:$AJ$4,0)),NA(),IF(SUMPRODUCT((Inputs!$A$5:$A$110=$B45)*ISNUMBER(INDEX(Inputs!$K$5:$AJ$110,0,MATCH(AI$2,Inputs!$K$4:$AJ$4,0))))+SUMPRODUCT((Inputs!$C$5:$C$110=$B45)*ISNUMBER(INDEX(Inputs!$K$5:$AJ$110,0,MATCH(AI$2,Inputs!$K$4:$AJ$4,0))))+SUMPRODUCT((Inputs!$E$5:$E$110=$B45)*ISNUMBER(INDEX(Inputs!$K$5:$AJ$110,0,MATCH(AI$2,Inputs!$K$4:$AJ$4,0))))=0,NA(),SUMPRODUCT((Inputs!$A$5:$A$110=$B45)*Inputs!$B$5:$B$110*(((Inputs!$G$5:$G$110="moeda")+(Inputs!$G$5:$G$110="acoes"))*Inputs!$B$1+((Inputs!$G$5:$G$110&lt;&gt;"moeda")*(Inputs!$G$5:$G$110&lt;&gt;"acoes")))*INDEX(Inputs!$K$5:$AJ$110,0,MATCH(AI$2,Inputs!$K$4:$AJ$4,0)))+SUMPRODUCT((Inputs!$C$5:$C$110=$B45)*Inputs!$D$5:$D$110*(((Inputs!$G$5:$G$110="moeda")+(Inputs!$G$5:$G$110="acoes"))*Inputs!$B$1+((Inputs!$G$5:$G$110&lt;&gt;"moeda")*(Inputs!$G$5:$G$110&lt;&gt;"acoes")))*INDEX(Inputs!$K$5:$AJ$110,0,MATCH(AI$2,Inputs!$K$4:$AJ$4,0)))+SUMPRODUCT((Inputs!$E$5:$E$110=$B45)*Inputs!$F$5:$F$110*(((Inputs!$G$5:$G$110="moeda")+(Inputs!$G$5:$G$110="acoes"))*Inputs!$B$1+((Inputs!$G$5:$G$110&lt;&gt;"moeda")*(Inputs!$G$5:$G$110&lt;&gt;"acoes")))*INDEX(Inputs!$K$5:$AJ$110,0,MATCH(AI$2,Inputs!$K$4:$AJ$4,0)))))</f>
        <v>-296</v>
      </c>
      <c r="AJ45" s="6">
        <f>IF(ISNA(MATCH(AJ$2,Inputs!$K$4:$AJ$4,0)),NA(),IF(SUMPRODUCT((Inputs!$A$5:$A$110=$B45)*ISNUMBER(INDEX(Inputs!$K$5:$AJ$110,0,MATCH(AJ$2,Inputs!$K$4:$AJ$4,0))))+SUMPRODUCT((Inputs!$C$5:$C$110=$B45)*ISNUMBER(INDEX(Inputs!$K$5:$AJ$110,0,MATCH(AJ$2,Inputs!$K$4:$AJ$4,0))))+SUMPRODUCT((Inputs!$E$5:$E$110=$B45)*ISNUMBER(INDEX(Inputs!$K$5:$AJ$110,0,MATCH(AJ$2,Inputs!$K$4:$AJ$4,0))))=0,NA(),SUMPRODUCT((Inputs!$A$5:$A$110=$B45)*Inputs!$B$5:$B$110*(((Inputs!$G$5:$G$110="moeda")+(Inputs!$G$5:$G$110="acoes"))*Inputs!$B$1+((Inputs!$G$5:$G$110&lt;&gt;"moeda")*(Inputs!$G$5:$G$110&lt;&gt;"acoes")))*INDEX(Inputs!$K$5:$AJ$110,0,MATCH(AJ$2,Inputs!$K$4:$AJ$4,0)))+SUMPRODUCT((Inputs!$C$5:$C$110=$B45)*Inputs!$D$5:$D$110*(((Inputs!$G$5:$G$110="moeda")+(Inputs!$G$5:$G$110="acoes"))*Inputs!$B$1+((Inputs!$G$5:$G$110&lt;&gt;"moeda")*(Inputs!$G$5:$G$110&lt;&gt;"acoes")))*INDEX(Inputs!$K$5:$AJ$110,0,MATCH(AJ$2,Inputs!$K$4:$AJ$4,0)))+SUMPRODUCT((Inputs!$E$5:$E$110=$B45)*Inputs!$F$5:$F$110*(((Inputs!$G$5:$G$110="moeda")+(Inputs!$G$5:$G$110="acoes"))*Inputs!$B$1+((Inputs!$G$5:$G$110&lt;&gt;"moeda")*(Inputs!$G$5:$G$110&lt;&gt;"acoes")))*INDEX(Inputs!$K$5:$AJ$110,0,MATCH(AJ$2,Inputs!$K$4:$AJ$4,0)))))</f>
        <v>46</v>
      </c>
      <c r="AK45" s="6">
        <f>IF(ISNA(MATCH(AK$2,Inputs!$K$4:$AJ$4,0)),NA(),IF(SUMPRODUCT((Inputs!$A$5:$A$110=$B45)*ISNUMBER(INDEX(Inputs!$K$5:$AJ$110,0,MATCH(AK$2,Inputs!$K$4:$AJ$4,0))))+SUMPRODUCT((Inputs!$C$5:$C$110=$B45)*ISNUMBER(INDEX(Inputs!$K$5:$AJ$110,0,MATCH(AK$2,Inputs!$K$4:$AJ$4,0))))+SUMPRODUCT((Inputs!$E$5:$E$110=$B45)*ISNUMBER(INDEX(Inputs!$K$5:$AJ$110,0,MATCH(AK$2,Inputs!$K$4:$AJ$4,0))))=0,NA(),SUMPRODUCT((Inputs!$A$5:$A$110=$B45)*Inputs!$B$5:$B$110*(((Inputs!$G$5:$G$110="moeda")+(Inputs!$G$5:$G$110="acoes"))*Inputs!$B$1+((Inputs!$G$5:$G$110&lt;&gt;"moeda")*(Inputs!$G$5:$G$110&lt;&gt;"acoes")))*INDEX(Inputs!$K$5:$AJ$110,0,MATCH(AK$2,Inputs!$K$4:$AJ$4,0)))+SUMPRODUCT((Inputs!$C$5:$C$110=$B45)*Inputs!$D$5:$D$110*(((Inputs!$G$5:$G$110="moeda")+(Inputs!$G$5:$G$110="acoes"))*Inputs!$B$1+((Inputs!$G$5:$G$110&lt;&gt;"moeda")*(Inputs!$G$5:$G$110&lt;&gt;"acoes")))*INDEX(Inputs!$K$5:$AJ$110,0,MATCH(AK$2,Inputs!$K$4:$AJ$4,0)))+SUMPRODUCT((Inputs!$E$5:$E$110=$B45)*Inputs!$F$5:$F$110*(((Inputs!$G$5:$G$110="moeda")+(Inputs!$G$5:$G$110="acoes"))*Inputs!$B$1+((Inputs!$G$5:$G$110&lt;&gt;"moeda")*(Inputs!$G$5:$G$110&lt;&gt;"acoes")))*INDEX(Inputs!$K$5:$AJ$110,0,MATCH(AK$2,Inputs!$K$4:$AJ$4,0)))))</f>
        <v>633</v>
      </c>
      <c r="AL45" s="3">
        <f>AK45</f>
        <v>633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$110=$B46)*ISNUMBER(INDEX(Inputs!$K$5:$AJ$110,0,MATCH(D$2,Inputs!$K$4:$AJ$4,0))))+SUMPRODUCT((Inputs!$C$5:$C$110=$B46)*ISNUMBER(INDEX(Inputs!$K$5:$AJ$110,0,MATCH(D$2,Inputs!$K$4:$AJ$4,0))))+SUMPRODUCT((Inputs!$E$5:$E$110=$B46)*ISNUMBER(INDEX(Inputs!$K$5:$AJ$110,0,MATCH(D$2,Inputs!$K$4:$AJ$4,0))))=0,NA(),SUMPRODUCT((Inputs!$A$5:$A$110=$B46)*Inputs!$B$5:$B$110*(((Inputs!$G$5:$G$110="moeda")+(Inputs!$G$5:$G$110="acoes"))*Inputs!$B$1+((Inputs!$G$5:$G$110&lt;&gt;"moeda")*(Inputs!$G$5:$G$110&lt;&gt;"acoes")))*INDEX(Inputs!$K$5:$AJ$110,0,MATCH(D$2,Inputs!$K$4:$AJ$4,0)))+SUMPRODUCT((Inputs!$C$5:$C$110=$B46)*Inputs!$D$5:$D$110*(((Inputs!$G$5:$G$110="moeda")+(Inputs!$G$5:$G$110="acoes"))*Inputs!$B$1+((Inputs!$G$5:$G$110&lt;&gt;"moeda")*(Inputs!$G$5:$G$110&lt;&gt;"acoes")))*INDEX(Inputs!$K$5:$AJ$110,0,MATCH(D$2,Inputs!$K$4:$AJ$4,0)))+SUMPRODUCT((Inputs!$E$5:$E$110=$B46)*Inputs!$F$5:$F$110*(((Inputs!$G$5:$G$110="moeda")+(Inputs!$G$5:$G$110="acoes"))*Inputs!$B$1+((Inputs!$G$5:$G$110&lt;&gt;"moeda")*(Inputs!$G$5:$G$110&lt;&gt;"acoes")))*INDEX(Inputs!$K$5:$AJ$110,0,MATCH(D$2,Inputs!$K$4:$AJ$4,0)))))</f>
        <v>0</v>
      </c>
      <c r="E46" s="6">
        <f>IF(ISNA(MATCH(E$2,Inputs!$K$4:$AJ$4,0)),NA(),IF(SUMPRODUCT((Inputs!$A$5:$A$110=$B46)*ISNUMBER(INDEX(Inputs!$K$5:$AJ$110,0,MATCH(E$2,Inputs!$K$4:$AJ$4,0))))+SUMPRODUCT((Inputs!$C$5:$C$110=$B46)*ISNUMBER(INDEX(Inputs!$K$5:$AJ$110,0,MATCH(E$2,Inputs!$K$4:$AJ$4,0))))+SUMPRODUCT((Inputs!$E$5:$E$110=$B46)*ISNUMBER(INDEX(Inputs!$K$5:$AJ$110,0,MATCH(E$2,Inputs!$K$4:$AJ$4,0))))=0,NA(),SUMPRODUCT((Inputs!$A$5:$A$110=$B46)*Inputs!$B$5:$B$110*(((Inputs!$G$5:$G$110="moeda")+(Inputs!$G$5:$G$110="acoes"))*Inputs!$B$1+((Inputs!$G$5:$G$110&lt;&gt;"moeda")*(Inputs!$G$5:$G$110&lt;&gt;"acoes")))*INDEX(Inputs!$K$5:$AJ$110,0,MATCH(E$2,Inputs!$K$4:$AJ$4,0)))+SUMPRODUCT((Inputs!$C$5:$C$110=$B46)*Inputs!$D$5:$D$110*(((Inputs!$G$5:$G$110="moeda")+(Inputs!$G$5:$G$110="acoes"))*Inputs!$B$1+((Inputs!$G$5:$G$110&lt;&gt;"moeda")*(Inputs!$G$5:$G$110&lt;&gt;"acoes")))*INDEX(Inputs!$K$5:$AJ$110,0,MATCH(E$2,Inputs!$K$4:$AJ$4,0)))+SUMPRODUCT((Inputs!$E$5:$E$110=$B46)*Inputs!$F$5:$F$110*(((Inputs!$G$5:$G$110="moeda")+(Inputs!$G$5:$G$110="acoes"))*Inputs!$B$1+((Inputs!$G$5:$G$110&lt;&gt;"moeda")*(Inputs!$G$5:$G$110&lt;&gt;"acoes")))*INDEX(Inputs!$K$5:$AJ$110,0,MATCH(E$2,Inputs!$K$4:$AJ$4,0)))))</f>
        <v>0</v>
      </c>
      <c r="F46" s="6">
        <f>IF(ISNA(MATCH(F$2,Inputs!$K$4:$AJ$4,0)),NA(),IF(SUMPRODUCT((Inputs!$A$5:$A$110=$B46)*ISNUMBER(INDEX(Inputs!$K$5:$AJ$110,0,MATCH(F$2,Inputs!$K$4:$AJ$4,0))))+SUMPRODUCT((Inputs!$C$5:$C$110=$B46)*ISNUMBER(INDEX(Inputs!$K$5:$AJ$110,0,MATCH(F$2,Inputs!$K$4:$AJ$4,0))))+SUMPRODUCT((Inputs!$E$5:$E$110=$B46)*ISNUMBER(INDEX(Inputs!$K$5:$AJ$110,0,MATCH(F$2,Inputs!$K$4:$AJ$4,0))))=0,NA(),SUMPRODUCT((Inputs!$A$5:$A$110=$B46)*Inputs!$B$5:$B$110*(((Inputs!$G$5:$G$110="moeda")+(Inputs!$G$5:$G$110="acoes"))*Inputs!$B$1+((Inputs!$G$5:$G$110&lt;&gt;"moeda")*(Inputs!$G$5:$G$110&lt;&gt;"acoes")))*INDEX(Inputs!$K$5:$AJ$110,0,MATCH(F$2,Inputs!$K$4:$AJ$4,0)))+SUMPRODUCT((Inputs!$C$5:$C$110=$B46)*Inputs!$D$5:$D$110*(((Inputs!$G$5:$G$110="moeda")+(Inputs!$G$5:$G$110="acoes"))*Inputs!$B$1+((Inputs!$G$5:$G$110&lt;&gt;"moeda")*(Inputs!$G$5:$G$110&lt;&gt;"acoes")))*INDEX(Inputs!$K$5:$AJ$110,0,MATCH(F$2,Inputs!$K$4:$AJ$4,0)))+SUMPRODUCT((Inputs!$E$5:$E$110=$B46)*Inputs!$F$5:$F$110*(((Inputs!$G$5:$G$110="moeda")+(Inputs!$G$5:$G$110="acoes"))*Inputs!$B$1+((Inputs!$G$5:$G$110&lt;&gt;"moeda")*(Inputs!$G$5:$G$110&lt;&gt;"acoes")))*INDEX(Inputs!$K$5:$AJ$110,0,MATCH(F$2,Inputs!$K$4:$AJ$4,0)))))</f>
        <v>0</v>
      </c>
      <c r="G46" s="6">
        <f>IF(ISNA(MATCH(G$2,Inputs!$K$4:$AJ$4,0)),NA(),IF(SUMPRODUCT((Inputs!$A$5:$A$110=$B46)*ISNUMBER(INDEX(Inputs!$K$5:$AJ$110,0,MATCH(G$2,Inputs!$K$4:$AJ$4,0))))+SUMPRODUCT((Inputs!$C$5:$C$110=$B46)*ISNUMBER(INDEX(Inputs!$K$5:$AJ$110,0,MATCH(G$2,Inputs!$K$4:$AJ$4,0))))+SUMPRODUCT((Inputs!$E$5:$E$110=$B46)*ISNUMBER(INDEX(Inputs!$K$5:$AJ$110,0,MATCH(G$2,Inputs!$K$4:$AJ$4,0))))=0,NA(),SUMPRODUCT((Inputs!$A$5:$A$110=$B46)*Inputs!$B$5:$B$110*(((Inputs!$G$5:$G$110="moeda")+(Inputs!$G$5:$G$110="acoes"))*Inputs!$B$1+((Inputs!$G$5:$G$110&lt;&gt;"moeda")*(Inputs!$G$5:$G$110&lt;&gt;"acoes")))*INDEX(Inputs!$K$5:$AJ$110,0,MATCH(G$2,Inputs!$K$4:$AJ$4,0)))+SUMPRODUCT((Inputs!$C$5:$C$110=$B46)*Inputs!$D$5:$D$110*(((Inputs!$G$5:$G$110="moeda")+(Inputs!$G$5:$G$110="acoes"))*Inputs!$B$1+((Inputs!$G$5:$G$110&lt;&gt;"moeda")*(Inputs!$G$5:$G$110&lt;&gt;"acoes")))*INDEX(Inputs!$K$5:$AJ$110,0,MATCH(G$2,Inputs!$K$4:$AJ$4,0)))+SUMPRODUCT((Inputs!$E$5:$E$110=$B46)*Inputs!$F$5:$F$110*(((Inputs!$G$5:$G$110="moeda")+(Inputs!$G$5:$G$110="acoes"))*Inputs!$B$1+((Inputs!$G$5:$G$110&lt;&gt;"moeda")*(Inputs!$G$5:$G$110&lt;&gt;"acoes")))*INDEX(Inputs!$K$5:$AJ$110,0,MATCH(G$2,Inputs!$K$4:$AJ$4,0)))))</f>
        <v>0</v>
      </c>
      <c r="H46" s="3">
        <f>G46</f>
        <v>0</v>
      </c>
      <c r="I46" s="6">
        <f>IF(ISNA(MATCH(I$2,Inputs!$K$4:$AJ$4,0)),NA(),IF(SUMPRODUCT((Inputs!$A$5:$A$110=$B46)*ISNUMBER(INDEX(Inputs!$K$5:$AJ$110,0,MATCH(I$2,Inputs!$K$4:$AJ$4,0))))+SUMPRODUCT((Inputs!$C$5:$C$110=$B46)*ISNUMBER(INDEX(Inputs!$K$5:$AJ$110,0,MATCH(I$2,Inputs!$K$4:$AJ$4,0))))+SUMPRODUCT((Inputs!$E$5:$E$110=$B46)*ISNUMBER(INDEX(Inputs!$K$5:$AJ$110,0,MATCH(I$2,Inputs!$K$4:$AJ$4,0))))=0,NA(),SUMPRODUCT((Inputs!$A$5:$A$110=$B46)*Inputs!$B$5:$B$110*(((Inputs!$G$5:$G$110="moeda")+(Inputs!$G$5:$G$110="acoes"))*Inputs!$B$1+((Inputs!$G$5:$G$110&lt;&gt;"moeda")*(Inputs!$G$5:$G$110&lt;&gt;"acoes")))*INDEX(Inputs!$K$5:$AJ$110,0,MATCH(I$2,Inputs!$K$4:$AJ$4,0)))+SUMPRODUCT((Inputs!$C$5:$C$110=$B46)*Inputs!$D$5:$D$110*(((Inputs!$G$5:$G$110="moeda")+(Inputs!$G$5:$G$110="acoes"))*Inputs!$B$1+((Inputs!$G$5:$G$110&lt;&gt;"moeda")*(Inputs!$G$5:$G$110&lt;&gt;"acoes")))*INDEX(Inputs!$K$5:$AJ$110,0,MATCH(I$2,Inputs!$K$4:$AJ$4,0)))+SUMPRODUCT((Inputs!$E$5:$E$110=$B46)*Inputs!$F$5:$F$110*(((Inputs!$G$5:$G$110="moeda")+(Inputs!$G$5:$G$110="acoes"))*Inputs!$B$1+((Inputs!$G$5:$G$110&lt;&gt;"moeda")*(Inputs!$G$5:$G$110&lt;&gt;"acoes")))*INDEX(Inputs!$K$5:$AJ$110,0,MATCH(I$2,Inputs!$K$4:$AJ$4,0)))))</f>
        <v>0</v>
      </c>
      <c r="J46" s="6">
        <f>IF(ISNA(MATCH(J$2,Inputs!$K$4:$AJ$4,0)),NA(),IF(SUMPRODUCT((Inputs!$A$5:$A$110=$B46)*ISNUMBER(INDEX(Inputs!$K$5:$AJ$110,0,MATCH(J$2,Inputs!$K$4:$AJ$4,0))))+SUMPRODUCT((Inputs!$C$5:$C$110=$B46)*ISNUMBER(INDEX(Inputs!$K$5:$AJ$110,0,MATCH(J$2,Inputs!$K$4:$AJ$4,0))))+SUMPRODUCT((Inputs!$E$5:$E$110=$B46)*ISNUMBER(INDEX(Inputs!$K$5:$AJ$110,0,MATCH(J$2,Inputs!$K$4:$AJ$4,0))))=0,NA(),SUMPRODUCT((Inputs!$A$5:$A$110=$B46)*Inputs!$B$5:$B$110*(((Inputs!$G$5:$G$110="moeda")+(Inputs!$G$5:$G$110="acoes"))*Inputs!$B$1+((Inputs!$G$5:$G$110&lt;&gt;"moeda")*(Inputs!$G$5:$G$110&lt;&gt;"acoes")))*INDEX(Inputs!$K$5:$AJ$110,0,MATCH(J$2,Inputs!$K$4:$AJ$4,0)))+SUMPRODUCT((Inputs!$C$5:$C$110=$B46)*Inputs!$D$5:$D$110*(((Inputs!$G$5:$G$110="moeda")+(Inputs!$G$5:$G$110="acoes"))*Inputs!$B$1+((Inputs!$G$5:$G$110&lt;&gt;"moeda")*(Inputs!$G$5:$G$110&lt;&gt;"acoes")))*INDEX(Inputs!$K$5:$AJ$110,0,MATCH(J$2,Inputs!$K$4:$AJ$4,0)))+SUMPRODUCT((Inputs!$E$5:$E$110=$B46)*Inputs!$F$5:$F$110*(((Inputs!$G$5:$G$110="moeda")+(Inputs!$G$5:$G$110="acoes"))*Inputs!$B$1+((Inputs!$G$5:$G$110&lt;&gt;"moeda")*(Inputs!$G$5:$G$110&lt;&gt;"acoes")))*INDEX(Inputs!$K$5:$AJ$110,0,MATCH(J$2,Inputs!$K$4:$AJ$4,0)))))</f>
        <v>0</v>
      </c>
      <c r="K46" s="6">
        <f>IF(ISNA(MATCH(K$2,Inputs!$K$4:$AJ$4,0)),NA(),IF(SUMPRODUCT((Inputs!$A$5:$A$110=$B46)*ISNUMBER(INDEX(Inputs!$K$5:$AJ$110,0,MATCH(K$2,Inputs!$K$4:$AJ$4,0))))+SUMPRODUCT((Inputs!$C$5:$C$110=$B46)*ISNUMBER(INDEX(Inputs!$K$5:$AJ$110,0,MATCH(K$2,Inputs!$K$4:$AJ$4,0))))+SUMPRODUCT((Inputs!$E$5:$E$110=$B46)*ISNUMBER(INDEX(Inputs!$K$5:$AJ$110,0,MATCH(K$2,Inputs!$K$4:$AJ$4,0))))=0,NA(),SUMPRODUCT((Inputs!$A$5:$A$110=$B46)*Inputs!$B$5:$B$110*(((Inputs!$G$5:$G$110="moeda")+(Inputs!$G$5:$G$110="acoes"))*Inputs!$B$1+((Inputs!$G$5:$G$110&lt;&gt;"moeda")*(Inputs!$G$5:$G$110&lt;&gt;"acoes")))*INDEX(Inputs!$K$5:$AJ$110,0,MATCH(K$2,Inputs!$K$4:$AJ$4,0)))+SUMPRODUCT((Inputs!$C$5:$C$110=$B46)*Inputs!$D$5:$D$110*(((Inputs!$G$5:$G$110="moeda")+(Inputs!$G$5:$G$110="acoes"))*Inputs!$B$1+((Inputs!$G$5:$G$110&lt;&gt;"moeda")*(Inputs!$G$5:$G$110&lt;&gt;"acoes")))*INDEX(Inputs!$K$5:$AJ$110,0,MATCH(K$2,Inputs!$K$4:$AJ$4,0)))+SUMPRODUCT((Inputs!$E$5:$E$110=$B46)*Inputs!$F$5:$F$110*(((Inputs!$G$5:$G$110="moeda")+(Inputs!$G$5:$G$110="acoes"))*Inputs!$B$1+((Inputs!$G$5:$G$110&lt;&gt;"moeda")*(Inputs!$G$5:$G$110&lt;&gt;"acoes")))*INDEX(Inputs!$K$5:$AJ$110,0,MATCH(K$2,Inputs!$K$4:$AJ$4,0)))))</f>
        <v>0</v>
      </c>
      <c r="L46" s="6">
        <f>IF(ISNA(MATCH(L$2,Inputs!$K$4:$AJ$4,0)),NA(),IF(SUMPRODUCT((Inputs!$A$5:$A$110=$B46)*ISNUMBER(INDEX(Inputs!$K$5:$AJ$110,0,MATCH(L$2,Inputs!$K$4:$AJ$4,0))))+SUMPRODUCT((Inputs!$C$5:$C$110=$B46)*ISNUMBER(INDEX(Inputs!$K$5:$AJ$110,0,MATCH(L$2,Inputs!$K$4:$AJ$4,0))))+SUMPRODUCT((Inputs!$E$5:$E$110=$B46)*ISNUMBER(INDEX(Inputs!$K$5:$AJ$110,0,MATCH(L$2,Inputs!$K$4:$AJ$4,0))))=0,NA(),SUMPRODUCT((Inputs!$A$5:$A$110=$B46)*Inputs!$B$5:$B$110*(((Inputs!$G$5:$G$110="moeda")+(Inputs!$G$5:$G$110="acoes"))*Inputs!$B$1+((Inputs!$G$5:$G$110&lt;&gt;"moeda")*(Inputs!$G$5:$G$110&lt;&gt;"acoes")))*INDEX(Inputs!$K$5:$AJ$110,0,MATCH(L$2,Inputs!$K$4:$AJ$4,0)))+SUMPRODUCT((Inputs!$C$5:$C$110=$B46)*Inputs!$D$5:$D$110*(((Inputs!$G$5:$G$110="moeda")+(Inputs!$G$5:$G$110="acoes"))*Inputs!$B$1+((Inputs!$G$5:$G$110&lt;&gt;"moeda")*(Inputs!$G$5:$G$110&lt;&gt;"acoes")))*INDEX(Inputs!$K$5:$AJ$110,0,MATCH(L$2,Inputs!$K$4:$AJ$4,0)))+SUMPRODUCT((Inputs!$E$5:$E$110=$B46)*Inputs!$F$5:$F$110*(((Inputs!$G$5:$G$110="moeda")+(Inputs!$G$5:$G$110="acoes"))*Inputs!$B$1+((Inputs!$G$5:$G$110&lt;&gt;"moeda")*(Inputs!$G$5:$G$110&lt;&gt;"acoes")))*INDEX(Inputs!$K$5:$AJ$110,0,MATCH(L$2,Inputs!$K$4:$AJ$4,0)))))</f>
        <v>0</v>
      </c>
      <c r="M46" s="3">
        <f>L46</f>
        <v>0</v>
      </c>
      <c r="N46" s="6">
        <f>IF(ISNA(MATCH(N$2,Inputs!$K$4:$AJ$4,0)),NA(),IF(SUMPRODUCT((Inputs!$A$5:$A$110=$B46)*ISNUMBER(INDEX(Inputs!$K$5:$AJ$110,0,MATCH(N$2,Inputs!$K$4:$AJ$4,0))))+SUMPRODUCT((Inputs!$C$5:$C$110=$B46)*ISNUMBER(INDEX(Inputs!$K$5:$AJ$110,0,MATCH(N$2,Inputs!$K$4:$AJ$4,0))))+SUMPRODUCT((Inputs!$E$5:$E$110=$B46)*ISNUMBER(INDEX(Inputs!$K$5:$AJ$110,0,MATCH(N$2,Inputs!$K$4:$AJ$4,0))))=0,NA(),SUMPRODUCT((Inputs!$A$5:$A$110=$B46)*Inputs!$B$5:$B$110*(((Inputs!$G$5:$G$110="moeda")+(Inputs!$G$5:$G$110="acoes"))*Inputs!$B$1+((Inputs!$G$5:$G$110&lt;&gt;"moeda")*(Inputs!$G$5:$G$110&lt;&gt;"acoes")))*INDEX(Inputs!$K$5:$AJ$110,0,MATCH(N$2,Inputs!$K$4:$AJ$4,0)))+SUMPRODUCT((Inputs!$C$5:$C$110=$B46)*Inputs!$D$5:$D$110*(((Inputs!$G$5:$G$110="moeda")+(Inputs!$G$5:$G$110="acoes"))*Inputs!$B$1+((Inputs!$G$5:$G$110&lt;&gt;"moeda")*(Inputs!$G$5:$G$110&lt;&gt;"acoes")))*INDEX(Inputs!$K$5:$AJ$110,0,MATCH(N$2,Inputs!$K$4:$AJ$4,0)))+SUMPRODUCT((Inputs!$E$5:$E$110=$B46)*Inputs!$F$5:$F$110*(((Inputs!$G$5:$G$110="moeda")+(Inputs!$G$5:$G$110="acoes"))*Inputs!$B$1+((Inputs!$G$5:$G$110&lt;&gt;"moeda")*(Inputs!$G$5:$G$110&lt;&gt;"acoes")))*INDEX(Inputs!$K$5:$AJ$110,0,MATCH(N$2,Inputs!$K$4:$AJ$4,0)))))</f>
        <v>0</v>
      </c>
      <c r="O46" s="6">
        <f>IF(ISNA(MATCH(O$2,Inputs!$K$4:$AJ$4,0)),NA(),IF(SUMPRODUCT((Inputs!$A$5:$A$110=$B46)*ISNUMBER(INDEX(Inputs!$K$5:$AJ$110,0,MATCH(O$2,Inputs!$K$4:$AJ$4,0))))+SUMPRODUCT((Inputs!$C$5:$C$110=$B46)*ISNUMBER(INDEX(Inputs!$K$5:$AJ$110,0,MATCH(O$2,Inputs!$K$4:$AJ$4,0))))+SUMPRODUCT((Inputs!$E$5:$E$110=$B46)*ISNUMBER(INDEX(Inputs!$K$5:$AJ$110,0,MATCH(O$2,Inputs!$K$4:$AJ$4,0))))=0,NA(),SUMPRODUCT((Inputs!$A$5:$A$110=$B46)*Inputs!$B$5:$B$110*(((Inputs!$G$5:$G$110="moeda")+(Inputs!$G$5:$G$110="acoes"))*Inputs!$B$1+((Inputs!$G$5:$G$110&lt;&gt;"moeda")*(Inputs!$G$5:$G$110&lt;&gt;"acoes")))*INDEX(Inputs!$K$5:$AJ$110,0,MATCH(O$2,Inputs!$K$4:$AJ$4,0)))+SUMPRODUCT((Inputs!$C$5:$C$110=$B46)*Inputs!$D$5:$D$110*(((Inputs!$G$5:$G$110="moeda")+(Inputs!$G$5:$G$110="acoes"))*Inputs!$B$1+((Inputs!$G$5:$G$110&lt;&gt;"moeda")*(Inputs!$G$5:$G$110&lt;&gt;"acoes")))*INDEX(Inputs!$K$5:$AJ$110,0,MATCH(O$2,Inputs!$K$4:$AJ$4,0)))+SUMPRODUCT((Inputs!$E$5:$E$110=$B46)*Inputs!$F$5:$F$110*(((Inputs!$G$5:$G$110="moeda")+(Inputs!$G$5:$G$110="acoes"))*Inputs!$B$1+((Inputs!$G$5:$G$110&lt;&gt;"moeda")*(Inputs!$G$5:$G$110&lt;&gt;"acoes")))*INDEX(Inputs!$K$5:$AJ$110,0,MATCH(O$2,Inputs!$K$4:$AJ$4,0)))))</f>
        <v>0</v>
      </c>
      <c r="P46" s="6">
        <f>IF(ISNA(MATCH(P$2,Inputs!$K$4:$AJ$4,0)),NA(),IF(SUMPRODUCT((Inputs!$A$5:$A$110=$B46)*ISNUMBER(INDEX(Inputs!$K$5:$AJ$110,0,MATCH(P$2,Inputs!$K$4:$AJ$4,0))))+SUMPRODUCT((Inputs!$C$5:$C$110=$B46)*ISNUMBER(INDEX(Inputs!$K$5:$AJ$110,0,MATCH(P$2,Inputs!$K$4:$AJ$4,0))))+SUMPRODUCT((Inputs!$E$5:$E$110=$B46)*ISNUMBER(INDEX(Inputs!$K$5:$AJ$110,0,MATCH(P$2,Inputs!$K$4:$AJ$4,0))))=0,NA(),SUMPRODUCT((Inputs!$A$5:$A$110=$B46)*Inputs!$B$5:$B$110*(((Inputs!$G$5:$G$110="moeda")+(Inputs!$G$5:$G$110="acoes"))*Inputs!$B$1+((Inputs!$G$5:$G$110&lt;&gt;"moeda")*(Inputs!$G$5:$G$110&lt;&gt;"acoes")))*INDEX(Inputs!$K$5:$AJ$110,0,MATCH(P$2,Inputs!$K$4:$AJ$4,0)))+SUMPRODUCT((Inputs!$C$5:$C$110=$B46)*Inputs!$D$5:$D$110*(((Inputs!$G$5:$G$110="moeda")+(Inputs!$G$5:$G$110="acoes"))*Inputs!$B$1+((Inputs!$G$5:$G$110&lt;&gt;"moeda")*(Inputs!$G$5:$G$110&lt;&gt;"acoes")))*INDEX(Inputs!$K$5:$AJ$110,0,MATCH(P$2,Inputs!$K$4:$AJ$4,0)))+SUMPRODUCT((Inputs!$E$5:$E$110=$B46)*Inputs!$F$5:$F$110*(((Inputs!$G$5:$G$110="moeda")+(Inputs!$G$5:$G$110="acoes"))*Inputs!$B$1+((Inputs!$G$5:$G$110&lt;&gt;"moeda")*(Inputs!$G$5:$G$110&lt;&gt;"acoes")))*INDEX(Inputs!$K$5:$AJ$110,0,MATCH(P$2,Inputs!$K$4:$AJ$4,0)))))</f>
        <v>0</v>
      </c>
      <c r="Q46" s="6">
        <f>IF(ISNA(MATCH(Q$2,Inputs!$K$4:$AJ$4,0)),NA(),IF(SUMPRODUCT((Inputs!$A$5:$A$110=$B46)*ISNUMBER(INDEX(Inputs!$K$5:$AJ$110,0,MATCH(Q$2,Inputs!$K$4:$AJ$4,0))))+SUMPRODUCT((Inputs!$C$5:$C$110=$B46)*ISNUMBER(INDEX(Inputs!$K$5:$AJ$110,0,MATCH(Q$2,Inputs!$K$4:$AJ$4,0))))+SUMPRODUCT((Inputs!$E$5:$E$110=$B46)*ISNUMBER(INDEX(Inputs!$K$5:$AJ$110,0,MATCH(Q$2,Inputs!$K$4:$AJ$4,0))))=0,NA(),SUMPRODUCT((Inputs!$A$5:$A$110=$B46)*Inputs!$B$5:$B$110*(((Inputs!$G$5:$G$110="moeda")+(Inputs!$G$5:$G$110="acoes"))*Inputs!$B$1+((Inputs!$G$5:$G$110&lt;&gt;"moeda")*(Inputs!$G$5:$G$110&lt;&gt;"acoes")))*INDEX(Inputs!$K$5:$AJ$110,0,MATCH(Q$2,Inputs!$K$4:$AJ$4,0)))+SUMPRODUCT((Inputs!$C$5:$C$110=$B46)*Inputs!$D$5:$D$110*(((Inputs!$G$5:$G$110="moeda")+(Inputs!$G$5:$G$110="acoes"))*Inputs!$B$1+((Inputs!$G$5:$G$110&lt;&gt;"moeda")*(Inputs!$G$5:$G$110&lt;&gt;"acoes")))*INDEX(Inputs!$K$5:$AJ$110,0,MATCH(Q$2,Inputs!$K$4:$AJ$4,0)))+SUMPRODUCT((Inputs!$E$5:$E$110=$B46)*Inputs!$F$5:$F$110*(((Inputs!$G$5:$G$110="moeda")+(Inputs!$G$5:$G$110="acoes"))*Inputs!$B$1+((Inputs!$G$5:$G$110&lt;&gt;"moeda")*(Inputs!$G$5:$G$110&lt;&gt;"acoes")))*INDEX(Inputs!$K$5:$AJ$110,0,MATCH(Q$2,Inputs!$K$4:$AJ$4,0)))))</f>
        <v>0</v>
      </c>
      <c r="R46" s="3">
        <f>Q46</f>
        <v>0</v>
      </c>
      <c r="S46" s="6">
        <f>IF(ISNA(MATCH(S$2,Inputs!$K$4:$AJ$4,0)),NA(),IF(SUMPRODUCT((Inputs!$A$5:$A$110=$B46)*ISNUMBER(INDEX(Inputs!$K$5:$AJ$110,0,MATCH(S$2,Inputs!$K$4:$AJ$4,0))))+SUMPRODUCT((Inputs!$C$5:$C$110=$B46)*ISNUMBER(INDEX(Inputs!$K$5:$AJ$110,0,MATCH(S$2,Inputs!$K$4:$AJ$4,0))))+SUMPRODUCT((Inputs!$E$5:$E$110=$B46)*ISNUMBER(INDEX(Inputs!$K$5:$AJ$110,0,MATCH(S$2,Inputs!$K$4:$AJ$4,0))))=0,NA(),SUMPRODUCT((Inputs!$A$5:$A$110=$B46)*Inputs!$B$5:$B$110*(((Inputs!$G$5:$G$110="moeda")+(Inputs!$G$5:$G$110="acoes"))*Inputs!$B$1+((Inputs!$G$5:$G$110&lt;&gt;"moeda")*(Inputs!$G$5:$G$110&lt;&gt;"acoes")))*INDEX(Inputs!$K$5:$AJ$110,0,MATCH(S$2,Inputs!$K$4:$AJ$4,0)))+SUMPRODUCT((Inputs!$C$5:$C$110=$B46)*Inputs!$D$5:$D$110*(((Inputs!$G$5:$G$110="moeda")+(Inputs!$G$5:$G$110="acoes"))*Inputs!$B$1+((Inputs!$G$5:$G$110&lt;&gt;"moeda")*(Inputs!$G$5:$G$110&lt;&gt;"acoes")))*INDEX(Inputs!$K$5:$AJ$110,0,MATCH(S$2,Inputs!$K$4:$AJ$4,0)))+SUMPRODUCT((Inputs!$E$5:$E$110=$B46)*Inputs!$F$5:$F$110*(((Inputs!$G$5:$G$110="moeda")+(Inputs!$G$5:$G$110="acoes"))*Inputs!$B$1+((Inputs!$G$5:$G$110&lt;&gt;"moeda")*(Inputs!$G$5:$G$110&lt;&gt;"acoes")))*INDEX(Inputs!$K$5:$AJ$110,0,MATCH(S$2,Inputs!$K$4:$AJ$4,0)))))</f>
        <v>0</v>
      </c>
      <c r="T46" s="6">
        <f>IF(ISNA(MATCH(T$2,Inputs!$K$4:$AJ$4,0)),NA(),IF(SUMPRODUCT((Inputs!$A$5:$A$110=$B46)*ISNUMBER(INDEX(Inputs!$K$5:$AJ$110,0,MATCH(T$2,Inputs!$K$4:$AJ$4,0))))+SUMPRODUCT((Inputs!$C$5:$C$110=$B46)*ISNUMBER(INDEX(Inputs!$K$5:$AJ$110,0,MATCH(T$2,Inputs!$K$4:$AJ$4,0))))+SUMPRODUCT((Inputs!$E$5:$E$110=$B46)*ISNUMBER(INDEX(Inputs!$K$5:$AJ$110,0,MATCH(T$2,Inputs!$K$4:$AJ$4,0))))=0,NA(),SUMPRODUCT((Inputs!$A$5:$A$110=$B46)*Inputs!$B$5:$B$110*(((Inputs!$G$5:$G$110="moeda")+(Inputs!$G$5:$G$110="acoes"))*Inputs!$B$1+((Inputs!$G$5:$G$110&lt;&gt;"moeda")*(Inputs!$G$5:$G$110&lt;&gt;"acoes")))*INDEX(Inputs!$K$5:$AJ$110,0,MATCH(T$2,Inputs!$K$4:$AJ$4,0)))+SUMPRODUCT((Inputs!$C$5:$C$110=$B46)*Inputs!$D$5:$D$110*(((Inputs!$G$5:$G$110="moeda")+(Inputs!$G$5:$G$110="acoes"))*Inputs!$B$1+((Inputs!$G$5:$G$110&lt;&gt;"moeda")*(Inputs!$G$5:$G$110&lt;&gt;"acoes")))*INDEX(Inputs!$K$5:$AJ$110,0,MATCH(T$2,Inputs!$K$4:$AJ$4,0)))+SUMPRODUCT((Inputs!$E$5:$E$110=$B46)*Inputs!$F$5:$F$110*(((Inputs!$G$5:$G$110="moeda")+(Inputs!$G$5:$G$110="acoes"))*Inputs!$B$1+((Inputs!$G$5:$G$110&lt;&gt;"moeda")*(Inputs!$G$5:$G$110&lt;&gt;"acoes")))*INDEX(Inputs!$K$5:$AJ$110,0,MATCH(T$2,Inputs!$K$4:$AJ$4,0)))))</f>
        <v>0</v>
      </c>
      <c r="U46" s="6">
        <f>IF(ISNA(MATCH(U$2,Inputs!$K$4:$AJ$4,0)),NA(),IF(SUMPRODUCT((Inputs!$A$5:$A$110=$B46)*ISNUMBER(INDEX(Inputs!$K$5:$AJ$110,0,MATCH(U$2,Inputs!$K$4:$AJ$4,0))))+SUMPRODUCT((Inputs!$C$5:$C$110=$B46)*ISNUMBER(INDEX(Inputs!$K$5:$AJ$110,0,MATCH(U$2,Inputs!$K$4:$AJ$4,0))))+SUMPRODUCT((Inputs!$E$5:$E$110=$B46)*ISNUMBER(INDEX(Inputs!$K$5:$AJ$110,0,MATCH(U$2,Inputs!$K$4:$AJ$4,0))))=0,NA(),SUMPRODUCT((Inputs!$A$5:$A$110=$B46)*Inputs!$B$5:$B$110*(((Inputs!$G$5:$G$110="moeda")+(Inputs!$G$5:$G$110="acoes"))*Inputs!$B$1+((Inputs!$G$5:$G$110&lt;&gt;"moeda")*(Inputs!$G$5:$G$110&lt;&gt;"acoes")))*INDEX(Inputs!$K$5:$AJ$110,0,MATCH(U$2,Inputs!$K$4:$AJ$4,0)))+SUMPRODUCT((Inputs!$C$5:$C$110=$B46)*Inputs!$D$5:$D$110*(((Inputs!$G$5:$G$110="moeda")+(Inputs!$G$5:$G$110="acoes"))*Inputs!$B$1+((Inputs!$G$5:$G$110&lt;&gt;"moeda")*(Inputs!$G$5:$G$110&lt;&gt;"acoes")))*INDEX(Inputs!$K$5:$AJ$110,0,MATCH(U$2,Inputs!$K$4:$AJ$4,0)))+SUMPRODUCT((Inputs!$E$5:$E$110=$B46)*Inputs!$F$5:$F$110*(((Inputs!$G$5:$G$110="moeda")+(Inputs!$G$5:$G$110="acoes"))*Inputs!$B$1+((Inputs!$G$5:$G$110&lt;&gt;"moeda")*(Inputs!$G$5:$G$110&lt;&gt;"acoes")))*INDEX(Inputs!$K$5:$AJ$110,0,MATCH(U$2,Inputs!$K$4:$AJ$4,0)))))</f>
        <v>0</v>
      </c>
      <c r="V46" s="6">
        <f>IF(ISNA(MATCH(V$2,Inputs!$K$4:$AJ$4,0)),NA(),IF(SUMPRODUCT((Inputs!$A$5:$A$110=$B46)*ISNUMBER(INDEX(Inputs!$K$5:$AJ$110,0,MATCH(V$2,Inputs!$K$4:$AJ$4,0))))+SUMPRODUCT((Inputs!$C$5:$C$110=$B46)*ISNUMBER(INDEX(Inputs!$K$5:$AJ$110,0,MATCH(V$2,Inputs!$K$4:$AJ$4,0))))+SUMPRODUCT((Inputs!$E$5:$E$110=$B46)*ISNUMBER(INDEX(Inputs!$K$5:$AJ$110,0,MATCH(V$2,Inputs!$K$4:$AJ$4,0))))=0,NA(),SUMPRODUCT((Inputs!$A$5:$A$110=$B46)*Inputs!$B$5:$B$110*(((Inputs!$G$5:$G$110="moeda")+(Inputs!$G$5:$G$110="acoes"))*Inputs!$B$1+((Inputs!$G$5:$G$110&lt;&gt;"moeda")*(Inputs!$G$5:$G$110&lt;&gt;"acoes")))*INDEX(Inputs!$K$5:$AJ$110,0,MATCH(V$2,Inputs!$K$4:$AJ$4,0)))+SUMPRODUCT((Inputs!$C$5:$C$110=$B46)*Inputs!$D$5:$D$110*(((Inputs!$G$5:$G$110="moeda")+(Inputs!$G$5:$G$110="acoes"))*Inputs!$B$1+((Inputs!$G$5:$G$110&lt;&gt;"moeda")*(Inputs!$G$5:$G$110&lt;&gt;"acoes")))*INDEX(Inputs!$K$5:$AJ$110,0,MATCH(V$2,Inputs!$K$4:$AJ$4,0)))+SUMPRODUCT((Inputs!$E$5:$E$110=$B46)*Inputs!$F$5:$F$110*(((Inputs!$G$5:$G$110="moeda")+(Inputs!$G$5:$G$110="acoes"))*Inputs!$B$1+((Inputs!$G$5:$G$110&lt;&gt;"moeda")*(Inputs!$G$5:$G$110&lt;&gt;"acoes")))*INDEX(Inputs!$K$5:$AJ$110,0,MATCH(V$2,Inputs!$K$4:$AJ$4,0)))))</f>
        <v>0</v>
      </c>
      <c r="W46" s="3">
        <f>V46</f>
        <v>0</v>
      </c>
      <c r="X46" s="6">
        <f>IF(ISNA(MATCH(X$2,Inputs!$K$4:$AJ$4,0)),NA(),IF(SUMPRODUCT((Inputs!$A$5:$A$110=$B46)*ISNUMBER(INDEX(Inputs!$K$5:$AJ$110,0,MATCH(X$2,Inputs!$K$4:$AJ$4,0))))+SUMPRODUCT((Inputs!$C$5:$C$110=$B46)*ISNUMBER(INDEX(Inputs!$K$5:$AJ$110,0,MATCH(X$2,Inputs!$K$4:$AJ$4,0))))+SUMPRODUCT((Inputs!$E$5:$E$110=$B46)*ISNUMBER(INDEX(Inputs!$K$5:$AJ$110,0,MATCH(X$2,Inputs!$K$4:$AJ$4,0))))=0,NA(),SUMPRODUCT((Inputs!$A$5:$A$110=$B46)*Inputs!$B$5:$B$110*(((Inputs!$G$5:$G$110="moeda")+(Inputs!$G$5:$G$110="acoes"))*Inputs!$B$1+((Inputs!$G$5:$G$110&lt;&gt;"moeda")*(Inputs!$G$5:$G$110&lt;&gt;"acoes")))*INDEX(Inputs!$K$5:$AJ$110,0,MATCH(X$2,Inputs!$K$4:$AJ$4,0)))+SUMPRODUCT((Inputs!$C$5:$C$110=$B46)*Inputs!$D$5:$D$110*(((Inputs!$G$5:$G$110="moeda")+(Inputs!$G$5:$G$110="acoes"))*Inputs!$B$1+((Inputs!$G$5:$G$110&lt;&gt;"moeda")*(Inputs!$G$5:$G$110&lt;&gt;"acoes")))*INDEX(Inputs!$K$5:$AJ$110,0,MATCH(X$2,Inputs!$K$4:$AJ$4,0)))+SUMPRODUCT((Inputs!$E$5:$E$110=$B46)*Inputs!$F$5:$F$110*(((Inputs!$G$5:$G$110="moeda")+(Inputs!$G$5:$G$110="acoes"))*Inputs!$B$1+((Inputs!$G$5:$G$110&lt;&gt;"moeda")*(Inputs!$G$5:$G$110&lt;&gt;"acoes")))*INDEX(Inputs!$K$5:$AJ$110,0,MATCH(X$2,Inputs!$K$4:$AJ$4,0)))))</f>
        <v>0</v>
      </c>
      <c r="Y46" s="6">
        <f>IF(ISNA(MATCH(Y$2,Inputs!$K$4:$AJ$4,0)),NA(),IF(SUMPRODUCT((Inputs!$A$5:$A$110=$B46)*ISNUMBER(INDEX(Inputs!$K$5:$AJ$110,0,MATCH(Y$2,Inputs!$K$4:$AJ$4,0))))+SUMPRODUCT((Inputs!$C$5:$C$110=$B46)*ISNUMBER(INDEX(Inputs!$K$5:$AJ$110,0,MATCH(Y$2,Inputs!$K$4:$AJ$4,0))))+SUMPRODUCT((Inputs!$E$5:$E$110=$B46)*ISNUMBER(INDEX(Inputs!$K$5:$AJ$110,0,MATCH(Y$2,Inputs!$K$4:$AJ$4,0))))=0,NA(),SUMPRODUCT((Inputs!$A$5:$A$110=$B46)*Inputs!$B$5:$B$110*(((Inputs!$G$5:$G$110="moeda")+(Inputs!$G$5:$G$110="acoes"))*Inputs!$B$1+((Inputs!$G$5:$G$110&lt;&gt;"moeda")*(Inputs!$G$5:$G$110&lt;&gt;"acoes")))*INDEX(Inputs!$K$5:$AJ$110,0,MATCH(Y$2,Inputs!$K$4:$AJ$4,0)))+SUMPRODUCT((Inputs!$C$5:$C$110=$B46)*Inputs!$D$5:$D$110*(((Inputs!$G$5:$G$110="moeda")+(Inputs!$G$5:$G$110="acoes"))*Inputs!$B$1+((Inputs!$G$5:$G$110&lt;&gt;"moeda")*(Inputs!$G$5:$G$110&lt;&gt;"acoes")))*INDEX(Inputs!$K$5:$AJ$110,0,MATCH(Y$2,Inputs!$K$4:$AJ$4,0)))+SUMPRODUCT((Inputs!$E$5:$E$110=$B46)*Inputs!$F$5:$F$110*(((Inputs!$G$5:$G$110="moeda")+(Inputs!$G$5:$G$110="acoes"))*Inputs!$B$1+((Inputs!$G$5:$G$110&lt;&gt;"moeda")*(Inputs!$G$5:$G$110&lt;&gt;"acoes")))*INDEX(Inputs!$K$5:$AJ$110,0,MATCH(Y$2,Inputs!$K$4:$AJ$4,0)))))</f>
        <v>0</v>
      </c>
      <c r="Z46" s="6">
        <f>IF(ISNA(MATCH(Z$2,Inputs!$K$4:$AJ$4,0)),NA(),IF(SUMPRODUCT((Inputs!$A$5:$A$110=$B46)*ISNUMBER(INDEX(Inputs!$K$5:$AJ$110,0,MATCH(Z$2,Inputs!$K$4:$AJ$4,0))))+SUMPRODUCT((Inputs!$C$5:$C$110=$B46)*ISNUMBER(INDEX(Inputs!$K$5:$AJ$110,0,MATCH(Z$2,Inputs!$K$4:$AJ$4,0))))+SUMPRODUCT((Inputs!$E$5:$E$110=$B46)*ISNUMBER(INDEX(Inputs!$K$5:$AJ$110,0,MATCH(Z$2,Inputs!$K$4:$AJ$4,0))))=0,NA(),SUMPRODUCT((Inputs!$A$5:$A$110=$B46)*Inputs!$B$5:$B$110*(((Inputs!$G$5:$G$110="moeda")+(Inputs!$G$5:$G$110="acoes"))*Inputs!$B$1+((Inputs!$G$5:$G$110&lt;&gt;"moeda")*(Inputs!$G$5:$G$110&lt;&gt;"acoes")))*INDEX(Inputs!$K$5:$AJ$110,0,MATCH(Z$2,Inputs!$K$4:$AJ$4,0)))+SUMPRODUCT((Inputs!$C$5:$C$110=$B46)*Inputs!$D$5:$D$110*(((Inputs!$G$5:$G$110="moeda")+(Inputs!$G$5:$G$110="acoes"))*Inputs!$B$1+((Inputs!$G$5:$G$110&lt;&gt;"moeda")*(Inputs!$G$5:$G$110&lt;&gt;"acoes")))*INDEX(Inputs!$K$5:$AJ$110,0,MATCH(Z$2,Inputs!$K$4:$AJ$4,0)))+SUMPRODUCT((Inputs!$E$5:$E$110=$B46)*Inputs!$F$5:$F$110*(((Inputs!$G$5:$G$110="moeda")+(Inputs!$G$5:$G$110="acoes"))*Inputs!$B$1+((Inputs!$G$5:$G$110&lt;&gt;"moeda")*(Inputs!$G$5:$G$110&lt;&gt;"acoes")))*INDEX(Inputs!$K$5:$AJ$110,0,MATCH(Z$2,Inputs!$K$4:$AJ$4,0)))))</f>
        <v>0</v>
      </c>
      <c r="AA46" s="6">
        <f>IF(ISNA(MATCH(AA$2,Inputs!$K$4:$AJ$4,0)),NA(),IF(SUMPRODUCT((Inputs!$A$5:$A$110=$B46)*ISNUMBER(INDEX(Inputs!$K$5:$AJ$110,0,MATCH(AA$2,Inputs!$K$4:$AJ$4,0))))+SUMPRODUCT((Inputs!$C$5:$C$110=$B46)*ISNUMBER(INDEX(Inputs!$K$5:$AJ$110,0,MATCH(AA$2,Inputs!$K$4:$AJ$4,0))))+SUMPRODUCT((Inputs!$E$5:$E$110=$B46)*ISNUMBER(INDEX(Inputs!$K$5:$AJ$110,0,MATCH(AA$2,Inputs!$K$4:$AJ$4,0))))=0,NA(),SUMPRODUCT((Inputs!$A$5:$A$110=$B46)*Inputs!$B$5:$B$110*(((Inputs!$G$5:$G$110="moeda")+(Inputs!$G$5:$G$110="acoes"))*Inputs!$B$1+((Inputs!$G$5:$G$110&lt;&gt;"moeda")*(Inputs!$G$5:$G$110&lt;&gt;"acoes")))*INDEX(Inputs!$K$5:$AJ$110,0,MATCH(AA$2,Inputs!$K$4:$AJ$4,0)))+SUMPRODUCT((Inputs!$C$5:$C$110=$B46)*Inputs!$D$5:$D$110*(((Inputs!$G$5:$G$110="moeda")+(Inputs!$G$5:$G$110="acoes"))*Inputs!$B$1+((Inputs!$G$5:$G$110&lt;&gt;"moeda")*(Inputs!$G$5:$G$110&lt;&gt;"acoes")))*INDEX(Inputs!$K$5:$AJ$110,0,MATCH(AA$2,Inputs!$K$4:$AJ$4,0)))+SUMPRODUCT((Inputs!$E$5:$E$110=$B46)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6" s="3">
        <f>AA46</f>
        <v>0</v>
      </c>
      <c r="AC46" s="6">
        <f>IF(ISNA(MATCH(AC$2,Inputs!$K$4:$AJ$4,0)),NA(),IF(SUMPRODUCT((Inputs!$A$5:$A$110=$B46)*ISNUMBER(INDEX(Inputs!$K$5:$AJ$110,0,MATCH(AC$2,Inputs!$K$4:$AJ$4,0))))+SUMPRODUCT((Inputs!$C$5:$C$110=$B46)*ISNUMBER(INDEX(Inputs!$K$5:$AJ$110,0,MATCH(AC$2,Inputs!$K$4:$AJ$4,0))))+SUMPRODUCT((Inputs!$E$5:$E$110=$B46)*ISNUMBER(INDEX(Inputs!$K$5:$AJ$110,0,MATCH(AC$2,Inputs!$K$4:$AJ$4,0))))=0,NA(),SUMPRODUCT((Inputs!$A$5:$A$110=$B46)*Inputs!$B$5:$B$110*(((Inputs!$G$5:$G$110="moeda")+(Inputs!$G$5:$G$110="acoes"))*Inputs!$B$1+((Inputs!$G$5:$G$110&lt;&gt;"moeda")*(Inputs!$G$5:$G$110&lt;&gt;"acoes")))*INDEX(Inputs!$K$5:$AJ$110,0,MATCH(AC$2,Inputs!$K$4:$AJ$4,0)))+SUMPRODUCT((Inputs!$C$5:$C$110=$B46)*Inputs!$D$5:$D$110*(((Inputs!$G$5:$G$110="moeda")+(Inputs!$G$5:$G$110="acoes"))*Inputs!$B$1+((Inputs!$G$5:$G$110&lt;&gt;"moeda")*(Inputs!$G$5:$G$110&lt;&gt;"acoes")))*INDEX(Inputs!$K$5:$AJ$110,0,MATCH(AC$2,Inputs!$K$4:$AJ$4,0)))+SUMPRODUCT((Inputs!$E$5:$E$110=$B46)*Inputs!$F$5:$F$110*(((Inputs!$G$5:$G$110="moeda")+(Inputs!$G$5:$G$110="acoes"))*Inputs!$B$1+((Inputs!$G$5:$G$110&lt;&gt;"moeda")*(Inputs!$G$5:$G$110&lt;&gt;"acoes")))*INDEX(Inputs!$K$5:$AJ$110,0,MATCH(AC$2,Inputs!$K$4:$AJ$4,0)))))</f>
        <v>0</v>
      </c>
      <c r="AD46" s="6">
        <f>IF(ISNA(MATCH(AD$2,Inputs!$K$4:$AJ$4,0)),NA(),IF(SUMPRODUCT((Inputs!$A$5:$A$110=$B46)*ISNUMBER(INDEX(Inputs!$K$5:$AJ$110,0,MATCH(AD$2,Inputs!$K$4:$AJ$4,0))))+SUMPRODUCT((Inputs!$C$5:$C$110=$B46)*ISNUMBER(INDEX(Inputs!$K$5:$AJ$110,0,MATCH(AD$2,Inputs!$K$4:$AJ$4,0))))+SUMPRODUCT((Inputs!$E$5:$E$110=$B46)*ISNUMBER(INDEX(Inputs!$K$5:$AJ$110,0,MATCH(AD$2,Inputs!$K$4:$AJ$4,0))))=0,NA(),SUMPRODUCT((Inputs!$A$5:$A$110=$B46)*Inputs!$B$5:$B$110*(((Inputs!$G$5:$G$110="moeda")+(Inputs!$G$5:$G$110="acoes"))*Inputs!$B$1+((Inputs!$G$5:$G$110&lt;&gt;"moeda")*(Inputs!$G$5:$G$110&lt;&gt;"acoes")))*INDEX(Inputs!$K$5:$AJ$110,0,MATCH(AD$2,Inputs!$K$4:$AJ$4,0)))+SUMPRODUCT((Inputs!$C$5:$C$110=$B46)*Inputs!$D$5:$D$110*(((Inputs!$G$5:$G$110="moeda")+(Inputs!$G$5:$G$110="acoes"))*Inputs!$B$1+((Inputs!$G$5:$G$110&lt;&gt;"moeda")*(Inputs!$G$5:$G$110&lt;&gt;"acoes")))*INDEX(Inputs!$K$5:$AJ$110,0,MATCH(AD$2,Inputs!$K$4:$AJ$4,0)))+SUMPRODUCT((Inputs!$E$5:$E$110=$B46)*Inputs!$F$5:$F$110*(((Inputs!$G$5:$G$110="moeda")+(Inputs!$G$5:$G$110="acoes"))*Inputs!$B$1+((Inputs!$G$5:$G$110&lt;&gt;"moeda")*(Inputs!$G$5:$G$110&lt;&gt;"acoes")))*INDEX(Inputs!$K$5:$AJ$110,0,MATCH(AD$2,Inputs!$K$4:$AJ$4,0)))))</f>
        <v>18023</v>
      </c>
      <c r="AE46" s="6" t="e">
        <f>IF(ISNA(MATCH(AE$2,Inputs!$K$4:$AJ$4,0)),NA(),IF(SUMPRODUCT((Inputs!$A$5:$A$110=$B46)*ISNUMBER(INDEX(Inputs!$K$5:$AJ$110,0,MATCH(AE$2,Inputs!$K$4:$AJ$4,0))))+SUMPRODUCT((Inputs!$C$5:$C$110=$B46)*ISNUMBER(INDEX(Inputs!$K$5:$AJ$110,0,MATCH(AE$2,Inputs!$K$4:$AJ$4,0))))+SUMPRODUCT((Inputs!$E$5:$E$110=$B46)*ISNUMBER(INDEX(Inputs!$K$5:$AJ$110,0,MATCH(AE$2,Inputs!$K$4:$AJ$4,0))))=0,NA(),SUMPRODUCT((Inputs!$A$5:$A$110=$B46)*Inputs!$B$5:$B$110*(((Inputs!$G$5:$G$110="moeda")+(Inputs!$G$5:$G$110="acoes"))*Inputs!$B$1+((Inputs!$G$5:$G$110&lt;&gt;"moeda")*(Inputs!$G$5:$G$110&lt;&gt;"acoes")))*INDEX(Inputs!$K$5:$AJ$110,0,MATCH(AE$2,Inputs!$K$4:$AJ$4,0)))+SUMPRODUCT((Inputs!$C$5:$C$110=$B46)*Inputs!$D$5:$D$110*(((Inputs!$G$5:$G$110="moeda")+(Inputs!$G$5:$G$110="acoes"))*Inputs!$B$1+((Inputs!$G$5:$G$110&lt;&gt;"moeda")*(Inputs!$G$5:$G$110&lt;&gt;"acoes")))*INDEX(Inputs!$K$5:$AJ$110,0,MATCH(AE$2,Inputs!$K$4:$AJ$4,0)))+SUMPRODUCT((Inputs!$E$5:$E$110=$B46)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6" s="6" t="e">
        <f>IF(ISNA(MATCH(AF$2,Inputs!$K$4:$AJ$4,0)),NA(),IF(SUMPRODUCT((Inputs!$A$5:$A$110=$B46)*ISNUMBER(INDEX(Inputs!$K$5:$AJ$110,0,MATCH(AF$2,Inputs!$K$4:$AJ$4,0))))+SUMPRODUCT((Inputs!$C$5:$C$110=$B46)*ISNUMBER(INDEX(Inputs!$K$5:$AJ$110,0,MATCH(AF$2,Inputs!$K$4:$AJ$4,0))))+SUMPRODUCT((Inputs!$E$5:$E$110=$B46)*ISNUMBER(INDEX(Inputs!$K$5:$AJ$110,0,MATCH(AF$2,Inputs!$K$4:$AJ$4,0))))=0,NA(),SUMPRODUCT((Inputs!$A$5:$A$110=$B46)*Inputs!$B$5:$B$110*(((Inputs!$G$5:$G$110="moeda")+(Inputs!$G$5:$G$110="acoes"))*Inputs!$B$1+((Inputs!$G$5:$G$110&lt;&gt;"moeda")*(Inputs!$G$5:$G$110&lt;&gt;"acoes")))*INDEX(Inputs!$K$5:$AJ$110,0,MATCH(AF$2,Inputs!$K$4:$AJ$4,0)))+SUMPRODUCT((Inputs!$C$5:$C$110=$B46)*Inputs!$D$5:$D$110*(((Inputs!$G$5:$G$110="moeda")+(Inputs!$G$5:$G$110="acoes"))*Inputs!$B$1+((Inputs!$G$5:$G$110&lt;&gt;"moeda")*(Inputs!$G$5:$G$110&lt;&gt;"acoes")))*INDEX(Inputs!$K$5:$AJ$110,0,MATCH(AF$2,Inputs!$K$4:$AJ$4,0)))+SUMPRODUCT((Inputs!$E$5:$E$110=$B46)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6" s="3" t="e">
        <f>AF46</f>
        <v>#N/A</v>
      </c>
      <c r="AH46" s="6">
        <f>IF(ISNA(MATCH(AH$2,Inputs!$K$4:$AJ$4,0)),NA(),IF(SUMPRODUCT((Inputs!$A$5:$A$110=$B46)*ISNUMBER(INDEX(Inputs!$K$5:$AJ$110,0,MATCH(AH$2,Inputs!$K$4:$AJ$4,0))))+SUMPRODUCT((Inputs!$C$5:$C$110=$B46)*ISNUMBER(INDEX(Inputs!$K$5:$AJ$110,0,MATCH(AH$2,Inputs!$K$4:$AJ$4,0))))+SUMPRODUCT((Inputs!$E$5:$E$110=$B46)*ISNUMBER(INDEX(Inputs!$K$5:$AJ$110,0,MATCH(AH$2,Inputs!$K$4:$AJ$4,0))))=0,NA(),SUMPRODUCT((Inputs!$A$5:$A$110=$B46)*Inputs!$B$5:$B$110*(((Inputs!$G$5:$G$110="moeda")+(Inputs!$G$5:$G$110="acoes"))*Inputs!$B$1+((Inputs!$G$5:$G$110&lt;&gt;"moeda")*(Inputs!$G$5:$G$110&lt;&gt;"acoes")))*INDEX(Inputs!$K$5:$AJ$110,0,MATCH(AH$2,Inputs!$K$4:$AJ$4,0)))+SUMPRODUCT((Inputs!$C$5:$C$110=$B46)*Inputs!$D$5:$D$110*(((Inputs!$G$5:$G$110="moeda")+(Inputs!$G$5:$G$110="acoes"))*Inputs!$B$1+((Inputs!$G$5:$G$110&lt;&gt;"moeda")*(Inputs!$G$5:$G$110&lt;&gt;"acoes")))*INDEX(Inputs!$K$5:$AJ$110,0,MATCH(AH$2,Inputs!$K$4:$AJ$4,0)))+SUMPRODUCT((Inputs!$E$5:$E$110=$B46)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6" s="6">
        <f>IF(ISNA(MATCH(AI$2,Inputs!$K$4:$AJ$4,0)),NA(),IF(SUMPRODUCT((Inputs!$A$5:$A$110=$B46)*ISNUMBER(INDEX(Inputs!$K$5:$AJ$110,0,MATCH(AI$2,Inputs!$K$4:$AJ$4,0))))+SUMPRODUCT((Inputs!$C$5:$C$110=$B46)*ISNUMBER(INDEX(Inputs!$K$5:$AJ$110,0,MATCH(AI$2,Inputs!$K$4:$AJ$4,0))))+SUMPRODUCT((Inputs!$E$5:$E$110=$B46)*ISNUMBER(INDEX(Inputs!$K$5:$AJ$110,0,MATCH(AI$2,Inputs!$K$4:$AJ$4,0))))=0,NA(),SUMPRODUCT((Inputs!$A$5:$A$110=$B46)*Inputs!$B$5:$B$110*(((Inputs!$G$5:$G$110="moeda")+(Inputs!$G$5:$G$110="acoes"))*Inputs!$B$1+((Inputs!$G$5:$G$110&lt;&gt;"moeda")*(Inputs!$G$5:$G$110&lt;&gt;"acoes")))*INDEX(Inputs!$K$5:$AJ$110,0,MATCH(AI$2,Inputs!$K$4:$AJ$4,0)))+SUMPRODUCT((Inputs!$C$5:$C$110=$B46)*Inputs!$D$5:$D$110*(((Inputs!$G$5:$G$110="moeda")+(Inputs!$G$5:$G$110="acoes"))*Inputs!$B$1+((Inputs!$G$5:$G$110&lt;&gt;"moeda")*(Inputs!$G$5:$G$110&lt;&gt;"acoes")))*INDEX(Inputs!$K$5:$AJ$110,0,MATCH(AI$2,Inputs!$K$4:$AJ$4,0)))+SUMPRODUCT((Inputs!$E$5:$E$110=$B46)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6" s="6">
        <f>IF(ISNA(MATCH(AJ$2,Inputs!$K$4:$AJ$4,0)),NA(),IF(SUMPRODUCT((Inputs!$A$5:$A$110=$B46)*ISNUMBER(INDEX(Inputs!$K$5:$AJ$110,0,MATCH(AJ$2,Inputs!$K$4:$AJ$4,0))))+SUMPRODUCT((Inputs!$C$5:$C$110=$B46)*ISNUMBER(INDEX(Inputs!$K$5:$AJ$110,0,MATCH(AJ$2,Inputs!$K$4:$AJ$4,0))))+SUMPRODUCT((Inputs!$E$5:$E$110=$B46)*ISNUMBER(INDEX(Inputs!$K$5:$AJ$110,0,MATCH(AJ$2,Inputs!$K$4:$AJ$4,0))))=0,NA(),SUMPRODUCT((Inputs!$A$5:$A$110=$B46)*Inputs!$B$5:$B$110*(((Inputs!$G$5:$G$110="moeda")+(Inputs!$G$5:$G$110="acoes"))*Inputs!$B$1+((Inputs!$G$5:$G$110&lt;&gt;"moeda")*(Inputs!$G$5:$G$110&lt;&gt;"acoes")))*INDEX(Inputs!$K$5:$AJ$110,0,MATCH(AJ$2,Inputs!$K$4:$AJ$4,0)))+SUMPRODUCT((Inputs!$C$5:$C$110=$B46)*Inputs!$D$5:$D$110*(((Inputs!$G$5:$G$110="moeda")+(Inputs!$G$5:$G$110="acoes"))*Inputs!$B$1+((Inputs!$G$5:$G$110&lt;&gt;"moeda")*(Inputs!$G$5:$G$110&lt;&gt;"acoes")))*INDEX(Inputs!$K$5:$AJ$110,0,MATCH(AJ$2,Inputs!$K$4:$AJ$4,0)))+SUMPRODUCT((Inputs!$E$5:$E$110=$B46)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6" s="6">
        <f>IF(ISNA(MATCH(AK$2,Inputs!$K$4:$AJ$4,0)),NA(),IF(SUMPRODUCT((Inputs!$A$5:$A$110=$B46)*ISNUMBER(INDEX(Inputs!$K$5:$AJ$110,0,MATCH(AK$2,Inputs!$K$4:$AJ$4,0))))+SUMPRODUCT((Inputs!$C$5:$C$110=$B46)*ISNUMBER(INDEX(Inputs!$K$5:$AJ$110,0,MATCH(AK$2,Inputs!$K$4:$AJ$4,0))))+SUMPRODUCT((Inputs!$E$5:$E$110=$B46)*ISNUMBER(INDEX(Inputs!$K$5:$AJ$110,0,MATCH(AK$2,Inputs!$K$4:$AJ$4,0))))=0,NA(),SUMPRODUCT((Inputs!$A$5:$A$110=$B46)*Inputs!$B$5:$B$110*(((Inputs!$G$5:$G$110="moeda")+(Inputs!$G$5:$G$110="acoes"))*Inputs!$B$1+((Inputs!$G$5:$G$110&lt;&gt;"moeda")*(Inputs!$G$5:$G$110&lt;&gt;"acoes")))*INDEX(Inputs!$K$5:$AJ$110,0,MATCH(AK$2,Inputs!$K$4:$AJ$4,0)))+SUMPRODUCT((Inputs!$C$5:$C$110=$B46)*Inputs!$D$5:$D$110*(((Inputs!$G$5:$G$110="moeda")+(Inputs!$G$5:$G$110="acoes"))*Inputs!$B$1+((Inputs!$G$5:$G$110&lt;&gt;"moeda")*(Inputs!$G$5:$G$110&lt;&gt;"acoes")))*INDEX(Inputs!$K$5:$AJ$110,0,MATCH(AK$2,Inputs!$K$4:$AJ$4,0)))+SUMPRODUCT((Inputs!$E$5:$E$110=$B46)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6" s="3">
        <f>AK46</f>
        <v>0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$110=$B47)*ISNUMBER(INDEX(Inputs!$K$5:$AJ$110,0,MATCH(D$2,Inputs!$K$4:$AJ$4,0))))+SUMPRODUCT((Inputs!$C$5:$C$110=$B47)*ISNUMBER(INDEX(Inputs!$K$5:$AJ$110,0,MATCH(D$2,Inputs!$K$4:$AJ$4,0))))+SUMPRODUCT((Inputs!$E$5:$E$110=$B47)*ISNUMBER(INDEX(Inputs!$K$5:$AJ$110,0,MATCH(D$2,Inputs!$K$4:$AJ$4,0))))=0,NA(),SUMPRODUCT((Inputs!$A$5:$A$110=$B47)*Inputs!$B$5:$B$110*(((Inputs!$G$5:$G$110="moeda")+(Inputs!$G$5:$G$110="acoes"))*Inputs!$B$1+((Inputs!$G$5:$G$110&lt;&gt;"moeda")*(Inputs!$G$5:$G$110&lt;&gt;"acoes")))*INDEX(Inputs!$K$5:$AJ$110,0,MATCH(D$2,Inputs!$K$4:$AJ$4,0)))+SUMPRODUCT((Inputs!$C$5:$C$110=$B47)*Inputs!$D$5:$D$110*(((Inputs!$G$5:$G$110="moeda")+(Inputs!$G$5:$G$110="acoes"))*Inputs!$B$1+((Inputs!$G$5:$G$110&lt;&gt;"moeda")*(Inputs!$G$5:$G$110&lt;&gt;"acoes")))*INDEX(Inputs!$K$5:$AJ$110,0,MATCH(D$2,Inputs!$K$4:$AJ$4,0)))+SUMPRODUCT((Inputs!$E$5:$E$110=$B47)*Inputs!$F$5:$F$110*(((Inputs!$G$5:$G$110="moeda")+(Inputs!$G$5:$G$110="acoes"))*Inputs!$B$1+((Inputs!$G$5:$G$110&lt;&gt;"moeda")*(Inputs!$G$5:$G$110&lt;&gt;"acoes")))*INDEX(Inputs!$K$5:$AJ$110,0,MATCH(D$2,Inputs!$K$4:$AJ$4,0)))))</f>
        <v>170580</v>
      </c>
      <c r="E47" s="6">
        <f>IF(ISNA(MATCH(E$2,Inputs!$K$4:$AJ$4,0)),NA(),IF(SUMPRODUCT((Inputs!$A$5:$A$110=$B47)*ISNUMBER(INDEX(Inputs!$K$5:$AJ$110,0,MATCH(E$2,Inputs!$K$4:$AJ$4,0))))+SUMPRODUCT((Inputs!$C$5:$C$110=$B47)*ISNUMBER(INDEX(Inputs!$K$5:$AJ$110,0,MATCH(E$2,Inputs!$K$4:$AJ$4,0))))+SUMPRODUCT((Inputs!$E$5:$E$110=$B47)*ISNUMBER(INDEX(Inputs!$K$5:$AJ$110,0,MATCH(E$2,Inputs!$K$4:$AJ$4,0))))=0,NA(),SUMPRODUCT((Inputs!$A$5:$A$110=$B47)*Inputs!$B$5:$B$110*(((Inputs!$G$5:$G$110="moeda")+(Inputs!$G$5:$G$110="acoes"))*Inputs!$B$1+((Inputs!$G$5:$G$110&lt;&gt;"moeda")*(Inputs!$G$5:$G$110&lt;&gt;"acoes")))*INDEX(Inputs!$K$5:$AJ$110,0,MATCH(E$2,Inputs!$K$4:$AJ$4,0)))+SUMPRODUCT((Inputs!$C$5:$C$110=$B47)*Inputs!$D$5:$D$110*(((Inputs!$G$5:$G$110="moeda")+(Inputs!$G$5:$G$110="acoes"))*Inputs!$B$1+((Inputs!$G$5:$G$110&lt;&gt;"moeda")*(Inputs!$G$5:$G$110&lt;&gt;"acoes")))*INDEX(Inputs!$K$5:$AJ$110,0,MATCH(E$2,Inputs!$K$4:$AJ$4,0)))+SUMPRODUCT((Inputs!$E$5:$E$110=$B47)*Inputs!$F$5:$F$110*(((Inputs!$G$5:$G$110="moeda")+(Inputs!$G$5:$G$110="acoes"))*Inputs!$B$1+((Inputs!$G$5:$G$110&lt;&gt;"moeda")*(Inputs!$G$5:$G$110&lt;&gt;"acoes")))*INDEX(Inputs!$K$5:$AJ$110,0,MATCH(E$2,Inputs!$K$4:$AJ$4,0)))))</f>
        <v>176939</v>
      </c>
      <c r="F47" s="6">
        <f>IF(ISNA(MATCH(F$2,Inputs!$K$4:$AJ$4,0)),NA(),IF(SUMPRODUCT((Inputs!$A$5:$A$110=$B47)*ISNUMBER(INDEX(Inputs!$K$5:$AJ$110,0,MATCH(F$2,Inputs!$K$4:$AJ$4,0))))+SUMPRODUCT((Inputs!$C$5:$C$110=$B47)*ISNUMBER(INDEX(Inputs!$K$5:$AJ$110,0,MATCH(F$2,Inputs!$K$4:$AJ$4,0))))+SUMPRODUCT((Inputs!$E$5:$E$110=$B47)*ISNUMBER(INDEX(Inputs!$K$5:$AJ$110,0,MATCH(F$2,Inputs!$K$4:$AJ$4,0))))=0,NA(),SUMPRODUCT((Inputs!$A$5:$A$110=$B47)*Inputs!$B$5:$B$110*(((Inputs!$G$5:$G$110="moeda")+(Inputs!$G$5:$G$110="acoes"))*Inputs!$B$1+((Inputs!$G$5:$G$110&lt;&gt;"moeda")*(Inputs!$G$5:$G$110&lt;&gt;"acoes")))*INDEX(Inputs!$K$5:$AJ$110,0,MATCH(F$2,Inputs!$K$4:$AJ$4,0)))+SUMPRODUCT((Inputs!$C$5:$C$110=$B47)*Inputs!$D$5:$D$110*(((Inputs!$G$5:$G$110="moeda")+(Inputs!$G$5:$G$110="acoes"))*Inputs!$B$1+((Inputs!$G$5:$G$110&lt;&gt;"moeda")*(Inputs!$G$5:$G$110&lt;&gt;"acoes")))*INDEX(Inputs!$K$5:$AJ$110,0,MATCH(F$2,Inputs!$K$4:$AJ$4,0)))+SUMPRODUCT((Inputs!$E$5:$E$110=$B47)*Inputs!$F$5:$F$110*(((Inputs!$G$5:$G$110="moeda")+(Inputs!$G$5:$G$110="acoes"))*Inputs!$B$1+((Inputs!$G$5:$G$110&lt;&gt;"moeda")*(Inputs!$G$5:$G$110&lt;&gt;"acoes")))*INDEX(Inputs!$K$5:$AJ$110,0,MATCH(F$2,Inputs!$K$4:$AJ$4,0)))))</f>
        <v>183782</v>
      </c>
      <c r="G47" s="6">
        <f>IF(ISNA(MATCH(G$2,Inputs!$K$4:$AJ$4,0)),NA(),IF(SUMPRODUCT((Inputs!$A$5:$A$110=$B47)*ISNUMBER(INDEX(Inputs!$K$5:$AJ$110,0,MATCH(G$2,Inputs!$K$4:$AJ$4,0))))+SUMPRODUCT((Inputs!$C$5:$C$110=$B47)*ISNUMBER(INDEX(Inputs!$K$5:$AJ$110,0,MATCH(G$2,Inputs!$K$4:$AJ$4,0))))+SUMPRODUCT((Inputs!$E$5:$E$110=$B47)*ISNUMBER(INDEX(Inputs!$K$5:$AJ$110,0,MATCH(G$2,Inputs!$K$4:$AJ$4,0))))=0,NA(),SUMPRODUCT((Inputs!$A$5:$A$110=$B47)*Inputs!$B$5:$B$110*(((Inputs!$G$5:$G$110="moeda")+(Inputs!$G$5:$G$110="acoes"))*Inputs!$B$1+((Inputs!$G$5:$G$110&lt;&gt;"moeda")*(Inputs!$G$5:$G$110&lt;&gt;"acoes")))*INDEX(Inputs!$K$5:$AJ$110,0,MATCH(G$2,Inputs!$K$4:$AJ$4,0)))+SUMPRODUCT((Inputs!$C$5:$C$110=$B47)*Inputs!$D$5:$D$110*(((Inputs!$G$5:$G$110="moeda")+(Inputs!$G$5:$G$110="acoes"))*Inputs!$B$1+((Inputs!$G$5:$G$110&lt;&gt;"moeda")*(Inputs!$G$5:$G$110&lt;&gt;"acoes")))*INDEX(Inputs!$K$5:$AJ$110,0,MATCH(G$2,Inputs!$K$4:$AJ$4,0)))+SUMPRODUCT((Inputs!$E$5:$E$110=$B47)*Inputs!$F$5:$F$110*(((Inputs!$G$5:$G$110="moeda")+(Inputs!$G$5:$G$110="acoes"))*Inputs!$B$1+((Inputs!$G$5:$G$110&lt;&gt;"moeda")*(Inputs!$G$5:$G$110&lt;&gt;"acoes")))*INDEX(Inputs!$K$5:$AJ$110,0,MATCH(G$2,Inputs!$K$4:$AJ$4,0)))))</f>
        <v>191484</v>
      </c>
      <c r="H47" s="3">
        <f>G47</f>
        <v>191484</v>
      </c>
      <c r="I47" s="6">
        <f>IF(ISNA(MATCH(I$2,Inputs!$K$4:$AJ$4,0)),NA(),IF(SUMPRODUCT((Inputs!$A$5:$A$110=$B47)*ISNUMBER(INDEX(Inputs!$K$5:$AJ$110,0,MATCH(I$2,Inputs!$K$4:$AJ$4,0))))+SUMPRODUCT((Inputs!$C$5:$C$110=$B47)*ISNUMBER(INDEX(Inputs!$K$5:$AJ$110,0,MATCH(I$2,Inputs!$K$4:$AJ$4,0))))+SUMPRODUCT((Inputs!$E$5:$E$110=$B47)*ISNUMBER(INDEX(Inputs!$K$5:$AJ$110,0,MATCH(I$2,Inputs!$K$4:$AJ$4,0))))=0,NA(),SUMPRODUCT((Inputs!$A$5:$A$110=$B47)*Inputs!$B$5:$B$110*(((Inputs!$G$5:$G$110="moeda")+(Inputs!$G$5:$G$110="acoes"))*Inputs!$B$1+((Inputs!$G$5:$G$110&lt;&gt;"moeda")*(Inputs!$G$5:$G$110&lt;&gt;"acoes")))*INDEX(Inputs!$K$5:$AJ$110,0,MATCH(I$2,Inputs!$K$4:$AJ$4,0)))+SUMPRODUCT((Inputs!$C$5:$C$110=$B47)*Inputs!$D$5:$D$110*(((Inputs!$G$5:$G$110="moeda")+(Inputs!$G$5:$G$110="acoes"))*Inputs!$B$1+((Inputs!$G$5:$G$110&lt;&gt;"moeda")*(Inputs!$G$5:$G$110&lt;&gt;"acoes")))*INDEX(Inputs!$K$5:$AJ$110,0,MATCH(I$2,Inputs!$K$4:$AJ$4,0)))+SUMPRODUCT((Inputs!$E$5:$E$110=$B47)*Inputs!$F$5:$F$110*(((Inputs!$G$5:$G$110="moeda")+(Inputs!$G$5:$G$110="acoes"))*Inputs!$B$1+((Inputs!$G$5:$G$110&lt;&gt;"moeda")*(Inputs!$G$5:$G$110&lt;&gt;"acoes")))*INDEX(Inputs!$K$5:$AJ$110,0,MATCH(I$2,Inputs!$K$4:$AJ$4,0)))))</f>
        <v>195221</v>
      </c>
      <c r="J47" s="6">
        <f>IF(ISNA(MATCH(J$2,Inputs!$K$4:$AJ$4,0)),NA(),IF(SUMPRODUCT((Inputs!$A$5:$A$110=$B47)*ISNUMBER(INDEX(Inputs!$K$5:$AJ$110,0,MATCH(J$2,Inputs!$K$4:$AJ$4,0))))+SUMPRODUCT((Inputs!$C$5:$C$110=$B47)*ISNUMBER(INDEX(Inputs!$K$5:$AJ$110,0,MATCH(J$2,Inputs!$K$4:$AJ$4,0))))+SUMPRODUCT((Inputs!$E$5:$E$110=$B47)*ISNUMBER(INDEX(Inputs!$K$5:$AJ$110,0,MATCH(J$2,Inputs!$K$4:$AJ$4,0))))=0,NA(),SUMPRODUCT((Inputs!$A$5:$A$110=$B47)*Inputs!$B$5:$B$110*(((Inputs!$G$5:$G$110="moeda")+(Inputs!$G$5:$G$110="acoes"))*Inputs!$B$1+((Inputs!$G$5:$G$110&lt;&gt;"moeda")*(Inputs!$G$5:$G$110&lt;&gt;"acoes")))*INDEX(Inputs!$K$5:$AJ$110,0,MATCH(J$2,Inputs!$K$4:$AJ$4,0)))+SUMPRODUCT((Inputs!$C$5:$C$110=$B47)*Inputs!$D$5:$D$110*(((Inputs!$G$5:$G$110="moeda")+(Inputs!$G$5:$G$110="acoes"))*Inputs!$B$1+((Inputs!$G$5:$G$110&lt;&gt;"moeda")*(Inputs!$G$5:$G$110&lt;&gt;"acoes")))*INDEX(Inputs!$K$5:$AJ$110,0,MATCH(J$2,Inputs!$K$4:$AJ$4,0)))+SUMPRODUCT((Inputs!$E$5:$E$110=$B47)*Inputs!$F$5:$F$110*(((Inputs!$G$5:$G$110="moeda")+(Inputs!$G$5:$G$110="acoes"))*Inputs!$B$1+((Inputs!$G$5:$G$110&lt;&gt;"moeda")*(Inputs!$G$5:$G$110&lt;&gt;"acoes")))*INDEX(Inputs!$K$5:$AJ$110,0,MATCH(J$2,Inputs!$K$4:$AJ$4,0)))))</f>
        <v>196845</v>
      </c>
      <c r="K47" s="6">
        <f>IF(ISNA(MATCH(K$2,Inputs!$K$4:$AJ$4,0)),NA(),IF(SUMPRODUCT((Inputs!$A$5:$A$110=$B47)*ISNUMBER(INDEX(Inputs!$K$5:$AJ$110,0,MATCH(K$2,Inputs!$K$4:$AJ$4,0))))+SUMPRODUCT((Inputs!$C$5:$C$110=$B47)*ISNUMBER(INDEX(Inputs!$K$5:$AJ$110,0,MATCH(K$2,Inputs!$K$4:$AJ$4,0))))+SUMPRODUCT((Inputs!$E$5:$E$110=$B47)*ISNUMBER(INDEX(Inputs!$K$5:$AJ$110,0,MATCH(K$2,Inputs!$K$4:$AJ$4,0))))=0,NA(),SUMPRODUCT((Inputs!$A$5:$A$110=$B47)*Inputs!$B$5:$B$110*(((Inputs!$G$5:$G$110="moeda")+(Inputs!$G$5:$G$110="acoes"))*Inputs!$B$1+((Inputs!$G$5:$G$110&lt;&gt;"moeda")*(Inputs!$G$5:$G$110&lt;&gt;"acoes")))*INDEX(Inputs!$K$5:$AJ$110,0,MATCH(K$2,Inputs!$K$4:$AJ$4,0)))+SUMPRODUCT((Inputs!$C$5:$C$110=$B47)*Inputs!$D$5:$D$110*(((Inputs!$G$5:$G$110="moeda")+(Inputs!$G$5:$G$110="acoes"))*Inputs!$B$1+((Inputs!$G$5:$G$110&lt;&gt;"moeda")*(Inputs!$G$5:$G$110&lt;&gt;"acoes")))*INDEX(Inputs!$K$5:$AJ$110,0,MATCH(K$2,Inputs!$K$4:$AJ$4,0)))+SUMPRODUCT((Inputs!$E$5:$E$110=$B47)*Inputs!$F$5:$F$110*(((Inputs!$G$5:$G$110="moeda")+(Inputs!$G$5:$G$110="acoes"))*Inputs!$B$1+((Inputs!$G$5:$G$110&lt;&gt;"moeda")*(Inputs!$G$5:$G$110&lt;&gt;"acoes")))*INDEX(Inputs!$K$5:$AJ$110,0,MATCH(K$2,Inputs!$K$4:$AJ$4,0)))))</f>
        <v>196220</v>
      </c>
      <c r="L47" s="6">
        <f>IF(ISNA(MATCH(L$2,Inputs!$K$4:$AJ$4,0)),NA(),IF(SUMPRODUCT((Inputs!$A$5:$A$110=$B47)*ISNUMBER(INDEX(Inputs!$K$5:$AJ$110,0,MATCH(L$2,Inputs!$K$4:$AJ$4,0))))+SUMPRODUCT((Inputs!$C$5:$C$110=$B47)*ISNUMBER(INDEX(Inputs!$K$5:$AJ$110,0,MATCH(L$2,Inputs!$K$4:$AJ$4,0))))+SUMPRODUCT((Inputs!$E$5:$E$110=$B47)*ISNUMBER(INDEX(Inputs!$K$5:$AJ$110,0,MATCH(L$2,Inputs!$K$4:$AJ$4,0))))=0,NA(),SUMPRODUCT((Inputs!$A$5:$A$110=$B47)*Inputs!$B$5:$B$110*(((Inputs!$G$5:$G$110="moeda")+(Inputs!$G$5:$G$110="acoes"))*Inputs!$B$1+((Inputs!$G$5:$G$110&lt;&gt;"moeda")*(Inputs!$G$5:$G$110&lt;&gt;"acoes")))*INDEX(Inputs!$K$5:$AJ$110,0,MATCH(L$2,Inputs!$K$4:$AJ$4,0)))+SUMPRODUCT((Inputs!$C$5:$C$110=$B47)*Inputs!$D$5:$D$110*(((Inputs!$G$5:$G$110="moeda")+(Inputs!$G$5:$G$110="acoes"))*Inputs!$B$1+((Inputs!$G$5:$G$110&lt;&gt;"moeda")*(Inputs!$G$5:$G$110&lt;&gt;"acoes")))*INDEX(Inputs!$K$5:$AJ$110,0,MATCH(L$2,Inputs!$K$4:$AJ$4,0)))+SUMPRODUCT((Inputs!$E$5:$E$110=$B47)*Inputs!$F$5:$F$110*(((Inputs!$G$5:$G$110="moeda")+(Inputs!$G$5:$G$110="acoes"))*Inputs!$B$1+((Inputs!$G$5:$G$110&lt;&gt;"moeda")*(Inputs!$G$5:$G$110&lt;&gt;"acoes")))*INDEX(Inputs!$K$5:$AJ$110,0,MATCH(L$2,Inputs!$K$4:$AJ$4,0)))))</f>
        <v>195563</v>
      </c>
      <c r="M47" s="3">
        <f>L47</f>
        <v>195563</v>
      </c>
      <c r="N47" s="6">
        <f>IF(ISNA(MATCH(N$2,Inputs!$K$4:$AJ$4,0)),NA(),IF(SUMPRODUCT((Inputs!$A$5:$A$110=$B47)*ISNUMBER(INDEX(Inputs!$K$5:$AJ$110,0,MATCH(N$2,Inputs!$K$4:$AJ$4,0))))+SUMPRODUCT((Inputs!$C$5:$C$110=$B47)*ISNUMBER(INDEX(Inputs!$K$5:$AJ$110,0,MATCH(N$2,Inputs!$K$4:$AJ$4,0))))+SUMPRODUCT((Inputs!$E$5:$E$110=$B47)*ISNUMBER(INDEX(Inputs!$K$5:$AJ$110,0,MATCH(N$2,Inputs!$K$4:$AJ$4,0))))=0,NA(),SUMPRODUCT((Inputs!$A$5:$A$110=$B47)*Inputs!$B$5:$B$110*(((Inputs!$G$5:$G$110="moeda")+(Inputs!$G$5:$G$110="acoes"))*Inputs!$B$1+((Inputs!$G$5:$G$110&lt;&gt;"moeda")*(Inputs!$G$5:$G$110&lt;&gt;"acoes")))*INDEX(Inputs!$K$5:$AJ$110,0,MATCH(N$2,Inputs!$K$4:$AJ$4,0)))+SUMPRODUCT((Inputs!$C$5:$C$110=$B47)*Inputs!$D$5:$D$110*(((Inputs!$G$5:$G$110="moeda")+(Inputs!$G$5:$G$110="acoes"))*Inputs!$B$1+((Inputs!$G$5:$G$110&lt;&gt;"moeda")*(Inputs!$G$5:$G$110&lt;&gt;"acoes")))*INDEX(Inputs!$K$5:$AJ$110,0,MATCH(N$2,Inputs!$K$4:$AJ$4,0)))+SUMPRODUCT((Inputs!$E$5:$E$110=$B47)*Inputs!$F$5:$F$110*(((Inputs!$G$5:$G$110="moeda")+(Inputs!$G$5:$G$110="acoes"))*Inputs!$B$1+((Inputs!$G$5:$G$110&lt;&gt;"moeda")*(Inputs!$G$5:$G$110&lt;&gt;"acoes")))*INDEX(Inputs!$K$5:$AJ$110,0,MATCH(N$2,Inputs!$K$4:$AJ$4,0)))))</f>
        <v>196625</v>
      </c>
      <c r="O47" s="6">
        <f>IF(ISNA(MATCH(O$2,Inputs!$K$4:$AJ$4,0)),NA(),IF(SUMPRODUCT((Inputs!$A$5:$A$110=$B47)*ISNUMBER(INDEX(Inputs!$K$5:$AJ$110,0,MATCH(O$2,Inputs!$K$4:$AJ$4,0))))+SUMPRODUCT((Inputs!$C$5:$C$110=$B47)*ISNUMBER(INDEX(Inputs!$K$5:$AJ$110,0,MATCH(O$2,Inputs!$K$4:$AJ$4,0))))+SUMPRODUCT((Inputs!$E$5:$E$110=$B47)*ISNUMBER(INDEX(Inputs!$K$5:$AJ$110,0,MATCH(O$2,Inputs!$K$4:$AJ$4,0))))=0,NA(),SUMPRODUCT((Inputs!$A$5:$A$110=$B47)*Inputs!$B$5:$B$110*(((Inputs!$G$5:$G$110="moeda")+(Inputs!$G$5:$G$110="acoes"))*Inputs!$B$1+((Inputs!$G$5:$G$110&lt;&gt;"moeda")*(Inputs!$G$5:$G$110&lt;&gt;"acoes")))*INDEX(Inputs!$K$5:$AJ$110,0,MATCH(O$2,Inputs!$K$4:$AJ$4,0)))+SUMPRODUCT((Inputs!$C$5:$C$110=$B47)*Inputs!$D$5:$D$110*(((Inputs!$G$5:$G$110="moeda")+(Inputs!$G$5:$G$110="acoes"))*Inputs!$B$1+((Inputs!$G$5:$G$110&lt;&gt;"moeda")*(Inputs!$G$5:$G$110&lt;&gt;"acoes")))*INDEX(Inputs!$K$5:$AJ$110,0,MATCH(O$2,Inputs!$K$4:$AJ$4,0)))+SUMPRODUCT((Inputs!$E$5:$E$110=$B47)*Inputs!$F$5:$F$110*(((Inputs!$G$5:$G$110="moeda")+(Inputs!$G$5:$G$110="acoes"))*Inputs!$B$1+((Inputs!$G$5:$G$110&lt;&gt;"moeda")*(Inputs!$G$5:$G$110&lt;&gt;"acoes")))*INDEX(Inputs!$K$5:$AJ$110,0,MATCH(O$2,Inputs!$K$4:$AJ$4,0)))))</f>
        <v>200884</v>
      </c>
      <c r="P47" s="6">
        <f>IF(ISNA(MATCH(P$2,Inputs!$K$4:$AJ$4,0)),NA(),IF(SUMPRODUCT((Inputs!$A$5:$A$110=$B47)*ISNUMBER(INDEX(Inputs!$K$5:$AJ$110,0,MATCH(P$2,Inputs!$K$4:$AJ$4,0))))+SUMPRODUCT((Inputs!$C$5:$C$110=$B47)*ISNUMBER(INDEX(Inputs!$K$5:$AJ$110,0,MATCH(P$2,Inputs!$K$4:$AJ$4,0))))+SUMPRODUCT((Inputs!$E$5:$E$110=$B47)*ISNUMBER(INDEX(Inputs!$K$5:$AJ$110,0,MATCH(P$2,Inputs!$K$4:$AJ$4,0))))=0,NA(),SUMPRODUCT((Inputs!$A$5:$A$110=$B47)*Inputs!$B$5:$B$110*(((Inputs!$G$5:$G$110="moeda")+(Inputs!$G$5:$G$110="acoes"))*Inputs!$B$1+((Inputs!$G$5:$G$110&lt;&gt;"moeda")*(Inputs!$G$5:$G$110&lt;&gt;"acoes")))*INDEX(Inputs!$K$5:$AJ$110,0,MATCH(P$2,Inputs!$K$4:$AJ$4,0)))+SUMPRODUCT((Inputs!$C$5:$C$110=$B47)*Inputs!$D$5:$D$110*(((Inputs!$G$5:$G$110="moeda")+(Inputs!$G$5:$G$110="acoes"))*Inputs!$B$1+((Inputs!$G$5:$G$110&lt;&gt;"moeda")*(Inputs!$G$5:$G$110&lt;&gt;"acoes")))*INDEX(Inputs!$K$5:$AJ$110,0,MATCH(P$2,Inputs!$K$4:$AJ$4,0)))+SUMPRODUCT((Inputs!$E$5:$E$110=$B47)*Inputs!$F$5:$F$110*(((Inputs!$G$5:$G$110="moeda")+(Inputs!$G$5:$G$110="acoes"))*Inputs!$B$1+((Inputs!$G$5:$G$110&lt;&gt;"moeda")*(Inputs!$G$5:$G$110&lt;&gt;"acoes")))*INDEX(Inputs!$K$5:$AJ$110,0,MATCH(P$2,Inputs!$K$4:$AJ$4,0)))))</f>
        <v>205647</v>
      </c>
      <c r="Q47" s="6">
        <f>IF(ISNA(MATCH(Q$2,Inputs!$K$4:$AJ$4,0)),NA(),IF(SUMPRODUCT((Inputs!$A$5:$A$110=$B47)*ISNUMBER(INDEX(Inputs!$K$5:$AJ$110,0,MATCH(Q$2,Inputs!$K$4:$AJ$4,0))))+SUMPRODUCT((Inputs!$C$5:$C$110=$B47)*ISNUMBER(INDEX(Inputs!$K$5:$AJ$110,0,MATCH(Q$2,Inputs!$K$4:$AJ$4,0))))+SUMPRODUCT((Inputs!$E$5:$E$110=$B47)*ISNUMBER(INDEX(Inputs!$K$5:$AJ$110,0,MATCH(Q$2,Inputs!$K$4:$AJ$4,0))))=0,NA(),SUMPRODUCT((Inputs!$A$5:$A$110=$B47)*Inputs!$B$5:$B$110*(((Inputs!$G$5:$G$110="moeda")+(Inputs!$G$5:$G$110="acoes"))*Inputs!$B$1+((Inputs!$G$5:$G$110&lt;&gt;"moeda")*(Inputs!$G$5:$G$110&lt;&gt;"acoes")))*INDEX(Inputs!$K$5:$AJ$110,0,MATCH(Q$2,Inputs!$K$4:$AJ$4,0)))+SUMPRODUCT((Inputs!$C$5:$C$110=$B47)*Inputs!$D$5:$D$110*(((Inputs!$G$5:$G$110="moeda")+(Inputs!$G$5:$G$110="acoes"))*Inputs!$B$1+((Inputs!$G$5:$G$110&lt;&gt;"moeda")*(Inputs!$G$5:$G$110&lt;&gt;"acoes")))*INDEX(Inputs!$K$5:$AJ$110,0,MATCH(Q$2,Inputs!$K$4:$AJ$4,0)))+SUMPRODUCT((Inputs!$E$5:$E$110=$B47)*Inputs!$F$5:$F$110*(((Inputs!$G$5:$G$110="moeda")+(Inputs!$G$5:$G$110="acoes"))*Inputs!$B$1+((Inputs!$G$5:$G$110&lt;&gt;"moeda")*(Inputs!$G$5:$G$110&lt;&gt;"acoes")))*INDEX(Inputs!$K$5:$AJ$110,0,MATCH(Q$2,Inputs!$K$4:$AJ$4,0)))))</f>
        <v>211247</v>
      </c>
      <c r="R47" s="3">
        <f>Q47</f>
        <v>211247</v>
      </c>
      <c r="S47" s="6">
        <f>IF(ISNA(MATCH(S$2,Inputs!$K$4:$AJ$4,0)),NA(),IF(SUMPRODUCT((Inputs!$A$5:$A$110=$B47)*ISNUMBER(INDEX(Inputs!$K$5:$AJ$110,0,MATCH(S$2,Inputs!$K$4:$AJ$4,0))))+SUMPRODUCT((Inputs!$C$5:$C$110=$B47)*ISNUMBER(INDEX(Inputs!$K$5:$AJ$110,0,MATCH(S$2,Inputs!$K$4:$AJ$4,0))))+SUMPRODUCT((Inputs!$E$5:$E$110=$B47)*ISNUMBER(INDEX(Inputs!$K$5:$AJ$110,0,MATCH(S$2,Inputs!$K$4:$AJ$4,0))))=0,NA(),SUMPRODUCT((Inputs!$A$5:$A$110=$B47)*Inputs!$B$5:$B$110*(((Inputs!$G$5:$G$110="moeda")+(Inputs!$G$5:$G$110="acoes"))*Inputs!$B$1+((Inputs!$G$5:$G$110&lt;&gt;"moeda")*(Inputs!$G$5:$G$110&lt;&gt;"acoes")))*INDEX(Inputs!$K$5:$AJ$110,0,MATCH(S$2,Inputs!$K$4:$AJ$4,0)))+SUMPRODUCT((Inputs!$C$5:$C$110=$B47)*Inputs!$D$5:$D$110*(((Inputs!$G$5:$G$110="moeda")+(Inputs!$G$5:$G$110="acoes"))*Inputs!$B$1+((Inputs!$G$5:$G$110&lt;&gt;"moeda")*(Inputs!$G$5:$G$110&lt;&gt;"acoes")))*INDEX(Inputs!$K$5:$AJ$110,0,MATCH(S$2,Inputs!$K$4:$AJ$4,0)))+SUMPRODUCT((Inputs!$E$5:$E$110=$B47)*Inputs!$F$5:$F$110*(((Inputs!$G$5:$G$110="moeda")+(Inputs!$G$5:$G$110="acoes"))*Inputs!$B$1+((Inputs!$G$5:$G$110&lt;&gt;"moeda")*(Inputs!$G$5:$G$110&lt;&gt;"acoes")))*INDEX(Inputs!$K$5:$AJ$110,0,MATCH(S$2,Inputs!$K$4:$AJ$4,0)))))</f>
        <v>219770</v>
      </c>
      <c r="T47" s="6">
        <f>IF(ISNA(MATCH(T$2,Inputs!$K$4:$AJ$4,0)),NA(),IF(SUMPRODUCT((Inputs!$A$5:$A$110=$B47)*ISNUMBER(INDEX(Inputs!$K$5:$AJ$110,0,MATCH(T$2,Inputs!$K$4:$AJ$4,0))))+SUMPRODUCT((Inputs!$C$5:$C$110=$B47)*ISNUMBER(INDEX(Inputs!$K$5:$AJ$110,0,MATCH(T$2,Inputs!$K$4:$AJ$4,0))))+SUMPRODUCT((Inputs!$E$5:$E$110=$B47)*ISNUMBER(INDEX(Inputs!$K$5:$AJ$110,0,MATCH(T$2,Inputs!$K$4:$AJ$4,0))))=0,NA(),SUMPRODUCT((Inputs!$A$5:$A$110=$B47)*Inputs!$B$5:$B$110*(((Inputs!$G$5:$G$110="moeda")+(Inputs!$G$5:$G$110="acoes"))*Inputs!$B$1+((Inputs!$G$5:$G$110&lt;&gt;"moeda")*(Inputs!$G$5:$G$110&lt;&gt;"acoes")))*INDEX(Inputs!$K$5:$AJ$110,0,MATCH(T$2,Inputs!$K$4:$AJ$4,0)))+SUMPRODUCT((Inputs!$C$5:$C$110=$B47)*Inputs!$D$5:$D$110*(((Inputs!$G$5:$G$110="moeda")+(Inputs!$G$5:$G$110="acoes"))*Inputs!$B$1+((Inputs!$G$5:$G$110&lt;&gt;"moeda")*(Inputs!$G$5:$G$110&lt;&gt;"acoes")))*INDEX(Inputs!$K$5:$AJ$110,0,MATCH(T$2,Inputs!$K$4:$AJ$4,0)))+SUMPRODUCT((Inputs!$E$5:$E$110=$B47)*Inputs!$F$5:$F$110*(((Inputs!$G$5:$G$110="moeda")+(Inputs!$G$5:$G$110="acoes"))*Inputs!$B$1+((Inputs!$G$5:$G$110&lt;&gt;"moeda")*(Inputs!$G$5:$G$110&lt;&gt;"acoes")))*INDEX(Inputs!$K$5:$AJ$110,0,MATCH(T$2,Inputs!$K$4:$AJ$4,0)))))</f>
        <v>226033</v>
      </c>
      <c r="U47" s="6">
        <f>IF(ISNA(MATCH(U$2,Inputs!$K$4:$AJ$4,0)),NA(),IF(SUMPRODUCT((Inputs!$A$5:$A$110=$B47)*ISNUMBER(INDEX(Inputs!$K$5:$AJ$110,0,MATCH(U$2,Inputs!$K$4:$AJ$4,0))))+SUMPRODUCT((Inputs!$C$5:$C$110=$B47)*ISNUMBER(INDEX(Inputs!$K$5:$AJ$110,0,MATCH(U$2,Inputs!$K$4:$AJ$4,0))))+SUMPRODUCT((Inputs!$E$5:$E$110=$B47)*ISNUMBER(INDEX(Inputs!$K$5:$AJ$110,0,MATCH(U$2,Inputs!$K$4:$AJ$4,0))))=0,NA(),SUMPRODUCT((Inputs!$A$5:$A$110=$B47)*Inputs!$B$5:$B$110*(((Inputs!$G$5:$G$110="moeda")+(Inputs!$G$5:$G$110="acoes"))*Inputs!$B$1+((Inputs!$G$5:$G$110&lt;&gt;"moeda")*(Inputs!$G$5:$G$110&lt;&gt;"acoes")))*INDEX(Inputs!$K$5:$AJ$110,0,MATCH(U$2,Inputs!$K$4:$AJ$4,0)))+SUMPRODUCT((Inputs!$C$5:$C$110=$B47)*Inputs!$D$5:$D$110*(((Inputs!$G$5:$G$110="moeda")+(Inputs!$G$5:$G$110="acoes"))*Inputs!$B$1+((Inputs!$G$5:$G$110&lt;&gt;"moeda")*(Inputs!$G$5:$G$110&lt;&gt;"acoes")))*INDEX(Inputs!$K$5:$AJ$110,0,MATCH(U$2,Inputs!$K$4:$AJ$4,0)))+SUMPRODUCT((Inputs!$E$5:$E$110=$B47)*Inputs!$F$5:$F$110*(((Inputs!$G$5:$G$110="moeda")+(Inputs!$G$5:$G$110="acoes"))*Inputs!$B$1+((Inputs!$G$5:$G$110&lt;&gt;"moeda")*(Inputs!$G$5:$G$110&lt;&gt;"acoes")))*INDEX(Inputs!$K$5:$AJ$110,0,MATCH(U$2,Inputs!$K$4:$AJ$4,0)))))</f>
        <v>235317</v>
      </c>
      <c r="V47" s="6">
        <f>IF(ISNA(MATCH(V$2,Inputs!$K$4:$AJ$4,0)),NA(),IF(SUMPRODUCT((Inputs!$A$5:$A$110=$B47)*ISNUMBER(INDEX(Inputs!$K$5:$AJ$110,0,MATCH(V$2,Inputs!$K$4:$AJ$4,0))))+SUMPRODUCT((Inputs!$C$5:$C$110=$B47)*ISNUMBER(INDEX(Inputs!$K$5:$AJ$110,0,MATCH(V$2,Inputs!$K$4:$AJ$4,0))))+SUMPRODUCT((Inputs!$E$5:$E$110=$B47)*ISNUMBER(INDEX(Inputs!$K$5:$AJ$110,0,MATCH(V$2,Inputs!$K$4:$AJ$4,0))))=0,NA(),SUMPRODUCT((Inputs!$A$5:$A$110=$B47)*Inputs!$B$5:$B$110*(((Inputs!$G$5:$G$110="moeda")+(Inputs!$G$5:$G$110="acoes"))*Inputs!$B$1+((Inputs!$G$5:$G$110&lt;&gt;"moeda")*(Inputs!$G$5:$G$110&lt;&gt;"acoes")))*INDEX(Inputs!$K$5:$AJ$110,0,MATCH(V$2,Inputs!$K$4:$AJ$4,0)))+SUMPRODUCT((Inputs!$C$5:$C$110=$B47)*Inputs!$D$5:$D$110*(((Inputs!$G$5:$G$110="moeda")+(Inputs!$G$5:$G$110="acoes"))*Inputs!$B$1+((Inputs!$G$5:$G$110&lt;&gt;"moeda")*(Inputs!$G$5:$G$110&lt;&gt;"acoes")))*INDEX(Inputs!$K$5:$AJ$110,0,MATCH(V$2,Inputs!$K$4:$AJ$4,0)))+SUMPRODUCT((Inputs!$E$5:$E$110=$B47)*Inputs!$F$5:$F$110*(((Inputs!$G$5:$G$110="moeda")+(Inputs!$G$5:$G$110="acoes"))*Inputs!$B$1+((Inputs!$G$5:$G$110&lt;&gt;"moeda")*(Inputs!$G$5:$G$110&lt;&gt;"acoes")))*INDEX(Inputs!$K$5:$AJ$110,0,MATCH(V$2,Inputs!$K$4:$AJ$4,0)))))</f>
        <v>245084</v>
      </c>
      <c r="W47" s="3">
        <f>V47</f>
        <v>245084</v>
      </c>
      <c r="X47" s="6">
        <f>IF(ISNA(MATCH(X$2,Inputs!$K$4:$AJ$4,0)),NA(),IF(SUMPRODUCT((Inputs!$A$5:$A$110=$B47)*ISNUMBER(INDEX(Inputs!$K$5:$AJ$110,0,MATCH(X$2,Inputs!$K$4:$AJ$4,0))))+SUMPRODUCT((Inputs!$C$5:$C$110=$B47)*ISNUMBER(INDEX(Inputs!$K$5:$AJ$110,0,MATCH(X$2,Inputs!$K$4:$AJ$4,0))))+SUMPRODUCT((Inputs!$E$5:$E$110=$B47)*ISNUMBER(INDEX(Inputs!$K$5:$AJ$110,0,MATCH(X$2,Inputs!$K$4:$AJ$4,0))))=0,NA(),SUMPRODUCT((Inputs!$A$5:$A$110=$B47)*Inputs!$B$5:$B$110*(((Inputs!$G$5:$G$110="moeda")+(Inputs!$G$5:$G$110="acoes"))*Inputs!$B$1+((Inputs!$G$5:$G$110&lt;&gt;"moeda")*(Inputs!$G$5:$G$110&lt;&gt;"acoes")))*INDEX(Inputs!$K$5:$AJ$110,0,MATCH(X$2,Inputs!$K$4:$AJ$4,0)))+SUMPRODUCT((Inputs!$C$5:$C$110=$B47)*Inputs!$D$5:$D$110*(((Inputs!$G$5:$G$110="moeda")+(Inputs!$G$5:$G$110="acoes"))*Inputs!$B$1+((Inputs!$G$5:$G$110&lt;&gt;"moeda")*(Inputs!$G$5:$G$110&lt;&gt;"acoes")))*INDEX(Inputs!$K$5:$AJ$110,0,MATCH(X$2,Inputs!$K$4:$AJ$4,0)))+SUMPRODUCT((Inputs!$E$5:$E$110=$B47)*Inputs!$F$5:$F$110*(((Inputs!$G$5:$G$110="moeda")+(Inputs!$G$5:$G$110="acoes"))*Inputs!$B$1+((Inputs!$G$5:$G$110&lt;&gt;"moeda")*(Inputs!$G$5:$G$110&lt;&gt;"acoes")))*INDEX(Inputs!$K$5:$AJ$110,0,MATCH(X$2,Inputs!$K$4:$AJ$4,0)))))</f>
        <v>262628</v>
      </c>
      <c r="Y47" s="6">
        <f>IF(ISNA(MATCH(Y$2,Inputs!$K$4:$AJ$4,0)),NA(),IF(SUMPRODUCT((Inputs!$A$5:$A$110=$B47)*ISNUMBER(INDEX(Inputs!$K$5:$AJ$110,0,MATCH(Y$2,Inputs!$K$4:$AJ$4,0))))+SUMPRODUCT((Inputs!$C$5:$C$110=$B47)*ISNUMBER(INDEX(Inputs!$K$5:$AJ$110,0,MATCH(Y$2,Inputs!$K$4:$AJ$4,0))))+SUMPRODUCT((Inputs!$E$5:$E$110=$B47)*ISNUMBER(INDEX(Inputs!$K$5:$AJ$110,0,MATCH(Y$2,Inputs!$K$4:$AJ$4,0))))=0,NA(),SUMPRODUCT((Inputs!$A$5:$A$110=$B47)*Inputs!$B$5:$B$110*(((Inputs!$G$5:$G$110="moeda")+(Inputs!$G$5:$G$110="acoes"))*Inputs!$B$1+((Inputs!$G$5:$G$110&lt;&gt;"moeda")*(Inputs!$G$5:$G$110&lt;&gt;"acoes")))*INDEX(Inputs!$K$5:$AJ$110,0,MATCH(Y$2,Inputs!$K$4:$AJ$4,0)))+SUMPRODUCT((Inputs!$C$5:$C$110=$B47)*Inputs!$D$5:$D$110*(((Inputs!$G$5:$G$110="moeda")+(Inputs!$G$5:$G$110="acoes"))*Inputs!$B$1+((Inputs!$G$5:$G$110&lt;&gt;"moeda")*(Inputs!$G$5:$G$110&lt;&gt;"acoes")))*INDEX(Inputs!$K$5:$AJ$110,0,MATCH(Y$2,Inputs!$K$4:$AJ$4,0)))+SUMPRODUCT((Inputs!$E$5:$E$110=$B47)*Inputs!$F$5:$F$110*(((Inputs!$G$5:$G$110="moeda")+(Inputs!$G$5:$G$110="acoes"))*Inputs!$B$1+((Inputs!$G$5:$G$110&lt;&gt;"moeda")*(Inputs!$G$5:$G$110&lt;&gt;"acoes")))*INDEX(Inputs!$K$5:$AJ$110,0,MATCH(Y$2,Inputs!$K$4:$AJ$4,0)))))</f>
        <v>275760</v>
      </c>
      <c r="Z47" s="6">
        <f>IF(ISNA(MATCH(Z$2,Inputs!$K$4:$AJ$4,0)),NA(),IF(SUMPRODUCT((Inputs!$A$5:$A$110=$B47)*ISNUMBER(INDEX(Inputs!$K$5:$AJ$110,0,MATCH(Z$2,Inputs!$K$4:$AJ$4,0))))+SUMPRODUCT((Inputs!$C$5:$C$110=$B47)*ISNUMBER(INDEX(Inputs!$K$5:$AJ$110,0,MATCH(Z$2,Inputs!$K$4:$AJ$4,0))))+SUMPRODUCT((Inputs!$E$5:$E$110=$B47)*ISNUMBER(INDEX(Inputs!$K$5:$AJ$110,0,MATCH(Z$2,Inputs!$K$4:$AJ$4,0))))=0,NA(),SUMPRODUCT((Inputs!$A$5:$A$110=$B47)*Inputs!$B$5:$B$110*(((Inputs!$G$5:$G$110="moeda")+(Inputs!$G$5:$G$110="acoes"))*Inputs!$B$1+((Inputs!$G$5:$G$110&lt;&gt;"moeda")*(Inputs!$G$5:$G$110&lt;&gt;"acoes")))*INDEX(Inputs!$K$5:$AJ$110,0,MATCH(Z$2,Inputs!$K$4:$AJ$4,0)))+SUMPRODUCT((Inputs!$C$5:$C$110=$B47)*Inputs!$D$5:$D$110*(((Inputs!$G$5:$G$110="moeda")+(Inputs!$G$5:$G$110="acoes"))*Inputs!$B$1+((Inputs!$G$5:$G$110&lt;&gt;"moeda")*(Inputs!$G$5:$G$110&lt;&gt;"acoes")))*INDEX(Inputs!$K$5:$AJ$110,0,MATCH(Z$2,Inputs!$K$4:$AJ$4,0)))+SUMPRODUCT((Inputs!$E$5:$E$110=$B47)*Inputs!$F$5:$F$110*(((Inputs!$G$5:$G$110="moeda")+(Inputs!$G$5:$G$110="acoes"))*Inputs!$B$1+((Inputs!$G$5:$G$110&lt;&gt;"moeda")*(Inputs!$G$5:$G$110&lt;&gt;"acoes")))*INDEX(Inputs!$K$5:$AJ$110,0,MATCH(Z$2,Inputs!$K$4:$AJ$4,0)))))</f>
        <v>297226</v>
      </c>
      <c r="AA47" s="6">
        <f>IF(ISNA(MATCH(AA$2,Inputs!$K$4:$AJ$4,0)),NA(),IF(SUMPRODUCT((Inputs!$A$5:$A$110=$B47)*ISNUMBER(INDEX(Inputs!$K$5:$AJ$110,0,MATCH(AA$2,Inputs!$K$4:$AJ$4,0))))+SUMPRODUCT((Inputs!$C$5:$C$110=$B47)*ISNUMBER(INDEX(Inputs!$K$5:$AJ$110,0,MATCH(AA$2,Inputs!$K$4:$AJ$4,0))))+SUMPRODUCT((Inputs!$E$5:$E$110=$B47)*ISNUMBER(INDEX(Inputs!$K$5:$AJ$110,0,MATCH(AA$2,Inputs!$K$4:$AJ$4,0))))=0,NA(),SUMPRODUCT((Inputs!$A$5:$A$110=$B47)*Inputs!$B$5:$B$110*(((Inputs!$G$5:$G$110="moeda")+(Inputs!$G$5:$G$110="acoes"))*Inputs!$B$1+((Inputs!$G$5:$G$110&lt;&gt;"moeda")*(Inputs!$G$5:$G$110&lt;&gt;"acoes")))*INDEX(Inputs!$K$5:$AJ$110,0,MATCH(AA$2,Inputs!$K$4:$AJ$4,0)))+SUMPRODUCT((Inputs!$C$5:$C$110=$B47)*Inputs!$D$5:$D$110*(((Inputs!$G$5:$G$110="moeda")+(Inputs!$G$5:$G$110="acoes"))*Inputs!$B$1+((Inputs!$G$5:$G$110&lt;&gt;"moeda")*(Inputs!$G$5:$G$110&lt;&gt;"acoes")))*INDEX(Inputs!$K$5:$AJ$110,0,MATCH(AA$2,Inputs!$K$4:$AJ$4,0)))+SUMPRODUCT((Inputs!$E$5:$E$110=$B47)*Inputs!$F$5:$F$110*(((Inputs!$G$5:$G$110="moeda")+(Inputs!$G$5:$G$110="acoes"))*Inputs!$B$1+((Inputs!$G$5:$G$110&lt;&gt;"moeda")*(Inputs!$G$5:$G$110&lt;&gt;"acoes")))*INDEX(Inputs!$K$5:$AJ$110,0,MATCH(AA$2,Inputs!$K$4:$AJ$4,0)))))</f>
        <v>324055</v>
      </c>
      <c r="AB47" s="3">
        <f>AA47</f>
        <v>324055</v>
      </c>
      <c r="AC47" s="6">
        <f>IF(ISNA(MATCH(AC$2,Inputs!$K$4:$AJ$4,0)),NA(),IF(SUMPRODUCT((Inputs!$A$5:$A$110=$B47)*ISNUMBER(INDEX(Inputs!$K$5:$AJ$110,0,MATCH(AC$2,Inputs!$K$4:$AJ$4,0))))+SUMPRODUCT((Inputs!$C$5:$C$110=$B47)*ISNUMBER(INDEX(Inputs!$K$5:$AJ$110,0,MATCH(AC$2,Inputs!$K$4:$AJ$4,0))))+SUMPRODUCT((Inputs!$E$5:$E$110=$B47)*ISNUMBER(INDEX(Inputs!$K$5:$AJ$110,0,MATCH(AC$2,Inputs!$K$4:$AJ$4,0))))=0,NA(),SUMPRODUCT((Inputs!$A$5:$A$110=$B47)*Inputs!$B$5:$B$110*(((Inputs!$G$5:$G$110="moeda")+(Inputs!$G$5:$G$110="acoes"))*Inputs!$B$1+((Inputs!$G$5:$G$110&lt;&gt;"moeda")*(Inputs!$G$5:$G$110&lt;&gt;"acoes")))*INDEX(Inputs!$K$5:$AJ$110,0,MATCH(AC$2,Inputs!$K$4:$AJ$4,0)))+SUMPRODUCT((Inputs!$C$5:$C$110=$B47)*Inputs!$D$5:$D$110*(((Inputs!$G$5:$G$110="moeda")+(Inputs!$G$5:$G$110="acoes"))*Inputs!$B$1+((Inputs!$G$5:$G$110&lt;&gt;"moeda")*(Inputs!$G$5:$G$110&lt;&gt;"acoes")))*INDEX(Inputs!$K$5:$AJ$110,0,MATCH(AC$2,Inputs!$K$4:$AJ$4,0)))+SUMPRODUCT((Inputs!$E$5:$E$110=$B47)*Inputs!$F$5:$F$110*(((Inputs!$G$5:$G$110="moeda")+(Inputs!$G$5:$G$110="acoes"))*Inputs!$B$1+((Inputs!$G$5:$G$110&lt;&gt;"moeda")*(Inputs!$G$5:$G$110&lt;&gt;"acoes")))*INDEX(Inputs!$K$5:$AJ$110,0,MATCH(AC$2,Inputs!$K$4:$AJ$4,0)))))</f>
        <v>384024</v>
      </c>
      <c r="AD47" s="6">
        <f>IF(ISNA(MATCH(AD$2,Inputs!$K$4:$AJ$4,0)),NA(),IF(SUMPRODUCT((Inputs!$A$5:$A$110=$B47)*ISNUMBER(INDEX(Inputs!$K$5:$AJ$110,0,MATCH(AD$2,Inputs!$K$4:$AJ$4,0))))+SUMPRODUCT((Inputs!$C$5:$C$110=$B47)*ISNUMBER(INDEX(Inputs!$K$5:$AJ$110,0,MATCH(AD$2,Inputs!$K$4:$AJ$4,0))))+SUMPRODUCT((Inputs!$E$5:$E$110=$B47)*ISNUMBER(INDEX(Inputs!$K$5:$AJ$110,0,MATCH(AD$2,Inputs!$K$4:$AJ$4,0))))=0,NA(),SUMPRODUCT((Inputs!$A$5:$A$110=$B47)*Inputs!$B$5:$B$110*(((Inputs!$G$5:$G$110="moeda")+(Inputs!$G$5:$G$110="acoes"))*Inputs!$B$1+((Inputs!$G$5:$G$110&lt;&gt;"moeda")*(Inputs!$G$5:$G$110&lt;&gt;"acoes")))*INDEX(Inputs!$K$5:$AJ$110,0,MATCH(AD$2,Inputs!$K$4:$AJ$4,0)))+SUMPRODUCT((Inputs!$C$5:$C$110=$B47)*Inputs!$D$5:$D$110*(((Inputs!$G$5:$G$110="moeda")+(Inputs!$G$5:$G$110="acoes"))*Inputs!$B$1+((Inputs!$G$5:$G$110&lt;&gt;"moeda")*(Inputs!$G$5:$G$110&lt;&gt;"acoes")))*INDEX(Inputs!$K$5:$AJ$110,0,MATCH(AD$2,Inputs!$K$4:$AJ$4,0)))+SUMPRODUCT((Inputs!$E$5:$E$110=$B47)*Inputs!$F$5:$F$110*(((Inputs!$G$5:$G$110="moeda")+(Inputs!$G$5:$G$110="acoes"))*Inputs!$B$1+((Inputs!$G$5:$G$110&lt;&gt;"moeda")*(Inputs!$G$5:$G$110&lt;&gt;"acoes")))*INDEX(Inputs!$K$5:$AJ$110,0,MATCH(AD$2,Inputs!$K$4:$AJ$4,0)))))</f>
        <v>493371</v>
      </c>
      <c r="AE47" s="6" t="e">
        <f>IF(ISNA(MATCH(AE$2,Inputs!$K$4:$AJ$4,0)),NA(),IF(SUMPRODUCT((Inputs!$A$5:$A$110=$B47)*ISNUMBER(INDEX(Inputs!$K$5:$AJ$110,0,MATCH(AE$2,Inputs!$K$4:$AJ$4,0))))+SUMPRODUCT((Inputs!$C$5:$C$110=$B47)*ISNUMBER(INDEX(Inputs!$K$5:$AJ$110,0,MATCH(AE$2,Inputs!$K$4:$AJ$4,0))))+SUMPRODUCT((Inputs!$E$5:$E$110=$B47)*ISNUMBER(INDEX(Inputs!$K$5:$AJ$110,0,MATCH(AE$2,Inputs!$K$4:$AJ$4,0))))=0,NA(),SUMPRODUCT((Inputs!$A$5:$A$110=$B47)*Inputs!$B$5:$B$110*(((Inputs!$G$5:$G$110="moeda")+(Inputs!$G$5:$G$110="acoes"))*Inputs!$B$1+((Inputs!$G$5:$G$110&lt;&gt;"moeda")*(Inputs!$G$5:$G$110&lt;&gt;"acoes")))*INDEX(Inputs!$K$5:$AJ$110,0,MATCH(AE$2,Inputs!$K$4:$AJ$4,0)))+SUMPRODUCT((Inputs!$C$5:$C$110=$B47)*Inputs!$D$5:$D$110*(((Inputs!$G$5:$G$110="moeda")+(Inputs!$G$5:$G$110="acoes"))*Inputs!$B$1+((Inputs!$G$5:$G$110&lt;&gt;"moeda")*(Inputs!$G$5:$G$110&lt;&gt;"acoes")))*INDEX(Inputs!$K$5:$AJ$110,0,MATCH(AE$2,Inputs!$K$4:$AJ$4,0)))+SUMPRODUCT((Inputs!$E$5:$E$110=$B47)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7" s="6" t="e">
        <f>IF(ISNA(MATCH(AF$2,Inputs!$K$4:$AJ$4,0)),NA(),IF(SUMPRODUCT((Inputs!$A$5:$A$110=$B47)*ISNUMBER(INDEX(Inputs!$K$5:$AJ$110,0,MATCH(AF$2,Inputs!$K$4:$AJ$4,0))))+SUMPRODUCT((Inputs!$C$5:$C$110=$B47)*ISNUMBER(INDEX(Inputs!$K$5:$AJ$110,0,MATCH(AF$2,Inputs!$K$4:$AJ$4,0))))+SUMPRODUCT((Inputs!$E$5:$E$110=$B47)*ISNUMBER(INDEX(Inputs!$K$5:$AJ$110,0,MATCH(AF$2,Inputs!$K$4:$AJ$4,0))))=0,NA(),SUMPRODUCT((Inputs!$A$5:$A$110=$B47)*Inputs!$B$5:$B$110*(((Inputs!$G$5:$G$110="moeda")+(Inputs!$G$5:$G$110="acoes"))*Inputs!$B$1+((Inputs!$G$5:$G$110&lt;&gt;"moeda")*(Inputs!$G$5:$G$110&lt;&gt;"acoes")))*INDEX(Inputs!$K$5:$AJ$110,0,MATCH(AF$2,Inputs!$K$4:$AJ$4,0)))+SUMPRODUCT((Inputs!$C$5:$C$110=$B47)*Inputs!$D$5:$D$110*(((Inputs!$G$5:$G$110="moeda")+(Inputs!$G$5:$G$110="acoes"))*Inputs!$B$1+((Inputs!$G$5:$G$110&lt;&gt;"moeda")*(Inputs!$G$5:$G$110&lt;&gt;"acoes")))*INDEX(Inputs!$K$5:$AJ$110,0,MATCH(AF$2,Inputs!$K$4:$AJ$4,0)))+SUMPRODUCT((Inputs!$E$5:$E$110=$B47)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7" s="3" t="e">
        <f>AF47</f>
        <v>#N/A</v>
      </c>
      <c r="AH47" s="6">
        <f>IF(ISNA(MATCH(AH$2,Inputs!$K$4:$AJ$4,0)),NA(),IF(SUMPRODUCT((Inputs!$A$5:$A$110=$B47)*ISNUMBER(INDEX(Inputs!$K$5:$AJ$110,0,MATCH(AH$2,Inputs!$K$4:$AJ$4,0))))+SUMPRODUCT((Inputs!$C$5:$C$110=$B47)*ISNUMBER(INDEX(Inputs!$K$5:$AJ$110,0,MATCH(AH$2,Inputs!$K$4:$AJ$4,0))))+SUMPRODUCT((Inputs!$E$5:$E$110=$B47)*ISNUMBER(INDEX(Inputs!$K$5:$AJ$110,0,MATCH(AH$2,Inputs!$K$4:$AJ$4,0))))=0,NA(),SUMPRODUCT((Inputs!$A$5:$A$110=$B47)*Inputs!$B$5:$B$110*(((Inputs!$G$5:$G$110="moeda")+(Inputs!$G$5:$G$110="acoes"))*Inputs!$B$1+((Inputs!$G$5:$G$110&lt;&gt;"moeda")*(Inputs!$G$5:$G$110&lt;&gt;"acoes")))*INDEX(Inputs!$K$5:$AJ$110,0,MATCH(AH$2,Inputs!$K$4:$AJ$4,0)))+SUMPRODUCT((Inputs!$C$5:$C$110=$B47)*Inputs!$D$5:$D$110*(((Inputs!$G$5:$G$110="moeda")+(Inputs!$G$5:$G$110="acoes"))*Inputs!$B$1+((Inputs!$G$5:$G$110&lt;&gt;"moeda")*(Inputs!$G$5:$G$110&lt;&gt;"acoes")))*INDEX(Inputs!$K$5:$AJ$110,0,MATCH(AH$2,Inputs!$K$4:$AJ$4,0)))+SUMPRODUCT((Inputs!$E$5:$E$110=$B47)*Inputs!$F$5:$F$110*(((Inputs!$G$5:$G$110="moeda")+(Inputs!$G$5:$G$110="acoes"))*Inputs!$B$1+((Inputs!$G$5:$G$110&lt;&gt;"moeda")*(Inputs!$G$5:$G$110&lt;&gt;"acoes")))*INDEX(Inputs!$K$5:$AJ$110,0,MATCH(AH$2,Inputs!$K$4:$AJ$4,0)))))</f>
        <v>151068</v>
      </c>
      <c r="AI47" s="6">
        <f>IF(ISNA(MATCH(AI$2,Inputs!$K$4:$AJ$4,0)),NA(),IF(SUMPRODUCT((Inputs!$A$5:$A$110=$B47)*ISNUMBER(INDEX(Inputs!$K$5:$AJ$110,0,MATCH(AI$2,Inputs!$K$4:$AJ$4,0))))+SUMPRODUCT((Inputs!$C$5:$C$110=$B47)*ISNUMBER(INDEX(Inputs!$K$5:$AJ$110,0,MATCH(AI$2,Inputs!$K$4:$AJ$4,0))))+SUMPRODUCT((Inputs!$E$5:$E$110=$B47)*ISNUMBER(INDEX(Inputs!$K$5:$AJ$110,0,MATCH(AI$2,Inputs!$K$4:$AJ$4,0))))=0,NA(),SUMPRODUCT((Inputs!$A$5:$A$110=$B47)*Inputs!$B$5:$B$110*(((Inputs!$G$5:$G$110="moeda")+(Inputs!$G$5:$G$110="acoes"))*Inputs!$B$1+((Inputs!$G$5:$G$110&lt;&gt;"moeda")*(Inputs!$G$5:$G$110&lt;&gt;"acoes")))*INDEX(Inputs!$K$5:$AJ$110,0,MATCH(AI$2,Inputs!$K$4:$AJ$4,0)))+SUMPRODUCT((Inputs!$C$5:$C$110=$B47)*Inputs!$D$5:$D$110*(((Inputs!$G$5:$G$110="moeda")+(Inputs!$G$5:$G$110="acoes"))*Inputs!$B$1+((Inputs!$G$5:$G$110&lt;&gt;"moeda")*(Inputs!$G$5:$G$110&lt;&gt;"acoes")))*INDEX(Inputs!$K$5:$AJ$110,0,MATCH(AI$2,Inputs!$K$4:$AJ$4,0)))+SUMPRODUCT((Inputs!$E$5:$E$110=$B47)*Inputs!$F$5:$F$110*(((Inputs!$G$5:$G$110="moeda")+(Inputs!$G$5:$G$110="acoes"))*Inputs!$B$1+((Inputs!$G$5:$G$110&lt;&gt;"moeda")*(Inputs!$G$5:$G$110&lt;&gt;"acoes")))*INDEX(Inputs!$K$5:$AJ$110,0,MATCH(AI$2,Inputs!$K$4:$AJ$4,0)))))</f>
        <v>151681</v>
      </c>
      <c r="AJ47" s="6">
        <f>IF(ISNA(MATCH(AJ$2,Inputs!$K$4:$AJ$4,0)),NA(),IF(SUMPRODUCT((Inputs!$A$5:$A$110=$B47)*ISNUMBER(INDEX(Inputs!$K$5:$AJ$110,0,MATCH(AJ$2,Inputs!$K$4:$AJ$4,0))))+SUMPRODUCT((Inputs!$C$5:$C$110=$B47)*ISNUMBER(INDEX(Inputs!$K$5:$AJ$110,0,MATCH(AJ$2,Inputs!$K$4:$AJ$4,0))))+SUMPRODUCT((Inputs!$E$5:$E$110=$B47)*ISNUMBER(INDEX(Inputs!$K$5:$AJ$110,0,MATCH(AJ$2,Inputs!$K$4:$AJ$4,0))))=0,NA(),SUMPRODUCT((Inputs!$A$5:$A$110=$B47)*Inputs!$B$5:$B$110*(((Inputs!$G$5:$G$110="moeda")+(Inputs!$G$5:$G$110="acoes"))*Inputs!$B$1+((Inputs!$G$5:$G$110&lt;&gt;"moeda")*(Inputs!$G$5:$G$110&lt;&gt;"acoes")))*INDEX(Inputs!$K$5:$AJ$110,0,MATCH(AJ$2,Inputs!$K$4:$AJ$4,0)))+SUMPRODUCT((Inputs!$C$5:$C$110=$B47)*Inputs!$D$5:$D$110*(((Inputs!$G$5:$G$110="moeda")+(Inputs!$G$5:$G$110="acoes"))*Inputs!$B$1+((Inputs!$G$5:$G$110&lt;&gt;"moeda")*(Inputs!$G$5:$G$110&lt;&gt;"acoes")))*INDEX(Inputs!$K$5:$AJ$110,0,MATCH(AJ$2,Inputs!$K$4:$AJ$4,0)))+SUMPRODUCT((Inputs!$E$5:$E$110=$B47)*Inputs!$F$5:$F$110*(((Inputs!$G$5:$G$110="moeda")+(Inputs!$G$5:$G$110="acoes"))*Inputs!$B$1+((Inputs!$G$5:$G$110&lt;&gt;"moeda")*(Inputs!$G$5:$G$110&lt;&gt;"acoes")))*INDEX(Inputs!$K$5:$AJ$110,0,MATCH(AJ$2,Inputs!$K$4:$AJ$4,0)))))</f>
        <v>155567</v>
      </c>
      <c r="AK47" s="6">
        <f>IF(ISNA(MATCH(AK$2,Inputs!$K$4:$AJ$4,0)),NA(),IF(SUMPRODUCT((Inputs!$A$5:$A$110=$B47)*ISNUMBER(INDEX(Inputs!$K$5:$AJ$110,0,MATCH(AK$2,Inputs!$K$4:$AJ$4,0))))+SUMPRODUCT((Inputs!$C$5:$C$110=$B47)*ISNUMBER(INDEX(Inputs!$K$5:$AJ$110,0,MATCH(AK$2,Inputs!$K$4:$AJ$4,0))))+SUMPRODUCT((Inputs!$E$5:$E$110=$B47)*ISNUMBER(INDEX(Inputs!$K$5:$AJ$110,0,MATCH(AK$2,Inputs!$K$4:$AJ$4,0))))=0,NA(),SUMPRODUCT((Inputs!$A$5:$A$110=$B47)*Inputs!$B$5:$B$110*(((Inputs!$G$5:$G$110="moeda")+(Inputs!$G$5:$G$110="acoes"))*Inputs!$B$1+((Inputs!$G$5:$G$110&lt;&gt;"moeda")*(Inputs!$G$5:$G$110&lt;&gt;"acoes")))*INDEX(Inputs!$K$5:$AJ$110,0,MATCH(AK$2,Inputs!$K$4:$AJ$4,0)))+SUMPRODUCT((Inputs!$C$5:$C$110=$B47)*Inputs!$D$5:$D$110*(((Inputs!$G$5:$G$110="moeda")+(Inputs!$G$5:$G$110="acoes"))*Inputs!$B$1+((Inputs!$G$5:$G$110&lt;&gt;"moeda")*(Inputs!$G$5:$G$110&lt;&gt;"acoes")))*INDEX(Inputs!$K$5:$AJ$110,0,MATCH(AK$2,Inputs!$K$4:$AJ$4,0)))+SUMPRODUCT((Inputs!$E$5:$E$110=$B47)*Inputs!$F$5:$F$110*(((Inputs!$G$5:$G$110="moeda")+(Inputs!$G$5:$G$110="acoes"))*Inputs!$B$1+((Inputs!$G$5:$G$110&lt;&gt;"moeda")*(Inputs!$G$5:$G$110&lt;&gt;"acoes")))*INDEX(Inputs!$K$5:$AJ$110,0,MATCH(AK$2,Inputs!$K$4:$AJ$4,0)))))</f>
        <v>163401</v>
      </c>
      <c r="AL47" s="3">
        <f>AK47</f>
        <v>163401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$110=$B50)*ISNUMBER(INDEX(Inputs!$K$5:$AJ$110,0,MATCH(D$2,Inputs!$K$4:$AJ$4,0))))+SUMPRODUCT((Inputs!$C$5:$C$110=$B50)*ISNUMBER(INDEX(Inputs!$K$5:$AJ$110,0,MATCH(D$2,Inputs!$K$4:$AJ$4,0))))+SUMPRODUCT((Inputs!$E$5:$E$110=$B50)*ISNUMBER(INDEX(Inputs!$K$5:$AJ$110,0,MATCH(D$2,Inputs!$K$4:$AJ$4,0))))=0,NA(),SUMPRODUCT((Inputs!$A$5:$A$110=$B50)*Inputs!$B$5:$B$110*(((Inputs!$G$5:$G$110="moeda")+(Inputs!$G$5:$G$110="acoes"))*Inputs!$B$1+((Inputs!$G$5:$G$110&lt;&gt;"moeda")*(Inputs!$G$5:$G$110&lt;&gt;"acoes")))*INDEX(Inputs!$K$5:$AJ$110,0,MATCH(D$2,Inputs!$K$4:$AJ$4,0)))+SUMPRODUCT((Inputs!$C$5:$C$110=$B50)*Inputs!$D$5:$D$110*(((Inputs!$G$5:$G$110="moeda")+(Inputs!$G$5:$G$110="acoes"))*Inputs!$B$1+((Inputs!$G$5:$G$110&lt;&gt;"moeda")*(Inputs!$G$5:$G$110&lt;&gt;"acoes")))*INDEX(Inputs!$K$5:$AJ$110,0,MATCH(D$2,Inputs!$K$4:$AJ$4,0)))+SUMPRODUCT((Inputs!$E$5:$E$110=$B50)*Inputs!$F$5:$F$110*(((Inputs!$G$5:$G$110="moeda")+(Inputs!$G$5:$G$110="acoes"))*Inputs!$B$1+((Inputs!$G$5:$G$110&lt;&gt;"moeda")*(Inputs!$G$5:$G$110&lt;&gt;"acoes")))*INDEX(Inputs!$K$5:$AJ$110,0,MATCH(D$2,Inputs!$K$4:$AJ$4,0)))))</f>
        <v>17930</v>
      </c>
      <c r="E50" s="6">
        <f>IF(ISNA(MATCH(E$2,Inputs!$K$4:$AJ$4,0)),NA(),IF(SUMPRODUCT((Inputs!$A$5:$A$110=$B50)*ISNUMBER(INDEX(Inputs!$K$5:$AJ$110,0,MATCH(E$2,Inputs!$K$4:$AJ$4,0))))+SUMPRODUCT((Inputs!$C$5:$C$110=$B50)*ISNUMBER(INDEX(Inputs!$K$5:$AJ$110,0,MATCH(E$2,Inputs!$K$4:$AJ$4,0))))+SUMPRODUCT((Inputs!$E$5:$E$110=$B50)*ISNUMBER(INDEX(Inputs!$K$5:$AJ$110,0,MATCH(E$2,Inputs!$K$4:$AJ$4,0))))=0,NA(),SUMPRODUCT((Inputs!$A$5:$A$110=$B50)*Inputs!$B$5:$B$110*(((Inputs!$G$5:$G$110="moeda")+(Inputs!$G$5:$G$110="acoes"))*Inputs!$B$1+((Inputs!$G$5:$G$110&lt;&gt;"moeda")*(Inputs!$G$5:$G$110&lt;&gt;"acoes")))*INDEX(Inputs!$K$5:$AJ$110,0,MATCH(E$2,Inputs!$K$4:$AJ$4,0)))+SUMPRODUCT((Inputs!$C$5:$C$110=$B50)*Inputs!$D$5:$D$110*(((Inputs!$G$5:$G$110="moeda")+(Inputs!$G$5:$G$110="acoes"))*Inputs!$B$1+((Inputs!$G$5:$G$110&lt;&gt;"moeda")*(Inputs!$G$5:$G$110&lt;&gt;"acoes")))*INDEX(Inputs!$K$5:$AJ$110,0,MATCH(E$2,Inputs!$K$4:$AJ$4,0)))+SUMPRODUCT((Inputs!$E$5:$E$110=$B50)*Inputs!$F$5:$F$110*(((Inputs!$G$5:$G$110="moeda")+(Inputs!$G$5:$G$110="acoes"))*Inputs!$B$1+((Inputs!$G$5:$G$110&lt;&gt;"moeda")*(Inputs!$G$5:$G$110&lt;&gt;"acoes")))*INDEX(Inputs!$K$5:$AJ$110,0,MATCH(E$2,Inputs!$K$4:$AJ$4,0)))))</f>
        <v>18525</v>
      </c>
      <c r="F50" s="6">
        <f>IF(ISNA(MATCH(F$2,Inputs!$K$4:$AJ$4,0)),NA(),IF(SUMPRODUCT((Inputs!$A$5:$A$110=$B50)*ISNUMBER(INDEX(Inputs!$K$5:$AJ$110,0,MATCH(F$2,Inputs!$K$4:$AJ$4,0))))+SUMPRODUCT((Inputs!$C$5:$C$110=$B50)*ISNUMBER(INDEX(Inputs!$K$5:$AJ$110,0,MATCH(F$2,Inputs!$K$4:$AJ$4,0))))+SUMPRODUCT((Inputs!$E$5:$E$110=$B50)*ISNUMBER(INDEX(Inputs!$K$5:$AJ$110,0,MATCH(F$2,Inputs!$K$4:$AJ$4,0))))=0,NA(),SUMPRODUCT((Inputs!$A$5:$A$110=$B50)*Inputs!$B$5:$B$110*(((Inputs!$G$5:$G$110="moeda")+(Inputs!$G$5:$G$110="acoes"))*Inputs!$B$1+((Inputs!$G$5:$G$110&lt;&gt;"moeda")*(Inputs!$G$5:$G$110&lt;&gt;"acoes")))*INDEX(Inputs!$K$5:$AJ$110,0,MATCH(F$2,Inputs!$K$4:$AJ$4,0)))+SUMPRODUCT((Inputs!$C$5:$C$110=$B50)*Inputs!$D$5:$D$110*(((Inputs!$G$5:$G$110="moeda")+(Inputs!$G$5:$G$110="acoes"))*Inputs!$B$1+((Inputs!$G$5:$G$110&lt;&gt;"moeda")*(Inputs!$G$5:$G$110&lt;&gt;"acoes")))*INDEX(Inputs!$K$5:$AJ$110,0,MATCH(F$2,Inputs!$K$4:$AJ$4,0)))+SUMPRODUCT((Inputs!$E$5:$E$110=$B50)*Inputs!$F$5:$F$110*(((Inputs!$G$5:$G$110="moeda")+(Inputs!$G$5:$G$110="acoes"))*Inputs!$B$1+((Inputs!$G$5:$G$110&lt;&gt;"moeda")*(Inputs!$G$5:$G$110&lt;&gt;"acoes")))*INDEX(Inputs!$K$5:$AJ$110,0,MATCH(F$2,Inputs!$K$4:$AJ$4,0)))))</f>
        <v>18936</v>
      </c>
      <c r="G50" s="6">
        <f>IF(ISNA(MATCH(G$2,Inputs!$K$4:$AJ$4,0)),NA(),IF(SUMPRODUCT((Inputs!$A$5:$A$110=$B50)*ISNUMBER(INDEX(Inputs!$K$5:$AJ$110,0,MATCH(G$2,Inputs!$K$4:$AJ$4,0))))+SUMPRODUCT((Inputs!$C$5:$C$110=$B50)*ISNUMBER(INDEX(Inputs!$K$5:$AJ$110,0,MATCH(G$2,Inputs!$K$4:$AJ$4,0))))+SUMPRODUCT((Inputs!$E$5:$E$110=$B50)*ISNUMBER(INDEX(Inputs!$K$5:$AJ$110,0,MATCH(G$2,Inputs!$K$4:$AJ$4,0))))=0,NA(),SUMPRODUCT((Inputs!$A$5:$A$110=$B50)*Inputs!$B$5:$B$110*(((Inputs!$G$5:$G$110="moeda")+(Inputs!$G$5:$G$110="acoes"))*Inputs!$B$1+((Inputs!$G$5:$G$110&lt;&gt;"moeda")*(Inputs!$G$5:$G$110&lt;&gt;"acoes")))*INDEX(Inputs!$K$5:$AJ$110,0,MATCH(G$2,Inputs!$K$4:$AJ$4,0)))+SUMPRODUCT((Inputs!$C$5:$C$110=$B50)*Inputs!$D$5:$D$110*(((Inputs!$G$5:$G$110="moeda")+(Inputs!$G$5:$G$110="acoes"))*Inputs!$B$1+((Inputs!$G$5:$G$110&lt;&gt;"moeda")*(Inputs!$G$5:$G$110&lt;&gt;"acoes")))*INDEX(Inputs!$K$5:$AJ$110,0,MATCH(G$2,Inputs!$K$4:$AJ$4,0)))+SUMPRODUCT((Inputs!$E$5:$E$110=$B50)*Inputs!$F$5:$F$110*(((Inputs!$G$5:$G$110="moeda")+(Inputs!$G$5:$G$110="acoes"))*Inputs!$B$1+((Inputs!$G$5:$G$110&lt;&gt;"moeda")*(Inputs!$G$5:$G$110&lt;&gt;"acoes")))*INDEX(Inputs!$K$5:$AJ$110,0,MATCH(G$2,Inputs!$K$4:$AJ$4,0)))))</f>
        <v>20642</v>
      </c>
      <c r="H50" s="3">
        <f>SUM(D50:G50)</f>
        <v>76033</v>
      </c>
      <c r="I50" s="6">
        <f>IF(ISNA(MATCH(I$2,Inputs!$K$4:$AJ$4,0)),NA(),IF(SUMPRODUCT((Inputs!$A$5:$A$110=$B50)*ISNUMBER(INDEX(Inputs!$K$5:$AJ$110,0,MATCH(I$2,Inputs!$K$4:$AJ$4,0))))+SUMPRODUCT((Inputs!$C$5:$C$110=$B50)*ISNUMBER(INDEX(Inputs!$K$5:$AJ$110,0,MATCH(I$2,Inputs!$K$4:$AJ$4,0))))+SUMPRODUCT((Inputs!$E$5:$E$110=$B50)*ISNUMBER(INDEX(Inputs!$K$5:$AJ$110,0,MATCH(I$2,Inputs!$K$4:$AJ$4,0))))=0,NA(),SUMPRODUCT((Inputs!$A$5:$A$110=$B50)*Inputs!$B$5:$B$110*(((Inputs!$G$5:$G$110="moeda")+(Inputs!$G$5:$G$110="acoes"))*Inputs!$B$1+((Inputs!$G$5:$G$110&lt;&gt;"moeda")*(Inputs!$G$5:$G$110&lt;&gt;"acoes")))*INDEX(Inputs!$K$5:$AJ$110,0,MATCH(I$2,Inputs!$K$4:$AJ$4,0)))+SUMPRODUCT((Inputs!$C$5:$C$110=$B50)*Inputs!$D$5:$D$110*(((Inputs!$G$5:$G$110="moeda")+(Inputs!$G$5:$G$110="acoes"))*Inputs!$B$1+((Inputs!$G$5:$G$110&lt;&gt;"moeda")*(Inputs!$G$5:$G$110&lt;&gt;"acoes")))*INDEX(Inputs!$K$5:$AJ$110,0,MATCH(I$2,Inputs!$K$4:$AJ$4,0)))+SUMPRODUCT((Inputs!$E$5:$E$110=$B50)*Inputs!$F$5:$F$110*(((Inputs!$G$5:$G$110="moeda")+(Inputs!$G$5:$G$110="acoes"))*Inputs!$B$1+((Inputs!$G$5:$G$110&lt;&gt;"moeda")*(Inputs!$G$5:$G$110&lt;&gt;"acoes")))*INDEX(Inputs!$K$5:$AJ$110,0,MATCH(I$2,Inputs!$K$4:$AJ$4,0)))))</f>
        <v>16436</v>
      </c>
      <c r="J50" s="6">
        <f>IF(ISNA(MATCH(J$2,Inputs!$K$4:$AJ$4,0)),NA(),IF(SUMPRODUCT((Inputs!$A$5:$A$110=$B50)*ISNUMBER(INDEX(Inputs!$K$5:$AJ$110,0,MATCH(J$2,Inputs!$K$4:$AJ$4,0))))+SUMPRODUCT((Inputs!$C$5:$C$110=$B50)*ISNUMBER(INDEX(Inputs!$K$5:$AJ$110,0,MATCH(J$2,Inputs!$K$4:$AJ$4,0))))+SUMPRODUCT((Inputs!$E$5:$E$110=$B50)*ISNUMBER(INDEX(Inputs!$K$5:$AJ$110,0,MATCH(J$2,Inputs!$K$4:$AJ$4,0))))=0,NA(),SUMPRODUCT((Inputs!$A$5:$A$110=$B50)*Inputs!$B$5:$B$110*(((Inputs!$G$5:$G$110="moeda")+(Inputs!$G$5:$G$110="acoes"))*Inputs!$B$1+((Inputs!$G$5:$G$110&lt;&gt;"moeda")*(Inputs!$G$5:$G$110&lt;&gt;"acoes")))*INDEX(Inputs!$K$5:$AJ$110,0,MATCH(J$2,Inputs!$K$4:$AJ$4,0)))+SUMPRODUCT((Inputs!$C$5:$C$110=$B50)*Inputs!$D$5:$D$110*(((Inputs!$G$5:$G$110="moeda")+(Inputs!$G$5:$G$110="acoes"))*Inputs!$B$1+((Inputs!$G$5:$G$110&lt;&gt;"moeda")*(Inputs!$G$5:$G$110&lt;&gt;"acoes")))*INDEX(Inputs!$K$5:$AJ$110,0,MATCH(J$2,Inputs!$K$4:$AJ$4,0)))+SUMPRODUCT((Inputs!$E$5:$E$110=$B50)*Inputs!$F$5:$F$110*(((Inputs!$G$5:$G$110="moeda")+(Inputs!$G$5:$G$110="acoes"))*Inputs!$B$1+((Inputs!$G$5:$G$110&lt;&gt;"moeda")*(Inputs!$G$5:$G$110&lt;&gt;"acoes")))*INDEX(Inputs!$K$5:$AJ$110,0,MATCH(J$2,Inputs!$K$4:$AJ$4,0)))))</f>
        <v>16002</v>
      </c>
      <c r="K50" s="6">
        <f>IF(ISNA(MATCH(K$2,Inputs!$K$4:$AJ$4,0)),NA(),IF(SUMPRODUCT((Inputs!$A$5:$A$110=$B50)*ISNUMBER(INDEX(Inputs!$K$5:$AJ$110,0,MATCH(K$2,Inputs!$K$4:$AJ$4,0))))+SUMPRODUCT((Inputs!$C$5:$C$110=$B50)*ISNUMBER(INDEX(Inputs!$K$5:$AJ$110,0,MATCH(K$2,Inputs!$K$4:$AJ$4,0))))+SUMPRODUCT((Inputs!$E$5:$E$110=$B50)*ISNUMBER(INDEX(Inputs!$K$5:$AJ$110,0,MATCH(K$2,Inputs!$K$4:$AJ$4,0))))=0,NA(),SUMPRODUCT((Inputs!$A$5:$A$110=$B50)*Inputs!$B$5:$B$110*(((Inputs!$G$5:$G$110="moeda")+(Inputs!$G$5:$G$110="acoes"))*Inputs!$B$1+((Inputs!$G$5:$G$110&lt;&gt;"moeda")*(Inputs!$G$5:$G$110&lt;&gt;"acoes")))*INDEX(Inputs!$K$5:$AJ$110,0,MATCH(K$2,Inputs!$K$4:$AJ$4,0)))+SUMPRODUCT((Inputs!$C$5:$C$110=$B50)*Inputs!$D$5:$D$110*(((Inputs!$G$5:$G$110="moeda")+(Inputs!$G$5:$G$110="acoes"))*Inputs!$B$1+((Inputs!$G$5:$G$110&lt;&gt;"moeda")*(Inputs!$G$5:$G$110&lt;&gt;"acoes")))*INDEX(Inputs!$K$5:$AJ$110,0,MATCH(K$2,Inputs!$K$4:$AJ$4,0)))+SUMPRODUCT((Inputs!$E$5:$E$110=$B50)*Inputs!$F$5:$F$110*(((Inputs!$G$5:$G$110="moeda")+(Inputs!$G$5:$G$110="acoes"))*Inputs!$B$1+((Inputs!$G$5:$G$110&lt;&gt;"moeda")*(Inputs!$G$5:$G$110&lt;&gt;"acoes")))*INDEX(Inputs!$K$5:$AJ$110,0,MATCH(K$2,Inputs!$K$4:$AJ$4,0)))))</f>
        <v>13910</v>
      </c>
      <c r="L50" s="6">
        <f>IF(ISNA(MATCH(L$2,Inputs!$K$4:$AJ$4,0)),NA(),IF(SUMPRODUCT((Inputs!$A$5:$A$110=$B50)*ISNUMBER(INDEX(Inputs!$K$5:$AJ$110,0,MATCH(L$2,Inputs!$K$4:$AJ$4,0))))+SUMPRODUCT((Inputs!$C$5:$C$110=$B50)*ISNUMBER(INDEX(Inputs!$K$5:$AJ$110,0,MATCH(L$2,Inputs!$K$4:$AJ$4,0))))+SUMPRODUCT((Inputs!$E$5:$E$110=$B50)*ISNUMBER(INDEX(Inputs!$K$5:$AJ$110,0,MATCH(L$2,Inputs!$K$4:$AJ$4,0))))=0,NA(),SUMPRODUCT((Inputs!$A$5:$A$110=$B50)*Inputs!$B$5:$B$110*(((Inputs!$G$5:$G$110="moeda")+(Inputs!$G$5:$G$110="acoes"))*Inputs!$B$1+((Inputs!$G$5:$G$110&lt;&gt;"moeda")*(Inputs!$G$5:$G$110&lt;&gt;"acoes")))*INDEX(Inputs!$K$5:$AJ$110,0,MATCH(L$2,Inputs!$K$4:$AJ$4,0)))+SUMPRODUCT((Inputs!$C$5:$C$110=$B50)*Inputs!$D$5:$D$110*(((Inputs!$G$5:$G$110="moeda")+(Inputs!$G$5:$G$110="acoes"))*Inputs!$B$1+((Inputs!$G$5:$G$110&lt;&gt;"moeda")*(Inputs!$G$5:$G$110&lt;&gt;"acoes")))*INDEX(Inputs!$K$5:$AJ$110,0,MATCH(L$2,Inputs!$K$4:$AJ$4,0)))+SUMPRODUCT((Inputs!$E$5:$E$110=$B50)*Inputs!$F$5:$F$110*(((Inputs!$G$5:$G$110="moeda")+(Inputs!$G$5:$G$110="acoes"))*Inputs!$B$1+((Inputs!$G$5:$G$110&lt;&gt;"moeda")*(Inputs!$G$5:$G$110&lt;&gt;"acoes")))*INDEX(Inputs!$K$5:$AJ$110,0,MATCH(L$2,Inputs!$K$4:$AJ$4,0)))))</f>
        <v>13624</v>
      </c>
      <c r="M50" s="3">
        <f>SUM(I50:L50)</f>
        <v>59972</v>
      </c>
      <c r="N50" s="6">
        <f>IF(ISNA(MATCH(N$2,Inputs!$K$4:$AJ$4,0)),NA(),IF(SUMPRODUCT((Inputs!$A$5:$A$110=$B50)*ISNUMBER(INDEX(Inputs!$K$5:$AJ$110,0,MATCH(N$2,Inputs!$K$4:$AJ$4,0))))+SUMPRODUCT((Inputs!$C$5:$C$110=$B50)*ISNUMBER(INDEX(Inputs!$K$5:$AJ$110,0,MATCH(N$2,Inputs!$K$4:$AJ$4,0))))+SUMPRODUCT((Inputs!$E$5:$E$110=$B50)*ISNUMBER(INDEX(Inputs!$K$5:$AJ$110,0,MATCH(N$2,Inputs!$K$4:$AJ$4,0))))=0,NA(),SUMPRODUCT((Inputs!$A$5:$A$110=$B50)*Inputs!$B$5:$B$110*(((Inputs!$G$5:$G$110="moeda")+(Inputs!$G$5:$G$110="acoes"))*Inputs!$B$1+((Inputs!$G$5:$G$110&lt;&gt;"moeda")*(Inputs!$G$5:$G$110&lt;&gt;"acoes")))*INDEX(Inputs!$K$5:$AJ$110,0,MATCH(N$2,Inputs!$K$4:$AJ$4,0)))+SUMPRODUCT((Inputs!$C$5:$C$110=$B50)*Inputs!$D$5:$D$110*(((Inputs!$G$5:$G$110="moeda")+(Inputs!$G$5:$G$110="acoes"))*Inputs!$B$1+((Inputs!$G$5:$G$110&lt;&gt;"moeda")*(Inputs!$G$5:$G$110&lt;&gt;"acoes")))*INDEX(Inputs!$K$5:$AJ$110,0,MATCH(N$2,Inputs!$K$4:$AJ$4,0)))+SUMPRODUCT((Inputs!$E$5:$E$110=$B50)*Inputs!$F$5:$F$110*(((Inputs!$G$5:$G$110="moeda")+(Inputs!$G$5:$G$110="acoes"))*Inputs!$B$1+((Inputs!$G$5:$G$110&lt;&gt;"moeda")*(Inputs!$G$5:$G$110&lt;&gt;"acoes")))*INDEX(Inputs!$K$5:$AJ$110,0,MATCH(N$2,Inputs!$K$4:$AJ$4,0)))))</f>
        <v>15051</v>
      </c>
      <c r="O50" s="6">
        <f>IF(ISNA(MATCH(O$2,Inputs!$K$4:$AJ$4,0)),NA(),IF(SUMPRODUCT((Inputs!$A$5:$A$110=$B50)*ISNUMBER(INDEX(Inputs!$K$5:$AJ$110,0,MATCH(O$2,Inputs!$K$4:$AJ$4,0))))+SUMPRODUCT((Inputs!$C$5:$C$110=$B50)*ISNUMBER(INDEX(Inputs!$K$5:$AJ$110,0,MATCH(O$2,Inputs!$K$4:$AJ$4,0))))+SUMPRODUCT((Inputs!$E$5:$E$110=$B50)*ISNUMBER(INDEX(Inputs!$K$5:$AJ$110,0,MATCH(O$2,Inputs!$K$4:$AJ$4,0))))=0,NA(),SUMPRODUCT((Inputs!$A$5:$A$110=$B50)*Inputs!$B$5:$B$110*(((Inputs!$G$5:$G$110="moeda")+(Inputs!$G$5:$G$110="acoes"))*Inputs!$B$1+((Inputs!$G$5:$G$110&lt;&gt;"moeda")*(Inputs!$G$5:$G$110&lt;&gt;"acoes")))*INDEX(Inputs!$K$5:$AJ$110,0,MATCH(O$2,Inputs!$K$4:$AJ$4,0)))+SUMPRODUCT((Inputs!$C$5:$C$110=$B50)*Inputs!$D$5:$D$110*(((Inputs!$G$5:$G$110="moeda")+(Inputs!$G$5:$G$110="acoes"))*Inputs!$B$1+((Inputs!$G$5:$G$110&lt;&gt;"moeda")*(Inputs!$G$5:$G$110&lt;&gt;"acoes")))*INDEX(Inputs!$K$5:$AJ$110,0,MATCH(O$2,Inputs!$K$4:$AJ$4,0)))+SUMPRODUCT((Inputs!$E$5:$E$110=$B50)*Inputs!$F$5:$F$110*(((Inputs!$G$5:$G$110="moeda")+(Inputs!$G$5:$G$110="acoes"))*Inputs!$B$1+((Inputs!$G$5:$G$110&lt;&gt;"moeda")*(Inputs!$G$5:$G$110&lt;&gt;"acoes")))*INDEX(Inputs!$K$5:$AJ$110,0,MATCH(O$2,Inputs!$K$4:$AJ$4,0)))))</f>
        <v>18368</v>
      </c>
      <c r="P50" s="6">
        <f>IF(ISNA(MATCH(P$2,Inputs!$K$4:$AJ$4,0)),NA(),IF(SUMPRODUCT((Inputs!$A$5:$A$110=$B50)*ISNUMBER(INDEX(Inputs!$K$5:$AJ$110,0,MATCH(P$2,Inputs!$K$4:$AJ$4,0))))+SUMPRODUCT((Inputs!$C$5:$C$110=$B50)*ISNUMBER(INDEX(Inputs!$K$5:$AJ$110,0,MATCH(P$2,Inputs!$K$4:$AJ$4,0))))+SUMPRODUCT((Inputs!$E$5:$E$110=$B50)*ISNUMBER(INDEX(Inputs!$K$5:$AJ$110,0,MATCH(P$2,Inputs!$K$4:$AJ$4,0))))=0,NA(),SUMPRODUCT((Inputs!$A$5:$A$110=$B50)*Inputs!$B$5:$B$110*(((Inputs!$G$5:$G$110="moeda")+(Inputs!$G$5:$G$110="acoes"))*Inputs!$B$1+((Inputs!$G$5:$G$110&lt;&gt;"moeda")*(Inputs!$G$5:$G$110&lt;&gt;"acoes")))*INDEX(Inputs!$K$5:$AJ$110,0,MATCH(P$2,Inputs!$K$4:$AJ$4,0)))+SUMPRODUCT((Inputs!$C$5:$C$110=$B50)*Inputs!$D$5:$D$110*(((Inputs!$G$5:$G$110="moeda")+(Inputs!$G$5:$G$110="acoes"))*Inputs!$B$1+((Inputs!$G$5:$G$110&lt;&gt;"moeda")*(Inputs!$G$5:$G$110&lt;&gt;"acoes")))*INDEX(Inputs!$K$5:$AJ$110,0,MATCH(P$2,Inputs!$K$4:$AJ$4,0)))+SUMPRODUCT((Inputs!$E$5:$E$110=$B50)*Inputs!$F$5:$F$110*(((Inputs!$G$5:$G$110="moeda")+(Inputs!$G$5:$G$110="acoes"))*Inputs!$B$1+((Inputs!$G$5:$G$110&lt;&gt;"moeda")*(Inputs!$G$5:$G$110&lt;&gt;"acoes")))*INDEX(Inputs!$K$5:$AJ$110,0,MATCH(P$2,Inputs!$K$4:$AJ$4,0)))))</f>
        <v>19689</v>
      </c>
      <c r="Q50" s="6">
        <f>IF(ISNA(MATCH(Q$2,Inputs!$K$4:$AJ$4,0)),NA(),IF(SUMPRODUCT((Inputs!$A$5:$A$110=$B50)*ISNUMBER(INDEX(Inputs!$K$5:$AJ$110,0,MATCH(Q$2,Inputs!$K$4:$AJ$4,0))))+SUMPRODUCT((Inputs!$C$5:$C$110=$B50)*ISNUMBER(INDEX(Inputs!$K$5:$AJ$110,0,MATCH(Q$2,Inputs!$K$4:$AJ$4,0))))+SUMPRODUCT((Inputs!$E$5:$E$110=$B50)*ISNUMBER(INDEX(Inputs!$K$5:$AJ$110,0,MATCH(Q$2,Inputs!$K$4:$AJ$4,0))))=0,NA(),SUMPRODUCT((Inputs!$A$5:$A$110=$B50)*Inputs!$B$5:$B$110*(((Inputs!$G$5:$G$110="moeda")+(Inputs!$G$5:$G$110="acoes"))*Inputs!$B$1+((Inputs!$G$5:$G$110&lt;&gt;"moeda")*(Inputs!$G$5:$G$110&lt;&gt;"acoes")))*INDEX(Inputs!$K$5:$AJ$110,0,MATCH(Q$2,Inputs!$K$4:$AJ$4,0)))+SUMPRODUCT((Inputs!$C$5:$C$110=$B50)*Inputs!$D$5:$D$110*(((Inputs!$G$5:$G$110="moeda")+(Inputs!$G$5:$G$110="acoes"))*Inputs!$B$1+((Inputs!$G$5:$G$110&lt;&gt;"moeda")*(Inputs!$G$5:$G$110&lt;&gt;"acoes")))*INDEX(Inputs!$K$5:$AJ$110,0,MATCH(Q$2,Inputs!$K$4:$AJ$4,0)))+SUMPRODUCT((Inputs!$E$5:$E$110=$B50)*Inputs!$F$5:$F$110*(((Inputs!$G$5:$G$110="moeda")+(Inputs!$G$5:$G$110="acoes"))*Inputs!$B$1+((Inputs!$G$5:$G$110&lt;&gt;"moeda")*(Inputs!$G$5:$G$110&lt;&gt;"acoes")))*INDEX(Inputs!$K$5:$AJ$110,0,MATCH(Q$2,Inputs!$K$4:$AJ$4,0)))))</f>
        <v>20687</v>
      </c>
      <c r="R50" s="3">
        <f>SUM(N50:Q50)</f>
        <v>73795</v>
      </c>
      <c r="S50" s="6">
        <f>IF(ISNA(MATCH(S$2,Inputs!$K$4:$AJ$4,0)),NA(),IF(SUMPRODUCT((Inputs!$A$5:$A$110=$B50)*ISNUMBER(INDEX(Inputs!$K$5:$AJ$110,0,MATCH(S$2,Inputs!$K$4:$AJ$4,0))))+SUMPRODUCT((Inputs!$C$5:$C$110=$B50)*ISNUMBER(INDEX(Inputs!$K$5:$AJ$110,0,MATCH(S$2,Inputs!$K$4:$AJ$4,0))))+SUMPRODUCT((Inputs!$E$5:$E$110=$B50)*ISNUMBER(INDEX(Inputs!$K$5:$AJ$110,0,MATCH(S$2,Inputs!$K$4:$AJ$4,0))))=0,NA(),SUMPRODUCT((Inputs!$A$5:$A$110=$B50)*Inputs!$B$5:$B$110*(((Inputs!$G$5:$G$110="moeda")+(Inputs!$G$5:$G$110="acoes"))*Inputs!$B$1+((Inputs!$G$5:$G$110&lt;&gt;"moeda")*(Inputs!$G$5:$G$110&lt;&gt;"acoes")))*INDEX(Inputs!$K$5:$AJ$110,0,MATCH(S$2,Inputs!$K$4:$AJ$4,0)))+SUMPRODUCT((Inputs!$C$5:$C$110=$B50)*Inputs!$D$5:$D$110*(((Inputs!$G$5:$G$110="moeda")+(Inputs!$G$5:$G$110="acoes"))*Inputs!$B$1+((Inputs!$G$5:$G$110&lt;&gt;"moeda")*(Inputs!$G$5:$G$110&lt;&gt;"acoes")))*INDEX(Inputs!$K$5:$AJ$110,0,MATCH(S$2,Inputs!$K$4:$AJ$4,0)))+SUMPRODUCT((Inputs!$E$5:$E$110=$B50)*Inputs!$F$5:$F$110*(((Inputs!$G$5:$G$110="moeda")+(Inputs!$G$5:$G$110="acoes"))*Inputs!$B$1+((Inputs!$G$5:$G$110&lt;&gt;"moeda")*(Inputs!$G$5:$G$110&lt;&gt;"acoes")))*INDEX(Inputs!$K$5:$AJ$110,0,MATCH(S$2,Inputs!$K$4:$AJ$4,0)))))</f>
        <v>23662</v>
      </c>
      <c r="T50" s="6">
        <f>IF(ISNA(MATCH(T$2,Inputs!$K$4:$AJ$4,0)),NA(),IF(SUMPRODUCT((Inputs!$A$5:$A$110=$B50)*ISNUMBER(INDEX(Inputs!$K$5:$AJ$110,0,MATCH(T$2,Inputs!$K$4:$AJ$4,0))))+SUMPRODUCT((Inputs!$C$5:$C$110=$B50)*ISNUMBER(INDEX(Inputs!$K$5:$AJ$110,0,MATCH(T$2,Inputs!$K$4:$AJ$4,0))))+SUMPRODUCT((Inputs!$E$5:$E$110=$B50)*ISNUMBER(INDEX(Inputs!$K$5:$AJ$110,0,MATCH(T$2,Inputs!$K$4:$AJ$4,0))))=0,NA(),SUMPRODUCT((Inputs!$A$5:$A$110=$B50)*Inputs!$B$5:$B$110*(((Inputs!$G$5:$G$110="moeda")+(Inputs!$G$5:$G$110="acoes"))*Inputs!$B$1+((Inputs!$G$5:$G$110&lt;&gt;"moeda")*(Inputs!$G$5:$G$110&lt;&gt;"acoes")))*INDEX(Inputs!$K$5:$AJ$110,0,MATCH(T$2,Inputs!$K$4:$AJ$4,0)))+SUMPRODUCT((Inputs!$C$5:$C$110=$B50)*Inputs!$D$5:$D$110*(((Inputs!$G$5:$G$110="moeda")+(Inputs!$G$5:$G$110="acoes"))*Inputs!$B$1+((Inputs!$G$5:$G$110&lt;&gt;"moeda")*(Inputs!$G$5:$G$110&lt;&gt;"acoes")))*INDEX(Inputs!$K$5:$AJ$110,0,MATCH(T$2,Inputs!$K$4:$AJ$4,0)))+SUMPRODUCT((Inputs!$E$5:$E$110=$B50)*Inputs!$F$5:$F$110*(((Inputs!$G$5:$G$110="moeda")+(Inputs!$G$5:$G$110="acoes"))*Inputs!$B$1+((Inputs!$G$5:$G$110&lt;&gt;"moeda")*(Inputs!$G$5:$G$110&lt;&gt;"acoes")))*INDEX(Inputs!$K$5:$AJ$110,0,MATCH(T$2,Inputs!$K$4:$AJ$4,0)))))</f>
        <v>23619</v>
      </c>
      <c r="U50" s="6">
        <f>IF(ISNA(MATCH(U$2,Inputs!$K$4:$AJ$4,0)),NA(),IF(SUMPRODUCT((Inputs!$A$5:$A$110=$B50)*ISNUMBER(INDEX(Inputs!$K$5:$AJ$110,0,MATCH(U$2,Inputs!$K$4:$AJ$4,0))))+SUMPRODUCT((Inputs!$C$5:$C$110=$B50)*ISNUMBER(INDEX(Inputs!$K$5:$AJ$110,0,MATCH(U$2,Inputs!$K$4:$AJ$4,0))))+SUMPRODUCT((Inputs!$E$5:$E$110=$B50)*ISNUMBER(INDEX(Inputs!$K$5:$AJ$110,0,MATCH(U$2,Inputs!$K$4:$AJ$4,0))))=0,NA(),SUMPRODUCT((Inputs!$A$5:$A$110=$B50)*Inputs!$B$5:$B$110*(((Inputs!$G$5:$G$110="moeda")+(Inputs!$G$5:$G$110="acoes"))*Inputs!$B$1+((Inputs!$G$5:$G$110&lt;&gt;"moeda")*(Inputs!$G$5:$G$110&lt;&gt;"acoes")))*INDEX(Inputs!$K$5:$AJ$110,0,MATCH(U$2,Inputs!$K$4:$AJ$4,0)))+SUMPRODUCT((Inputs!$C$5:$C$110=$B50)*Inputs!$D$5:$D$110*(((Inputs!$G$5:$G$110="moeda")+(Inputs!$G$5:$G$110="acoes"))*Inputs!$B$1+((Inputs!$G$5:$G$110&lt;&gt;"moeda")*(Inputs!$G$5:$G$110&lt;&gt;"acoes")))*INDEX(Inputs!$K$5:$AJ$110,0,MATCH(U$2,Inputs!$K$4:$AJ$4,0)))+SUMPRODUCT((Inputs!$E$5:$E$110=$B50)*Inputs!$F$5:$F$110*(((Inputs!$G$5:$G$110="moeda")+(Inputs!$G$5:$G$110="acoes"))*Inputs!$B$1+((Inputs!$G$5:$G$110&lt;&gt;"moeda")*(Inputs!$G$5:$G$110&lt;&gt;"acoes")))*INDEX(Inputs!$K$5:$AJ$110,0,MATCH(U$2,Inputs!$K$4:$AJ$4,0)))))</f>
        <v>26301</v>
      </c>
      <c r="V50" s="6">
        <f>IF(ISNA(MATCH(V$2,Inputs!$K$4:$AJ$4,0)),NA(),IF(SUMPRODUCT((Inputs!$A$5:$A$110=$B50)*ISNUMBER(INDEX(Inputs!$K$5:$AJ$110,0,MATCH(V$2,Inputs!$K$4:$AJ$4,0))))+SUMPRODUCT((Inputs!$C$5:$C$110=$B50)*ISNUMBER(INDEX(Inputs!$K$5:$AJ$110,0,MATCH(V$2,Inputs!$K$4:$AJ$4,0))))+SUMPRODUCT((Inputs!$E$5:$E$110=$B50)*ISNUMBER(INDEX(Inputs!$K$5:$AJ$110,0,MATCH(V$2,Inputs!$K$4:$AJ$4,0))))=0,NA(),SUMPRODUCT((Inputs!$A$5:$A$110=$B50)*Inputs!$B$5:$B$110*(((Inputs!$G$5:$G$110="moeda")+(Inputs!$G$5:$G$110="acoes"))*Inputs!$B$1+((Inputs!$G$5:$G$110&lt;&gt;"moeda")*(Inputs!$G$5:$G$110&lt;&gt;"acoes")))*INDEX(Inputs!$K$5:$AJ$110,0,MATCH(V$2,Inputs!$K$4:$AJ$4,0)))+SUMPRODUCT((Inputs!$C$5:$C$110=$B50)*Inputs!$D$5:$D$110*(((Inputs!$G$5:$G$110="moeda")+(Inputs!$G$5:$G$110="acoes"))*Inputs!$B$1+((Inputs!$G$5:$G$110&lt;&gt;"moeda")*(Inputs!$G$5:$G$110&lt;&gt;"acoes")))*INDEX(Inputs!$K$5:$AJ$110,0,MATCH(V$2,Inputs!$K$4:$AJ$4,0)))+SUMPRODUCT((Inputs!$E$5:$E$110=$B50)*Inputs!$F$5:$F$110*(((Inputs!$G$5:$G$110="moeda")+(Inputs!$G$5:$G$110="acoes"))*Inputs!$B$1+((Inputs!$G$5:$G$110&lt;&gt;"moeda")*(Inputs!$G$5:$G$110&lt;&gt;"acoes")))*INDEX(Inputs!$K$5:$AJ$110,0,MATCH(V$2,Inputs!$K$4:$AJ$4,0)))))</f>
        <v>26536</v>
      </c>
      <c r="W50" s="3">
        <f>SUM(S50:V50)</f>
        <v>100118</v>
      </c>
      <c r="X50" s="6">
        <f>IF(ISNA(MATCH(X$2,Inputs!$K$4:$AJ$4,0)),NA(),IF(SUMPRODUCT((Inputs!$A$5:$A$110=$B50)*ISNUMBER(INDEX(Inputs!$K$5:$AJ$110,0,MATCH(X$2,Inputs!$K$4:$AJ$4,0))))+SUMPRODUCT((Inputs!$C$5:$C$110=$B50)*ISNUMBER(INDEX(Inputs!$K$5:$AJ$110,0,MATCH(X$2,Inputs!$K$4:$AJ$4,0))))+SUMPRODUCT((Inputs!$E$5:$E$110=$B50)*ISNUMBER(INDEX(Inputs!$K$5:$AJ$110,0,MATCH(X$2,Inputs!$K$4:$AJ$4,0))))=0,NA(),SUMPRODUCT((Inputs!$A$5:$A$110=$B50)*Inputs!$B$5:$B$110*(((Inputs!$G$5:$G$110="moeda")+(Inputs!$G$5:$G$110="acoes"))*Inputs!$B$1+((Inputs!$G$5:$G$110&lt;&gt;"moeda")*(Inputs!$G$5:$G$110&lt;&gt;"acoes")))*INDEX(Inputs!$K$5:$AJ$110,0,MATCH(X$2,Inputs!$K$4:$AJ$4,0)))+SUMPRODUCT((Inputs!$C$5:$C$110=$B50)*Inputs!$D$5:$D$110*(((Inputs!$G$5:$G$110="moeda")+(Inputs!$G$5:$G$110="acoes"))*Inputs!$B$1+((Inputs!$G$5:$G$110&lt;&gt;"moeda")*(Inputs!$G$5:$G$110&lt;&gt;"acoes")))*INDEX(Inputs!$K$5:$AJ$110,0,MATCH(X$2,Inputs!$K$4:$AJ$4,0)))+SUMPRODUCT((Inputs!$E$5:$E$110=$B50)*Inputs!$F$5:$F$110*(((Inputs!$G$5:$G$110="moeda")+(Inputs!$G$5:$G$110="acoes"))*Inputs!$B$1+((Inputs!$G$5:$G$110&lt;&gt;"moeda")*(Inputs!$G$5:$G$110&lt;&gt;"acoes")))*INDEX(Inputs!$K$5:$AJ$110,0,MATCH(X$2,Inputs!$K$4:$AJ$4,0)))))</f>
        <v>34540</v>
      </c>
      <c r="Y50" s="6">
        <f>IF(ISNA(MATCH(Y$2,Inputs!$K$4:$AJ$4,0)),NA(),IF(SUMPRODUCT((Inputs!$A$5:$A$110=$B50)*ISNUMBER(INDEX(Inputs!$K$5:$AJ$110,0,MATCH(Y$2,Inputs!$K$4:$AJ$4,0))))+SUMPRODUCT((Inputs!$C$5:$C$110=$B50)*ISNUMBER(INDEX(Inputs!$K$5:$AJ$110,0,MATCH(Y$2,Inputs!$K$4:$AJ$4,0))))+SUMPRODUCT((Inputs!$E$5:$E$110=$B50)*ISNUMBER(INDEX(Inputs!$K$5:$AJ$110,0,MATCH(Y$2,Inputs!$K$4:$AJ$4,0))))=0,NA(),SUMPRODUCT((Inputs!$A$5:$A$110=$B50)*Inputs!$B$5:$B$110*(((Inputs!$G$5:$G$110="moeda")+(Inputs!$G$5:$G$110="acoes"))*Inputs!$B$1+((Inputs!$G$5:$G$110&lt;&gt;"moeda")*(Inputs!$G$5:$G$110&lt;&gt;"acoes")))*INDEX(Inputs!$K$5:$AJ$110,0,MATCH(Y$2,Inputs!$K$4:$AJ$4,0)))+SUMPRODUCT((Inputs!$C$5:$C$110=$B50)*Inputs!$D$5:$D$110*(((Inputs!$G$5:$G$110="moeda")+(Inputs!$G$5:$G$110="acoes"))*Inputs!$B$1+((Inputs!$G$5:$G$110&lt;&gt;"moeda")*(Inputs!$G$5:$G$110&lt;&gt;"acoes")))*INDEX(Inputs!$K$5:$AJ$110,0,MATCH(Y$2,Inputs!$K$4:$AJ$4,0)))+SUMPRODUCT((Inputs!$E$5:$E$110=$B50)*Inputs!$F$5:$F$110*(((Inputs!$G$5:$G$110="moeda")+(Inputs!$G$5:$G$110="acoes"))*Inputs!$B$1+((Inputs!$G$5:$G$110&lt;&gt;"moeda")*(Inputs!$G$5:$G$110&lt;&gt;"acoes")))*INDEX(Inputs!$K$5:$AJ$110,0,MATCH(Y$2,Inputs!$K$4:$AJ$4,0)))))</f>
        <v>28196</v>
      </c>
      <c r="Z50" s="6">
        <f>IF(ISNA(MATCH(Z$2,Inputs!$K$4:$AJ$4,0)),NA(),IF(SUMPRODUCT((Inputs!$A$5:$A$110=$B50)*ISNUMBER(INDEX(Inputs!$K$5:$AJ$110,0,MATCH(Z$2,Inputs!$K$4:$AJ$4,0))))+SUMPRODUCT((Inputs!$C$5:$C$110=$B50)*ISNUMBER(INDEX(Inputs!$K$5:$AJ$110,0,MATCH(Z$2,Inputs!$K$4:$AJ$4,0))))+SUMPRODUCT((Inputs!$E$5:$E$110=$B50)*ISNUMBER(INDEX(Inputs!$K$5:$AJ$110,0,MATCH(Z$2,Inputs!$K$4:$AJ$4,0))))=0,NA(),SUMPRODUCT((Inputs!$A$5:$A$110=$B50)*Inputs!$B$5:$B$110*(((Inputs!$G$5:$G$110="moeda")+(Inputs!$G$5:$G$110="acoes"))*Inputs!$B$1+((Inputs!$G$5:$G$110&lt;&gt;"moeda")*(Inputs!$G$5:$G$110&lt;&gt;"acoes")))*INDEX(Inputs!$K$5:$AJ$110,0,MATCH(Z$2,Inputs!$K$4:$AJ$4,0)))+SUMPRODUCT((Inputs!$C$5:$C$110=$B50)*Inputs!$D$5:$D$110*(((Inputs!$G$5:$G$110="moeda")+(Inputs!$G$5:$G$110="acoes"))*Inputs!$B$1+((Inputs!$G$5:$G$110&lt;&gt;"moeda")*(Inputs!$G$5:$G$110&lt;&gt;"acoes")))*INDEX(Inputs!$K$5:$AJ$110,0,MATCH(Z$2,Inputs!$K$4:$AJ$4,0)))+SUMPRODUCT((Inputs!$E$5:$E$110=$B50)*Inputs!$F$5:$F$110*(((Inputs!$G$5:$G$110="moeda")+(Inputs!$G$5:$G$110="acoes"))*Inputs!$B$1+((Inputs!$G$5:$G$110&lt;&gt;"moeda")*(Inputs!$G$5:$G$110&lt;&gt;"acoes")))*INDEX(Inputs!$K$5:$AJ$110,0,MATCH(Z$2,Inputs!$K$4:$AJ$4,0)))))</f>
        <v>34979</v>
      </c>
      <c r="AA50" s="6">
        <f>IF(ISNA(MATCH(AA$2,Inputs!$K$4:$AJ$4,0)),NA(),IF(SUMPRODUCT((Inputs!$A$5:$A$110=$B50)*ISNUMBER(INDEX(Inputs!$K$5:$AJ$110,0,MATCH(AA$2,Inputs!$K$4:$AJ$4,0))))+SUMPRODUCT((Inputs!$C$5:$C$110=$B50)*ISNUMBER(INDEX(Inputs!$K$5:$AJ$110,0,MATCH(AA$2,Inputs!$K$4:$AJ$4,0))))+SUMPRODUCT((Inputs!$E$5:$E$110=$B50)*ISNUMBER(INDEX(Inputs!$K$5:$AJ$110,0,MATCH(AA$2,Inputs!$K$4:$AJ$4,0))))=0,NA(),SUMPRODUCT((Inputs!$A$5:$A$110=$B50)*Inputs!$B$5:$B$110*(((Inputs!$G$5:$G$110="moeda")+(Inputs!$G$5:$G$110="acoes"))*Inputs!$B$1+((Inputs!$G$5:$G$110&lt;&gt;"moeda")*(Inputs!$G$5:$G$110&lt;&gt;"acoes")))*INDEX(Inputs!$K$5:$AJ$110,0,MATCH(AA$2,Inputs!$K$4:$AJ$4,0)))+SUMPRODUCT((Inputs!$C$5:$C$110=$B50)*Inputs!$D$5:$D$110*(((Inputs!$G$5:$G$110="moeda")+(Inputs!$G$5:$G$110="acoes"))*Inputs!$B$1+((Inputs!$G$5:$G$110&lt;&gt;"moeda")*(Inputs!$G$5:$G$110&lt;&gt;"acoes")))*INDEX(Inputs!$K$5:$AJ$110,0,MATCH(AA$2,Inputs!$K$4:$AJ$4,0)))+SUMPRODUCT((Inputs!$E$5:$E$110=$B50)*Inputs!$F$5:$F$110*(((Inputs!$G$5:$G$110="moeda")+(Inputs!$G$5:$G$110="acoes"))*Inputs!$B$1+((Inputs!$G$5:$G$110&lt;&gt;"moeda")*(Inputs!$G$5:$G$110&lt;&gt;"acoes")))*INDEX(Inputs!$K$5:$AJ$110,0,MATCH(AA$2,Inputs!$K$4:$AJ$4,0)))))</f>
        <v>34455</v>
      </c>
      <c r="AB50" s="3">
        <f>SUM(X50:AA50)</f>
        <v>132170</v>
      </c>
      <c r="AC50" s="6">
        <f>IF(ISNA(MATCH(AC$2,Inputs!$K$4:$AJ$4,0)),NA(),IF(SUMPRODUCT((Inputs!$A$5:$A$110=$B50)*ISNUMBER(INDEX(Inputs!$K$5:$AJ$110,0,MATCH(AC$2,Inputs!$K$4:$AJ$4,0))))+SUMPRODUCT((Inputs!$C$5:$C$110=$B50)*ISNUMBER(INDEX(Inputs!$K$5:$AJ$110,0,MATCH(AC$2,Inputs!$K$4:$AJ$4,0))))+SUMPRODUCT((Inputs!$E$5:$E$110=$B50)*ISNUMBER(INDEX(Inputs!$K$5:$AJ$110,0,MATCH(AC$2,Inputs!$K$4:$AJ$4,0))))=0,NA(),SUMPRODUCT((Inputs!$A$5:$A$110=$B50)*Inputs!$B$5:$B$110*(((Inputs!$G$5:$G$110="moeda")+(Inputs!$G$5:$G$110="acoes"))*Inputs!$B$1+((Inputs!$G$5:$G$110&lt;&gt;"moeda")*(Inputs!$G$5:$G$110&lt;&gt;"acoes")))*INDEX(Inputs!$K$5:$AJ$110,0,MATCH(AC$2,Inputs!$K$4:$AJ$4,0)))+SUMPRODUCT((Inputs!$C$5:$C$110=$B50)*Inputs!$D$5:$D$110*(((Inputs!$G$5:$G$110="moeda")+(Inputs!$G$5:$G$110="acoes"))*Inputs!$B$1+((Inputs!$G$5:$G$110&lt;&gt;"moeda")*(Inputs!$G$5:$G$110&lt;&gt;"acoes")))*INDEX(Inputs!$K$5:$AJ$110,0,MATCH(AC$2,Inputs!$K$4:$AJ$4,0)))+SUMPRODUCT((Inputs!$E$5:$E$110=$B50)*Inputs!$F$5:$F$110*(((Inputs!$G$5:$G$110="moeda")+(Inputs!$G$5:$G$110="acoes"))*Inputs!$B$1+((Inputs!$G$5:$G$110&lt;&gt;"moeda")*(Inputs!$G$5:$G$110&lt;&gt;"acoes")))*INDEX(Inputs!$K$5:$AJ$110,0,MATCH(AC$2,Inputs!$K$4:$AJ$4,0)))))</f>
        <v>62578</v>
      </c>
      <c r="AD50" s="6">
        <f>IF(ISNA(MATCH(AD$2,Inputs!$K$4:$AJ$4,0)),NA(),IF(SUMPRODUCT((Inputs!$A$5:$A$110=$B50)*ISNUMBER(INDEX(Inputs!$K$5:$AJ$110,0,MATCH(AD$2,Inputs!$K$4:$AJ$4,0))))+SUMPRODUCT((Inputs!$C$5:$C$110=$B50)*ISNUMBER(INDEX(Inputs!$K$5:$AJ$110,0,MATCH(AD$2,Inputs!$K$4:$AJ$4,0))))+SUMPRODUCT((Inputs!$E$5:$E$110=$B50)*ISNUMBER(INDEX(Inputs!$K$5:$AJ$110,0,MATCH(AD$2,Inputs!$K$4:$AJ$4,0))))=0,NA(),SUMPRODUCT((Inputs!$A$5:$A$110=$B50)*Inputs!$B$5:$B$110*(((Inputs!$G$5:$G$110="moeda")+(Inputs!$G$5:$G$110="acoes"))*Inputs!$B$1+((Inputs!$G$5:$G$110&lt;&gt;"moeda")*(Inputs!$G$5:$G$110&lt;&gt;"acoes")))*INDEX(Inputs!$K$5:$AJ$110,0,MATCH(AD$2,Inputs!$K$4:$AJ$4,0)))+SUMPRODUCT((Inputs!$C$5:$C$110=$B50)*Inputs!$D$5:$D$110*(((Inputs!$G$5:$G$110="moeda")+(Inputs!$G$5:$G$110="acoes"))*Inputs!$B$1+((Inputs!$G$5:$G$110&lt;&gt;"moeda")*(Inputs!$G$5:$G$110&lt;&gt;"acoes")))*INDEX(Inputs!$K$5:$AJ$110,0,MATCH(AD$2,Inputs!$K$4:$AJ$4,0)))+SUMPRODUCT((Inputs!$E$5:$E$110=$B50)*Inputs!$F$5:$F$110*(((Inputs!$G$5:$G$110="moeda")+(Inputs!$G$5:$G$110="acoes"))*Inputs!$B$1+((Inputs!$G$5:$G$110&lt;&gt;"moeda")*(Inputs!$G$5:$G$110&lt;&gt;"acoes")))*INDEX(Inputs!$K$5:$AJ$110,0,MATCH(AD$2,Inputs!$K$4:$AJ$4,0)))))</f>
        <v>112193</v>
      </c>
      <c r="AE50" s="6" t="e">
        <f>IF(ISNA(MATCH(AE$2,Inputs!$K$4:$AJ$4,0)),NA(),IF(SUMPRODUCT((Inputs!$A$5:$A$110=$B50)*ISNUMBER(INDEX(Inputs!$K$5:$AJ$110,0,MATCH(AE$2,Inputs!$K$4:$AJ$4,0))))+SUMPRODUCT((Inputs!$C$5:$C$110=$B50)*ISNUMBER(INDEX(Inputs!$K$5:$AJ$110,0,MATCH(AE$2,Inputs!$K$4:$AJ$4,0))))+SUMPRODUCT((Inputs!$E$5:$E$110=$B50)*ISNUMBER(INDEX(Inputs!$K$5:$AJ$110,0,MATCH(AE$2,Inputs!$K$4:$AJ$4,0))))=0,NA(),SUMPRODUCT((Inputs!$A$5:$A$110=$B50)*Inputs!$B$5:$B$110*(((Inputs!$G$5:$G$110="moeda")+(Inputs!$G$5:$G$110="acoes"))*Inputs!$B$1+((Inputs!$G$5:$G$110&lt;&gt;"moeda")*(Inputs!$G$5:$G$110&lt;&gt;"acoes")))*INDEX(Inputs!$K$5:$AJ$110,0,MATCH(AE$2,Inputs!$K$4:$AJ$4,0)))+SUMPRODUCT((Inputs!$C$5:$C$110=$B50)*Inputs!$D$5:$D$110*(((Inputs!$G$5:$G$110="moeda")+(Inputs!$G$5:$G$110="acoes"))*Inputs!$B$1+((Inputs!$G$5:$G$110&lt;&gt;"moeda")*(Inputs!$G$5:$G$110&lt;&gt;"acoes")))*INDEX(Inputs!$K$5:$AJ$110,0,MATCH(AE$2,Inputs!$K$4:$AJ$4,0)))+SUMPRODUCT((Inputs!$E$5:$E$110=$B50)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0" s="6" t="e">
        <f>IF(ISNA(MATCH(AF$2,Inputs!$K$4:$AJ$4,0)),NA(),IF(SUMPRODUCT((Inputs!$A$5:$A$110=$B50)*ISNUMBER(INDEX(Inputs!$K$5:$AJ$110,0,MATCH(AF$2,Inputs!$K$4:$AJ$4,0))))+SUMPRODUCT((Inputs!$C$5:$C$110=$B50)*ISNUMBER(INDEX(Inputs!$K$5:$AJ$110,0,MATCH(AF$2,Inputs!$K$4:$AJ$4,0))))+SUMPRODUCT((Inputs!$E$5:$E$110=$B50)*ISNUMBER(INDEX(Inputs!$K$5:$AJ$110,0,MATCH(AF$2,Inputs!$K$4:$AJ$4,0))))=0,NA(),SUMPRODUCT((Inputs!$A$5:$A$110=$B50)*Inputs!$B$5:$B$110*(((Inputs!$G$5:$G$110="moeda")+(Inputs!$G$5:$G$110="acoes"))*Inputs!$B$1+((Inputs!$G$5:$G$110&lt;&gt;"moeda")*(Inputs!$G$5:$G$110&lt;&gt;"acoes")))*INDEX(Inputs!$K$5:$AJ$110,0,MATCH(AF$2,Inputs!$K$4:$AJ$4,0)))+SUMPRODUCT((Inputs!$C$5:$C$110=$B50)*Inputs!$D$5:$D$110*(((Inputs!$G$5:$G$110="moeda")+(Inputs!$G$5:$G$110="acoes"))*Inputs!$B$1+((Inputs!$G$5:$G$110&lt;&gt;"moeda")*(Inputs!$G$5:$G$110&lt;&gt;"acoes")))*INDEX(Inputs!$K$5:$AJ$110,0,MATCH(AF$2,Inputs!$K$4:$AJ$4,0)))+SUMPRODUCT((Inputs!$E$5:$E$110=$B50)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0" s="3" t="e">
        <f>SUM(AC50:AF50)</f>
        <v>#N/A</v>
      </c>
      <c r="AH50">
        <f>IF(ISNA(MATCH(AH$2,Inputs!$K$4:$AJ$4,0)),NA(),IF(SUMPRODUCT((Inputs!$A$5:$A$110=$B50)*ISNUMBER(INDEX(Inputs!$K$5:$AJ$110,0,MATCH(AH$2,Inputs!$K$4:$AJ$4,0))))+SUMPRODUCT((Inputs!$C$5:$C$110=$B50)*ISNUMBER(INDEX(Inputs!$K$5:$AJ$110,0,MATCH(AH$2,Inputs!$K$4:$AJ$4,0))))+SUMPRODUCT((Inputs!$E$5:$E$110=$B50)*ISNUMBER(INDEX(Inputs!$K$5:$AJ$110,0,MATCH(AH$2,Inputs!$K$4:$AJ$4,0))))=0,NA(),SUMPRODUCT((Inputs!$A$5:$A$110=$B50)*Inputs!$B$5:$B$110*(((Inputs!$G$5:$G$110="moeda")+(Inputs!$G$5:$G$110="acoes"))*Inputs!$B$1+((Inputs!$G$5:$G$110&lt;&gt;"moeda")*(Inputs!$G$5:$G$110&lt;&gt;"acoes")))*INDEX(Inputs!$K$5:$AJ$110,0,MATCH(AH$2,Inputs!$K$4:$AJ$4,0)))+SUMPRODUCT((Inputs!$C$5:$C$110=$B50)*Inputs!$D$5:$D$110*(((Inputs!$G$5:$G$110="moeda")+(Inputs!$G$5:$G$110="acoes"))*Inputs!$B$1+((Inputs!$G$5:$G$110&lt;&gt;"moeda")*(Inputs!$G$5:$G$110&lt;&gt;"acoes")))*INDEX(Inputs!$K$5:$AJ$110,0,MATCH(AH$2,Inputs!$K$4:$AJ$4,0)))+SUMPRODUCT((Inputs!$E$5:$E$110=$B50)*Inputs!$F$5:$F$110*(((Inputs!$G$5:$G$110="moeda")+(Inputs!$G$5:$G$110="acoes"))*Inputs!$B$1+((Inputs!$G$5:$G$110&lt;&gt;"moeda")*(Inputs!$G$5:$G$110&lt;&gt;"acoes")))*INDEX(Inputs!$K$5:$AJ$110,0,MATCH(AH$2,Inputs!$K$4:$AJ$4,0)))))</f>
        <v>6836</v>
      </c>
      <c r="AI50">
        <f>IF(ISNA(MATCH(AI$2,Inputs!$K$4:$AJ$4,0)),NA(),IF(SUMPRODUCT((Inputs!$A$5:$A$110=$B50)*ISNUMBER(INDEX(Inputs!$K$5:$AJ$110,0,MATCH(AI$2,Inputs!$K$4:$AJ$4,0))))+SUMPRODUCT((Inputs!$C$5:$C$110=$B50)*ISNUMBER(INDEX(Inputs!$K$5:$AJ$110,0,MATCH(AI$2,Inputs!$K$4:$AJ$4,0))))+SUMPRODUCT((Inputs!$E$5:$E$110=$B50)*ISNUMBER(INDEX(Inputs!$K$5:$AJ$110,0,MATCH(AI$2,Inputs!$K$4:$AJ$4,0))))=0,NA(),SUMPRODUCT((Inputs!$A$5:$A$110=$B50)*Inputs!$B$5:$B$110*(((Inputs!$G$5:$G$110="moeda")+(Inputs!$G$5:$G$110="acoes"))*Inputs!$B$1+((Inputs!$G$5:$G$110&lt;&gt;"moeda")*(Inputs!$G$5:$G$110&lt;&gt;"acoes")))*INDEX(Inputs!$K$5:$AJ$110,0,MATCH(AI$2,Inputs!$K$4:$AJ$4,0)))+SUMPRODUCT((Inputs!$C$5:$C$110=$B50)*Inputs!$D$5:$D$110*(((Inputs!$G$5:$G$110="moeda")+(Inputs!$G$5:$G$110="acoes"))*Inputs!$B$1+((Inputs!$G$5:$G$110&lt;&gt;"moeda")*(Inputs!$G$5:$G$110&lt;&gt;"acoes")))*INDEX(Inputs!$K$5:$AJ$110,0,MATCH(AI$2,Inputs!$K$4:$AJ$4,0)))+SUMPRODUCT((Inputs!$E$5:$E$110=$B50)*Inputs!$F$5:$F$110*(((Inputs!$G$5:$G$110="moeda")+(Inputs!$G$5:$G$110="acoes"))*Inputs!$B$1+((Inputs!$G$5:$G$110&lt;&gt;"moeda")*(Inputs!$G$5:$G$110&lt;&gt;"acoes")))*INDEX(Inputs!$K$5:$AJ$110,0,MATCH(AI$2,Inputs!$K$4:$AJ$4,0)))))</f>
        <v>6959</v>
      </c>
      <c r="AJ50">
        <f>IF(ISNA(MATCH(AJ$2,Inputs!$K$4:$AJ$4,0)),NA(),IF(SUMPRODUCT((Inputs!$A$5:$A$110=$B50)*ISNUMBER(INDEX(Inputs!$K$5:$AJ$110,0,MATCH(AJ$2,Inputs!$K$4:$AJ$4,0))))+SUMPRODUCT((Inputs!$C$5:$C$110=$B50)*ISNUMBER(INDEX(Inputs!$K$5:$AJ$110,0,MATCH(AJ$2,Inputs!$K$4:$AJ$4,0))))+SUMPRODUCT((Inputs!$E$5:$E$110=$B50)*ISNUMBER(INDEX(Inputs!$K$5:$AJ$110,0,MATCH(AJ$2,Inputs!$K$4:$AJ$4,0))))=0,NA(),SUMPRODUCT((Inputs!$A$5:$A$110=$B50)*Inputs!$B$5:$B$110*(((Inputs!$G$5:$G$110="moeda")+(Inputs!$G$5:$G$110="acoes"))*Inputs!$B$1+((Inputs!$G$5:$G$110&lt;&gt;"moeda")*(Inputs!$G$5:$G$110&lt;&gt;"acoes")))*INDEX(Inputs!$K$5:$AJ$110,0,MATCH(AJ$2,Inputs!$K$4:$AJ$4,0)))+SUMPRODUCT((Inputs!$C$5:$C$110=$B50)*Inputs!$D$5:$D$110*(((Inputs!$G$5:$G$110="moeda")+(Inputs!$G$5:$G$110="acoes"))*Inputs!$B$1+((Inputs!$G$5:$G$110&lt;&gt;"moeda")*(Inputs!$G$5:$G$110&lt;&gt;"acoes")))*INDEX(Inputs!$K$5:$AJ$110,0,MATCH(AJ$2,Inputs!$K$4:$AJ$4,0)))+SUMPRODUCT((Inputs!$E$5:$E$110=$B50)*Inputs!$F$5:$F$110*(((Inputs!$G$5:$G$110="moeda")+(Inputs!$G$5:$G$110="acoes"))*Inputs!$B$1+((Inputs!$G$5:$G$110&lt;&gt;"moeda")*(Inputs!$G$5:$G$110&lt;&gt;"acoes")))*INDEX(Inputs!$K$5:$AJ$110,0,MATCH(AJ$2,Inputs!$K$4:$AJ$4,0)))))</f>
        <v>11247</v>
      </c>
      <c r="AK50">
        <f>IF(ISNA(MATCH(AK$2,Inputs!$K$4:$AJ$4,0)),NA(),IF(SUMPRODUCT((Inputs!$A$5:$A$110=$B50)*ISNUMBER(INDEX(Inputs!$K$5:$AJ$110,0,MATCH(AK$2,Inputs!$K$4:$AJ$4,0))))+SUMPRODUCT((Inputs!$C$5:$C$110=$B50)*ISNUMBER(INDEX(Inputs!$K$5:$AJ$110,0,MATCH(AK$2,Inputs!$K$4:$AJ$4,0))))+SUMPRODUCT((Inputs!$E$5:$E$110=$B50)*ISNUMBER(INDEX(Inputs!$K$5:$AJ$110,0,MATCH(AK$2,Inputs!$K$4:$AJ$4,0))))=0,NA(),SUMPRODUCT((Inputs!$A$5:$A$110=$B50)*Inputs!$B$5:$B$110*(((Inputs!$G$5:$G$110="moeda")+(Inputs!$G$5:$G$110="acoes"))*Inputs!$B$1+((Inputs!$G$5:$G$110&lt;&gt;"moeda")*(Inputs!$G$5:$G$110&lt;&gt;"acoes")))*INDEX(Inputs!$K$5:$AJ$110,0,MATCH(AK$2,Inputs!$K$4:$AJ$4,0)))+SUMPRODUCT((Inputs!$C$5:$C$110=$B50)*Inputs!$D$5:$D$110*(((Inputs!$G$5:$G$110="moeda")+(Inputs!$G$5:$G$110="acoes"))*Inputs!$B$1+((Inputs!$G$5:$G$110&lt;&gt;"moeda")*(Inputs!$G$5:$G$110&lt;&gt;"acoes")))*INDEX(Inputs!$K$5:$AJ$110,0,MATCH(AK$2,Inputs!$K$4:$AJ$4,0)))+SUMPRODUCT((Inputs!$E$5:$E$110=$B50)*Inputs!$F$5:$F$110*(((Inputs!$G$5:$G$110="moeda")+(Inputs!$G$5:$G$110="acoes"))*Inputs!$B$1+((Inputs!$G$5:$G$110&lt;&gt;"moeda")*(Inputs!$G$5:$G$110&lt;&gt;"acoes")))*INDEX(Inputs!$K$5:$AJ$110,0,MATCH(AK$2,Inputs!$K$4:$AJ$4,0)))))</f>
        <v>15227</v>
      </c>
      <c r="AL50">
        <f>SUM(AH50:AK50)</f>
        <v>40269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Receita Google Search &amp; other (USD)</t>
        </is>
      </c>
      <c r="D53" s="263">
        <f>IF(ISNA(MATCH(D$2,Inputs!$K$4:$AJ$4,0)),NA(),IF(SUMPRODUCT((Inputs!$A$5:$A$110=$B53)*ISNUMBER(INDEX(Inputs!$K$5:$AJ$110,0,MATCH(D$2,Inputs!$K$4:$AJ$4,0))))+SUMPRODUCT((Inputs!$C$5:$C$110=$B53)*ISNUMBER(INDEX(Inputs!$K$5:$AJ$110,0,MATCH(D$2,Inputs!$K$4:$AJ$4,0))))+SUMPRODUCT((Inputs!$E$5:$E$110=$B53)*ISNUMBER(INDEX(Inputs!$K$5:$AJ$110,0,MATCH(D$2,Inputs!$K$4:$AJ$4,0))))=0,NA(),SUMPRODUCT((Inputs!$A$5:$A$110=$B53)*Inputs!$B$5:$B$110*(((Inputs!$G$5:$G$110="moeda")+(Inputs!$G$5:$G$110="acoes"))*Inputs!$B$1+((Inputs!$G$5:$G$110&lt;&gt;"moeda")*(Inputs!$G$5:$G$110&lt;&gt;"acoes")))*INDEX(Inputs!$K$5:$AJ$110,0,MATCH(D$2,Inputs!$K$4:$AJ$4,0)))+SUMPRODUCT((Inputs!$C$5:$C$110=$B53)*Inputs!$D$5:$D$110*(((Inputs!$G$5:$G$110="moeda")+(Inputs!$G$5:$G$110="acoes"))*Inputs!$B$1+((Inputs!$G$5:$G$110&lt;&gt;"moeda")*(Inputs!$G$5:$G$110&lt;&gt;"acoes")))*INDEX(Inputs!$K$5:$AJ$110,0,MATCH(D$2,Inputs!$K$4:$AJ$4,0)))+SUMPRODUCT((Inputs!$E$5:$E$110=$B53)*Inputs!$F$5:$F$110*(((Inputs!$G$5:$G$110="moeda")+(Inputs!$G$5:$G$110="acoes"))*Inputs!$B$1+((Inputs!$G$5:$G$110&lt;&gt;"moeda")*(Inputs!$G$5:$G$110&lt;&gt;"acoes")))*INDEX(Inputs!$K$5:$AJ$110,0,MATCH(D$2,Inputs!$K$4:$AJ$4,0)))))</f>
        <v>31879</v>
      </c>
      <c r="E53" s="263">
        <f>IF(ISNA(MATCH(E$2,Inputs!$K$4:$AJ$4,0)),NA(),IF(SUMPRODUCT((Inputs!$A$5:$A$110=$B53)*ISNUMBER(INDEX(Inputs!$K$5:$AJ$110,0,MATCH(E$2,Inputs!$K$4:$AJ$4,0))))+SUMPRODUCT((Inputs!$C$5:$C$110=$B53)*ISNUMBER(INDEX(Inputs!$K$5:$AJ$110,0,MATCH(E$2,Inputs!$K$4:$AJ$4,0))))+SUMPRODUCT((Inputs!$E$5:$E$110=$B53)*ISNUMBER(INDEX(Inputs!$K$5:$AJ$110,0,MATCH(E$2,Inputs!$K$4:$AJ$4,0))))=0,NA(),SUMPRODUCT((Inputs!$A$5:$A$110=$B53)*Inputs!$B$5:$B$110*(((Inputs!$G$5:$G$110="moeda")+(Inputs!$G$5:$G$110="acoes"))*Inputs!$B$1+((Inputs!$G$5:$G$110&lt;&gt;"moeda")*(Inputs!$G$5:$G$110&lt;&gt;"acoes")))*INDEX(Inputs!$K$5:$AJ$110,0,MATCH(E$2,Inputs!$K$4:$AJ$4,0)))+SUMPRODUCT((Inputs!$C$5:$C$110=$B53)*Inputs!$D$5:$D$110*(((Inputs!$G$5:$G$110="moeda")+(Inputs!$G$5:$G$110="acoes"))*Inputs!$B$1+((Inputs!$G$5:$G$110&lt;&gt;"moeda")*(Inputs!$G$5:$G$110&lt;&gt;"acoes")))*INDEX(Inputs!$K$5:$AJ$110,0,MATCH(E$2,Inputs!$K$4:$AJ$4,0)))+SUMPRODUCT((Inputs!$E$5:$E$110=$B53)*Inputs!$F$5:$F$110*(((Inputs!$G$5:$G$110="moeda")+(Inputs!$G$5:$G$110="acoes"))*Inputs!$B$1+((Inputs!$G$5:$G$110&lt;&gt;"moeda")*(Inputs!$G$5:$G$110&lt;&gt;"acoes")))*INDEX(Inputs!$K$5:$AJ$110,0,MATCH(E$2,Inputs!$K$4:$AJ$4,0)))))</f>
        <v>35845</v>
      </c>
      <c r="F53" s="263">
        <f>IF(ISNA(MATCH(F$2,Inputs!$K$4:$AJ$4,0)),NA(),IF(SUMPRODUCT((Inputs!$A$5:$A$110=$B53)*ISNUMBER(INDEX(Inputs!$K$5:$AJ$110,0,MATCH(F$2,Inputs!$K$4:$AJ$4,0))))+SUMPRODUCT((Inputs!$C$5:$C$110=$B53)*ISNUMBER(INDEX(Inputs!$K$5:$AJ$110,0,MATCH(F$2,Inputs!$K$4:$AJ$4,0))))+SUMPRODUCT((Inputs!$E$5:$E$110=$B53)*ISNUMBER(INDEX(Inputs!$K$5:$AJ$110,0,MATCH(F$2,Inputs!$K$4:$AJ$4,0))))=0,NA(),SUMPRODUCT((Inputs!$A$5:$A$110=$B53)*Inputs!$B$5:$B$110*(((Inputs!$G$5:$G$110="moeda")+(Inputs!$G$5:$G$110="acoes"))*Inputs!$B$1+((Inputs!$G$5:$G$110&lt;&gt;"moeda")*(Inputs!$G$5:$G$110&lt;&gt;"acoes")))*INDEX(Inputs!$K$5:$AJ$110,0,MATCH(F$2,Inputs!$K$4:$AJ$4,0)))+SUMPRODUCT((Inputs!$C$5:$C$110=$B53)*Inputs!$D$5:$D$110*(((Inputs!$G$5:$G$110="moeda")+(Inputs!$G$5:$G$110="acoes"))*Inputs!$B$1+((Inputs!$G$5:$G$110&lt;&gt;"moeda")*(Inputs!$G$5:$G$110&lt;&gt;"acoes")))*INDEX(Inputs!$K$5:$AJ$110,0,MATCH(F$2,Inputs!$K$4:$AJ$4,0)))+SUMPRODUCT((Inputs!$E$5:$E$110=$B53)*Inputs!$F$5:$F$110*(((Inputs!$G$5:$G$110="moeda")+(Inputs!$G$5:$G$110="acoes"))*Inputs!$B$1+((Inputs!$G$5:$G$110&lt;&gt;"moeda")*(Inputs!$G$5:$G$110&lt;&gt;"acoes")))*INDEX(Inputs!$K$5:$AJ$110,0,MATCH(F$2,Inputs!$K$4:$AJ$4,0)))))</f>
        <v>37926</v>
      </c>
      <c r="G53" s="263">
        <f>IF(ISNA(MATCH(G$2,Inputs!$K$4:$AJ$4,0)),NA(),IF(SUMPRODUCT((Inputs!$A$5:$A$110=$B53)*ISNUMBER(INDEX(Inputs!$K$5:$AJ$110,0,MATCH(G$2,Inputs!$K$4:$AJ$4,0))))+SUMPRODUCT((Inputs!$C$5:$C$110=$B53)*ISNUMBER(INDEX(Inputs!$K$5:$AJ$110,0,MATCH(G$2,Inputs!$K$4:$AJ$4,0))))+SUMPRODUCT((Inputs!$E$5:$E$110=$B53)*ISNUMBER(INDEX(Inputs!$K$5:$AJ$110,0,MATCH(G$2,Inputs!$K$4:$AJ$4,0))))=0,NA(),SUMPRODUCT((Inputs!$A$5:$A$110=$B53)*Inputs!$B$5:$B$110*(((Inputs!$G$5:$G$110="moeda")+(Inputs!$G$5:$G$110="acoes"))*Inputs!$B$1+((Inputs!$G$5:$G$110&lt;&gt;"moeda")*(Inputs!$G$5:$G$110&lt;&gt;"acoes")))*INDEX(Inputs!$K$5:$AJ$110,0,MATCH(G$2,Inputs!$K$4:$AJ$4,0)))+SUMPRODUCT((Inputs!$C$5:$C$110=$B53)*Inputs!$D$5:$D$110*(((Inputs!$G$5:$G$110="moeda")+(Inputs!$G$5:$G$110="acoes"))*Inputs!$B$1+((Inputs!$G$5:$G$110&lt;&gt;"moeda")*(Inputs!$G$5:$G$110&lt;&gt;"acoes")))*INDEX(Inputs!$K$5:$AJ$110,0,MATCH(G$2,Inputs!$K$4:$AJ$4,0)))+SUMPRODUCT((Inputs!$E$5:$E$110=$B53)*Inputs!$F$5:$F$110*(((Inputs!$G$5:$G$110="moeda")+(Inputs!$G$5:$G$110="acoes"))*Inputs!$B$1+((Inputs!$G$5:$G$110&lt;&gt;"moeda")*(Inputs!$G$5:$G$110&lt;&gt;"acoes")))*INDEX(Inputs!$K$5:$AJ$110,0,MATCH(G$2,Inputs!$K$4:$AJ$4,0)))))</f>
        <v>43301</v>
      </c>
      <c r="H53" s="264">
        <f>SUM(D53:G53)</f>
        <v>148951</v>
      </c>
      <c r="I53" s="263">
        <f>IF(ISNA(MATCH(I$2,Inputs!$K$4:$AJ$4,0)),NA(),IF(SUMPRODUCT((Inputs!$A$5:$A$110=$B53)*ISNUMBER(INDEX(Inputs!$K$5:$AJ$110,0,MATCH(I$2,Inputs!$K$4:$AJ$4,0))))+SUMPRODUCT((Inputs!$C$5:$C$110=$B53)*ISNUMBER(INDEX(Inputs!$K$5:$AJ$110,0,MATCH(I$2,Inputs!$K$4:$AJ$4,0))))+SUMPRODUCT((Inputs!$E$5:$E$110=$B53)*ISNUMBER(INDEX(Inputs!$K$5:$AJ$110,0,MATCH(I$2,Inputs!$K$4:$AJ$4,0))))=0,NA(),SUMPRODUCT((Inputs!$A$5:$A$110=$B53)*Inputs!$B$5:$B$110*(((Inputs!$G$5:$G$110="moeda")+(Inputs!$G$5:$G$110="acoes"))*Inputs!$B$1+((Inputs!$G$5:$G$110&lt;&gt;"moeda")*(Inputs!$G$5:$G$110&lt;&gt;"acoes")))*INDEX(Inputs!$K$5:$AJ$110,0,MATCH(I$2,Inputs!$K$4:$AJ$4,0)))+SUMPRODUCT((Inputs!$C$5:$C$110=$B53)*Inputs!$D$5:$D$110*(((Inputs!$G$5:$G$110="moeda")+(Inputs!$G$5:$G$110="acoes"))*Inputs!$B$1+((Inputs!$G$5:$G$110&lt;&gt;"moeda")*(Inputs!$G$5:$G$110&lt;&gt;"acoes")))*INDEX(Inputs!$K$5:$AJ$110,0,MATCH(I$2,Inputs!$K$4:$AJ$4,0)))+SUMPRODUCT((Inputs!$E$5:$E$110=$B53)*Inputs!$F$5:$F$110*(((Inputs!$G$5:$G$110="moeda")+(Inputs!$G$5:$G$110="acoes"))*Inputs!$B$1+((Inputs!$G$5:$G$110&lt;&gt;"moeda")*(Inputs!$G$5:$G$110&lt;&gt;"acoes")))*INDEX(Inputs!$K$5:$AJ$110,0,MATCH(I$2,Inputs!$K$4:$AJ$4,0)))))</f>
        <v>39618</v>
      </c>
      <c r="J53" s="263">
        <f>IF(ISNA(MATCH(J$2,Inputs!$K$4:$AJ$4,0)),NA(),IF(SUMPRODUCT((Inputs!$A$5:$A$110=$B53)*ISNUMBER(INDEX(Inputs!$K$5:$AJ$110,0,MATCH(J$2,Inputs!$K$4:$AJ$4,0))))+SUMPRODUCT((Inputs!$C$5:$C$110=$B53)*ISNUMBER(INDEX(Inputs!$K$5:$AJ$110,0,MATCH(J$2,Inputs!$K$4:$AJ$4,0))))+SUMPRODUCT((Inputs!$E$5:$E$110=$B53)*ISNUMBER(INDEX(Inputs!$K$5:$AJ$110,0,MATCH(J$2,Inputs!$K$4:$AJ$4,0))))=0,NA(),SUMPRODUCT((Inputs!$A$5:$A$110=$B53)*Inputs!$B$5:$B$110*(((Inputs!$G$5:$G$110="moeda")+(Inputs!$G$5:$G$110="acoes"))*Inputs!$B$1+((Inputs!$G$5:$G$110&lt;&gt;"moeda")*(Inputs!$G$5:$G$110&lt;&gt;"acoes")))*INDEX(Inputs!$K$5:$AJ$110,0,MATCH(J$2,Inputs!$K$4:$AJ$4,0)))+SUMPRODUCT((Inputs!$C$5:$C$110=$B53)*Inputs!$D$5:$D$110*(((Inputs!$G$5:$G$110="moeda")+(Inputs!$G$5:$G$110="acoes"))*Inputs!$B$1+((Inputs!$G$5:$G$110&lt;&gt;"moeda")*(Inputs!$G$5:$G$110&lt;&gt;"acoes")))*INDEX(Inputs!$K$5:$AJ$110,0,MATCH(J$2,Inputs!$K$4:$AJ$4,0)))+SUMPRODUCT((Inputs!$E$5:$E$110=$B53)*Inputs!$F$5:$F$110*(((Inputs!$G$5:$G$110="moeda")+(Inputs!$G$5:$G$110="acoes"))*Inputs!$B$1+((Inputs!$G$5:$G$110&lt;&gt;"moeda")*(Inputs!$G$5:$G$110&lt;&gt;"acoes")))*INDEX(Inputs!$K$5:$AJ$110,0,MATCH(J$2,Inputs!$K$4:$AJ$4,0)))))</f>
        <v>40689</v>
      </c>
      <c r="K53" s="263">
        <f>IF(ISNA(MATCH(K$2,Inputs!$K$4:$AJ$4,0)),NA(),IF(SUMPRODUCT((Inputs!$A$5:$A$110=$B53)*ISNUMBER(INDEX(Inputs!$K$5:$AJ$110,0,MATCH(K$2,Inputs!$K$4:$AJ$4,0))))+SUMPRODUCT((Inputs!$C$5:$C$110=$B53)*ISNUMBER(INDEX(Inputs!$K$5:$AJ$110,0,MATCH(K$2,Inputs!$K$4:$AJ$4,0))))+SUMPRODUCT((Inputs!$E$5:$E$110=$B53)*ISNUMBER(INDEX(Inputs!$K$5:$AJ$110,0,MATCH(K$2,Inputs!$K$4:$AJ$4,0))))=0,NA(),SUMPRODUCT((Inputs!$A$5:$A$110=$B53)*Inputs!$B$5:$B$110*(((Inputs!$G$5:$G$110="moeda")+(Inputs!$G$5:$G$110="acoes"))*Inputs!$B$1+((Inputs!$G$5:$G$110&lt;&gt;"moeda")*(Inputs!$G$5:$G$110&lt;&gt;"acoes")))*INDEX(Inputs!$K$5:$AJ$110,0,MATCH(K$2,Inputs!$K$4:$AJ$4,0)))+SUMPRODUCT((Inputs!$C$5:$C$110=$B53)*Inputs!$D$5:$D$110*(((Inputs!$G$5:$G$110="moeda")+(Inputs!$G$5:$G$110="acoes"))*Inputs!$B$1+((Inputs!$G$5:$G$110&lt;&gt;"moeda")*(Inputs!$G$5:$G$110&lt;&gt;"acoes")))*INDEX(Inputs!$K$5:$AJ$110,0,MATCH(K$2,Inputs!$K$4:$AJ$4,0)))+SUMPRODUCT((Inputs!$E$5:$E$110=$B53)*Inputs!$F$5:$F$110*(((Inputs!$G$5:$G$110="moeda")+(Inputs!$G$5:$G$110="acoes"))*Inputs!$B$1+((Inputs!$G$5:$G$110&lt;&gt;"moeda")*(Inputs!$G$5:$G$110&lt;&gt;"acoes")))*INDEX(Inputs!$K$5:$AJ$110,0,MATCH(K$2,Inputs!$K$4:$AJ$4,0)))))</f>
        <v>39539</v>
      </c>
      <c r="L53" s="263">
        <f>IF(ISNA(MATCH(L$2,Inputs!$K$4:$AJ$4,0)),NA(),IF(SUMPRODUCT((Inputs!$A$5:$A$110=$B53)*ISNUMBER(INDEX(Inputs!$K$5:$AJ$110,0,MATCH(L$2,Inputs!$K$4:$AJ$4,0))))+SUMPRODUCT((Inputs!$C$5:$C$110=$B53)*ISNUMBER(INDEX(Inputs!$K$5:$AJ$110,0,MATCH(L$2,Inputs!$K$4:$AJ$4,0))))+SUMPRODUCT((Inputs!$E$5:$E$110=$B53)*ISNUMBER(INDEX(Inputs!$K$5:$AJ$110,0,MATCH(L$2,Inputs!$K$4:$AJ$4,0))))=0,NA(),SUMPRODUCT((Inputs!$A$5:$A$110=$B53)*Inputs!$B$5:$B$110*(((Inputs!$G$5:$G$110="moeda")+(Inputs!$G$5:$G$110="acoes"))*Inputs!$B$1+((Inputs!$G$5:$G$110&lt;&gt;"moeda")*(Inputs!$G$5:$G$110&lt;&gt;"acoes")))*INDEX(Inputs!$K$5:$AJ$110,0,MATCH(L$2,Inputs!$K$4:$AJ$4,0)))+SUMPRODUCT((Inputs!$C$5:$C$110=$B53)*Inputs!$D$5:$D$110*(((Inputs!$G$5:$G$110="moeda")+(Inputs!$G$5:$G$110="acoes"))*Inputs!$B$1+((Inputs!$G$5:$G$110&lt;&gt;"moeda")*(Inputs!$G$5:$G$110&lt;&gt;"acoes")))*INDEX(Inputs!$K$5:$AJ$110,0,MATCH(L$2,Inputs!$K$4:$AJ$4,0)))+SUMPRODUCT((Inputs!$E$5:$E$110=$B53)*Inputs!$F$5:$F$110*(((Inputs!$G$5:$G$110="moeda")+(Inputs!$G$5:$G$110="acoes"))*Inputs!$B$1+((Inputs!$G$5:$G$110&lt;&gt;"moeda")*(Inputs!$G$5:$G$110&lt;&gt;"acoes")))*INDEX(Inputs!$K$5:$AJ$110,0,MATCH(L$2,Inputs!$K$4:$AJ$4,0)))))</f>
        <v>42604</v>
      </c>
      <c r="M53" s="264">
        <f>SUM(I53:L53)</f>
        <v>162450</v>
      </c>
      <c r="N53" s="263">
        <f>IF(ISNA(MATCH(N$2,Inputs!$K$4:$AJ$4,0)),NA(),IF(SUMPRODUCT((Inputs!$A$5:$A$110=$B53)*ISNUMBER(INDEX(Inputs!$K$5:$AJ$110,0,MATCH(N$2,Inputs!$K$4:$AJ$4,0))))+SUMPRODUCT((Inputs!$C$5:$C$110=$B53)*ISNUMBER(INDEX(Inputs!$K$5:$AJ$110,0,MATCH(N$2,Inputs!$K$4:$AJ$4,0))))+SUMPRODUCT((Inputs!$E$5:$E$110=$B53)*ISNUMBER(INDEX(Inputs!$K$5:$AJ$110,0,MATCH(N$2,Inputs!$K$4:$AJ$4,0))))=0,NA(),SUMPRODUCT((Inputs!$A$5:$A$110=$B53)*Inputs!$B$5:$B$110*(((Inputs!$G$5:$G$110="moeda")+(Inputs!$G$5:$G$110="acoes"))*Inputs!$B$1+((Inputs!$G$5:$G$110&lt;&gt;"moeda")*(Inputs!$G$5:$G$110&lt;&gt;"acoes")))*INDEX(Inputs!$K$5:$AJ$110,0,MATCH(N$2,Inputs!$K$4:$AJ$4,0)))+SUMPRODUCT((Inputs!$C$5:$C$110=$B53)*Inputs!$D$5:$D$110*(((Inputs!$G$5:$G$110="moeda")+(Inputs!$G$5:$G$110="acoes"))*Inputs!$B$1+((Inputs!$G$5:$G$110&lt;&gt;"moeda")*(Inputs!$G$5:$G$110&lt;&gt;"acoes")))*INDEX(Inputs!$K$5:$AJ$110,0,MATCH(N$2,Inputs!$K$4:$AJ$4,0)))+SUMPRODUCT((Inputs!$E$5:$E$110=$B53)*Inputs!$F$5:$F$110*(((Inputs!$G$5:$G$110="moeda")+(Inputs!$G$5:$G$110="acoes"))*Inputs!$B$1+((Inputs!$G$5:$G$110&lt;&gt;"moeda")*(Inputs!$G$5:$G$110&lt;&gt;"acoes")))*INDEX(Inputs!$K$5:$AJ$110,0,MATCH(N$2,Inputs!$K$4:$AJ$4,0)))))</f>
        <v>40359</v>
      </c>
      <c r="O53" s="263">
        <f>IF(ISNA(MATCH(O$2,Inputs!$K$4:$AJ$4,0)),NA(),IF(SUMPRODUCT((Inputs!$A$5:$A$110=$B53)*ISNUMBER(INDEX(Inputs!$K$5:$AJ$110,0,MATCH(O$2,Inputs!$K$4:$AJ$4,0))))+SUMPRODUCT((Inputs!$C$5:$C$110=$B53)*ISNUMBER(INDEX(Inputs!$K$5:$AJ$110,0,MATCH(O$2,Inputs!$K$4:$AJ$4,0))))+SUMPRODUCT((Inputs!$E$5:$E$110=$B53)*ISNUMBER(INDEX(Inputs!$K$5:$AJ$110,0,MATCH(O$2,Inputs!$K$4:$AJ$4,0))))=0,NA(),SUMPRODUCT((Inputs!$A$5:$A$110=$B53)*Inputs!$B$5:$B$110*(((Inputs!$G$5:$G$110="moeda")+(Inputs!$G$5:$G$110="acoes"))*Inputs!$B$1+((Inputs!$G$5:$G$110&lt;&gt;"moeda")*(Inputs!$G$5:$G$110&lt;&gt;"acoes")))*INDEX(Inputs!$K$5:$AJ$110,0,MATCH(O$2,Inputs!$K$4:$AJ$4,0)))+SUMPRODUCT((Inputs!$C$5:$C$110=$B53)*Inputs!$D$5:$D$110*(((Inputs!$G$5:$G$110="moeda")+(Inputs!$G$5:$G$110="acoes"))*Inputs!$B$1+((Inputs!$G$5:$G$110&lt;&gt;"moeda")*(Inputs!$G$5:$G$110&lt;&gt;"acoes")))*INDEX(Inputs!$K$5:$AJ$110,0,MATCH(O$2,Inputs!$K$4:$AJ$4,0)))+SUMPRODUCT((Inputs!$E$5:$E$110=$B53)*Inputs!$F$5:$F$110*(((Inputs!$G$5:$G$110="moeda")+(Inputs!$G$5:$G$110="acoes"))*Inputs!$B$1+((Inputs!$G$5:$G$110&lt;&gt;"moeda")*(Inputs!$G$5:$G$110&lt;&gt;"acoes")))*INDEX(Inputs!$K$5:$AJ$110,0,MATCH(O$2,Inputs!$K$4:$AJ$4,0)))))</f>
        <v>42628</v>
      </c>
      <c r="P53" s="263">
        <f>IF(ISNA(MATCH(P$2,Inputs!$K$4:$AJ$4,0)),NA(),IF(SUMPRODUCT((Inputs!$A$5:$A$110=$B53)*ISNUMBER(INDEX(Inputs!$K$5:$AJ$110,0,MATCH(P$2,Inputs!$K$4:$AJ$4,0))))+SUMPRODUCT((Inputs!$C$5:$C$110=$B53)*ISNUMBER(INDEX(Inputs!$K$5:$AJ$110,0,MATCH(P$2,Inputs!$K$4:$AJ$4,0))))+SUMPRODUCT((Inputs!$E$5:$E$110=$B53)*ISNUMBER(INDEX(Inputs!$K$5:$AJ$110,0,MATCH(P$2,Inputs!$K$4:$AJ$4,0))))=0,NA(),SUMPRODUCT((Inputs!$A$5:$A$110=$B53)*Inputs!$B$5:$B$110*(((Inputs!$G$5:$G$110="moeda")+(Inputs!$G$5:$G$110="acoes"))*Inputs!$B$1+((Inputs!$G$5:$G$110&lt;&gt;"moeda")*(Inputs!$G$5:$G$110&lt;&gt;"acoes")))*INDEX(Inputs!$K$5:$AJ$110,0,MATCH(P$2,Inputs!$K$4:$AJ$4,0)))+SUMPRODUCT((Inputs!$C$5:$C$110=$B53)*Inputs!$D$5:$D$110*(((Inputs!$G$5:$G$110="moeda")+(Inputs!$G$5:$G$110="acoes"))*Inputs!$B$1+((Inputs!$G$5:$G$110&lt;&gt;"moeda")*(Inputs!$G$5:$G$110&lt;&gt;"acoes")))*INDEX(Inputs!$K$5:$AJ$110,0,MATCH(P$2,Inputs!$K$4:$AJ$4,0)))+SUMPRODUCT((Inputs!$E$5:$E$110=$B53)*Inputs!$F$5:$F$110*(((Inputs!$G$5:$G$110="moeda")+(Inputs!$G$5:$G$110="acoes"))*Inputs!$B$1+((Inputs!$G$5:$G$110&lt;&gt;"moeda")*(Inputs!$G$5:$G$110&lt;&gt;"acoes")))*INDEX(Inputs!$K$5:$AJ$110,0,MATCH(P$2,Inputs!$K$4:$AJ$4,0)))))</f>
        <v>44026</v>
      </c>
      <c r="Q53" s="263">
        <f>IF(ISNA(MATCH(Q$2,Inputs!$K$4:$AJ$4,0)),NA(),IF(SUMPRODUCT((Inputs!$A$5:$A$110=$B53)*ISNUMBER(INDEX(Inputs!$K$5:$AJ$110,0,MATCH(Q$2,Inputs!$K$4:$AJ$4,0))))+SUMPRODUCT((Inputs!$C$5:$C$110=$B53)*ISNUMBER(INDEX(Inputs!$K$5:$AJ$110,0,MATCH(Q$2,Inputs!$K$4:$AJ$4,0))))+SUMPRODUCT((Inputs!$E$5:$E$110=$B53)*ISNUMBER(INDEX(Inputs!$K$5:$AJ$110,0,MATCH(Q$2,Inputs!$K$4:$AJ$4,0))))=0,NA(),SUMPRODUCT((Inputs!$A$5:$A$110=$B53)*Inputs!$B$5:$B$110*(((Inputs!$G$5:$G$110="moeda")+(Inputs!$G$5:$G$110="acoes"))*Inputs!$B$1+((Inputs!$G$5:$G$110&lt;&gt;"moeda")*(Inputs!$G$5:$G$110&lt;&gt;"acoes")))*INDEX(Inputs!$K$5:$AJ$110,0,MATCH(Q$2,Inputs!$K$4:$AJ$4,0)))+SUMPRODUCT((Inputs!$C$5:$C$110=$B53)*Inputs!$D$5:$D$110*(((Inputs!$G$5:$G$110="moeda")+(Inputs!$G$5:$G$110="acoes"))*Inputs!$B$1+((Inputs!$G$5:$G$110&lt;&gt;"moeda")*(Inputs!$G$5:$G$110&lt;&gt;"acoes")))*INDEX(Inputs!$K$5:$AJ$110,0,MATCH(Q$2,Inputs!$K$4:$AJ$4,0)))+SUMPRODUCT((Inputs!$E$5:$E$110=$B53)*Inputs!$F$5:$F$110*(((Inputs!$G$5:$G$110="moeda")+(Inputs!$G$5:$G$110="acoes"))*Inputs!$B$1+((Inputs!$G$5:$G$110&lt;&gt;"moeda")*(Inputs!$G$5:$G$110&lt;&gt;"acoes")))*INDEX(Inputs!$K$5:$AJ$110,0,MATCH(Q$2,Inputs!$K$4:$AJ$4,0)))))</f>
        <v>48020</v>
      </c>
      <c r="R53" s="264">
        <f>SUM(N53:Q53)</f>
        <v>175033</v>
      </c>
      <c r="S53" s="263">
        <f>IF(ISNA(MATCH(S$2,Inputs!$K$4:$AJ$4,0)),NA(),IF(SUMPRODUCT((Inputs!$A$5:$A$110=$B53)*ISNUMBER(INDEX(Inputs!$K$5:$AJ$110,0,MATCH(S$2,Inputs!$K$4:$AJ$4,0))))+SUMPRODUCT((Inputs!$C$5:$C$110=$B53)*ISNUMBER(INDEX(Inputs!$K$5:$AJ$110,0,MATCH(S$2,Inputs!$K$4:$AJ$4,0))))+SUMPRODUCT((Inputs!$E$5:$E$110=$B53)*ISNUMBER(INDEX(Inputs!$K$5:$AJ$110,0,MATCH(S$2,Inputs!$K$4:$AJ$4,0))))=0,NA(),SUMPRODUCT((Inputs!$A$5:$A$110=$B53)*Inputs!$B$5:$B$110*(((Inputs!$G$5:$G$110="moeda")+(Inputs!$G$5:$G$110="acoes"))*Inputs!$B$1+((Inputs!$G$5:$G$110&lt;&gt;"moeda")*(Inputs!$G$5:$G$110&lt;&gt;"acoes")))*INDEX(Inputs!$K$5:$AJ$110,0,MATCH(S$2,Inputs!$K$4:$AJ$4,0)))+SUMPRODUCT((Inputs!$C$5:$C$110=$B53)*Inputs!$D$5:$D$110*(((Inputs!$G$5:$G$110="moeda")+(Inputs!$G$5:$G$110="acoes"))*Inputs!$B$1+((Inputs!$G$5:$G$110&lt;&gt;"moeda")*(Inputs!$G$5:$G$110&lt;&gt;"acoes")))*INDEX(Inputs!$K$5:$AJ$110,0,MATCH(S$2,Inputs!$K$4:$AJ$4,0)))+SUMPRODUCT((Inputs!$E$5:$E$110=$B53)*Inputs!$F$5:$F$110*(((Inputs!$G$5:$G$110="moeda")+(Inputs!$G$5:$G$110="acoes"))*Inputs!$B$1+((Inputs!$G$5:$G$110&lt;&gt;"moeda")*(Inputs!$G$5:$G$110&lt;&gt;"acoes")))*INDEX(Inputs!$K$5:$AJ$110,0,MATCH(S$2,Inputs!$K$4:$AJ$4,0)))))</f>
        <v>46156</v>
      </c>
      <c r="T53" s="263">
        <f>IF(ISNA(MATCH(T$2,Inputs!$K$4:$AJ$4,0)),NA(),IF(SUMPRODUCT((Inputs!$A$5:$A$110=$B53)*ISNUMBER(INDEX(Inputs!$K$5:$AJ$110,0,MATCH(T$2,Inputs!$K$4:$AJ$4,0))))+SUMPRODUCT((Inputs!$C$5:$C$110=$B53)*ISNUMBER(INDEX(Inputs!$K$5:$AJ$110,0,MATCH(T$2,Inputs!$K$4:$AJ$4,0))))+SUMPRODUCT((Inputs!$E$5:$E$110=$B53)*ISNUMBER(INDEX(Inputs!$K$5:$AJ$110,0,MATCH(T$2,Inputs!$K$4:$AJ$4,0))))=0,NA(),SUMPRODUCT((Inputs!$A$5:$A$110=$B53)*Inputs!$B$5:$B$110*(((Inputs!$G$5:$G$110="moeda")+(Inputs!$G$5:$G$110="acoes"))*Inputs!$B$1+((Inputs!$G$5:$G$110&lt;&gt;"moeda")*(Inputs!$G$5:$G$110&lt;&gt;"acoes")))*INDEX(Inputs!$K$5:$AJ$110,0,MATCH(T$2,Inputs!$K$4:$AJ$4,0)))+SUMPRODUCT((Inputs!$C$5:$C$110=$B53)*Inputs!$D$5:$D$110*(((Inputs!$G$5:$G$110="moeda")+(Inputs!$G$5:$G$110="acoes"))*Inputs!$B$1+((Inputs!$G$5:$G$110&lt;&gt;"moeda")*(Inputs!$G$5:$G$110&lt;&gt;"acoes")))*INDEX(Inputs!$K$5:$AJ$110,0,MATCH(T$2,Inputs!$K$4:$AJ$4,0)))+SUMPRODUCT((Inputs!$E$5:$E$110=$B53)*Inputs!$F$5:$F$110*(((Inputs!$G$5:$G$110="moeda")+(Inputs!$G$5:$G$110="acoes"))*Inputs!$B$1+((Inputs!$G$5:$G$110&lt;&gt;"moeda")*(Inputs!$G$5:$G$110&lt;&gt;"acoes")))*INDEX(Inputs!$K$5:$AJ$110,0,MATCH(T$2,Inputs!$K$4:$AJ$4,0)))))</f>
        <v>48509</v>
      </c>
      <c r="U53" s="263">
        <f>IF(ISNA(MATCH(U$2,Inputs!$K$4:$AJ$4,0)),NA(),IF(SUMPRODUCT((Inputs!$A$5:$A$110=$B53)*ISNUMBER(INDEX(Inputs!$K$5:$AJ$110,0,MATCH(U$2,Inputs!$K$4:$AJ$4,0))))+SUMPRODUCT((Inputs!$C$5:$C$110=$B53)*ISNUMBER(INDEX(Inputs!$K$5:$AJ$110,0,MATCH(U$2,Inputs!$K$4:$AJ$4,0))))+SUMPRODUCT((Inputs!$E$5:$E$110=$B53)*ISNUMBER(INDEX(Inputs!$K$5:$AJ$110,0,MATCH(U$2,Inputs!$K$4:$AJ$4,0))))=0,NA(),SUMPRODUCT((Inputs!$A$5:$A$110=$B53)*Inputs!$B$5:$B$110*(((Inputs!$G$5:$G$110="moeda")+(Inputs!$G$5:$G$110="acoes"))*Inputs!$B$1+((Inputs!$G$5:$G$110&lt;&gt;"moeda")*(Inputs!$G$5:$G$110&lt;&gt;"acoes")))*INDEX(Inputs!$K$5:$AJ$110,0,MATCH(U$2,Inputs!$K$4:$AJ$4,0)))+SUMPRODUCT((Inputs!$C$5:$C$110=$B53)*Inputs!$D$5:$D$110*(((Inputs!$G$5:$G$110="moeda")+(Inputs!$G$5:$G$110="acoes"))*Inputs!$B$1+((Inputs!$G$5:$G$110&lt;&gt;"moeda")*(Inputs!$G$5:$G$110&lt;&gt;"acoes")))*INDEX(Inputs!$K$5:$AJ$110,0,MATCH(U$2,Inputs!$K$4:$AJ$4,0)))+SUMPRODUCT((Inputs!$E$5:$E$110=$B53)*Inputs!$F$5:$F$110*(((Inputs!$G$5:$G$110="moeda")+(Inputs!$G$5:$G$110="acoes"))*Inputs!$B$1+((Inputs!$G$5:$G$110&lt;&gt;"moeda")*(Inputs!$G$5:$G$110&lt;&gt;"acoes")))*INDEX(Inputs!$K$5:$AJ$110,0,MATCH(U$2,Inputs!$K$4:$AJ$4,0)))))</f>
        <v>49385</v>
      </c>
      <c r="V53" s="263">
        <f>IF(ISNA(MATCH(V$2,Inputs!$K$4:$AJ$4,0)),NA(),IF(SUMPRODUCT((Inputs!$A$5:$A$110=$B53)*ISNUMBER(INDEX(Inputs!$K$5:$AJ$110,0,MATCH(V$2,Inputs!$K$4:$AJ$4,0))))+SUMPRODUCT((Inputs!$C$5:$C$110=$B53)*ISNUMBER(INDEX(Inputs!$K$5:$AJ$110,0,MATCH(V$2,Inputs!$K$4:$AJ$4,0))))+SUMPRODUCT((Inputs!$E$5:$E$110=$B53)*ISNUMBER(INDEX(Inputs!$K$5:$AJ$110,0,MATCH(V$2,Inputs!$K$4:$AJ$4,0))))=0,NA(),SUMPRODUCT((Inputs!$A$5:$A$110=$B53)*Inputs!$B$5:$B$110*(((Inputs!$G$5:$G$110="moeda")+(Inputs!$G$5:$G$110="acoes"))*Inputs!$B$1+((Inputs!$G$5:$G$110&lt;&gt;"moeda")*(Inputs!$G$5:$G$110&lt;&gt;"acoes")))*INDEX(Inputs!$K$5:$AJ$110,0,MATCH(V$2,Inputs!$K$4:$AJ$4,0)))+SUMPRODUCT((Inputs!$C$5:$C$110=$B53)*Inputs!$D$5:$D$110*(((Inputs!$G$5:$G$110="moeda")+(Inputs!$G$5:$G$110="acoes"))*Inputs!$B$1+((Inputs!$G$5:$G$110&lt;&gt;"moeda")*(Inputs!$G$5:$G$110&lt;&gt;"acoes")))*INDEX(Inputs!$K$5:$AJ$110,0,MATCH(V$2,Inputs!$K$4:$AJ$4,0)))+SUMPRODUCT((Inputs!$E$5:$E$110=$B53)*Inputs!$F$5:$F$110*(((Inputs!$G$5:$G$110="moeda")+(Inputs!$G$5:$G$110="acoes"))*Inputs!$B$1+((Inputs!$G$5:$G$110&lt;&gt;"moeda")*(Inputs!$G$5:$G$110&lt;&gt;"acoes")))*INDEX(Inputs!$K$5:$AJ$110,0,MATCH(V$2,Inputs!$K$4:$AJ$4,0)))))</f>
        <v>54034</v>
      </c>
      <c r="W53" s="264">
        <f>SUM(S53:V53)</f>
        <v>198084</v>
      </c>
      <c r="X53" s="263">
        <f>IF(ISNA(MATCH(X$2,Inputs!$K$4:$AJ$4,0)),NA(),IF(SUMPRODUCT((Inputs!$A$5:$A$110=$B53)*ISNUMBER(INDEX(Inputs!$K$5:$AJ$110,0,MATCH(X$2,Inputs!$K$4:$AJ$4,0))))+SUMPRODUCT((Inputs!$C$5:$C$110=$B53)*ISNUMBER(INDEX(Inputs!$K$5:$AJ$110,0,MATCH(X$2,Inputs!$K$4:$AJ$4,0))))+SUMPRODUCT((Inputs!$E$5:$E$110=$B53)*ISNUMBER(INDEX(Inputs!$K$5:$AJ$110,0,MATCH(X$2,Inputs!$K$4:$AJ$4,0))))=0,NA(),SUMPRODUCT((Inputs!$A$5:$A$110=$B53)*Inputs!$B$5:$B$110*(((Inputs!$G$5:$G$110="moeda")+(Inputs!$G$5:$G$110="acoes"))*Inputs!$B$1+((Inputs!$G$5:$G$110&lt;&gt;"moeda")*(Inputs!$G$5:$G$110&lt;&gt;"acoes")))*INDEX(Inputs!$K$5:$AJ$110,0,MATCH(X$2,Inputs!$K$4:$AJ$4,0)))+SUMPRODUCT((Inputs!$C$5:$C$110=$B53)*Inputs!$D$5:$D$110*(((Inputs!$G$5:$G$110="moeda")+(Inputs!$G$5:$G$110="acoes"))*Inputs!$B$1+((Inputs!$G$5:$G$110&lt;&gt;"moeda")*(Inputs!$G$5:$G$110&lt;&gt;"acoes")))*INDEX(Inputs!$K$5:$AJ$110,0,MATCH(X$2,Inputs!$K$4:$AJ$4,0)))+SUMPRODUCT((Inputs!$E$5:$E$110=$B53)*Inputs!$F$5:$F$110*(((Inputs!$G$5:$G$110="moeda")+(Inputs!$G$5:$G$110="acoes"))*Inputs!$B$1+((Inputs!$G$5:$G$110&lt;&gt;"moeda")*(Inputs!$G$5:$G$110&lt;&gt;"acoes")))*INDEX(Inputs!$K$5:$AJ$110,0,MATCH(X$2,Inputs!$K$4:$AJ$4,0)))))</f>
        <v>50702</v>
      </c>
      <c r="Y53" s="263">
        <f>IF(ISNA(MATCH(Y$2,Inputs!$K$4:$AJ$4,0)),NA(),IF(SUMPRODUCT((Inputs!$A$5:$A$110=$B53)*ISNUMBER(INDEX(Inputs!$K$5:$AJ$110,0,MATCH(Y$2,Inputs!$K$4:$AJ$4,0))))+SUMPRODUCT((Inputs!$C$5:$C$110=$B53)*ISNUMBER(INDEX(Inputs!$K$5:$AJ$110,0,MATCH(Y$2,Inputs!$K$4:$AJ$4,0))))+SUMPRODUCT((Inputs!$E$5:$E$110=$B53)*ISNUMBER(INDEX(Inputs!$K$5:$AJ$110,0,MATCH(Y$2,Inputs!$K$4:$AJ$4,0))))=0,NA(),SUMPRODUCT((Inputs!$A$5:$A$110=$B53)*Inputs!$B$5:$B$110*(((Inputs!$G$5:$G$110="moeda")+(Inputs!$G$5:$G$110="acoes"))*Inputs!$B$1+((Inputs!$G$5:$G$110&lt;&gt;"moeda")*(Inputs!$G$5:$G$110&lt;&gt;"acoes")))*INDEX(Inputs!$K$5:$AJ$110,0,MATCH(Y$2,Inputs!$K$4:$AJ$4,0)))+SUMPRODUCT((Inputs!$C$5:$C$110=$B53)*Inputs!$D$5:$D$110*(((Inputs!$G$5:$G$110="moeda")+(Inputs!$G$5:$G$110="acoes"))*Inputs!$B$1+((Inputs!$G$5:$G$110&lt;&gt;"moeda")*(Inputs!$G$5:$G$110&lt;&gt;"acoes")))*INDEX(Inputs!$K$5:$AJ$110,0,MATCH(Y$2,Inputs!$K$4:$AJ$4,0)))+SUMPRODUCT((Inputs!$E$5:$E$110=$B53)*Inputs!$F$5:$F$110*(((Inputs!$G$5:$G$110="moeda")+(Inputs!$G$5:$G$110="acoes"))*Inputs!$B$1+((Inputs!$G$5:$G$110&lt;&gt;"moeda")*(Inputs!$G$5:$G$110&lt;&gt;"acoes")))*INDEX(Inputs!$K$5:$AJ$110,0,MATCH(Y$2,Inputs!$K$4:$AJ$4,0)))))</f>
        <v>54190</v>
      </c>
      <c r="Z53" s="263">
        <f>IF(ISNA(MATCH(Z$2,Inputs!$K$4:$AJ$4,0)),NA(),IF(SUMPRODUCT((Inputs!$A$5:$A$110=$B53)*ISNUMBER(INDEX(Inputs!$K$5:$AJ$110,0,MATCH(Z$2,Inputs!$K$4:$AJ$4,0))))+SUMPRODUCT((Inputs!$C$5:$C$110=$B53)*ISNUMBER(INDEX(Inputs!$K$5:$AJ$110,0,MATCH(Z$2,Inputs!$K$4:$AJ$4,0))))+SUMPRODUCT((Inputs!$E$5:$E$110=$B53)*ISNUMBER(INDEX(Inputs!$K$5:$AJ$110,0,MATCH(Z$2,Inputs!$K$4:$AJ$4,0))))=0,NA(),SUMPRODUCT((Inputs!$A$5:$A$110=$B53)*Inputs!$B$5:$B$110*(((Inputs!$G$5:$G$110="moeda")+(Inputs!$G$5:$G$110="acoes"))*Inputs!$B$1+((Inputs!$G$5:$G$110&lt;&gt;"moeda")*(Inputs!$G$5:$G$110&lt;&gt;"acoes")))*INDEX(Inputs!$K$5:$AJ$110,0,MATCH(Z$2,Inputs!$K$4:$AJ$4,0)))+SUMPRODUCT((Inputs!$C$5:$C$110=$B53)*Inputs!$D$5:$D$110*(((Inputs!$G$5:$G$110="moeda")+(Inputs!$G$5:$G$110="acoes"))*Inputs!$B$1+((Inputs!$G$5:$G$110&lt;&gt;"moeda")*(Inputs!$G$5:$G$110&lt;&gt;"acoes")))*INDEX(Inputs!$K$5:$AJ$110,0,MATCH(Z$2,Inputs!$K$4:$AJ$4,0)))+SUMPRODUCT((Inputs!$E$5:$E$110=$B53)*Inputs!$F$5:$F$110*(((Inputs!$G$5:$G$110="moeda")+(Inputs!$G$5:$G$110="acoes"))*Inputs!$B$1+((Inputs!$G$5:$G$110&lt;&gt;"moeda")*(Inputs!$G$5:$G$110&lt;&gt;"acoes")))*INDEX(Inputs!$K$5:$AJ$110,0,MATCH(Z$2,Inputs!$K$4:$AJ$4,0)))))</f>
        <v>56567</v>
      </c>
      <c r="AA53" s="263">
        <f>IF(ISNA(MATCH(AA$2,Inputs!$K$4:$AJ$4,0)),NA(),IF(SUMPRODUCT((Inputs!$A$5:$A$110=$B53)*ISNUMBER(INDEX(Inputs!$K$5:$AJ$110,0,MATCH(AA$2,Inputs!$K$4:$AJ$4,0))))+SUMPRODUCT((Inputs!$C$5:$C$110=$B53)*ISNUMBER(INDEX(Inputs!$K$5:$AJ$110,0,MATCH(AA$2,Inputs!$K$4:$AJ$4,0))))+SUMPRODUCT((Inputs!$E$5:$E$110=$B53)*ISNUMBER(INDEX(Inputs!$K$5:$AJ$110,0,MATCH(AA$2,Inputs!$K$4:$AJ$4,0))))=0,NA(),SUMPRODUCT((Inputs!$A$5:$A$110=$B53)*Inputs!$B$5:$B$110*(((Inputs!$G$5:$G$110="moeda")+(Inputs!$G$5:$G$110="acoes"))*Inputs!$B$1+((Inputs!$G$5:$G$110&lt;&gt;"moeda")*(Inputs!$G$5:$G$110&lt;&gt;"acoes")))*INDEX(Inputs!$K$5:$AJ$110,0,MATCH(AA$2,Inputs!$K$4:$AJ$4,0)))+SUMPRODUCT((Inputs!$C$5:$C$110=$B53)*Inputs!$D$5:$D$110*(((Inputs!$G$5:$G$110="moeda")+(Inputs!$G$5:$G$110="acoes"))*Inputs!$B$1+((Inputs!$G$5:$G$110&lt;&gt;"moeda")*(Inputs!$G$5:$G$110&lt;&gt;"acoes")))*INDEX(Inputs!$K$5:$AJ$110,0,MATCH(AA$2,Inputs!$K$4:$AJ$4,0)))+SUMPRODUCT((Inputs!$E$5:$E$110=$B53)*Inputs!$F$5:$F$110*(((Inputs!$G$5:$G$110="moeda")+(Inputs!$G$5:$G$110="acoes"))*Inputs!$B$1+((Inputs!$G$5:$G$110&lt;&gt;"moeda")*(Inputs!$G$5:$G$110&lt;&gt;"acoes")))*INDEX(Inputs!$K$5:$AJ$110,0,MATCH(AA$2,Inputs!$K$4:$AJ$4,0)))))</f>
        <v>63073</v>
      </c>
      <c r="AB53" s="264">
        <f>SUM(X53:AA53)</f>
        <v>224532</v>
      </c>
      <c r="AC53" s="263">
        <f>IF(ISNA(MATCH(AC$2,Inputs!$K$4:$AJ$4,0)),NA(),IF(SUMPRODUCT((Inputs!$A$5:$A$110=$B53)*ISNUMBER(INDEX(Inputs!$K$5:$AJ$110,0,MATCH(AC$2,Inputs!$K$4:$AJ$4,0))))+SUMPRODUCT((Inputs!$C$5:$C$110=$B53)*ISNUMBER(INDEX(Inputs!$K$5:$AJ$110,0,MATCH(AC$2,Inputs!$K$4:$AJ$4,0))))+SUMPRODUCT((Inputs!$E$5:$E$110=$B53)*ISNUMBER(INDEX(Inputs!$K$5:$AJ$110,0,MATCH(AC$2,Inputs!$K$4:$AJ$4,0))))=0,NA(),SUMPRODUCT((Inputs!$A$5:$A$110=$B53)*Inputs!$B$5:$B$110*(((Inputs!$G$5:$G$110="moeda")+(Inputs!$G$5:$G$110="acoes"))*Inputs!$B$1+((Inputs!$G$5:$G$110&lt;&gt;"moeda")*(Inputs!$G$5:$G$110&lt;&gt;"acoes")))*INDEX(Inputs!$K$5:$AJ$110,0,MATCH(AC$2,Inputs!$K$4:$AJ$4,0)))+SUMPRODUCT((Inputs!$C$5:$C$110=$B53)*Inputs!$D$5:$D$110*(((Inputs!$G$5:$G$110="moeda")+(Inputs!$G$5:$G$110="acoes"))*Inputs!$B$1+((Inputs!$G$5:$G$110&lt;&gt;"moeda")*(Inputs!$G$5:$G$110&lt;&gt;"acoes")))*INDEX(Inputs!$K$5:$AJ$110,0,MATCH(AC$2,Inputs!$K$4:$AJ$4,0)))+SUMPRODUCT((Inputs!$E$5:$E$110=$B53)*Inputs!$F$5:$F$110*(((Inputs!$G$5:$G$110="moeda")+(Inputs!$G$5:$G$110="acoes"))*Inputs!$B$1+((Inputs!$G$5:$G$110&lt;&gt;"moeda")*(Inputs!$G$5:$G$110&lt;&gt;"acoes")))*INDEX(Inputs!$K$5:$AJ$110,0,MATCH(AC$2,Inputs!$K$4:$AJ$4,0)))))</f>
        <v>60399</v>
      </c>
      <c r="AD53" s="263">
        <f>IF(ISNA(MATCH(AD$2,Inputs!$K$4:$AJ$4,0)),NA(),IF(SUMPRODUCT((Inputs!$A$5:$A$110=$B53)*ISNUMBER(INDEX(Inputs!$K$5:$AJ$110,0,MATCH(AD$2,Inputs!$K$4:$AJ$4,0))))+SUMPRODUCT((Inputs!$C$5:$C$110=$B53)*ISNUMBER(INDEX(Inputs!$K$5:$AJ$110,0,MATCH(AD$2,Inputs!$K$4:$AJ$4,0))))+SUMPRODUCT((Inputs!$E$5:$E$110=$B53)*ISNUMBER(INDEX(Inputs!$K$5:$AJ$110,0,MATCH(AD$2,Inputs!$K$4:$AJ$4,0))))=0,NA(),SUMPRODUCT((Inputs!$A$5:$A$110=$B53)*Inputs!$B$5:$B$110*(((Inputs!$G$5:$G$110="moeda")+(Inputs!$G$5:$G$110="acoes"))*Inputs!$B$1+((Inputs!$G$5:$G$110&lt;&gt;"moeda")*(Inputs!$G$5:$G$110&lt;&gt;"acoes")))*INDEX(Inputs!$K$5:$AJ$110,0,MATCH(AD$2,Inputs!$K$4:$AJ$4,0)))+SUMPRODUCT((Inputs!$C$5:$C$110=$B53)*Inputs!$D$5:$D$110*(((Inputs!$G$5:$G$110="moeda")+(Inputs!$G$5:$G$110="acoes"))*Inputs!$B$1+((Inputs!$G$5:$G$110&lt;&gt;"moeda")*(Inputs!$G$5:$G$110&lt;&gt;"acoes")))*INDEX(Inputs!$K$5:$AJ$110,0,MATCH(AD$2,Inputs!$K$4:$AJ$4,0)))+SUMPRODUCT((Inputs!$E$5:$E$110=$B53)*Inputs!$F$5:$F$110*(((Inputs!$G$5:$G$110="moeda")+(Inputs!$G$5:$G$110="acoes"))*Inputs!$B$1+((Inputs!$G$5:$G$110&lt;&gt;"moeda")*(Inputs!$G$5:$G$110&lt;&gt;"acoes")))*INDEX(Inputs!$K$5:$AJ$110,0,MATCH(AD$2,Inputs!$K$4:$AJ$4,0)))))</f>
        <v>63271</v>
      </c>
      <c r="AE53" s="263" t="e">
        <f>IF(ISNA(MATCH(AE$2,Inputs!$K$4:$AJ$4,0)),NA(),IF(SUMPRODUCT((Inputs!$A$5:$A$110=$B53)*ISNUMBER(INDEX(Inputs!$K$5:$AJ$110,0,MATCH(AE$2,Inputs!$K$4:$AJ$4,0))))+SUMPRODUCT((Inputs!$C$5:$C$110=$B53)*ISNUMBER(INDEX(Inputs!$K$5:$AJ$110,0,MATCH(AE$2,Inputs!$K$4:$AJ$4,0))))+SUMPRODUCT((Inputs!$E$5:$E$110=$B53)*ISNUMBER(INDEX(Inputs!$K$5:$AJ$110,0,MATCH(AE$2,Inputs!$K$4:$AJ$4,0))))=0,NA(),SUMPRODUCT((Inputs!$A$5:$A$110=$B53)*Inputs!$B$5:$B$110*(((Inputs!$G$5:$G$110="moeda")+(Inputs!$G$5:$G$110="acoes"))*Inputs!$B$1+((Inputs!$G$5:$G$110&lt;&gt;"moeda")*(Inputs!$G$5:$G$110&lt;&gt;"acoes")))*INDEX(Inputs!$K$5:$AJ$110,0,MATCH(AE$2,Inputs!$K$4:$AJ$4,0)))+SUMPRODUCT((Inputs!$C$5:$C$110=$B53)*Inputs!$D$5:$D$110*(((Inputs!$G$5:$G$110="moeda")+(Inputs!$G$5:$G$110="acoes"))*Inputs!$B$1+((Inputs!$G$5:$G$110&lt;&gt;"moeda")*(Inputs!$G$5:$G$110&lt;&gt;"acoes")))*INDEX(Inputs!$K$5:$AJ$110,0,MATCH(AE$2,Inputs!$K$4:$AJ$4,0)))+SUMPRODUCT((Inputs!$E$5:$E$110=$B53)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3" s="263" t="e">
        <f>IF(ISNA(MATCH(AF$2,Inputs!$K$4:$AJ$4,0)),NA(),IF(SUMPRODUCT((Inputs!$A$5:$A$110=$B53)*ISNUMBER(INDEX(Inputs!$K$5:$AJ$110,0,MATCH(AF$2,Inputs!$K$4:$AJ$4,0))))+SUMPRODUCT((Inputs!$C$5:$C$110=$B53)*ISNUMBER(INDEX(Inputs!$K$5:$AJ$110,0,MATCH(AF$2,Inputs!$K$4:$AJ$4,0))))+SUMPRODUCT((Inputs!$E$5:$E$110=$B53)*ISNUMBER(INDEX(Inputs!$K$5:$AJ$110,0,MATCH(AF$2,Inputs!$K$4:$AJ$4,0))))=0,NA(),SUMPRODUCT((Inputs!$A$5:$A$110=$B53)*Inputs!$B$5:$B$110*(((Inputs!$G$5:$G$110="moeda")+(Inputs!$G$5:$G$110="acoes"))*Inputs!$B$1+((Inputs!$G$5:$G$110&lt;&gt;"moeda")*(Inputs!$G$5:$G$110&lt;&gt;"acoes")))*INDEX(Inputs!$K$5:$AJ$110,0,MATCH(AF$2,Inputs!$K$4:$AJ$4,0)))+SUMPRODUCT((Inputs!$C$5:$C$110=$B53)*Inputs!$D$5:$D$110*(((Inputs!$G$5:$G$110="moeda")+(Inputs!$G$5:$G$110="acoes"))*Inputs!$B$1+((Inputs!$G$5:$G$110&lt;&gt;"moeda")*(Inputs!$G$5:$G$110&lt;&gt;"acoes")))*INDEX(Inputs!$K$5:$AJ$110,0,MATCH(AF$2,Inputs!$K$4:$AJ$4,0)))+SUMPRODUCT((Inputs!$E$5:$E$110=$B53)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3" s="264" t="e">
        <f>SUM(AC53:AF53)</f>
        <v>#N/A</v>
      </c>
      <c r="AH53" s="263">
        <f>IF(ISNA(MATCH(AH$2,Inputs!$K$4:$AJ$4,0)),NA(),IF(SUMPRODUCT((Inputs!$A$5:$A$110=$B53)*ISNUMBER(INDEX(Inputs!$K$5:$AJ$110,0,MATCH(AH$2,Inputs!$K$4:$AJ$4,0))))+SUMPRODUCT((Inputs!$C$5:$C$110=$B53)*ISNUMBER(INDEX(Inputs!$K$5:$AJ$110,0,MATCH(AH$2,Inputs!$K$4:$AJ$4,0))))+SUMPRODUCT((Inputs!$E$5:$E$110=$B53)*ISNUMBER(INDEX(Inputs!$K$5:$AJ$110,0,MATCH(AH$2,Inputs!$K$4:$AJ$4,0))))=0,NA(),SUMPRODUCT((Inputs!$A$5:$A$110=$B53)*Inputs!$B$5:$B$110*(((Inputs!$G$5:$G$110="moeda")+(Inputs!$G$5:$G$110="acoes"))*Inputs!$B$1+((Inputs!$G$5:$G$110&lt;&gt;"moeda")*(Inputs!$G$5:$G$110&lt;&gt;"acoes")))*INDEX(Inputs!$K$5:$AJ$110,0,MATCH(AH$2,Inputs!$K$4:$AJ$4,0)))+SUMPRODUCT((Inputs!$C$5:$C$110=$B53)*Inputs!$D$5:$D$110*(((Inputs!$G$5:$G$110="moeda")+(Inputs!$G$5:$G$110="acoes"))*Inputs!$B$1+((Inputs!$G$5:$G$110&lt;&gt;"moeda")*(Inputs!$G$5:$G$110&lt;&gt;"acoes")))*INDEX(Inputs!$K$5:$AJ$110,0,MATCH(AH$2,Inputs!$K$4:$AJ$4,0)))+SUMPRODUCT((Inputs!$E$5:$E$110=$B53)*Inputs!$F$5:$F$110*(((Inputs!$G$5:$G$110="moeda")+(Inputs!$G$5:$G$110="acoes"))*Inputs!$B$1+((Inputs!$G$5:$G$110&lt;&gt;"moeda")*(Inputs!$G$5:$G$110&lt;&gt;"acoes")))*INDEX(Inputs!$K$5:$AJ$110,0,MATCH(AH$2,Inputs!$K$4:$AJ$4,0)))))</f>
        <v>24502</v>
      </c>
      <c r="AI53" s="263">
        <f>IF(ISNA(MATCH(AI$2,Inputs!$K$4:$AJ$4,0)),NA(),IF(SUMPRODUCT((Inputs!$A$5:$A$110=$B53)*ISNUMBER(INDEX(Inputs!$K$5:$AJ$110,0,MATCH(AI$2,Inputs!$K$4:$AJ$4,0))))+SUMPRODUCT((Inputs!$C$5:$C$110=$B53)*ISNUMBER(INDEX(Inputs!$K$5:$AJ$110,0,MATCH(AI$2,Inputs!$K$4:$AJ$4,0))))+SUMPRODUCT((Inputs!$E$5:$E$110=$B53)*ISNUMBER(INDEX(Inputs!$K$5:$AJ$110,0,MATCH(AI$2,Inputs!$K$4:$AJ$4,0))))=0,NA(),SUMPRODUCT((Inputs!$A$5:$A$110=$B53)*Inputs!$B$5:$B$110*(((Inputs!$G$5:$G$110="moeda")+(Inputs!$G$5:$G$110="acoes"))*Inputs!$B$1+((Inputs!$G$5:$G$110&lt;&gt;"moeda")*(Inputs!$G$5:$G$110&lt;&gt;"acoes")))*INDEX(Inputs!$K$5:$AJ$110,0,MATCH(AI$2,Inputs!$K$4:$AJ$4,0)))+SUMPRODUCT((Inputs!$C$5:$C$110=$B53)*Inputs!$D$5:$D$110*(((Inputs!$G$5:$G$110="moeda")+(Inputs!$G$5:$G$110="acoes"))*Inputs!$B$1+((Inputs!$G$5:$G$110&lt;&gt;"moeda")*(Inputs!$G$5:$G$110&lt;&gt;"acoes")))*INDEX(Inputs!$K$5:$AJ$110,0,MATCH(AI$2,Inputs!$K$4:$AJ$4,0)))+SUMPRODUCT((Inputs!$E$5:$E$110=$B53)*Inputs!$F$5:$F$110*(((Inputs!$G$5:$G$110="moeda")+(Inputs!$G$5:$G$110="acoes"))*Inputs!$B$1+((Inputs!$G$5:$G$110&lt;&gt;"moeda")*(Inputs!$G$5:$G$110&lt;&gt;"acoes")))*INDEX(Inputs!$K$5:$AJ$110,0,MATCH(AI$2,Inputs!$K$4:$AJ$4,0)))))</f>
        <v>21319</v>
      </c>
      <c r="AJ53" s="263">
        <f>IF(ISNA(MATCH(AJ$2,Inputs!$K$4:$AJ$4,0)),NA(),IF(SUMPRODUCT((Inputs!$A$5:$A$110=$B53)*ISNUMBER(INDEX(Inputs!$K$5:$AJ$110,0,MATCH(AJ$2,Inputs!$K$4:$AJ$4,0))))+SUMPRODUCT((Inputs!$C$5:$C$110=$B53)*ISNUMBER(INDEX(Inputs!$K$5:$AJ$110,0,MATCH(AJ$2,Inputs!$K$4:$AJ$4,0))))+SUMPRODUCT((Inputs!$E$5:$E$110=$B53)*ISNUMBER(INDEX(Inputs!$K$5:$AJ$110,0,MATCH(AJ$2,Inputs!$K$4:$AJ$4,0))))=0,NA(),SUMPRODUCT((Inputs!$A$5:$A$110=$B53)*Inputs!$B$5:$B$110*(((Inputs!$G$5:$G$110="moeda")+(Inputs!$G$5:$G$110="acoes"))*Inputs!$B$1+((Inputs!$G$5:$G$110&lt;&gt;"moeda")*(Inputs!$G$5:$G$110&lt;&gt;"acoes")))*INDEX(Inputs!$K$5:$AJ$110,0,MATCH(AJ$2,Inputs!$K$4:$AJ$4,0)))+SUMPRODUCT((Inputs!$C$5:$C$110=$B53)*Inputs!$D$5:$D$110*(((Inputs!$G$5:$G$110="moeda")+(Inputs!$G$5:$G$110="acoes"))*Inputs!$B$1+((Inputs!$G$5:$G$110&lt;&gt;"moeda")*(Inputs!$G$5:$G$110&lt;&gt;"acoes")))*INDEX(Inputs!$K$5:$AJ$110,0,MATCH(AJ$2,Inputs!$K$4:$AJ$4,0)))+SUMPRODUCT((Inputs!$E$5:$E$110=$B53)*Inputs!$F$5:$F$110*(((Inputs!$G$5:$G$110="moeda")+(Inputs!$G$5:$G$110="acoes"))*Inputs!$B$1+((Inputs!$G$5:$G$110&lt;&gt;"moeda")*(Inputs!$G$5:$G$110&lt;&gt;"acoes")))*INDEX(Inputs!$K$5:$AJ$110,0,MATCH(AJ$2,Inputs!$K$4:$AJ$4,0)))))</f>
        <v>26338</v>
      </c>
      <c r="AK53" s="263">
        <f>IF(ISNA(MATCH(AK$2,Inputs!$K$4:$AJ$4,0)),NA(),IF(SUMPRODUCT((Inputs!$A$5:$A$110=$B53)*ISNUMBER(INDEX(Inputs!$K$5:$AJ$110,0,MATCH(AK$2,Inputs!$K$4:$AJ$4,0))))+SUMPRODUCT((Inputs!$C$5:$C$110=$B53)*ISNUMBER(INDEX(Inputs!$K$5:$AJ$110,0,MATCH(AK$2,Inputs!$K$4:$AJ$4,0))))+SUMPRODUCT((Inputs!$E$5:$E$110=$B53)*ISNUMBER(INDEX(Inputs!$K$5:$AJ$110,0,MATCH(AK$2,Inputs!$K$4:$AJ$4,0))))=0,NA(),SUMPRODUCT((Inputs!$A$5:$A$110=$B53)*Inputs!$B$5:$B$110*(((Inputs!$G$5:$G$110="moeda")+(Inputs!$G$5:$G$110="acoes"))*Inputs!$B$1+((Inputs!$G$5:$G$110&lt;&gt;"moeda")*(Inputs!$G$5:$G$110&lt;&gt;"acoes")))*INDEX(Inputs!$K$5:$AJ$110,0,MATCH(AK$2,Inputs!$K$4:$AJ$4,0)))+SUMPRODUCT((Inputs!$C$5:$C$110=$B53)*Inputs!$D$5:$D$110*(((Inputs!$G$5:$G$110="moeda")+(Inputs!$G$5:$G$110="acoes"))*Inputs!$B$1+((Inputs!$G$5:$G$110&lt;&gt;"moeda")*(Inputs!$G$5:$G$110&lt;&gt;"acoes")))*INDEX(Inputs!$K$5:$AJ$110,0,MATCH(AK$2,Inputs!$K$4:$AJ$4,0)))+SUMPRODUCT((Inputs!$E$5:$E$110=$B53)*Inputs!$F$5:$F$110*(((Inputs!$G$5:$G$110="moeda")+(Inputs!$G$5:$G$110="acoes"))*Inputs!$B$1+((Inputs!$G$5:$G$110&lt;&gt;"moeda")*(Inputs!$G$5:$G$110&lt;&gt;"acoes")))*INDEX(Inputs!$K$5:$AJ$110,0,MATCH(AK$2,Inputs!$K$4:$AJ$4,0)))))</f>
        <v>31903</v>
      </c>
      <c r="AL53" s="264">
        <f>SUM(AH53:AK53)</f>
        <v>104062</v>
      </c>
    </row>
    <row r="54">
      <c r="B54" s="46" t="n">
        <v>46</v>
      </c>
      <c r="C54" s="29" t="inlineStr">
        <is>
          <t>Receita YouTube ads (USD)</t>
        </is>
      </c>
      <c r="D54" s="263">
        <f>IF(ISNA(MATCH(D$2,Inputs!$K$4:$AJ$4,0)),NA(),IF(SUMPRODUCT((Inputs!$A$5:$A$110=$B54)*ISNUMBER(INDEX(Inputs!$K$5:$AJ$110,0,MATCH(D$2,Inputs!$K$4:$AJ$4,0))))+SUMPRODUCT((Inputs!$C$5:$C$110=$B54)*ISNUMBER(INDEX(Inputs!$K$5:$AJ$110,0,MATCH(D$2,Inputs!$K$4:$AJ$4,0))))+SUMPRODUCT((Inputs!$E$5:$E$110=$B54)*ISNUMBER(INDEX(Inputs!$K$5:$AJ$110,0,MATCH(D$2,Inputs!$K$4:$AJ$4,0))))=0,NA(),SUMPRODUCT((Inputs!$A$5:$A$110=$B54)*Inputs!$B$5:$B$110*(((Inputs!$G$5:$G$110="moeda")+(Inputs!$G$5:$G$110="acoes"))*Inputs!$B$1+((Inputs!$G$5:$G$110&lt;&gt;"moeda")*(Inputs!$G$5:$G$110&lt;&gt;"acoes")))*INDEX(Inputs!$K$5:$AJ$110,0,MATCH(D$2,Inputs!$K$4:$AJ$4,0)))+SUMPRODUCT((Inputs!$C$5:$C$110=$B54)*Inputs!$D$5:$D$110*(((Inputs!$G$5:$G$110="moeda")+(Inputs!$G$5:$G$110="acoes"))*Inputs!$B$1+((Inputs!$G$5:$G$110&lt;&gt;"moeda")*(Inputs!$G$5:$G$110&lt;&gt;"acoes")))*INDEX(Inputs!$K$5:$AJ$110,0,MATCH(D$2,Inputs!$K$4:$AJ$4,0)))+SUMPRODUCT((Inputs!$E$5:$E$110=$B54)*Inputs!$F$5:$F$110*(((Inputs!$G$5:$G$110="moeda")+(Inputs!$G$5:$G$110="acoes"))*Inputs!$B$1+((Inputs!$G$5:$G$110&lt;&gt;"moeda")*(Inputs!$G$5:$G$110&lt;&gt;"acoes")))*INDEX(Inputs!$K$5:$AJ$110,0,MATCH(D$2,Inputs!$K$4:$AJ$4,0)))))</f>
        <v>6005</v>
      </c>
      <c r="E54" s="263">
        <f>IF(ISNA(MATCH(E$2,Inputs!$K$4:$AJ$4,0)),NA(),IF(SUMPRODUCT((Inputs!$A$5:$A$110=$B54)*ISNUMBER(INDEX(Inputs!$K$5:$AJ$110,0,MATCH(E$2,Inputs!$K$4:$AJ$4,0))))+SUMPRODUCT((Inputs!$C$5:$C$110=$B54)*ISNUMBER(INDEX(Inputs!$K$5:$AJ$110,0,MATCH(E$2,Inputs!$K$4:$AJ$4,0))))+SUMPRODUCT((Inputs!$E$5:$E$110=$B54)*ISNUMBER(INDEX(Inputs!$K$5:$AJ$110,0,MATCH(E$2,Inputs!$K$4:$AJ$4,0))))=0,NA(),SUMPRODUCT((Inputs!$A$5:$A$110=$B54)*Inputs!$B$5:$B$110*(((Inputs!$G$5:$G$110="moeda")+(Inputs!$G$5:$G$110="acoes"))*Inputs!$B$1+((Inputs!$G$5:$G$110&lt;&gt;"moeda")*(Inputs!$G$5:$G$110&lt;&gt;"acoes")))*INDEX(Inputs!$K$5:$AJ$110,0,MATCH(E$2,Inputs!$K$4:$AJ$4,0)))+SUMPRODUCT((Inputs!$C$5:$C$110=$B54)*Inputs!$D$5:$D$110*(((Inputs!$G$5:$G$110="moeda")+(Inputs!$G$5:$G$110="acoes"))*Inputs!$B$1+((Inputs!$G$5:$G$110&lt;&gt;"moeda")*(Inputs!$G$5:$G$110&lt;&gt;"acoes")))*INDEX(Inputs!$K$5:$AJ$110,0,MATCH(E$2,Inputs!$K$4:$AJ$4,0)))+SUMPRODUCT((Inputs!$E$5:$E$110=$B54)*Inputs!$F$5:$F$110*(((Inputs!$G$5:$G$110="moeda")+(Inputs!$G$5:$G$110="acoes"))*Inputs!$B$1+((Inputs!$G$5:$G$110&lt;&gt;"moeda")*(Inputs!$G$5:$G$110&lt;&gt;"acoes")))*INDEX(Inputs!$K$5:$AJ$110,0,MATCH(E$2,Inputs!$K$4:$AJ$4,0)))))</f>
        <v>7002</v>
      </c>
      <c r="F54" s="263">
        <f>IF(ISNA(MATCH(F$2,Inputs!$K$4:$AJ$4,0)),NA(),IF(SUMPRODUCT((Inputs!$A$5:$A$110=$B54)*ISNUMBER(INDEX(Inputs!$K$5:$AJ$110,0,MATCH(F$2,Inputs!$K$4:$AJ$4,0))))+SUMPRODUCT((Inputs!$C$5:$C$110=$B54)*ISNUMBER(INDEX(Inputs!$K$5:$AJ$110,0,MATCH(F$2,Inputs!$K$4:$AJ$4,0))))+SUMPRODUCT((Inputs!$E$5:$E$110=$B54)*ISNUMBER(INDEX(Inputs!$K$5:$AJ$110,0,MATCH(F$2,Inputs!$K$4:$AJ$4,0))))=0,NA(),SUMPRODUCT((Inputs!$A$5:$A$110=$B54)*Inputs!$B$5:$B$110*(((Inputs!$G$5:$G$110="moeda")+(Inputs!$G$5:$G$110="acoes"))*Inputs!$B$1+((Inputs!$G$5:$G$110&lt;&gt;"moeda")*(Inputs!$G$5:$G$110&lt;&gt;"acoes")))*INDEX(Inputs!$K$5:$AJ$110,0,MATCH(F$2,Inputs!$K$4:$AJ$4,0)))+SUMPRODUCT((Inputs!$C$5:$C$110=$B54)*Inputs!$D$5:$D$110*(((Inputs!$G$5:$G$110="moeda")+(Inputs!$G$5:$G$110="acoes"))*Inputs!$B$1+((Inputs!$G$5:$G$110&lt;&gt;"moeda")*(Inputs!$G$5:$G$110&lt;&gt;"acoes")))*INDEX(Inputs!$K$5:$AJ$110,0,MATCH(F$2,Inputs!$K$4:$AJ$4,0)))+SUMPRODUCT((Inputs!$E$5:$E$110=$B54)*Inputs!$F$5:$F$110*(((Inputs!$G$5:$G$110="moeda")+(Inputs!$G$5:$G$110="acoes"))*Inputs!$B$1+((Inputs!$G$5:$G$110&lt;&gt;"moeda")*(Inputs!$G$5:$G$110&lt;&gt;"acoes")))*INDEX(Inputs!$K$5:$AJ$110,0,MATCH(F$2,Inputs!$K$4:$AJ$4,0)))))</f>
        <v>7205</v>
      </c>
      <c r="G54" s="263">
        <f>IF(ISNA(MATCH(G$2,Inputs!$K$4:$AJ$4,0)),NA(),IF(SUMPRODUCT((Inputs!$A$5:$A$110=$B54)*ISNUMBER(INDEX(Inputs!$K$5:$AJ$110,0,MATCH(G$2,Inputs!$K$4:$AJ$4,0))))+SUMPRODUCT((Inputs!$C$5:$C$110=$B54)*ISNUMBER(INDEX(Inputs!$K$5:$AJ$110,0,MATCH(G$2,Inputs!$K$4:$AJ$4,0))))+SUMPRODUCT((Inputs!$E$5:$E$110=$B54)*ISNUMBER(INDEX(Inputs!$K$5:$AJ$110,0,MATCH(G$2,Inputs!$K$4:$AJ$4,0))))=0,NA(),SUMPRODUCT((Inputs!$A$5:$A$110=$B54)*Inputs!$B$5:$B$110*(((Inputs!$G$5:$G$110="moeda")+(Inputs!$G$5:$G$110="acoes"))*Inputs!$B$1+((Inputs!$G$5:$G$110&lt;&gt;"moeda")*(Inputs!$G$5:$G$110&lt;&gt;"acoes")))*INDEX(Inputs!$K$5:$AJ$110,0,MATCH(G$2,Inputs!$K$4:$AJ$4,0)))+SUMPRODUCT((Inputs!$C$5:$C$110=$B54)*Inputs!$D$5:$D$110*(((Inputs!$G$5:$G$110="moeda")+(Inputs!$G$5:$G$110="acoes"))*Inputs!$B$1+((Inputs!$G$5:$G$110&lt;&gt;"moeda")*(Inputs!$G$5:$G$110&lt;&gt;"acoes")))*INDEX(Inputs!$K$5:$AJ$110,0,MATCH(G$2,Inputs!$K$4:$AJ$4,0)))+SUMPRODUCT((Inputs!$E$5:$E$110=$B54)*Inputs!$F$5:$F$110*(((Inputs!$G$5:$G$110="moeda")+(Inputs!$G$5:$G$110="acoes"))*Inputs!$B$1+((Inputs!$G$5:$G$110&lt;&gt;"moeda")*(Inputs!$G$5:$G$110&lt;&gt;"acoes")))*INDEX(Inputs!$K$5:$AJ$110,0,MATCH(G$2,Inputs!$K$4:$AJ$4,0)))))</f>
        <v>8633</v>
      </c>
      <c r="H54" s="264">
        <f>SUM(D54:G54)</f>
        <v>28845</v>
      </c>
      <c r="I54" s="263">
        <f>IF(ISNA(MATCH(I$2,Inputs!$K$4:$AJ$4,0)),NA(),IF(SUMPRODUCT((Inputs!$A$5:$A$110=$B54)*ISNUMBER(INDEX(Inputs!$K$5:$AJ$110,0,MATCH(I$2,Inputs!$K$4:$AJ$4,0))))+SUMPRODUCT((Inputs!$C$5:$C$110=$B54)*ISNUMBER(INDEX(Inputs!$K$5:$AJ$110,0,MATCH(I$2,Inputs!$K$4:$AJ$4,0))))+SUMPRODUCT((Inputs!$E$5:$E$110=$B54)*ISNUMBER(INDEX(Inputs!$K$5:$AJ$110,0,MATCH(I$2,Inputs!$K$4:$AJ$4,0))))=0,NA(),SUMPRODUCT((Inputs!$A$5:$A$110=$B54)*Inputs!$B$5:$B$110*(((Inputs!$G$5:$G$110="moeda")+(Inputs!$G$5:$G$110="acoes"))*Inputs!$B$1+((Inputs!$G$5:$G$110&lt;&gt;"moeda")*(Inputs!$G$5:$G$110&lt;&gt;"acoes")))*INDEX(Inputs!$K$5:$AJ$110,0,MATCH(I$2,Inputs!$K$4:$AJ$4,0)))+SUMPRODUCT((Inputs!$C$5:$C$110=$B54)*Inputs!$D$5:$D$110*(((Inputs!$G$5:$G$110="moeda")+(Inputs!$G$5:$G$110="acoes"))*Inputs!$B$1+((Inputs!$G$5:$G$110&lt;&gt;"moeda")*(Inputs!$G$5:$G$110&lt;&gt;"acoes")))*INDEX(Inputs!$K$5:$AJ$110,0,MATCH(I$2,Inputs!$K$4:$AJ$4,0)))+SUMPRODUCT((Inputs!$E$5:$E$110=$B54)*Inputs!$F$5:$F$110*(((Inputs!$G$5:$G$110="moeda")+(Inputs!$G$5:$G$110="acoes"))*Inputs!$B$1+((Inputs!$G$5:$G$110&lt;&gt;"moeda")*(Inputs!$G$5:$G$110&lt;&gt;"acoes")))*INDEX(Inputs!$K$5:$AJ$110,0,MATCH(I$2,Inputs!$K$4:$AJ$4,0)))))</f>
        <v>6869</v>
      </c>
      <c r="J54" s="263">
        <f>IF(ISNA(MATCH(J$2,Inputs!$K$4:$AJ$4,0)),NA(),IF(SUMPRODUCT((Inputs!$A$5:$A$110=$B54)*ISNUMBER(INDEX(Inputs!$K$5:$AJ$110,0,MATCH(J$2,Inputs!$K$4:$AJ$4,0))))+SUMPRODUCT((Inputs!$C$5:$C$110=$B54)*ISNUMBER(INDEX(Inputs!$K$5:$AJ$110,0,MATCH(J$2,Inputs!$K$4:$AJ$4,0))))+SUMPRODUCT((Inputs!$E$5:$E$110=$B54)*ISNUMBER(INDEX(Inputs!$K$5:$AJ$110,0,MATCH(J$2,Inputs!$K$4:$AJ$4,0))))=0,NA(),SUMPRODUCT((Inputs!$A$5:$A$110=$B54)*Inputs!$B$5:$B$110*(((Inputs!$G$5:$G$110="moeda")+(Inputs!$G$5:$G$110="acoes"))*Inputs!$B$1+((Inputs!$G$5:$G$110&lt;&gt;"moeda")*(Inputs!$G$5:$G$110&lt;&gt;"acoes")))*INDEX(Inputs!$K$5:$AJ$110,0,MATCH(J$2,Inputs!$K$4:$AJ$4,0)))+SUMPRODUCT((Inputs!$C$5:$C$110=$B54)*Inputs!$D$5:$D$110*(((Inputs!$G$5:$G$110="moeda")+(Inputs!$G$5:$G$110="acoes"))*Inputs!$B$1+((Inputs!$G$5:$G$110&lt;&gt;"moeda")*(Inputs!$G$5:$G$110&lt;&gt;"acoes")))*INDEX(Inputs!$K$5:$AJ$110,0,MATCH(J$2,Inputs!$K$4:$AJ$4,0)))+SUMPRODUCT((Inputs!$E$5:$E$110=$B54)*Inputs!$F$5:$F$110*(((Inputs!$G$5:$G$110="moeda")+(Inputs!$G$5:$G$110="acoes"))*Inputs!$B$1+((Inputs!$G$5:$G$110&lt;&gt;"moeda")*(Inputs!$G$5:$G$110&lt;&gt;"acoes")))*INDEX(Inputs!$K$5:$AJ$110,0,MATCH(J$2,Inputs!$K$4:$AJ$4,0)))))</f>
        <v>7340</v>
      </c>
      <c r="K54" s="263">
        <f>IF(ISNA(MATCH(K$2,Inputs!$K$4:$AJ$4,0)),NA(),IF(SUMPRODUCT((Inputs!$A$5:$A$110=$B54)*ISNUMBER(INDEX(Inputs!$K$5:$AJ$110,0,MATCH(K$2,Inputs!$K$4:$AJ$4,0))))+SUMPRODUCT((Inputs!$C$5:$C$110=$B54)*ISNUMBER(INDEX(Inputs!$K$5:$AJ$110,0,MATCH(K$2,Inputs!$K$4:$AJ$4,0))))+SUMPRODUCT((Inputs!$E$5:$E$110=$B54)*ISNUMBER(INDEX(Inputs!$K$5:$AJ$110,0,MATCH(K$2,Inputs!$K$4:$AJ$4,0))))=0,NA(),SUMPRODUCT((Inputs!$A$5:$A$110=$B54)*Inputs!$B$5:$B$110*(((Inputs!$G$5:$G$110="moeda")+(Inputs!$G$5:$G$110="acoes"))*Inputs!$B$1+((Inputs!$G$5:$G$110&lt;&gt;"moeda")*(Inputs!$G$5:$G$110&lt;&gt;"acoes")))*INDEX(Inputs!$K$5:$AJ$110,0,MATCH(K$2,Inputs!$K$4:$AJ$4,0)))+SUMPRODUCT((Inputs!$C$5:$C$110=$B54)*Inputs!$D$5:$D$110*(((Inputs!$G$5:$G$110="moeda")+(Inputs!$G$5:$G$110="acoes"))*Inputs!$B$1+((Inputs!$G$5:$G$110&lt;&gt;"moeda")*(Inputs!$G$5:$G$110&lt;&gt;"acoes")))*INDEX(Inputs!$K$5:$AJ$110,0,MATCH(K$2,Inputs!$K$4:$AJ$4,0)))+SUMPRODUCT((Inputs!$E$5:$E$110=$B54)*Inputs!$F$5:$F$110*(((Inputs!$G$5:$G$110="moeda")+(Inputs!$G$5:$G$110="acoes"))*Inputs!$B$1+((Inputs!$G$5:$G$110&lt;&gt;"moeda")*(Inputs!$G$5:$G$110&lt;&gt;"acoes")))*INDEX(Inputs!$K$5:$AJ$110,0,MATCH(K$2,Inputs!$K$4:$AJ$4,0)))))</f>
        <v>7071</v>
      </c>
      <c r="L54" s="263">
        <f>IF(ISNA(MATCH(L$2,Inputs!$K$4:$AJ$4,0)),NA(),IF(SUMPRODUCT((Inputs!$A$5:$A$110=$B54)*ISNUMBER(INDEX(Inputs!$K$5:$AJ$110,0,MATCH(L$2,Inputs!$K$4:$AJ$4,0))))+SUMPRODUCT((Inputs!$C$5:$C$110=$B54)*ISNUMBER(INDEX(Inputs!$K$5:$AJ$110,0,MATCH(L$2,Inputs!$K$4:$AJ$4,0))))+SUMPRODUCT((Inputs!$E$5:$E$110=$B54)*ISNUMBER(INDEX(Inputs!$K$5:$AJ$110,0,MATCH(L$2,Inputs!$K$4:$AJ$4,0))))=0,NA(),SUMPRODUCT((Inputs!$A$5:$A$110=$B54)*Inputs!$B$5:$B$110*(((Inputs!$G$5:$G$110="moeda")+(Inputs!$G$5:$G$110="acoes"))*Inputs!$B$1+((Inputs!$G$5:$G$110&lt;&gt;"moeda")*(Inputs!$G$5:$G$110&lt;&gt;"acoes")))*INDEX(Inputs!$K$5:$AJ$110,0,MATCH(L$2,Inputs!$K$4:$AJ$4,0)))+SUMPRODUCT((Inputs!$C$5:$C$110=$B54)*Inputs!$D$5:$D$110*(((Inputs!$G$5:$G$110="moeda")+(Inputs!$G$5:$G$110="acoes"))*Inputs!$B$1+((Inputs!$G$5:$G$110&lt;&gt;"moeda")*(Inputs!$G$5:$G$110&lt;&gt;"acoes")))*INDEX(Inputs!$K$5:$AJ$110,0,MATCH(L$2,Inputs!$K$4:$AJ$4,0)))+SUMPRODUCT((Inputs!$E$5:$E$110=$B54)*Inputs!$F$5:$F$110*(((Inputs!$G$5:$G$110="moeda")+(Inputs!$G$5:$G$110="acoes"))*Inputs!$B$1+((Inputs!$G$5:$G$110&lt;&gt;"moeda")*(Inputs!$G$5:$G$110&lt;&gt;"acoes")))*INDEX(Inputs!$K$5:$AJ$110,0,MATCH(L$2,Inputs!$K$4:$AJ$4,0)))))</f>
        <v>7963</v>
      </c>
      <c r="M54" s="264">
        <f>SUM(I54:L54)</f>
        <v>29243</v>
      </c>
      <c r="N54" s="263">
        <f>IF(ISNA(MATCH(N$2,Inputs!$K$4:$AJ$4,0)),NA(),IF(SUMPRODUCT((Inputs!$A$5:$A$110=$B54)*ISNUMBER(INDEX(Inputs!$K$5:$AJ$110,0,MATCH(N$2,Inputs!$K$4:$AJ$4,0))))+SUMPRODUCT((Inputs!$C$5:$C$110=$B54)*ISNUMBER(INDEX(Inputs!$K$5:$AJ$110,0,MATCH(N$2,Inputs!$K$4:$AJ$4,0))))+SUMPRODUCT((Inputs!$E$5:$E$110=$B54)*ISNUMBER(INDEX(Inputs!$K$5:$AJ$110,0,MATCH(N$2,Inputs!$K$4:$AJ$4,0))))=0,NA(),SUMPRODUCT((Inputs!$A$5:$A$110=$B54)*Inputs!$B$5:$B$110*(((Inputs!$G$5:$G$110="moeda")+(Inputs!$G$5:$G$110="acoes"))*Inputs!$B$1+((Inputs!$G$5:$G$110&lt;&gt;"moeda")*(Inputs!$G$5:$G$110&lt;&gt;"acoes")))*INDEX(Inputs!$K$5:$AJ$110,0,MATCH(N$2,Inputs!$K$4:$AJ$4,0)))+SUMPRODUCT((Inputs!$C$5:$C$110=$B54)*Inputs!$D$5:$D$110*(((Inputs!$G$5:$G$110="moeda")+(Inputs!$G$5:$G$110="acoes"))*Inputs!$B$1+((Inputs!$G$5:$G$110&lt;&gt;"moeda")*(Inputs!$G$5:$G$110&lt;&gt;"acoes")))*INDEX(Inputs!$K$5:$AJ$110,0,MATCH(N$2,Inputs!$K$4:$AJ$4,0)))+SUMPRODUCT((Inputs!$E$5:$E$110=$B54)*Inputs!$F$5:$F$110*(((Inputs!$G$5:$G$110="moeda")+(Inputs!$G$5:$G$110="acoes"))*Inputs!$B$1+((Inputs!$G$5:$G$110&lt;&gt;"moeda")*(Inputs!$G$5:$G$110&lt;&gt;"acoes")))*INDEX(Inputs!$K$5:$AJ$110,0,MATCH(N$2,Inputs!$K$4:$AJ$4,0)))))</f>
        <v>6693</v>
      </c>
      <c r="O54" s="263">
        <f>IF(ISNA(MATCH(O$2,Inputs!$K$4:$AJ$4,0)),NA(),IF(SUMPRODUCT((Inputs!$A$5:$A$110=$B54)*ISNUMBER(INDEX(Inputs!$K$5:$AJ$110,0,MATCH(O$2,Inputs!$K$4:$AJ$4,0))))+SUMPRODUCT((Inputs!$C$5:$C$110=$B54)*ISNUMBER(INDEX(Inputs!$K$5:$AJ$110,0,MATCH(O$2,Inputs!$K$4:$AJ$4,0))))+SUMPRODUCT((Inputs!$E$5:$E$110=$B54)*ISNUMBER(INDEX(Inputs!$K$5:$AJ$110,0,MATCH(O$2,Inputs!$K$4:$AJ$4,0))))=0,NA(),SUMPRODUCT((Inputs!$A$5:$A$110=$B54)*Inputs!$B$5:$B$110*(((Inputs!$G$5:$G$110="moeda")+(Inputs!$G$5:$G$110="acoes"))*Inputs!$B$1+((Inputs!$G$5:$G$110&lt;&gt;"moeda")*(Inputs!$G$5:$G$110&lt;&gt;"acoes")))*INDEX(Inputs!$K$5:$AJ$110,0,MATCH(O$2,Inputs!$K$4:$AJ$4,0)))+SUMPRODUCT((Inputs!$C$5:$C$110=$B54)*Inputs!$D$5:$D$110*(((Inputs!$G$5:$G$110="moeda")+(Inputs!$G$5:$G$110="acoes"))*Inputs!$B$1+((Inputs!$G$5:$G$110&lt;&gt;"moeda")*(Inputs!$G$5:$G$110&lt;&gt;"acoes")))*INDEX(Inputs!$K$5:$AJ$110,0,MATCH(O$2,Inputs!$K$4:$AJ$4,0)))+SUMPRODUCT((Inputs!$E$5:$E$110=$B54)*Inputs!$F$5:$F$110*(((Inputs!$G$5:$G$110="moeda")+(Inputs!$G$5:$G$110="acoes"))*Inputs!$B$1+((Inputs!$G$5:$G$110&lt;&gt;"moeda")*(Inputs!$G$5:$G$110&lt;&gt;"acoes")))*INDEX(Inputs!$K$5:$AJ$110,0,MATCH(O$2,Inputs!$K$4:$AJ$4,0)))))</f>
        <v>7665</v>
      </c>
      <c r="P54" s="263">
        <f>IF(ISNA(MATCH(P$2,Inputs!$K$4:$AJ$4,0)),NA(),IF(SUMPRODUCT((Inputs!$A$5:$A$110=$B54)*ISNUMBER(INDEX(Inputs!$K$5:$AJ$110,0,MATCH(P$2,Inputs!$K$4:$AJ$4,0))))+SUMPRODUCT((Inputs!$C$5:$C$110=$B54)*ISNUMBER(INDEX(Inputs!$K$5:$AJ$110,0,MATCH(P$2,Inputs!$K$4:$AJ$4,0))))+SUMPRODUCT((Inputs!$E$5:$E$110=$B54)*ISNUMBER(INDEX(Inputs!$K$5:$AJ$110,0,MATCH(P$2,Inputs!$K$4:$AJ$4,0))))=0,NA(),SUMPRODUCT((Inputs!$A$5:$A$110=$B54)*Inputs!$B$5:$B$110*(((Inputs!$G$5:$G$110="moeda")+(Inputs!$G$5:$G$110="acoes"))*Inputs!$B$1+((Inputs!$G$5:$G$110&lt;&gt;"moeda")*(Inputs!$G$5:$G$110&lt;&gt;"acoes")))*INDEX(Inputs!$K$5:$AJ$110,0,MATCH(P$2,Inputs!$K$4:$AJ$4,0)))+SUMPRODUCT((Inputs!$C$5:$C$110=$B54)*Inputs!$D$5:$D$110*(((Inputs!$G$5:$G$110="moeda")+(Inputs!$G$5:$G$110="acoes"))*Inputs!$B$1+((Inputs!$G$5:$G$110&lt;&gt;"moeda")*(Inputs!$G$5:$G$110&lt;&gt;"acoes")))*INDEX(Inputs!$K$5:$AJ$110,0,MATCH(P$2,Inputs!$K$4:$AJ$4,0)))+SUMPRODUCT((Inputs!$E$5:$E$110=$B54)*Inputs!$F$5:$F$110*(((Inputs!$G$5:$G$110="moeda")+(Inputs!$G$5:$G$110="acoes"))*Inputs!$B$1+((Inputs!$G$5:$G$110&lt;&gt;"moeda")*(Inputs!$G$5:$G$110&lt;&gt;"acoes")))*INDEX(Inputs!$K$5:$AJ$110,0,MATCH(P$2,Inputs!$K$4:$AJ$4,0)))))</f>
        <v>7952</v>
      </c>
      <c r="Q54" s="263">
        <f>IF(ISNA(MATCH(Q$2,Inputs!$K$4:$AJ$4,0)),NA(),IF(SUMPRODUCT((Inputs!$A$5:$A$110=$B54)*ISNUMBER(INDEX(Inputs!$K$5:$AJ$110,0,MATCH(Q$2,Inputs!$K$4:$AJ$4,0))))+SUMPRODUCT((Inputs!$C$5:$C$110=$B54)*ISNUMBER(INDEX(Inputs!$K$5:$AJ$110,0,MATCH(Q$2,Inputs!$K$4:$AJ$4,0))))+SUMPRODUCT((Inputs!$E$5:$E$110=$B54)*ISNUMBER(INDEX(Inputs!$K$5:$AJ$110,0,MATCH(Q$2,Inputs!$K$4:$AJ$4,0))))=0,NA(),SUMPRODUCT((Inputs!$A$5:$A$110=$B54)*Inputs!$B$5:$B$110*(((Inputs!$G$5:$G$110="moeda")+(Inputs!$G$5:$G$110="acoes"))*Inputs!$B$1+((Inputs!$G$5:$G$110&lt;&gt;"moeda")*(Inputs!$G$5:$G$110&lt;&gt;"acoes")))*INDEX(Inputs!$K$5:$AJ$110,0,MATCH(Q$2,Inputs!$K$4:$AJ$4,0)))+SUMPRODUCT((Inputs!$C$5:$C$110=$B54)*Inputs!$D$5:$D$110*(((Inputs!$G$5:$G$110="moeda")+(Inputs!$G$5:$G$110="acoes"))*Inputs!$B$1+((Inputs!$G$5:$G$110&lt;&gt;"moeda")*(Inputs!$G$5:$G$110&lt;&gt;"acoes")))*INDEX(Inputs!$K$5:$AJ$110,0,MATCH(Q$2,Inputs!$K$4:$AJ$4,0)))+SUMPRODUCT((Inputs!$E$5:$E$110=$B54)*Inputs!$F$5:$F$110*(((Inputs!$G$5:$G$110="moeda")+(Inputs!$G$5:$G$110="acoes"))*Inputs!$B$1+((Inputs!$G$5:$G$110&lt;&gt;"moeda")*(Inputs!$G$5:$G$110&lt;&gt;"acoes")))*INDEX(Inputs!$K$5:$AJ$110,0,MATCH(Q$2,Inputs!$K$4:$AJ$4,0)))))</f>
        <v>9200</v>
      </c>
      <c r="R54" s="264">
        <f>SUM(N54:Q54)</f>
        <v>31510</v>
      </c>
      <c r="S54" s="263">
        <f>IF(ISNA(MATCH(S$2,Inputs!$K$4:$AJ$4,0)),NA(),IF(SUMPRODUCT((Inputs!$A$5:$A$110=$B54)*ISNUMBER(INDEX(Inputs!$K$5:$AJ$110,0,MATCH(S$2,Inputs!$K$4:$AJ$4,0))))+SUMPRODUCT((Inputs!$C$5:$C$110=$B54)*ISNUMBER(INDEX(Inputs!$K$5:$AJ$110,0,MATCH(S$2,Inputs!$K$4:$AJ$4,0))))+SUMPRODUCT((Inputs!$E$5:$E$110=$B54)*ISNUMBER(INDEX(Inputs!$K$5:$AJ$110,0,MATCH(S$2,Inputs!$K$4:$AJ$4,0))))=0,NA(),SUMPRODUCT((Inputs!$A$5:$A$110=$B54)*Inputs!$B$5:$B$110*(((Inputs!$G$5:$G$110="moeda")+(Inputs!$G$5:$G$110="acoes"))*Inputs!$B$1+((Inputs!$G$5:$G$110&lt;&gt;"moeda")*(Inputs!$G$5:$G$110&lt;&gt;"acoes")))*INDEX(Inputs!$K$5:$AJ$110,0,MATCH(S$2,Inputs!$K$4:$AJ$4,0)))+SUMPRODUCT((Inputs!$C$5:$C$110=$B54)*Inputs!$D$5:$D$110*(((Inputs!$G$5:$G$110="moeda")+(Inputs!$G$5:$G$110="acoes"))*Inputs!$B$1+((Inputs!$G$5:$G$110&lt;&gt;"moeda")*(Inputs!$G$5:$G$110&lt;&gt;"acoes")))*INDEX(Inputs!$K$5:$AJ$110,0,MATCH(S$2,Inputs!$K$4:$AJ$4,0)))+SUMPRODUCT((Inputs!$E$5:$E$110=$B54)*Inputs!$F$5:$F$110*(((Inputs!$G$5:$G$110="moeda")+(Inputs!$G$5:$G$110="acoes"))*Inputs!$B$1+((Inputs!$G$5:$G$110&lt;&gt;"moeda")*(Inputs!$G$5:$G$110&lt;&gt;"acoes")))*INDEX(Inputs!$K$5:$AJ$110,0,MATCH(S$2,Inputs!$K$4:$AJ$4,0)))))</f>
        <v>8090</v>
      </c>
      <c r="T54" s="263">
        <f>IF(ISNA(MATCH(T$2,Inputs!$K$4:$AJ$4,0)),NA(),IF(SUMPRODUCT((Inputs!$A$5:$A$110=$B54)*ISNUMBER(INDEX(Inputs!$K$5:$AJ$110,0,MATCH(T$2,Inputs!$K$4:$AJ$4,0))))+SUMPRODUCT((Inputs!$C$5:$C$110=$B54)*ISNUMBER(INDEX(Inputs!$K$5:$AJ$110,0,MATCH(T$2,Inputs!$K$4:$AJ$4,0))))+SUMPRODUCT((Inputs!$E$5:$E$110=$B54)*ISNUMBER(INDEX(Inputs!$K$5:$AJ$110,0,MATCH(T$2,Inputs!$K$4:$AJ$4,0))))=0,NA(),SUMPRODUCT((Inputs!$A$5:$A$110=$B54)*Inputs!$B$5:$B$110*(((Inputs!$G$5:$G$110="moeda")+(Inputs!$G$5:$G$110="acoes"))*Inputs!$B$1+((Inputs!$G$5:$G$110&lt;&gt;"moeda")*(Inputs!$G$5:$G$110&lt;&gt;"acoes")))*INDEX(Inputs!$K$5:$AJ$110,0,MATCH(T$2,Inputs!$K$4:$AJ$4,0)))+SUMPRODUCT((Inputs!$C$5:$C$110=$B54)*Inputs!$D$5:$D$110*(((Inputs!$G$5:$G$110="moeda")+(Inputs!$G$5:$G$110="acoes"))*Inputs!$B$1+((Inputs!$G$5:$G$110&lt;&gt;"moeda")*(Inputs!$G$5:$G$110&lt;&gt;"acoes")))*INDEX(Inputs!$K$5:$AJ$110,0,MATCH(T$2,Inputs!$K$4:$AJ$4,0)))+SUMPRODUCT((Inputs!$E$5:$E$110=$B54)*Inputs!$F$5:$F$110*(((Inputs!$G$5:$G$110="moeda")+(Inputs!$G$5:$G$110="acoes"))*Inputs!$B$1+((Inputs!$G$5:$G$110&lt;&gt;"moeda")*(Inputs!$G$5:$G$110&lt;&gt;"acoes")))*INDEX(Inputs!$K$5:$AJ$110,0,MATCH(T$2,Inputs!$K$4:$AJ$4,0)))))</f>
        <v>8663</v>
      </c>
      <c r="U54" s="263">
        <f>IF(ISNA(MATCH(U$2,Inputs!$K$4:$AJ$4,0)),NA(),IF(SUMPRODUCT((Inputs!$A$5:$A$110=$B54)*ISNUMBER(INDEX(Inputs!$K$5:$AJ$110,0,MATCH(U$2,Inputs!$K$4:$AJ$4,0))))+SUMPRODUCT((Inputs!$C$5:$C$110=$B54)*ISNUMBER(INDEX(Inputs!$K$5:$AJ$110,0,MATCH(U$2,Inputs!$K$4:$AJ$4,0))))+SUMPRODUCT((Inputs!$E$5:$E$110=$B54)*ISNUMBER(INDEX(Inputs!$K$5:$AJ$110,0,MATCH(U$2,Inputs!$K$4:$AJ$4,0))))=0,NA(),SUMPRODUCT((Inputs!$A$5:$A$110=$B54)*Inputs!$B$5:$B$110*(((Inputs!$G$5:$G$110="moeda")+(Inputs!$G$5:$G$110="acoes"))*Inputs!$B$1+((Inputs!$G$5:$G$110&lt;&gt;"moeda")*(Inputs!$G$5:$G$110&lt;&gt;"acoes")))*INDEX(Inputs!$K$5:$AJ$110,0,MATCH(U$2,Inputs!$K$4:$AJ$4,0)))+SUMPRODUCT((Inputs!$C$5:$C$110=$B54)*Inputs!$D$5:$D$110*(((Inputs!$G$5:$G$110="moeda")+(Inputs!$G$5:$G$110="acoes"))*Inputs!$B$1+((Inputs!$G$5:$G$110&lt;&gt;"moeda")*(Inputs!$G$5:$G$110&lt;&gt;"acoes")))*INDEX(Inputs!$K$5:$AJ$110,0,MATCH(U$2,Inputs!$K$4:$AJ$4,0)))+SUMPRODUCT((Inputs!$E$5:$E$110=$B54)*Inputs!$F$5:$F$110*(((Inputs!$G$5:$G$110="moeda")+(Inputs!$G$5:$G$110="acoes"))*Inputs!$B$1+((Inputs!$G$5:$G$110&lt;&gt;"moeda")*(Inputs!$G$5:$G$110&lt;&gt;"acoes")))*INDEX(Inputs!$K$5:$AJ$110,0,MATCH(U$2,Inputs!$K$4:$AJ$4,0)))))</f>
        <v>8921</v>
      </c>
      <c r="V54" s="263">
        <f>IF(ISNA(MATCH(V$2,Inputs!$K$4:$AJ$4,0)),NA(),IF(SUMPRODUCT((Inputs!$A$5:$A$110=$B54)*ISNUMBER(INDEX(Inputs!$K$5:$AJ$110,0,MATCH(V$2,Inputs!$K$4:$AJ$4,0))))+SUMPRODUCT((Inputs!$C$5:$C$110=$B54)*ISNUMBER(INDEX(Inputs!$K$5:$AJ$110,0,MATCH(V$2,Inputs!$K$4:$AJ$4,0))))+SUMPRODUCT((Inputs!$E$5:$E$110=$B54)*ISNUMBER(INDEX(Inputs!$K$5:$AJ$110,0,MATCH(V$2,Inputs!$K$4:$AJ$4,0))))=0,NA(),SUMPRODUCT((Inputs!$A$5:$A$110=$B54)*Inputs!$B$5:$B$110*(((Inputs!$G$5:$G$110="moeda")+(Inputs!$G$5:$G$110="acoes"))*Inputs!$B$1+((Inputs!$G$5:$G$110&lt;&gt;"moeda")*(Inputs!$G$5:$G$110&lt;&gt;"acoes")))*INDEX(Inputs!$K$5:$AJ$110,0,MATCH(V$2,Inputs!$K$4:$AJ$4,0)))+SUMPRODUCT((Inputs!$C$5:$C$110=$B54)*Inputs!$D$5:$D$110*(((Inputs!$G$5:$G$110="moeda")+(Inputs!$G$5:$G$110="acoes"))*Inputs!$B$1+((Inputs!$G$5:$G$110&lt;&gt;"moeda")*(Inputs!$G$5:$G$110&lt;&gt;"acoes")))*INDEX(Inputs!$K$5:$AJ$110,0,MATCH(V$2,Inputs!$K$4:$AJ$4,0)))+SUMPRODUCT((Inputs!$E$5:$E$110=$B54)*Inputs!$F$5:$F$110*(((Inputs!$G$5:$G$110="moeda")+(Inputs!$G$5:$G$110="acoes"))*Inputs!$B$1+((Inputs!$G$5:$G$110&lt;&gt;"moeda")*(Inputs!$G$5:$G$110&lt;&gt;"acoes")))*INDEX(Inputs!$K$5:$AJ$110,0,MATCH(V$2,Inputs!$K$4:$AJ$4,0)))))</f>
        <v>10473</v>
      </c>
      <c r="W54" s="264">
        <f>SUM(S54:V54)</f>
        <v>36147</v>
      </c>
      <c r="X54" s="263">
        <f>IF(ISNA(MATCH(X$2,Inputs!$K$4:$AJ$4,0)),NA(),IF(SUMPRODUCT((Inputs!$A$5:$A$110=$B54)*ISNUMBER(INDEX(Inputs!$K$5:$AJ$110,0,MATCH(X$2,Inputs!$K$4:$AJ$4,0))))+SUMPRODUCT((Inputs!$C$5:$C$110=$B54)*ISNUMBER(INDEX(Inputs!$K$5:$AJ$110,0,MATCH(X$2,Inputs!$K$4:$AJ$4,0))))+SUMPRODUCT((Inputs!$E$5:$E$110=$B54)*ISNUMBER(INDEX(Inputs!$K$5:$AJ$110,0,MATCH(X$2,Inputs!$K$4:$AJ$4,0))))=0,NA(),SUMPRODUCT((Inputs!$A$5:$A$110=$B54)*Inputs!$B$5:$B$110*(((Inputs!$G$5:$G$110="moeda")+(Inputs!$G$5:$G$110="acoes"))*Inputs!$B$1+((Inputs!$G$5:$G$110&lt;&gt;"moeda")*(Inputs!$G$5:$G$110&lt;&gt;"acoes")))*INDEX(Inputs!$K$5:$AJ$110,0,MATCH(X$2,Inputs!$K$4:$AJ$4,0)))+SUMPRODUCT((Inputs!$C$5:$C$110=$B54)*Inputs!$D$5:$D$110*(((Inputs!$G$5:$G$110="moeda")+(Inputs!$G$5:$G$110="acoes"))*Inputs!$B$1+((Inputs!$G$5:$G$110&lt;&gt;"moeda")*(Inputs!$G$5:$G$110&lt;&gt;"acoes")))*INDEX(Inputs!$K$5:$AJ$110,0,MATCH(X$2,Inputs!$K$4:$AJ$4,0)))+SUMPRODUCT((Inputs!$E$5:$E$110=$B54)*Inputs!$F$5:$F$110*(((Inputs!$G$5:$G$110="moeda")+(Inputs!$G$5:$G$110="acoes"))*Inputs!$B$1+((Inputs!$G$5:$G$110&lt;&gt;"moeda")*(Inputs!$G$5:$G$110&lt;&gt;"acoes")))*INDEX(Inputs!$K$5:$AJ$110,0,MATCH(X$2,Inputs!$K$4:$AJ$4,0)))))</f>
        <v>8927</v>
      </c>
      <c r="Y54" s="263">
        <f>IF(ISNA(MATCH(Y$2,Inputs!$K$4:$AJ$4,0)),NA(),IF(SUMPRODUCT((Inputs!$A$5:$A$110=$B54)*ISNUMBER(INDEX(Inputs!$K$5:$AJ$110,0,MATCH(Y$2,Inputs!$K$4:$AJ$4,0))))+SUMPRODUCT((Inputs!$C$5:$C$110=$B54)*ISNUMBER(INDEX(Inputs!$K$5:$AJ$110,0,MATCH(Y$2,Inputs!$K$4:$AJ$4,0))))+SUMPRODUCT((Inputs!$E$5:$E$110=$B54)*ISNUMBER(INDEX(Inputs!$K$5:$AJ$110,0,MATCH(Y$2,Inputs!$K$4:$AJ$4,0))))=0,NA(),SUMPRODUCT((Inputs!$A$5:$A$110=$B54)*Inputs!$B$5:$B$110*(((Inputs!$G$5:$G$110="moeda")+(Inputs!$G$5:$G$110="acoes"))*Inputs!$B$1+((Inputs!$G$5:$G$110&lt;&gt;"moeda")*(Inputs!$G$5:$G$110&lt;&gt;"acoes")))*INDEX(Inputs!$K$5:$AJ$110,0,MATCH(Y$2,Inputs!$K$4:$AJ$4,0)))+SUMPRODUCT((Inputs!$C$5:$C$110=$B54)*Inputs!$D$5:$D$110*(((Inputs!$G$5:$G$110="moeda")+(Inputs!$G$5:$G$110="acoes"))*Inputs!$B$1+((Inputs!$G$5:$G$110&lt;&gt;"moeda")*(Inputs!$G$5:$G$110&lt;&gt;"acoes")))*INDEX(Inputs!$K$5:$AJ$110,0,MATCH(Y$2,Inputs!$K$4:$AJ$4,0)))+SUMPRODUCT((Inputs!$E$5:$E$110=$B54)*Inputs!$F$5:$F$110*(((Inputs!$G$5:$G$110="moeda")+(Inputs!$G$5:$G$110="acoes"))*Inputs!$B$1+((Inputs!$G$5:$G$110&lt;&gt;"moeda")*(Inputs!$G$5:$G$110&lt;&gt;"acoes")))*INDEX(Inputs!$K$5:$AJ$110,0,MATCH(Y$2,Inputs!$K$4:$AJ$4,0)))))</f>
        <v>9796</v>
      </c>
      <c r="Z54" s="263">
        <f>IF(ISNA(MATCH(Z$2,Inputs!$K$4:$AJ$4,0)),NA(),IF(SUMPRODUCT((Inputs!$A$5:$A$110=$B54)*ISNUMBER(INDEX(Inputs!$K$5:$AJ$110,0,MATCH(Z$2,Inputs!$K$4:$AJ$4,0))))+SUMPRODUCT((Inputs!$C$5:$C$110=$B54)*ISNUMBER(INDEX(Inputs!$K$5:$AJ$110,0,MATCH(Z$2,Inputs!$K$4:$AJ$4,0))))+SUMPRODUCT((Inputs!$E$5:$E$110=$B54)*ISNUMBER(INDEX(Inputs!$K$5:$AJ$110,0,MATCH(Z$2,Inputs!$K$4:$AJ$4,0))))=0,NA(),SUMPRODUCT((Inputs!$A$5:$A$110=$B54)*Inputs!$B$5:$B$110*(((Inputs!$G$5:$G$110="moeda")+(Inputs!$G$5:$G$110="acoes"))*Inputs!$B$1+((Inputs!$G$5:$G$110&lt;&gt;"moeda")*(Inputs!$G$5:$G$110&lt;&gt;"acoes")))*INDEX(Inputs!$K$5:$AJ$110,0,MATCH(Z$2,Inputs!$K$4:$AJ$4,0)))+SUMPRODUCT((Inputs!$C$5:$C$110=$B54)*Inputs!$D$5:$D$110*(((Inputs!$G$5:$G$110="moeda")+(Inputs!$G$5:$G$110="acoes"))*Inputs!$B$1+((Inputs!$G$5:$G$110&lt;&gt;"moeda")*(Inputs!$G$5:$G$110&lt;&gt;"acoes")))*INDEX(Inputs!$K$5:$AJ$110,0,MATCH(Z$2,Inputs!$K$4:$AJ$4,0)))+SUMPRODUCT((Inputs!$E$5:$E$110=$B54)*Inputs!$F$5:$F$110*(((Inputs!$G$5:$G$110="moeda")+(Inputs!$G$5:$G$110="acoes"))*Inputs!$B$1+((Inputs!$G$5:$G$110&lt;&gt;"moeda")*(Inputs!$G$5:$G$110&lt;&gt;"acoes")))*INDEX(Inputs!$K$5:$AJ$110,0,MATCH(Z$2,Inputs!$K$4:$AJ$4,0)))))</f>
        <v>10261</v>
      </c>
      <c r="AA54" s="263">
        <f>IF(ISNA(MATCH(AA$2,Inputs!$K$4:$AJ$4,0)),NA(),IF(SUMPRODUCT((Inputs!$A$5:$A$110=$B54)*ISNUMBER(INDEX(Inputs!$K$5:$AJ$110,0,MATCH(AA$2,Inputs!$K$4:$AJ$4,0))))+SUMPRODUCT((Inputs!$C$5:$C$110=$B54)*ISNUMBER(INDEX(Inputs!$K$5:$AJ$110,0,MATCH(AA$2,Inputs!$K$4:$AJ$4,0))))+SUMPRODUCT((Inputs!$E$5:$E$110=$B54)*ISNUMBER(INDEX(Inputs!$K$5:$AJ$110,0,MATCH(AA$2,Inputs!$K$4:$AJ$4,0))))=0,NA(),SUMPRODUCT((Inputs!$A$5:$A$110=$B54)*Inputs!$B$5:$B$110*(((Inputs!$G$5:$G$110="moeda")+(Inputs!$G$5:$G$110="acoes"))*Inputs!$B$1+((Inputs!$G$5:$G$110&lt;&gt;"moeda")*(Inputs!$G$5:$G$110&lt;&gt;"acoes")))*INDEX(Inputs!$K$5:$AJ$110,0,MATCH(AA$2,Inputs!$K$4:$AJ$4,0)))+SUMPRODUCT((Inputs!$C$5:$C$110=$B54)*Inputs!$D$5:$D$110*(((Inputs!$G$5:$G$110="moeda")+(Inputs!$G$5:$G$110="acoes"))*Inputs!$B$1+((Inputs!$G$5:$G$110&lt;&gt;"moeda")*(Inputs!$G$5:$G$110&lt;&gt;"acoes")))*INDEX(Inputs!$K$5:$AJ$110,0,MATCH(AA$2,Inputs!$K$4:$AJ$4,0)))+SUMPRODUCT((Inputs!$E$5:$E$110=$B54)*Inputs!$F$5:$F$110*(((Inputs!$G$5:$G$110="moeda")+(Inputs!$G$5:$G$110="acoes"))*Inputs!$B$1+((Inputs!$G$5:$G$110&lt;&gt;"moeda")*(Inputs!$G$5:$G$110&lt;&gt;"acoes")))*INDEX(Inputs!$K$5:$AJ$110,0,MATCH(AA$2,Inputs!$K$4:$AJ$4,0)))))</f>
        <v>11383</v>
      </c>
      <c r="AB54" s="264">
        <f>SUM(X54:AA54)</f>
        <v>40367</v>
      </c>
      <c r="AC54" s="263">
        <f>IF(ISNA(MATCH(AC$2,Inputs!$K$4:$AJ$4,0)),NA(),IF(SUMPRODUCT((Inputs!$A$5:$A$110=$B54)*ISNUMBER(INDEX(Inputs!$K$5:$AJ$110,0,MATCH(AC$2,Inputs!$K$4:$AJ$4,0))))+SUMPRODUCT((Inputs!$C$5:$C$110=$B54)*ISNUMBER(INDEX(Inputs!$K$5:$AJ$110,0,MATCH(AC$2,Inputs!$K$4:$AJ$4,0))))+SUMPRODUCT((Inputs!$E$5:$E$110=$B54)*ISNUMBER(INDEX(Inputs!$K$5:$AJ$110,0,MATCH(AC$2,Inputs!$K$4:$AJ$4,0))))=0,NA(),SUMPRODUCT((Inputs!$A$5:$A$110=$B54)*Inputs!$B$5:$B$110*(((Inputs!$G$5:$G$110="moeda")+(Inputs!$G$5:$G$110="acoes"))*Inputs!$B$1+((Inputs!$G$5:$G$110&lt;&gt;"moeda")*(Inputs!$G$5:$G$110&lt;&gt;"acoes")))*INDEX(Inputs!$K$5:$AJ$110,0,MATCH(AC$2,Inputs!$K$4:$AJ$4,0)))+SUMPRODUCT((Inputs!$C$5:$C$110=$B54)*Inputs!$D$5:$D$110*(((Inputs!$G$5:$G$110="moeda")+(Inputs!$G$5:$G$110="acoes"))*Inputs!$B$1+((Inputs!$G$5:$G$110&lt;&gt;"moeda")*(Inputs!$G$5:$G$110&lt;&gt;"acoes")))*INDEX(Inputs!$K$5:$AJ$110,0,MATCH(AC$2,Inputs!$K$4:$AJ$4,0)))+SUMPRODUCT((Inputs!$E$5:$E$110=$B54)*Inputs!$F$5:$F$110*(((Inputs!$G$5:$G$110="moeda")+(Inputs!$G$5:$G$110="acoes"))*Inputs!$B$1+((Inputs!$G$5:$G$110&lt;&gt;"moeda")*(Inputs!$G$5:$G$110&lt;&gt;"acoes")))*INDEX(Inputs!$K$5:$AJ$110,0,MATCH(AC$2,Inputs!$K$4:$AJ$4,0)))))</f>
        <v>9883</v>
      </c>
      <c r="AD54" s="263">
        <f>IF(ISNA(MATCH(AD$2,Inputs!$K$4:$AJ$4,0)),NA(),IF(SUMPRODUCT((Inputs!$A$5:$A$110=$B54)*ISNUMBER(INDEX(Inputs!$K$5:$AJ$110,0,MATCH(AD$2,Inputs!$K$4:$AJ$4,0))))+SUMPRODUCT((Inputs!$C$5:$C$110=$B54)*ISNUMBER(INDEX(Inputs!$K$5:$AJ$110,0,MATCH(AD$2,Inputs!$K$4:$AJ$4,0))))+SUMPRODUCT((Inputs!$E$5:$E$110=$B54)*ISNUMBER(INDEX(Inputs!$K$5:$AJ$110,0,MATCH(AD$2,Inputs!$K$4:$AJ$4,0))))=0,NA(),SUMPRODUCT((Inputs!$A$5:$A$110=$B54)*Inputs!$B$5:$B$110*(((Inputs!$G$5:$G$110="moeda")+(Inputs!$G$5:$G$110="acoes"))*Inputs!$B$1+((Inputs!$G$5:$G$110&lt;&gt;"moeda")*(Inputs!$G$5:$G$110&lt;&gt;"acoes")))*INDEX(Inputs!$K$5:$AJ$110,0,MATCH(AD$2,Inputs!$K$4:$AJ$4,0)))+SUMPRODUCT((Inputs!$C$5:$C$110=$B54)*Inputs!$D$5:$D$110*(((Inputs!$G$5:$G$110="moeda")+(Inputs!$G$5:$G$110="acoes"))*Inputs!$B$1+((Inputs!$G$5:$G$110&lt;&gt;"moeda")*(Inputs!$G$5:$G$110&lt;&gt;"acoes")))*INDEX(Inputs!$K$5:$AJ$110,0,MATCH(AD$2,Inputs!$K$4:$AJ$4,0)))+SUMPRODUCT((Inputs!$E$5:$E$110=$B54)*Inputs!$F$5:$F$110*(((Inputs!$G$5:$G$110="moeda")+(Inputs!$G$5:$G$110="acoes"))*Inputs!$B$1+((Inputs!$G$5:$G$110&lt;&gt;"moeda")*(Inputs!$G$5:$G$110&lt;&gt;"acoes")))*INDEX(Inputs!$K$5:$AJ$110,0,MATCH(AD$2,Inputs!$K$4:$AJ$4,0)))))</f>
        <v>11055</v>
      </c>
      <c r="AE54" s="263" t="e">
        <f>IF(ISNA(MATCH(AE$2,Inputs!$K$4:$AJ$4,0)),NA(),IF(SUMPRODUCT((Inputs!$A$5:$A$110=$B54)*ISNUMBER(INDEX(Inputs!$K$5:$AJ$110,0,MATCH(AE$2,Inputs!$K$4:$AJ$4,0))))+SUMPRODUCT((Inputs!$C$5:$C$110=$B54)*ISNUMBER(INDEX(Inputs!$K$5:$AJ$110,0,MATCH(AE$2,Inputs!$K$4:$AJ$4,0))))+SUMPRODUCT((Inputs!$E$5:$E$110=$B54)*ISNUMBER(INDEX(Inputs!$K$5:$AJ$110,0,MATCH(AE$2,Inputs!$K$4:$AJ$4,0))))=0,NA(),SUMPRODUCT((Inputs!$A$5:$A$110=$B54)*Inputs!$B$5:$B$110*(((Inputs!$G$5:$G$110="moeda")+(Inputs!$G$5:$G$110="acoes"))*Inputs!$B$1+((Inputs!$G$5:$G$110&lt;&gt;"moeda")*(Inputs!$G$5:$G$110&lt;&gt;"acoes")))*INDEX(Inputs!$K$5:$AJ$110,0,MATCH(AE$2,Inputs!$K$4:$AJ$4,0)))+SUMPRODUCT((Inputs!$C$5:$C$110=$B54)*Inputs!$D$5:$D$110*(((Inputs!$G$5:$G$110="moeda")+(Inputs!$G$5:$G$110="acoes"))*Inputs!$B$1+((Inputs!$G$5:$G$110&lt;&gt;"moeda")*(Inputs!$G$5:$G$110&lt;&gt;"acoes")))*INDEX(Inputs!$K$5:$AJ$110,0,MATCH(AE$2,Inputs!$K$4:$AJ$4,0)))+SUMPRODUCT((Inputs!$E$5:$E$110=$B54)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4" s="263" t="e">
        <f>IF(ISNA(MATCH(AF$2,Inputs!$K$4:$AJ$4,0)),NA(),IF(SUMPRODUCT((Inputs!$A$5:$A$110=$B54)*ISNUMBER(INDEX(Inputs!$K$5:$AJ$110,0,MATCH(AF$2,Inputs!$K$4:$AJ$4,0))))+SUMPRODUCT((Inputs!$C$5:$C$110=$B54)*ISNUMBER(INDEX(Inputs!$K$5:$AJ$110,0,MATCH(AF$2,Inputs!$K$4:$AJ$4,0))))+SUMPRODUCT((Inputs!$E$5:$E$110=$B54)*ISNUMBER(INDEX(Inputs!$K$5:$AJ$110,0,MATCH(AF$2,Inputs!$K$4:$AJ$4,0))))=0,NA(),SUMPRODUCT((Inputs!$A$5:$A$110=$B54)*Inputs!$B$5:$B$110*(((Inputs!$G$5:$G$110="moeda")+(Inputs!$G$5:$G$110="acoes"))*Inputs!$B$1+((Inputs!$G$5:$G$110&lt;&gt;"moeda")*(Inputs!$G$5:$G$110&lt;&gt;"acoes")))*INDEX(Inputs!$K$5:$AJ$110,0,MATCH(AF$2,Inputs!$K$4:$AJ$4,0)))+SUMPRODUCT((Inputs!$C$5:$C$110=$B54)*Inputs!$D$5:$D$110*(((Inputs!$G$5:$G$110="moeda")+(Inputs!$G$5:$G$110="acoes"))*Inputs!$B$1+((Inputs!$G$5:$G$110&lt;&gt;"moeda")*(Inputs!$G$5:$G$110&lt;&gt;"acoes")))*INDEX(Inputs!$K$5:$AJ$110,0,MATCH(AF$2,Inputs!$K$4:$AJ$4,0)))+SUMPRODUCT((Inputs!$E$5:$E$110=$B54)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4" s="264" t="e">
        <f>SUM(AC54:AF54)</f>
        <v>#N/A</v>
      </c>
      <c r="AH54" s="263">
        <f>IF(ISNA(MATCH(AH$2,Inputs!$K$4:$AJ$4,0)),NA(),IF(SUMPRODUCT((Inputs!$A$5:$A$110=$B54)*ISNUMBER(INDEX(Inputs!$K$5:$AJ$110,0,MATCH(AH$2,Inputs!$K$4:$AJ$4,0))))+SUMPRODUCT((Inputs!$C$5:$C$110=$B54)*ISNUMBER(INDEX(Inputs!$K$5:$AJ$110,0,MATCH(AH$2,Inputs!$K$4:$AJ$4,0))))+SUMPRODUCT((Inputs!$E$5:$E$110=$B54)*ISNUMBER(INDEX(Inputs!$K$5:$AJ$110,0,MATCH(AH$2,Inputs!$K$4:$AJ$4,0))))=0,NA(),SUMPRODUCT((Inputs!$A$5:$A$110=$B54)*Inputs!$B$5:$B$110*(((Inputs!$G$5:$G$110="moeda")+(Inputs!$G$5:$G$110="acoes"))*Inputs!$B$1+((Inputs!$G$5:$G$110&lt;&gt;"moeda")*(Inputs!$G$5:$G$110&lt;&gt;"acoes")))*INDEX(Inputs!$K$5:$AJ$110,0,MATCH(AH$2,Inputs!$K$4:$AJ$4,0)))+SUMPRODUCT((Inputs!$C$5:$C$110=$B54)*Inputs!$D$5:$D$110*(((Inputs!$G$5:$G$110="moeda")+(Inputs!$G$5:$G$110="acoes"))*Inputs!$B$1+((Inputs!$G$5:$G$110&lt;&gt;"moeda")*(Inputs!$G$5:$G$110&lt;&gt;"acoes")))*INDEX(Inputs!$K$5:$AJ$110,0,MATCH(AH$2,Inputs!$K$4:$AJ$4,0)))+SUMPRODUCT((Inputs!$E$5:$E$110=$B54)*Inputs!$F$5:$F$110*(((Inputs!$G$5:$G$110="moeda")+(Inputs!$G$5:$G$110="acoes"))*Inputs!$B$1+((Inputs!$G$5:$G$110&lt;&gt;"moeda")*(Inputs!$G$5:$G$110&lt;&gt;"acoes")))*INDEX(Inputs!$K$5:$AJ$110,0,MATCH(AH$2,Inputs!$K$4:$AJ$4,0)))))</f>
        <v>4038</v>
      </c>
      <c r="AI54" s="263">
        <f>IF(ISNA(MATCH(AI$2,Inputs!$K$4:$AJ$4,0)),NA(),IF(SUMPRODUCT((Inputs!$A$5:$A$110=$B54)*ISNUMBER(INDEX(Inputs!$K$5:$AJ$110,0,MATCH(AI$2,Inputs!$K$4:$AJ$4,0))))+SUMPRODUCT((Inputs!$C$5:$C$110=$B54)*ISNUMBER(INDEX(Inputs!$K$5:$AJ$110,0,MATCH(AI$2,Inputs!$K$4:$AJ$4,0))))+SUMPRODUCT((Inputs!$E$5:$E$110=$B54)*ISNUMBER(INDEX(Inputs!$K$5:$AJ$110,0,MATCH(AI$2,Inputs!$K$4:$AJ$4,0))))=0,NA(),SUMPRODUCT((Inputs!$A$5:$A$110=$B54)*Inputs!$B$5:$B$110*(((Inputs!$G$5:$G$110="moeda")+(Inputs!$G$5:$G$110="acoes"))*Inputs!$B$1+((Inputs!$G$5:$G$110&lt;&gt;"moeda")*(Inputs!$G$5:$G$110&lt;&gt;"acoes")))*INDEX(Inputs!$K$5:$AJ$110,0,MATCH(AI$2,Inputs!$K$4:$AJ$4,0)))+SUMPRODUCT((Inputs!$C$5:$C$110=$B54)*Inputs!$D$5:$D$110*(((Inputs!$G$5:$G$110="moeda")+(Inputs!$G$5:$G$110="acoes"))*Inputs!$B$1+((Inputs!$G$5:$G$110&lt;&gt;"moeda")*(Inputs!$G$5:$G$110&lt;&gt;"acoes")))*INDEX(Inputs!$K$5:$AJ$110,0,MATCH(AI$2,Inputs!$K$4:$AJ$4,0)))+SUMPRODUCT((Inputs!$E$5:$E$110=$B54)*Inputs!$F$5:$F$110*(((Inputs!$G$5:$G$110="moeda")+(Inputs!$G$5:$G$110="acoes"))*Inputs!$B$1+((Inputs!$G$5:$G$110&lt;&gt;"moeda")*(Inputs!$G$5:$G$110&lt;&gt;"acoes")))*INDEX(Inputs!$K$5:$AJ$110,0,MATCH(AI$2,Inputs!$K$4:$AJ$4,0)))))</f>
        <v>3812</v>
      </c>
      <c r="AJ54" s="263">
        <f>IF(ISNA(MATCH(AJ$2,Inputs!$K$4:$AJ$4,0)),NA(),IF(SUMPRODUCT((Inputs!$A$5:$A$110=$B54)*ISNUMBER(INDEX(Inputs!$K$5:$AJ$110,0,MATCH(AJ$2,Inputs!$K$4:$AJ$4,0))))+SUMPRODUCT((Inputs!$C$5:$C$110=$B54)*ISNUMBER(INDEX(Inputs!$K$5:$AJ$110,0,MATCH(AJ$2,Inputs!$K$4:$AJ$4,0))))+SUMPRODUCT((Inputs!$E$5:$E$110=$B54)*ISNUMBER(INDEX(Inputs!$K$5:$AJ$110,0,MATCH(AJ$2,Inputs!$K$4:$AJ$4,0))))=0,NA(),SUMPRODUCT((Inputs!$A$5:$A$110=$B54)*Inputs!$B$5:$B$110*(((Inputs!$G$5:$G$110="moeda")+(Inputs!$G$5:$G$110="acoes"))*Inputs!$B$1+((Inputs!$G$5:$G$110&lt;&gt;"moeda")*(Inputs!$G$5:$G$110&lt;&gt;"acoes")))*INDEX(Inputs!$K$5:$AJ$110,0,MATCH(AJ$2,Inputs!$K$4:$AJ$4,0)))+SUMPRODUCT((Inputs!$C$5:$C$110=$B54)*Inputs!$D$5:$D$110*(((Inputs!$G$5:$G$110="moeda")+(Inputs!$G$5:$G$110="acoes"))*Inputs!$B$1+((Inputs!$G$5:$G$110&lt;&gt;"moeda")*(Inputs!$G$5:$G$110&lt;&gt;"acoes")))*INDEX(Inputs!$K$5:$AJ$110,0,MATCH(AJ$2,Inputs!$K$4:$AJ$4,0)))+SUMPRODUCT((Inputs!$E$5:$E$110=$B54)*Inputs!$F$5:$F$110*(((Inputs!$G$5:$G$110="moeda")+(Inputs!$G$5:$G$110="acoes"))*Inputs!$B$1+((Inputs!$G$5:$G$110&lt;&gt;"moeda")*(Inputs!$G$5:$G$110&lt;&gt;"acoes")))*INDEX(Inputs!$K$5:$AJ$110,0,MATCH(AJ$2,Inputs!$K$4:$AJ$4,0)))))</f>
        <v>5037</v>
      </c>
      <c r="AK54" s="263">
        <f>IF(ISNA(MATCH(AK$2,Inputs!$K$4:$AJ$4,0)),NA(),IF(SUMPRODUCT((Inputs!$A$5:$A$110=$B54)*ISNUMBER(INDEX(Inputs!$K$5:$AJ$110,0,MATCH(AK$2,Inputs!$K$4:$AJ$4,0))))+SUMPRODUCT((Inputs!$C$5:$C$110=$B54)*ISNUMBER(INDEX(Inputs!$K$5:$AJ$110,0,MATCH(AK$2,Inputs!$K$4:$AJ$4,0))))+SUMPRODUCT((Inputs!$E$5:$E$110=$B54)*ISNUMBER(INDEX(Inputs!$K$5:$AJ$110,0,MATCH(AK$2,Inputs!$K$4:$AJ$4,0))))=0,NA(),SUMPRODUCT((Inputs!$A$5:$A$110=$B54)*Inputs!$B$5:$B$110*(((Inputs!$G$5:$G$110="moeda")+(Inputs!$G$5:$G$110="acoes"))*Inputs!$B$1+((Inputs!$G$5:$G$110&lt;&gt;"moeda")*(Inputs!$G$5:$G$110&lt;&gt;"acoes")))*INDEX(Inputs!$K$5:$AJ$110,0,MATCH(AK$2,Inputs!$K$4:$AJ$4,0)))+SUMPRODUCT((Inputs!$C$5:$C$110=$B54)*Inputs!$D$5:$D$110*(((Inputs!$G$5:$G$110="moeda")+(Inputs!$G$5:$G$110="acoes"))*Inputs!$B$1+((Inputs!$G$5:$G$110&lt;&gt;"moeda")*(Inputs!$G$5:$G$110&lt;&gt;"acoes")))*INDEX(Inputs!$K$5:$AJ$110,0,MATCH(AK$2,Inputs!$K$4:$AJ$4,0)))+SUMPRODUCT((Inputs!$E$5:$E$110=$B54)*Inputs!$F$5:$F$110*(((Inputs!$G$5:$G$110="moeda")+(Inputs!$G$5:$G$110="acoes"))*Inputs!$B$1+((Inputs!$G$5:$G$110&lt;&gt;"moeda")*(Inputs!$G$5:$G$110&lt;&gt;"acoes")))*INDEX(Inputs!$K$5:$AJ$110,0,MATCH(AK$2,Inputs!$K$4:$AJ$4,0)))))</f>
        <v>6885</v>
      </c>
      <c r="AL54" s="264">
        <f>SUM(AH54:AK54)</f>
        <v>19772</v>
      </c>
    </row>
    <row r="55">
      <c r="B55" s="46" t="n">
        <v>47</v>
      </c>
      <c r="C55" s="29" t="inlineStr">
        <is>
          <t>Receita Google Network (USD)</t>
        </is>
      </c>
      <c r="D55" s="263">
        <f>IF(ISNA(MATCH(D$2,Inputs!$K$4:$AJ$4,0)),NA(),IF(SUMPRODUCT((Inputs!$A$5:$A$110=$B55)*ISNUMBER(INDEX(Inputs!$K$5:$AJ$110,0,MATCH(D$2,Inputs!$K$4:$AJ$4,0))))+SUMPRODUCT((Inputs!$C$5:$C$110=$B55)*ISNUMBER(INDEX(Inputs!$K$5:$AJ$110,0,MATCH(D$2,Inputs!$K$4:$AJ$4,0))))+SUMPRODUCT((Inputs!$E$5:$E$110=$B55)*ISNUMBER(INDEX(Inputs!$K$5:$AJ$110,0,MATCH(D$2,Inputs!$K$4:$AJ$4,0))))=0,NA(),SUMPRODUCT((Inputs!$A$5:$A$110=$B55)*Inputs!$B$5:$B$110*(((Inputs!$G$5:$G$110="moeda")+(Inputs!$G$5:$G$110="acoes"))*Inputs!$B$1+((Inputs!$G$5:$G$110&lt;&gt;"moeda")*(Inputs!$G$5:$G$110&lt;&gt;"acoes")))*INDEX(Inputs!$K$5:$AJ$110,0,MATCH(D$2,Inputs!$K$4:$AJ$4,0)))+SUMPRODUCT((Inputs!$C$5:$C$110=$B55)*Inputs!$D$5:$D$110*(((Inputs!$G$5:$G$110="moeda")+(Inputs!$G$5:$G$110="acoes"))*Inputs!$B$1+((Inputs!$G$5:$G$110&lt;&gt;"moeda")*(Inputs!$G$5:$G$110&lt;&gt;"acoes")))*INDEX(Inputs!$K$5:$AJ$110,0,MATCH(D$2,Inputs!$K$4:$AJ$4,0)))+SUMPRODUCT((Inputs!$E$5:$E$110=$B55)*Inputs!$F$5:$F$110*(((Inputs!$G$5:$G$110="moeda")+(Inputs!$G$5:$G$110="acoes"))*Inputs!$B$1+((Inputs!$G$5:$G$110&lt;&gt;"moeda")*(Inputs!$G$5:$G$110&lt;&gt;"acoes")))*INDEX(Inputs!$K$5:$AJ$110,0,MATCH(D$2,Inputs!$K$4:$AJ$4,0)))))</f>
        <v>6800</v>
      </c>
      <c r="E55" s="263">
        <f>IF(ISNA(MATCH(E$2,Inputs!$K$4:$AJ$4,0)),NA(),IF(SUMPRODUCT((Inputs!$A$5:$A$110=$B55)*ISNUMBER(INDEX(Inputs!$K$5:$AJ$110,0,MATCH(E$2,Inputs!$K$4:$AJ$4,0))))+SUMPRODUCT((Inputs!$C$5:$C$110=$B55)*ISNUMBER(INDEX(Inputs!$K$5:$AJ$110,0,MATCH(E$2,Inputs!$K$4:$AJ$4,0))))+SUMPRODUCT((Inputs!$E$5:$E$110=$B55)*ISNUMBER(INDEX(Inputs!$K$5:$AJ$110,0,MATCH(E$2,Inputs!$K$4:$AJ$4,0))))=0,NA(),SUMPRODUCT((Inputs!$A$5:$A$110=$B55)*Inputs!$B$5:$B$110*(((Inputs!$G$5:$G$110="moeda")+(Inputs!$G$5:$G$110="acoes"))*Inputs!$B$1+((Inputs!$G$5:$G$110&lt;&gt;"moeda")*(Inputs!$G$5:$G$110&lt;&gt;"acoes")))*INDEX(Inputs!$K$5:$AJ$110,0,MATCH(E$2,Inputs!$K$4:$AJ$4,0)))+SUMPRODUCT((Inputs!$C$5:$C$110=$B55)*Inputs!$D$5:$D$110*(((Inputs!$G$5:$G$110="moeda")+(Inputs!$G$5:$G$110="acoes"))*Inputs!$B$1+((Inputs!$G$5:$G$110&lt;&gt;"moeda")*(Inputs!$G$5:$G$110&lt;&gt;"acoes")))*INDEX(Inputs!$K$5:$AJ$110,0,MATCH(E$2,Inputs!$K$4:$AJ$4,0)))+SUMPRODUCT((Inputs!$E$5:$E$110=$B55)*Inputs!$F$5:$F$110*(((Inputs!$G$5:$G$110="moeda")+(Inputs!$G$5:$G$110="acoes"))*Inputs!$B$1+((Inputs!$G$5:$G$110&lt;&gt;"moeda")*(Inputs!$G$5:$G$110&lt;&gt;"acoes")))*INDEX(Inputs!$K$5:$AJ$110,0,MATCH(E$2,Inputs!$K$4:$AJ$4,0)))))</f>
        <v>7597</v>
      </c>
      <c r="F55" s="263">
        <f>IF(ISNA(MATCH(F$2,Inputs!$K$4:$AJ$4,0)),NA(),IF(SUMPRODUCT((Inputs!$A$5:$A$110=$B55)*ISNUMBER(INDEX(Inputs!$K$5:$AJ$110,0,MATCH(F$2,Inputs!$K$4:$AJ$4,0))))+SUMPRODUCT((Inputs!$C$5:$C$110=$B55)*ISNUMBER(INDEX(Inputs!$K$5:$AJ$110,0,MATCH(F$2,Inputs!$K$4:$AJ$4,0))))+SUMPRODUCT((Inputs!$E$5:$E$110=$B55)*ISNUMBER(INDEX(Inputs!$K$5:$AJ$110,0,MATCH(F$2,Inputs!$K$4:$AJ$4,0))))=0,NA(),SUMPRODUCT((Inputs!$A$5:$A$110=$B55)*Inputs!$B$5:$B$110*(((Inputs!$G$5:$G$110="moeda")+(Inputs!$G$5:$G$110="acoes"))*Inputs!$B$1+((Inputs!$G$5:$G$110&lt;&gt;"moeda")*(Inputs!$G$5:$G$110&lt;&gt;"acoes")))*INDEX(Inputs!$K$5:$AJ$110,0,MATCH(F$2,Inputs!$K$4:$AJ$4,0)))+SUMPRODUCT((Inputs!$C$5:$C$110=$B55)*Inputs!$D$5:$D$110*(((Inputs!$G$5:$G$110="moeda")+(Inputs!$G$5:$G$110="acoes"))*Inputs!$B$1+((Inputs!$G$5:$G$110&lt;&gt;"moeda")*(Inputs!$G$5:$G$110&lt;&gt;"acoes")))*INDEX(Inputs!$K$5:$AJ$110,0,MATCH(F$2,Inputs!$K$4:$AJ$4,0)))+SUMPRODUCT((Inputs!$E$5:$E$110=$B55)*Inputs!$F$5:$F$110*(((Inputs!$G$5:$G$110="moeda")+(Inputs!$G$5:$G$110="acoes"))*Inputs!$B$1+((Inputs!$G$5:$G$110&lt;&gt;"moeda")*(Inputs!$G$5:$G$110&lt;&gt;"acoes")))*INDEX(Inputs!$K$5:$AJ$110,0,MATCH(F$2,Inputs!$K$4:$AJ$4,0)))))</f>
        <v>7999</v>
      </c>
      <c r="G55" s="263">
        <f>IF(ISNA(MATCH(G$2,Inputs!$K$4:$AJ$4,0)),NA(),IF(SUMPRODUCT((Inputs!$A$5:$A$110=$B55)*ISNUMBER(INDEX(Inputs!$K$5:$AJ$110,0,MATCH(G$2,Inputs!$K$4:$AJ$4,0))))+SUMPRODUCT((Inputs!$C$5:$C$110=$B55)*ISNUMBER(INDEX(Inputs!$K$5:$AJ$110,0,MATCH(G$2,Inputs!$K$4:$AJ$4,0))))+SUMPRODUCT((Inputs!$E$5:$E$110=$B55)*ISNUMBER(INDEX(Inputs!$K$5:$AJ$110,0,MATCH(G$2,Inputs!$K$4:$AJ$4,0))))=0,NA(),SUMPRODUCT((Inputs!$A$5:$A$110=$B55)*Inputs!$B$5:$B$110*(((Inputs!$G$5:$G$110="moeda")+(Inputs!$G$5:$G$110="acoes"))*Inputs!$B$1+((Inputs!$G$5:$G$110&lt;&gt;"moeda")*(Inputs!$G$5:$G$110&lt;&gt;"acoes")))*INDEX(Inputs!$K$5:$AJ$110,0,MATCH(G$2,Inputs!$K$4:$AJ$4,0)))+SUMPRODUCT((Inputs!$C$5:$C$110=$B55)*Inputs!$D$5:$D$110*(((Inputs!$G$5:$G$110="moeda")+(Inputs!$G$5:$G$110="acoes"))*Inputs!$B$1+((Inputs!$G$5:$G$110&lt;&gt;"moeda")*(Inputs!$G$5:$G$110&lt;&gt;"acoes")))*INDEX(Inputs!$K$5:$AJ$110,0,MATCH(G$2,Inputs!$K$4:$AJ$4,0)))+SUMPRODUCT((Inputs!$E$5:$E$110=$B55)*Inputs!$F$5:$F$110*(((Inputs!$G$5:$G$110="moeda")+(Inputs!$G$5:$G$110="acoes"))*Inputs!$B$1+((Inputs!$G$5:$G$110&lt;&gt;"moeda")*(Inputs!$G$5:$G$110&lt;&gt;"acoes")))*INDEX(Inputs!$K$5:$AJ$110,0,MATCH(G$2,Inputs!$K$4:$AJ$4,0)))))</f>
        <v>9305</v>
      </c>
      <c r="H55" s="264">
        <f>SUM(D55:G55)</f>
        <v>31701</v>
      </c>
      <c r="I55" s="263">
        <f>IF(ISNA(MATCH(I$2,Inputs!$K$4:$AJ$4,0)),NA(),IF(SUMPRODUCT((Inputs!$A$5:$A$110=$B55)*ISNUMBER(INDEX(Inputs!$K$5:$AJ$110,0,MATCH(I$2,Inputs!$K$4:$AJ$4,0))))+SUMPRODUCT((Inputs!$C$5:$C$110=$B55)*ISNUMBER(INDEX(Inputs!$K$5:$AJ$110,0,MATCH(I$2,Inputs!$K$4:$AJ$4,0))))+SUMPRODUCT((Inputs!$E$5:$E$110=$B55)*ISNUMBER(INDEX(Inputs!$K$5:$AJ$110,0,MATCH(I$2,Inputs!$K$4:$AJ$4,0))))=0,NA(),SUMPRODUCT((Inputs!$A$5:$A$110=$B55)*Inputs!$B$5:$B$110*(((Inputs!$G$5:$G$110="moeda")+(Inputs!$G$5:$G$110="acoes"))*Inputs!$B$1+((Inputs!$G$5:$G$110&lt;&gt;"moeda")*(Inputs!$G$5:$G$110&lt;&gt;"acoes")))*INDEX(Inputs!$K$5:$AJ$110,0,MATCH(I$2,Inputs!$K$4:$AJ$4,0)))+SUMPRODUCT((Inputs!$C$5:$C$110=$B55)*Inputs!$D$5:$D$110*(((Inputs!$G$5:$G$110="moeda")+(Inputs!$G$5:$G$110="acoes"))*Inputs!$B$1+((Inputs!$G$5:$G$110&lt;&gt;"moeda")*(Inputs!$G$5:$G$110&lt;&gt;"acoes")))*INDEX(Inputs!$K$5:$AJ$110,0,MATCH(I$2,Inputs!$K$4:$AJ$4,0)))+SUMPRODUCT((Inputs!$E$5:$E$110=$B55)*Inputs!$F$5:$F$110*(((Inputs!$G$5:$G$110="moeda")+(Inputs!$G$5:$G$110="acoes"))*Inputs!$B$1+((Inputs!$G$5:$G$110&lt;&gt;"moeda")*(Inputs!$G$5:$G$110&lt;&gt;"acoes")))*INDEX(Inputs!$K$5:$AJ$110,0,MATCH(I$2,Inputs!$K$4:$AJ$4,0)))))</f>
        <v>8174</v>
      </c>
      <c r="J55" s="263">
        <f>IF(ISNA(MATCH(J$2,Inputs!$K$4:$AJ$4,0)),NA(),IF(SUMPRODUCT((Inputs!$A$5:$A$110=$B55)*ISNUMBER(INDEX(Inputs!$K$5:$AJ$110,0,MATCH(J$2,Inputs!$K$4:$AJ$4,0))))+SUMPRODUCT((Inputs!$C$5:$C$110=$B55)*ISNUMBER(INDEX(Inputs!$K$5:$AJ$110,0,MATCH(J$2,Inputs!$K$4:$AJ$4,0))))+SUMPRODUCT((Inputs!$E$5:$E$110=$B55)*ISNUMBER(INDEX(Inputs!$K$5:$AJ$110,0,MATCH(J$2,Inputs!$K$4:$AJ$4,0))))=0,NA(),SUMPRODUCT((Inputs!$A$5:$A$110=$B55)*Inputs!$B$5:$B$110*(((Inputs!$G$5:$G$110="moeda")+(Inputs!$G$5:$G$110="acoes"))*Inputs!$B$1+((Inputs!$G$5:$G$110&lt;&gt;"moeda")*(Inputs!$G$5:$G$110&lt;&gt;"acoes")))*INDEX(Inputs!$K$5:$AJ$110,0,MATCH(J$2,Inputs!$K$4:$AJ$4,0)))+SUMPRODUCT((Inputs!$C$5:$C$110=$B55)*Inputs!$D$5:$D$110*(((Inputs!$G$5:$G$110="moeda")+(Inputs!$G$5:$G$110="acoes"))*Inputs!$B$1+((Inputs!$G$5:$G$110&lt;&gt;"moeda")*(Inputs!$G$5:$G$110&lt;&gt;"acoes")))*INDEX(Inputs!$K$5:$AJ$110,0,MATCH(J$2,Inputs!$K$4:$AJ$4,0)))+SUMPRODUCT((Inputs!$E$5:$E$110=$B55)*Inputs!$F$5:$F$110*(((Inputs!$G$5:$G$110="moeda")+(Inputs!$G$5:$G$110="acoes"))*Inputs!$B$1+((Inputs!$G$5:$G$110&lt;&gt;"moeda")*(Inputs!$G$5:$G$110&lt;&gt;"acoes")))*INDEX(Inputs!$K$5:$AJ$110,0,MATCH(J$2,Inputs!$K$4:$AJ$4,0)))))</f>
        <v>8259</v>
      </c>
      <c r="K55" s="263">
        <f>IF(ISNA(MATCH(K$2,Inputs!$K$4:$AJ$4,0)),NA(),IF(SUMPRODUCT((Inputs!$A$5:$A$110=$B55)*ISNUMBER(INDEX(Inputs!$K$5:$AJ$110,0,MATCH(K$2,Inputs!$K$4:$AJ$4,0))))+SUMPRODUCT((Inputs!$C$5:$C$110=$B55)*ISNUMBER(INDEX(Inputs!$K$5:$AJ$110,0,MATCH(K$2,Inputs!$K$4:$AJ$4,0))))+SUMPRODUCT((Inputs!$E$5:$E$110=$B55)*ISNUMBER(INDEX(Inputs!$K$5:$AJ$110,0,MATCH(K$2,Inputs!$K$4:$AJ$4,0))))=0,NA(),SUMPRODUCT((Inputs!$A$5:$A$110=$B55)*Inputs!$B$5:$B$110*(((Inputs!$G$5:$G$110="moeda")+(Inputs!$G$5:$G$110="acoes"))*Inputs!$B$1+((Inputs!$G$5:$G$110&lt;&gt;"moeda")*(Inputs!$G$5:$G$110&lt;&gt;"acoes")))*INDEX(Inputs!$K$5:$AJ$110,0,MATCH(K$2,Inputs!$K$4:$AJ$4,0)))+SUMPRODUCT((Inputs!$C$5:$C$110=$B55)*Inputs!$D$5:$D$110*(((Inputs!$G$5:$G$110="moeda")+(Inputs!$G$5:$G$110="acoes"))*Inputs!$B$1+((Inputs!$G$5:$G$110&lt;&gt;"moeda")*(Inputs!$G$5:$G$110&lt;&gt;"acoes")))*INDEX(Inputs!$K$5:$AJ$110,0,MATCH(K$2,Inputs!$K$4:$AJ$4,0)))+SUMPRODUCT((Inputs!$E$5:$E$110=$B55)*Inputs!$F$5:$F$110*(((Inputs!$G$5:$G$110="moeda")+(Inputs!$G$5:$G$110="acoes"))*Inputs!$B$1+((Inputs!$G$5:$G$110&lt;&gt;"moeda")*(Inputs!$G$5:$G$110&lt;&gt;"acoes")))*INDEX(Inputs!$K$5:$AJ$110,0,MATCH(K$2,Inputs!$K$4:$AJ$4,0)))))</f>
        <v>7872</v>
      </c>
      <c r="L55" s="263">
        <f>IF(ISNA(MATCH(L$2,Inputs!$K$4:$AJ$4,0)),NA(),IF(SUMPRODUCT((Inputs!$A$5:$A$110=$B55)*ISNUMBER(INDEX(Inputs!$K$5:$AJ$110,0,MATCH(L$2,Inputs!$K$4:$AJ$4,0))))+SUMPRODUCT((Inputs!$C$5:$C$110=$B55)*ISNUMBER(INDEX(Inputs!$K$5:$AJ$110,0,MATCH(L$2,Inputs!$K$4:$AJ$4,0))))+SUMPRODUCT((Inputs!$E$5:$E$110=$B55)*ISNUMBER(INDEX(Inputs!$K$5:$AJ$110,0,MATCH(L$2,Inputs!$K$4:$AJ$4,0))))=0,NA(),SUMPRODUCT((Inputs!$A$5:$A$110=$B55)*Inputs!$B$5:$B$110*(((Inputs!$G$5:$G$110="moeda")+(Inputs!$G$5:$G$110="acoes"))*Inputs!$B$1+((Inputs!$G$5:$G$110&lt;&gt;"moeda")*(Inputs!$G$5:$G$110&lt;&gt;"acoes")))*INDEX(Inputs!$K$5:$AJ$110,0,MATCH(L$2,Inputs!$K$4:$AJ$4,0)))+SUMPRODUCT((Inputs!$C$5:$C$110=$B55)*Inputs!$D$5:$D$110*(((Inputs!$G$5:$G$110="moeda")+(Inputs!$G$5:$G$110="acoes"))*Inputs!$B$1+((Inputs!$G$5:$G$110&lt;&gt;"moeda")*(Inputs!$G$5:$G$110&lt;&gt;"acoes")))*INDEX(Inputs!$K$5:$AJ$110,0,MATCH(L$2,Inputs!$K$4:$AJ$4,0)))+SUMPRODUCT((Inputs!$E$5:$E$110=$B55)*Inputs!$F$5:$F$110*(((Inputs!$G$5:$G$110="moeda")+(Inputs!$G$5:$G$110="acoes"))*Inputs!$B$1+((Inputs!$G$5:$G$110&lt;&gt;"moeda")*(Inputs!$G$5:$G$110&lt;&gt;"acoes")))*INDEX(Inputs!$K$5:$AJ$110,0,MATCH(L$2,Inputs!$K$4:$AJ$4,0)))))</f>
        <v>8475</v>
      </c>
      <c r="M55" s="264">
        <f>SUM(I55:L55)</f>
        <v>32780</v>
      </c>
      <c r="N55" s="263">
        <f>IF(ISNA(MATCH(N$2,Inputs!$K$4:$AJ$4,0)),NA(),IF(SUMPRODUCT((Inputs!$A$5:$A$110=$B55)*ISNUMBER(INDEX(Inputs!$K$5:$AJ$110,0,MATCH(N$2,Inputs!$K$4:$AJ$4,0))))+SUMPRODUCT((Inputs!$C$5:$C$110=$B55)*ISNUMBER(INDEX(Inputs!$K$5:$AJ$110,0,MATCH(N$2,Inputs!$K$4:$AJ$4,0))))+SUMPRODUCT((Inputs!$E$5:$E$110=$B55)*ISNUMBER(INDEX(Inputs!$K$5:$AJ$110,0,MATCH(N$2,Inputs!$K$4:$AJ$4,0))))=0,NA(),SUMPRODUCT((Inputs!$A$5:$A$110=$B55)*Inputs!$B$5:$B$110*(((Inputs!$G$5:$G$110="moeda")+(Inputs!$G$5:$G$110="acoes"))*Inputs!$B$1+((Inputs!$G$5:$G$110&lt;&gt;"moeda")*(Inputs!$G$5:$G$110&lt;&gt;"acoes")))*INDEX(Inputs!$K$5:$AJ$110,0,MATCH(N$2,Inputs!$K$4:$AJ$4,0)))+SUMPRODUCT((Inputs!$C$5:$C$110=$B55)*Inputs!$D$5:$D$110*(((Inputs!$G$5:$G$110="moeda")+(Inputs!$G$5:$G$110="acoes"))*Inputs!$B$1+((Inputs!$G$5:$G$110&lt;&gt;"moeda")*(Inputs!$G$5:$G$110&lt;&gt;"acoes")))*INDEX(Inputs!$K$5:$AJ$110,0,MATCH(N$2,Inputs!$K$4:$AJ$4,0)))+SUMPRODUCT((Inputs!$E$5:$E$110=$B55)*Inputs!$F$5:$F$110*(((Inputs!$G$5:$G$110="moeda")+(Inputs!$G$5:$G$110="acoes"))*Inputs!$B$1+((Inputs!$G$5:$G$110&lt;&gt;"moeda")*(Inputs!$G$5:$G$110&lt;&gt;"acoes")))*INDEX(Inputs!$K$5:$AJ$110,0,MATCH(N$2,Inputs!$K$4:$AJ$4,0)))))</f>
        <v>7496</v>
      </c>
      <c r="O55" s="263">
        <f>IF(ISNA(MATCH(O$2,Inputs!$K$4:$AJ$4,0)),NA(),IF(SUMPRODUCT((Inputs!$A$5:$A$110=$B55)*ISNUMBER(INDEX(Inputs!$K$5:$AJ$110,0,MATCH(O$2,Inputs!$K$4:$AJ$4,0))))+SUMPRODUCT((Inputs!$C$5:$C$110=$B55)*ISNUMBER(INDEX(Inputs!$K$5:$AJ$110,0,MATCH(O$2,Inputs!$K$4:$AJ$4,0))))+SUMPRODUCT((Inputs!$E$5:$E$110=$B55)*ISNUMBER(INDEX(Inputs!$K$5:$AJ$110,0,MATCH(O$2,Inputs!$K$4:$AJ$4,0))))=0,NA(),SUMPRODUCT((Inputs!$A$5:$A$110=$B55)*Inputs!$B$5:$B$110*(((Inputs!$G$5:$G$110="moeda")+(Inputs!$G$5:$G$110="acoes"))*Inputs!$B$1+((Inputs!$G$5:$G$110&lt;&gt;"moeda")*(Inputs!$G$5:$G$110&lt;&gt;"acoes")))*INDEX(Inputs!$K$5:$AJ$110,0,MATCH(O$2,Inputs!$K$4:$AJ$4,0)))+SUMPRODUCT((Inputs!$C$5:$C$110=$B55)*Inputs!$D$5:$D$110*(((Inputs!$G$5:$G$110="moeda")+(Inputs!$G$5:$G$110="acoes"))*Inputs!$B$1+((Inputs!$G$5:$G$110&lt;&gt;"moeda")*(Inputs!$G$5:$G$110&lt;&gt;"acoes")))*INDEX(Inputs!$K$5:$AJ$110,0,MATCH(O$2,Inputs!$K$4:$AJ$4,0)))+SUMPRODUCT((Inputs!$E$5:$E$110=$B55)*Inputs!$F$5:$F$110*(((Inputs!$G$5:$G$110="moeda")+(Inputs!$G$5:$G$110="acoes"))*Inputs!$B$1+((Inputs!$G$5:$G$110&lt;&gt;"moeda")*(Inputs!$G$5:$G$110&lt;&gt;"acoes")))*INDEX(Inputs!$K$5:$AJ$110,0,MATCH(O$2,Inputs!$K$4:$AJ$4,0)))))</f>
        <v>7850</v>
      </c>
      <c r="P55" s="263">
        <f>IF(ISNA(MATCH(P$2,Inputs!$K$4:$AJ$4,0)),NA(),IF(SUMPRODUCT((Inputs!$A$5:$A$110=$B55)*ISNUMBER(INDEX(Inputs!$K$5:$AJ$110,0,MATCH(P$2,Inputs!$K$4:$AJ$4,0))))+SUMPRODUCT((Inputs!$C$5:$C$110=$B55)*ISNUMBER(INDEX(Inputs!$K$5:$AJ$110,0,MATCH(P$2,Inputs!$K$4:$AJ$4,0))))+SUMPRODUCT((Inputs!$E$5:$E$110=$B55)*ISNUMBER(INDEX(Inputs!$K$5:$AJ$110,0,MATCH(P$2,Inputs!$K$4:$AJ$4,0))))=0,NA(),SUMPRODUCT((Inputs!$A$5:$A$110=$B55)*Inputs!$B$5:$B$110*(((Inputs!$G$5:$G$110="moeda")+(Inputs!$G$5:$G$110="acoes"))*Inputs!$B$1+((Inputs!$G$5:$G$110&lt;&gt;"moeda")*(Inputs!$G$5:$G$110&lt;&gt;"acoes")))*INDEX(Inputs!$K$5:$AJ$110,0,MATCH(P$2,Inputs!$K$4:$AJ$4,0)))+SUMPRODUCT((Inputs!$C$5:$C$110=$B55)*Inputs!$D$5:$D$110*(((Inputs!$G$5:$G$110="moeda")+(Inputs!$G$5:$G$110="acoes"))*Inputs!$B$1+((Inputs!$G$5:$G$110&lt;&gt;"moeda")*(Inputs!$G$5:$G$110&lt;&gt;"acoes")))*INDEX(Inputs!$K$5:$AJ$110,0,MATCH(P$2,Inputs!$K$4:$AJ$4,0)))+SUMPRODUCT((Inputs!$E$5:$E$110=$B55)*Inputs!$F$5:$F$110*(((Inputs!$G$5:$G$110="moeda")+(Inputs!$G$5:$G$110="acoes"))*Inputs!$B$1+((Inputs!$G$5:$G$110&lt;&gt;"moeda")*(Inputs!$G$5:$G$110&lt;&gt;"acoes")))*INDEX(Inputs!$K$5:$AJ$110,0,MATCH(P$2,Inputs!$K$4:$AJ$4,0)))))</f>
        <v>7669</v>
      </c>
      <c r="Q55" s="263">
        <f>IF(ISNA(MATCH(Q$2,Inputs!$K$4:$AJ$4,0)),NA(),IF(SUMPRODUCT((Inputs!$A$5:$A$110=$B55)*ISNUMBER(INDEX(Inputs!$K$5:$AJ$110,0,MATCH(Q$2,Inputs!$K$4:$AJ$4,0))))+SUMPRODUCT((Inputs!$C$5:$C$110=$B55)*ISNUMBER(INDEX(Inputs!$K$5:$AJ$110,0,MATCH(Q$2,Inputs!$K$4:$AJ$4,0))))+SUMPRODUCT((Inputs!$E$5:$E$110=$B55)*ISNUMBER(INDEX(Inputs!$K$5:$AJ$110,0,MATCH(Q$2,Inputs!$K$4:$AJ$4,0))))=0,NA(),SUMPRODUCT((Inputs!$A$5:$A$110=$B55)*Inputs!$B$5:$B$110*(((Inputs!$G$5:$G$110="moeda")+(Inputs!$G$5:$G$110="acoes"))*Inputs!$B$1+((Inputs!$G$5:$G$110&lt;&gt;"moeda")*(Inputs!$G$5:$G$110&lt;&gt;"acoes")))*INDEX(Inputs!$K$5:$AJ$110,0,MATCH(Q$2,Inputs!$K$4:$AJ$4,0)))+SUMPRODUCT((Inputs!$C$5:$C$110=$B55)*Inputs!$D$5:$D$110*(((Inputs!$G$5:$G$110="moeda")+(Inputs!$G$5:$G$110="acoes"))*Inputs!$B$1+((Inputs!$G$5:$G$110&lt;&gt;"moeda")*(Inputs!$G$5:$G$110&lt;&gt;"acoes")))*INDEX(Inputs!$K$5:$AJ$110,0,MATCH(Q$2,Inputs!$K$4:$AJ$4,0)))+SUMPRODUCT((Inputs!$E$5:$E$110=$B55)*Inputs!$F$5:$F$110*(((Inputs!$G$5:$G$110="moeda")+(Inputs!$G$5:$G$110="acoes"))*Inputs!$B$1+((Inputs!$G$5:$G$110&lt;&gt;"moeda")*(Inputs!$G$5:$G$110&lt;&gt;"acoes")))*INDEX(Inputs!$K$5:$AJ$110,0,MATCH(Q$2,Inputs!$K$4:$AJ$4,0)))))</f>
        <v>8297</v>
      </c>
      <c r="R55" s="264">
        <f>SUM(N55:Q55)</f>
        <v>31312</v>
      </c>
      <c r="S55" s="263">
        <f>IF(ISNA(MATCH(S$2,Inputs!$K$4:$AJ$4,0)),NA(),IF(SUMPRODUCT((Inputs!$A$5:$A$110=$B55)*ISNUMBER(INDEX(Inputs!$K$5:$AJ$110,0,MATCH(S$2,Inputs!$K$4:$AJ$4,0))))+SUMPRODUCT((Inputs!$C$5:$C$110=$B55)*ISNUMBER(INDEX(Inputs!$K$5:$AJ$110,0,MATCH(S$2,Inputs!$K$4:$AJ$4,0))))+SUMPRODUCT((Inputs!$E$5:$E$110=$B55)*ISNUMBER(INDEX(Inputs!$K$5:$AJ$110,0,MATCH(S$2,Inputs!$K$4:$AJ$4,0))))=0,NA(),SUMPRODUCT((Inputs!$A$5:$A$110=$B55)*Inputs!$B$5:$B$110*(((Inputs!$G$5:$G$110="moeda")+(Inputs!$G$5:$G$110="acoes"))*Inputs!$B$1+((Inputs!$G$5:$G$110&lt;&gt;"moeda")*(Inputs!$G$5:$G$110&lt;&gt;"acoes")))*INDEX(Inputs!$K$5:$AJ$110,0,MATCH(S$2,Inputs!$K$4:$AJ$4,0)))+SUMPRODUCT((Inputs!$C$5:$C$110=$B55)*Inputs!$D$5:$D$110*(((Inputs!$G$5:$G$110="moeda")+(Inputs!$G$5:$G$110="acoes"))*Inputs!$B$1+((Inputs!$G$5:$G$110&lt;&gt;"moeda")*(Inputs!$G$5:$G$110&lt;&gt;"acoes")))*INDEX(Inputs!$K$5:$AJ$110,0,MATCH(S$2,Inputs!$K$4:$AJ$4,0)))+SUMPRODUCT((Inputs!$E$5:$E$110=$B55)*Inputs!$F$5:$F$110*(((Inputs!$G$5:$G$110="moeda")+(Inputs!$G$5:$G$110="acoes"))*Inputs!$B$1+((Inputs!$G$5:$G$110&lt;&gt;"moeda")*(Inputs!$G$5:$G$110&lt;&gt;"acoes")))*INDEX(Inputs!$K$5:$AJ$110,0,MATCH(S$2,Inputs!$K$4:$AJ$4,0)))))</f>
        <v>7413</v>
      </c>
      <c r="T55" s="263">
        <f>IF(ISNA(MATCH(T$2,Inputs!$K$4:$AJ$4,0)),NA(),IF(SUMPRODUCT((Inputs!$A$5:$A$110=$B55)*ISNUMBER(INDEX(Inputs!$K$5:$AJ$110,0,MATCH(T$2,Inputs!$K$4:$AJ$4,0))))+SUMPRODUCT((Inputs!$C$5:$C$110=$B55)*ISNUMBER(INDEX(Inputs!$K$5:$AJ$110,0,MATCH(T$2,Inputs!$K$4:$AJ$4,0))))+SUMPRODUCT((Inputs!$E$5:$E$110=$B55)*ISNUMBER(INDEX(Inputs!$K$5:$AJ$110,0,MATCH(T$2,Inputs!$K$4:$AJ$4,0))))=0,NA(),SUMPRODUCT((Inputs!$A$5:$A$110=$B55)*Inputs!$B$5:$B$110*(((Inputs!$G$5:$G$110="moeda")+(Inputs!$G$5:$G$110="acoes"))*Inputs!$B$1+((Inputs!$G$5:$G$110&lt;&gt;"moeda")*(Inputs!$G$5:$G$110&lt;&gt;"acoes")))*INDEX(Inputs!$K$5:$AJ$110,0,MATCH(T$2,Inputs!$K$4:$AJ$4,0)))+SUMPRODUCT((Inputs!$C$5:$C$110=$B55)*Inputs!$D$5:$D$110*(((Inputs!$G$5:$G$110="moeda")+(Inputs!$G$5:$G$110="acoes"))*Inputs!$B$1+((Inputs!$G$5:$G$110&lt;&gt;"moeda")*(Inputs!$G$5:$G$110&lt;&gt;"acoes")))*INDEX(Inputs!$K$5:$AJ$110,0,MATCH(T$2,Inputs!$K$4:$AJ$4,0)))+SUMPRODUCT((Inputs!$E$5:$E$110=$B55)*Inputs!$F$5:$F$110*(((Inputs!$G$5:$G$110="moeda")+(Inputs!$G$5:$G$110="acoes"))*Inputs!$B$1+((Inputs!$G$5:$G$110&lt;&gt;"moeda")*(Inputs!$G$5:$G$110&lt;&gt;"acoes")))*INDEX(Inputs!$K$5:$AJ$110,0,MATCH(T$2,Inputs!$K$4:$AJ$4,0)))))</f>
        <v>7444</v>
      </c>
      <c r="U55" s="263">
        <f>IF(ISNA(MATCH(U$2,Inputs!$K$4:$AJ$4,0)),NA(),IF(SUMPRODUCT((Inputs!$A$5:$A$110=$B55)*ISNUMBER(INDEX(Inputs!$K$5:$AJ$110,0,MATCH(U$2,Inputs!$K$4:$AJ$4,0))))+SUMPRODUCT((Inputs!$C$5:$C$110=$B55)*ISNUMBER(INDEX(Inputs!$K$5:$AJ$110,0,MATCH(U$2,Inputs!$K$4:$AJ$4,0))))+SUMPRODUCT((Inputs!$E$5:$E$110=$B55)*ISNUMBER(INDEX(Inputs!$K$5:$AJ$110,0,MATCH(U$2,Inputs!$K$4:$AJ$4,0))))=0,NA(),SUMPRODUCT((Inputs!$A$5:$A$110=$B55)*Inputs!$B$5:$B$110*(((Inputs!$G$5:$G$110="moeda")+(Inputs!$G$5:$G$110="acoes"))*Inputs!$B$1+((Inputs!$G$5:$G$110&lt;&gt;"moeda")*(Inputs!$G$5:$G$110&lt;&gt;"acoes")))*INDEX(Inputs!$K$5:$AJ$110,0,MATCH(U$2,Inputs!$K$4:$AJ$4,0)))+SUMPRODUCT((Inputs!$C$5:$C$110=$B55)*Inputs!$D$5:$D$110*(((Inputs!$G$5:$G$110="moeda")+(Inputs!$G$5:$G$110="acoes"))*Inputs!$B$1+((Inputs!$G$5:$G$110&lt;&gt;"moeda")*(Inputs!$G$5:$G$110&lt;&gt;"acoes")))*INDEX(Inputs!$K$5:$AJ$110,0,MATCH(U$2,Inputs!$K$4:$AJ$4,0)))+SUMPRODUCT((Inputs!$E$5:$E$110=$B55)*Inputs!$F$5:$F$110*(((Inputs!$G$5:$G$110="moeda")+(Inputs!$G$5:$G$110="acoes"))*Inputs!$B$1+((Inputs!$G$5:$G$110&lt;&gt;"moeda")*(Inputs!$G$5:$G$110&lt;&gt;"acoes")))*INDEX(Inputs!$K$5:$AJ$110,0,MATCH(U$2,Inputs!$K$4:$AJ$4,0)))))</f>
        <v>7548</v>
      </c>
      <c r="V55" s="263">
        <f>IF(ISNA(MATCH(V$2,Inputs!$K$4:$AJ$4,0)),NA(),IF(SUMPRODUCT((Inputs!$A$5:$A$110=$B55)*ISNUMBER(INDEX(Inputs!$K$5:$AJ$110,0,MATCH(V$2,Inputs!$K$4:$AJ$4,0))))+SUMPRODUCT((Inputs!$C$5:$C$110=$B55)*ISNUMBER(INDEX(Inputs!$K$5:$AJ$110,0,MATCH(V$2,Inputs!$K$4:$AJ$4,0))))+SUMPRODUCT((Inputs!$E$5:$E$110=$B55)*ISNUMBER(INDEX(Inputs!$K$5:$AJ$110,0,MATCH(V$2,Inputs!$K$4:$AJ$4,0))))=0,NA(),SUMPRODUCT((Inputs!$A$5:$A$110=$B55)*Inputs!$B$5:$B$110*(((Inputs!$G$5:$G$110="moeda")+(Inputs!$G$5:$G$110="acoes"))*Inputs!$B$1+((Inputs!$G$5:$G$110&lt;&gt;"moeda")*(Inputs!$G$5:$G$110&lt;&gt;"acoes")))*INDEX(Inputs!$K$5:$AJ$110,0,MATCH(V$2,Inputs!$K$4:$AJ$4,0)))+SUMPRODUCT((Inputs!$C$5:$C$110=$B55)*Inputs!$D$5:$D$110*(((Inputs!$G$5:$G$110="moeda")+(Inputs!$G$5:$G$110="acoes"))*Inputs!$B$1+((Inputs!$G$5:$G$110&lt;&gt;"moeda")*(Inputs!$G$5:$G$110&lt;&gt;"acoes")))*INDEX(Inputs!$K$5:$AJ$110,0,MATCH(V$2,Inputs!$K$4:$AJ$4,0)))+SUMPRODUCT((Inputs!$E$5:$E$110=$B55)*Inputs!$F$5:$F$110*(((Inputs!$G$5:$G$110="moeda")+(Inputs!$G$5:$G$110="acoes"))*Inputs!$B$1+((Inputs!$G$5:$G$110&lt;&gt;"moeda")*(Inputs!$G$5:$G$110&lt;&gt;"acoes")))*INDEX(Inputs!$K$5:$AJ$110,0,MATCH(V$2,Inputs!$K$4:$AJ$4,0)))))</f>
        <v>7954</v>
      </c>
      <c r="W55" s="264">
        <f>SUM(S55:V55)</f>
        <v>30359</v>
      </c>
      <c r="X55" s="263">
        <f>IF(ISNA(MATCH(X$2,Inputs!$K$4:$AJ$4,0)),NA(),IF(SUMPRODUCT((Inputs!$A$5:$A$110=$B55)*ISNUMBER(INDEX(Inputs!$K$5:$AJ$110,0,MATCH(X$2,Inputs!$K$4:$AJ$4,0))))+SUMPRODUCT((Inputs!$C$5:$C$110=$B55)*ISNUMBER(INDEX(Inputs!$K$5:$AJ$110,0,MATCH(X$2,Inputs!$K$4:$AJ$4,0))))+SUMPRODUCT((Inputs!$E$5:$E$110=$B55)*ISNUMBER(INDEX(Inputs!$K$5:$AJ$110,0,MATCH(X$2,Inputs!$K$4:$AJ$4,0))))=0,NA(),SUMPRODUCT((Inputs!$A$5:$A$110=$B55)*Inputs!$B$5:$B$110*(((Inputs!$G$5:$G$110="moeda")+(Inputs!$G$5:$G$110="acoes"))*Inputs!$B$1+((Inputs!$G$5:$G$110&lt;&gt;"moeda")*(Inputs!$G$5:$G$110&lt;&gt;"acoes")))*INDEX(Inputs!$K$5:$AJ$110,0,MATCH(X$2,Inputs!$K$4:$AJ$4,0)))+SUMPRODUCT((Inputs!$C$5:$C$110=$B55)*Inputs!$D$5:$D$110*(((Inputs!$G$5:$G$110="moeda")+(Inputs!$G$5:$G$110="acoes"))*Inputs!$B$1+((Inputs!$G$5:$G$110&lt;&gt;"moeda")*(Inputs!$G$5:$G$110&lt;&gt;"acoes")))*INDEX(Inputs!$K$5:$AJ$110,0,MATCH(X$2,Inputs!$K$4:$AJ$4,0)))+SUMPRODUCT((Inputs!$E$5:$E$110=$B55)*Inputs!$F$5:$F$110*(((Inputs!$G$5:$G$110="moeda")+(Inputs!$G$5:$G$110="acoes"))*Inputs!$B$1+((Inputs!$G$5:$G$110&lt;&gt;"moeda")*(Inputs!$G$5:$G$110&lt;&gt;"acoes")))*INDEX(Inputs!$K$5:$AJ$110,0,MATCH(X$2,Inputs!$K$4:$AJ$4,0)))))</f>
        <v>7256</v>
      </c>
      <c r="Y55" s="263">
        <f>IF(ISNA(MATCH(Y$2,Inputs!$K$4:$AJ$4,0)),NA(),IF(SUMPRODUCT((Inputs!$A$5:$A$110=$B55)*ISNUMBER(INDEX(Inputs!$K$5:$AJ$110,0,MATCH(Y$2,Inputs!$K$4:$AJ$4,0))))+SUMPRODUCT((Inputs!$C$5:$C$110=$B55)*ISNUMBER(INDEX(Inputs!$K$5:$AJ$110,0,MATCH(Y$2,Inputs!$K$4:$AJ$4,0))))+SUMPRODUCT((Inputs!$E$5:$E$110=$B55)*ISNUMBER(INDEX(Inputs!$K$5:$AJ$110,0,MATCH(Y$2,Inputs!$K$4:$AJ$4,0))))=0,NA(),SUMPRODUCT((Inputs!$A$5:$A$110=$B55)*Inputs!$B$5:$B$110*(((Inputs!$G$5:$G$110="moeda")+(Inputs!$G$5:$G$110="acoes"))*Inputs!$B$1+((Inputs!$G$5:$G$110&lt;&gt;"moeda")*(Inputs!$G$5:$G$110&lt;&gt;"acoes")))*INDEX(Inputs!$K$5:$AJ$110,0,MATCH(Y$2,Inputs!$K$4:$AJ$4,0)))+SUMPRODUCT((Inputs!$C$5:$C$110=$B55)*Inputs!$D$5:$D$110*(((Inputs!$G$5:$G$110="moeda")+(Inputs!$G$5:$G$110="acoes"))*Inputs!$B$1+((Inputs!$G$5:$G$110&lt;&gt;"moeda")*(Inputs!$G$5:$G$110&lt;&gt;"acoes")))*INDEX(Inputs!$K$5:$AJ$110,0,MATCH(Y$2,Inputs!$K$4:$AJ$4,0)))+SUMPRODUCT((Inputs!$E$5:$E$110=$B55)*Inputs!$F$5:$F$110*(((Inputs!$G$5:$G$110="moeda")+(Inputs!$G$5:$G$110="acoes"))*Inputs!$B$1+((Inputs!$G$5:$G$110&lt;&gt;"moeda")*(Inputs!$G$5:$G$110&lt;&gt;"acoes")))*INDEX(Inputs!$K$5:$AJ$110,0,MATCH(Y$2,Inputs!$K$4:$AJ$4,0)))))</f>
        <v>7354</v>
      </c>
      <c r="Z55" s="263">
        <f>IF(ISNA(MATCH(Z$2,Inputs!$K$4:$AJ$4,0)),NA(),IF(SUMPRODUCT((Inputs!$A$5:$A$110=$B55)*ISNUMBER(INDEX(Inputs!$K$5:$AJ$110,0,MATCH(Z$2,Inputs!$K$4:$AJ$4,0))))+SUMPRODUCT((Inputs!$C$5:$C$110=$B55)*ISNUMBER(INDEX(Inputs!$K$5:$AJ$110,0,MATCH(Z$2,Inputs!$K$4:$AJ$4,0))))+SUMPRODUCT((Inputs!$E$5:$E$110=$B55)*ISNUMBER(INDEX(Inputs!$K$5:$AJ$110,0,MATCH(Z$2,Inputs!$K$4:$AJ$4,0))))=0,NA(),SUMPRODUCT((Inputs!$A$5:$A$110=$B55)*Inputs!$B$5:$B$110*(((Inputs!$G$5:$G$110="moeda")+(Inputs!$G$5:$G$110="acoes"))*Inputs!$B$1+((Inputs!$G$5:$G$110&lt;&gt;"moeda")*(Inputs!$G$5:$G$110&lt;&gt;"acoes")))*INDEX(Inputs!$K$5:$AJ$110,0,MATCH(Z$2,Inputs!$K$4:$AJ$4,0)))+SUMPRODUCT((Inputs!$C$5:$C$110=$B55)*Inputs!$D$5:$D$110*(((Inputs!$G$5:$G$110="moeda")+(Inputs!$G$5:$G$110="acoes"))*Inputs!$B$1+((Inputs!$G$5:$G$110&lt;&gt;"moeda")*(Inputs!$G$5:$G$110&lt;&gt;"acoes")))*INDEX(Inputs!$K$5:$AJ$110,0,MATCH(Z$2,Inputs!$K$4:$AJ$4,0)))+SUMPRODUCT((Inputs!$E$5:$E$110=$B55)*Inputs!$F$5:$F$110*(((Inputs!$G$5:$G$110="moeda")+(Inputs!$G$5:$G$110="acoes"))*Inputs!$B$1+((Inputs!$G$5:$G$110&lt;&gt;"moeda")*(Inputs!$G$5:$G$110&lt;&gt;"acoes")))*INDEX(Inputs!$K$5:$AJ$110,0,MATCH(Z$2,Inputs!$K$4:$AJ$4,0)))))</f>
        <v>7354</v>
      </c>
      <c r="AA55" s="263">
        <f>IF(ISNA(MATCH(AA$2,Inputs!$K$4:$AJ$4,0)),NA(),IF(SUMPRODUCT((Inputs!$A$5:$A$110=$B55)*ISNUMBER(INDEX(Inputs!$K$5:$AJ$110,0,MATCH(AA$2,Inputs!$K$4:$AJ$4,0))))+SUMPRODUCT((Inputs!$C$5:$C$110=$B55)*ISNUMBER(INDEX(Inputs!$K$5:$AJ$110,0,MATCH(AA$2,Inputs!$K$4:$AJ$4,0))))+SUMPRODUCT((Inputs!$E$5:$E$110=$B55)*ISNUMBER(INDEX(Inputs!$K$5:$AJ$110,0,MATCH(AA$2,Inputs!$K$4:$AJ$4,0))))=0,NA(),SUMPRODUCT((Inputs!$A$5:$A$110=$B55)*Inputs!$B$5:$B$110*(((Inputs!$G$5:$G$110="moeda")+(Inputs!$G$5:$G$110="acoes"))*Inputs!$B$1+((Inputs!$G$5:$G$110&lt;&gt;"moeda")*(Inputs!$G$5:$G$110&lt;&gt;"acoes")))*INDEX(Inputs!$K$5:$AJ$110,0,MATCH(AA$2,Inputs!$K$4:$AJ$4,0)))+SUMPRODUCT((Inputs!$C$5:$C$110=$B55)*Inputs!$D$5:$D$110*(((Inputs!$G$5:$G$110="moeda")+(Inputs!$G$5:$G$110="acoes"))*Inputs!$B$1+((Inputs!$G$5:$G$110&lt;&gt;"moeda")*(Inputs!$G$5:$G$110&lt;&gt;"acoes")))*INDEX(Inputs!$K$5:$AJ$110,0,MATCH(AA$2,Inputs!$K$4:$AJ$4,0)))+SUMPRODUCT((Inputs!$E$5:$E$110=$B55)*Inputs!$F$5:$F$110*(((Inputs!$G$5:$G$110="moeda")+(Inputs!$G$5:$G$110="acoes"))*Inputs!$B$1+((Inputs!$G$5:$G$110&lt;&gt;"moeda")*(Inputs!$G$5:$G$110&lt;&gt;"acoes")))*INDEX(Inputs!$K$5:$AJ$110,0,MATCH(AA$2,Inputs!$K$4:$AJ$4,0)))))</f>
        <v>7828</v>
      </c>
      <c r="AB55" s="264">
        <f>SUM(X55:AA55)</f>
        <v>29792</v>
      </c>
      <c r="AC55" s="263">
        <f>IF(ISNA(MATCH(AC$2,Inputs!$K$4:$AJ$4,0)),NA(),IF(SUMPRODUCT((Inputs!$A$5:$A$110=$B55)*ISNUMBER(INDEX(Inputs!$K$5:$AJ$110,0,MATCH(AC$2,Inputs!$K$4:$AJ$4,0))))+SUMPRODUCT((Inputs!$C$5:$C$110=$B55)*ISNUMBER(INDEX(Inputs!$K$5:$AJ$110,0,MATCH(AC$2,Inputs!$K$4:$AJ$4,0))))+SUMPRODUCT((Inputs!$E$5:$E$110=$B55)*ISNUMBER(INDEX(Inputs!$K$5:$AJ$110,0,MATCH(AC$2,Inputs!$K$4:$AJ$4,0))))=0,NA(),SUMPRODUCT((Inputs!$A$5:$A$110=$B55)*Inputs!$B$5:$B$110*(((Inputs!$G$5:$G$110="moeda")+(Inputs!$G$5:$G$110="acoes"))*Inputs!$B$1+((Inputs!$G$5:$G$110&lt;&gt;"moeda")*(Inputs!$G$5:$G$110&lt;&gt;"acoes")))*INDEX(Inputs!$K$5:$AJ$110,0,MATCH(AC$2,Inputs!$K$4:$AJ$4,0)))+SUMPRODUCT((Inputs!$C$5:$C$110=$B55)*Inputs!$D$5:$D$110*(((Inputs!$G$5:$G$110="moeda")+(Inputs!$G$5:$G$110="acoes"))*Inputs!$B$1+((Inputs!$G$5:$G$110&lt;&gt;"moeda")*(Inputs!$G$5:$G$110&lt;&gt;"acoes")))*INDEX(Inputs!$K$5:$AJ$110,0,MATCH(AC$2,Inputs!$K$4:$AJ$4,0)))+SUMPRODUCT((Inputs!$E$5:$E$110=$B55)*Inputs!$F$5:$F$110*(((Inputs!$G$5:$G$110="moeda")+(Inputs!$G$5:$G$110="acoes"))*Inputs!$B$1+((Inputs!$G$5:$G$110&lt;&gt;"moeda")*(Inputs!$G$5:$G$110&lt;&gt;"acoes")))*INDEX(Inputs!$K$5:$AJ$110,0,MATCH(AC$2,Inputs!$K$4:$AJ$4,0)))))</f>
        <v>6971</v>
      </c>
      <c r="AD55" s="263">
        <f>IF(ISNA(MATCH(AD$2,Inputs!$K$4:$AJ$4,0)),NA(),IF(SUMPRODUCT((Inputs!$A$5:$A$110=$B55)*ISNUMBER(INDEX(Inputs!$K$5:$AJ$110,0,MATCH(AD$2,Inputs!$K$4:$AJ$4,0))))+SUMPRODUCT((Inputs!$C$5:$C$110=$B55)*ISNUMBER(INDEX(Inputs!$K$5:$AJ$110,0,MATCH(AD$2,Inputs!$K$4:$AJ$4,0))))+SUMPRODUCT((Inputs!$E$5:$E$110=$B55)*ISNUMBER(INDEX(Inputs!$K$5:$AJ$110,0,MATCH(AD$2,Inputs!$K$4:$AJ$4,0))))=0,NA(),SUMPRODUCT((Inputs!$A$5:$A$110=$B55)*Inputs!$B$5:$B$110*(((Inputs!$G$5:$G$110="moeda")+(Inputs!$G$5:$G$110="acoes"))*Inputs!$B$1+((Inputs!$G$5:$G$110&lt;&gt;"moeda")*(Inputs!$G$5:$G$110&lt;&gt;"acoes")))*INDEX(Inputs!$K$5:$AJ$110,0,MATCH(AD$2,Inputs!$K$4:$AJ$4,0)))+SUMPRODUCT((Inputs!$C$5:$C$110=$B55)*Inputs!$D$5:$D$110*(((Inputs!$G$5:$G$110="moeda")+(Inputs!$G$5:$G$110="acoes"))*Inputs!$B$1+((Inputs!$G$5:$G$110&lt;&gt;"moeda")*(Inputs!$G$5:$G$110&lt;&gt;"acoes")))*INDEX(Inputs!$K$5:$AJ$110,0,MATCH(AD$2,Inputs!$K$4:$AJ$4,0)))+SUMPRODUCT((Inputs!$E$5:$E$110=$B55)*Inputs!$F$5:$F$110*(((Inputs!$G$5:$G$110="moeda")+(Inputs!$G$5:$G$110="acoes"))*Inputs!$B$1+((Inputs!$G$5:$G$110&lt;&gt;"moeda")*(Inputs!$G$5:$G$110&lt;&gt;"acoes")))*INDEX(Inputs!$K$5:$AJ$110,0,MATCH(AD$2,Inputs!$K$4:$AJ$4,0)))))</f>
        <v>7303</v>
      </c>
      <c r="AE55" s="263" t="e">
        <f>IF(ISNA(MATCH(AE$2,Inputs!$K$4:$AJ$4,0)),NA(),IF(SUMPRODUCT((Inputs!$A$5:$A$110=$B55)*ISNUMBER(INDEX(Inputs!$K$5:$AJ$110,0,MATCH(AE$2,Inputs!$K$4:$AJ$4,0))))+SUMPRODUCT((Inputs!$C$5:$C$110=$B55)*ISNUMBER(INDEX(Inputs!$K$5:$AJ$110,0,MATCH(AE$2,Inputs!$K$4:$AJ$4,0))))+SUMPRODUCT((Inputs!$E$5:$E$110=$B55)*ISNUMBER(INDEX(Inputs!$K$5:$AJ$110,0,MATCH(AE$2,Inputs!$K$4:$AJ$4,0))))=0,NA(),SUMPRODUCT((Inputs!$A$5:$A$110=$B55)*Inputs!$B$5:$B$110*(((Inputs!$G$5:$G$110="moeda")+(Inputs!$G$5:$G$110="acoes"))*Inputs!$B$1+((Inputs!$G$5:$G$110&lt;&gt;"moeda")*(Inputs!$G$5:$G$110&lt;&gt;"acoes")))*INDEX(Inputs!$K$5:$AJ$110,0,MATCH(AE$2,Inputs!$K$4:$AJ$4,0)))+SUMPRODUCT((Inputs!$C$5:$C$110=$B55)*Inputs!$D$5:$D$110*(((Inputs!$G$5:$G$110="moeda")+(Inputs!$G$5:$G$110="acoes"))*Inputs!$B$1+((Inputs!$G$5:$G$110&lt;&gt;"moeda")*(Inputs!$G$5:$G$110&lt;&gt;"acoes")))*INDEX(Inputs!$K$5:$AJ$110,0,MATCH(AE$2,Inputs!$K$4:$AJ$4,0)))+SUMPRODUCT((Inputs!$E$5:$E$110=$B55)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5" s="263" t="e">
        <f>IF(ISNA(MATCH(AF$2,Inputs!$K$4:$AJ$4,0)),NA(),IF(SUMPRODUCT((Inputs!$A$5:$A$110=$B55)*ISNUMBER(INDEX(Inputs!$K$5:$AJ$110,0,MATCH(AF$2,Inputs!$K$4:$AJ$4,0))))+SUMPRODUCT((Inputs!$C$5:$C$110=$B55)*ISNUMBER(INDEX(Inputs!$K$5:$AJ$110,0,MATCH(AF$2,Inputs!$K$4:$AJ$4,0))))+SUMPRODUCT((Inputs!$E$5:$E$110=$B55)*ISNUMBER(INDEX(Inputs!$K$5:$AJ$110,0,MATCH(AF$2,Inputs!$K$4:$AJ$4,0))))=0,NA(),SUMPRODUCT((Inputs!$A$5:$A$110=$B55)*Inputs!$B$5:$B$110*(((Inputs!$G$5:$G$110="moeda")+(Inputs!$G$5:$G$110="acoes"))*Inputs!$B$1+((Inputs!$G$5:$G$110&lt;&gt;"moeda")*(Inputs!$G$5:$G$110&lt;&gt;"acoes")))*INDEX(Inputs!$K$5:$AJ$110,0,MATCH(AF$2,Inputs!$K$4:$AJ$4,0)))+SUMPRODUCT((Inputs!$C$5:$C$110=$B55)*Inputs!$D$5:$D$110*(((Inputs!$G$5:$G$110="moeda")+(Inputs!$G$5:$G$110="acoes"))*Inputs!$B$1+((Inputs!$G$5:$G$110&lt;&gt;"moeda")*(Inputs!$G$5:$G$110&lt;&gt;"acoes")))*INDEX(Inputs!$K$5:$AJ$110,0,MATCH(AF$2,Inputs!$K$4:$AJ$4,0)))+SUMPRODUCT((Inputs!$E$5:$E$110=$B55)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5" s="264" t="e">
        <f>SUM(AC55:AF55)</f>
        <v>#N/A</v>
      </c>
      <c r="AH55" s="263">
        <f>IF(ISNA(MATCH(AH$2,Inputs!$K$4:$AJ$4,0)),NA(),IF(SUMPRODUCT((Inputs!$A$5:$A$110=$B55)*ISNUMBER(INDEX(Inputs!$K$5:$AJ$110,0,MATCH(AH$2,Inputs!$K$4:$AJ$4,0))))+SUMPRODUCT((Inputs!$C$5:$C$110=$B55)*ISNUMBER(INDEX(Inputs!$K$5:$AJ$110,0,MATCH(AH$2,Inputs!$K$4:$AJ$4,0))))+SUMPRODUCT((Inputs!$E$5:$E$110=$B55)*ISNUMBER(INDEX(Inputs!$K$5:$AJ$110,0,MATCH(AH$2,Inputs!$K$4:$AJ$4,0))))=0,NA(),SUMPRODUCT((Inputs!$A$5:$A$110=$B55)*Inputs!$B$5:$B$110*(((Inputs!$G$5:$G$110="moeda")+(Inputs!$G$5:$G$110="acoes"))*Inputs!$B$1+((Inputs!$G$5:$G$110&lt;&gt;"moeda")*(Inputs!$G$5:$G$110&lt;&gt;"acoes")))*INDEX(Inputs!$K$5:$AJ$110,0,MATCH(AH$2,Inputs!$K$4:$AJ$4,0)))+SUMPRODUCT((Inputs!$C$5:$C$110=$B55)*Inputs!$D$5:$D$110*(((Inputs!$G$5:$G$110="moeda")+(Inputs!$G$5:$G$110="acoes"))*Inputs!$B$1+((Inputs!$G$5:$G$110&lt;&gt;"moeda")*(Inputs!$G$5:$G$110&lt;&gt;"acoes")))*INDEX(Inputs!$K$5:$AJ$110,0,MATCH(AH$2,Inputs!$K$4:$AJ$4,0)))+SUMPRODUCT((Inputs!$E$5:$E$110=$B55)*Inputs!$F$5:$F$110*(((Inputs!$G$5:$G$110="moeda")+(Inputs!$G$5:$G$110="acoes"))*Inputs!$B$1+((Inputs!$G$5:$G$110&lt;&gt;"moeda")*(Inputs!$G$5:$G$110&lt;&gt;"acoes")))*INDEX(Inputs!$K$5:$AJ$110,0,MATCH(AH$2,Inputs!$K$4:$AJ$4,0)))))</f>
        <v>5223</v>
      </c>
      <c r="AI55" s="263">
        <f>IF(ISNA(MATCH(AI$2,Inputs!$K$4:$AJ$4,0)),NA(),IF(SUMPRODUCT((Inputs!$A$5:$A$110=$B55)*ISNUMBER(INDEX(Inputs!$K$5:$AJ$110,0,MATCH(AI$2,Inputs!$K$4:$AJ$4,0))))+SUMPRODUCT((Inputs!$C$5:$C$110=$B55)*ISNUMBER(INDEX(Inputs!$K$5:$AJ$110,0,MATCH(AI$2,Inputs!$K$4:$AJ$4,0))))+SUMPRODUCT((Inputs!$E$5:$E$110=$B55)*ISNUMBER(INDEX(Inputs!$K$5:$AJ$110,0,MATCH(AI$2,Inputs!$K$4:$AJ$4,0))))=0,NA(),SUMPRODUCT((Inputs!$A$5:$A$110=$B55)*Inputs!$B$5:$B$110*(((Inputs!$G$5:$G$110="moeda")+(Inputs!$G$5:$G$110="acoes"))*Inputs!$B$1+((Inputs!$G$5:$G$110&lt;&gt;"moeda")*(Inputs!$G$5:$G$110&lt;&gt;"acoes")))*INDEX(Inputs!$K$5:$AJ$110,0,MATCH(AI$2,Inputs!$K$4:$AJ$4,0)))+SUMPRODUCT((Inputs!$C$5:$C$110=$B55)*Inputs!$D$5:$D$110*(((Inputs!$G$5:$G$110="moeda")+(Inputs!$G$5:$G$110="acoes"))*Inputs!$B$1+((Inputs!$G$5:$G$110&lt;&gt;"moeda")*(Inputs!$G$5:$G$110&lt;&gt;"acoes")))*INDEX(Inputs!$K$5:$AJ$110,0,MATCH(AI$2,Inputs!$K$4:$AJ$4,0)))+SUMPRODUCT((Inputs!$E$5:$E$110=$B55)*Inputs!$F$5:$F$110*(((Inputs!$G$5:$G$110="moeda")+(Inputs!$G$5:$G$110="acoes"))*Inputs!$B$1+((Inputs!$G$5:$G$110&lt;&gt;"moeda")*(Inputs!$G$5:$G$110&lt;&gt;"acoes")))*INDEX(Inputs!$K$5:$AJ$110,0,MATCH(AI$2,Inputs!$K$4:$AJ$4,0)))))</f>
        <v>4736</v>
      </c>
      <c r="AJ55" s="263">
        <f>IF(ISNA(MATCH(AJ$2,Inputs!$K$4:$AJ$4,0)),NA(),IF(SUMPRODUCT((Inputs!$A$5:$A$110=$B55)*ISNUMBER(INDEX(Inputs!$K$5:$AJ$110,0,MATCH(AJ$2,Inputs!$K$4:$AJ$4,0))))+SUMPRODUCT((Inputs!$C$5:$C$110=$B55)*ISNUMBER(INDEX(Inputs!$K$5:$AJ$110,0,MATCH(AJ$2,Inputs!$K$4:$AJ$4,0))))+SUMPRODUCT((Inputs!$E$5:$E$110=$B55)*ISNUMBER(INDEX(Inputs!$K$5:$AJ$110,0,MATCH(AJ$2,Inputs!$K$4:$AJ$4,0))))=0,NA(),SUMPRODUCT((Inputs!$A$5:$A$110=$B55)*Inputs!$B$5:$B$110*(((Inputs!$G$5:$G$110="moeda")+(Inputs!$G$5:$G$110="acoes"))*Inputs!$B$1+((Inputs!$G$5:$G$110&lt;&gt;"moeda")*(Inputs!$G$5:$G$110&lt;&gt;"acoes")))*INDEX(Inputs!$K$5:$AJ$110,0,MATCH(AJ$2,Inputs!$K$4:$AJ$4,0)))+SUMPRODUCT((Inputs!$C$5:$C$110=$B55)*Inputs!$D$5:$D$110*(((Inputs!$G$5:$G$110="moeda")+(Inputs!$G$5:$G$110="acoes"))*Inputs!$B$1+((Inputs!$G$5:$G$110&lt;&gt;"moeda")*(Inputs!$G$5:$G$110&lt;&gt;"acoes")))*INDEX(Inputs!$K$5:$AJ$110,0,MATCH(AJ$2,Inputs!$K$4:$AJ$4,0)))+SUMPRODUCT((Inputs!$E$5:$E$110=$B55)*Inputs!$F$5:$F$110*(((Inputs!$G$5:$G$110="moeda")+(Inputs!$G$5:$G$110="acoes"))*Inputs!$B$1+((Inputs!$G$5:$G$110&lt;&gt;"moeda")*(Inputs!$G$5:$G$110&lt;&gt;"acoes")))*INDEX(Inputs!$K$5:$AJ$110,0,MATCH(AJ$2,Inputs!$K$4:$AJ$4,0)))))</f>
        <v>5720</v>
      </c>
      <c r="AK55" s="263">
        <f>IF(ISNA(MATCH(AK$2,Inputs!$K$4:$AJ$4,0)),NA(),IF(SUMPRODUCT((Inputs!$A$5:$A$110=$B55)*ISNUMBER(INDEX(Inputs!$K$5:$AJ$110,0,MATCH(AK$2,Inputs!$K$4:$AJ$4,0))))+SUMPRODUCT((Inputs!$C$5:$C$110=$B55)*ISNUMBER(INDEX(Inputs!$K$5:$AJ$110,0,MATCH(AK$2,Inputs!$K$4:$AJ$4,0))))+SUMPRODUCT((Inputs!$E$5:$E$110=$B55)*ISNUMBER(INDEX(Inputs!$K$5:$AJ$110,0,MATCH(AK$2,Inputs!$K$4:$AJ$4,0))))=0,NA(),SUMPRODUCT((Inputs!$A$5:$A$110=$B55)*Inputs!$B$5:$B$110*(((Inputs!$G$5:$G$110="moeda")+(Inputs!$G$5:$G$110="acoes"))*Inputs!$B$1+((Inputs!$G$5:$G$110&lt;&gt;"moeda")*(Inputs!$G$5:$G$110&lt;&gt;"acoes")))*INDEX(Inputs!$K$5:$AJ$110,0,MATCH(AK$2,Inputs!$K$4:$AJ$4,0)))+SUMPRODUCT((Inputs!$C$5:$C$110=$B55)*Inputs!$D$5:$D$110*(((Inputs!$G$5:$G$110="moeda")+(Inputs!$G$5:$G$110="acoes"))*Inputs!$B$1+((Inputs!$G$5:$G$110&lt;&gt;"moeda")*(Inputs!$G$5:$G$110&lt;&gt;"acoes")))*INDEX(Inputs!$K$5:$AJ$110,0,MATCH(AK$2,Inputs!$K$4:$AJ$4,0)))+SUMPRODUCT((Inputs!$E$5:$E$110=$B55)*Inputs!$F$5:$F$110*(((Inputs!$G$5:$G$110="moeda")+(Inputs!$G$5:$G$110="acoes"))*Inputs!$B$1+((Inputs!$G$5:$G$110&lt;&gt;"moeda")*(Inputs!$G$5:$G$110&lt;&gt;"acoes")))*INDEX(Inputs!$K$5:$AJ$110,0,MATCH(AK$2,Inputs!$K$4:$AJ$4,0)))))</f>
        <v>7411</v>
      </c>
      <c r="AL55" s="264">
        <f>SUM(AH55:AK55)</f>
        <v>23090</v>
      </c>
    </row>
    <row r="56">
      <c r="B56" s="46" t="n">
        <v>48</v>
      </c>
      <c r="C56" s="29" t="inlineStr">
        <is>
          <t>Receita Google subscriptions, platforms and devices (USD; até 2021 "Google other")</t>
        </is>
      </c>
      <c r="D56" s="263">
        <f>IF(ISNA(MATCH(D$2,Inputs!$K$4:$AJ$4,0)),NA(),IF(SUMPRODUCT((Inputs!$A$5:$A$110=$B56)*ISNUMBER(INDEX(Inputs!$K$5:$AJ$110,0,MATCH(D$2,Inputs!$K$4:$AJ$4,0))))+SUMPRODUCT((Inputs!$C$5:$C$110=$B56)*ISNUMBER(INDEX(Inputs!$K$5:$AJ$110,0,MATCH(D$2,Inputs!$K$4:$AJ$4,0))))+SUMPRODUCT((Inputs!$E$5:$E$110=$B56)*ISNUMBER(INDEX(Inputs!$K$5:$AJ$110,0,MATCH(D$2,Inputs!$K$4:$AJ$4,0))))=0,NA(),SUMPRODUCT((Inputs!$A$5:$A$110=$B56)*Inputs!$B$5:$B$110*(((Inputs!$G$5:$G$110="moeda")+(Inputs!$G$5:$G$110="acoes"))*Inputs!$B$1+((Inputs!$G$5:$G$110&lt;&gt;"moeda")*(Inputs!$G$5:$G$110&lt;&gt;"acoes")))*INDEX(Inputs!$K$5:$AJ$110,0,MATCH(D$2,Inputs!$K$4:$AJ$4,0)))+SUMPRODUCT((Inputs!$C$5:$C$110=$B56)*Inputs!$D$5:$D$110*(((Inputs!$G$5:$G$110="moeda")+(Inputs!$G$5:$G$110="acoes"))*Inputs!$B$1+((Inputs!$G$5:$G$110&lt;&gt;"moeda")*(Inputs!$G$5:$G$110&lt;&gt;"acoes")))*INDEX(Inputs!$K$5:$AJ$110,0,MATCH(D$2,Inputs!$K$4:$AJ$4,0)))+SUMPRODUCT((Inputs!$E$5:$E$110=$B56)*Inputs!$F$5:$F$110*(((Inputs!$G$5:$G$110="moeda")+(Inputs!$G$5:$G$110="acoes"))*Inputs!$B$1+((Inputs!$G$5:$G$110&lt;&gt;"moeda")*(Inputs!$G$5:$G$110&lt;&gt;"acoes")))*INDEX(Inputs!$K$5:$AJ$110,0,MATCH(D$2,Inputs!$K$4:$AJ$4,0)))))</f>
        <v>6494</v>
      </c>
      <c r="E56" s="263">
        <f>IF(ISNA(MATCH(E$2,Inputs!$K$4:$AJ$4,0)),NA(),IF(SUMPRODUCT((Inputs!$A$5:$A$110=$B56)*ISNUMBER(INDEX(Inputs!$K$5:$AJ$110,0,MATCH(E$2,Inputs!$K$4:$AJ$4,0))))+SUMPRODUCT((Inputs!$C$5:$C$110=$B56)*ISNUMBER(INDEX(Inputs!$K$5:$AJ$110,0,MATCH(E$2,Inputs!$K$4:$AJ$4,0))))+SUMPRODUCT((Inputs!$E$5:$E$110=$B56)*ISNUMBER(INDEX(Inputs!$K$5:$AJ$110,0,MATCH(E$2,Inputs!$K$4:$AJ$4,0))))=0,NA(),SUMPRODUCT((Inputs!$A$5:$A$110=$B56)*Inputs!$B$5:$B$110*(((Inputs!$G$5:$G$110="moeda")+(Inputs!$G$5:$G$110="acoes"))*Inputs!$B$1+((Inputs!$G$5:$G$110&lt;&gt;"moeda")*(Inputs!$G$5:$G$110&lt;&gt;"acoes")))*INDEX(Inputs!$K$5:$AJ$110,0,MATCH(E$2,Inputs!$K$4:$AJ$4,0)))+SUMPRODUCT((Inputs!$C$5:$C$110=$B56)*Inputs!$D$5:$D$110*(((Inputs!$G$5:$G$110="moeda")+(Inputs!$G$5:$G$110="acoes"))*Inputs!$B$1+((Inputs!$G$5:$G$110&lt;&gt;"moeda")*(Inputs!$G$5:$G$110&lt;&gt;"acoes")))*INDEX(Inputs!$K$5:$AJ$110,0,MATCH(E$2,Inputs!$K$4:$AJ$4,0)))+SUMPRODUCT((Inputs!$E$5:$E$110=$B56)*Inputs!$F$5:$F$110*(((Inputs!$G$5:$G$110="moeda")+(Inputs!$G$5:$G$110="acoes"))*Inputs!$B$1+((Inputs!$G$5:$G$110&lt;&gt;"moeda")*(Inputs!$G$5:$G$110&lt;&gt;"acoes")))*INDEX(Inputs!$K$5:$AJ$110,0,MATCH(E$2,Inputs!$K$4:$AJ$4,0)))))</f>
        <v>6623</v>
      </c>
      <c r="F56" s="263">
        <f>IF(ISNA(MATCH(F$2,Inputs!$K$4:$AJ$4,0)),NA(),IF(SUMPRODUCT((Inputs!$A$5:$A$110=$B56)*ISNUMBER(INDEX(Inputs!$K$5:$AJ$110,0,MATCH(F$2,Inputs!$K$4:$AJ$4,0))))+SUMPRODUCT((Inputs!$C$5:$C$110=$B56)*ISNUMBER(INDEX(Inputs!$K$5:$AJ$110,0,MATCH(F$2,Inputs!$K$4:$AJ$4,0))))+SUMPRODUCT((Inputs!$E$5:$E$110=$B56)*ISNUMBER(INDEX(Inputs!$K$5:$AJ$110,0,MATCH(F$2,Inputs!$K$4:$AJ$4,0))))=0,NA(),SUMPRODUCT((Inputs!$A$5:$A$110=$B56)*Inputs!$B$5:$B$110*(((Inputs!$G$5:$G$110="moeda")+(Inputs!$G$5:$G$110="acoes"))*Inputs!$B$1+((Inputs!$G$5:$G$110&lt;&gt;"moeda")*(Inputs!$G$5:$G$110&lt;&gt;"acoes")))*INDEX(Inputs!$K$5:$AJ$110,0,MATCH(F$2,Inputs!$K$4:$AJ$4,0)))+SUMPRODUCT((Inputs!$C$5:$C$110=$B56)*Inputs!$D$5:$D$110*(((Inputs!$G$5:$G$110="moeda")+(Inputs!$G$5:$G$110="acoes"))*Inputs!$B$1+((Inputs!$G$5:$G$110&lt;&gt;"moeda")*(Inputs!$G$5:$G$110&lt;&gt;"acoes")))*INDEX(Inputs!$K$5:$AJ$110,0,MATCH(F$2,Inputs!$K$4:$AJ$4,0)))+SUMPRODUCT((Inputs!$E$5:$E$110=$B56)*Inputs!$F$5:$F$110*(((Inputs!$G$5:$G$110="moeda")+(Inputs!$G$5:$G$110="acoes"))*Inputs!$B$1+((Inputs!$G$5:$G$110&lt;&gt;"moeda")*(Inputs!$G$5:$G$110&lt;&gt;"acoes")))*INDEX(Inputs!$K$5:$AJ$110,0,MATCH(F$2,Inputs!$K$4:$AJ$4,0)))))</f>
        <v>6754</v>
      </c>
      <c r="G56" s="263">
        <f>IF(ISNA(MATCH(G$2,Inputs!$K$4:$AJ$4,0)),NA(),IF(SUMPRODUCT((Inputs!$A$5:$A$110=$B56)*ISNUMBER(INDEX(Inputs!$K$5:$AJ$110,0,MATCH(G$2,Inputs!$K$4:$AJ$4,0))))+SUMPRODUCT((Inputs!$C$5:$C$110=$B56)*ISNUMBER(INDEX(Inputs!$K$5:$AJ$110,0,MATCH(G$2,Inputs!$K$4:$AJ$4,0))))+SUMPRODUCT((Inputs!$E$5:$E$110=$B56)*ISNUMBER(INDEX(Inputs!$K$5:$AJ$110,0,MATCH(G$2,Inputs!$K$4:$AJ$4,0))))=0,NA(),SUMPRODUCT((Inputs!$A$5:$A$110=$B56)*Inputs!$B$5:$B$110*(((Inputs!$G$5:$G$110="moeda")+(Inputs!$G$5:$G$110="acoes"))*Inputs!$B$1+((Inputs!$G$5:$G$110&lt;&gt;"moeda")*(Inputs!$G$5:$G$110&lt;&gt;"acoes")))*INDEX(Inputs!$K$5:$AJ$110,0,MATCH(G$2,Inputs!$K$4:$AJ$4,0)))+SUMPRODUCT((Inputs!$C$5:$C$110=$B56)*Inputs!$D$5:$D$110*(((Inputs!$G$5:$G$110="moeda")+(Inputs!$G$5:$G$110="acoes"))*Inputs!$B$1+((Inputs!$G$5:$G$110&lt;&gt;"moeda")*(Inputs!$G$5:$G$110&lt;&gt;"acoes")))*INDEX(Inputs!$K$5:$AJ$110,0,MATCH(G$2,Inputs!$K$4:$AJ$4,0)))+SUMPRODUCT((Inputs!$E$5:$E$110=$B56)*Inputs!$F$5:$F$110*(((Inputs!$G$5:$G$110="moeda")+(Inputs!$G$5:$G$110="acoes"))*Inputs!$B$1+((Inputs!$G$5:$G$110&lt;&gt;"moeda")*(Inputs!$G$5:$G$110&lt;&gt;"acoes")))*INDEX(Inputs!$K$5:$AJ$110,0,MATCH(G$2,Inputs!$K$4:$AJ$4,0)))))</f>
        <v>8161</v>
      </c>
      <c r="H56" s="264">
        <f>SUM(D56:G56)</f>
        <v>28032</v>
      </c>
      <c r="I56" s="263">
        <f>IF(ISNA(MATCH(I$2,Inputs!$K$4:$AJ$4,0)),NA(),IF(SUMPRODUCT((Inputs!$A$5:$A$110=$B56)*ISNUMBER(INDEX(Inputs!$K$5:$AJ$110,0,MATCH(I$2,Inputs!$K$4:$AJ$4,0))))+SUMPRODUCT((Inputs!$C$5:$C$110=$B56)*ISNUMBER(INDEX(Inputs!$K$5:$AJ$110,0,MATCH(I$2,Inputs!$K$4:$AJ$4,0))))+SUMPRODUCT((Inputs!$E$5:$E$110=$B56)*ISNUMBER(INDEX(Inputs!$K$5:$AJ$110,0,MATCH(I$2,Inputs!$K$4:$AJ$4,0))))=0,NA(),SUMPRODUCT((Inputs!$A$5:$A$110=$B56)*Inputs!$B$5:$B$110*(((Inputs!$G$5:$G$110="moeda")+(Inputs!$G$5:$G$110="acoes"))*Inputs!$B$1+((Inputs!$G$5:$G$110&lt;&gt;"moeda")*(Inputs!$G$5:$G$110&lt;&gt;"acoes")))*INDEX(Inputs!$K$5:$AJ$110,0,MATCH(I$2,Inputs!$K$4:$AJ$4,0)))+SUMPRODUCT((Inputs!$C$5:$C$110=$B56)*Inputs!$D$5:$D$110*(((Inputs!$G$5:$G$110="moeda")+(Inputs!$G$5:$G$110="acoes"))*Inputs!$B$1+((Inputs!$G$5:$G$110&lt;&gt;"moeda")*(Inputs!$G$5:$G$110&lt;&gt;"acoes")))*INDEX(Inputs!$K$5:$AJ$110,0,MATCH(I$2,Inputs!$K$4:$AJ$4,0)))+SUMPRODUCT((Inputs!$E$5:$E$110=$B56)*Inputs!$F$5:$F$110*(((Inputs!$G$5:$G$110="moeda")+(Inputs!$G$5:$G$110="acoes"))*Inputs!$B$1+((Inputs!$G$5:$G$110&lt;&gt;"moeda")*(Inputs!$G$5:$G$110&lt;&gt;"acoes")))*INDEX(Inputs!$K$5:$AJ$110,0,MATCH(I$2,Inputs!$K$4:$AJ$4,0)))))</f>
        <v>6811</v>
      </c>
      <c r="J56" s="263">
        <f>IF(ISNA(MATCH(J$2,Inputs!$K$4:$AJ$4,0)),NA(),IF(SUMPRODUCT((Inputs!$A$5:$A$110=$B56)*ISNUMBER(INDEX(Inputs!$K$5:$AJ$110,0,MATCH(J$2,Inputs!$K$4:$AJ$4,0))))+SUMPRODUCT((Inputs!$C$5:$C$110=$B56)*ISNUMBER(INDEX(Inputs!$K$5:$AJ$110,0,MATCH(J$2,Inputs!$K$4:$AJ$4,0))))+SUMPRODUCT((Inputs!$E$5:$E$110=$B56)*ISNUMBER(INDEX(Inputs!$K$5:$AJ$110,0,MATCH(J$2,Inputs!$K$4:$AJ$4,0))))=0,NA(),SUMPRODUCT((Inputs!$A$5:$A$110=$B56)*Inputs!$B$5:$B$110*(((Inputs!$G$5:$G$110="moeda")+(Inputs!$G$5:$G$110="acoes"))*Inputs!$B$1+((Inputs!$G$5:$G$110&lt;&gt;"moeda")*(Inputs!$G$5:$G$110&lt;&gt;"acoes")))*INDEX(Inputs!$K$5:$AJ$110,0,MATCH(J$2,Inputs!$K$4:$AJ$4,0)))+SUMPRODUCT((Inputs!$C$5:$C$110=$B56)*Inputs!$D$5:$D$110*(((Inputs!$G$5:$G$110="moeda")+(Inputs!$G$5:$G$110="acoes"))*Inputs!$B$1+((Inputs!$G$5:$G$110&lt;&gt;"moeda")*(Inputs!$G$5:$G$110&lt;&gt;"acoes")))*INDEX(Inputs!$K$5:$AJ$110,0,MATCH(J$2,Inputs!$K$4:$AJ$4,0)))+SUMPRODUCT((Inputs!$E$5:$E$110=$B56)*Inputs!$F$5:$F$110*(((Inputs!$G$5:$G$110="moeda")+(Inputs!$G$5:$G$110="acoes"))*Inputs!$B$1+((Inputs!$G$5:$G$110&lt;&gt;"moeda")*(Inputs!$G$5:$G$110&lt;&gt;"acoes")))*INDEX(Inputs!$K$5:$AJ$110,0,MATCH(J$2,Inputs!$K$4:$AJ$4,0)))))</f>
        <v>6553</v>
      </c>
      <c r="K56" s="263">
        <f>IF(ISNA(MATCH(K$2,Inputs!$K$4:$AJ$4,0)),NA(),IF(SUMPRODUCT((Inputs!$A$5:$A$110=$B56)*ISNUMBER(INDEX(Inputs!$K$5:$AJ$110,0,MATCH(K$2,Inputs!$K$4:$AJ$4,0))))+SUMPRODUCT((Inputs!$C$5:$C$110=$B56)*ISNUMBER(INDEX(Inputs!$K$5:$AJ$110,0,MATCH(K$2,Inputs!$K$4:$AJ$4,0))))+SUMPRODUCT((Inputs!$E$5:$E$110=$B56)*ISNUMBER(INDEX(Inputs!$K$5:$AJ$110,0,MATCH(K$2,Inputs!$K$4:$AJ$4,0))))=0,NA(),SUMPRODUCT((Inputs!$A$5:$A$110=$B56)*Inputs!$B$5:$B$110*(((Inputs!$G$5:$G$110="moeda")+(Inputs!$G$5:$G$110="acoes"))*Inputs!$B$1+((Inputs!$G$5:$G$110&lt;&gt;"moeda")*(Inputs!$G$5:$G$110&lt;&gt;"acoes")))*INDEX(Inputs!$K$5:$AJ$110,0,MATCH(K$2,Inputs!$K$4:$AJ$4,0)))+SUMPRODUCT((Inputs!$C$5:$C$110=$B56)*Inputs!$D$5:$D$110*(((Inputs!$G$5:$G$110="moeda")+(Inputs!$G$5:$G$110="acoes"))*Inputs!$B$1+((Inputs!$G$5:$G$110&lt;&gt;"moeda")*(Inputs!$G$5:$G$110&lt;&gt;"acoes")))*INDEX(Inputs!$K$5:$AJ$110,0,MATCH(K$2,Inputs!$K$4:$AJ$4,0)))+SUMPRODUCT((Inputs!$E$5:$E$110=$B56)*Inputs!$F$5:$F$110*(((Inputs!$G$5:$G$110="moeda")+(Inputs!$G$5:$G$110="acoes"))*Inputs!$B$1+((Inputs!$G$5:$G$110&lt;&gt;"moeda")*(Inputs!$G$5:$G$110&lt;&gt;"acoes")))*INDEX(Inputs!$K$5:$AJ$110,0,MATCH(K$2,Inputs!$K$4:$AJ$4,0)))))</f>
        <v>6895</v>
      </c>
      <c r="L56" s="263">
        <f>IF(ISNA(MATCH(L$2,Inputs!$K$4:$AJ$4,0)),NA(),IF(SUMPRODUCT((Inputs!$A$5:$A$110=$B56)*ISNUMBER(INDEX(Inputs!$K$5:$AJ$110,0,MATCH(L$2,Inputs!$K$4:$AJ$4,0))))+SUMPRODUCT((Inputs!$C$5:$C$110=$B56)*ISNUMBER(INDEX(Inputs!$K$5:$AJ$110,0,MATCH(L$2,Inputs!$K$4:$AJ$4,0))))+SUMPRODUCT((Inputs!$E$5:$E$110=$B56)*ISNUMBER(INDEX(Inputs!$K$5:$AJ$110,0,MATCH(L$2,Inputs!$K$4:$AJ$4,0))))=0,NA(),SUMPRODUCT((Inputs!$A$5:$A$110=$B56)*Inputs!$B$5:$B$110*(((Inputs!$G$5:$G$110="moeda")+(Inputs!$G$5:$G$110="acoes"))*Inputs!$B$1+((Inputs!$G$5:$G$110&lt;&gt;"moeda")*(Inputs!$G$5:$G$110&lt;&gt;"acoes")))*INDEX(Inputs!$K$5:$AJ$110,0,MATCH(L$2,Inputs!$K$4:$AJ$4,0)))+SUMPRODUCT((Inputs!$C$5:$C$110=$B56)*Inputs!$D$5:$D$110*(((Inputs!$G$5:$G$110="moeda")+(Inputs!$G$5:$G$110="acoes"))*Inputs!$B$1+((Inputs!$G$5:$G$110&lt;&gt;"moeda")*(Inputs!$G$5:$G$110&lt;&gt;"acoes")))*INDEX(Inputs!$K$5:$AJ$110,0,MATCH(L$2,Inputs!$K$4:$AJ$4,0)))+SUMPRODUCT((Inputs!$E$5:$E$110=$B56)*Inputs!$F$5:$F$110*(((Inputs!$G$5:$G$110="moeda")+(Inputs!$G$5:$G$110="acoes"))*Inputs!$B$1+((Inputs!$G$5:$G$110&lt;&gt;"moeda")*(Inputs!$G$5:$G$110&lt;&gt;"acoes")))*INDEX(Inputs!$K$5:$AJ$110,0,MATCH(L$2,Inputs!$K$4:$AJ$4,0)))))</f>
        <v>8796</v>
      </c>
      <c r="M56" s="264">
        <f>SUM(I56:L56)</f>
        <v>29055</v>
      </c>
      <c r="N56" s="263">
        <f>IF(ISNA(MATCH(N$2,Inputs!$K$4:$AJ$4,0)),NA(),IF(SUMPRODUCT((Inputs!$A$5:$A$110=$B56)*ISNUMBER(INDEX(Inputs!$K$5:$AJ$110,0,MATCH(N$2,Inputs!$K$4:$AJ$4,0))))+SUMPRODUCT((Inputs!$C$5:$C$110=$B56)*ISNUMBER(INDEX(Inputs!$K$5:$AJ$110,0,MATCH(N$2,Inputs!$K$4:$AJ$4,0))))+SUMPRODUCT((Inputs!$E$5:$E$110=$B56)*ISNUMBER(INDEX(Inputs!$K$5:$AJ$110,0,MATCH(N$2,Inputs!$K$4:$AJ$4,0))))=0,NA(),SUMPRODUCT((Inputs!$A$5:$A$110=$B56)*Inputs!$B$5:$B$110*(((Inputs!$G$5:$G$110="moeda")+(Inputs!$G$5:$G$110="acoes"))*Inputs!$B$1+((Inputs!$G$5:$G$110&lt;&gt;"moeda")*(Inputs!$G$5:$G$110&lt;&gt;"acoes")))*INDEX(Inputs!$K$5:$AJ$110,0,MATCH(N$2,Inputs!$K$4:$AJ$4,0)))+SUMPRODUCT((Inputs!$C$5:$C$110=$B56)*Inputs!$D$5:$D$110*(((Inputs!$G$5:$G$110="moeda")+(Inputs!$G$5:$G$110="acoes"))*Inputs!$B$1+((Inputs!$G$5:$G$110&lt;&gt;"moeda")*(Inputs!$G$5:$G$110&lt;&gt;"acoes")))*INDEX(Inputs!$K$5:$AJ$110,0,MATCH(N$2,Inputs!$K$4:$AJ$4,0)))+SUMPRODUCT((Inputs!$E$5:$E$110=$B56)*Inputs!$F$5:$F$110*(((Inputs!$G$5:$G$110="moeda")+(Inputs!$G$5:$G$110="acoes"))*Inputs!$B$1+((Inputs!$G$5:$G$110&lt;&gt;"moeda")*(Inputs!$G$5:$G$110&lt;&gt;"acoes")))*INDEX(Inputs!$K$5:$AJ$110,0,MATCH(N$2,Inputs!$K$4:$AJ$4,0)))))</f>
        <v>7413</v>
      </c>
      <c r="O56" s="263">
        <f>IF(ISNA(MATCH(O$2,Inputs!$K$4:$AJ$4,0)),NA(),IF(SUMPRODUCT((Inputs!$A$5:$A$110=$B56)*ISNUMBER(INDEX(Inputs!$K$5:$AJ$110,0,MATCH(O$2,Inputs!$K$4:$AJ$4,0))))+SUMPRODUCT((Inputs!$C$5:$C$110=$B56)*ISNUMBER(INDEX(Inputs!$K$5:$AJ$110,0,MATCH(O$2,Inputs!$K$4:$AJ$4,0))))+SUMPRODUCT((Inputs!$E$5:$E$110=$B56)*ISNUMBER(INDEX(Inputs!$K$5:$AJ$110,0,MATCH(O$2,Inputs!$K$4:$AJ$4,0))))=0,NA(),SUMPRODUCT((Inputs!$A$5:$A$110=$B56)*Inputs!$B$5:$B$110*(((Inputs!$G$5:$G$110="moeda")+(Inputs!$G$5:$G$110="acoes"))*Inputs!$B$1+((Inputs!$G$5:$G$110&lt;&gt;"moeda")*(Inputs!$G$5:$G$110&lt;&gt;"acoes")))*INDEX(Inputs!$K$5:$AJ$110,0,MATCH(O$2,Inputs!$K$4:$AJ$4,0)))+SUMPRODUCT((Inputs!$C$5:$C$110=$B56)*Inputs!$D$5:$D$110*(((Inputs!$G$5:$G$110="moeda")+(Inputs!$G$5:$G$110="acoes"))*Inputs!$B$1+((Inputs!$G$5:$G$110&lt;&gt;"moeda")*(Inputs!$G$5:$G$110&lt;&gt;"acoes")))*INDEX(Inputs!$K$5:$AJ$110,0,MATCH(O$2,Inputs!$K$4:$AJ$4,0)))+SUMPRODUCT((Inputs!$E$5:$E$110=$B56)*Inputs!$F$5:$F$110*(((Inputs!$G$5:$G$110="moeda")+(Inputs!$G$5:$G$110="acoes"))*Inputs!$B$1+((Inputs!$G$5:$G$110&lt;&gt;"moeda")*(Inputs!$G$5:$G$110&lt;&gt;"acoes")))*INDEX(Inputs!$K$5:$AJ$110,0,MATCH(O$2,Inputs!$K$4:$AJ$4,0)))))</f>
        <v>8142</v>
      </c>
      <c r="P56" s="263">
        <f>IF(ISNA(MATCH(P$2,Inputs!$K$4:$AJ$4,0)),NA(),IF(SUMPRODUCT((Inputs!$A$5:$A$110=$B56)*ISNUMBER(INDEX(Inputs!$K$5:$AJ$110,0,MATCH(P$2,Inputs!$K$4:$AJ$4,0))))+SUMPRODUCT((Inputs!$C$5:$C$110=$B56)*ISNUMBER(INDEX(Inputs!$K$5:$AJ$110,0,MATCH(P$2,Inputs!$K$4:$AJ$4,0))))+SUMPRODUCT((Inputs!$E$5:$E$110=$B56)*ISNUMBER(INDEX(Inputs!$K$5:$AJ$110,0,MATCH(P$2,Inputs!$K$4:$AJ$4,0))))=0,NA(),SUMPRODUCT((Inputs!$A$5:$A$110=$B56)*Inputs!$B$5:$B$110*(((Inputs!$G$5:$G$110="moeda")+(Inputs!$G$5:$G$110="acoes"))*Inputs!$B$1+((Inputs!$G$5:$G$110&lt;&gt;"moeda")*(Inputs!$G$5:$G$110&lt;&gt;"acoes")))*INDEX(Inputs!$K$5:$AJ$110,0,MATCH(P$2,Inputs!$K$4:$AJ$4,0)))+SUMPRODUCT((Inputs!$C$5:$C$110=$B56)*Inputs!$D$5:$D$110*(((Inputs!$G$5:$G$110="moeda")+(Inputs!$G$5:$G$110="acoes"))*Inputs!$B$1+((Inputs!$G$5:$G$110&lt;&gt;"moeda")*(Inputs!$G$5:$G$110&lt;&gt;"acoes")))*INDEX(Inputs!$K$5:$AJ$110,0,MATCH(P$2,Inputs!$K$4:$AJ$4,0)))+SUMPRODUCT((Inputs!$E$5:$E$110=$B56)*Inputs!$F$5:$F$110*(((Inputs!$G$5:$G$110="moeda")+(Inputs!$G$5:$G$110="acoes"))*Inputs!$B$1+((Inputs!$G$5:$G$110&lt;&gt;"moeda")*(Inputs!$G$5:$G$110&lt;&gt;"acoes")))*INDEX(Inputs!$K$5:$AJ$110,0,MATCH(P$2,Inputs!$K$4:$AJ$4,0)))))</f>
        <v>8339</v>
      </c>
      <c r="Q56" s="263">
        <f>IF(ISNA(MATCH(Q$2,Inputs!$K$4:$AJ$4,0)),NA(),IF(SUMPRODUCT((Inputs!$A$5:$A$110=$B56)*ISNUMBER(INDEX(Inputs!$K$5:$AJ$110,0,MATCH(Q$2,Inputs!$K$4:$AJ$4,0))))+SUMPRODUCT((Inputs!$C$5:$C$110=$B56)*ISNUMBER(INDEX(Inputs!$K$5:$AJ$110,0,MATCH(Q$2,Inputs!$K$4:$AJ$4,0))))+SUMPRODUCT((Inputs!$E$5:$E$110=$B56)*ISNUMBER(INDEX(Inputs!$K$5:$AJ$110,0,MATCH(Q$2,Inputs!$K$4:$AJ$4,0))))=0,NA(),SUMPRODUCT((Inputs!$A$5:$A$110=$B56)*Inputs!$B$5:$B$110*(((Inputs!$G$5:$G$110="moeda")+(Inputs!$G$5:$G$110="acoes"))*Inputs!$B$1+((Inputs!$G$5:$G$110&lt;&gt;"moeda")*(Inputs!$G$5:$G$110&lt;&gt;"acoes")))*INDEX(Inputs!$K$5:$AJ$110,0,MATCH(Q$2,Inputs!$K$4:$AJ$4,0)))+SUMPRODUCT((Inputs!$C$5:$C$110=$B56)*Inputs!$D$5:$D$110*(((Inputs!$G$5:$G$110="moeda")+(Inputs!$G$5:$G$110="acoes"))*Inputs!$B$1+((Inputs!$G$5:$G$110&lt;&gt;"moeda")*(Inputs!$G$5:$G$110&lt;&gt;"acoes")))*INDEX(Inputs!$K$5:$AJ$110,0,MATCH(Q$2,Inputs!$K$4:$AJ$4,0)))+SUMPRODUCT((Inputs!$E$5:$E$110=$B56)*Inputs!$F$5:$F$110*(((Inputs!$G$5:$G$110="moeda")+(Inputs!$G$5:$G$110="acoes"))*Inputs!$B$1+((Inputs!$G$5:$G$110&lt;&gt;"moeda")*(Inputs!$G$5:$G$110&lt;&gt;"acoes")))*INDEX(Inputs!$K$5:$AJ$110,0,MATCH(Q$2,Inputs!$K$4:$AJ$4,0)))))</f>
        <v>10794</v>
      </c>
      <c r="R56" s="264">
        <f>SUM(N56:Q56)</f>
        <v>34688</v>
      </c>
      <c r="S56" s="263">
        <f>IF(ISNA(MATCH(S$2,Inputs!$K$4:$AJ$4,0)),NA(),IF(SUMPRODUCT((Inputs!$A$5:$A$110=$B56)*ISNUMBER(INDEX(Inputs!$K$5:$AJ$110,0,MATCH(S$2,Inputs!$K$4:$AJ$4,0))))+SUMPRODUCT((Inputs!$C$5:$C$110=$B56)*ISNUMBER(INDEX(Inputs!$K$5:$AJ$110,0,MATCH(S$2,Inputs!$K$4:$AJ$4,0))))+SUMPRODUCT((Inputs!$E$5:$E$110=$B56)*ISNUMBER(INDEX(Inputs!$K$5:$AJ$110,0,MATCH(S$2,Inputs!$K$4:$AJ$4,0))))=0,NA(),SUMPRODUCT((Inputs!$A$5:$A$110=$B56)*Inputs!$B$5:$B$110*(((Inputs!$G$5:$G$110="moeda")+(Inputs!$G$5:$G$110="acoes"))*Inputs!$B$1+((Inputs!$G$5:$G$110&lt;&gt;"moeda")*(Inputs!$G$5:$G$110&lt;&gt;"acoes")))*INDEX(Inputs!$K$5:$AJ$110,0,MATCH(S$2,Inputs!$K$4:$AJ$4,0)))+SUMPRODUCT((Inputs!$C$5:$C$110=$B56)*Inputs!$D$5:$D$110*(((Inputs!$G$5:$G$110="moeda")+(Inputs!$G$5:$G$110="acoes"))*Inputs!$B$1+((Inputs!$G$5:$G$110&lt;&gt;"moeda")*(Inputs!$G$5:$G$110&lt;&gt;"acoes")))*INDEX(Inputs!$K$5:$AJ$110,0,MATCH(S$2,Inputs!$K$4:$AJ$4,0)))+SUMPRODUCT((Inputs!$E$5:$E$110=$B56)*Inputs!$F$5:$F$110*(((Inputs!$G$5:$G$110="moeda")+(Inputs!$G$5:$G$110="acoes"))*Inputs!$B$1+((Inputs!$G$5:$G$110&lt;&gt;"moeda")*(Inputs!$G$5:$G$110&lt;&gt;"acoes")))*INDEX(Inputs!$K$5:$AJ$110,0,MATCH(S$2,Inputs!$K$4:$AJ$4,0)))))</f>
        <v>8739</v>
      </c>
      <c r="T56" s="263">
        <f>IF(ISNA(MATCH(T$2,Inputs!$K$4:$AJ$4,0)),NA(),IF(SUMPRODUCT((Inputs!$A$5:$A$110=$B56)*ISNUMBER(INDEX(Inputs!$K$5:$AJ$110,0,MATCH(T$2,Inputs!$K$4:$AJ$4,0))))+SUMPRODUCT((Inputs!$C$5:$C$110=$B56)*ISNUMBER(INDEX(Inputs!$K$5:$AJ$110,0,MATCH(T$2,Inputs!$K$4:$AJ$4,0))))+SUMPRODUCT((Inputs!$E$5:$E$110=$B56)*ISNUMBER(INDEX(Inputs!$K$5:$AJ$110,0,MATCH(T$2,Inputs!$K$4:$AJ$4,0))))=0,NA(),SUMPRODUCT((Inputs!$A$5:$A$110=$B56)*Inputs!$B$5:$B$110*(((Inputs!$G$5:$G$110="moeda")+(Inputs!$G$5:$G$110="acoes"))*Inputs!$B$1+((Inputs!$G$5:$G$110&lt;&gt;"moeda")*(Inputs!$G$5:$G$110&lt;&gt;"acoes")))*INDEX(Inputs!$K$5:$AJ$110,0,MATCH(T$2,Inputs!$K$4:$AJ$4,0)))+SUMPRODUCT((Inputs!$C$5:$C$110=$B56)*Inputs!$D$5:$D$110*(((Inputs!$G$5:$G$110="moeda")+(Inputs!$G$5:$G$110="acoes"))*Inputs!$B$1+((Inputs!$G$5:$G$110&lt;&gt;"moeda")*(Inputs!$G$5:$G$110&lt;&gt;"acoes")))*INDEX(Inputs!$K$5:$AJ$110,0,MATCH(T$2,Inputs!$K$4:$AJ$4,0)))+SUMPRODUCT((Inputs!$E$5:$E$110=$B56)*Inputs!$F$5:$F$110*(((Inputs!$G$5:$G$110="moeda")+(Inputs!$G$5:$G$110="acoes"))*Inputs!$B$1+((Inputs!$G$5:$G$110&lt;&gt;"moeda")*(Inputs!$G$5:$G$110&lt;&gt;"acoes")))*INDEX(Inputs!$K$5:$AJ$110,0,MATCH(T$2,Inputs!$K$4:$AJ$4,0)))))</f>
        <v>9312</v>
      </c>
      <c r="U56" s="263">
        <f>IF(ISNA(MATCH(U$2,Inputs!$K$4:$AJ$4,0)),NA(),IF(SUMPRODUCT((Inputs!$A$5:$A$110=$B56)*ISNUMBER(INDEX(Inputs!$K$5:$AJ$110,0,MATCH(U$2,Inputs!$K$4:$AJ$4,0))))+SUMPRODUCT((Inputs!$C$5:$C$110=$B56)*ISNUMBER(INDEX(Inputs!$K$5:$AJ$110,0,MATCH(U$2,Inputs!$K$4:$AJ$4,0))))+SUMPRODUCT((Inputs!$E$5:$E$110=$B56)*ISNUMBER(INDEX(Inputs!$K$5:$AJ$110,0,MATCH(U$2,Inputs!$K$4:$AJ$4,0))))=0,NA(),SUMPRODUCT((Inputs!$A$5:$A$110=$B56)*Inputs!$B$5:$B$110*(((Inputs!$G$5:$G$110="moeda")+(Inputs!$G$5:$G$110="acoes"))*Inputs!$B$1+((Inputs!$G$5:$G$110&lt;&gt;"moeda")*(Inputs!$G$5:$G$110&lt;&gt;"acoes")))*INDEX(Inputs!$K$5:$AJ$110,0,MATCH(U$2,Inputs!$K$4:$AJ$4,0)))+SUMPRODUCT((Inputs!$C$5:$C$110=$B56)*Inputs!$D$5:$D$110*(((Inputs!$G$5:$G$110="moeda")+(Inputs!$G$5:$G$110="acoes"))*Inputs!$B$1+((Inputs!$G$5:$G$110&lt;&gt;"moeda")*(Inputs!$G$5:$G$110&lt;&gt;"acoes")))*INDEX(Inputs!$K$5:$AJ$110,0,MATCH(U$2,Inputs!$K$4:$AJ$4,0)))+SUMPRODUCT((Inputs!$E$5:$E$110=$B56)*Inputs!$F$5:$F$110*(((Inputs!$G$5:$G$110="moeda")+(Inputs!$G$5:$G$110="acoes"))*Inputs!$B$1+((Inputs!$G$5:$G$110&lt;&gt;"moeda")*(Inputs!$G$5:$G$110&lt;&gt;"acoes")))*INDEX(Inputs!$K$5:$AJ$110,0,MATCH(U$2,Inputs!$K$4:$AJ$4,0)))))</f>
        <v>10656</v>
      </c>
      <c r="V56" s="263">
        <f>IF(ISNA(MATCH(V$2,Inputs!$K$4:$AJ$4,0)),NA(),IF(SUMPRODUCT((Inputs!$A$5:$A$110=$B56)*ISNUMBER(INDEX(Inputs!$K$5:$AJ$110,0,MATCH(V$2,Inputs!$K$4:$AJ$4,0))))+SUMPRODUCT((Inputs!$C$5:$C$110=$B56)*ISNUMBER(INDEX(Inputs!$K$5:$AJ$110,0,MATCH(V$2,Inputs!$K$4:$AJ$4,0))))+SUMPRODUCT((Inputs!$E$5:$E$110=$B56)*ISNUMBER(INDEX(Inputs!$K$5:$AJ$110,0,MATCH(V$2,Inputs!$K$4:$AJ$4,0))))=0,NA(),SUMPRODUCT((Inputs!$A$5:$A$110=$B56)*Inputs!$B$5:$B$110*(((Inputs!$G$5:$G$110="moeda")+(Inputs!$G$5:$G$110="acoes"))*Inputs!$B$1+((Inputs!$G$5:$G$110&lt;&gt;"moeda")*(Inputs!$G$5:$G$110&lt;&gt;"acoes")))*INDEX(Inputs!$K$5:$AJ$110,0,MATCH(V$2,Inputs!$K$4:$AJ$4,0)))+SUMPRODUCT((Inputs!$C$5:$C$110=$B56)*Inputs!$D$5:$D$110*(((Inputs!$G$5:$G$110="moeda")+(Inputs!$G$5:$G$110="acoes"))*Inputs!$B$1+((Inputs!$G$5:$G$110&lt;&gt;"moeda")*(Inputs!$G$5:$G$110&lt;&gt;"acoes")))*INDEX(Inputs!$K$5:$AJ$110,0,MATCH(V$2,Inputs!$K$4:$AJ$4,0)))+SUMPRODUCT((Inputs!$E$5:$E$110=$B56)*Inputs!$F$5:$F$110*(((Inputs!$G$5:$G$110="moeda")+(Inputs!$G$5:$G$110="acoes"))*Inputs!$B$1+((Inputs!$G$5:$G$110&lt;&gt;"moeda")*(Inputs!$G$5:$G$110&lt;&gt;"acoes")))*INDEX(Inputs!$K$5:$AJ$110,0,MATCH(V$2,Inputs!$K$4:$AJ$4,0)))))</f>
        <v>11633</v>
      </c>
      <c r="W56" s="264">
        <f>SUM(S56:V56)</f>
        <v>40340</v>
      </c>
      <c r="X56" s="263">
        <f>IF(ISNA(MATCH(X$2,Inputs!$K$4:$AJ$4,0)),NA(),IF(SUMPRODUCT((Inputs!$A$5:$A$110=$B56)*ISNUMBER(INDEX(Inputs!$K$5:$AJ$110,0,MATCH(X$2,Inputs!$K$4:$AJ$4,0))))+SUMPRODUCT((Inputs!$C$5:$C$110=$B56)*ISNUMBER(INDEX(Inputs!$K$5:$AJ$110,0,MATCH(X$2,Inputs!$K$4:$AJ$4,0))))+SUMPRODUCT((Inputs!$E$5:$E$110=$B56)*ISNUMBER(INDEX(Inputs!$K$5:$AJ$110,0,MATCH(X$2,Inputs!$K$4:$AJ$4,0))))=0,NA(),SUMPRODUCT((Inputs!$A$5:$A$110=$B56)*Inputs!$B$5:$B$110*(((Inputs!$G$5:$G$110="moeda")+(Inputs!$G$5:$G$110="acoes"))*Inputs!$B$1+((Inputs!$G$5:$G$110&lt;&gt;"moeda")*(Inputs!$G$5:$G$110&lt;&gt;"acoes")))*INDEX(Inputs!$K$5:$AJ$110,0,MATCH(X$2,Inputs!$K$4:$AJ$4,0)))+SUMPRODUCT((Inputs!$C$5:$C$110=$B56)*Inputs!$D$5:$D$110*(((Inputs!$G$5:$G$110="moeda")+(Inputs!$G$5:$G$110="acoes"))*Inputs!$B$1+((Inputs!$G$5:$G$110&lt;&gt;"moeda")*(Inputs!$G$5:$G$110&lt;&gt;"acoes")))*INDEX(Inputs!$K$5:$AJ$110,0,MATCH(X$2,Inputs!$K$4:$AJ$4,0)))+SUMPRODUCT((Inputs!$E$5:$E$110=$B56)*Inputs!$F$5:$F$110*(((Inputs!$G$5:$G$110="moeda")+(Inputs!$G$5:$G$110="acoes"))*Inputs!$B$1+((Inputs!$G$5:$G$110&lt;&gt;"moeda")*(Inputs!$G$5:$G$110&lt;&gt;"acoes")))*INDEX(Inputs!$K$5:$AJ$110,0,MATCH(X$2,Inputs!$K$4:$AJ$4,0)))))</f>
        <v>10379</v>
      </c>
      <c r="Y56" s="263">
        <f>IF(ISNA(MATCH(Y$2,Inputs!$K$4:$AJ$4,0)),NA(),IF(SUMPRODUCT((Inputs!$A$5:$A$110=$B56)*ISNUMBER(INDEX(Inputs!$K$5:$AJ$110,0,MATCH(Y$2,Inputs!$K$4:$AJ$4,0))))+SUMPRODUCT((Inputs!$C$5:$C$110=$B56)*ISNUMBER(INDEX(Inputs!$K$5:$AJ$110,0,MATCH(Y$2,Inputs!$K$4:$AJ$4,0))))+SUMPRODUCT((Inputs!$E$5:$E$110=$B56)*ISNUMBER(INDEX(Inputs!$K$5:$AJ$110,0,MATCH(Y$2,Inputs!$K$4:$AJ$4,0))))=0,NA(),SUMPRODUCT((Inputs!$A$5:$A$110=$B56)*Inputs!$B$5:$B$110*(((Inputs!$G$5:$G$110="moeda")+(Inputs!$G$5:$G$110="acoes"))*Inputs!$B$1+((Inputs!$G$5:$G$110&lt;&gt;"moeda")*(Inputs!$G$5:$G$110&lt;&gt;"acoes")))*INDEX(Inputs!$K$5:$AJ$110,0,MATCH(Y$2,Inputs!$K$4:$AJ$4,0)))+SUMPRODUCT((Inputs!$C$5:$C$110=$B56)*Inputs!$D$5:$D$110*(((Inputs!$G$5:$G$110="moeda")+(Inputs!$G$5:$G$110="acoes"))*Inputs!$B$1+((Inputs!$G$5:$G$110&lt;&gt;"moeda")*(Inputs!$G$5:$G$110&lt;&gt;"acoes")))*INDEX(Inputs!$K$5:$AJ$110,0,MATCH(Y$2,Inputs!$K$4:$AJ$4,0)))+SUMPRODUCT((Inputs!$E$5:$E$110=$B56)*Inputs!$F$5:$F$110*(((Inputs!$G$5:$G$110="moeda")+(Inputs!$G$5:$G$110="acoes"))*Inputs!$B$1+((Inputs!$G$5:$G$110&lt;&gt;"moeda")*(Inputs!$G$5:$G$110&lt;&gt;"acoes")))*INDEX(Inputs!$K$5:$AJ$110,0,MATCH(Y$2,Inputs!$K$4:$AJ$4,0)))))</f>
        <v>11203</v>
      </c>
      <c r="Z56" s="263">
        <f>IF(ISNA(MATCH(Z$2,Inputs!$K$4:$AJ$4,0)),NA(),IF(SUMPRODUCT((Inputs!$A$5:$A$110=$B56)*ISNUMBER(INDEX(Inputs!$K$5:$AJ$110,0,MATCH(Z$2,Inputs!$K$4:$AJ$4,0))))+SUMPRODUCT((Inputs!$C$5:$C$110=$B56)*ISNUMBER(INDEX(Inputs!$K$5:$AJ$110,0,MATCH(Z$2,Inputs!$K$4:$AJ$4,0))))+SUMPRODUCT((Inputs!$E$5:$E$110=$B56)*ISNUMBER(INDEX(Inputs!$K$5:$AJ$110,0,MATCH(Z$2,Inputs!$K$4:$AJ$4,0))))=0,NA(),SUMPRODUCT((Inputs!$A$5:$A$110=$B56)*Inputs!$B$5:$B$110*(((Inputs!$G$5:$G$110="moeda")+(Inputs!$G$5:$G$110="acoes"))*Inputs!$B$1+((Inputs!$G$5:$G$110&lt;&gt;"moeda")*(Inputs!$G$5:$G$110&lt;&gt;"acoes")))*INDEX(Inputs!$K$5:$AJ$110,0,MATCH(Z$2,Inputs!$K$4:$AJ$4,0)))+SUMPRODUCT((Inputs!$C$5:$C$110=$B56)*Inputs!$D$5:$D$110*(((Inputs!$G$5:$G$110="moeda")+(Inputs!$G$5:$G$110="acoes"))*Inputs!$B$1+((Inputs!$G$5:$G$110&lt;&gt;"moeda")*(Inputs!$G$5:$G$110&lt;&gt;"acoes")))*INDEX(Inputs!$K$5:$AJ$110,0,MATCH(Z$2,Inputs!$K$4:$AJ$4,0)))+SUMPRODUCT((Inputs!$E$5:$E$110=$B56)*Inputs!$F$5:$F$110*(((Inputs!$G$5:$G$110="moeda")+(Inputs!$G$5:$G$110="acoes"))*Inputs!$B$1+((Inputs!$G$5:$G$110&lt;&gt;"moeda")*(Inputs!$G$5:$G$110&lt;&gt;"acoes")))*INDEX(Inputs!$K$5:$AJ$110,0,MATCH(Z$2,Inputs!$K$4:$AJ$4,0)))))</f>
        <v>12870</v>
      </c>
      <c r="AA56" s="263">
        <f>IF(ISNA(MATCH(AA$2,Inputs!$K$4:$AJ$4,0)),NA(),IF(SUMPRODUCT((Inputs!$A$5:$A$110=$B56)*ISNUMBER(INDEX(Inputs!$K$5:$AJ$110,0,MATCH(AA$2,Inputs!$K$4:$AJ$4,0))))+SUMPRODUCT((Inputs!$C$5:$C$110=$B56)*ISNUMBER(INDEX(Inputs!$K$5:$AJ$110,0,MATCH(AA$2,Inputs!$K$4:$AJ$4,0))))+SUMPRODUCT((Inputs!$E$5:$E$110=$B56)*ISNUMBER(INDEX(Inputs!$K$5:$AJ$110,0,MATCH(AA$2,Inputs!$K$4:$AJ$4,0))))=0,NA(),SUMPRODUCT((Inputs!$A$5:$A$110=$B56)*Inputs!$B$5:$B$110*(((Inputs!$G$5:$G$110="moeda")+(Inputs!$G$5:$G$110="acoes"))*Inputs!$B$1+((Inputs!$G$5:$G$110&lt;&gt;"moeda")*(Inputs!$G$5:$G$110&lt;&gt;"acoes")))*INDEX(Inputs!$K$5:$AJ$110,0,MATCH(AA$2,Inputs!$K$4:$AJ$4,0)))+SUMPRODUCT((Inputs!$C$5:$C$110=$B56)*Inputs!$D$5:$D$110*(((Inputs!$G$5:$G$110="moeda")+(Inputs!$G$5:$G$110="acoes"))*Inputs!$B$1+((Inputs!$G$5:$G$110&lt;&gt;"moeda")*(Inputs!$G$5:$G$110&lt;&gt;"acoes")))*INDEX(Inputs!$K$5:$AJ$110,0,MATCH(AA$2,Inputs!$K$4:$AJ$4,0)))+SUMPRODUCT((Inputs!$E$5:$E$110=$B56)*Inputs!$F$5:$F$110*(((Inputs!$G$5:$G$110="moeda")+(Inputs!$G$5:$G$110="acoes"))*Inputs!$B$1+((Inputs!$G$5:$G$110&lt;&gt;"moeda")*(Inputs!$G$5:$G$110&lt;&gt;"acoes")))*INDEX(Inputs!$K$5:$AJ$110,0,MATCH(AA$2,Inputs!$K$4:$AJ$4,0)))))</f>
        <v>13578</v>
      </c>
      <c r="AB56" s="264">
        <f>SUM(X56:AA56)</f>
        <v>48030</v>
      </c>
      <c r="AC56" s="263">
        <f>IF(ISNA(MATCH(AC$2,Inputs!$K$4:$AJ$4,0)),NA(),IF(SUMPRODUCT((Inputs!$A$5:$A$110=$B56)*ISNUMBER(INDEX(Inputs!$K$5:$AJ$110,0,MATCH(AC$2,Inputs!$K$4:$AJ$4,0))))+SUMPRODUCT((Inputs!$C$5:$C$110=$B56)*ISNUMBER(INDEX(Inputs!$K$5:$AJ$110,0,MATCH(AC$2,Inputs!$K$4:$AJ$4,0))))+SUMPRODUCT((Inputs!$E$5:$E$110=$B56)*ISNUMBER(INDEX(Inputs!$K$5:$AJ$110,0,MATCH(AC$2,Inputs!$K$4:$AJ$4,0))))=0,NA(),SUMPRODUCT((Inputs!$A$5:$A$110=$B56)*Inputs!$B$5:$B$110*(((Inputs!$G$5:$G$110="moeda")+(Inputs!$G$5:$G$110="acoes"))*Inputs!$B$1+((Inputs!$G$5:$G$110&lt;&gt;"moeda")*(Inputs!$G$5:$G$110&lt;&gt;"acoes")))*INDEX(Inputs!$K$5:$AJ$110,0,MATCH(AC$2,Inputs!$K$4:$AJ$4,0)))+SUMPRODUCT((Inputs!$C$5:$C$110=$B56)*Inputs!$D$5:$D$110*(((Inputs!$G$5:$G$110="moeda")+(Inputs!$G$5:$G$110="acoes"))*Inputs!$B$1+((Inputs!$G$5:$G$110&lt;&gt;"moeda")*(Inputs!$G$5:$G$110&lt;&gt;"acoes")))*INDEX(Inputs!$K$5:$AJ$110,0,MATCH(AC$2,Inputs!$K$4:$AJ$4,0)))+SUMPRODUCT((Inputs!$E$5:$E$110=$B56)*Inputs!$F$5:$F$110*(((Inputs!$G$5:$G$110="moeda")+(Inputs!$G$5:$G$110="acoes"))*Inputs!$B$1+((Inputs!$G$5:$G$110&lt;&gt;"moeda")*(Inputs!$G$5:$G$110&lt;&gt;"acoes")))*INDEX(Inputs!$K$5:$AJ$110,0,MATCH(AC$2,Inputs!$K$4:$AJ$4,0)))))</f>
        <v>12384</v>
      </c>
      <c r="AD56" s="263">
        <f>IF(ISNA(MATCH(AD$2,Inputs!$K$4:$AJ$4,0)),NA(),IF(SUMPRODUCT((Inputs!$A$5:$A$110=$B56)*ISNUMBER(INDEX(Inputs!$K$5:$AJ$110,0,MATCH(AD$2,Inputs!$K$4:$AJ$4,0))))+SUMPRODUCT((Inputs!$C$5:$C$110=$B56)*ISNUMBER(INDEX(Inputs!$K$5:$AJ$110,0,MATCH(AD$2,Inputs!$K$4:$AJ$4,0))))+SUMPRODUCT((Inputs!$E$5:$E$110=$B56)*ISNUMBER(INDEX(Inputs!$K$5:$AJ$110,0,MATCH(AD$2,Inputs!$K$4:$AJ$4,0))))=0,NA(),SUMPRODUCT((Inputs!$A$5:$A$110=$B56)*Inputs!$B$5:$B$110*(((Inputs!$G$5:$G$110="moeda")+(Inputs!$G$5:$G$110="acoes"))*Inputs!$B$1+((Inputs!$G$5:$G$110&lt;&gt;"moeda")*(Inputs!$G$5:$G$110&lt;&gt;"acoes")))*INDEX(Inputs!$K$5:$AJ$110,0,MATCH(AD$2,Inputs!$K$4:$AJ$4,0)))+SUMPRODUCT((Inputs!$C$5:$C$110=$B56)*Inputs!$D$5:$D$110*(((Inputs!$G$5:$G$110="moeda")+(Inputs!$G$5:$G$110="acoes"))*Inputs!$B$1+((Inputs!$G$5:$G$110&lt;&gt;"moeda")*(Inputs!$G$5:$G$110&lt;&gt;"acoes")))*INDEX(Inputs!$K$5:$AJ$110,0,MATCH(AD$2,Inputs!$K$4:$AJ$4,0)))+SUMPRODUCT((Inputs!$E$5:$E$110=$B56)*Inputs!$F$5:$F$110*(((Inputs!$G$5:$G$110="moeda")+(Inputs!$G$5:$G$110="acoes"))*Inputs!$B$1+((Inputs!$G$5:$G$110&lt;&gt;"moeda")*(Inputs!$G$5:$G$110&lt;&gt;"acoes")))*INDEX(Inputs!$K$5:$AJ$110,0,MATCH(AD$2,Inputs!$K$4:$AJ$4,0)))))</f>
        <v>12911</v>
      </c>
      <c r="AE56" s="263" t="e">
        <f>IF(ISNA(MATCH(AE$2,Inputs!$K$4:$AJ$4,0)),NA(),IF(SUMPRODUCT((Inputs!$A$5:$A$110=$B56)*ISNUMBER(INDEX(Inputs!$K$5:$AJ$110,0,MATCH(AE$2,Inputs!$K$4:$AJ$4,0))))+SUMPRODUCT((Inputs!$C$5:$C$110=$B56)*ISNUMBER(INDEX(Inputs!$K$5:$AJ$110,0,MATCH(AE$2,Inputs!$K$4:$AJ$4,0))))+SUMPRODUCT((Inputs!$E$5:$E$110=$B56)*ISNUMBER(INDEX(Inputs!$K$5:$AJ$110,0,MATCH(AE$2,Inputs!$K$4:$AJ$4,0))))=0,NA(),SUMPRODUCT((Inputs!$A$5:$A$110=$B56)*Inputs!$B$5:$B$110*(((Inputs!$G$5:$G$110="moeda")+(Inputs!$G$5:$G$110="acoes"))*Inputs!$B$1+((Inputs!$G$5:$G$110&lt;&gt;"moeda")*(Inputs!$G$5:$G$110&lt;&gt;"acoes")))*INDEX(Inputs!$K$5:$AJ$110,0,MATCH(AE$2,Inputs!$K$4:$AJ$4,0)))+SUMPRODUCT((Inputs!$C$5:$C$110=$B56)*Inputs!$D$5:$D$110*(((Inputs!$G$5:$G$110="moeda")+(Inputs!$G$5:$G$110="acoes"))*Inputs!$B$1+((Inputs!$G$5:$G$110&lt;&gt;"moeda")*(Inputs!$G$5:$G$110&lt;&gt;"acoes")))*INDEX(Inputs!$K$5:$AJ$110,0,MATCH(AE$2,Inputs!$K$4:$AJ$4,0)))+SUMPRODUCT((Inputs!$E$5:$E$110=$B56)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6" s="263" t="e">
        <f>IF(ISNA(MATCH(AF$2,Inputs!$K$4:$AJ$4,0)),NA(),IF(SUMPRODUCT((Inputs!$A$5:$A$110=$B56)*ISNUMBER(INDEX(Inputs!$K$5:$AJ$110,0,MATCH(AF$2,Inputs!$K$4:$AJ$4,0))))+SUMPRODUCT((Inputs!$C$5:$C$110=$B56)*ISNUMBER(INDEX(Inputs!$K$5:$AJ$110,0,MATCH(AF$2,Inputs!$K$4:$AJ$4,0))))+SUMPRODUCT((Inputs!$E$5:$E$110=$B56)*ISNUMBER(INDEX(Inputs!$K$5:$AJ$110,0,MATCH(AF$2,Inputs!$K$4:$AJ$4,0))))=0,NA(),SUMPRODUCT((Inputs!$A$5:$A$110=$B56)*Inputs!$B$5:$B$110*(((Inputs!$G$5:$G$110="moeda")+(Inputs!$G$5:$G$110="acoes"))*Inputs!$B$1+((Inputs!$G$5:$G$110&lt;&gt;"moeda")*(Inputs!$G$5:$G$110&lt;&gt;"acoes")))*INDEX(Inputs!$K$5:$AJ$110,0,MATCH(AF$2,Inputs!$K$4:$AJ$4,0)))+SUMPRODUCT((Inputs!$C$5:$C$110=$B56)*Inputs!$D$5:$D$110*(((Inputs!$G$5:$G$110="moeda")+(Inputs!$G$5:$G$110="acoes"))*Inputs!$B$1+((Inputs!$G$5:$G$110&lt;&gt;"moeda")*(Inputs!$G$5:$G$110&lt;&gt;"acoes")))*INDEX(Inputs!$K$5:$AJ$110,0,MATCH(AF$2,Inputs!$K$4:$AJ$4,0)))+SUMPRODUCT((Inputs!$E$5:$E$110=$B56)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6" s="264" t="e">
        <f>SUM(AC56:AF56)</f>
        <v>#N/A</v>
      </c>
      <c r="AH56" s="263">
        <f>IF(ISNA(MATCH(AH$2,Inputs!$K$4:$AJ$4,0)),NA(),IF(SUMPRODUCT((Inputs!$A$5:$A$110=$B56)*ISNUMBER(INDEX(Inputs!$K$5:$AJ$110,0,MATCH(AH$2,Inputs!$K$4:$AJ$4,0))))+SUMPRODUCT((Inputs!$C$5:$C$110=$B56)*ISNUMBER(INDEX(Inputs!$K$5:$AJ$110,0,MATCH(AH$2,Inputs!$K$4:$AJ$4,0))))+SUMPRODUCT((Inputs!$E$5:$E$110=$B56)*ISNUMBER(INDEX(Inputs!$K$5:$AJ$110,0,MATCH(AH$2,Inputs!$K$4:$AJ$4,0))))=0,NA(),SUMPRODUCT((Inputs!$A$5:$A$110=$B56)*Inputs!$B$5:$B$110*(((Inputs!$G$5:$G$110="moeda")+(Inputs!$G$5:$G$110="acoes"))*Inputs!$B$1+((Inputs!$G$5:$G$110&lt;&gt;"moeda")*(Inputs!$G$5:$G$110&lt;&gt;"acoes")))*INDEX(Inputs!$K$5:$AJ$110,0,MATCH(AH$2,Inputs!$K$4:$AJ$4,0)))+SUMPRODUCT((Inputs!$C$5:$C$110=$B56)*Inputs!$D$5:$D$110*(((Inputs!$G$5:$G$110="moeda")+(Inputs!$G$5:$G$110="acoes"))*Inputs!$B$1+((Inputs!$G$5:$G$110&lt;&gt;"moeda")*(Inputs!$G$5:$G$110&lt;&gt;"acoes")))*INDEX(Inputs!$K$5:$AJ$110,0,MATCH(AH$2,Inputs!$K$4:$AJ$4,0)))+SUMPRODUCT((Inputs!$E$5:$E$110=$B56)*Inputs!$F$5:$F$110*(((Inputs!$G$5:$G$110="moeda")+(Inputs!$G$5:$G$110="acoes"))*Inputs!$B$1+((Inputs!$G$5:$G$110&lt;&gt;"moeda")*(Inputs!$G$5:$G$110&lt;&gt;"acoes")))*INDEX(Inputs!$K$5:$AJ$110,0,MATCH(AH$2,Inputs!$K$4:$AJ$4,0)))))</f>
        <v>4435</v>
      </c>
      <c r="AI56" s="263">
        <f>IF(ISNA(MATCH(AI$2,Inputs!$K$4:$AJ$4,0)),NA(),IF(SUMPRODUCT((Inputs!$A$5:$A$110=$B56)*ISNUMBER(INDEX(Inputs!$K$5:$AJ$110,0,MATCH(AI$2,Inputs!$K$4:$AJ$4,0))))+SUMPRODUCT((Inputs!$C$5:$C$110=$B56)*ISNUMBER(INDEX(Inputs!$K$5:$AJ$110,0,MATCH(AI$2,Inputs!$K$4:$AJ$4,0))))+SUMPRODUCT((Inputs!$E$5:$E$110=$B56)*ISNUMBER(INDEX(Inputs!$K$5:$AJ$110,0,MATCH(AI$2,Inputs!$K$4:$AJ$4,0))))=0,NA(),SUMPRODUCT((Inputs!$A$5:$A$110=$B56)*Inputs!$B$5:$B$110*(((Inputs!$G$5:$G$110="moeda")+(Inputs!$G$5:$G$110="acoes"))*Inputs!$B$1+((Inputs!$G$5:$G$110&lt;&gt;"moeda")*(Inputs!$G$5:$G$110&lt;&gt;"acoes")))*INDEX(Inputs!$K$5:$AJ$110,0,MATCH(AI$2,Inputs!$K$4:$AJ$4,0)))+SUMPRODUCT((Inputs!$C$5:$C$110=$B56)*Inputs!$D$5:$D$110*(((Inputs!$G$5:$G$110="moeda")+(Inputs!$G$5:$G$110="acoes"))*Inputs!$B$1+((Inputs!$G$5:$G$110&lt;&gt;"moeda")*(Inputs!$G$5:$G$110&lt;&gt;"acoes")))*INDEX(Inputs!$K$5:$AJ$110,0,MATCH(AI$2,Inputs!$K$4:$AJ$4,0)))+SUMPRODUCT((Inputs!$E$5:$E$110=$B56)*Inputs!$F$5:$F$110*(((Inputs!$G$5:$G$110="moeda")+(Inputs!$G$5:$G$110="acoes"))*Inputs!$B$1+((Inputs!$G$5:$G$110&lt;&gt;"moeda")*(Inputs!$G$5:$G$110&lt;&gt;"acoes")))*INDEX(Inputs!$K$5:$AJ$110,0,MATCH(AI$2,Inputs!$K$4:$AJ$4,0)))))</f>
        <v>5124</v>
      </c>
      <c r="AJ56" s="263">
        <f>IF(ISNA(MATCH(AJ$2,Inputs!$K$4:$AJ$4,0)),NA(),IF(SUMPRODUCT((Inputs!$A$5:$A$110=$B56)*ISNUMBER(INDEX(Inputs!$K$5:$AJ$110,0,MATCH(AJ$2,Inputs!$K$4:$AJ$4,0))))+SUMPRODUCT((Inputs!$C$5:$C$110=$B56)*ISNUMBER(INDEX(Inputs!$K$5:$AJ$110,0,MATCH(AJ$2,Inputs!$K$4:$AJ$4,0))))+SUMPRODUCT((Inputs!$E$5:$E$110=$B56)*ISNUMBER(INDEX(Inputs!$K$5:$AJ$110,0,MATCH(AJ$2,Inputs!$K$4:$AJ$4,0))))=0,NA(),SUMPRODUCT((Inputs!$A$5:$A$110=$B56)*Inputs!$B$5:$B$110*(((Inputs!$G$5:$G$110="moeda")+(Inputs!$G$5:$G$110="acoes"))*Inputs!$B$1+((Inputs!$G$5:$G$110&lt;&gt;"moeda")*(Inputs!$G$5:$G$110&lt;&gt;"acoes")))*INDEX(Inputs!$K$5:$AJ$110,0,MATCH(AJ$2,Inputs!$K$4:$AJ$4,0)))+SUMPRODUCT((Inputs!$C$5:$C$110=$B56)*Inputs!$D$5:$D$110*(((Inputs!$G$5:$G$110="moeda")+(Inputs!$G$5:$G$110="acoes"))*Inputs!$B$1+((Inputs!$G$5:$G$110&lt;&gt;"moeda")*(Inputs!$G$5:$G$110&lt;&gt;"acoes")))*INDEX(Inputs!$K$5:$AJ$110,0,MATCH(AJ$2,Inputs!$K$4:$AJ$4,0)))+SUMPRODUCT((Inputs!$E$5:$E$110=$B56)*Inputs!$F$5:$F$110*(((Inputs!$G$5:$G$110="moeda")+(Inputs!$G$5:$G$110="acoes"))*Inputs!$B$1+((Inputs!$G$5:$G$110&lt;&gt;"moeda")*(Inputs!$G$5:$G$110&lt;&gt;"acoes")))*INDEX(Inputs!$K$5:$AJ$110,0,MATCH(AJ$2,Inputs!$K$4:$AJ$4,0)))))</f>
        <v>5478</v>
      </c>
      <c r="AK56" s="263">
        <f>IF(ISNA(MATCH(AK$2,Inputs!$K$4:$AJ$4,0)),NA(),IF(SUMPRODUCT((Inputs!$A$5:$A$110=$B56)*ISNUMBER(INDEX(Inputs!$K$5:$AJ$110,0,MATCH(AK$2,Inputs!$K$4:$AJ$4,0))))+SUMPRODUCT((Inputs!$C$5:$C$110=$B56)*ISNUMBER(INDEX(Inputs!$K$5:$AJ$110,0,MATCH(AK$2,Inputs!$K$4:$AJ$4,0))))+SUMPRODUCT((Inputs!$E$5:$E$110=$B56)*ISNUMBER(INDEX(Inputs!$K$5:$AJ$110,0,MATCH(AK$2,Inputs!$K$4:$AJ$4,0))))=0,NA(),SUMPRODUCT((Inputs!$A$5:$A$110=$B56)*Inputs!$B$5:$B$110*(((Inputs!$G$5:$G$110="moeda")+(Inputs!$G$5:$G$110="acoes"))*Inputs!$B$1+((Inputs!$G$5:$G$110&lt;&gt;"moeda")*(Inputs!$G$5:$G$110&lt;&gt;"acoes")))*INDEX(Inputs!$K$5:$AJ$110,0,MATCH(AK$2,Inputs!$K$4:$AJ$4,0)))+SUMPRODUCT((Inputs!$C$5:$C$110=$B56)*Inputs!$D$5:$D$110*(((Inputs!$G$5:$G$110="moeda")+(Inputs!$G$5:$G$110="acoes"))*Inputs!$B$1+((Inputs!$G$5:$G$110&lt;&gt;"moeda")*(Inputs!$G$5:$G$110&lt;&gt;"acoes")))*INDEX(Inputs!$K$5:$AJ$110,0,MATCH(AK$2,Inputs!$K$4:$AJ$4,0)))+SUMPRODUCT((Inputs!$E$5:$E$110=$B56)*Inputs!$F$5:$F$110*(((Inputs!$G$5:$G$110="moeda")+(Inputs!$G$5:$G$110="acoes"))*Inputs!$B$1+((Inputs!$G$5:$G$110&lt;&gt;"moeda")*(Inputs!$G$5:$G$110&lt;&gt;"acoes")))*INDEX(Inputs!$K$5:$AJ$110,0,MATCH(AK$2,Inputs!$K$4:$AJ$4,0)))))</f>
        <v>6674</v>
      </c>
      <c r="AL56" s="264">
        <f>SUM(AH56:AK56)</f>
        <v>21711</v>
      </c>
    </row>
    <row r="57">
      <c r="B57" s="46" t="n">
        <v>49</v>
      </c>
      <c r="C57" s="29" t="inlineStr">
        <is>
          <t>Segmento Google Services - receita (USD)</t>
        </is>
      </c>
      <c r="D57" s="263">
        <f>IF(ISNA(MATCH(D$2,Inputs!$K$4:$AJ$4,0)),NA(),IF(SUMPRODUCT((Inputs!$A$5:$A$110=$B57)*ISNUMBER(INDEX(Inputs!$K$5:$AJ$110,0,MATCH(D$2,Inputs!$K$4:$AJ$4,0))))+SUMPRODUCT((Inputs!$C$5:$C$110=$B57)*ISNUMBER(INDEX(Inputs!$K$5:$AJ$110,0,MATCH(D$2,Inputs!$K$4:$AJ$4,0))))+SUMPRODUCT((Inputs!$E$5:$E$110=$B57)*ISNUMBER(INDEX(Inputs!$K$5:$AJ$110,0,MATCH(D$2,Inputs!$K$4:$AJ$4,0))))=0,NA(),SUMPRODUCT((Inputs!$A$5:$A$110=$B57)*Inputs!$B$5:$B$110*(((Inputs!$G$5:$G$110="moeda")+(Inputs!$G$5:$G$110="acoes"))*Inputs!$B$1+((Inputs!$G$5:$G$110&lt;&gt;"moeda")*(Inputs!$G$5:$G$110&lt;&gt;"acoes")))*INDEX(Inputs!$K$5:$AJ$110,0,MATCH(D$2,Inputs!$K$4:$AJ$4,0)))+SUMPRODUCT((Inputs!$C$5:$C$110=$B57)*Inputs!$D$5:$D$110*(((Inputs!$G$5:$G$110="moeda")+(Inputs!$G$5:$G$110="acoes"))*Inputs!$B$1+((Inputs!$G$5:$G$110&lt;&gt;"moeda")*(Inputs!$G$5:$G$110&lt;&gt;"acoes")))*INDEX(Inputs!$K$5:$AJ$110,0,MATCH(D$2,Inputs!$K$4:$AJ$4,0)))+SUMPRODUCT((Inputs!$E$5:$E$110=$B57)*Inputs!$F$5:$F$110*(((Inputs!$G$5:$G$110="moeda")+(Inputs!$G$5:$G$110="acoes"))*Inputs!$B$1+((Inputs!$G$5:$G$110&lt;&gt;"moeda")*(Inputs!$G$5:$G$110&lt;&gt;"acoes")))*INDEX(Inputs!$K$5:$AJ$110,0,MATCH(D$2,Inputs!$K$4:$AJ$4,0)))))</f>
        <v>51178</v>
      </c>
      <c r="E57" s="263">
        <f>IF(ISNA(MATCH(E$2,Inputs!$K$4:$AJ$4,0)),NA(),IF(SUMPRODUCT((Inputs!$A$5:$A$110=$B57)*ISNUMBER(INDEX(Inputs!$K$5:$AJ$110,0,MATCH(E$2,Inputs!$K$4:$AJ$4,0))))+SUMPRODUCT((Inputs!$C$5:$C$110=$B57)*ISNUMBER(INDEX(Inputs!$K$5:$AJ$110,0,MATCH(E$2,Inputs!$K$4:$AJ$4,0))))+SUMPRODUCT((Inputs!$E$5:$E$110=$B57)*ISNUMBER(INDEX(Inputs!$K$5:$AJ$110,0,MATCH(E$2,Inputs!$K$4:$AJ$4,0))))=0,NA(),SUMPRODUCT((Inputs!$A$5:$A$110=$B57)*Inputs!$B$5:$B$110*(((Inputs!$G$5:$G$110="moeda")+(Inputs!$G$5:$G$110="acoes"))*Inputs!$B$1+((Inputs!$G$5:$G$110&lt;&gt;"moeda")*(Inputs!$G$5:$G$110&lt;&gt;"acoes")))*INDEX(Inputs!$K$5:$AJ$110,0,MATCH(E$2,Inputs!$K$4:$AJ$4,0)))+SUMPRODUCT((Inputs!$C$5:$C$110=$B57)*Inputs!$D$5:$D$110*(((Inputs!$G$5:$G$110="moeda")+(Inputs!$G$5:$G$110="acoes"))*Inputs!$B$1+((Inputs!$G$5:$G$110&lt;&gt;"moeda")*(Inputs!$G$5:$G$110&lt;&gt;"acoes")))*INDEX(Inputs!$K$5:$AJ$110,0,MATCH(E$2,Inputs!$K$4:$AJ$4,0)))+SUMPRODUCT((Inputs!$E$5:$E$110=$B57)*Inputs!$F$5:$F$110*(((Inputs!$G$5:$G$110="moeda")+(Inputs!$G$5:$G$110="acoes"))*Inputs!$B$1+((Inputs!$G$5:$G$110&lt;&gt;"moeda")*(Inputs!$G$5:$G$110&lt;&gt;"acoes")))*INDEX(Inputs!$K$5:$AJ$110,0,MATCH(E$2,Inputs!$K$4:$AJ$4,0)))))</f>
        <v>57067</v>
      </c>
      <c r="F57" s="263">
        <f>IF(ISNA(MATCH(F$2,Inputs!$K$4:$AJ$4,0)),NA(),IF(SUMPRODUCT((Inputs!$A$5:$A$110=$B57)*ISNUMBER(INDEX(Inputs!$K$5:$AJ$110,0,MATCH(F$2,Inputs!$K$4:$AJ$4,0))))+SUMPRODUCT((Inputs!$C$5:$C$110=$B57)*ISNUMBER(INDEX(Inputs!$K$5:$AJ$110,0,MATCH(F$2,Inputs!$K$4:$AJ$4,0))))+SUMPRODUCT((Inputs!$E$5:$E$110=$B57)*ISNUMBER(INDEX(Inputs!$K$5:$AJ$110,0,MATCH(F$2,Inputs!$K$4:$AJ$4,0))))=0,NA(),SUMPRODUCT((Inputs!$A$5:$A$110=$B57)*Inputs!$B$5:$B$110*(((Inputs!$G$5:$G$110="moeda")+(Inputs!$G$5:$G$110="acoes"))*Inputs!$B$1+((Inputs!$G$5:$G$110&lt;&gt;"moeda")*(Inputs!$G$5:$G$110&lt;&gt;"acoes")))*INDEX(Inputs!$K$5:$AJ$110,0,MATCH(F$2,Inputs!$K$4:$AJ$4,0)))+SUMPRODUCT((Inputs!$C$5:$C$110=$B57)*Inputs!$D$5:$D$110*(((Inputs!$G$5:$G$110="moeda")+(Inputs!$G$5:$G$110="acoes"))*Inputs!$B$1+((Inputs!$G$5:$G$110&lt;&gt;"moeda")*(Inputs!$G$5:$G$110&lt;&gt;"acoes")))*INDEX(Inputs!$K$5:$AJ$110,0,MATCH(F$2,Inputs!$K$4:$AJ$4,0)))+SUMPRODUCT((Inputs!$E$5:$E$110=$B57)*Inputs!$F$5:$F$110*(((Inputs!$G$5:$G$110="moeda")+(Inputs!$G$5:$G$110="acoes"))*Inputs!$B$1+((Inputs!$G$5:$G$110&lt;&gt;"moeda")*(Inputs!$G$5:$G$110&lt;&gt;"acoes")))*INDEX(Inputs!$K$5:$AJ$110,0,MATCH(F$2,Inputs!$K$4:$AJ$4,0)))))</f>
        <v>59884</v>
      </c>
      <c r="G57" s="263">
        <f>IF(ISNA(MATCH(G$2,Inputs!$K$4:$AJ$4,0)),NA(),IF(SUMPRODUCT((Inputs!$A$5:$A$110=$B57)*ISNUMBER(INDEX(Inputs!$K$5:$AJ$110,0,MATCH(G$2,Inputs!$K$4:$AJ$4,0))))+SUMPRODUCT((Inputs!$C$5:$C$110=$B57)*ISNUMBER(INDEX(Inputs!$K$5:$AJ$110,0,MATCH(G$2,Inputs!$K$4:$AJ$4,0))))+SUMPRODUCT((Inputs!$E$5:$E$110=$B57)*ISNUMBER(INDEX(Inputs!$K$5:$AJ$110,0,MATCH(G$2,Inputs!$K$4:$AJ$4,0))))=0,NA(),SUMPRODUCT((Inputs!$A$5:$A$110=$B57)*Inputs!$B$5:$B$110*(((Inputs!$G$5:$G$110="moeda")+(Inputs!$G$5:$G$110="acoes"))*Inputs!$B$1+((Inputs!$G$5:$G$110&lt;&gt;"moeda")*(Inputs!$G$5:$G$110&lt;&gt;"acoes")))*INDEX(Inputs!$K$5:$AJ$110,0,MATCH(G$2,Inputs!$K$4:$AJ$4,0)))+SUMPRODUCT((Inputs!$C$5:$C$110=$B57)*Inputs!$D$5:$D$110*(((Inputs!$G$5:$G$110="moeda")+(Inputs!$G$5:$G$110="acoes"))*Inputs!$B$1+((Inputs!$G$5:$G$110&lt;&gt;"moeda")*(Inputs!$G$5:$G$110&lt;&gt;"acoes")))*INDEX(Inputs!$K$5:$AJ$110,0,MATCH(G$2,Inputs!$K$4:$AJ$4,0)))+SUMPRODUCT((Inputs!$E$5:$E$110=$B57)*Inputs!$F$5:$F$110*(((Inputs!$G$5:$G$110="moeda")+(Inputs!$G$5:$G$110="acoes"))*Inputs!$B$1+((Inputs!$G$5:$G$110&lt;&gt;"moeda")*(Inputs!$G$5:$G$110&lt;&gt;"acoes")))*INDEX(Inputs!$K$5:$AJ$110,0,MATCH(G$2,Inputs!$K$4:$AJ$4,0)))))</f>
        <v>69400</v>
      </c>
      <c r="H57" s="264">
        <f>SUM(D57:G57)</f>
        <v>237529</v>
      </c>
      <c r="I57" s="263">
        <f>IF(ISNA(MATCH(I$2,Inputs!$K$4:$AJ$4,0)),NA(),IF(SUMPRODUCT((Inputs!$A$5:$A$110=$B57)*ISNUMBER(INDEX(Inputs!$K$5:$AJ$110,0,MATCH(I$2,Inputs!$K$4:$AJ$4,0))))+SUMPRODUCT((Inputs!$C$5:$C$110=$B57)*ISNUMBER(INDEX(Inputs!$K$5:$AJ$110,0,MATCH(I$2,Inputs!$K$4:$AJ$4,0))))+SUMPRODUCT((Inputs!$E$5:$E$110=$B57)*ISNUMBER(INDEX(Inputs!$K$5:$AJ$110,0,MATCH(I$2,Inputs!$K$4:$AJ$4,0))))=0,NA(),SUMPRODUCT((Inputs!$A$5:$A$110=$B57)*Inputs!$B$5:$B$110*(((Inputs!$G$5:$G$110="moeda")+(Inputs!$G$5:$G$110="acoes"))*Inputs!$B$1+((Inputs!$G$5:$G$110&lt;&gt;"moeda")*(Inputs!$G$5:$G$110&lt;&gt;"acoes")))*INDEX(Inputs!$K$5:$AJ$110,0,MATCH(I$2,Inputs!$K$4:$AJ$4,0)))+SUMPRODUCT((Inputs!$C$5:$C$110=$B57)*Inputs!$D$5:$D$110*(((Inputs!$G$5:$G$110="moeda")+(Inputs!$G$5:$G$110="acoes"))*Inputs!$B$1+((Inputs!$G$5:$G$110&lt;&gt;"moeda")*(Inputs!$G$5:$G$110&lt;&gt;"acoes")))*INDEX(Inputs!$K$5:$AJ$110,0,MATCH(I$2,Inputs!$K$4:$AJ$4,0)))+SUMPRODUCT((Inputs!$E$5:$E$110=$B57)*Inputs!$F$5:$F$110*(((Inputs!$G$5:$G$110="moeda")+(Inputs!$G$5:$G$110="acoes"))*Inputs!$B$1+((Inputs!$G$5:$G$110&lt;&gt;"moeda")*(Inputs!$G$5:$G$110&lt;&gt;"acoes")))*INDEX(Inputs!$K$5:$AJ$110,0,MATCH(I$2,Inputs!$K$4:$AJ$4,0)))))</f>
        <v>61472</v>
      </c>
      <c r="J57" s="263">
        <f>IF(ISNA(MATCH(J$2,Inputs!$K$4:$AJ$4,0)),NA(),IF(SUMPRODUCT((Inputs!$A$5:$A$110=$B57)*ISNUMBER(INDEX(Inputs!$K$5:$AJ$110,0,MATCH(J$2,Inputs!$K$4:$AJ$4,0))))+SUMPRODUCT((Inputs!$C$5:$C$110=$B57)*ISNUMBER(INDEX(Inputs!$K$5:$AJ$110,0,MATCH(J$2,Inputs!$K$4:$AJ$4,0))))+SUMPRODUCT((Inputs!$E$5:$E$110=$B57)*ISNUMBER(INDEX(Inputs!$K$5:$AJ$110,0,MATCH(J$2,Inputs!$K$4:$AJ$4,0))))=0,NA(),SUMPRODUCT((Inputs!$A$5:$A$110=$B57)*Inputs!$B$5:$B$110*(((Inputs!$G$5:$G$110="moeda")+(Inputs!$G$5:$G$110="acoes"))*Inputs!$B$1+((Inputs!$G$5:$G$110&lt;&gt;"moeda")*(Inputs!$G$5:$G$110&lt;&gt;"acoes")))*INDEX(Inputs!$K$5:$AJ$110,0,MATCH(J$2,Inputs!$K$4:$AJ$4,0)))+SUMPRODUCT((Inputs!$C$5:$C$110=$B57)*Inputs!$D$5:$D$110*(((Inputs!$G$5:$G$110="moeda")+(Inputs!$G$5:$G$110="acoes"))*Inputs!$B$1+((Inputs!$G$5:$G$110&lt;&gt;"moeda")*(Inputs!$G$5:$G$110&lt;&gt;"acoes")))*INDEX(Inputs!$K$5:$AJ$110,0,MATCH(J$2,Inputs!$K$4:$AJ$4,0)))+SUMPRODUCT((Inputs!$E$5:$E$110=$B57)*Inputs!$F$5:$F$110*(((Inputs!$G$5:$G$110="moeda")+(Inputs!$G$5:$G$110="acoes"))*Inputs!$B$1+((Inputs!$G$5:$G$110&lt;&gt;"moeda")*(Inputs!$G$5:$G$110&lt;&gt;"acoes")))*INDEX(Inputs!$K$5:$AJ$110,0,MATCH(J$2,Inputs!$K$4:$AJ$4,0)))))</f>
        <v>62841</v>
      </c>
      <c r="K57" s="263">
        <f>IF(ISNA(MATCH(K$2,Inputs!$K$4:$AJ$4,0)),NA(),IF(SUMPRODUCT((Inputs!$A$5:$A$110=$B57)*ISNUMBER(INDEX(Inputs!$K$5:$AJ$110,0,MATCH(K$2,Inputs!$K$4:$AJ$4,0))))+SUMPRODUCT((Inputs!$C$5:$C$110=$B57)*ISNUMBER(INDEX(Inputs!$K$5:$AJ$110,0,MATCH(K$2,Inputs!$K$4:$AJ$4,0))))+SUMPRODUCT((Inputs!$E$5:$E$110=$B57)*ISNUMBER(INDEX(Inputs!$K$5:$AJ$110,0,MATCH(K$2,Inputs!$K$4:$AJ$4,0))))=0,NA(),SUMPRODUCT((Inputs!$A$5:$A$110=$B57)*Inputs!$B$5:$B$110*(((Inputs!$G$5:$G$110="moeda")+(Inputs!$G$5:$G$110="acoes"))*Inputs!$B$1+((Inputs!$G$5:$G$110&lt;&gt;"moeda")*(Inputs!$G$5:$G$110&lt;&gt;"acoes")))*INDEX(Inputs!$K$5:$AJ$110,0,MATCH(K$2,Inputs!$K$4:$AJ$4,0)))+SUMPRODUCT((Inputs!$C$5:$C$110=$B57)*Inputs!$D$5:$D$110*(((Inputs!$G$5:$G$110="moeda")+(Inputs!$G$5:$G$110="acoes"))*Inputs!$B$1+((Inputs!$G$5:$G$110&lt;&gt;"moeda")*(Inputs!$G$5:$G$110&lt;&gt;"acoes")))*INDEX(Inputs!$K$5:$AJ$110,0,MATCH(K$2,Inputs!$K$4:$AJ$4,0)))+SUMPRODUCT((Inputs!$E$5:$E$110=$B57)*Inputs!$F$5:$F$110*(((Inputs!$G$5:$G$110="moeda")+(Inputs!$G$5:$G$110="acoes"))*Inputs!$B$1+((Inputs!$G$5:$G$110&lt;&gt;"moeda")*(Inputs!$G$5:$G$110&lt;&gt;"acoes")))*INDEX(Inputs!$K$5:$AJ$110,0,MATCH(K$2,Inputs!$K$4:$AJ$4,0)))))</f>
        <v>61377</v>
      </c>
      <c r="L57" s="263">
        <f>IF(ISNA(MATCH(L$2,Inputs!$K$4:$AJ$4,0)),NA(),IF(SUMPRODUCT((Inputs!$A$5:$A$110=$B57)*ISNUMBER(INDEX(Inputs!$K$5:$AJ$110,0,MATCH(L$2,Inputs!$K$4:$AJ$4,0))))+SUMPRODUCT((Inputs!$C$5:$C$110=$B57)*ISNUMBER(INDEX(Inputs!$K$5:$AJ$110,0,MATCH(L$2,Inputs!$K$4:$AJ$4,0))))+SUMPRODUCT((Inputs!$E$5:$E$110=$B57)*ISNUMBER(INDEX(Inputs!$K$5:$AJ$110,0,MATCH(L$2,Inputs!$K$4:$AJ$4,0))))=0,NA(),SUMPRODUCT((Inputs!$A$5:$A$110=$B57)*Inputs!$B$5:$B$110*(((Inputs!$G$5:$G$110="moeda")+(Inputs!$G$5:$G$110="acoes"))*Inputs!$B$1+((Inputs!$G$5:$G$110&lt;&gt;"moeda")*(Inputs!$G$5:$G$110&lt;&gt;"acoes")))*INDEX(Inputs!$K$5:$AJ$110,0,MATCH(L$2,Inputs!$K$4:$AJ$4,0)))+SUMPRODUCT((Inputs!$C$5:$C$110=$B57)*Inputs!$D$5:$D$110*(((Inputs!$G$5:$G$110="moeda")+(Inputs!$G$5:$G$110="acoes"))*Inputs!$B$1+((Inputs!$G$5:$G$110&lt;&gt;"moeda")*(Inputs!$G$5:$G$110&lt;&gt;"acoes")))*INDEX(Inputs!$K$5:$AJ$110,0,MATCH(L$2,Inputs!$K$4:$AJ$4,0)))+SUMPRODUCT((Inputs!$E$5:$E$110=$B57)*Inputs!$F$5:$F$110*(((Inputs!$G$5:$G$110="moeda")+(Inputs!$G$5:$G$110="acoes"))*Inputs!$B$1+((Inputs!$G$5:$G$110&lt;&gt;"moeda")*(Inputs!$G$5:$G$110&lt;&gt;"acoes")))*INDEX(Inputs!$K$5:$AJ$110,0,MATCH(L$2,Inputs!$K$4:$AJ$4,0)))))</f>
        <v>67838</v>
      </c>
      <c r="M57" s="264">
        <f>SUM(I57:L57)</f>
        <v>253528</v>
      </c>
      <c r="N57" s="263">
        <f>IF(ISNA(MATCH(N$2,Inputs!$K$4:$AJ$4,0)),NA(),IF(SUMPRODUCT((Inputs!$A$5:$A$110=$B57)*ISNUMBER(INDEX(Inputs!$K$5:$AJ$110,0,MATCH(N$2,Inputs!$K$4:$AJ$4,0))))+SUMPRODUCT((Inputs!$C$5:$C$110=$B57)*ISNUMBER(INDEX(Inputs!$K$5:$AJ$110,0,MATCH(N$2,Inputs!$K$4:$AJ$4,0))))+SUMPRODUCT((Inputs!$E$5:$E$110=$B57)*ISNUMBER(INDEX(Inputs!$K$5:$AJ$110,0,MATCH(N$2,Inputs!$K$4:$AJ$4,0))))=0,NA(),SUMPRODUCT((Inputs!$A$5:$A$110=$B57)*Inputs!$B$5:$B$110*(((Inputs!$G$5:$G$110="moeda")+(Inputs!$G$5:$G$110="acoes"))*Inputs!$B$1+((Inputs!$G$5:$G$110&lt;&gt;"moeda")*(Inputs!$G$5:$G$110&lt;&gt;"acoes")))*INDEX(Inputs!$K$5:$AJ$110,0,MATCH(N$2,Inputs!$K$4:$AJ$4,0)))+SUMPRODUCT((Inputs!$C$5:$C$110=$B57)*Inputs!$D$5:$D$110*(((Inputs!$G$5:$G$110="moeda")+(Inputs!$G$5:$G$110="acoes"))*Inputs!$B$1+((Inputs!$G$5:$G$110&lt;&gt;"moeda")*(Inputs!$G$5:$G$110&lt;&gt;"acoes")))*INDEX(Inputs!$K$5:$AJ$110,0,MATCH(N$2,Inputs!$K$4:$AJ$4,0)))+SUMPRODUCT((Inputs!$E$5:$E$110=$B57)*Inputs!$F$5:$F$110*(((Inputs!$G$5:$G$110="moeda")+(Inputs!$G$5:$G$110="acoes"))*Inputs!$B$1+((Inputs!$G$5:$G$110&lt;&gt;"moeda")*(Inputs!$G$5:$G$110&lt;&gt;"acoes")))*INDEX(Inputs!$K$5:$AJ$110,0,MATCH(N$2,Inputs!$K$4:$AJ$4,0)))))</f>
        <v>61961</v>
      </c>
      <c r="O57" s="263">
        <f>IF(ISNA(MATCH(O$2,Inputs!$K$4:$AJ$4,0)),NA(),IF(SUMPRODUCT((Inputs!$A$5:$A$110=$B57)*ISNUMBER(INDEX(Inputs!$K$5:$AJ$110,0,MATCH(O$2,Inputs!$K$4:$AJ$4,0))))+SUMPRODUCT((Inputs!$C$5:$C$110=$B57)*ISNUMBER(INDEX(Inputs!$K$5:$AJ$110,0,MATCH(O$2,Inputs!$K$4:$AJ$4,0))))+SUMPRODUCT((Inputs!$E$5:$E$110=$B57)*ISNUMBER(INDEX(Inputs!$K$5:$AJ$110,0,MATCH(O$2,Inputs!$K$4:$AJ$4,0))))=0,NA(),SUMPRODUCT((Inputs!$A$5:$A$110=$B57)*Inputs!$B$5:$B$110*(((Inputs!$G$5:$G$110="moeda")+(Inputs!$G$5:$G$110="acoes"))*Inputs!$B$1+((Inputs!$G$5:$G$110&lt;&gt;"moeda")*(Inputs!$G$5:$G$110&lt;&gt;"acoes")))*INDEX(Inputs!$K$5:$AJ$110,0,MATCH(O$2,Inputs!$K$4:$AJ$4,0)))+SUMPRODUCT((Inputs!$C$5:$C$110=$B57)*Inputs!$D$5:$D$110*(((Inputs!$G$5:$G$110="moeda")+(Inputs!$G$5:$G$110="acoes"))*Inputs!$B$1+((Inputs!$G$5:$G$110&lt;&gt;"moeda")*(Inputs!$G$5:$G$110&lt;&gt;"acoes")))*INDEX(Inputs!$K$5:$AJ$110,0,MATCH(O$2,Inputs!$K$4:$AJ$4,0)))+SUMPRODUCT((Inputs!$E$5:$E$110=$B57)*Inputs!$F$5:$F$110*(((Inputs!$G$5:$G$110="moeda")+(Inputs!$G$5:$G$110="acoes"))*Inputs!$B$1+((Inputs!$G$5:$G$110&lt;&gt;"moeda")*(Inputs!$G$5:$G$110&lt;&gt;"acoes")))*INDEX(Inputs!$K$5:$AJ$110,0,MATCH(O$2,Inputs!$K$4:$AJ$4,0)))))</f>
        <v>66285</v>
      </c>
      <c r="P57" s="263">
        <f>IF(ISNA(MATCH(P$2,Inputs!$K$4:$AJ$4,0)),NA(),IF(SUMPRODUCT((Inputs!$A$5:$A$110=$B57)*ISNUMBER(INDEX(Inputs!$K$5:$AJ$110,0,MATCH(P$2,Inputs!$K$4:$AJ$4,0))))+SUMPRODUCT((Inputs!$C$5:$C$110=$B57)*ISNUMBER(INDEX(Inputs!$K$5:$AJ$110,0,MATCH(P$2,Inputs!$K$4:$AJ$4,0))))+SUMPRODUCT((Inputs!$E$5:$E$110=$B57)*ISNUMBER(INDEX(Inputs!$K$5:$AJ$110,0,MATCH(P$2,Inputs!$K$4:$AJ$4,0))))=0,NA(),SUMPRODUCT((Inputs!$A$5:$A$110=$B57)*Inputs!$B$5:$B$110*(((Inputs!$G$5:$G$110="moeda")+(Inputs!$G$5:$G$110="acoes"))*Inputs!$B$1+((Inputs!$G$5:$G$110&lt;&gt;"moeda")*(Inputs!$G$5:$G$110&lt;&gt;"acoes")))*INDEX(Inputs!$K$5:$AJ$110,0,MATCH(P$2,Inputs!$K$4:$AJ$4,0)))+SUMPRODUCT((Inputs!$C$5:$C$110=$B57)*Inputs!$D$5:$D$110*(((Inputs!$G$5:$G$110="moeda")+(Inputs!$G$5:$G$110="acoes"))*Inputs!$B$1+((Inputs!$G$5:$G$110&lt;&gt;"moeda")*(Inputs!$G$5:$G$110&lt;&gt;"acoes")))*INDEX(Inputs!$K$5:$AJ$110,0,MATCH(P$2,Inputs!$K$4:$AJ$4,0)))+SUMPRODUCT((Inputs!$E$5:$E$110=$B57)*Inputs!$F$5:$F$110*(((Inputs!$G$5:$G$110="moeda")+(Inputs!$G$5:$G$110="acoes"))*Inputs!$B$1+((Inputs!$G$5:$G$110&lt;&gt;"moeda")*(Inputs!$G$5:$G$110&lt;&gt;"acoes")))*INDEX(Inputs!$K$5:$AJ$110,0,MATCH(P$2,Inputs!$K$4:$AJ$4,0)))))</f>
        <v>67986</v>
      </c>
      <c r="Q57" s="263">
        <f>IF(ISNA(MATCH(Q$2,Inputs!$K$4:$AJ$4,0)),NA(),IF(SUMPRODUCT((Inputs!$A$5:$A$110=$B57)*ISNUMBER(INDEX(Inputs!$K$5:$AJ$110,0,MATCH(Q$2,Inputs!$K$4:$AJ$4,0))))+SUMPRODUCT((Inputs!$C$5:$C$110=$B57)*ISNUMBER(INDEX(Inputs!$K$5:$AJ$110,0,MATCH(Q$2,Inputs!$K$4:$AJ$4,0))))+SUMPRODUCT((Inputs!$E$5:$E$110=$B57)*ISNUMBER(INDEX(Inputs!$K$5:$AJ$110,0,MATCH(Q$2,Inputs!$K$4:$AJ$4,0))))=0,NA(),SUMPRODUCT((Inputs!$A$5:$A$110=$B57)*Inputs!$B$5:$B$110*(((Inputs!$G$5:$G$110="moeda")+(Inputs!$G$5:$G$110="acoes"))*Inputs!$B$1+((Inputs!$G$5:$G$110&lt;&gt;"moeda")*(Inputs!$G$5:$G$110&lt;&gt;"acoes")))*INDEX(Inputs!$K$5:$AJ$110,0,MATCH(Q$2,Inputs!$K$4:$AJ$4,0)))+SUMPRODUCT((Inputs!$C$5:$C$110=$B57)*Inputs!$D$5:$D$110*(((Inputs!$G$5:$G$110="moeda")+(Inputs!$G$5:$G$110="acoes"))*Inputs!$B$1+((Inputs!$G$5:$G$110&lt;&gt;"moeda")*(Inputs!$G$5:$G$110&lt;&gt;"acoes")))*INDEX(Inputs!$K$5:$AJ$110,0,MATCH(Q$2,Inputs!$K$4:$AJ$4,0)))+SUMPRODUCT((Inputs!$E$5:$E$110=$B57)*Inputs!$F$5:$F$110*(((Inputs!$G$5:$G$110="moeda")+(Inputs!$G$5:$G$110="acoes"))*Inputs!$B$1+((Inputs!$G$5:$G$110&lt;&gt;"moeda")*(Inputs!$G$5:$G$110&lt;&gt;"acoes")))*INDEX(Inputs!$K$5:$AJ$110,0,MATCH(Q$2,Inputs!$K$4:$AJ$4,0)))))</f>
        <v>76311</v>
      </c>
      <c r="R57" s="264">
        <f>SUM(N57:Q57)</f>
        <v>272543</v>
      </c>
      <c r="S57" s="263">
        <f>IF(ISNA(MATCH(S$2,Inputs!$K$4:$AJ$4,0)),NA(),IF(SUMPRODUCT((Inputs!$A$5:$A$110=$B57)*ISNUMBER(INDEX(Inputs!$K$5:$AJ$110,0,MATCH(S$2,Inputs!$K$4:$AJ$4,0))))+SUMPRODUCT((Inputs!$C$5:$C$110=$B57)*ISNUMBER(INDEX(Inputs!$K$5:$AJ$110,0,MATCH(S$2,Inputs!$K$4:$AJ$4,0))))+SUMPRODUCT((Inputs!$E$5:$E$110=$B57)*ISNUMBER(INDEX(Inputs!$K$5:$AJ$110,0,MATCH(S$2,Inputs!$K$4:$AJ$4,0))))=0,NA(),SUMPRODUCT((Inputs!$A$5:$A$110=$B57)*Inputs!$B$5:$B$110*(((Inputs!$G$5:$G$110="moeda")+(Inputs!$G$5:$G$110="acoes"))*Inputs!$B$1+((Inputs!$G$5:$G$110&lt;&gt;"moeda")*(Inputs!$G$5:$G$110&lt;&gt;"acoes")))*INDEX(Inputs!$K$5:$AJ$110,0,MATCH(S$2,Inputs!$K$4:$AJ$4,0)))+SUMPRODUCT((Inputs!$C$5:$C$110=$B57)*Inputs!$D$5:$D$110*(((Inputs!$G$5:$G$110="moeda")+(Inputs!$G$5:$G$110="acoes"))*Inputs!$B$1+((Inputs!$G$5:$G$110&lt;&gt;"moeda")*(Inputs!$G$5:$G$110&lt;&gt;"acoes")))*INDEX(Inputs!$K$5:$AJ$110,0,MATCH(S$2,Inputs!$K$4:$AJ$4,0)))+SUMPRODUCT((Inputs!$E$5:$E$110=$B57)*Inputs!$F$5:$F$110*(((Inputs!$G$5:$G$110="moeda")+(Inputs!$G$5:$G$110="acoes"))*Inputs!$B$1+((Inputs!$G$5:$G$110&lt;&gt;"moeda")*(Inputs!$G$5:$G$110&lt;&gt;"acoes")))*INDEX(Inputs!$K$5:$AJ$110,0,MATCH(S$2,Inputs!$K$4:$AJ$4,0)))))</f>
        <v>70398</v>
      </c>
      <c r="T57" s="263">
        <f>IF(ISNA(MATCH(T$2,Inputs!$K$4:$AJ$4,0)),NA(),IF(SUMPRODUCT((Inputs!$A$5:$A$110=$B57)*ISNUMBER(INDEX(Inputs!$K$5:$AJ$110,0,MATCH(T$2,Inputs!$K$4:$AJ$4,0))))+SUMPRODUCT((Inputs!$C$5:$C$110=$B57)*ISNUMBER(INDEX(Inputs!$K$5:$AJ$110,0,MATCH(T$2,Inputs!$K$4:$AJ$4,0))))+SUMPRODUCT((Inputs!$E$5:$E$110=$B57)*ISNUMBER(INDEX(Inputs!$K$5:$AJ$110,0,MATCH(T$2,Inputs!$K$4:$AJ$4,0))))=0,NA(),SUMPRODUCT((Inputs!$A$5:$A$110=$B57)*Inputs!$B$5:$B$110*(((Inputs!$G$5:$G$110="moeda")+(Inputs!$G$5:$G$110="acoes"))*Inputs!$B$1+((Inputs!$G$5:$G$110&lt;&gt;"moeda")*(Inputs!$G$5:$G$110&lt;&gt;"acoes")))*INDEX(Inputs!$K$5:$AJ$110,0,MATCH(T$2,Inputs!$K$4:$AJ$4,0)))+SUMPRODUCT((Inputs!$C$5:$C$110=$B57)*Inputs!$D$5:$D$110*(((Inputs!$G$5:$G$110="moeda")+(Inputs!$G$5:$G$110="acoes"))*Inputs!$B$1+((Inputs!$G$5:$G$110&lt;&gt;"moeda")*(Inputs!$G$5:$G$110&lt;&gt;"acoes")))*INDEX(Inputs!$K$5:$AJ$110,0,MATCH(T$2,Inputs!$K$4:$AJ$4,0)))+SUMPRODUCT((Inputs!$E$5:$E$110=$B57)*Inputs!$F$5:$F$110*(((Inputs!$G$5:$G$110="moeda")+(Inputs!$G$5:$G$110="acoes"))*Inputs!$B$1+((Inputs!$G$5:$G$110&lt;&gt;"moeda")*(Inputs!$G$5:$G$110&lt;&gt;"acoes")))*INDEX(Inputs!$K$5:$AJ$110,0,MATCH(T$2,Inputs!$K$4:$AJ$4,0)))))</f>
        <v>73928</v>
      </c>
      <c r="U57" s="263">
        <f>IF(ISNA(MATCH(U$2,Inputs!$K$4:$AJ$4,0)),NA(),IF(SUMPRODUCT((Inputs!$A$5:$A$110=$B57)*ISNUMBER(INDEX(Inputs!$K$5:$AJ$110,0,MATCH(U$2,Inputs!$K$4:$AJ$4,0))))+SUMPRODUCT((Inputs!$C$5:$C$110=$B57)*ISNUMBER(INDEX(Inputs!$K$5:$AJ$110,0,MATCH(U$2,Inputs!$K$4:$AJ$4,0))))+SUMPRODUCT((Inputs!$E$5:$E$110=$B57)*ISNUMBER(INDEX(Inputs!$K$5:$AJ$110,0,MATCH(U$2,Inputs!$K$4:$AJ$4,0))))=0,NA(),SUMPRODUCT((Inputs!$A$5:$A$110=$B57)*Inputs!$B$5:$B$110*(((Inputs!$G$5:$G$110="moeda")+(Inputs!$G$5:$G$110="acoes"))*Inputs!$B$1+((Inputs!$G$5:$G$110&lt;&gt;"moeda")*(Inputs!$G$5:$G$110&lt;&gt;"acoes")))*INDEX(Inputs!$K$5:$AJ$110,0,MATCH(U$2,Inputs!$K$4:$AJ$4,0)))+SUMPRODUCT((Inputs!$C$5:$C$110=$B57)*Inputs!$D$5:$D$110*(((Inputs!$G$5:$G$110="moeda")+(Inputs!$G$5:$G$110="acoes"))*Inputs!$B$1+((Inputs!$G$5:$G$110&lt;&gt;"moeda")*(Inputs!$G$5:$G$110&lt;&gt;"acoes")))*INDEX(Inputs!$K$5:$AJ$110,0,MATCH(U$2,Inputs!$K$4:$AJ$4,0)))+SUMPRODUCT((Inputs!$E$5:$E$110=$B57)*Inputs!$F$5:$F$110*(((Inputs!$G$5:$G$110="moeda")+(Inputs!$G$5:$G$110="acoes"))*Inputs!$B$1+((Inputs!$G$5:$G$110&lt;&gt;"moeda")*(Inputs!$G$5:$G$110&lt;&gt;"acoes")))*INDEX(Inputs!$K$5:$AJ$110,0,MATCH(U$2,Inputs!$K$4:$AJ$4,0)))))</f>
        <v>76510</v>
      </c>
      <c r="V57" s="263">
        <f>IF(ISNA(MATCH(V$2,Inputs!$K$4:$AJ$4,0)),NA(),IF(SUMPRODUCT((Inputs!$A$5:$A$110=$B57)*ISNUMBER(INDEX(Inputs!$K$5:$AJ$110,0,MATCH(V$2,Inputs!$K$4:$AJ$4,0))))+SUMPRODUCT((Inputs!$C$5:$C$110=$B57)*ISNUMBER(INDEX(Inputs!$K$5:$AJ$110,0,MATCH(V$2,Inputs!$K$4:$AJ$4,0))))+SUMPRODUCT((Inputs!$E$5:$E$110=$B57)*ISNUMBER(INDEX(Inputs!$K$5:$AJ$110,0,MATCH(V$2,Inputs!$K$4:$AJ$4,0))))=0,NA(),SUMPRODUCT((Inputs!$A$5:$A$110=$B57)*Inputs!$B$5:$B$110*(((Inputs!$G$5:$G$110="moeda")+(Inputs!$G$5:$G$110="acoes"))*Inputs!$B$1+((Inputs!$G$5:$G$110&lt;&gt;"moeda")*(Inputs!$G$5:$G$110&lt;&gt;"acoes")))*INDEX(Inputs!$K$5:$AJ$110,0,MATCH(V$2,Inputs!$K$4:$AJ$4,0)))+SUMPRODUCT((Inputs!$C$5:$C$110=$B57)*Inputs!$D$5:$D$110*(((Inputs!$G$5:$G$110="moeda")+(Inputs!$G$5:$G$110="acoes"))*Inputs!$B$1+((Inputs!$G$5:$G$110&lt;&gt;"moeda")*(Inputs!$G$5:$G$110&lt;&gt;"acoes")))*INDEX(Inputs!$K$5:$AJ$110,0,MATCH(V$2,Inputs!$K$4:$AJ$4,0)))+SUMPRODUCT((Inputs!$E$5:$E$110=$B57)*Inputs!$F$5:$F$110*(((Inputs!$G$5:$G$110="moeda")+(Inputs!$G$5:$G$110="acoes"))*Inputs!$B$1+((Inputs!$G$5:$G$110&lt;&gt;"moeda")*(Inputs!$G$5:$G$110&lt;&gt;"acoes")))*INDEX(Inputs!$K$5:$AJ$110,0,MATCH(V$2,Inputs!$K$4:$AJ$4,0)))))</f>
        <v>84094</v>
      </c>
      <c r="W57" s="264">
        <f>SUM(S57:V57)</f>
        <v>304930</v>
      </c>
      <c r="X57" s="263">
        <f>IF(ISNA(MATCH(X$2,Inputs!$K$4:$AJ$4,0)),NA(),IF(SUMPRODUCT((Inputs!$A$5:$A$110=$B57)*ISNUMBER(INDEX(Inputs!$K$5:$AJ$110,0,MATCH(X$2,Inputs!$K$4:$AJ$4,0))))+SUMPRODUCT((Inputs!$C$5:$C$110=$B57)*ISNUMBER(INDEX(Inputs!$K$5:$AJ$110,0,MATCH(X$2,Inputs!$K$4:$AJ$4,0))))+SUMPRODUCT((Inputs!$E$5:$E$110=$B57)*ISNUMBER(INDEX(Inputs!$K$5:$AJ$110,0,MATCH(X$2,Inputs!$K$4:$AJ$4,0))))=0,NA(),SUMPRODUCT((Inputs!$A$5:$A$110=$B57)*Inputs!$B$5:$B$110*(((Inputs!$G$5:$G$110="moeda")+(Inputs!$G$5:$G$110="acoes"))*Inputs!$B$1+((Inputs!$G$5:$G$110&lt;&gt;"moeda")*(Inputs!$G$5:$G$110&lt;&gt;"acoes")))*INDEX(Inputs!$K$5:$AJ$110,0,MATCH(X$2,Inputs!$K$4:$AJ$4,0)))+SUMPRODUCT((Inputs!$C$5:$C$110=$B57)*Inputs!$D$5:$D$110*(((Inputs!$G$5:$G$110="moeda")+(Inputs!$G$5:$G$110="acoes"))*Inputs!$B$1+((Inputs!$G$5:$G$110&lt;&gt;"moeda")*(Inputs!$G$5:$G$110&lt;&gt;"acoes")))*INDEX(Inputs!$K$5:$AJ$110,0,MATCH(X$2,Inputs!$K$4:$AJ$4,0)))+SUMPRODUCT((Inputs!$E$5:$E$110=$B57)*Inputs!$F$5:$F$110*(((Inputs!$G$5:$G$110="moeda")+(Inputs!$G$5:$G$110="acoes"))*Inputs!$B$1+((Inputs!$G$5:$G$110&lt;&gt;"moeda")*(Inputs!$G$5:$G$110&lt;&gt;"acoes")))*INDEX(Inputs!$K$5:$AJ$110,0,MATCH(X$2,Inputs!$K$4:$AJ$4,0)))))</f>
        <v>77264</v>
      </c>
      <c r="Y57" s="263">
        <f>IF(ISNA(MATCH(Y$2,Inputs!$K$4:$AJ$4,0)),NA(),IF(SUMPRODUCT((Inputs!$A$5:$A$110=$B57)*ISNUMBER(INDEX(Inputs!$K$5:$AJ$110,0,MATCH(Y$2,Inputs!$K$4:$AJ$4,0))))+SUMPRODUCT((Inputs!$C$5:$C$110=$B57)*ISNUMBER(INDEX(Inputs!$K$5:$AJ$110,0,MATCH(Y$2,Inputs!$K$4:$AJ$4,0))))+SUMPRODUCT((Inputs!$E$5:$E$110=$B57)*ISNUMBER(INDEX(Inputs!$K$5:$AJ$110,0,MATCH(Y$2,Inputs!$K$4:$AJ$4,0))))=0,NA(),SUMPRODUCT((Inputs!$A$5:$A$110=$B57)*Inputs!$B$5:$B$110*(((Inputs!$G$5:$G$110="moeda")+(Inputs!$G$5:$G$110="acoes"))*Inputs!$B$1+((Inputs!$G$5:$G$110&lt;&gt;"moeda")*(Inputs!$G$5:$G$110&lt;&gt;"acoes")))*INDEX(Inputs!$K$5:$AJ$110,0,MATCH(Y$2,Inputs!$K$4:$AJ$4,0)))+SUMPRODUCT((Inputs!$C$5:$C$110=$B57)*Inputs!$D$5:$D$110*(((Inputs!$G$5:$G$110="moeda")+(Inputs!$G$5:$G$110="acoes"))*Inputs!$B$1+((Inputs!$G$5:$G$110&lt;&gt;"moeda")*(Inputs!$G$5:$G$110&lt;&gt;"acoes")))*INDEX(Inputs!$K$5:$AJ$110,0,MATCH(Y$2,Inputs!$K$4:$AJ$4,0)))+SUMPRODUCT((Inputs!$E$5:$E$110=$B57)*Inputs!$F$5:$F$110*(((Inputs!$G$5:$G$110="moeda")+(Inputs!$G$5:$G$110="acoes"))*Inputs!$B$1+((Inputs!$G$5:$G$110&lt;&gt;"moeda")*(Inputs!$G$5:$G$110&lt;&gt;"acoes")))*INDEX(Inputs!$K$5:$AJ$110,0,MATCH(Y$2,Inputs!$K$4:$AJ$4,0)))))</f>
        <v>82543</v>
      </c>
      <c r="Z57" s="263">
        <f>IF(ISNA(MATCH(Z$2,Inputs!$K$4:$AJ$4,0)),NA(),IF(SUMPRODUCT((Inputs!$A$5:$A$110=$B57)*ISNUMBER(INDEX(Inputs!$K$5:$AJ$110,0,MATCH(Z$2,Inputs!$K$4:$AJ$4,0))))+SUMPRODUCT((Inputs!$C$5:$C$110=$B57)*ISNUMBER(INDEX(Inputs!$K$5:$AJ$110,0,MATCH(Z$2,Inputs!$K$4:$AJ$4,0))))+SUMPRODUCT((Inputs!$E$5:$E$110=$B57)*ISNUMBER(INDEX(Inputs!$K$5:$AJ$110,0,MATCH(Z$2,Inputs!$K$4:$AJ$4,0))))=0,NA(),SUMPRODUCT((Inputs!$A$5:$A$110=$B57)*Inputs!$B$5:$B$110*(((Inputs!$G$5:$G$110="moeda")+(Inputs!$G$5:$G$110="acoes"))*Inputs!$B$1+((Inputs!$G$5:$G$110&lt;&gt;"moeda")*(Inputs!$G$5:$G$110&lt;&gt;"acoes")))*INDEX(Inputs!$K$5:$AJ$110,0,MATCH(Z$2,Inputs!$K$4:$AJ$4,0)))+SUMPRODUCT((Inputs!$C$5:$C$110=$B57)*Inputs!$D$5:$D$110*(((Inputs!$G$5:$G$110="moeda")+(Inputs!$G$5:$G$110="acoes"))*Inputs!$B$1+((Inputs!$G$5:$G$110&lt;&gt;"moeda")*(Inputs!$G$5:$G$110&lt;&gt;"acoes")))*INDEX(Inputs!$K$5:$AJ$110,0,MATCH(Z$2,Inputs!$K$4:$AJ$4,0)))+SUMPRODUCT((Inputs!$E$5:$E$110=$B57)*Inputs!$F$5:$F$110*(((Inputs!$G$5:$G$110="moeda")+(Inputs!$G$5:$G$110="acoes"))*Inputs!$B$1+((Inputs!$G$5:$G$110&lt;&gt;"moeda")*(Inputs!$G$5:$G$110&lt;&gt;"acoes")))*INDEX(Inputs!$K$5:$AJ$110,0,MATCH(Z$2,Inputs!$K$4:$AJ$4,0)))))</f>
        <v>87052</v>
      </c>
      <c r="AA57" s="263">
        <f>IF(ISNA(MATCH(AA$2,Inputs!$K$4:$AJ$4,0)),NA(),IF(SUMPRODUCT((Inputs!$A$5:$A$110=$B57)*ISNUMBER(INDEX(Inputs!$K$5:$AJ$110,0,MATCH(AA$2,Inputs!$K$4:$AJ$4,0))))+SUMPRODUCT((Inputs!$C$5:$C$110=$B57)*ISNUMBER(INDEX(Inputs!$K$5:$AJ$110,0,MATCH(AA$2,Inputs!$K$4:$AJ$4,0))))+SUMPRODUCT((Inputs!$E$5:$E$110=$B57)*ISNUMBER(INDEX(Inputs!$K$5:$AJ$110,0,MATCH(AA$2,Inputs!$K$4:$AJ$4,0))))=0,NA(),SUMPRODUCT((Inputs!$A$5:$A$110=$B57)*Inputs!$B$5:$B$110*(((Inputs!$G$5:$G$110="moeda")+(Inputs!$G$5:$G$110="acoes"))*Inputs!$B$1+((Inputs!$G$5:$G$110&lt;&gt;"moeda")*(Inputs!$G$5:$G$110&lt;&gt;"acoes")))*INDEX(Inputs!$K$5:$AJ$110,0,MATCH(AA$2,Inputs!$K$4:$AJ$4,0)))+SUMPRODUCT((Inputs!$C$5:$C$110=$B57)*Inputs!$D$5:$D$110*(((Inputs!$G$5:$G$110="moeda")+(Inputs!$G$5:$G$110="acoes"))*Inputs!$B$1+((Inputs!$G$5:$G$110&lt;&gt;"moeda")*(Inputs!$G$5:$G$110&lt;&gt;"acoes")))*INDEX(Inputs!$K$5:$AJ$110,0,MATCH(AA$2,Inputs!$K$4:$AJ$4,0)))+SUMPRODUCT((Inputs!$E$5:$E$110=$B57)*Inputs!$F$5:$F$110*(((Inputs!$G$5:$G$110="moeda")+(Inputs!$G$5:$G$110="acoes"))*Inputs!$B$1+((Inputs!$G$5:$G$110&lt;&gt;"moeda")*(Inputs!$G$5:$G$110&lt;&gt;"acoes")))*INDEX(Inputs!$K$5:$AJ$110,0,MATCH(AA$2,Inputs!$K$4:$AJ$4,0)))))</f>
        <v>95862</v>
      </c>
      <c r="AB57" s="264">
        <f>SUM(X57:AA57)</f>
        <v>342721</v>
      </c>
      <c r="AC57" s="263">
        <f>IF(ISNA(MATCH(AC$2,Inputs!$K$4:$AJ$4,0)),NA(),IF(SUMPRODUCT((Inputs!$A$5:$A$110=$B57)*ISNUMBER(INDEX(Inputs!$K$5:$AJ$110,0,MATCH(AC$2,Inputs!$K$4:$AJ$4,0))))+SUMPRODUCT((Inputs!$C$5:$C$110=$B57)*ISNUMBER(INDEX(Inputs!$K$5:$AJ$110,0,MATCH(AC$2,Inputs!$K$4:$AJ$4,0))))+SUMPRODUCT((Inputs!$E$5:$E$110=$B57)*ISNUMBER(INDEX(Inputs!$K$5:$AJ$110,0,MATCH(AC$2,Inputs!$K$4:$AJ$4,0))))=0,NA(),SUMPRODUCT((Inputs!$A$5:$A$110=$B57)*Inputs!$B$5:$B$110*(((Inputs!$G$5:$G$110="moeda")+(Inputs!$G$5:$G$110="acoes"))*Inputs!$B$1+((Inputs!$G$5:$G$110&lt;&gt;"moeda")*(Inputs!$G$5:$G$110&lt;&gt;"acoes")))*INDEX(Inputs!$K$5:$AJ$110,0,MATCH(AC$2,Inputs!$K$4:$AJ$4,0)))+SUMPRODUCT((Inputs!$C$5:$C$110=$B57)*Inputs!$D$5:$D$110*(((Inputs!$G$5:$G$110="moeda")+(Inputs!$G$5:$G$110="acoes"))*Inputs!$B$1+((Inputs!$G$5:$G$110&lt;&gt;"moeda")*(Inputs!$G$5:$G$110&lt;&gt;"acoes")))*INDEX(Inputs!$K$5:$AJ$110,0,MATCH(AC$2,Inputs!$K$4:$AJ$4,0)))+SUMPRODUCT((Inputs!$E$5:$E$110=$B57)*Inputs!$F$5:$F$110*(((Inputs!$G$5:$G$110="moeda")+(Inputs!$G$5:$G$110="acoes"))*Inputs!$B$1+((Inputs!$G$5:$G$110&lt;&gt;"moeda")*(Inputs!$G$5:$G$110&lt;&gt;"acoes")))*INDEX(Inputs!$K$5:$AJ$110,0,MATCH(AC$2,Inputs!$K$4:$AJ$4,0)))))</f>
        <v>89637</v>
      </c>
      <c r="AD57" s="263">
        <f>IF(ISNA(MATCH(AD$2,Inputs!$K$4:$AJ$4,0)),NA(),IF(SUMPRODUCT((Inputs!$A$5:$A$110=$B57)*ISNUMBER(INDEX(Inputs!$K$5:$AJ$110,0,MATCH(AD$2,Inputs!$K$4:$AJ$4,0))))+SUMPRODUCT((Inputs!$C$5:$C$110=$B57)*ISNUMBER(INDEX(Inputs!$K$5:$AJ$110,0,MATCH(AD$2,Inputs!$K$4:$AJ$4,0))))+SUMPRODUCT((Inputs!$E$5:$E$110=$B57)*ISNUMBER(INDEX(Inputs!$K$5:$AJ$110,0,MATCH(AD$2,Inputs!$K$4:$AJ$4,0))))=0,NA(),SUMPRODUCT((Inputs!$A$5:$A$110=$B57)*Inputs!$B$5:$B$110*(((Inputs!$G$5:$G$110="moeda")+(Inputs!$G$5:$G$110="acoes"))*Inputs!$B$1+((Inputs!$G$5:$G$110&lt;&gt;"moeda")*(Inputs!$G$5:$G$110&lt;&gt;"acoes")))*INDEX(Inputs!$K$5:$AJ$110,0,MATCH(AD$2,Inputs!$K$4:$AJ$4,0)))+SUMPRODUCT((Inputs!$C$5:$C$110=$B57)*Inputs!$D$5:$D$110*(((Inputs!$G$5:$G$110="moeda")+(Inputs!$G$5:$G$110="acoes"))*Inputs!$B$1+((Inputs!$G$5:$G$110&lt;&gt;"moeda")*(Inputs!$G$5:$G$110&lt;&gt;"acoes")))*INDEX(Inputs!$K$5:$AJ$110,0,MATCH(AD$2,Inputs!$K$4:$AJ$4,0)))+SUMPRODUCT((Inputs!$E$5:$E$110=$B57)*Inputs!$F$5:$F$110*(((Inputs!$G$5:$G$110="moeda")+(Inputs!$G$5:$G$110="acoes"))*Inputs!$B$1+((Inputs!$G$5:$G$110&lt;&gt;"moeda")*(Inputs!$G$5:$G$110&lt;&gt;"acoes")))*INDEX(Inputs!$K$5:$AJ$110,0,MATCH(AD$2,Inputs!$K$4:$AJ$4,0)))))</f>
        <v>94540</v>
      </c>
      <c r="AE57" s="263" t="e">
        <f>IF(ISNA(MATCH(AE$2,Inputs!$K$4:$AJ$4,0)),NA(),IF(SUMPRODUCT((Inputs!$A$5:$A$110=$B57)*ISNUMBER(INDEX(Inputs!$K$5:$AJ$110,0,MATCH(AE$2,Inputs!$K$4:$AJ$4,0))))+SUMPRODUCT((Inputs!$C$5:$C$110=$B57)*ISNUMBER(INDEX(Inputs!$K$5:$AJ$110,0,MATCH(AE$2,Inputs!$K$4:$AJ$4,0))))+SUMPRODUCT((Inputs!$E$5:$E$110=$B57)*ISNUMBER(INDEX(Inputs!$K$5:$AJ$110,0,MATCH(AE$2,Inputs!$K$4:$AJ$4,0))))=0,NA(),SUMPRODUCT((Inputs!$A$5:$A$110=$B57)*Inputs!$B$5:$B$110*(((Inputs!$G$5:$G$110="moeda")+(Inputs!$G$5:$G$110="acoes"))*Inputs!$B$1+((Inputs!$G$5:$G$110&lt;&gt;"moeda")*(Inputs!$G$5:$G$110&lt;&gt;"acoes")))*INDEX(Inputs!$K$5:$AJ$110,0,MATCH(AE$2,Inputs!$K$4:$AJ$4,0)))+SUMPRODUCT((Inputs!$C$5:$C$110=$B57)*Inputs!$D$5:$D$110*(((Inputs!$G$5:$G$110="moeda")+(Inputs!$G$5:$G$110="acoes"))*Inputs!$B$1+((Inputs!$G$5:$G$110&lt;&gt;"moeda")*(Inputs!$G$5:$G$110&lt;&gt;"acoes")))*INDEX(Inputs!$K$5:$AJ$110,0,MATCH(AE$2,Inputs!$K$4:$AJ$4,0)))+SUMPRODUCT((Inputs!$E$5:$E$110=$B57)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7" s="263" t="e">
        <f>IF(ISNA(MATCH(AF$2,Inputs!$K$4:$AJ$4,0)),NA(),IF(SUMPRODUCT((Inputs!$A$5:$A$110=$B57)*ISNUMBER(INDEX(Inputs!$K$5:$AJ$110,0,MATCH(AF$2,Inputs!$K$4:$AJ$4,0))))+SUMPRODUCT((Inputs!$C$5:$C$110=$B57)*ISNUMBER(INDEX(Inputs!$K$5:$AJ$110,0,MATCH(AF$2,Inputs!$K$4:$AJ$4,0))))+SUMPRODUCT((Inputs!$E$5:$E$110=$B57)*ISNUMBER(INDEX(Inputs!$K$5:$AJ$110,0,MATCH(AF$2,Inputs!$K$4:$AJ$4,0))))=0,NA(),SUMPRODUCT((Inputs!$A$5:$A$110=$B57)*Inputs!$B$5:$B$110*(((Inputs!$G$5:$G$110="moeda")+(Inputs!$G$5:$G$110="acoes"))*Inputs!$B$1+((Inputs!$G$5:$G$110&lt;&gt;"moeda")*(Inputs!$G$5:$G$110&lt;&gt;"acoes")))*INDEX(Inputs!$K$5:$AJ$110,0,MATCH(AF$2,Inputs!$K$4:$AJ$4,0)))+SUMPRODUCT((Inputs!$C$5:$C$110=$B57)*Inputs!$D$5:$D$110*(((Inputs!$G$5:$G$110="moeda")+(Inputs!$G$5:$G$110="acoes"))*Inputs!$B$1+((Inputs!$G$5:$G$110&lt;&gt;"moeda")*(Inputs!$G$5:$G$110&lt;&gt;"acoes")))*INDEX(Inputs!$K$5:$AJ$110,0,MATCH(AF$2,Inputs!$K$4:$AJ$4,0)))+SUMPRODUCT((Inputs!$E$5:$E$110=$B57)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7" s="264" t="e">
        <f>SUM(AC57:AF57)</f>
        <v>#N/A</v>
      </c>
      <c r="AH57" s="263">
        <f>IF(ISNA(MATCH(AH$2,Inputs!$K$4:$AJ$4,0)),NA(),IF(SUMPRODUCT((Inputs!$A$5:$A$110=$B57)*ISNUMBER(INDEX(Inputs!$K$5:$AJ$110,0,MATCH(AH$2,Inputs!$K$4:$AJ$4,0))))+SUMPRODUCT((Inputs!$C$5:$C$110=$B57)*ISNUMBER(INDEX(Inputs!$K$5:$AJ$110,0,MATCH(AH$2,Inputs!$K$4:$AJ$4,0))))+SUMPRODUCT((Inputs!$E$5:$E$110=$B57)*ISNUMBER(INDEX(Inputs!$K$5:$AJ$110,0,MATCH(AH$2,Inputs!$K$4:$AJ$4,0))))=0,NA(),SUMPRODUCT((Inputs!$A$5:$A$110=$B57)*Inputs!$B$5:$B$110*(((Inputs!$G$5:$G$110="moeda")+(Inputs!$G$5:$G$110="acoes"))*Inputs!$B$1+((Inputs!$G$5:$G$110&lt;&gt;"moeda")*(Inputs!$G$5:$G$110&lt;&gt;"acoes")))*INDEX(Inputs!$K$5:$AJ$110,0,MATCH(AH$2,Inputs!$K$4:$AJ$4,0)))+SUMPRODUCT((Inputs!$C$5:$C$110=$B57)*Inputs!$D$5:$D$110*(((Inputs!$G$5:$G$110="moeda")+(Inputs!$G$5:$G$110="acoes"))*Inputs!$B$1+((Inputs!$G$5:$G$110&lt;&gt;"moeda")*(Inputs!$G$5:$G$110&lt;&gt;"acoes")))*INDEX(Inputs!$K$5:$AJ$110,0,MATCH(AH$2,Inputs!$K$4:$AJ$4,0)))+SUMPRODUCT((Inputs!$E$5:$E$110=$B57)*Inputs!$F$5:$F$110*(((Inputs!$G$5:$G$110="moeda")+(Inputs!$G$5:$G$110="acoes"))*Inputs!$B$1+((Inputs!$G$5:$G$110&lt;&gt;"moeda")*(Inputs!$G$5:$G$110&lt;&gt;"acoes")))*INDEX(Inputs!$K$5:$AJ$110,0,MATCH(AH$2,Inputs!$K$4:$AJ$4,0)))))</f>
        <v>38198</v>
      </c>
      <c r="AI57" s="263">
        <f>IF(ISNA(MATCH(AI$2,Inputs!$K$4:$AJ$4,0)),NA(),IF(SUMPRODUCT((Inputs!$A$5:$A$110=$B57)*ISNUMBER(INDEX(Inputs!$K$5:$AJ$110,0,MATCH(AI$2,Inputs!$K$4:$AJ$4,0))))+SUMPRODUCT((Inputs!$C$5:$C$110=$B57)*ISNUMBER(INDEX(Inputs!$K$5:$AJ$110,0,MATCH(AI$2,Inputs!$K$4:$AJ$4,0))))+SUMPRODUCT((Inputs!$E$5:$E$110=$B57)*ISNUMBER(INDEX(Inputs!$K$5:$AJ$110,0,MATCH(AI$2,Inputs!$K$4:$AJ$4,0))))=0,NA(),SUMPRODUCT((Inputs!$A$5:$A$110=$B57)*Inputs!$B$5:$B$110*(((Inputs!$G$5:$G$110="moeda")+(Inputs!$G$5:$G$110="acoes"))*Inputs!$B$1+((Inputs!$G$5:$G$110&lt;&gt;"moeda")*(Inputs!$G$5:$G$110&lt;&gt;"acoes")))*INDEX(Inputs!$K$5:$AJ$110,0,MATCH(AI$2,Inputs!$K$4:$AJ$4,0)))+SUMPRODUCT((Inputs!$C$5:$C$110=$B57)*Inputs!$D$5:$D$110*(((Inputs!$G$5:$G$110="moeda")+(Inputs!$G$5:$G$110="acoes"))*Inputs!$B$1+((Inputs!$G$5:$G$110&lt;&gt;"moeda")*(Inputs!$G$5:$G$110&lt;&gt;"acoes")))*INDEX(Inputs!$K$5:$AJ$110,0,MATCH(AI$2,Inputs!$K$4:$AJ$4,0)))+SUMPRODUCT((Inputs!$E$5:$E$110=$B57)*Inputs!$F$5:$F$110*(((Inputs!$G$5:$G$110="moeda")+(Inputs!$G$5:$G$110="acoes"))*Inputs!$B$1+((Inputs!$G$5:$G$110&lt;&gt;"moeda")*(Inputs!$G$5:$G$110&lt;&gt;"acoes")))*INDEX(Inputs!$K$5:$AJ$110,0,MATCH(AI$2,Inputs!$K$4:$AJ$4,0)))))</f>
        <v>34991</v>
      </c>
      <c r="AJ57" s="263">
        <f>IF(ISNA(MATCH(AJ$2,Inputs!$K$4:$AJ$4,0)),NA(),IF(SUMPRODUCT((Inputs!$A$5:$A$110=$B57)*ISNUMBER(INDEX(Inputs!$K$5:$AJ$110,0,MATCH(AJ$2,Inputs!$K$4:$AJ$4,0))))+SUMPRODUCT((Inputs!$C$5:$C$110=$B57)*ISNUMBER(INDEX(Inputs!$K$5:$AJ$110,0,MATCH(AJ$2,Inputs!$K$4:$AJ$4,0))))+SUMPRODUCT((Inputs!$E$5:$E$110=$B57)*ISNUMBER(INDEX(Inputs!$K$5:$AJ$110,0,MATCH(AJ$2,Inputs!$K$4:$AJ$4,0))))=0,NA(),SUMPRODUCT((Inputs!$A$5:$A$110=$B57)*Inputs!$B$5:$B$110*(((Inputs!$G$5:$G$110="moeda")+(Inputs!$G$5:$G$110="acoes"))*Inputs!$B$1+((Inputs!$G$5:$G$110&lt;&gt;"moeda")*(Inputs!$G$5:$G$110&lt;&gt;"acoes")))*INDEX(Inputs!$K$5:$AJ$110,0,MATCH(AJ$2,Inputs!$K$4:$AJ$4,0)))+SUMPRODUCT((Inputs!$C$5:$C$110=$B57)*Inputs!$D$5:$D$110*(((Inputs!$G$5:$G$110="moeda")+(Inputs!$G$5:$G$110="acoes"))*Inputs!$B$1+((Inputs!$G$5:$G$110&lt;&gt;"moeda")*(Inputs!$G$5:$G$110&lt;&gt;"acoes")))*INDEX(Inputs!$K$5:$AJ$110,0,MATCH(AJ$2,Inputs!$K$4:$AJ$4,0)))+SUMPRODUCT((Inputs!$E$5:$E$110=$B57)*Inputs!$F$5:$F$110*(((Inputs!$G$5:$G$110="moeda")+(Inputs!$G$5:$G$110="acoes"))*Inputs!$B$1+((Inputs!$G$5:$G$110&lt;&gt;"moeda")*(Inputs!$G$5:$G$110&lt;&gt;"acoes")))*INDEX(Inputs!$K$5:$AJ$110,0,MATCH(AJ$2,Inputs!$K$4:$AJ$4,0)))))</f>
        <v>42573</v>
      </c>
      <c r="AK57" s="263">
        <f>IF(ISNA(MATCH(AK$2,Inputs!$K$4:$AJ$4,0)),NA(),IF(SUMPRODUCT((Inputs!$A$5:$A$110=$B57)*ISNUMBER(INDEX(Inputs!$K$5:$AJ$110,0,MATCH(AK$2,Inputs!$K$4:$AJ$4,0))))+SUMPRODUCT((Inputs!$C$5:$C$110=$B57)*ISNUMBER(INDEX(Inputs!$K$5:$AJ$110,0,MATCH(AK$2,Inputs!$K$4:$AJ$4,0))))+SUMPRODUCT((Inputs!$E$5:$E$110=$B57)*ISNUMBER(INDEX(Inputs!$K$5:$AJ$110,0,MATCH(AK$2,Inputs!$K$4:$AJ$4,0))))=0,NA(),SUMPRODUCT((Inputs!$A$5:$A$110=$B57)*Inputs!$B$5:$B$110*(((Inputs!$G$5:$G$110="moeda")+(Inputs!$G$5:$G$110="acoes"))*Inputs!$B$1+((Inputs!$G$5:$G$110&lt;&gt;"moeda")*(Inputs!$G$5:$G$110&lt;&gt;"acoes")))*INDEX(Inputs!$K$5:$AJ$110,0,MATCH(AK$2,Inputs!$K$4:$AJ$4,0)))+SUMPRODUCT((Inputs!$C$5:$C$110=$B57)*Inputs!$D$5:$D$110*(((Inputs!$G$5:$G$110="moeda")+(Inputs!$G$5:$G$110="acoes"))*Inputs!$B$1+((Inputs!$G$5:$G$110&lt;&gt;"moeda")*(Inputs!$G$5:$G$110&lt;&gt;"acoes")))*INDEX(Inputs!$K$5:$AJ$110,0,MATCH(AK$2,Inputs!$K$4:$AJ$4,0)))+SUMPRODUCT((Inputs!$E$5:$E$110=$B57)*Inputs!$F$5:$F$110*(((Inputs!$G$5:$G$110="moeda")+(Inputs!$G$5:$G$110="acoes"))*Inputs!$B$1+((Inputs!$G$5:$G$110&lt;&gt;"moeda")*(Inputs!$G$5:$G$110&lt;&gt;"acoes")))*INDEX(Inputs!$K$5:$AJ$110,0,MATCH(AK$2,Inputs!$K$4:$AJ$4,0)))))</f>
        <v>52873</v>
      </c>
      <c r="AL57" s="264">
        <f>SUM(AH57:AK57)</f>
        <v>168635</v>
      </c>
    </row>
    <row r="58">
      <c r="B58" s="46" t="n">
        <v>50</v>
      </c>
      <c r="C58" s="29" t="inlineStr">
        <is>
          <t>Segmento Google Cloud - receita (USD)</t>
        </is>
      </c>
      <c r="D58" s="263">
        <f>IF(ISNA(MATCH(D$2,Inputs!$K$4:$AJ$4,0)),NA(),IF(SUMPRODUCT((Inputs!$A$5:$A$110=$B58)*ISNUMBER(INDEX(Inputs!$K$5:$AJ$110,0,MATCH(D$2,Inputs!$K$4:$AJ$4,0))))+SUMPRODUCT((Inputs!$C$5:$C$110=$B58)*ISNUMBER(INDEX(Inputs!$K$5:$AJ$110,0,MATCH(D$2,Inputs!$K$4:$AJ$4,0))))+SUMPRODUCT((Inputs!$E$5:$E$110=$B58)*ISNUMBER(INDEX(Inputs!$K$5:$AJ$110,0,MATCH(D$2,Inputs!$K$4:$AJ$4,0))))=0,NA(),SUMPRODUCT((Inputs!$A$5:$A$110=$B58)*Inputs!$B$5:$B$110*(((Inputs!$G$5:$G$110="moeda")+(Inputs!$G$5:$G$110="acoes"))*Inputs!$B$1+((Inputs!$G$5:$G$110&lt;&gt;"moeda")*(Inputs!$G$5:$G$110&lt;&gt;"acoes")))*INDEX(Inputs!$K$5:$AJ$110,0,MATCH(D$2,Inputs!$K$4:$AJ$4,0)))+SUMPRODUCT((Inputs!$C$5:$C$110=$B58)*Inputs!$D$5:$D$110*(((Inputs!$G$5:$G$110="moeda")+(Inputs!$G$5:$G$110="acoes"))*Inputs!$B$1+((Inputs!$G$5:$G$110&lt;&gt;"moeda")*(Inputs!$G$5:$G$110&lt;&gt;"acoes")))*INDEX(Inputs!$K$5:$AJ$110,0,MATCH(D$2,Inputs!$K$4:$AJ$4,0)))+SUMPRODUCT((Inputs!$E$5:$E$110=$B58)*Inputs!$F$5:$F$110*(((Inputs!$G$5:$G$110="moeda")+(Inputs!$G$5:$G$110="acoes"))*Inputs!$B$1+((Inputs!$G$5:$G$110&lt;&gt;"moeda")*(Inputs!$G$5:$G$110&lt;&gt;"acoes")))*INDEX(Inputs!$K$5:$AJ$110,0,MATCH(D$2,Inputs!$K$4:$AJ$4,0)))))</f>
        <v>4047</v>
      </c>
      <c r="E58" s="263">
        <f>IF(ISNA(MATCH(E$2,Inputs!$K$4:$AJ$4,0)),NA(),IF(SUMPRODUCT((Inputs!$A$5:$A$110=$B58)*ISNUMBER(INDEX(Inputs!$K$5:$AJ$110,0,MATCH(E$2,Inputs!$K$4:$AJ$4,0))))+SUMPRODUCT((Inputs!$C$5:$C$110=$B58)*ISNUMBER(INDEX(Inputs!$K$5:$AJ$110,0,MATCH(E$2,Inputs!$K$4:$AJ$4,0))))+SUMPRODUCT((Inputs!$E$5:$E$110=$B58)*ISNUMBER(INDEX(Inputs!$K$5:$AJ$110,0,MATCH(E$2,Inputs!$K$4:$AJ$4,0))))=0,NA(),SUMPRODUCT((Inputs!$A$5:$A$110=$B58)*Inputs!$B$5:$B$110*(((Inputs!$G$5:$G$110="moeda")+(Inputs!$G$5:$G$110="acoes"))*Inputs!$B$1+((Inputs!$G$5:$G$110&lt;&gt;"moeda")*(Inputs!$G$5:$G$110&lt;&gt;"acoes")))*INDEX(Inputs!$K$5:$AJ$110,0,MATCH(E$2,Inputs!$K$4:$AJ$4,0)))+SUMPRODUCT((Inputs!$C$5:$C$110=$B58)*Inputs!$D$5:$D$110*(((Inputs!$G$5:$G$110="moeda")+(Inputs!$G$5:$G$110="acoes"))*Inputs!$B$1+((Inputs!$G$5:$G$110&lt;&gt;"moeda")*(Inputs!$G$5:$G$110&lt;&gt;"acoes")))*INDEX(Inputs!$K$5:$AJ$110,0,MATCH(E$2,Inputs!$K$4:$AJ$4,0)))+SUMPRODUCT((Inputs!$E$5:$E$110=$B58)*Inputs!$F$5:$F$110*(((Inputs!$G$5:$G$110="moeda")+(Inputs!$G$5:$G$110="acoes"))*Inputs!$B$1+((Inputs!$G$5:$G$110&lt;&gt;"moeda")*(Inputs!$G$5:$G$110&lt;&gt;"acoes")))*INDEX(Inputs!$K$5:$AJ$110,0,MATCH(E$2,Inputs!$K$4:$AJ$4,0)))))</f>
        <v>4628</v>
      </c>
      <c r="F58" s="263">
        <f>IF(ISNA(MATCH(F$2,Inputs!$K$4:$AJ$4,0)),NA(),IF(SUMPRODUCT((Inputs!$A$5:$A$110=$B58)*ISNUMBER(INDEX(Inputs!$K$5:$AJ$110,0,MATCH(F$2,Inputs!$K$4:$AJ$4,0))))+SUMPRODUCT((Inputs!$C$5:$C$110=$B58)*ISNUMBER(INDEX(Inputs!$K$5:$AJ$110,0,MATCH(F$2,Inputs!$K$4:$AJ$4,0))))+SUMPRODUCT((Inputs!$E$5:$E$110=$B58)*ISNUMBER(INDEX(Inputs!$K$5:$AJ$110,0,MATCH(F$2,Inputs!$K$4:$AJ$4,0))))=0,NA(),SUMPRODUCT((Inputs!$A$5:$A$110=$B58)*Inputs!$B$5:$B$110*(((Inputs!$G$5:$G$110="moeda")+(Inputs!$G$5:$G$110="acoes"))*Inputs!$B$1+((Inputs!$G$5:$G$110&lt;&gt;"moeda")*(Inputs!$G$5:$G$110&lt;&gt;"acoes")))*INDEX(Inputs!$K$5:$AJ$110,0,MATCH(F$2,Inputs!$K$4:$AJ$4,0)))+SUMPRODUCT((Inputs!$C$5:$C$110=$B58)*Inputs!$D$5:$D$110*(((Inputs!$G$5:$G$110="moeda")+(Inputs!$G$5:$G$110="acoes"))*Inputs!$B$1+((Inputs!$G$5:$G$110&lt;&gt;"moeda")*(Inputs!$G$5:$G$110&lt;&gt;"acoes")))*INDEX(Inputs!$K$5:$AJ$110,0,MATCH(F$2,Inputs!$K$4:$AJ$4,0)))+SUMPRODUCT((Inputs!$E$5:$E$110=$B58)*Inputs!$F$5:$F$110*(((Inputs!$G$5:$G$110="moeda")+(Inputs!$G$5:$G$110="acoes"))*Inputs!$B$1+((Inputs!$G$5:$G$110&lt;&gt;"moeda")*(Inputs!$G$5:$G$110&lt;&gt;"acoes")))*INDEX(Inputs!$K$5:$AJ$110,0,MATCH(F$2,Inputs!$K$4:$AJ$4,0)))))</f>
        <v>4990</v>
      </c>
      <c r="G58" s="263">
        <f>IF(ISNA(MATCH(G$2,Inputs!$K$4:$AJ$4,0)),NA(),IF(SUMPRODUCT((Inputs!$A$5:$A$110=$B58)*ISNUMBER(INDEX(Inputs!$K$5:$AJ$110,0,MATCH(G$2,Inputs!$K$4:$AJ$4,0))))+SUMPRODUCT((Inputs!$C$5:$C$110=$B58)*ISNUMBER(INDEX(Inputs!$K$5:$AJ$110,0,MATCH(G$2,Inputs!$K$4:$AJ$4,0))))+SUMPRODUCT((Inputs!$E$5:$E$110=$B58)*ISNUMBER(INDEX(Inputs!$K$5:$AJ$110,0,MATCH(G$2,Inputs!$K$4:$AJ$4,0))))=0,NA(),SUMPRODUCT((Inputs!$A$5:$A$110=$B58)*Inputs!$B$5:$B$110*(((Inputs!$G$5:$G$110="moeda")+(Inputs!$G$5:$G$110="acoes"))*Inputs!$B$1+((Inputs!$G$5:$G$110&lt;&gt;"moeda")*(Inputs!$G$5:$G$110&lt;&gt;"acoes")))*INDEX(Inputs!$K$5:$AJ$110,0,MATCH(G$2,Inputs!$K$4:$AJ$4,0)))+SUMPRODUCT((Inputs!$C$5:$C$110=$B58)*Inputs!$D$5:$D$110*(((Inputs!$G$5:$G$110="moeda")+(Inputs!$G$5:$G$110="acoes"))*Inputs!$B$1+((Inputs!$G$5:$G$110&lt;&gt;"moeda")*(Inputs!$G$5:$G$110&lt;&gt;"acoes")))*INDEX(Inputs!$K$5:$AJ$110,0,MATCH(G$2,Inputs!$K$4:$AJ$4,0)))+SUMPRODUCT((Inputs!$E$5:$E$110=$B58)*Inputs!$F$5:$F$110*(((Inputs!$G$5:$G$110="moeda")+(Inputs!$G$5:$G$110="acoes"))*Inputs!$B$1+((Inputs!$G$5:$G$110&lt;&gt;"moeda")*(Inputs!$G$5:$G$110&lt;&gt;"acoes")))*INDEX(Inputs!$K$5:$AJ$110,0,MATCH(G$2,Inputs!$K$4:$AJ$4,0)))))</f>
        <v>5541</v>
      </c>
      <c r="H58" s="264">
        <f>SUM(D58:G58)</f>
        <v>19206</v>
      </c>
      <c r="I58" s="263">
        <f>IF(ISNA(MATCH(I$2,Inputs!$K$4:$AJ$4,0)),NA(),IF(SUMPRODUCT((Inputs!$A$5:$A$110=$B58)*ISNUMBER(INDEX(Inputs!$K$5:$AJ$110,0,MATCH(I$2,Inputs!$K$4:$AJ$4,0))))+SUMPRODUCT((Inputs!$C$5:$C$110=$B58)*ISNUMBER(INDEX(Inputs!$K$5:$AJ$110,0,MATCH(I$2,Inputs!$K$4:$AJ$4,0))))+SUMPRODUCT((Inputs!$E$5:$E$110=$B58)*ISNUMBER(INDEX(Inputs!$K$5:$AJ$110,0,MATCH(I$2,Inputs!$K$4:$AJ$4,0))))=0,NA(),SUMPRODUCT((Inputs!$A$5:$A$110=$B58)*Inputs!$B$5:$B$110*(((Inputs!$G$5:$G$110="moeda")+(Inputs!$G$5:$G$110="acoes"))*Inputs!$B$1+((Inputs!$G$5:$G$110&lt;&gt;"moeda")*(Inputs!$G$5:$G$110&lt;&gt;"acoes")))*INDEX(Inputs!$K$5:$AJ$110,0,MATCH(I$2,Inputs!$K$4:$AJ$4,0)))+SUMPRODUCT((Inputs!$C$5:$C$110=$B58)*Inputs!$D$5:$D$110*(((Inputs!$G$5:$G$110="moeda")+(Inputs!$G$5:$G$110="acoes"))*Inputs!$B$1+((Inputs!$G$5:$G$110&lt;&gt;"moeda")*(Inputs!$G$5:$G$110&lt;&gt;"acoes")))*INDEX(Inputs!$K$5:$AJ$110,0,MATCH(I$2,Inputs!$K$4:$AJ$4,0)))+SUMPRODUCT((Inputs!$E$5:$E$110=$B58)*Inputs!$F$5:$F$110*(((Inputs!$G$5:$G$110="moeda")+(Inputs!$G$5:$G$110="acoes"))*Inputs!$B$1+((Inputs!$G$5:$G$110&lt;&gt;"moeda")*(Inputs!$G$5:$G$110&lt;&gt;"acoes")))*INDEX(Inputs!$K$5:$AJ$110,0,MATCH(I$2,Inputs!$K$4:$AJ$4,0)))))</f>
        <v>5821</v>
      </c>
      <c r="J58" s="263">
        <f>IF(ISNA(MATCH(J$2,Inputs!$K$4:$AJ$4,0)),NA(),IF(SUMPRODUCT((Inputs!$A$5:$A$110=$B58)*ISNUMBER(INDEX(Inputs!$K$5:$AJ$110,0,MATCH(J$2,Inputs!$K$4:$AJ$4,0))))+SUMPRODUCT((Inputs!$C$5:$C$110=$B58)*ISNUMBER(INDEX(Inputs!$K$5:$AJ$110,0,MATCH(J$2,Inputs!$K$4:$AJ$4,0))))+SUMPRODUCT((Inputs!$E$5:$E$110=$B58)*ISNUMBER(INDEX(Inputs!$K$5:$AJ$110,0,MATCH(J$2,Inputs!$K$4:$AJ$4,0))))=0,NA(),SUMPRODUCT((Inputs!$A$5:$A$110=$B58)*Inputs!$B$5:$B$110*(((Inputs!$G$5:$G$110="moeda")+(Inputs!$G$5:$G$110="acoes"))*Inputs!$B$1+((Inputs!$G$5:$G$110&lt;&gt;"moeda")*(Inputs!$G$5:$G$110&lt;&gt;"acoes")))*INDEX(Inputs!$K$5:$AJ$110,0,MATCH(J$2,Inputs!$K$4:$AJ$4,0)))+SUMPRODUCT((Inputs!$C$5:$C$110=$B58)*Inputs!$D$5:$D$110*(((Inputs!$G$5:$G$110="moeda")+(Inputs!$G$5:$G$110="acoes"))*Inputs!$B$1+((Inputs!$G$5:$G$110&lt;&gt;"moeda")*(Inputs!$G$5:$G$110&lt;&gt;"acoes")))*INDEX(Inputs!$K$5:$AJ$110,0,MATCH(J$2,Inputs!$K$4:$AJ$4,0)))+SUMPRODUCT((Inputs!$E$5:$E$110=$B58)*Inputs!$F$5:$F$110*(((Inputs!$G$5:$G$110="moeda")+(Inputs!$G$5:$G$110="acoes"))*Inputs!$B$1+((Inputs!$G$5:$G$110&lt;&gt;"moeda")*(Inputs!$G$5:$G$110&lt;&gt;"acoes")))*INDEX(Inputs!$K$5:$AJ$110,0,MATCH(J$2,Inputs!$K$4:$AJ$4,0)))))</f>
        <v>6276</v>
      </c>
      <c r="K58" s="263">
        <f>IF(ISNA(MATCH(K$2,Inputs!$K$4:$AJ$4,0)),NA(),IF(SUMPRODUCT((Inputs!$A$5:$A$110=$B58)*ISNUMBER(INDEX(Inputs!$K$5:$AJ$110,0,MATCH(K$2,Inputs!$K$4:$AJ$4,0))))+SUMPRODUCT((Inputs!$C$5:$C$110=$B58)*ISNUMBER(INDEX(Inputs!$K$5:$AJ$110,0,MATCH(K$2,Inputs!$K$4:$AJ$4,0))))+SUMPRODUCT((Inputs!$E$5:$E$110=$B58)*ISNUMBER(INDEX(Inputs!$K$5:$AJ$110,0,MATCH(K$2,Inputs!$K$4:$AJ$4,0))))=0,NA(),SUMPRODUCT((Inputs!$A$5:$A$110=$B58)*Inputs!$B$5:$B$110*(((Inputs!$G$5:$G$110="moeda")+(Inputs!$G$5:$G$110="acoes"))*Inputs!$B$1+((Inputs!$G$5:$G$110&lt;&gt;"moeda")*(Inputs!$G$5:$G$110&lt;&gt;"acoes")))*INDEX(Inputs!$K$5:$AJ$110,0,MATCH(K$2,Inputs!$K$4:$AJ$4,0)))+SUMPRODUCT((Inputs!$C$5:$C$110=$B58)*Inputs!$D$5:$D$110*(((Inputs!$G$5:$G$110="moeda")+(Inputs!$G$5:$G$110="acoes"))*Inputs!$B$1+((Inputs!$G$5:$G$110&lt;&gt;"moeda")*(Inputs!$G$5:$G$110&lt;&gt;"acoes")))*INDEX(Inputs!$K$5:$AJ$110,0,MATCH(K$2,Inputs!$K$4:$AJ$4,0)))+SUMPRODUCT((Inputs!$E$5:$E$110=$B58)*Inputs!$F$5:$F$110*(((Inputs!$G$5:$G$110="moeda")+(Inputs!$G$5:$G$110="acoes"))*Inputs!$B$1+((Inputs!$G$5:$G$110&lt;&gt;"moeda")*(Inputs!$G$5:$G$110&lt;&gt;"acoes")))*INDEX(Inputs!$K$5:$AJ$110,0,MATCH(K$2,Inputs!$K$4:$AJ$4,0)))))</f>
        <v>6868</v>
      </c>
      <c r="L58" s="263">
        <f>IF(ISNA(MATCH(L$2,Inputs!$K$4:$AJ$4,0)),NA(),IF(SUMPRODUCT((Inputs!$A$5:$A$110=$B58)*ISNUMBER(INDEX(Inputs!$K$5:$AJ$110,0,MATCH(L$2,Inputs!$K$4:$AJ$4,0))))+SUMPRODUCT((Inputs!$C$5:$C$110=$B58)*ISNUMBER(INDEX(Inputs!$K$5:$AJ$110,0,MATCH(L$2,Inputs!$K$4:$AJ$4,0))))+SUMPRODUCT((Inputs!$E$5:$E$110=$B58)*ISNUMBER(INDEX(Inputs!$K$5:$AJ$110,0,MATCH(L$2,Inputs!$K$4:$AJ$4,0))))=0,NA(),SUMPRODUCT((Inputs!$A$5:$A$110=$B58)*Inputs!$B$5:$B$110*(((Inputs!$G$5:$G$110="moeda")+(Inputs!$G$5:$G$110="acoes"))*Inputs!$B$1+((Inputs!$G$5:$G$110&lt;&gt;"moeda")*(Inputs!$G$5:$G$110&lt;&gt;"acoes")))*INDEX(Inputs!$K$5:$AJ$110,0,MATCH(L$2,Inputs!$K$4:$AJ$4,0)))+SUMPRODUCT((Inputs!$C$5:$C$110=$B58)*Inputs!$D$5:$D$110*(((Inputs!$G$5:$G$110="moeda")+(Inputs!$G$5:$G$110="acoes"))*Inputs!$B$1+((Inputs!$G$5:$G$110&lt;&gt;"moeda")*(Inputs!$G$5:$G$110&lt;&gt;"acoes")))*INDEX(Inputs!$K$5:$AJ$110,0,MATCH(L$2,Inputs!$K$4:$AJ$4,0)))+SUMPRODUCT((Inputs!$E$5:$E$110=$B58)*Inputs!$F$5:$F$110*(((Inputs!$G$5:$G$110="moeda")+(Inputs!$G$5:$G$110="acoes"))*Inputs!$B$1+((Inputs!$G$5:$G$110&lt;&gt;"moeda")*(Inputs!$G$5:$G$110&lt;&gt;"acoes")))*INDEX(Inputs!$K$5:$AJ$110,0,MATCH(L$2,Inputs!$K$4:$AJ$4,0)))))</f>
        <v>7315</v>
      </c>
      <c r="M58" s="264">
        <f>SUM(I58:L58)</f>
        <v>26280</v>
      </c>
      <c r="N58" s="263">
        <f>IF(ISNA(MATCH(N$2,Inputs!$K$4:$AJ$4,0)),NA(),IF(SUMPRODUCT((Inputs!$A$5:$A$110=$B58)*ISNUMBER(INDEX(Inputs!$K$5:$AJ$110,0,MATCH(N$2,Inputs!$K$4:$AJ$4,0))))+SUMPRODUCT((Inputs!$C$5:$C$110=$B58)*ISNUMBER(INDEX(Inputs!$K$5:$AJ$110,0,MATCH(N$2,Inputs!$K$4:$AJ$4,0))))+SUMPRODUCT((Inputs!$E$5:$E$110=$B58)*ISNUMBER(INDEX(Inputs!$K$5:$AJ$110,0,MATCH(N$2,Inputs!$K$4:$AJ$4,0))))=0,NA(),SUMPRODUCT((Inputs!$A$5:$A$110=$B58)*Inputs!$B$5:$B$110*(((Inputs!$G$5:$G$110="moeda")+(Inputs!$G$5:$G$110="acoes"))*Inputs!$B$1+((Inputs!$G$5:$G$110&lt;&gt;"moeda")*(Inputs!$G$5:$G$110&lt;&gt;"acoes")))*INDEX(Inputs!$K$5:$AJ$110,0,MATCH(N$2,Inputs!$K$4:$AJ$4,0)))+SUMPRODUCT((Inputs!$C$5:$C$110=$B58)*Inputs!$D$5:$D$110*(((Inputs!$G$5:$G$110="moeda")+(Inputs!$G$5:$G$110="acoes"))*Inputs!$B$1+((Inputs!$G$5:$G$110&lt;&gt;"moeda")*(Inputs!$G$5:$G$110&lt;&gt;"acoes")))*INDEX(Inputs!$K$5:$AJ$110,0,MATCH(N$2,Inputs!$K$4:$AJ$4,0)))+SUMPRODUCT((Inputs!$E$5:$E$110=$B58)*Inputs!$F$5:$F$110*(((Inputs!$G$5:$G$110="moeda")+(Inputs!$G$5:$G$110="acoes"))*Inputs!$B$1+((Inputs!$G$5:$G$110&lt;&gt;"moeda")*(Inputs!$G$5:$G$110&lt;&gt;"acoes")))*INDEX(Inputs!$K$5:$AJ$110,0,MATCH(N$2,Inputs!$K$4:$AJ$4,0)))))</f>
        <v>7454</v>
      </c>
      <c r="O58" s="263">
        <f>IF(ISNA(MATCH(O$2,Inputs!$K$4:$AJ$4,0)),NA(),IF(SUMPRODUCT((Inputs!$A$5:$A$110=$B58)*ISNUMBER(INDEX(Inputs!$K$5:$AJ$110,0,MATCH(O$2,Inputs!$K$4:$AJ$4,0))))+SUMPRODUCT((Inputs!$C$5:$C$110=$B58)*ISNUMBER(INDEX(Inputs!$K$5:$AJ$110,0,MATCH(O$2,Inputs!$K$4:$AJ$4,0))))+SUMPRODUCT((Inputs!$E$5:$E$110=$B58)*ISNUMBER(INDEX(Inputs!$K$5:$AJ$110,0,MATCH(O$2,Inputs!$K$4:$AJ$4,0))))=0,NA(),SUMPRODUCT((Inputs!$A$5:$A$110=$B58)*Inputs!$B$5:$B$110*(((Inputs!$G$5:$G$110="moeda")+(Inputs!$G$5:$G$110="acoes"))*Inputs!$B$1+((Inputs!$G$5:$G$110&lt;&gt;"moeda")*(Inputs!$G$5:$G$110&lt;&gt;"acoes")))*INDEX(Inputs!$K$5:$AJ$110,0,MATCH(O$2,Inputs!$K$4:$AJ$4,0)))+SUMPRODUCT((Inputs!$C$5:$C$110=$B58)*Inputs!$D$5:$D$110*(((Inputs!$G$5:$G$110="moeda")+(Inputs!$G$5:$G$110="acoes"))*Inputs!$B$1+((Inputs!$G$5:$G$110&lt;&gt;"moeda")*(Inputs!$G$5:$G$110&lt;&gt;"acoes")))*INDEX(Inputs!$K$5:$AJ$110,0,MATCH(O$2,Inputs!$K$4:$AJ$4,0)))+SUMPRODUCT((Inputs!$E$5:$E$110=$B58)*Inputs!$F$5:$F$110*(((Inputs!$G$5:$G$110="moeda")+(Inputs!$G$5:$G$110="acoes"))*Inputs!$B$1+((Inputs!$G$5:$G$110&lt;&gt;"moeda")*(Inputs!$G$5:$G$110&lt;&gt;"acoes")))*INDEX(Inputs!$K$5:$AJ$110,0,MATCH(O$2,Inputs!$K$4:$AJ$4,0)))))</f>
        <v>8031</v>
      </c>
      <c r="P58" s="263">
        <f>IF(ISNA(MATCH(P$2,Inputs!$K$4:$AJ$4,0)),NA(),IF(SUMPRODUCT((Inputs!$A$5:$A$110=$B58)*ISNUMBER(INDEX(Inputs!$K$5:$AJ$110,0,MATCH(P$2,Inputs!$K$4:$AJ$4,0))))+SUMPRODUCT((Inputs!$C$5:$C$110=$B58)*ISNUMBER(INDEX(Inputs!$K$5:$AJ$110,0,MATCH(P$2,Inputs!$K$4:$AJ$4,0))))+SUMPRODUCT((Inputs!$E$5:$E$110=$B58)*ISNUMBER(INDEX(Inputs!$K$5:$AJ$110,0,MATCH(P$2,Inputs!$K$4:$AJ$4,0))))=0,NA(),SUMPRODUCT((Inputs!$A$5:$A$110=$B58)*Inputs!$B$5:$B$110*(((Inputs!$G$5:$G$110="moeda")+(Inputs!$G$5:$G$110="acoes"))*Inputs!$B$1+((Inputs!$G$5:$G$110&lt;&gt;"moeda")*(Inputs!$G$5:$G$110&lt;&gt;"acoes")))*INDEX(Inputs!$K$5:$AJ$110,0,MATCH(P$2,Inputs!$K$4:$AJ$4,0)))+SUMPRODUCT((Inputs!$C$5:$C$110=$B58)*Inputs!$D$5:$D$110*(((Inputs!$G$5:$G$110="moeda")+(Inputs!$G$5:$G$110="acoes"))*Inputs!$B$1+((Inputs!$G$5:$G$110&lt;&gt;"moeda")*(Inputs!$G$5:$G$110&lt;&gt;"acoes")))*INDEX(Inputs!$K$5:$AJ$110,0,MATCH(P$2,Inputs!$K$4:$AJ$4,0)))+SUMPRODUCT((Inputs!$E$5:$E$110=$B58)*Inputs!$F$5:$F$110*(((Inputs!$G$5:$G$110="moeda")+(Inputs!$G$5:$G$110="acoes"))*Inputs!$B$1+((Inputs!$G$5:$G$110&lt;&gt;"moeda")*(Inputs!$G$5:$G$110&lt;&gt;"acoes")))*INDEX(Inputs!$K$5:$AJ$110,0,MATCH(P$2,Inputs!$K$4:$AJ$4,0)))))</f>
        <v>8411</v>
      </c>
      <c r="Q58" s="263">
        <f>IF(ISNA(MATCH(Q$2,Inputs!$K$4:$AJ$4,0)),NA(),IF(SUMPRODUCT((Inputs!$A$5:$A$110=$B58)*ISNUMBER(INDEX(Inputs!$K$5:$AJ$110,0,MATCH(Q$2,Inputs!$K$4:$AJ$4,0))))+SUMPRODUCT((Inputs!$C$5:$C$110=$B58)*ISNUMBER(INDEX(Inputs!$K$5:$AJ$110,0,MATCH(Q$2,Inputs!$K$4:$AJ$4,0))))+SUMPRODUCT((Inputs!$E$5:$E$110=$B58)*ISNUMBER(INDEX(Inputs!$K$5:$AJ$110,0,MATCH(Q$2,Inputs!$K$4:$AJ$4,0))))=0,NA(),SUMPRODUCT((Inputs!$A$5:$A$110=$B58)*Inputs!$B$5:$B$110*(((Inputs!$G$5:$G$110="moeda")+(Inputs!$G$5:$G$110="acoes"))*Inputs!$B$1+((Inputs!$G$5:$G$110&lt;&gt;"moeda")*(Inputs!$G$5:$G$110&lt;&gt;"acoes")))*INDEX(Inputs!$K$5:$AJ$110,0,MATCH(Q$2,Inputs!$K$4:$AJ$4,0)))+SUMPRODUCT((Inputs!$C$5:$C$110=$B58)*Inputs!$D$5:$D$110*(((Inputs!$G$5:$G$110="moeda")+(Inputs!$G$5:$G$110="acoes"))*Inputs!$B$1+((Inputs!$G$5:$G$110&lt;&gt;"moeda")*(Inputs!$G$5:$G$110&lt;&gt;"acoes")))*INDEX(Inputs!$K$5:$AJ$110,0,MATCH(Q$2,Inputs!$K$4:$AJ$4,0)))+SUMPRODUCT((Inputs!$E$5:$E$110=$B58)*Inputs!$F$5:$F$110*(((Inputs!$G$5:$G$110="moeda")+(Inputs!$G$5:$G$110="acoes"))*Inputs!$B$1+((Inputs!$G$5:$G$110&lt;&gt;"moeda")*(Inputs!$G$5:$G$110&lt;&gt;"acoes")))*INDEX(Inputs!$K$5:$AJ$110,0,MATCH(Q$2,Inputs!$K$4:$AJ$4,0)))))</f>
        <v>9192</v>
      </c>
      <c r="R58" s="264">
        <f>SUM(N58:Q58)</f>
        <v>33088</v>
      </c>
      <c r="S58" s="263">
        <f>IF(ISNA(MATCH(S$2,Inputs!$K$4:$AJ$4,0)),NA(),IF(SUMPRODUCT((Inputs!$A$5:$A$110=$B58)*ISNUMBER(INDEX(Inputs!$K$5:$AJ$110,0,MATCH(S$2,Inputs!$K$4:$AJ$4,0))))+SUMPRODUCT((Inputs!$C$5:$C$110=$B58)*ISNUMBER(INDEX(Inputs!$K$5:$AJ$110,0,MATCH(S$2,Inputs!$K$4:$AJ$4,0))))+SUMPRODUCT((Inputs!$E$5:$E$110=$B58)*ISNUMBER(INDEX(Inputs!$K$5:$AJ$110,0,MATCH(S$2,Inputs!$K$4:$AJ$4,0))))=0,NA(),SUMPRODUCT((Inputs!$A$5:$A$110=$B58)*Inputs!$B$5:$B$110*(((Inputs!$G$5:$G$110="moeda")+(Inputs!$G$5:$G$110="acoes"))*Inputs!$B$1+((Inputs!$G$5:$G$110&lt;&gt;"moeda")*(Inputs!$G$5:$G$110&lt;&gt;"acoes")))*INDEX(Inputs!$K$5:$AJ$110,0,MATCH(S$2,Inputs!$K$4:$AJ$4,0)))+SUMPRODUCT((Inputs!$C$5:$C$110=$B58)*Inputs!$D$5:$D$110*(((Inputs!$G$5:$G$110="moeda")+(Inputs!$G$5:$G$110="acoes"))*Inputs!$B$1+((Inputs!$G$5:$G$110&lt;&gt;"moeda")*(Inputs!$G$5:$G$110&lt;&gt;"acoes")))*INDEX(Inputs!$K$5:$AJ$110,0,MATCH(S$2,Inputs!$K$4:$AJ$4,0)))+SUMPRODUCT((Inputs!$E$5:$E$110=$B58)*Inputs!$F$5:$F$110*(((Inputs!$G$5:$G$110="moeda")+(Inputs!$G$5:$G$110="acoes"))*Inputs!$B$1+((Inputs!$G$5:$G$110&lt;&gt;"moeda")*(Inputs!$G$5:$G$110&lt;&gt;"acoes")))*INDEX(Inputs!$K$5:$AJ$110,0,MATCH(S$2,Inputs!$K$4:$AJ$4,0)))))</f>
        <v>9574</v>
      </c>
      <c r="T58" s="263">
        <f>IF(ISNA(MATCH(T$2,Inputs!$K$4:$AJ$4,0)),NA(),IF(SUMPRODUCT((Inputs!$A$5:$A$110=$B58)*ISNUMBER(INDEX(Inputs!$K$5:$AJ$110,0,MATCH(T$2,Inputs!$K$4:$AJ$4,0))))+SUMPRODUCT((Inputs!$C$5:$C$110=$B58)*ISNUMBER(INDEX(Inputs!$K$5:$AJ$110,0,MATCH(T$2,Inputs!$K$4:$AJ$4,0))))+SUMPRODUCT((Inputs!$E$5:$E$110=$B58)*ISNUMBER(INDEX(Inputs!$K$5:$AJ$110,0,MATCH(T$2,Inputs!$K$4:$AJ$4,0))))=0,NA(),SUMPRODUCT((Inputs!$A$5:$A$110=$B58)*Inputs!$B$5:$B$110*(((Inputs!$G$5:$G$110="moeda")+(Inputs!$G$5:$G$110="acoes"))*Inputs!$B$1+((Inputs!$G$5:$G$110&lt;&gt;"moeda")*(Inputs!$G$5:$G$110&lt;&gt;"acoes")))*INDEX(Inputs!$K$5:$AJ$110,0,MATCH(T$2,Inputs!$K$4:$AJ$4,0)))+SUMPRODUCT((Inputs!$C$5:$C$110=$B58)*Inputs!$D$5:$D$110*(((Inputs!$G$5:$G$110="moeda")+(Inputs!$G$5:$G$110="acoes"))*Inputs!$B$1+((Inputs!$G$5:$G$110&lt;&gt;"moeda")*(Inputs!$G$5:$G$110&lt;&gt;"acoes")))*INDEX(Inputs!$K$5:$AJ$110,0,MATCH(T$2,Inputs!$K$4:$AJ$4,0)))+SUMPRODUCT((Inputs!$E$5:$E$110=$B58)*Inputs!$F$5:$F$110*(((Inputs!$G$5:$G$110="moeda")+(Inputs!$G$5:$G$110="acoes"))*Inputs!$B$1+((Inputs!$G$5:$G$110&lt;&gt;"moeda")*(Inputs!$G$5:$G$110&lt;&gt;"acoes")))*INDEX(Inputs!$K$5:$AJ$110,0,MATCH(T$2,Inputs!$K$4:$AJ$4,0)))))</f>
        <v>10347</v>
      </c>
      <c r="U58" s="263">
        <f>IF(ISNA(MATCH(U$2,Inputs!$K$4:$AJ$4,0)),NA(),IF(SUMPRODUCT((Inputs!$A$5:$A$110=$B58)*ISNUMBER(INDEX(Inputs!$K$5:$AJ$110,0,MATCH(U$2,Inputs!$K$4:$AJ$4,0))))+SUMPRODUCT((Inputs!$C$5:$C$110=$B58)*ISNUMBER(INDEX(Inputs!$K$5:$AJ$110,0,MATCH(U$2,Inputs!$K$4:$AJ$4,0))))+SUMPRODUCT((Inputs!$E$5:$E$110=$B58)*ISNUMBER(INDEX(Inputs!$K$5:$AJ$110,0,MATCH(U$2,Inputs!$K$4:$AJ$4,0))))=0,NA(),SUMPRODUCT((Inputs!$A$5:$A$110=$B58)*Inputs!$B$5:$B$110*(((Inputs!$G$5:$G$110="moeda")+(Inputs!$G$5:$G$110="acoes"))*Inputs!$B$1+((Inputs!$G$5:$G$110&lt;&gt;"moeda")*(Inputs!$G$5:$G$110&lt;&gt;"acoes")))*INDEX(Inputs!$K$5:$AJ$110,0,MATCH(U$2,Inputs!$K$4:$AJ$4,0)))+SUMPRODUCT((Inputs!$C$5:$C$110=$B58)*Inputs!$D$5:$D$110*(((Inputs!$G$5:$G$110="moeda")+(Inputs!$G$5:$G$110="acoes"))*Inputs!$B$1+((Inputs!$G$5:$G$110&lt;&gt;"moeda")*(Inputs!$G$5:$G$110&lt;&gt;"acoes")))*INDEX(Inputs!$K$5:$AJ$110,0,MATCH(U$2,Inputs!$K$4:$AJ$4,0)))+SUMPRODUCT((Inputs!$E$5:$E$110=$B58)*Inputs!$F$5:$F$110*(((Inputs!$G$5:$G$110="moeda")+(Inputs!$G$5:$G$110="acoes"))*Inputs!$B$1+((Inputs!$G$5:$G$110&lt;&gt;"moeda")*(Inputs!$G$5:$G$110&lt;&gt;"acoes")))*INDEX(Inputs!$K$5:$AJ$110,0,MATCH(U$2,Inputs!$K$4:$AJ$4,0)))))</f>
        <v>11353</v>
      </c>
      <c r="V58" s="263">
        <f>IF(ISNA(MATCH(V$2,Inputs!$K$4:$AJ$4,0)),NA(),IF(SUMPRODUCT((Inputs!$A$5:$A$110=$B58)*ISNUMBER(INDEX(Inputs!$K$5:$AJ$110,0,MATCH(V$2,Inputs!$K$4:$AJ$4,0))))+SUMPRODUCT((Inputs!$C$5:$C$110=$B58)*ISNUMBER(INDEX(Inputs!$K$5:$AJ$110,0,MATCH(V$2,Inputs!$K$4:$AJ$4,0))))+SUMPRODUCT((Inputs!$E$5:$E$110=$B58)*ISNUMBER(INDEX(Inputs!$K$5:$AJ$110,0,MATCH(V$2,Inputs!$K$4:$AJ$4,0))))=0,NA(),SUMPRODUCT((Inputs!$A$5:$A$110=$B58)*Inputs!$B$5:$B$110*(((Inputs!$G$5:$G$110="moeda")+(Inputs!$G$5:$G$110="acoes"))*Inputs!$B$1+((Inputs!$G$5:$G$110&lt;&gt;"moeda")*(Inputs!$G$5:$G$110&lt;&gt;"acoes")))*INDEX(Inputs!$K$5:$AJ$110,0,MATCH(V$2,Inputs!$K$4:$AJ$4,0)))+SUMPRODUCT((Inputs!$C$5:$C$110=$B58)*Inputs!$D$5:$D$110*(((Inputs!$G$5:$G$110="moeda")+(Inputs!$G$5:$G$110="acoes"))*Inputs!$B$1+((Inputs!$G$5:$G$110&lt;&gt;"moeda")*(Inputs!$G$5:$G$110&lt;&gt;"acoes")))*INDEX(Inputs!$K$5:$AJ$110,0,MATCH(V$2,Inputs!$K$4:$AJ$4,0)))+SUMPRODUCT((Inputs!$E$5:$E$110=$B58)*Inputs!$F$5:$F$110*(((Inputs!$G$5:$G$110="moeda")+(Inputs!$G$5:$G$110="acoes"))*Inputs!$B$1+((Inputs!$G$5:$G$110&lt;&gt;"moeda")*(Inputs!$G$5:$G$110&lt;&gt;"acoes")))*INDEX(Inputs!$K$5:$AJ$110,0,MATCH(V$2,Inputs!$K$4:$AJ$4,0)))))</f>
        <v>11955</v>
      </c>
      <c r="W58" s="264">
        <f>SUM(S58:V58)</f>
        <v>43229</v>
      </c>
      <c r="X58" s="263">
        <f>IF(ISNA(MATCH(X$2,Inputs!$K$4:$AJ$4,0)),NA(),IF(SUMPRODUCT((Inputs!$A$5:$A$110=$B58)*ISNUMBER(INDEX(Inputs!$K$5:$AJ$110,0,MATCH(X$2,Inputs!$K$4:$AJ$4,0))))+SUMPRODUCT((Inputs!$C$5:$C$110=$B58)*ISNUMBER(INDEX(Inputs!$K$5:$AJ$110,0,MATCH(X$2,Inputs!$K$4:$AJ$4,0))))+SUMPRODUCT((Inputs!$E$5:$E$110=$B58)*ISNUMBER(INDEX(Inputs!$K$5:$AJ$110,0,MATCH(X$2,Inputs!$K$4:$AJ$4,0))))=0,NA(),SUMPRODUCT((Inputs!$A$5:$A$110=$B58)*Inputs!$B$5:$B$110*(((Inputs!$G$5:$G$110="moeda")+(Inputs!$G$5:$G$110="acoes"))*Inputs!$B$1+((Inputs!$G$5:$G$110&lt;&gt;"moeda")*(Inputs!$G$5:$G$110&lt;&gt;"acoes")))*INDEX(Inputs!$K$5:$AJ$110,0,MATCH(X$2,Inputs!$K$4:$AJ$4,0)))+SUMPRODUCT((Inputs!$C$5:$C$110=$B58)*Inputs!$D$5:$D$110*(((Inputs!$G$5:$G$110="moeda")+(Inputs!$G$5:$G$110="acoes"))*Inputs!$B$1+((Inputs!$G$5:$G$110&lt;&gt;"moeda")*(Inputs!$G$5:$G$110&lt;&gt;"acoes")))*INDEX(Inputs!$K$5:$AJ$110,0,MATCH(X$2,Inputs!$K$4:$AJ$4,0)))+SUMPRODUCT((Inputs!$E$5:$E$110=$B58)*Inputs!$F$5:$F$110*(((Inputs!$G$5:$G$110="moeda")+(Inputs!$G$5:$G$110="acoes"))*Inputs!$B$1+((Inputs!$G$5:$G$110&lt;&gt;"moeda")*(Inputs!$G$5:$G$110&lt;&gt;"acoes")))*INDEX(Inputs!$K$5:$AJ$110,0,MATCH(X$2,Inputs!$K$4:$AJ$4,0)))))</f>
        <v>12260</v>
      </c>
      <c r="Y58" s="263">
        <f>IF(ISNA(MATCH(Y$2,Inputs!$K$4:$AJ$4,0)),NA(),IF(SUMPRODUCT((Inputs!$A$5:$A$110=$B58)*ISNUMBER(INDEX(Inputs!$K$5:$AJ$110,0,MATCH(Y$2,Inputs!$K$4:$AJ$4,0))))+SUMPRODUCT((Inputs!$C$5:$C$110=$B58)*ISNUMBER(INDEX(Inputs!$K$5:$AJ$110,0,MATCH(Y$2,Inputs!$K$4:$AJ$4,0))))+SUMPRODUCT((Inputs!$E$5:$E$110=$B58)*ISNUMBER(INDEX(Inputs!$K$5:$AJ$110,0,MATCH(Y$2,Inputs!$K$4:$AJ$4,0))))=0,NA(),SUMPRODUCT((Inputs!$A$5:$A$110=$B58)*Inputs!$B$5:$B$110*(((Inputs!$G$5:$G$110="moeda")+(Inputs!$G$5:$G$110="acoes"))*Inputs!$B$1+((Inputs!$G$5:$G$110&lt;&gt;"moeda")*(Inputs!$G$5:$G$110&lt;&gt;"acoes")))*INDEX(Inputs!$K$5:$AJ$110,0,MATCH(Y$2,Inputs!$K$4:$AJ$4,0)))+SUMPRODUCT((Inputs!$C$5:$C$110=$B58)*Inputs!$D$5:$D$110*(((Inputs!$G$5:$G$110="moeda")+(Inputs!$G$5:$G$110="acoes"))*Inputs!$B$1+((Inputs!$G$5:$G$110&lt;&gt;"moeda")*(Inputs!$G$5:$G$110&lt;&gt;"acoes")))*INDEX(Inputs!$K$5:$AJ$110,0,MATCH(Y$2,Inputs!$K$4:$AJ$4,0)))+SUMPRODUCT((Inputs!$E$5:$E$110=$B58)*Inputs!$F$5:$F$110*(((Inputs!$G$5:$G$110="moeda")+(Inputs!$G$5:$G$110="acoes"))*Inputs!$B$1+((Inputs!$G$5:$G$110&lt;&gt;"moeda")*(Inputs!$G$5:$G$110&lt;&gt;"acoes")))*INDEX(Inputs!$K$5:$AJ$110,0,MATCH(Y$2,Inputs!$K$4:$AJ$4,0)))))</f>
        <v>13624</v>
      </c>
      <c r="Z58" s="263">
        <f>IF(ISNA(MATCH(Z$2,Inputs!$K$4:$AJ$4,0)),NA(),IF(SUMPRODUCT((Inputs!$A$5:$A$110=$B58)*ISNUMBER(INDEX(Inputs!$K$5:$AJ$110,0,MATCH(Z$2,Inputs!$K$4:$AJ$4,0))))+SUMPRODUCT((Inputs!$C$5:$C$110=$B58)*ISNUMBER(INDEX(Inputs!$K$5:$AJ$110,0,MATCH(Z$2,Inputs!$K$4:$AJ$4,0))))+SUMPRODUCT((Inputs!$E$5:$E$110=$B58)*ISNUMBER(INDEX(Inputs!$K$5:$AJ$110,0,MATCH(Z$2,Inputs!$K$4:$AJ$4,0))))=0,NA(),SUMPRODUCT((Inputs!$A$5:$A$110=$B58)*Inputs!$B$5:$B$110*(((Inputs!$G$5:$G$110="moeda")+(Inputs!$G$5:$G$110="acoes"))*Inputs!$B$1+((Inputs!$G$5:$G$110&lt;&gt;"moeda")*(Inputs!$G$5:$G$110&lt;&gt;"acoes")))*INDEX(Inputs!$K$5:$AJ$110,0,MATCH(Z$2,Inputs!$K$4:$AJ$4,0)))+SUMPRODUCT((Inputs!$C$5:$C$110=$B58)*Inputs!$D$5:$D$110*(((Inputs!$G$5:$G$110="moeda")+(Inputs!$G$5:$G$110="acoes"))*Inputs!$B$1+((Inputs!$G$5:$G$110&lt;&gt;"moeda")*(Inputs!$G$5:$G$110&lt;&gt;"acoes")))*INDEX(Inputs!$K$5:$AJ$110,0,MATCH(Z$2,Inputs!$K$4:$AJ$4,0)))+SUMPRODUCT((Inputs!$E$5:$E$110=$B58)*Inputs!$F$5:$F$110*(((Inputs!$G$5:$G$110="moeda")+(Inputs!$G$5:$G$110="acoes"))*Inputs!$B$1+((Inputs!$G$5:$G$110&lt;&gt;"moeda")*(Inputs!$G$5:$G$110&lt;&gt;"acoes")))*INDEX(Inputs!$K$5:$AJ$110,0,MATCH(Z$2,Inputs!$K$4:$AJ$4,0)))))</f>
        <v>15157</v>
      </c>
      <c r="AA58" s="263">
        <f>IF(ISNA(MATCH(AA$2,Inputs!$K$4:$AJ$4,0)),NA(),IF(SUMPRODUCT((Inputs!$A$5:$A$110=$B58)*ISNUMBER(INDEX(Inputs!$K$5:$AJ$110,0,MATCH(AA$2,Inputs!$K$4:$AJ$4,0))))+SUMPRODUCT((Inputs!$C$5:$C$110=$B58)*ISNUMBER(INDEX(Inputs!$K$5:$AJ$110,0,MATCH(AA$2,Inputs!$K$4:$AJ$4,0))))+SUMPRODUCT((Inputs!$E$5:$E$110=$B58)*ISNUMBER(INDEX(Inputs!$K$5:$AJ$110,0,MATCH(AA$2,Inputs!$K$4:$AJ$4,0))))=0,NA(),SUMPRODUCT((Inputs!$A$5:$A$110=$B58)*Inputs!$B$5:$B$110*(((Inputs!$G$5:$G$110="moeda")+(Inputs!$G$5:$G$110="acoes"))*Inputs!$B$1+((Inputs!$G$5:$G$110&lt;&gt;"moeda")*(Inputs!$G$5:$G$110&lt;&gt;"acoes")))*INDEX(Inputs!$K$5:$AJ$110,0,MATCH(AA$2,Inputs!$K$4:$AJ$4,0)))+SUMPRODUCT((Inputs!$C$5:$C$110=$B58)*Inputs!$D$5:$D$110*(((Inputs!$G$5:$G$110="moeda")+(Inputs!$G$5:$G$110="acoes"))*Inputs!$B$1+((Inputs!$G$5:$G$110&lt;&gt;"moeda")*(Inputs!$G$5:$G$110&lt;&gt;"acoes")))*INDEX(Inputs!$K$5:$AJ$110,0,MATCH(AA$2,Inputs!$K$4:$AJ$4,0)))+SUMPRODUCT((Inputs!$E$5:$E$110=$B58)*Inputs!$F$5:$F$110*(((Inputs!$G$5:$G$110="moeda")+(Inputs!$G$5:$G$110="acoes"))*Inputs!$B$1+((Inputs!$G$5:$G$110&lt;&gt;"moeda")*(Inputs!$G$5:$G$110&lt;&gt;"acoes")))*INDEX(Inputs!$K$5:$AJ$110,0,MATCH(AA$2,Inputs!$K$4:$AJ$4,0)))))</f>
        <v>17664</v>
      </c>
      <c r="AB58" s="264">
        <f>SUM(X58:AA58)</f>
        <v>58705</v>
      </c>
      <c r="AC58" s="263">
        <f>IF(ISNA(MATCH(AC$2,Inputs!$K$4:$AJ$4,0)),NA(),IF(SUMPRODUCT((Inputs!$A$5:$A$110=$B58)*ISNUMBER(INDEX(Inputs!$K$5:$AJ$110,0,MATCH(AC$2,Inputs!$K$4:$AJ$4,0))))+SUMPRODUCT((Inputs!$C$5:$C$110=$B58)*ISNUMBER(INDEX(Inputs!$K$5:$AJ$110,0,MATCH(AC$2,Inputs!$K$4:$AJ$4,0))))+SUMPRODUCT((Inputs!$E$5:$E$110=$B58)*ISNUMBER(INDEX(Inputs!$K$5:$AJ$110,0,MATCH(AC$2,Inputs!$K$4:$AJ$4,0))))=0,NA(),SUMPRODUCT((Inputs!$A$5:$A$110=$B58)*Inputs!$B$5:$B$110*(((Inputs!$G$5:$G$110="moeda")+(Inputs!$G$5:$G$110="acoes"))*Inputs!$B$1+((Inputs!$G$5:$G$110&lt;&gt;"moeda")*(Inputs!$G$5:$G$110&lt;&gt;"acoes")))*INDEX(Inputs!$K$5:$AJ$110,0,MATCH(AC$2,Inputs!$K$4:$AJ$4,0)))+SUMPRODUCT((Inputs!$C$5:$C$110=$B58)*Inputs!$D$5:$D$110*(((Inputs!$G$5:$G$110="moeda")+(Inputs!$G$5:$G$110="acoes"))*Inputs!$B$1+((Inputs!$G$5:$G$110&lt;&gt;"moeda")*(Inputs!$G$5:$G$110&lt;&gt;"acoes")))*INDEX(Inputs!$K$5:$AJ$110,0,MATCH(AC$2,Inputs!$K$4:$AJ$4,0)))+SUMPRODUCT((Inputs!$E$5:$E$110=$B58)*Inputs!$F$5:$F$110*(((Inputs!$G$5:$G$110="moeda")+(Inputs!$G$5:$G$110="acoes"))*Inputs!$B$1+((Inputs!$G$5:$G$110&lt;&gt;"moeda")*(Inputs!$G$5:$G$110&lt;&gt;"acoes")))*INDEX(Inputs!$K$5:$AJ$110,0,MATCH(AC$2,Inputs!$K$4:$AJ$4,0)))))</f>
        <v>20028</v>
      </c>
      <c r="AD58" s="263">
        <f>IF(ISNA(MATCH(AD$2,Inputs!$K$4:$AJ$4,0)),NA(),IF(SUMPRODUCT((Inputs!$A$5:$A$110=$B58)*ISNUMBER(INDEX(Inputs!$K$5:$AJ$110,0,MATCH(AD$2,Inputs!$K$4:$AJ$4,0))))+SUMPRODUCT((Inputs!$C$5:$C$110=$B58)*ISNUMBER(INDEX(Inputs!$K$5:$AJ$110,0,MATCH(AD$2,Inputs!$K$4:$AJ$4,0))))+SUMPRODUCT((Inputs!$E$5:$E$110=$B58)*ISNUMBER(INDEX(Inputs!$K$5:$AJ$110,0,MATCH(AD$2,Inputs!$K$4:$AJ$4,0))))=0,NA(),SUMPRODUCT((Inputs!$A$5:$A$110=$B58)*Inputs!$B$5:$B$110*(((Inputs!$G$5:$G$110="moeda")+(Inputs!$G$5:$G$110="acoes"))*Inputs!$B$1+((Inputs!$G$5:$G$110&lt;&gt;"moeda")*(Inputs!$G$5:$G$110&lt;&gt;"acoes")))*INDEX(Inputs!$K$5:$AJ$110,0,MATCH(AD$2,Inputs!$K$4:$AJ$4,0)))+SUMPRODUCT((Inputs!$C$5:$C$110=$B58)*Inputs!$D$5:$D$110*(((Inputs!$G$5:$G$110="moeda")+(Inputs!$G$5:$G$110="acoes"))*Inputs!$B$1+((Inputs!$G$5:$G$110&lt;&gt;"moeda")*(Inputs!$G$5:$G$110&lt;&gt;"acoes")))*INDEX(Inputs!$K$5:$AJ$110,0,MATCH(AD$2,Inputs!$K$4:$AJ$4,0)))+SUMPRODUCT((Inputs!$E$5:$E$110=$B58)*Inputs!$F$5:$F$110*(((Inputs!$G$5:$G$110="moeda")+(Inputs!$G$5:$G$110="acoes"))*Inputs!$B$1+((Inputs!$G$5:$G$110&lt;&gt;"moeda")*(Inputs!$G$5:$G$110&lt;&gt;"acoes")))*INDEX(Inputs!$K$5:$AJ$110,0,MATCH(AD$2,Inputs!$K$4:$AJ$4,0)))))</f>
        <v>24768</v>
      </c>
      <c r="AE58" s="263" t="e">
        <f>IF(ISNA(MATCH(AE$2,Inputs!$K$4:$AJ$4,0)),NA(),IF(SUMPRODUCT((Inputs!$A$5:$A$110=$B58)*ISNUMBER(INDEX(Inputs!$K$5:$AJ$110,0,MATCH(AE$2,Inputs!$K$4:$AJ$4,0))))+SUMPRODUCT((Inputs!$C$5:$C$110=$B58)*ISNUMBER(INDEX(Inputs!$K$5:$AJ$110,0,MATCH(AE$2,Inputs!$K$4:$AJ$4,0))))+SUMPRODUCT((Inputs!$E$5:$E$110=$B58)*ISNUMBER(INDEX(Inputs!$K$5:$AJ$110,0,MATCH(AE$2,Inputs!$K$4:$AJ$4,0))))=0,NA(),SUMPRODUCT((Inputs!$A$5:$A$110=$B58)*Inputs!$B$5:$B$110*(((Inputs!$G$5:$G$110="moeda")+(Inputs!$G$5:$G$110="acoes"))*Inputs!$B$1+((Inputs!$G$5:$G$110&lt;&gt;"moeda")*(Inputs!$G$5:$G$110&lt;&gt;"acoes")))*INDEX(Inputs!$K$5:$AJ$110,0,MATCH(AE$2,Inputs!$K$4:$AJ$4,0)))+SUMPRODUCT((Inputs!$C$5:$C$110=$B58)*Inputs!$D$5:$D$110*(((Inputs!$G$5:$G$110="moeda")+(Inputs!$G$5:$G$110="acoes"))*Inputs!$B$1+((Inputs!$G$5:$G$110&lt;&gt;"moeda")*(Inputs!$G$5:$G$110&lt;&gt;"acoes")))*INDEX(Inputs!$K$5:$AJ$110,0,MATCH(AE$2,Inputs!$K$4:$AJ$4,0)))+SUMPRODUCT((Inputs!$E$5:$E$110=$B58)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8" s="263" t="e">
        <f>IF(ISNA(MATCH(AF$2,Inputs!$K$4:$AJ$4,0)),NA(),IF(SUMPRODUCT((Inputs!$A$5:$A$110=$B58)*ISNUMBER(INDEX(Inputs!$K$5:$AJ$110,0,MATCH(AF$2,Inputs!$K$4:$AJ$4,0))))+SUMPRODUCT((Inputs!$C$5:$C$110=$B58)*ISNUMBER(INDEX(Inputs!$K$5:$AJ$110,0,MATCH(AF$2,Inputs!$K$4:$AJ$4,0))))+SUMPRODUCT((Inputs!$E$5:$E$110=$B58)*ISNUMBER(INDEX(Inputs!$K$5:$AJ$110,0,MATCH(AF$2,Inputs!$K$4:$AJ$4,0))))=0,NA(),SUMPRODUCT((Inputs!$A$5:$A$110=$B58)*Inputs!$B$5:$B$110*(((Inputs!$G$5:$G$110="moeda")+(Inputs!$G$5:$G$110="acoes"))*Inputs!$B$1+((Inputs!$G$5:$G$110&lt;&gt;"moeda")*(Inputs!$G$5:$G$110&lt;&gt;"acoes")))*INDEX(Inputs!$K$5:$AJ$110,0,MATCH(AF$2,Inputs!$K$4:$AJ$4,0)))+SUMPRODUCT((Inputs!$C$5:$C$110=$B58)*Inputs!$D$5:$D$110*(((Inputs!$G$5:$G$110="moeda")+(Inputs!$G$5:$G$110="acoes"))*Inputs!$B$1+((Inputs!$G$5:$G$110&lt;&gt;"moeda")*(Inputs!$G$5:$G$110&lt;&gt;"acoes")))*INDEX(Inputs!$K$5:$AJ$110,0,MATCH(AF$2,Inputs!$K$4:$AJ$4,0)))+SUMPRODUCT((Inputs!$E$5:$E$110=$B58)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8" s="264" t="e">
        <f>SUM(AC58:AF58)</f>
        <v>#N/A</v>
      </c>
      <c r="AH58" s="263">
        <f>IF(ISNA(MATCH(AH$2,Inputs!$K$4:$AJ$4,0)),NA(),IF(SUMPRODUCT((Inputs!$A$5:$A$110=$B58)*ISNUMBER(INDEX(Inputs!$K$5:$AJ$110,0,MATCH(AH$2,Inputs!$K$4:$AJ$4,0))))+SUMPRODUCT((Inputs!$C$5:$C$110=$B58)*ISNUMBER(INDEX(Inputs!$K$5:$AJ$110,0,MATCH(AH$2,Inputs!$K$4:$AJ$4,0))))+SUMPRODUCT((Inputs!$E$5:$E$110=$B58)*ISNUMBER(INDEX(Inputs!$K$5:$AJ$110,0,MATCH(AH$2,Inputs!$K$4:$AJ$4,0))))=0,NA(),SUMPRODUCT((Inputs!$A$5:$A$110=$B58)*Inputs!$B$5:$B$110*(((Inputs!$G$5:$G$110="moeda")+(Inputs!$G$5:$G$110="acoes"))*Inputs!$B$1+((Inputs!$G$5:$G$110&lt;&gt;"moeda")*(Inputs!$G$5:$G$110&lt;&gt;"acoes")))*INDEX(Inputs!$K$5:$AJ$110,0,MATCH(AH$2,Inputs!$K$4:$AJ$4,0)))+SUMPRODUCT((Inputs!$C$5:$C$110=$B58)*Inputs!$D$5:$D$110*(((Inputs!$G$5:$G$110="moeda")+(Inputs!$G$5:$G$110="acoes"))*Inputs!$B$1+((Inputs!$G$5:$G$110&lt;&gt;"moeda")*(Inputs!$G$5:$G$110&lt;&gt;"acoes")))*INDEX(Inputs!$K$5:$AJ$110,0,MATCH(AH$2,Inputs!$K$4:$AJ$4,0)))+SUMPRODUCT((Inputs!$E$5:$E$110=$B58)*Inputs!$F$5:$F$110*(((Inputs!$G$5:$G$110="moeda")+(Inputs!$G$5:$G$110="acoes"))*Inputs!$B$1+((Inputs!$G$5:$G$110&lt;&gt;"moeda")*(Inputs!$G$5:$G$110&lt;&gt;"acoes")))*INDEX(Inputs!$K$5:$AJ$110,0,MATCH(AH$2,Inputs!$K$4:$AJ$4,0)))))</f>
        <v>2777</v>
      </c>
      <c r="AI58" s="263">
        <f>IF(ISNA(MATCH(AI$2,Inputs!$K$4:$AJ$4,0)),NA(),IF(SUMPRODUCT((Inputs!$A$5:$A$110=$B58)*ISNUMBER(INDEX(Inputs!$K$5:$AJ$110,0,MATCH(AI$2,Inputs!$K$4:$AJ$4,0))))+SUMPRODUCT((Inputs!$C$5:$C$110=$B58)*ISNUMBER(INDEX(Inputs!$K$5:$AJ$110,0,MATCH(AI$2,Inputs!$K$4:$AJ$4,0))))+SUMPRODUCT((Inputs!$E$5:$E$110=$B58)*ISNUMBER(INDEX(Inputs!$K$5:$AJ$110,0,MATCH(AI$2,Inputs!$K$4:$AJ$4,0))))=0,NA(),SUMPRODUCT((Inputs!$A$5:$A$110=$B58)*Inputs!$B$5:$B$110*(((Inputs!$G$5:$G$110="moeda")+(Inputs!$G$5:$G$110="acoes"))*Inputs!$B$1+((Inputs!$G$5:$G$110&lt;&gt;"moeda")*(Inputs!$G$5:$G$110&lt;&gt;"acoes")))*INDEX(Inputs!$K$5:$AJ$110,0,MATCH(AI$2,Inputs!$K$4:$AJ$4,0)))+SUMPRODUCT((Inputs!$C$5:$C$110=$B58)*Inputs!$D$5:$D$110*(((Inputs!$G$5:$G$110="moeda")+(Inputs!$G$5:$G$110="acoes"))*Inputs!$B$1+((Inputs!$G$5:$G$110&lt;&gt;"moeda")*(Inputs!$G$5:$G$110&lt;&gt;"acoes")))*INDEX(Inputs!$K$5:$AJ$110,0,MATCH(AI$2,Inputs!$K$4:$AJ$4,0)))+SUMPRODUCT((Inputs!$E$5:$E$110=$B58)*Inputs!$F$5:$F$110*(((Inputs!$G$5:$G$110="moeda")+(Inputs!$G$5:$G$110="acoes"))*Inputs!$B$1+((Inputs!$G$5:$G$110&lt;&gt;"moeda")*(Inputs!$G$5:$G$110&lt;&gt;"acoes")))*INDEX(Inputs!$K$5:$AJ$110,0,MATCH(AI$2,Inputs!$K$4:$AJ$4,0)))))</f>
        <v>3007</v>
      </c>
      <c r="AJ58" s="263">
        <f>IF(ISNA(MATCH(AJ$2,Inputs!$K$4:$AJ$4,0)),NA(),IF(SUMPRODUCT((Inputs!$A$5:$A$110=$B58)*ISNUMBER(INDEX(Inputs!$K$5:$AJ$110,0,MATCH(AJ$2,Inputs!$K$4:$AJ$4,0))))+SUMPRODUCT((Inputs!$C$5:$C$110=$B58)*ISNUMBER(INDEX(Inputs!$K$5:$AJ$110,0,MATCH(AJ$2,Inputs!$K$4:$AJ$4,0))))+SUMPRODUCT((Inputs!$E$5:$E$110=$B58)*ISNUMBER(INDEX(Inputs!$K$5:$AJ$110,0,MATCH(AJ$2,Inputs!$K$4:$AJ$4,0))))=0,NA(),SUMPRODUCT((Inputs!$A$5:$A$110=$B58)*Inputs!$B$5:$B$110*(((Inputs!$G$5:$G$110="moeda")+(Inputs!$G$5:$G$110="acoes"))*Inputs!$B$1+((Inputs!$G$5:$G$110&lt;&gt;"moeda")*(Inputs!$G$5:$G$110&lt;&gt;"acoes")))*INDEX(Inputs!$K$5:$AJ$110,0,MATCH(AJ$2,Inputs!$K$4:$AJ$4,0)))+SUMPRODUCT((Inputs!$C$5:$C$110=$B58)*Inputs!$D$5:$D$110*(((Inputs!$G$5:$G$110="moeda")+(Inputs!$G$5:$G$110="acoes"))*Inputs!$B$1+((Inputs!$G$5:$G$110&lt;&gt;"moeda")*(Inputs!$G$5:$G$110&lt;&gt;"acoes")))*INDEX(Inputs!$K$5:$AJ$110,0,MATCH(AJ$2,Inputs!$K$4:$AJ$4,0)))+SUMPRODUCT((Inputs!$E$5:$E$110=$B58)*Inputs!$F$5:$F$110*(((Inputs!$G$5:$G$110="moeda")+(Inputs!$G$5:$G$110="acoes"))*Inputs!$B$1+((Inputs!$G$5:$G$110&lt;&gt;"moeda")*(Inputs!$G$5:$G$110&lt;&gt;"acoes")))*INDEX(Inputs!$K$5:$AJ$110,0,MATCH(AJ$2,Inputs!$K$4:$AJ$4,0)))))</f>
        <v>3444</v>
      </c>
      <c r="AK58" s="263">
        <f>IF(ISNA(MATCH(AK$2,Inputs!$K$4:$AJ$4,0)),NA(),IF(SUMPRODUCT((Inputs!$A$5:$A$110=$B58)*ISNUMBER(INDEX(Inputs!$K$5:$AJ$110,0,MATCH(AK$2,Inputs!$K$4:$AJ$4,0))))+SUMPRODUCT((Inputs!$C$5:$C$110=$B58)*ISNUMBER(INDEX(Inputs!$K$5:$AJ$110,0,MATCH(AK$2,Inputs!$K$4:$AJ$4,0))))+SUMPRODUCT((Inputs!$E$5:$E$110=$B58)*ISNUMBER(INDEX(Inputs!$K$5:$AJ$110,0,MATCH(AK$2,Inputs!$K$4:$AJ$4,0))))=0,NA(),SUMPRODUCT((Inputs!$A$5:$A$110=$B58)*Inputs!$B$5:$B$110*(((Inputs!$G$5:$G$110="moeda")+(Inputs!$G$5:$G$110="acoes"))*Inputs!$B$1+((Inputs!$G$5:$G$110&lt;&gt;"moeda")*(Inputs!$G$5:$G$110&lt;&gt;"acoes")))*INDEX(Inputs!$K$5:$AJ$110,0,MATCH(AK$2,Inputs!$K$4:$AJ$4,0)))+SUMPRODUCT((Inputs!$C$5:$C$110=$B58)*Inputs!$D$5:$D$110*(((Inputs!$G$5:$G$110="moeda")+(Inputs!$G$5:$G$110="acoes"))*Inputs!$B$1+((Inputs!$G$5:$G$110&lt;&gt;"moeda")*(Inputs!$G$5:$G$110&lt;&gt;"acoes")))*INDEX(Inputs!$K$5:$AJ$110,0,MATCH(AK$2,Inputs!$K$4:$AJ$4,0)))+SUMPRODUCT((Inputs!$E$5:$E$110=$B58)*Inputs!$F$5:$F$110*(((Inputs!$G$5:$G$110="moeda")+(Inputs!$G$5:$G$110="acoes"))*Inputs!$B$1+((Inputs!$G$5:$G$110&lt;&gt;"moeda")*(Inputs!$G$5:$G$110&lt;&gt;"acoes")))*INDEX(Inputs!$K$5:$AJ$110,0,MATCH(AK$2,Inputs!$K$4:$AJ$4,0)))))</f>
        <v>3831</v>
      </c>
      <c r="AL58" s="264">
        <f>SUM(AH58:AK58)</f>
        <v>13059</v>
      </c>
    </row>
    <row r="59">
      <c r="B59" s="46" t="n">
        <v>51</v>
      </c>
      <c r="C59" s="29" t="inlineStr">
        <is>
          <t>Segmento Other Bets - receita (USD)</t>
        </is>
      </c>
      <c r="D59" s="263">
        <f>IF(ISNA(MATCH(D$2,Inputs!$K$4:$AJ$4,0)),NA(),IF(SUMPRODUCT((Inputs!$A$5:$A$110=$B59)*ISNUMBER(INDEX(Inputs!$K$5:$AJ$110,0,MATCH(D$2,Inputs!$K$4:$AJ$4,0))))+SUMPRODUCT((Inputs!$C$5:$C$110=$B59)*ISNUMBER(INDEX(Inputs!$K$5:$AJ$110,0,MATCH(D$2,Inputs!$K$4:$AJ$4,0))))+SUMPRODUCT((Inputs!$E$5:$E$110=$B59)*ISNUMBER(INDEX(Inputs!$K$5:$AJ$110,0,MATCH(D$2,Inputs!$K$4:$AJ$4,0))))=0,NA(),SUMPRODUCT((Inputs!$A$5:$A$110=$B59)*Inputs!$B$5:$B$110*(((Inputs!$G$5:$G$110="moeda")+(Inputs!$G$5:$G$110="acoes"))*Inputs!$B$1+((Inputs!$G$5:$G$110&lt;&gt;"moeda")*(Inputs!$G$5:$G$110&lt;&gt;"acoes")))*INDEX(Inputs!$K$5:$AJ$110,0,MATCH(D$2,Inputs!$K$4:$AJ$4,0)))+SUMPRODUCT((Inputs!$C$5:$C$110=$B59)*Inputs!$D$5:$D$110*(((Inputs!$G$5:$G$110="moeda")+(Inputs!$G$5:$G$110="acoes"))*Inputs!$B$1+((Inputs!$G$5:$G$110&lt;&gt;"moeda")*(Inputs!$G$5:$G$110&lt;&gt;"acoes")))*INDEX(Inputs!$K$5:$AJ$110,0,MATCH(D$2,Inputs!$K$4:$AJ$4,0)))+SUMPRODUCT((Inputs!$E$5:$E$110=$B59)*Inputs!$F$5:$F$110*(((Inputs!$G$5:$G$110="moeda")+(Inputs!$G$5:$G$110="acoes"))*Inputs!$B$1+((Inputs!$G$5:$G$110&lt;&gt;"moeda")*(Inputs!$G$5:$G$110&lt;&gt;"acoes")))*INDEX(Inputs!$K$5:$AJ$110,0,MATCH(D$2,Inputs!$K$4:$AJ$4,0)))))</f>
        <v>198</v>
      </c>
      <c r="E59" s="263">
        <f>IF(ISNA(MATCH(E$2,Inputs!$K$4:$AJ$4,0)),NA(),IF(SUMPRODUCT((Inputs!$A$5:$A$110=$B59)*ISNUMBER(INDEX(Inputs!$K$5:$AJ$110,0,MATCH(E$2,Inputs!$K$4:$AJ$4,0))))+SUMPRODUCT((Inputs!$C$5:$C$110=$B59)*ISNUMBER(INDEX(Inputs!$K$5:$AJ$110,0,MATCH(E$2,Inputs!$K$4:$AJ$4,0))))+SUMPRODUCT((Inputs!$E$5:$E$110=$B59)*ISNUMBER(INDEX(Inputs!$K$5:$AJ$110,0,MATCH(E$2,Inputs!$K$4:$AJ$4,0))))=0,NA(),SUMPRODUCT((Inputs!$A$5:$A$110=$B59)*Inputs!$B$5:$B$110*(((Inputs!$G$5:$G$110="moeda")+(Inputs!$G$5:$G$110="acoes"))*Inputs!$B$1+((Inputs!$G$5:$G$110&lt;&gt;"moeda")*(Inputs!$G$5:$G$110&lt;&gt;"acoes")))*INDEX(Inputs!$K$5:$AJ$110,0,MATCH(E$2,Inputs!$K$4:$AJ$4,0)))+SUMPRODUCT((Inputs!$C$5:$C$110=$B59)*Inputs!$D$5:$D$110*(((Inputs!$G$5:$G$110="moeda")+(Inputs!$G$5:$G$110="acoes"))*Inputs!$B$1+((Inputs!$G$5:$G$110&lt;&gt;"moeda")*(Inputs!$G$5:$G$110&lt;&gt;"acoes")))*INDEX(Inputs!$K$5:$AJ$110,0,MATCH(E$2,Inputs!$K$4:$AJ$4,0)))+SUMPRODUCT((Inputs!$E$5:$E$110=$B59)*Inputs!$F$5:$F$110*(((Inputs!$G$5:$G$110="moeda")+(Inputs!$G$5:$G$110="acoes"))*Inputs!$B$1+((Inputs!$G$5:$G$110&lt;&gt;"moeda")*(Inputs!$G$5:$G$110&lt;&gt;"acoes")))*INDEX(Inputs!$K$5:$AJ$110,0,MATCH(E$2,Inputs!$K$4:$AJ$4,0)))))</f>
        <v>192</v>
      </c>
      <c r="F59" s="263">
        <f>IF(ISNA(MATCH(F$2,Inputs!$K$4:$AJ$4,0)),NA(),IF(SUMPRODUCT((Inputs!$A$5:$A$110=$B59)*ISNUMBER(INDEX(Inputs!$K$5:$AJ$110,0,MATCH(F$2,Inputs!$K$4:$AJ$4,0))))+SUMPRODUCT((Inputs!$C$5:$C$110=$B59)*ISNUMBER(INDEX(Inputs!$K$5:$AJ$110,0,MATCH(F$2,Inputs!$K$4:$AJ$4,0))))+SUMPRODUCT((Inputs!$E$5:$E$110=$B59)*ISNUMBER(INDEX(Inputs!$K$5:$AJ$110,0,MATCH(F$2,Inputs!$K$4:$AJ$4,0))))=0,NA(),SUMPRODUCT((Inputs!$A$5:$A$110=$B59)*Inputs!$B$5:$B$110*(((Inputs!$G$5:$G$110="moeda")+(Inputs!$G$5:$G$110="acoes"))*Inputs!$B$1+((Inputs!$G$5:$G$110&lt;&gt;"moeda")*(Inputs!$G$5:$G$110&lt;&gt;"acoes")))*INDEX(Inputs!$K$5:$AJ$110,0,MATCH(F$2,Inputs!$K$4:$AJ$4,0)))+SUMPRODUCT((Inputs!$C$5:$C$110=$B59)*Inputs!$D$5:$D$110*(((Inputs!$G$5:$G$110="moeda")+(Inputs!$G$5:$G$110="acoes"))*Inputs!$B$1+((Inputs!$G$5:$G$110&lt;&gt;"moeda")*(Inputs!$G$5:$G$110&lt;&gt;"acoes")))*INDEX(Inputs!$K$5:$AJ$110,0,MATCH(F$2,Inputs!$K$4:$AJ$4,0)))+SUMPRODUCT((Inputs!$E$5:$E$110=$B59)*Inputs!$F$5:$F$110*(((Inputs!$G$5:$G$110="moeda")+(Inputs!$G$5:$G$110="acoes"))*Inputs!$B$1+((Inputs!$G$5:$G$110&lt;&gt;"moeda")*(Inputs!$G$5:$G$110&lt;&gt;"acoes")))*INDEX(Inputs!$K$5:$AJ$110,0,MATCH(F$2,Inputs!$K$4:$AJ$4,0)))))</f>
        <v>182</v>
      </c>
      <c r="G59" s="263">
        <f>IF(ISNA(MATCH(G$2,Inputs!$K$4:$AJ$4,0)),NA(),IF(SUMPRODUCT((Inputs!$A$5:$A$110=$B59)*ISNUMBER(INDEX(Inputs!$K$5:$AJ$110,0,MATCH(G$2,Inputs!$K$4:$AJ$4,0))))+SUMPRODUCT((Inputs!$C$5:$C$110=$B59)*ISNUMBER(INDEX(Inputs!$K$5:$AJ$110,0,MATCH(G$2,Inputs!$K$4:$AJ$4,0))))+SUMPRODUCT((Inputs!$E$5:$E$110=$B59)*ISNUMBER(INDEX(Inputs!$K$5:$AJ$110,0,MATCH(G$2,Inputs!$K$4:$AJ$4,0))))=0,NA(),SUMPRODUCT((Inputs!$A$5:$A$110=$B59)*Inputs!$B$5:$B$110*(((Inputs!$G$5:$G$110="moeda")+(Inputs!$G$5:$G$110="acoes"))*Inputs!$B$1+((Inputs!$G$5:$G$110&lt;&gt;"moeda")*(Inputs!$G$5:$G$110&lt;&gt;"acoes")))*INDEX(Inputs!$K$5:$AJ$110,0,MATCH(G$2,Inputs!$K$4:$AJ$4,0)))+SUMPRODUCT((Inputs!$C$5:$C$110=$B59)*Inputs!$D$5:$D$110*(((Inputs!$G$5:$G$110="moeda")+(Inputs!$G$5:$G$110="acoes"))*Inputs!$B$1+((Inputs!$G$5:$G$110&lt;&gt;"moeda")*(Inputs!$G$5:$G$110&lt;&gt;"acoes")))*INDEX(Inputs!$K$5:$AJ$110,0,MATCH(G$2,Inputs!$K$4:$AJ$4,0)))+SUMPRODUCT((Inputs!$E$5:$E$110=$B59)*Inputs!$F$5:$F$110*(((Inputs!$G$5:$G$110="moeda")+(Inputs!$G$5:$G$110="acoes"))*Inputs!$B$1+((Inputs!$G$5:$G$110&lt;&gt;"moeda")*(Inputs!$G$5:$G$110&lt;&gt;"acoes")))*INDEX(Inputs!$K$5:$AJ$110,0,MATCH(G$2,Inputs!$K$4:$AJ$4,0)))))</f>
        <v>181</v>
      </c>
      <c r="H59" s="264">
        <f>SUM(D59:G59)</f>
        <v>753</v>
      </c>
      <c r="I59" s="263">
        <f>IF(ISNA(MATCH(I$2,Inputs!$K$4:$AJ$4,0)),NA(),IF(SUMPRODUCT((Inputs!$A$5:$A$110=$B59)*ISNUMBER(INDEX(Inputs!$K$5:$AJ$110,0,MATCH(I$2,Inputs!$K$4:$AJ$4,0))))+SUMPRODUCT((Inputs!$C$5:$C$110=$B59)*ISNUMBER(INDEX(Inputs!$K$5:$AJ$110,0,MATCH(I$2,Inputs!$K$4:$AJ$4,0))))+SUMPRODUCT((Inputs!$E$5:$E$110=$B59)*ISNUMBER(INDEX(Inputs!$K$5:$AJ$110,0,MATCH(I$2,Inputs!$K$4:$AJ$4,0))))=0,NA(),SUMPRODUCT((Inputs!$A$5:$A$110=$B59)*Inputs!$B$5:$B$110*(((Inputs!$G$5:$G$110="moeda")+(Inputs!$G$5:$G$110="acoes"))*Inputs!$B$1+((Inputs!$G$5:$G$110&lt;&gt;"moeda")*(Inputs!$G$5:$G$110&lt;&gt;"acoes")))*INDEX(Inputs!$K$5:$AJ$110,0,MATCH(I$2,Inputs!$K$4:$AJ$4,0)))+SUMPRODUCT((Inputs!$C$5:$C$110=$B59)*Inputs!$D$5:$D$110*(((Inputs!$G$5:$G$110="moeda")+(Inputs!$G$5:$G$110="acoes"))*Inputs!$B$1+((Inputs!$G$5:$G$110&lt;&gt;"moeda")*(Inputs!$G$5:$G$110&lt;&gt;"acoes")))*INDEX(Inputs!$K$5:$AJ$110,0,MATCH(I$2,Inputs!$K$4:$AJ$4,0)))+SUMPRODUCT((Inputs!$E$5:$E$110=$B59)*Inputs!$F$5:$F$110*(((Inputs!$G$5:$G$110="moeda")+(Inputs!$G$5:$G$110="acoes"))*Inputs!$B$1+((Inputs!$G$5:$G$110&lt;&gt;"moeda")*(Inputs!$G$5:$G$110&lt;&gt;"acoes")))*INDEX(Inputs!$K$5:$AJ$110,0,MATCH(I$2,Inputs!$K$4:$AJ$4,0)))))</f>
        <v>440</v>
      </c>
      <c r="J59" s="263">
        <f>IF(ISNA(MATCH(J$2,Inputs!$K$4:$AJ$4,0)),NA(),IF(SUMPRODUCT((Inputs!$A$5:$A$110=$B59)*ISNUMBER(INDEX(Inputs!$K$5:$AJ$110,0,MATCH(J$2,Inputs!$K$4:$AJ$4,0))))+SUMPRODUCT((Inputs!$C$5:$C$110=$B59)*ISNUMBER(INDEX(Inputs!$K$5:$AJ$110,0,MATCH(J$2,Inputs!$K$4:$AJ$4,0))))+SUMPRODUCT((Inputs!$E$5:$E$110=$B59)*ISNUMBER(INDEX(Inputs!$K$5:$AJ$110,0,MATCH(J$2,Inputs!$K$4:$AJ$4,0))))=0,NA(),SUMPRODUCT((Inputs!$A$5:$A$110=$B59)*Inputs!$B$5:$B$110*(((Inputs!$G$5:$G$110="moeda")+(Inputs!$G$5:$G$110="acoes"))*Inputs!$B$1+((Inputs!$G$5:$G$110&lt;&gt;"moeda")*(Inputs!$G$5:$G$110&lt;&gt;"acoes")))*INDEX(Inputs!$K$5:$AJ$110,0,MATCH(J$2,Inputs!$K$4:$AJ$4,0)))+SUMPRODUCT((Inputs!$C$5:$C$110=$B59)*Inputs!$D$5:$D$110*(((Inputs!$G$5:$G$110="moeda")+(Inputs!$G$5:$G$110="acoes"))*Inputs!$B$1+((Inputs!$G$5:$G$110&lt;&gt;"moeda")*(Inputs!$G$5:$G$110&lt;&gt;"acoes")))*INDEX(Inputs!$K$5:$AJ$110,0,MATCH(J$2,Inputs!$K$4:$AJ$4,0)))+SUMPRODUCT((Inputs!$E$5:$E$110=$B59)*Inputs!$F$5:$F$110*(((Inputs!$G$5:$G$110="moeda")+(Inputs!$G$5:$G$110="acoes"))*Inputs!$B$1+((Inputs!$G$5:$G$110&lt;&gt;"moeda")*(Inputs!$G$5:$G$110&lt;&gt;"acoes")))*INDEX(Inputs!$K$5:$AJ$110,0,MATCH(J$2,Inputs!$K$4:$AJ$4,0)))))</f>
        <v>193</v>
      </c>
      <c r="K59" s="263">
        <f>IF(ISNA(MATCH(K$2,Inputs!$K$4:$AJ$4,0)),NA(),IF(SUMPRODUCT((Inputs!$A$5:$A$110=$B59)*ISNUMBER(INDEX(Inputs!$K$5:$AJ$110,0,MATCH(K$2,Inputs!$K$4:$AJ$4,0))))+SUMPRODUCT((Inputs!$C$5:$C$110=$B59)*ISNUMBER(INDEX(Inputs!$K$5:$AJ$110,0,MATCH(K$2,Inputs!$K$4:$AJ$4,0))))+SUMPRODUCT((Inputs!$E$5:$E$110=$B59)*ISNUMBER(INDEX(Inputs!$K$5:$AJ$110,0,MATCH(K$2,Inputs!$K$4:$AJ$4,0))))=0,NA(),SUMPRODUCT((Inputs!$A$5:$A$110=$B59)*Inputs!$B$5:$B$110*(((Inputs!$G$5:$G$110="moeda")+(Inputs!$G$5:$G$110="acoes"))*Inputs!$B$1+((Inputs!$G$5:$G$110&lt;&gt;"moeda")*(Inputs!$G$5:$G$110&lt;&gt;"acoes")))*INDEX(Inputs!$K$5:$AJ$110,0,MATCH(K$2,Inputs!$K$4:$AJ$4,0)))+SUMPRODUCT((Inputs!$C$5:$C$110=$B59)*Inputs!$D$5:$D$110*(((Inputs!$G$5:$G$110="moeda")+(Inputs!$G$5:$G$110="acoes"))*Inputs!$B$1+((Inputs!$G$5:$G$110&lt;&gt;"moeda")*(Inputs!$G$5:$G$110&lt;&gt;"acoes")))*INDEX(Inputs!$K$5:$AJ$110,0,MATCH(K$2,Inputs!$K$4:$AJ$4,0)))+SUMPRODUCT((Inputs!$E$5:$E$110=$B59)*Inputs!$F$5:$F$110*(((Inputs!$G$5:$G$110="moeda")+(Inputs!$G$5:$G$110="acoes"))*Inputs!$B$1+((Inputs!$G$5:$G$110&lt;&gt;"moeda")*(Inputs!$G$5:$G$110&lt;&gt;"acoes")))*INDEX(Inputs!$K$5:$AJ$110,0,MATCH(K$2,Inputs!$K$4:$AJ$4,0)))))</f>
        <v>209</v>
      </c>
      <c r="L59" s="263">
        <f>IF(ISNA(MATCH(L$2,Inputs!$K$4:$AJ$4,0)),NA(),IF(SUMPRODUCT((Inputs!$A$5:$A$110=$B59)*ISNUMBER(INDEX(Inputs!$K$5:$AJ$110,0,MATCH(L$2,Inputs!$K$4:$AJ$4,0))))+SUMPRODUCT((Inputs!$C$5:$C$110=$B59)*ISNUMBER(INDEX(Inputs!$K$5:$AJ$110,0,MATCH(L$2,Inputs!$K$4:$AJ$4,0))))+SUMPRODUCT((Inputs!$E$5:$E$110=$B59)*ISNUMBER(INDEX(Inputs!$K$5:$AJ$110,0,MATCH(L$2,Inputs!$K$4:$AJ$4,0))))=0,NA(),SUMPRODUCT((Inputs!$A$5:$A$110=$B59)*Inputs!$B$5:$B$110*(((Inputs!$G$5:$G$110="moeda")+(Inputs!$G$5:$G$110="acoes"))*Inputs!$B$1+((Inputs!$G$5:$G$110&lt;&gt;"moeda")*(Inputs!$G$5:$G$110&lt;&gt;"acoes")))*INDEX(Inputs!$K$5:$AJ$110,0,MATCH(L$2,Inputs!$K$4:$AJ$4,0)))+SUMPRODUCT((Inputs!$C$5:$C$110=$B59)*Inputs!$D$5:$D$110*(((Inputs!$G$5:$G$110="moeda")+(Inputs!$G$5:$G$110="acoes"))*Inputs!$B$1+((Inputs!$G$5:$G$110&lt;&gt;"moeda")*(Inputs!$G$5:$G$110&lt;&gt;"acoes")))*INDEX(Inputs!$K$5:$AJ$110,0,MATCH(L$2,Inputs!$K$4:$AJ$4,0)))+SUMPRODUCT((Inputs!$E$5:$E$110=$B59)*Inputs!$F$5:$F$110*(((Inputs!$G$5:$G$110="moeda")+(Inputs!$G$5:$G$110="acoes"))*Inputs!$B$1+((Inputs!$G$5:$G$110&lt;&gt;"moeda")*(Inputs!$G$5:$G$110&lt;&gt;"acoes")))*INDEX(Inputs!$K$5:$AJ$110,0,MATCH(L$2,Inputs!$K$4:$AJ$4,0)))))</f>
        <v>226</v>
      </c>
      <c r="M59" s="264">
        <f>SUM(I59:L59)</f>
        <v>1068</v>
      </c>
      <c r="N59" s="263">
        <f>IF(ISNA(MATCH(N$2,Inputs!$K$4:$AJ$4,0)),NA(),IF(SUMPRODUCT((Inputs!$A$5:$A$110=$B59)*ISNUMBER(INDEX(Inputs!$K$5:$AJ$110,0,MATCH(N$2,Inputs!$K$4:$AJ$4,0))))+SUMPRODUCT((Inputs!$C$5:$C$110=$B59)*ISNUMBER(INDEX(Inputs!$K$5:$AJ$110,0,MATCH(N$2,Inputs!$K$4:$AJ$4,0))))+SUMPRODUCT((Inputs!$E$5:$E$110=$B59)*ISNUMBER(INDEX(Inputs!$K$5:$AJ$110,0,MATCH(N$2,Inputs!$K$4:$AJ$4,0))))=0,NA(),SUMPRODUCT((Inputs!$A$5:$A$110=$B59)*Inputs!$B$5:$B$110*(((Inputs!$G$5:$G$110="moeda")+(Inputs!$G$5:$G$110="acoes"))*Inputs!$B$1+((Inputs!$G$5:$G$110&lt;&gt;"moeda")*(Inputs!$G$5:$G$110&lt;&gt;"acoes")))*INDEX(Inputs!$K$5:$AJ$110,0,MATCH(N$2,Inputs!$K$4:$AJ$4,0)))+SUMPRODUCT((Inputs!$C$5:$C$110=$B59)*Inputs!$D$5:$D$110*(((Inputs!$G$5:$G$110="moeda")+(Inputs!$G$5:$G$110="acoes"))*Inputs!$B$1+((Inputs!$G$5:$G$110&lt;&gt;"moeda")*(Inputs!$G$5:$G$110&lt;&gt;"acoes")))*INDEX(Inputs!$K$5:$AJ$110,0,MATCH(N$2,Inputs!$K$4:$AJ$4,0)))+SUMPRODUCT((Inputs!$E$5:$E$110=$B59)*Inputs!$F$5:$F$110*(((Inputs!$G$5:$G$110="moeda")+(Inputs!$G$5:$G$110="acoes"))*Inputs!$B$1+((Inputs!$G$5:$G$110&lt;&gt;"moeda")*(Inputs!$G$5:$G$110&lt;&gt;"acoes")))*INDEX(Inputs!$K$5:$AJ$110,0,MATCH(N$2,Inputs!$K$4:$AJ$4,0)))))</f>
        <v>288</v>
      </c>
      <c r="O59" s="263">
        <f>IF(ISNA(MATCH(O$2,Inputs!$K$4:$AJ$4,0)),NA(),IF(SUMPRODUCT((Inputs!$A$5:$A$110=$B59)*ISNUMBER(INDEX(Inputs!$K$5:$AJ$110,0,MATCH(O$2,Inputs!$K$4:$AJ$4,0))))+SUMPRODUCT((Inputs!$C$5:$C$110=$B59)*ISNUMBER(INDEX(Inputs!$K$5:$AJ$110,0,MATCH(O$2,Inputs!$K$4:$AJ$4,0))))+SUMPRODUCT((Inputs!$E$5:$E$110=$B59)*ISNUMBER(INDEX(Inputs!$K$5:$AJ$110,0,MATCH(O$2,Inputs!$K$4:$AJ$4,0))))=0,NA(),SUMPRODUCT((Inputs!$A$5:$A$110=$B59)*Inputs!$B$5:$B$110*(((Inputs!$G$5:$G$110="moeda")+(Inputs!$G$5:$G$110="acoes"))*Inputs!$B$1+((Inputs!$G$5:$G$110&lt;&gt;"moeda")*(Inputs!$G$5:$G$110&lt;&gt;"acoes")))*INDEX(Inputs!$K$5:$AJ$110,0,MATCH(O$2,Inputs!$K$4:$AJ$4,0)))+SUMPRODUCT((Inputs!$C$5:$C$110=$B59)*Inputs!$D$5:$D$110*(((Inputs!$G$5:$G$110="moeda")+(Inputs!$G$5:$G$110="acoes"))*Inputs!$B$1+((Inputs!$G$5:$G$110&lt;&gt;"moeda")*(Inputs!$G$5:$G$110&lt;&gt;"acoes")))*INDEX(Inputs!$K$5:$AJ$110,0,MATCH(O$2,Inputs!$K$4:$AJ$4,0)))+SUMPRODUCT((Inputs!$E$5:$E$110=$B59)*Inputs!$F$5:$F$110*(((Inputs!$G$5:$G$110="moeda")+(Inputs!$G$5:$G$110="acoes"))*Inputs!$B$1+((Inputs!$G$5:$G$110&lt;&gt;"moeda")*(Inputs!$G$5:$G$110&lt;&gt;"acoes")))*INDEX(Inputs!$K$5:$AJ$110,0,MATCH(O$2,Inputs!$K$4:$AJ$4,0)))))</f>
        <v>285</v>
      </c>
      <c r="P59" s="263">
        <f>IF(ISNA(MATCH(P$2,Inputs!$K$4:$AJ$4,0)),NA(),IF(SUMPRODUCT((Inputs!$A$5:$A$110=$B59)*ISNUMBER(INDEX(Inputs!$K$5:$AJ$110,0,MATCH(P$2,Inputs!$K$4:$AJ$4,0))))+SUMPRODUCT((Inputs!$C$5:$C$110=$B59)*ISNUMBER(INDEX(Inputs!$K$5:$AJ$110,0,MATCH(P$2,Inputs!$K$4:$AJ$4,0))))+SUMPRODUCT((Inputs!$E$5:$E$110=$B59)*ISNUMBER(INDEX(Inputs!$K$5:$AJ$110,0,MATCH(P$2,Inputs!$K$4:$AJ$4,0))))=0,NA(),SUMPRODUCT((Inputs!$A$5:$A$110=$B59)*Inputs!$B$5:$B$110*(((Inputs!$G$5:$G$110="moeda")+(Inputs!$G$5:$G$110="acoes"))*Inputs!$B$1+((Inputs!$G$5:$G$110&lt;&gt;"moeda")*(Inputs!$G$5:$G$110&lt;&gt;"acoes")))*INDEX(Inputs!$K$5:$AJ$110,0,MATCH(P$2,Inputs!$K$4:$AJ$4,0)))+SUMPRODUCT((Inputs!$C$5:$C$110=$B59)*Inputs!$D$5:$D$110*(((Inputs!$G$5:$G$110="moeda")+(Inputs!$G$5:$G$110="acoes"))*Inputs!$B$1+((Inputs!$G$5:$G$110&lt;&gt;"moeda")*(Inputs!$G$5:$G$110&lt;&gt;"acoes")))*INDEX(Inputs!$K$5:$AJ$110,0,MATCH(P$2,Inputs!$K$4:$AJ$4,0)))+SUMPRODUCT((Inputs!$E$5:$E$110=$B59)*Inputs!$F$5:$F$110*(((Inputs!$G$5:$G$110="moeda")+(Inputs!$G$5:$G$110="acoes"))*Inputs!$B$1+((Inputs!$G$5:$G$110&lt;&gt;"moeda")*(Inputs!$G$5:$G$110&lt;&gt;"acoes")))*INDEX(Inputs!$K$5:$AJ$110,0,MATCH(P$2,Inputs!$K$4:$AJ$4,0)))))</f>
        <v>297</v>
      </c>
      <c r="Q59" s="263">
        <f>IF(ISNA(MATCH(Q$2,Inputs!$K$4:$AJ$4,0)),NA(),IF(SUMPRODUCT((Inputs!$A$5:$A$110=$B59)*ISNUMBER(INDEX(Inputs!$K$5:$AJ$110,0,MATCH(Q$2,Inputs!$K$4:$AJ$4,0))))+SUMPRODUCT((Inputs!$C$5:$C$110=$B59)*ISNUMBER(INDEX(Inputs!$K$5:$AJ$110,0,MATCH(Q$2,Inputs!$K$4:$AJ$4,0))))+SUMPRODUCT((Inputs!$E$5:$E$110=$B59)*ISNUMBER(INDEX(Inputs!$K$5:$AJ$110,0,MATCH(Q$2,Inputs!$K$4:$AJ$4,0))))=0,NA(),SUMPRODUCT((Inputs!$A$5:$A$110=$B59)*Inputs!$B$5:$B$110*(((Inputs!$G$5:$G$110="moeda")+(Inputs!$G$5:$G$110="acoes"))*Inputs!$B$1+((Inputs!$G$5:$G$110&lt;&gt;"moeda")*(Inputs!$G$5:$G$110&lt;&gt;"acoes")))*INDEX(Inputs!$K$5:$AJ$110,0,MATCH(Q$2,Inputs!$K$4:$AJ$4,0)))+SUMPRODUCT((Inputs!$C$5:$C$110=$B59)*Inputs!$D$5:$D$110*(((Inputs!$G$5:$G$110="moeda")+(Inputs!$G$5:$G$110="acoes"))*Inputs!$B$1+((Inputs!$G$5:$G$110&lt;&gt;"moeda")*(Inputs!$G$5:$G$110&lt;&gt;"acoes")))*INDEX(Inputs!$K$5:$AJ$110,0,MATCH(Q$2,Inputs!$K$4:$AJ$4,0)))+SUMPRODUCT((Inputs!$E$5:$E$110=$B59)*Inputs!$F$5:$F$110*(((Inputs!$G$5:$G$110="moeda")+(Inputs!$G$5:$G$110="acoes"))*Inputs!$B$1+((Inputs!$G$5:$G$110&lt;&gt;"moeda")*(Inputs!$G$5:$G$110&lt;&gt;"acoes")))*INDEX(Inputs!$K$5:$AJ$110,0,MATCH(Q$2,Inputs!$K$4:$AJ$4,0)))))</f>
        <v>657</v>
      </c>
      <c r="R59" s="264">
        <f>SUM(N59:Q59)</f>
        <v>1527</v>
      </c>
      <c r="S59" s="263">
        <f>IF(ISNA(MATCH(S$2,Inputs!$K$4:$AJ$4,0)),NA(),IF(SUMPRODUCT((Inputs!$A$5:$A$110=$B59)*ISNUMBER(INDEX(Inputs!$K$5:$AJ$110,0,MATCH(S$2,Inputs!$K$4:$AJ$4,0))))+SUMPRODUCT((Inputs!$C$5:$C$110=$B59)*ISNUMBER(INDEX(Inputs!$K$5:$AJ$110,0,MATCH(S$2,Inputs!$K$4:$AJ$4,0))))+SUMPRODUCT((Inputs!$E$5:$E$110=$B59)*ISNUMBER(INDEX(Inputs!$K$5:$AJ$110,0,MATCH(S$2,Inputs!$K$4:$AJ$4,0))))=0,NA(),SUMPRODUCT((Inputs!$A$5:$A$110=$B59)*Inputs!$B$5:$B$110*(((Inputs!$G$5:$G$110="moeda")+(Inputs!$G$5:$G$110="acoes"))*Inputs!$B$1+((Inputs!$G$5:$G$110&lt;&gt;"moeda")*(Inputs!$G$5:$G$110&lt;&gt;"acoes")))*INDEX(Inputs!$K$5:$AJ$110,0,MATCH(S$2,Inputs!$K$4:$AJ$4,0)))+SUMPRODUCT((Inputs!$C$5:$C$110=$B59)*Inputs!$D$5:$D$110*(((Inputs!$G$5:$G$110="moeda")+(Inputs!$G$5:$G$110="acoes"))*Inputs!$B$1+((Inputs!$G$5:$G$110&lt;&gt;"moeda")*(Inputs!$G$5:$G$110&lt;&gt;"acoes")))*INDEX(Inputs!$K$5:$AJ$110,0,MATCH(S$2,Inputs!$K$4:$AJ$4,0)))+SUMPRODUCT((Inputs!$E$5:$E$110=$B59)*Inputs!$F$5:$F$110*(((Inputs!$G$5:$G$110="moeda")+(Inputs!$G$5:$G$110="acoes"))*Inputs!$B$1+((Inputs!$G$5:$G$110&lt;&gt;"moeda")*(Inputs!$G$5:$G$110&lt;&gt;"acoes")))*INDEX(Inputs!$K$5:$AJ$110,0,MATCH(S$2,Inputs!$K$4:$AJ$4,0)))))</f>
        <v>495</v>
      </c>
      <c r="T59" s="263">
        <f>IF(ISNA(MATCH(T$2,Inputs!$K$4:$AJ$4,0)),NA(),IF(SUMPRODUCT((Inputs!$A$5:$A$110=$B59)*ISNUMBER(INDEX(Inputs!$K$5:$AJ$110,0,MATCH(T$2,Inputs!$K$4:$AJ$4,0))))+SUMPRODUCT((Inputs!$C$5:$C$110=$B59)*ISNUMBER(INDEX(Inputs!$K$5:$AJ$110,0,MATCH(T$2,Inputs!$K$4:$AJ$4,0))))+SUMPRODUCT((Inputs!$E$5:$E$110=$B59)*ISNUMBER(INDEX(Inputs!$K$5:$AJ$110,0,MATCH(T$2,Inputs!$K$4:$AJ$4,0))))=0,NA(),SUMPRODUCT((Inputs!$A$5:$A$110=$B59)*Inputs!$B$5:$B$110*(((Inputs!$G$5:$G$110="moeda")+(Inputs!$G$5:$G$110="acoes"))*Inputs!$B$1+((Inputs!$G$5:$G$110&lt;&gt;"moeda")*(Inputs!$G$5:$G$110&lt;&gt;"acoes")))*INDEX(Inputs!$K$5:$AJ$110,0,MATCH(T$2,Inputs!$K$4:$AJ$4,0)))+SUMPRODUCT((Inputs!$C$5:$C$110=$B59)*Inputs!$D$5:$D$110*(((Inputs!$G$5:$G$110="moeda")+(Inputs!$G$5:$G$110="acoes"))*Inputs!$B$1+((Inputs!$G$5:$G$110&lt;&gt;"moeda")*(Inputs!$G$5:$G$110&lt;&gt;"acoes")))*INDEX(Inputs!$K$5:$AJ$110,0,MATCH(T$2,Inputs!$K$4:$AJ$4,0)))+SUMPRODUCT((Inputs!$E$5:$E$110=$B59)*Inputs!$F$5:$F$110*(((Inputs!$G$5:$G$110="moeda")+(Inputs!$G$5:$G$110="acoes"))*Inputs!$B$1+((Inputs!$G$5:$G$110&lt;&gt;"moeda")*(Inputs!$G$5:$G$110&lt;&gt;"acoes")))*INDEX(Inputs!$K$5:$AJ$110,0,MATCH(T$2,Inputs!$K$4:$AJ$4,0)))))</f>
        <v>365</v>
      </c>
      <c r="U59" s="263">
        <f>IF(ISNA(MATCH(U$2,Inputs!$K$4:$AJ$4,0)),NA(),IF(SUMPRODUCT((Inputs!$A$5:$A$110=$B59)*ISNUMBER(INDEX(Inputs!$K$5:$AJ$110,0,MATCH(U$2,Inputs!$K$4:$AJ$4,0))))+SUMPRODUCT((Inputs!$C$5:$C$110=$B59)*ISNUMBER(INDEX(Inputs!$K$5:$AJ$110,0,MATCH(U$2,Inputs!$K$4:$AJ$4,0))))+SUMPRODUCT((Inputs!$E$5:$E$110=$B59)*ISNUMBER(INDEX(Inputs!$K$5:$AJ$110,0,MATCH(U$2,Inputs!$K$4:$AJ$4,0))))=0,NA(),SUMPRODUCT((Inputs!$A$5:$A$110=$B59)*Inputs!$B$5:$B$110*(((Inputs!$G$5:$G$110="moeda")+(Inputs!$G$5:$G$110="acoes"))*Inputs!$B$1+((Inputs!$G$5:$G$110&lt;&gt;"moeda")*(Inputs!$G$5:$G$110&lt;&gt;"acoes")))*INDEX(Inputs!$K$5:$AJ$110,0,MATCH(U$2,Inputs!$K$4:$AJ$4,0)))+SUMPRODUCT((Inputs!$C$5:$C$110=$B59)*Inputs!$D$5:$D$110*(((Inputs!$G$5:$G$110="moeda")+(Inputs!$G$5:$G$110="acoes"))*Inputs!$B$1+((Inputs!$G$5:$G$110&lt;&gt;"moeda")*(Inputs!$G$5:$G$110&lt;&gt;"acoes")))*INDEX(Inputs!$K$5:$AJ$110,0,MATCH(U$2,Inputs!$K$4:$AJ$4,0)))+SUMPRODUCT((Inputs!$E$5:$E$110=$B59)*Inputs!$F$5:$F$110*(((Inputs!$G$5:$G$110="moeda")+(Inputs!$G$5:$G$110="acoes"))*Inputs!$B$1+((Inputs!$G$5:$G$110&lt;&gt;"moeda")*(Inputs!$G$5:$G$110&lt;&gt;"acoes")))*INDEX(Inputs!$K$5:$AJ$110,0,MATCH(U$2,Inputs!$K$4:$AJ$4,0)))))</f>
        <v>388</v>
      </c>
      <c r="V59" s="263">
        <f>IF(ISNA(MATCH(V$2,Inputs!$K$4:$AJ$4,0)),NA(),IF(SUMPRODUCT((Inputs!$A$5:$A$110=$B59)*ISNUMBER(INDEX(Inputs!$K$5:$AJ$110,0,MATCH(V$2,Inputs!$K$4:$AJ$4,0))))+SUMPRODUCT((Inputs!$C$5:$C$110=$B59)*ISNUMBER(INDEX(Inputs!$K$5:$AJ$110,0,MATCH(V$2,Inputs!$K$4:$AJ$4,0))))+SUMPRODUCT((Inputs!$E$5:$E$110=$B59)*ISNUMBER(INDEX(Inputs!$K$5:$AJ$110,0,MATCH(V$2,Inputs!$K$4:$AJ$4,0))))=0,NA(),SUMPRODUCT((Inputs!$A$5:$A$110=$B59)*Inputs!$B$5:$B$110*(((Inputs!$G$5:$G$110="moeda")+(Inputs!$G$5:$G$110="acoes"))*Inputs!$B$1+((Inputs!$G$5:$G$110&lt;&gt;"moeda")*(Inputs!$G$5:$G$110&lt;&gt;"acoes")))*INDEX(Inputs!$K$5:$AJ$110,0,MATCH(V$2,Inputs!$K$4:$AJ$4,0)))+SUMPRODUCT((Inputs!$C$5:$C$110=$B59)*Inputs!$D$5:$D$110*(((Inputs!$G$5:$G$110="moeda")+(Inputs!$G$5:$G$110="acoes"))*Inputs!$B$1+((Inputs!$G$5:$G$110&lt;&gt;"moeda")*(Inputs!$G$5:$G$110&lt;&gt;"acoes")))*INDEX(Inputs!$K$5:$AJ$110,0,MATCH(V$2,Inputs!$K$4:$AJ$4,0)))+SUMPRODUCT((Inputs!$E$5:$E$110=$B59)*Inputs!$F$5:$F$110*(((Inputs!$G$5:$G$110="moeda")+(Inputs!$G$5:$G$110="acoes"))*Inputs!$B$1+((Inputs!$G$5:$G$110&lt;&gt;"moeda")*(Inputs!$G$5:$G$110&lt;&gt;"acoes")))*INDEX(Inputs!$K$5:$AJ$110,0,MATCH(V$2,Inputs!$K$4:$AJ$4,0)))))</f>
        <v>400</v>
      </c>
      <c r="W59" s="264">
        <f>SUM(S59:V59)</f>
        <v>1648</v>
      </c>
      <c r="X59" s="263">
        <f>IF(ISNA(MATCH(X$2,Inputs!$K$4:$AJ$4,0)),NA(),IF(SUMPRODUCT((Inputs!$A$5:$A$110=$B59)*ISNUMBER(INDEX(Inputs!$K$5:$AJ$110,0,MATCH(X$2,Inputs!$K$4:$AJ$4,0))))+SUMPRODUCT((Inputs!$C$5:$C$110=$B59)*ISNUMBER(INDEX(Inputs!$K$5:$AJ$110,0,MATCH(X$2,Inputs!$K$4:$AJ$4,0))))+SUMPRODUCT((Inputs!$E$5:$E$110=$B59)*ISNUMBER(INDEX(Inputs!$K$5:$AJ$110,0,MATCH(X$2,Inputs!$K$4:$AJ$4,0))))=0,NA(),SUMPRODUCT((Inputs!$A$5:$A$110=$B59)*Inputs!$B$5:$B$110*(((Inputs!$G$5:$G$110="moeda")+(Inputs!$G$5:$G$110="acoes"))*Inputs!$B$1+((Inputs!$G$5:$G$110&lt;&gt;"moeda")*(Inputs!$G$5:$G$110&lt;&gt;"acoes")))*INDEX(Inputs!$K$5:$AJ$110,0,MATCH(X$2,Inputs!$K$4:$AJ$4,0)))+SUMPRODUCT((Inputs!$C$5:$C$110=$B59)*Inputs!$D$5:$D$110*(((Inputs!$G$5:$G$110="moeda")+(Inputs!$G$5:$G$110="acoes"))*Inputs!$B$1+((Inputs!$G$5:$G$110&lt;&gt;"moeda")*(Inputs!$G$5:$G$110&lt;&gt;"acoes")))*INDEX(Inputs!$K$5:$AJ$110,0,MATCH(X$2,Inputs!$K$4:$AJ$4,0)))+SUMPRODUCT((Inputs!$E$5:$E$110=$B59)*Inputs!$F$5:$F$110*(((Inputs!$G$5:$G$110="moeda")+(Inputs!$G$5:$G$110="acoes"))*Inputs!$B$1+((Inputs!$G$5:$G$110&lt;&gt;"moeda")*(Inputs!$G$5:$G$110&lt;&gt;"acoes")))*INDEX(Inputs!$K$5:$AJ$110,0,MATCH(X$2,Inputs!$K$4:$AJ$4,0)))))</f>
        <v>450</v>
      </c>
      <c r="Y59" s="263">
        <f>IF(ISNA(MATCH(Y$2,Inputs!$K$4:$AJ$4,0)),NA(),IF(SUMPRODUCT((Inputs!$A$5:$A$110=$B59)*ISNUMBER(INDEX(Inputs!$K$5:$AJ$110,0,MATCH(Y$2,Inputs!$K$4:$AJ$4,0))))+SUMPRODUCT((Inputs!$C$5:$C$110=$B59)*ISNUMBER(INDEX(Inputs!$K$5:$AJ$110,0,MATCH(Y$2,Inputs!$K$4:$AJ$4,0))))+SUMPRODUCT((Inputs!$E$5:$E$110=$B59)*ISNUMBER(INDEX(Inputs!$K$5:$AJ$110,0,MATCH(Y$2,Inputs!$K$4:$AJ$4,0))))=0,NA(),SUMPRODUCT((Inputs!$A$5:$A$110=$B59)*Inputs!$B$5:$B$110*(((Inputs!$G$5:$G$110="moeda")+(Inputs!$G$5:$G$110="acoes"))*Inputs!$B$1+((Inputs!$G$5:$G$110&lt;&gt;"moeda")*(Inputs!$G$5:$G$110&lt;&gt;"acoes")))*INDEX(Inputs!$K$5:$AJ$110,0,MATCH(Y$2,Inputs!$K$4:$AJ$4,0)))+SUMPRODUCT((Inputs!$C$5:$C$110=$B59)*Inputs!$D$5:$D$110*(((Inputs!$G$5:$G$110="moeda")+(Inputs!$G$5:$G$110="acoes"))*Inputs!$B$1+((Inputs!$G$5:$G$110&lt;&gt;"moeda")*(Inputs!$G$5:$G$110&lt;&gt;"acoes")))*INDEX(Inputs!$K$5:$AJ$110,0,MATCH(Y$2,Inputs!$K$4:$AJ$4,0)))+SUMPRODUCT((Inputs!$E$5:$E$110=$B59)*Inputs!$F$5:$F$110*(((Inputs!$G$5:$G$110="moeda")+(Inputs!$G$5:$G$110="acoes"))*Inputs!$B$1+((Inputs!$G$5:$G$110&lt;&gt;"moeda")*(Inputs!$G$5:$G$110&lt;&gt;"acoes")))*INDEX(Inputs!$K$5:$AJ$110,0,MATCH(Y$2,Inputs!$K$4:$AJ$4,0)))))</f>
        <v>373</v>
      </c>
      <c r="Z59" s="263">
        <f>IF(ISNA(MATCH(Z$2,Inputs!$K$4:$AJ$4,0)),NA(),IF(SUMPRODUCT((Inputs!$A$5:$A$110=$B59)*ISNUMBER(INDEX(Inputs!$K$5:$AJ$110,0,MATCH(Z$2,Inputs!$K$4:$AJ$4,0))))+SUMPRODUCT((Inputs!$C$5:$C$110=$B59)*ISNUMBER(INDEX(Inputs!$K$5:$AJ$110,0,MATCH(Z$2,Inputs!$K$4:$AJ$4,0))))+SUMPRODUCT((Inputs!$E$5:$E$110=$B59)*ISNUMBER(INDEX(Inputs!$K$5:$AJ$110,0,MATCH(Z$2,Inputs!$K$4:$AJ$4,0))))=0,NA(),SUMPRODUCT((Inputs!$A$5:$A$110=$B59)*Inputs!$B$5:$B$110*(((Inputs!$G$5:$G$110="moeda")+(Inputs!$G$5:$G$110="acoes"))*Inputs!$B$1+((Inputs!$G$5:$G$110&lt;&gt;"moeda")*(Inputs!$G$5:$G$110&lt;&gt;"acoes")))*INDEX(Inputs!$K$5:$AJ$110,0,MATCH(Z$2,Inputs!$K$4:$AJ$4,0)))+SUMPRODUCT((Inputs!$C$5:$C$110=$B59)*Inputs!$D$5:$D$110*(((Inputs!$G$5:$G$110="moeda")+(Inputs!$G$5:$G$110="acoes"))*Inputs!$B$1+((Inputs!$G$5:$G$110&lt;&gt;"moeda")*(Inputs!$G$5:$G$110&lt;&gt;"acoes")))*INDEX(Inputs!$K$5:$AJ$110,0,MATCH(Z$2,Inputs!$K$4:$AJ$4,0)))+SUMPRODUCT((Inputs!$E$5:$E$110=$B59)*Inputs!$F$5:$F$110*(((Inputs!$G$5:$G$110="moeda")+(Inputs!$G$5:$G$110="acoes"))*Inputs!$B$1+((Inputs!$G$5:$G$110&lt;&gt;"moeda")*(Inputs!$G$5:$G$110&lt;&gt;"acoes")))*INDEX(Inputs!$K$5:$AJ$110,0,MATCH(Z$2,Inputs!$K$4:$AJ$4,0)))))</f>
        <v>344</v>
      </c>
      <c r="AA59" s="263">
        <f>IF(ISNA(MATCH(AA$2,Inputs!$K$4:$AJ$4,0)),NA(),IF(SUMPRODUCT((Inputs!$A$5:$A$110=$B59)*ISNUMBER(INDEX(Inputs!$K$5:$AJ$110,0,MATCH(AA$2,Inputs!$K$4:$AJ$4,0))))+SUMPRODUCT((Inputs!$C$5:$C$110=$B59)*ISNUMBER(INDEX(Inputs!$K$5:$AJ$110,0,MATCH(AA$2,Inputs!$K$4:$AJ$4,0))))+SUMPRODUCT((Inputs!$E$5:$E$110=$B59)*ISNUMBER(INDEX(Inputs!$K$5:$AJ$110,0,MATCH(AA$2,Inputs!$K$4:$AJ$4,0))))=0,NA(),SUMPRODUCT((Inputs!$A$5:$A$110=$B59)*Inputs!$B$5:$B$110*(((Inputs!$G$5:$G$110="moeda")+(Inputs!$G$5:$G$110="acoes"))*Inputs!$B$1+((Inputs!$G$5:$G$110&lt;&gt;"moeda")*(Inputs!$G$5:$G$110&lt;&gt;"acoes")))*INDEX(Inputs!$K$5:$AJ$110,0,MATCH(AA$2,Inputs!$K$4:$AJ$4,0)))+SUMPRODUCT((Inputs!$C$5:$C$110=$B59)*Inputs!$D$5:$D$110*(((Inputs!$G$5:$G$110="moeda")+(Inputs!$G$5:$G$110="acoes"))*Inputs!$B$1+((Inputs!$G$5:$G$110&lt;&gt;"moeda")*(Inputs!$G$5:$G$110&lt;&gt;"acoes")))*INDEX(Inputs!$K$5:$AJ$110,0,MATCH(AA$2,Inputs!$K$4:$AJ$4,0)))+SUMPRODUCT((Inputs!$E$5:$E$110=$B59)*Inputs!$F$5:$F$110*(((Inputs!$G$5:$G$110="moeda")+(Inputs!$G$5:$G$110="acoes"))*Inputs!$B$1+((Inputs!$G$5:$G$110&lt;&gt;"moeda")*(Inputs!$G$5:$G$110&lt;&gt;"acoes")))*INDEX(Inputs!$K$5:$AJ$110,0,MATCH(AA$2,Inputs!$K$4:$AJ$4,0)))))</f>
        <v>370</v>
      </c>
      <c r="AB59" s="264">
        <f>SUM(X59:AA59)</f>
        <v>1537</v>
      </c>
      <c r="AC59" s="263">
        <f>IF(ISNA(MATCH(AC$2,Inputs!$K$4:$AJ$4,0)),NA(),IF(SUMPRODUCT((Inputs!$A$5:$A$110=$B59)*ISNUMBER(INDEX(Inputs!$K$5:$AJ$110,0,MATCH(AC$2,Inputs!$K$4:$AJ$4,0))))+SUMPRODUCT((Inputs!$C$5:$C$110=$B59)*ISNUMBER(INDEX(Inputs!$K$5:$AJ$110,0,MATCH(AC$2,Inputs!$K$4:$AJ$4,0))))+SUMPRODUCT((Inputs!$E$5:$E$110=$B59)*ISNUMBER(INDEX(Inputs!$K$5:$AJ$110,0,MATCH(AC$2,Inputs!$K$4:$AJ$4,0))))=0,NA(),SUMPRODUCT((Inputs!$A$5:$A$110=$B59)*Inputs!$B$5:$B$110*(((Inputs!$G$5:$G$110="moeda")+(Inputs!$G$5:$G$110="acoes"))*Inputs!$B$1+((Inputs!$G$5:$G$110&lt;&gt;"moeda")*(Inputs!$G$5:$G$110&lt;&gt;"acoes")))*INDEX(Inputs!$K$5:$AJ$110,0,MATCH(AC$2,Inputs!$K$4:$AJ$4,0)))+SUMPRODUCT((Inputs!$C$5:$C$110=$B59)*Inputs!$D$5:$D$110*(((Inputs!$G$5:$G$110="moeda")+(Inputs!$G$5:$G$110="acoes"))*Inputs!$B$1+((Inputs!$G$5:$G$110&lt;&gt;"moeda")*(Inputs!$G$5:$G$110&lt;&gt;"acoes")))*INDEX(Inputs!$K$5:$AJ$110,0,MATCH(AC$2,Inputs!$K$4:$AJ$4,0)))+SUMPRODUCT((Inputs!$E$5:$E$110=$B59)*Inputs!$F$5:$F$110*(((Inputs!$G$5:$G$110="moeda")+(Inputs!$G$5:$G$110="acoes"))*Inputs!$B$1+((Inputs!$G$5:$G$110&lt;&gt;"moeda")*(Inputs!$G$5:$G$110&lt;&gt;"acoes")))*INDEX(Inputs!$K$5:$AJ$110,0,MATCH(AC$2,Inputs!$K$4:$AJ$4,0)))))</f>
        <v>411</v>
      </c>
      <c r="AD59" s="263">
        <f>IF(ISNA(MATCH(AD$2,Inputs!$K$4:$AJ$4,0)),NA(),IF(SUMPRODUCT((Inputs!$A$5:$A$110=$B59)*ISNUMBER(INDEX(Inputs!$K$5:$AJ$110,0,MATCH(AD$2,Inputs!$K$4:$AJ$4,0))))+SUMPRODUCT((Inputs!$C$5:$C$110=$B59)*ISNUMBER(INDEX(Inputs!$K$5:$AJ$110,0,MATCH(AD$2,Inputs!$K$4:$AJ$4,0))))+SUMPRODUCT((Inputs!$E$5:$E$110=$B59)*ISNUMBER(INDEX(Inputs!$K$5:$AJ$110,0,MATCH(AD$2,Inputs!$K$4:$AJ$4,0))))=0,NA(),SUMPRODUCT((Inputs!$A$5:$A$110=$B59)*Inputs!$B$5:$B$110*(((Inputs!$G$5:$G$110="moeda")+(Inputs!$G$5:$G$110="acoes"))*Inputs!$B$1+((Inputs!$G$5:$G$110&lt;&gt;"moeda")*(Inputs!$G$5:$G$110&lt;&gt;"acoes")))*INDEX(Inputs!$K$5:$AJ$110,0,MATCH(AD$2,Inputs!$K$4:$AJ$4,0)))+SUMPRODUCT((Inputs!$C$5:$C$110=$B59)*Inputs!$D$5:$D$110*(((Inputs!$G$5:$G$110="moeda")+(Inputs!$G$5:$G$110="acoes"))*Inputs!$B$1+((Inputs!$G$5:$G$110&lt;&gt;"moeda")*(Inputs!$G$5:$G$110&lt;&gt;"acoes")))*INDEX(Inputs!$K$5:$AJ$110,0,MATCH(AD$2,Inputs!$K$4:$AJ$4,0)))+SUMPRODUCT((Inputs!$E$5:$E$110=$B59)*Inputs!$F$5:$F$110*(((Inputs!$G$5:$G$110="moeda")+(Inputs!$G$5:$G$110="acoes"))*Inputs!$B$1+((Inputs!$G$5:$G$110&lt;&gt;"moeda")*(Inputs!$G$5:$G$110&lt;&gt;"acoes")))*INDEX(Inputs!$K$5:$AJ$110,0,MATCH(AD$2,Inputs!$K$4:$AJ$4,0)))))</f>
        <v>382</v>
      </c>
      <c r="AE59" s="263" t="e">
        <f>IF(ISNA(MATCH(AE$2,Inputs!$K$4:$AJ$4,0)),NA(),IF(SUMPRODUCT((Inputs!$A$5:$A$110=$B59)*ISNUMBER(INDEX(Inputs!$K$5:$AJ$110,0,MATCH(AE$2,Inputs!$K$4:$AJ$4,0))))+SUMPRODUCT((Inputs!$C$5:$C$110=$B59)*ISNUMBER(INDEX(Inputs!$K$5:$AJ$110,0,MATCH(AE$2,Inputs!$K$4:$AJ$4,0))))+SUMPRODUCT((Inputs!$E$5:$E$110=$B59)*ISNUMBER(INDEX(Inputs!$K$5:$AJ$110,0,MATCH(AE$2,Inputs!$K$4:$AJ$4,0))))=0,NA(),SUMPRODUCT((Inputs!$A$5:$A$110=$B59)*Inputs!$B$5:$B$110*(((Inputs!$G$5:$G$110="moeda")+(Inputs!$G$5:$G$110="acoes"))*Inputs!$B$1+((Inputs!$G$5:$G$110&lt;&gt;"moeda")*(Inputs!$G$5:$G$110&lt;&gt;"acoes")))*INDEX(Inputs!$K$5:$AJ$110,0,MATCH(AE$2,Inputs!$K$4:$AJ$4,0)))+SUMPRODUCT((Inputs!$C$5:$C$110=$B59)*Inputs!$D$5:$D$110*(((Inputs!$G$5:$G$110="moeda")+(Inputs!$G$5:$G$110="acoes"))*Inputs!$B$1+((Inputs!$G$5:$G$110&lt;&gt;"moeda")*(Inputs!$G$5:$G$110&lt;&gt;"acoes")))*INDEX(Inputs!$K$5:$AJ$110,0,MATCH(AE$2,Inputs!$K$4:$AJ$4,0)))+SUMPRODUCT((Inputs!$E$5:$E$110=$B59)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9" s="263" t="e">
        <f>IF(ISNA(MATCH(AF$2,Inputs!$K$4:$AJ$4,0)),NA(),IF(SUMPRODUCT((Inputs!$A$5:$A$110=$B59)*ISNUMBER(INDEX(Inputs!$K$5:$AJ$110,0,MATCH(AF$2,Inputs!$K$4:$AJ$4,0))))+SUMPRODUCT((Inputs!$C$5:$C$110=$B59)*ISNUMBER(INDEX(Inputs!$K$5:$AJ$110,0,MATCH(AF$2,Inputs!$K$4:$AJ$4,0))))+SUMPRODUCT((Inputs!$E$5:$E$110=$B59)*ISNUMBER(INDEX(Inputs!$K$5:$AJ$110,0,MATCH(AF$2,Inputs!$K$4:$AJ$4,0))))=0,NA(),SUMPRODUCT((Inputs!$A$5:$A$110=$B59)*Inputs!$B$5:$B$110*(((Inputs!$G$5:$G$110="moeda")+(Inputs!$G$5:$G$110="acoes"))*Inputs!$B$1+((Inputs!$G$5:$G$110&lt;&gt;"moeda")*(Inputs!$G$5:$G$110&lt;&gt;"acoes")))*INDEX(Inputs!$K$5:$AJ$110,0,MATCH(AF$2,Inputs!$K$4:$AJ$4,0)))+SUMPRODUCT((Inputs!$C$5:$C$110=$B59)*Inputs!$D$5:$D$110*(((Inputs!$G$5:$G$110="moeda")+(Inputs!$G$5:$G$110="acoes"))*Inputs!$B$1+((Inputs!$G$5:$G$110&lt;&gt;"moeda")*(Inputs!$G$5:$G$110&lt;&gt;"acoes")))*INDEX(Inputs!$K$5:$AJ$110,0,MATCH(AF$2,Inputs!$K$4:$AJ$4,0)))+SUMPRODUCT((Inputs!$E$5:$E$110=$B59)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9" s="264" t="e">
        <f>SUM(AC59:AF59)</f>
        <v>#N/A</v>
      </c>
      <c r="AH59" s="263">
        <f>IF(ISNA(MATCH(AH$2,Inputs!$K$4:$AJ$4,0)),NA(),IF(SUMPRODUCT((Inputs!$A$5:$A$110=$B59)*ISNUMBER(INDEX(Inputs!$K$5:$AJ$110,0,MATCH(AH$2,Inputs!$K$4:$AJ$4,0))))+SUMPRODUCT((Inputs!$C$5:$C$110=$B59)*ISNUMBER(INDEX(Inputs!$K$5:$AJ$110,0,MATCH(AH$2,Inputs!$K$4:$AJ$4,0))))+SUMPRODUCT((Inputs!$E$5:$E$110=$B59)*ISNUMBER(INDEX(Inputs!$K$5:$AJ$110,0,MATCH(AH$2,Inputs!$K$4:$AJ$4,0))))=0,NA(),SUMPRODUCT((Inputs!$A$5:$A$110=$B59)*Inputs!$B$5:$B$110*(((Inputs!$G$5:$G$110="moeda")+(Inputs!$G$5:$G$110="acoes"))*Inputs!$B$1+((Inputs!$G$5:$G$110&lt;&gt;"moeda")*(Inputs!$G$5:$G$110&lt;&gt;"acoes")))*INDEX(Inputs!$K$5:$AJ$110,0,MATCH(AH$2,Inputs!$K$4:$AJ$4,0)))+SUMPRODUCT((Inputs!$C$5:$C$110=$B59)*Inputs!$D$5:$D$110*(((Inputs!$G$5:$G$110="moeda")+(Inputs!$G$5:$G$110="acoes"))*Inputs!$B$1+((Inputs!$G$5:$G$110&lt;&gt;"moeda")*(Inputs!$G$5:$G$110&lt;&gt;"acoes")))*INDEX(Inputs!$K$5:$AJ$110,0,MATCH(AH$2,Inputs!$K$4:$AJ$4,0)))+SUMPRODUCT((Inputs!$E$5:$E$110=$B59)*Inputs!$F$5:$F$110*(((Inputs!$G$5:$G$110="moeda")+(Inputs!$G$5:$G$110="acoes"))*Inputs!$B$1+((Inputs!$G$5:$G$110&lt;&gt;"moeda")*(Inputs!$G$5:$G$110&lt;&gt;"acoes")))*INDEX(Inputs!$K$5:$AJ$110,0,MATCH(AH$2,Inputs!$K$4:$AJ$4,0)))))</f>
        <v>135</v>
      </c>
      <c r="AI59" s="263">
        <f>IF(ISNA(MATCH(AI$2,Inputs!$K$4:$AJ$4,0)),NA(),IF(SUMPRODUCT((Inputs!$A$5:$A$110=$B59)*ISNUMBER(INDEX(Inputs!$K$5:$AJ$110,0,MATCH(AI$2,Inputs!$K$4:$AJ$4,0))))+SUMPRODUCT((Inputs!$C$5:$C$110=$B59)*ISNUMBER(INDEX(Inputs!$K$5:$AJ$110,0,MATCH(AI$2,Inputs!$K$4:$AJ$4,0))))+SUMPRODUCT((Inputs!$E$5:$E$110=$B59)*ISNUMBER(INDEX(Inputs!$K$5:$AJ$110,0,MATCH(AI$2,Inputs!$K$4:$AJ$4,0))))=0,NA(),SUMPRODUCT((Inputs!$A$5:$A$110=$B59)*Inputs!$B$5:$B$110*(((Inputs!$G$5:$G$110="moeda")+(Inputs!$G$5:$G$110="acoes"))*Inputs!$B$1+((Inputs!$G$5:$G$110&lt;&gt;"moeda")*(Inputs!$G$5:$G$110&lt;&gt;"acoes")))*INDEX(Inputs!$K$5:$AJ$110,0,MATCH(AI$2,Inputs!$K$4:$AJ$4,0)))+SUMPRODUCT((Inputs!$C$5:$C$110=$B59)*Inputs!$D$5:$D$110*(((Inputs!$G$5:$G$110="moeda")+(Inputs!$G$5:$G$110="acoes"))*Inputs!$B$1+((Inputs!$G$5:$G$110&lt;&gt;"moeda")*(Inputs!$G$5:$G$110&lt;&gt;"acoes")))*INDEX(Inputs!$K$5:$AJ$110,0,MATCH(AI$2,Inputs!$K$4:$AJ$4,0)))+SUMPRODUCT((Inputs!$E$5:$E$110=$B59)*Inputs!$F$5:$F$110*(((Inputs!$G$5:$G$110="moeda")+(Inputs!$G$5:$G$110="acoes"))*Inputs!$B$1+((Inputs!$G$5:$G$110&lt;&gt;"moeda")*(Inputs!$G$5:$G$110&lt;&gt;"acoes")))*INDEX(Inputs!$K$5:$AJ$110,0,MATCH(AI$2,Inputs!$K$4:$AJ$4,0)))))</f>
        <v>148</v>
      </c>
      <c r="AJ59" s="263">
        <f>IF(ISNA(MATCH(AJ$2,Inputs!$K$4:$AJ$4,0)),NA(),IF(SUMPRODUCT((Inputs!$A$5:$A$110=$B59)*ISNUMBER(INDEX(Inputs!$K$5:$AJ$110,0,MATCH(AJ$2,Inputs!$K$4:$AJ$4,0))))+SUMPRODUCT((Inputs!$C$5:$C$110=$B59)*ISNUMBER(INDEX(Inputs!$K$5:$AJ$110,0,MATCH(AJ$2,Inputs!$K$4:$AJ$4,0))))+SUMPRODUCT((Inputs!$E$5:$E$110=$B59)*ISNUMBER(INDEX(Inputs!$K$5:$AJ$110,0,MATCH(AJ$2,Inputs!$K$4:$AJ$4,0))))=0,NA(),SUMPRODUCT((Inputs!$A$5:$A$110=$B59)*Inputs!$B$5:$B$110*(((Inputs!$G$5:$G$110="moeda")+(Inputs!$G$5:$G$110="acoes"))*Inputs!$B$1+((Inputs!$G$5:$G$110&lt;&gt;"moeda")*(Inputs!$G$5:$G$110&lt;&gt;"acoes")))*INDEX(Inputs!$K$5:$AJ$110,0,MATCH(AJ$2,Inputs!$K$4:$AJ$4,0)))+SUMPRODUCT((Inputs!$C$5:$C$110=$B59)*Inputs!$D$5:$D$110*(((Inputs!$G$5:$G$110="moeda")+(Inputs!$G$5:$G$110="acoes"))*Inputs!$B$1+((Inputs!$G$5:$G$110&lt;&gt;"moeda")*(Inputs!$G$5:$G$110&lt;&gt;"acoes")))*INDEX(Inputs!$K$5:$AJ$110,0,MATCH(AJ$2,Inputs!$K$4:$AJ$4,0)))+SUMPRODUCT((Inputs!$E$5:$E$110=$B59)*Inputs!$F$5:$F$110*(((Inputs!$G$5:$G$110="moeda")+(Inputs!$G$5:$G$110="acoes"))*Inputs!$B$1+((Inputs!$G$5:$G$110&lt;&gt;"moeda")*(Inputs!$G$5:$G$110&lt;&gt;"acoes")))*INDEX(Inputs!$K$5:$AJ$110,0,MATCH(AJ$2,Inputs!$K$4:$AJ$4,0)))))</f>
        <v>178</v>
      </c>
      <c r="AK59" s="263">
        <f>IF(ISNA(MATCH(AK$2,Inputs!$K$4:$AJ$4,0)),NA(),IF(SUMPRODUCT((Inputs!$A$5:$A$110=$B59)*ISNUMBER(INDEX(Inputs!$K$5:$AJ$110,0,MATCH(AK$2,Inputs!$K$4:$AJ$4,0))))+SUMPRODUCT((Inputs!$C$5:$C$110=$B59)*ISNUMBER(INDEX(Inputs!$K$5:$AJ$110,0,MATCH(AK$2,Inputs!$K$4:$AJ$4,0))))+SUMPRODUCT((Inputs!$E$5:$E$110=$B59)*ISNUMBER(INDEX(Inputs!$K$5:$AJ$110,0,MATCH(AK$2,Inputs!$K$4:$AJ$4,0))))=0,NA(),SUMPRODUCT((Inputs!$A$5:$A$110=$B59)*Inputs!$B$5:$B$110*(((Inputs!$G$5:$G$110="moeda")+(Inputs!$G$5:$G$110="acoes"))*Inputs!$B$1+((Inputs!$G$5:$G$110&lt;&gt;"moeda")*(Inputs!$G$5:$G$110&lt;&gt;"acoes")))*INDEX(Inputs!$K$5:$AJ$110,0,MATCH(AK$2,Inputs!$K$4:$AJ$4,0)))+SUMPRODUCT((Inputs!$C$5:$C$110=$B59)*Inputs!$D$5:$D$110*(((Inputs!$G$5:$G$110="moeda")+(Inputs!$G$5:$G$110="acoes"))*Inputs!$B$1+((Inputs!$G$5:$G$110&lt;&gt;"moeda")*(Inputs!$G$5:$G$110&lt;&gt;"acoes")))*INDEX(Inputs!$K$5:$AJ$110,0,MATCH(AK$2,Inputs!$K$4:$AJ$4,0)))+SUMPRODUCT((Inputs!$E$5:$E$110=$B59)*Inputs!$F$5:$F$110*(((Inputs!$G$5:$G$110="moeda")+(Inputs!$G$5:$G$110="acoes"))*Inputs!$B$1+((Inputs!$G$5:$G$110&lt;&gt;"moeda")*(Inputs!$G$5:$G$110&lt;&gt;"acoes")))*INDEX(Inputs!$K$5:$AJ$110,0,MATCH(AK$2,Inputs!$K$4:$AJ$4,0)))))</f>
        <v>196</v>
      </c>
      <c r="AL59" s="264">
        <f>SUM(AH59:AK59)</f>
        <v>657</v>
      </c>
    </row>
    <row r="60">
      <c r="B60" s="46" t="n">
        <v>52</v>
      </c>
      <c r="C60" s="29" t="inlineStr">
        <is>
          <t>Google Services - lucro operacional (USD)</t>
        </is>
      </c>
      <c r="D60" s="263">
        <f>IF(ISNA(MATCH(D$2,Inputs!$K$4:$AJ$4,0)),NA(),IF(SUMPRODUCT((Inputs!$A$5:$A$110=$B60)*ISNUMBER(INDEX(Inputs!$K$5:$AJ$110,0,MATCH(D$2,Inputs!$K$4:$AJ$4,0))))+SUMPRODUCT((Inputs!$C$5:$C$110=$B60)*ISNUMBER(INDEX(Inputs!$K$5:$AJ$110,0,MATCH(D$2,Inputs!$K$4:$AJ$4,0))))+SUMPRODUCT((Inputs!$E$5:$E$110=$B60)*ISNUMBER(INDEX(Inputs!$K$5:$AJ$110,0,MATCH(D$2,Inputs!$K$4:$AJ$4,0))))=0,NA(),SUMPRODUCT((Inputs!$A$5:$A$110=$B60)*Inputs!$B$5:$B$110*(((Inputs!$G$5:$G$110="moeda")+(Inputs!$G$5:$G$110="acoes"))*Inputs!$B$1+((Inputs!$G$5:$G$110&lt;&gt;"moeda")*(Inputs!$G$5:$G$110&lt;&gt;"acoes")))*INDEX(Inputs!$K$5:$AJ$110,0,MATCH(D$2,Inputs!$K$4:$AJ$4,0)))+SUMPRODUCT((Inputs!$C$5:$C$110=$B60)*Inputs!$D$5:$D$110*(((Inputs!$G$5:$G$110="moeda")+(Inputs!$G$5:$G$110="acoes"))*Inputs!$B$1+((Inputs!$G$5:$G$110&lt;&gt;"moeda")*(Inputs!$G$5:$G$110&lt;&gt;"acoes")))*INDEX(Inputs!$K$5:$AJ$110,0,MATCH(D$2,Inputs!$K$4:$AJ$4,0)))+SUMPRODUCT((Inputs!$E$5:$E$110=$B60)*Inputs!$F$5:$F$110*(((Inputs!$G$5:$G$110="moeda")+(Inputs!$G$5:$G$110="acoes"))*Inputs!$B$1+((Inputs!$G$5:$G$110&lt;&gt;"moeda")*(Inputs!$G$5:$G$110&lt;&gt;"acoes")))*INDEX(Inputs!$K$5:$AJ$110,0,MATCH(D$2,Inputs!$K$4:$AJ$4,0)))))</f>
        <v>19546</v>
      </c>
      <c r="E60" s="263">
        <f>IF(ISNA(MATCH(E$2,Inputs!$K$4:$AJ$4,0)),NA(),IF(SUMPRODUCT((Inputs!$A$5:$A$110=$B60)*ISNUMBER(INDEX(Inputs!$K$5:$AJ$110,0,MATCH(E$2,Inputs!$K$4:$AJ$4,0))))+SUMPRODUCT((Inputs!$C$5:$C$110=$B60)*ISNUMBER(INDEX(Inputs!$K$5:$AJ$110,0,MATCH(E$2,Inputs!$K$4:$AJ$4,0))))+SUMPRODUCT((Inputs!$E$5:$E$110=$B60)*ISNUMBER(INDEX(Inputs!$K$5:$AJ$110,0,MATCH(E$2,Inputs!$K$4:$AJ$4,0))))=0,NA(),SUMPRODUCT((Inputs!$A$5:$A$110=$B60)*Inputs!$B$5:$B$110*(((Inputs!$G$5:$G$110="moeda")+(Inputs!$G$5:$G$110="acoes"))*Inputs!$B$1+((Inputs!$G$5:$G$110&lt;&gt;"moeda")*(Inputs!$G$5:$G$110&lt;&gt;"acoes")))*INDEX(Inputs!$K$5:$AJ$110,0,MATCH(E$2,Inputs!$K$4:$AJ$4,0)))+SUMPRODUCT((Inputs!$C$5:$C$110=$B60)*Inputs!$D$5:$D$110*(((Inputs!$G$5:$G$110="moeda")+(Inputs!$G$5:$G$110="acoes"))*Inputs!$B$1+((Inputs!$G$5:$G$110&lt;&gt;"moeda")*(Inputs!$G$5:$G$110&lt;&gt;"acoes")))*INDEX(Inputs!$K$5:$AJ$110,0,MATCH(E$2,Inputs!$K$4:$AJ$4,0)))+SUMPRODUCT((Inputs!$E$5:$E$110=$B60)*Inputs!$F$5:$F$110*(((Inputs!$G$5:$G$110="moeda")+(Inputs!$G$5:$G$110="acoes"))*Inputs!$B$1+((Inputs!$G$5:$G$110&lt;&gt;"moeda")*(Inputs!$G$5:$G$110&lt;&gt;"acoes")))*INDEX(Inputs!$K$5:$AJ$110,0,MATCH(E$2,Inputs!$K$4:$AJ$4,0)))))</f>
        <v>22343</v>
      </c>
      <c r="F60" s="263">
        <f>IF(ISNA(MATCH(F$2,Inputs!$K$4:$AJ$4,0)),NA(),IF(SUMPRODUCT((Inputs!$A$5:$A$110=$B60)*ISNUMBER(INDEX(Inputs!$K$5:$AJ$110,0,MATCH(F$2,Inputs!$K$4:$AJ$4,0))))+SUMPRODUCT((Inputs!$C$5:$C$110=$B60)*ISNUMBER(INDEX(Inputs!$K$5:$AJ$110,0,MATCH(F$2,Inputs!$K$4:$AJ$4,0))))+SUMPRODUCT((Inputs!$E$5:$E$110=$B60)*ISNUMBER(INDEX(Inputs!$K$5:$AJ$110,0,MATCH(F$2,Inputs!$K$4:$AJ$4,0))))=0,NA(),SUMPRODUCT((Inputs!$A$5:$A$110=$B60)*Inputs!$B$5:$B$110*(((Inputs!$G$5:$G$110="moeda")+(Inputs!$G$5:$G$110="acoes"))*Inputs!$B$1+((Inputs!$G$5:$G$110&lt;&gt;"moeda")*(Inputs!$G$5:$G$110&lt;&gt;"acoes")))*INDEX(Inputs!$K$5:$AJ$110,0,MATCH(F$2,Inputs!$K$4:$AJ$4,0)))+SUMPRODUCT((Inputs!$C$5:$C$110=$B60)*Inputs!$D$5:$D$110*(((Inputs!$G$5:$G$110="moeda")+(Inputs!$G$5:$G$110="acoes"))*Inputs!$B$1+((Inputs!$G$5:$G$110&lt;&gt;"moeda")*(Inputs!$G$5:$G$110&lt;&gt;"acoes")))*INDEX(Inputs!$K$5:$AJ$110,0,MATCH(F$2,Inputs!$K$4:$AJ$4,0)))+SUMPRODUCT((Inputs!$E$5:$E$110=$B60)*Inputs!$F$5:$F$110*(((Inputs!$G$5:$G$110="moeda")+(Inputs!$G$5:$G$110="acoes"))*Inputs!$B$1+((Inputs!$G$5:$G$110&lt;&gt;"moeda")*(Inputs!$G$5:$G$110&lt;&gt;"acoes")))*INDEX(Inputs!$K$5:$AJ$110,0,MATCH(F$2,Inputs!$K$4:$AJ$4,0)))))</f>
        <v>23973</v>
      </c>
      <c r="G60" s="263">
        <f>IF(ISNA(MATCH(G$2,Inputs!$K$4:$AJ$4,0)),NA(),IF(SUMPRODUCT((Inputs!$A$5:$A$110=$B60)*ISNUMBER(INDEX(Inputs!$K$5:$AJ$110,0,MATCH(G$2,Inputs!$K$4:$AJ$4,0))))+SUMPRODUCT((Inputs!$C$5:$C$110=$B60)*ISNUMBER(INDEX(Inputs!$K$5:$AJ$110,0,MATCH(G$2,Inputs!$K$4:$AJ$4,0))))+SUMPRODUCT((Inputs!$E$5:$E$110=$B60)*ISNUMBER(INDEX(Inputs!$K$5:$AJ$110,0,MATCH(G$2,Inputs!$K$4:$AJ$4,0))))=0,NA(),SUMPRODUCT((Inputs!$A$5:$A$110=$B60)*Inputs!$B$5:$B$110*(((Inputs!$G$5:$G$110="moeda")+(Inputs!$G$5:$G$110="acoes"))*Inputs!$B$1+((Inputs!$G$5:$G$110&lt;&gt;"moeda")*(Inputs!$G$5:$G$110&lt;&gt;"acoes")))*INDEX(Inputs!$K$5:$AJ$110,0,MATCH(G$2,Inputs!$K$4:$AJ$4,0)))+SUMPRODUCT((Inputs!$C$5:$C$110=$B60)*Inputs!$D$5:$D$110*(((Inputs!$G$5:$G$110="moeda")+(Inputs!$G$5:$G$110="acoes"))*Inputs!$B$1+((Inputs!$G$5:$G$110&lt;&gt;"moeda")*(Inputs!$G$5:$G$110&lt;&gt;"acoes")))*INDEX(Inputs!$K$5:$AJ$110,0,MATCH(G$2,Inputs!$K$4:$AJ$4,0)))+SUMPRODUCT((Inputs!$E$5:$E$110=$B60)*Inputs!$F$5:$F$110*(((Inputs!$G$5:$G$110="moeda")+(Inputs!$G$5:$G$110="acoes"))*Inputs!$B$1+((Inputs!$G$5:$G$110&lt;&gt;"moeda")*(Inputs!$G$5:$G$110&lt;&gt;"acoes")))*INDEX(Inputs!$K$5:$AJ$110,0,MATCH(G$2,Inputs!$K$4:$AJ$4,0)))))</f>
        <v>22270</v>
      </c>
      <c r="H60" s="264">
        <f>SUM(D60:G60)</f>
        <v>88132</v>
      </c>
      <c r="I60" s="263">
        <f>IF(ISNA(MATCH(I$2,Inputs!$K$4:$AJ$4,0)),NA(),IF(SUMPRODUCT((Inputs!$A$5:$A$110=$B60)*ISNUMBER(INDEX(Inputs!$K$5:$AJ$110,0,MATCH(I$2,Inputs!$K$4:$AJ$4,0))))+SUMPRODUCT((Inputs!$C$5:$C$110=$B60)*ISNUMBER(INDEX(Inputs!$K$5:$AJ$110,0,MATCH(I$2,Inputs!$K$4:$AJ$4,0))))+SUMPRODUCT((Inputs!$E$5:$E$110=$B60)*ISNUMBER(INDEX(Inputs!$K$5:$AJ$110,0,MATCH(I$2,Inputs!$K$4:$AJ$4,0))))=0,NA(),SUMPRODUCT((Inputs!$A$5:$A$110=$B60)*Inputs!$B$5:$B$110*(((Inputs!$G$5:$G$110="moeda")+(Inputs!$G$5:$G$110="acoes"))*Inputs!$B$1+((Inputs!$G$5:$G$110&lt;&gt;"moeda")*(Inputs!$G$5:$G$110&lt;&gt;"acoes")))*INDEX(Inputs!$K$5:$AJ$110,0,MATCH(I$2,Inputs!$K$4:$AJ$4,0)))+SUMPRODUCT((Inputs!$C$5:$C$110=$B60)*Inputs!$D$5:$D$110*(((Inputs!$G$5:$G$110="moeda")+(Inputs!$G$5:$G$110="acoes"))*Inputs!$B$1+((Inputs!$G$5:$G$110&lt;&gt;"moeda")*(Inputs!$G$5:$G$110&lt;&gt;"acoes")))*INDEX(Inputs!$K$5:$AJ$110,0,MATCH(I$2,Inputs!$K$4:$AJ$4,0)))+SUMPRODUCT((Inputs!$E$5:$E$110=$B60)*Inputs!$F$5:$F$110*(((Inputs!$G$5:$G$110="moeda")+(Inputs!$G$5:$G$110="acoes"))*Inputs!$B$1+((Inputs!$G$5:$G$110&lt;&gt;"moeda")*(Inputs!$G$5:$G$110&lt;&gt;"acoes")))*INDEX(Inputs!$K$5:$AJ$110,0,MATCH(I$2,Inputs!$K$4:$AJ$4,0)))))</f>
        <v>22920</v>
      </c>
      <c r="J60" s="263">
        <f>IF(ISNA(MATCH(J$2,Inputs!$K$4:$AJ$4,0)),NA(),IF(SUMPRODUCT((Inputs!$A$5:$A$110=$B60)*ISNUMBER(INDEX(Inputs!$K$5:$AJ$110,0,MATCH(J$2,Inputs!$K$4:$AJ$4,0))))+SUMPRODUCT((Inputs!$C$5:$C$110=$B60)*ISNUMBER(INDEX(Inputs!$K$5:$AJ$110,0,MATCH(J$2,Inputs!$K$4:$AJ$4,0))))+SUMPRODUCT((Inputs!$E$5:$E$110=$B60)*ISNUMBER(INDEX(Inputs!$K$5:$AJ$110,0,MATCH(J$2,Inputs!$K$4:$AJ$4,0))))=0,NA(),SUMPRODUCT((Inputs!$A$5:$A$110=$B60)*Inputs!$B$5:$B$110*(((Inputs!$G$5:$G$110="moeda")+(Inputs!$G$5:$G$110="acoes"))*Inputs!$B$1+((Inputs!$G$5:$G$110&lt;&gt;"moeda")*(Inputs!$G$5:$G$110&lt;&gt;"acoes")))*INDEX(Inputs!$K$5:$AJ$110,0,MATCH(J$2,Inputs!$K$4:$AJ$4,0)))+SUMPRODUCT((Inputs!$C$5:$C$110=$B60)*Inputs!$D$5:$D$110*(((Inputs!$G$5:$G$110="moeda")+(Inputs!$G$5:$G$110="acoes"))*Inputs!$B$1+((Inputs!$G$5:$G$110&lt;&gt;"moeda")*(Inputs!$G$5:$G$110&lt;&gt;"acoes")))*INDEX(Inputs!$K$5:$AJ$110,0,MATCH(J$2,Inputs!$K$4:$AJ$4,0)))+SUMPRODUCT((Inputs!$E$5:$E$110=$B60)*Inputs!$F$5:$F$110*(((Inputs!$G$5:$G$110="moeda")+(Inputs!$G$5:$G$110="acoes"))*Inputs!$B$1+((Inputs!$G$5:$G$110&lt;&gt;"moeda")*(Inputs!$G$5:$G$110&lt;&gt;"acoes")))*INDEX(Inputs!$K$5:$AJ$110,0,MATCH(J$2,Inputs!$K$4:$AJ$4,0)))))</f>
        <v>22770</v>
      </c>
      <c r="K60" s="263">
        <f>IF(ISNA(MATCH(K$2,Inputs!$K$4:$AJ$4,0)),NA(),IF(SUMPRODUCT((Inputs!$A$5:$A$110=$B60)*ISNUMBER(INDEX(Inputs!$K$5:$AJ$110,0,MATCH(K$2,Inputs!$K$4:$AJ$4,0))))+SUMPRODUCT((Inputs!$C$5:$C$110=$B60)*ISNUMBER(INDEX(Inputs!$K$5:$AJ$110,0,MATCH(K$2,Inputs!$K$4:$AJ$4,0))))+SUMPRODUCT((Inputs!$E$5:$E$110=$B60)*ISNUMBER(INDEX(Inputs!$K$5:$AJ$110,0,MATCH(K$2,Inputs!$K$4:$AJ$4,0))))=0,NA(),SUMPRODUCT((Inputs!$A$5:$A$110=$B60)*Inputs!$B$5:$B$110*(((Inputs!$G$5:$G$110="moeda")+(Inputs!$G$5:$G$110="acoes"))*Inputs!$B$1+((Inputs!$G$5:$G$110&lt;&gt;"moeda")*(Inputs!$G$5:$G$110&lt;&gt;"acoes")))*INDEX(Inputs!$K$5:$AJ$110,0,MATCH(K$2,Inputs!$K$4:$AJ$4,0)))+SUMPRODUCT((Inputs!$C$5:$C$110=$B60)*Inputs!$D$5:$D$110*(((Inputs!$G$5:$G$110="moeda")+(Inputs!$G$5:$G$110="acoes"))*Inputs!$B$1+((Inputs!$G$5:$G$110&lt;&gt;"moeda")*(Inputs!$G$5:$G$110&lt;&gt;"acoes")))*INDEX(Inputs!$K$5:$AJ$110,0,MATCH(K$2,Inputs!$K$4:$AJ$4,0)))+SUMPRODUCT((Inputs!$E$5:$E$110=$B60)*Inputs!$F$5:$F$110*(((Inputs!$G$5:$G$110="moeda")+(Inputs!$G$5:$G$110="acoes"))*Inputs!$B$1+((Inputs!$G$5:$G$110&lt;&gt;"moeda")*(Inputs!$G$5:$G$110&lt;&gt;"acoes")))*INDEX(Inputs!$K$5:$AJ$110,0,MATCH(K$2,Inputs!$K$4:$AJ$4,0)))))</f>
        <v>19781</v>
      </c>
      <c r="L60" s="263">
        <f>IF(ISNA(MATCH(L$2,Inputs!$K$4:$AJ$4,0)),NA(),IF(SUMPRODUCT((Inputs!$A$5:$A$110=$B60)*ISNUMBER(INDEX(Inputs!$K$5:$AJ$110,0,MATCH(L$2,Inputs!$K$4:$AJ$4,0))))+SUMPRODUCT((Inputs!$C$5:$C$110=$B60)*ISNUMBER(INDEX(Inputs!$K$5:$AJ$110,0,MATCH(L$2,Inputs!$K$4:$AJ$4,0))))+SUMPRODUCT((Inputs!$E$5:$E$110=$B60)*ISNUMBER(INDEX(Inputs!$K$5:$AJ$110,0,MATCH(L$2,Inputs!$K$4:$AJ$4,0))))=0,NA(),SUMPRODUCT((Inputs!$A$5:$A$110=$B60)*Inputs!$B$5:$B$110*(((Inputs!$G$5:$G$110="moeda")+(Inputs!$G$5:$G$110="acoes"))*Inputs!$B$1+((Inputs!$G$5:$G$110&lt;&gt;"moeda")*(Inputs!$G$5:$G$110&lt;&gt;"acoes")))*INDEX(Inputs!$K$5:$AJ$110,0,MATCH(L$2,Inputs!$K$4:$AJ$4,0)))+SUMPRODUCT((Inputs!$C$5:$C$110=$B60)*Inputs!$D$5:$D$110*(((Inputs!$G$5:$G$110="moeda")+(Inputs!$G$5:$G$110="acoes"))*Inputs!$B$1+((Inputs!$G$5:$G$110&lt;&gt;"moeda")*(Inputs!$G$5:$G$110&lt;&gt;"acoes")))*INDEX(Inputs!$K$5:$AJ$110,0,MATCH(L$2,Inputs!$K$4:$AJ$4,0)))+SUMPRODUCT((Inputs!$E$5:$E$110=$B60)*Inputs!$F$5:$F$110*(((Inputs!$G$5:$G$110="moeda")+(Inputs!$G$5:$G$110="acoes"))*Inputs!$B$1+((Inputs!$G$5:$G$110&lt;&gt;"moeda")*(Inputs!$G$5:$G$110&lt;&gt;"acoes")))*INDEX(Inputs!$K$5:$AJ$110,0,MATCH(L$2,Inputs!$K$4:$AJ$4,0)))))</f>
        <v>17228</v>
      </c>
      <c r="M60" s="264">
        <f>SUM(I60:L60)</f>
        <v>82699</v>
      </c>
      <c r="N60" s="263">
        <f>IF(ISNA(MATCH(N$2,Inputs!$K$4:$AJ$4,0)),NA(),IF(SUMPRODUCT((Inputs!$A$5:$A$110=$B60)*ISNUMBER(INDEX(Inputs!$K$5:$AJ$110,0,MATCH(N$2,Inputs!$K$4:$AJ$4,0))))+SUMPRODUCT((Inputs!$C$5:$C$110=$B60)*ISNUMBER(INDEX(Inputs!$K$5:$AJ$110,0,MATCH(N$2,Inputs!$K$4:$AJ$4,0))))+SUMPRODUCT((Inputs!$E$5:$E$110=$B60)*ISNUMBER(INDEX(Inputs!$K$5:$AJ$110,0,MATCH(N$2,Inputs!$K$4:$AJ$4,0))))=0,NA(),SUMPRODUCT((Inputs!$A$5:$A$110=$B60)*Inputs!$B$5:$B$110*(((Inputs!$G$5:$G$110="moeda")+(Inputs!$G$5:$G$110="acoes"))*Inputs!$B$1+((Inputs!$G$5:$G$110&lt;&gt;"moeda")*(Inputs!$G$5:$G$110&lt;&gt;"acoes")))*INDEX(Inputs!$K$5:$AJ$110,0,MATCH(N$2,Inputs!$K$4:$AJ$4,0)))+SUMPRODUCT((Inputs!$C$5:$C$110=$B60)*Inputs!$D$5:$D$110*(((Inputs!$G$5:$G$110="moeda")+(Inputs!$G$5:$G$110="acoes"))*Inputs!$B$1+((Inputs!$G$5:$G$110&lt;&gt;"moeda")*(Inputs!$G$5:$G$110&lt;&gt;"acoes")))*INDEX(Inputs!$K$5:$AJ$110,0,MATCH(N$2,Inputs!$K$4:$AJ$4,0)))+SUMPRODUCT((Inputs!$E$5:$E$110=$B60)*Inputs!$F$5:$F$110*(((Inputs!$G$5:$G$110="moeda")+(Inputs!$G$5:$G$110="acoes"))*Inputs!$B$1+((Inputs!$G$5:$G$110&lt;&gt;"moeda")*(Inputs!$G$5:$G$110&lt;&gt;"acoes")))*INDEX(Inputs!$K$5:$AJ$110,0,MATCH(N$2,Inputs!$K$4:$AJ$4,0)))))</f>
        <v>21737</v>
      </c>
      <c r="O60" s="263">
        <f>IF(ISNA(MATCH(O$2,Inputs!$K$4:$AJ$4,0)),NA(),IF(SUMPRODUCT((Inputs!$A$5:$A$110=$B60)*ISNUMBER(INDEX(Inputs!$K$5:$AJ$110,0,MATCH(O$2,Inputs!$K$4:$AJ$4,0))))+SUMPRODUCT((Inputs!$C$5:$C$110=$B60)*ISNUMBER(INDEX(Inputs!$K$5:$AJ$110,0,MATCH(O$2,Inputs!$K$4:$AJ$4,0))))+SUMPRODUCT((Inputs!$E$5:$E$110=$B60)*ISNUMBER(INDEX(Inputs!$K$5:$AJ$110,0,MATCH(O$2,Inputs!$K$4:$AJ$4,0))))=0,NA(),SUMPRODUCT((Inputs!$A$5:$A$110=$B60)*Inputs!$B$5:$B$110*(((Inputs!$G$5:$G$110="moeda")+(Inputs!$G$5:$G$110="acoes"))*Inputs!$B$1+((Inputs!$G$5:$G$110&lt;&gt;"moeda")*(Inputs!$G$5:$G$110&lt;&gt;"acoes")))*INDEX(Inputs!$K$5:$AJ$110,0,MATCH(O$2,Inputs!$K$4:$AJ$4,0)))+SUMPRODUCT((Inputs!$C$5:$C$110=$B60)*Inputs!$D$5:$D$110*(((Inputs!$G$5:$G$110="moeda")+(Inputs!$G$5:$G$110="acoes"))*Inputs!$B$1+((Inputs!$G$5:$G$110&lt;&gt;"moeda")*(Inputs!$G$5:$G$110&lt;&gt;"acoes")))*INDEX(Inputs!$K$5:$AJ$110,0,MATCH(O$2,Inputs!$K$4:$AJ$4,0)))+SUMPRODUCT((Inputs!$E$5:$E$110=$B60)*Inputs!$F$5:$F$110*(((Inputs!$G$5:$G$110="moeda")+(Inputs!$G$5:$G$110="acoes"))*Inputs!$B$1+((Inputs!$G$5:$G$110&lt;&gt;"moeda")*(Inputs!$G$5:$G$110&lt;&gt;"acoes")))*INDEX(Inputs!$K$5:$AJ$110,0,MATCH(O$2,Inputs!$K$4:$AJ$4,0)))))</f>
        <v>23454</v>
      </c>
      <c r="P60" s="263">
        <f>IF(ISNA(MATCH(P$2,Inputs!$K$4:$AJ$4,0)),NA(),IF(SUMPRODUCT((Inputs!$A$5:$A$110=$B60)*ISNUMBER(INDEX(Inputs!$K$5:$AJ$110,0,MATCH(P$2,Inputs!$K$4:$AJ$4,0))))+SUMPRODUCT((Inputs!$C$5:$C$110=$B60)*ISNUMBER(INDEX(Inputs!$K$5:$AJ$110,0,MATCH(P$2,Inputs!$K$4:$AJ$4,0))))+SUMPRODUCT((Inputs!$E$5:$E$110=$B60)*ISNUMBER(INDEX(Inputs!$K$5:$AJ$110,0,MATCH(P$2,Inputs!$K$4:$AJ$4,0))))=0,NA(),SUMPRODUCT((Inputs!$A$5:$A$110=$B60)*Inputs!$B$5:$B$110*(((Inputs!$G$5:$G$110="moeda")+(Inputs!$G$5:$G$110="acoes"))*Inputs!$B$1+((Inputs!$G$5:$G$110&lt;&gt;"moeda")*(Inputs!$G$5:$G$110&lt;&gt;"acoes")))*INDEX(Inputs!$K$5:$AJ$110,0,MATCH(P$2,Inputs!$K$4:$AJ$4,0)))+SUMPRODUCT((Inputs!$C$5:$C$110=$B60)*Inputs!$D$5:$D$110*(((Inputs!$G$5:$G$110="moeda")+(Inputs!$G$5:$G$110="acoes"))*Inputs!$B$1+((Inputs!$G$5:$G$110&lt;&gt;"moeda")*(Inputs!$G$5:$G$110&lt;&gt;"acoes")))*INDEX(Inputs!$K$5:$AJ$110,0,MATCH(P$2,Inputs!$K$4:$AJ$4,0)))+SUMPRODUCT((Inputs!$E$5:$E$110=$B60)*Inputs!$F$5:$F$110*(((Inputs!$G$5:$G$110="moeda")+(Inputs!$G$5:$G$110="acoes"))*Inputs!$B$1+((Inputs!$G$5:$G$110&lt;&gt;"moeda")*(Inputs!$G$5:$G$110&lt;&gt;"acoes")))*INDEX(Inputs!$K$5:$AJ$110,0,MATCH(P$2,Inputs!$K$4:$AJ$4,0)))))</f>
        <v>23937</v>
      </c>
      <c r="Q60" s="263">
        <f>IF(ISNA(MATCH(Q$2,Inputs!$K$4:$AJ$4,0)),NA(),IF(SUMPRODUCT((Inputs!$A$5:$A$110=$B60)*ISNUMBER(INDEX(Inputs!$K$5:$AJ$110,0,MATCH(Q$2,Inputs!$K$4:$AJ$4,0))))+SUMPRODUCT((Inputs!$C$5:$C$110=$B60)*ISNUMBER(INDEX(Inputs!$K$5:$AJ$110,0,MATCH(Q$2,Inputs!$K$4:$AJ$4,0))))+SUMPRODUCT((Inputs!$E$5:$E$110=$B60)*ISNUMBER(INDEX(Inputs!$K$5:$AJ$110,0,MATCH(Q$2,Inputs!$K$4:$AJ$4,0))))=0,NA(),SUMPRODUCT((Inputs!$A$5:$A$110=$B60)*Inputs!$B$5:$B$110*(((Inputs!$G$5:$G$110="moeda")+(Inputs!$G$5:$G$110="acoes"))*Inputs!$B$1+((Inputs!$G$5:$G$110&lt;&gt;"moeda")*(Inputs!$G$5:$G$110&lt;&gt;"acoes")))*INDEX(Inputs!$K$5:$AJ$110,0,MATCH(Q$2,Inputs!$K$4:$AJ$4,0)))+SUMPRODUCT((Inputs!$C$5:$C$110=$B60)*Inputs!$D$5:$D$110*(((Inputs!$G$5:$G$110="moeda")+(Inputs!$G$5:$G$110="acoes"))*Inputs!$B$1+((Inputs!$G$5:$G$110&lt;&gt;"moeda")*(Inputs!$G$5:$G$110&lt;&gt;"acoes")))*INDEX(Inputs!$K$5:$AJ$110,0,MATCH(Q$2,Inputs!$K$4:$AJ$4,0)))+SUMPRODUCT((Inputs!$E$5:$E$110=$B60)*Inputs!$F$5:$F$110*(((Inputs!$G$5:$G$110="moeda")+(Inputs!$G$5:$G$110="acoes"))*Inputs!$B$1+((Inputs!$G$5:$G$110&lt;&gt;"moeda")*(Inputs!$G$5:$G$110&lt;&gt;"acoes")))*INDEX(Inputs!$K$5:$AJ$110,0,MATCH(Q$2,Inputs!$K$4:$AJ$4,0)))))</f>
        <v>26730</v>
      </c>
      <c r="R60" s="264">
        <f>SUM(N60:Q60)</f>
        <v>95858</v>
      </c>
      <c r="S60" s="263">
        <f>IF(ISNA(MATCH(S$2,Inputs!$K$4:$AJ$4,0)),NA(),IF(SUMPRODUCT((Inputs!$A$5:$A$110=$B60)*ISNUMBER(INDEX(Inputs!$K$5:$AJ$110,0,MATCH(S$2,Inputs!$K$4:$AJ$4,0))))+SUMPRODUCT((Inputs!$C$5:$C$110=$B60)*ISNUMBER(INDEX(Inputs!$K$5:$AJ$110,0,MATCH(S$2,Inputs!$K$4:$AJ$4,0))))+SUMPRODUCT((Inputs!$E$5:$E$110=$B60)*ISNUMBER(INDEX(Inputs!$K$5:$AJ$110,0,MATCH(S$2,Inputs!$K$4:$AJ$4,0))))=0,NA(),SUMPRODUCT((Inputs!$A$5:$A$110=$B60)*Inputs!$B$5:$B$110*(((Inputs!$G$5:$G$110="moeda")+(Inputs!$G$5:$G$110="acoes"))*Inputs!$B$1+((Inputs!$G$5:$G$110&lt;&gt;"moeda")*(Inputs!$G$5:$G$110&lt;&gt;"acoes")))*INDEX(Inputs!$K$5:$AJ$110,0,MATCH(S$2,Inputs!$K$4:$AJ$4,0)))+SUMPRODUCT((Inputs!$C$5:$C$110=$B60)*Inputs!$D$5:$D$110*(((Inputs!$G$5:$G$110="moeda")+(Inputs!$G$5:$G$110="acoes"))*Inputs!$B$1+((Inputs!$G$5:$G$110&lt;&gt;"moeda")*(Inputs!$G$5:$G$110&lt;&gt;"acoes")))*INDEX(Inputs!$K$5:$AJ$110,0,MATCH(S$2,Inputs!$K$4:$AJ$4,0)))+SUMPRODUCT((Inputs!$E$5:$E$110=$B60)*Inputs!$F$5:$F$110*(((Inputs!$G$5:$G$110="moeda")+(Inputs!$G$5:$G$110="acoes"))*Inputs!$B$1+((Inputs!$G$5:$G$110&lt;&gt;"moeda")*(Inputs!$G$5:$G$110&lt;&gt;"acoes")))*INDEX(Inputs!$K$5:$AJ$110,0,MATCH(S$2,Inputs!$K$4:$AJ$4,0)))))</f>
        <v>27897</v>
      </c>
      <c r="T60" s="263">
        <f>IF(ISNA(MATCH(T$2,Inputs!$K$4:$AJ$4,0)),NA(),IF(SUMPRODUCT((Inputs!$A$5:$A$110=$B60)*ISNUMBER(INDEX(Inputs!$K$5:$AJ$110,0,MATCH(T$2,Inputs!$K$4:$AJ$4,0))))+SUMPRODUCT((Inputs!$C$5:$C$110=$B60)*ISNUMBER(INDEX(Inputs!$K$5:$AJ$110,0,MATCH(T$2,Inputs!$K$4:$AJ$4,0))))+SUMPRODUCT((Inputs!$E$5:$E$110=$B60)*ISNUMBER(INDEX(Inputs!$K$5:$AJ$110,0,MATCH(T$2,Inputs!$K$4:$AJ$4,0))))=0,NA(),SUMPRODUCT((Inputs!$A$5:$A$110=$B60)*Inputs!$B$5:$B$110*(((Inputs!$G$5:$G$110="moeda")+(Inputs!$G$5:$G$110="acoes"))*Inputs!$B$1+((Inputs!$G$5:$G$110&lt;&gt;"moeda")*(Inputs!$G$5:$G$110&lt;&gt;"acoes")))*INDEX(Inputs!$K$5:$AJ$110,0,MATCH(T$2,Inputs!$K$4:$AJ$4,0)))+SUMPRODUCT((Inputs!$C$5:$C$110=$B60)*Inputs!$D$5:$D$110*(((Inputs!$G$5:$G$110="moeda")+(Inputs!$G$5:$G$110="acoes"))*Inputs!$B$1+((Inputs!$G$5:$G$110&lt;&gt;"moeda")*(Inputs!$G$5:$G$110&lt;&gt;"acoes")))*INDEX(Inputs!$K$5:$AJ$110,0,MATCH(T$2,Inputs!$K$4:$AJ$4,0)))+SUMPRODUCT((Inputs!$E$5:$E$110=$B60)*Inputs!$F$5:$F$110*(((Inputs!$G$5:$G$110="moeda")+(Inputs!$G$5:$G$110="acoes"))*Inputs!$B$1+((Inputs!$G$5:$G$110&lt;&gt;"moeda")*(Inputs!$G$5:$G$110&lt;&gt;"acoes")))*INDEX(Inputs!$K$5:$AJ$110,0,MATCH(T$2,Inputs!$K$4:$AJ$4,0)))))</f>
        <v>29674</v>
      </c>
      <c r="U60" s="263">
        <f>IF(ISNA(MATCH(U$2,Inputs!$K$4:$AJ$4,0)),NA(),IF(SUMPRODUCT((Inputs!$A$5:$A$110=$B60)*ISNUMBER(INDEX(Inputs!$K$5:$AJ$110,0,MATCH(U$2,Inputs!$K$4:$AJ$4,0))))+SUMPRODUCT((Inputs!$C$5:$C$110=$B60)*ISNUMBER(INDEX(Inputs!$K$5:$AJ$110,0,MATCH(U$2,Inputs!$K$4:$AJ$4,0))))+SUMPRODUCT((Inputs!$E$5:$E$110=$B60)*ISNUMBER(INDEX(Inputs!$K$5:$AJ$110,0,MATCH(U$2,Inputs!$K$4:$AJ$4,0))))=0,NA(),SUMPRODUCT((Inputs!$A$5:$A$110=$B60)*Inputs!$B$5:$B$110*(((Inputs!$G$5:$G$110="moeda")+(Inputs!$G$5:$G$110="acoes"))*Inputs!$B$1+((Inputs!$G$5:$G$110&lt;&gt;"moeda")*(Inputs!$G$5:$G$110&lt;&gt;"acoes")))*INDEX(Inputs!$K$5:$AJ$110,0,MATCH(U$2,Inputs!$K$4:$AJ$4,0)))+SUMPRODUCT((Inputs!$C$5:$C$110=$B60)*Inputs!$D$5:$D$110*(((Inputs!$G$5:$G$110="moeda")+(Inputs!$G$5:$G$110="acoes"))*Inputs!$B$1+((Inputs!$G$5:$G$110&lt;&gt;"moeda")*(Inputs!$G$5:$G$110&lt;&gt;"acoes")))*INDEX(Inputs!$K$5:$AJ$110,0,MATCH(U$2,Inputs!$K$4:$AJ$4,0)))+SUMPRODUCT((Inputs!$E$5:$E$110=$B60)*Inputs!$F$5:$F$110*(((Inputs!$G$5:$G$110="moeda")+(Inputs!$G$5:$G$110="acoes"))*Inputs!$B$1+((Inputs!$G$5:$G$110&lt;&gt;"moeda")*(Inputs!$G$5:$G$110&lt;&gt;"acoes")))*INDEX(Inputs!$K$5:$AJ$110,0,MATCH(U$2,Inputs!$K$4:$AJ$4,0)))))</f>
        <v>30856</v>
      </c>
      <c r="V60" s="263">
        <f>IF(ISNA(MATCH(V$2,Inputs!$K$4:$AJ$4,0)),NA(),IF(SUMPRODUCT((Inputs!$A$5:$A$110=$B60)*ISNUMBER(INDEX(Inputs!$K$5:$AJ$110,0,MATCH(V$2,Inputs!$K$4:$AJ$4,0))))+SUMPRODUCT((Inputs!$C$5:$C$110=$B60)*ISNUMBER(INDEX(Inputs!$K$5:$AJ$110,0,MATCH(V$2,Inputs!$K$4:$AJ$4,0))))+SUMPRODUCT((Inputs!$E$5:$E$110=$B60)*ISNUMBER(INDEX(Inputs!$K$5:$AJ$110,0,MATCH(V$2,Inputs!$K$4:$AJ$4,0))))=0,NA(),SUMPRODUCT((Inputs!$A$5:$A$110=$B60)*Inputs!$B$5:$B$110*(((Inputs!$G$5:$G$110="moeda")+(Inputs!$G$5:$G$110="acoes"))*Inputs!$B$1+((Inputs!$G$5:$G$110&lt;&gt;"moeda")*(Inputs!$G$5:$G$110&lt;&gt;"acoes")))*INDEX(Inputs!$K$5:$AJ$110,0,MATCH(V$2,Inputs!$K$4:$AJ$4,0)))+SUMPRODUCT((Inputs!$C$5:$C$110=$B60)*Inputs!$D$5:$D$110*(((Inputs!$G$5:$G$110="moeda")+(Inputs!$G$5:$G$110="acoes"))*Inputs!$B$1+((Inputs!$G$5:$G$110&lt;&gt;"moeda")*(Inputs!$G$5:$G$110&lt;&gt;"acoes")))*INDEX(Inputs!$K$5:$AJ$110,0,MATCH(V$2,Inputs!$K$4:$AJ$4,0)))+SUMPRODUCT((Inputs!$E$5:$E$110=$B60)*Inputs!$F$5:$F$110*(((Inputs!$G$5:$G$110="moeda")+(Inputs!$G$5:$G$110="acoes"))*Inputs!$B$1+((Inputs!$G$5:$G$110&lt;&gt;"moeda")*(Inputs!$G$5:$G$110&lt;&gt;"acoes")))*INDEX(Inputs!$K$5:$AJ$110,0,MATCH(V$2,Inputs!$K$4:$AJ$4,0)))))</f>
        <v>32836</v>
      </c>
      <c r="W60" s="264">
        <f>SUM(S60:V60)</f>
        <v>121263</v>
      </c>
      <c r="X60" s="263">
        <f>IF(ISNA(MATCH(X$2,Inputs!$K$4:$AJ$4,0)),NA(),IF(SUMPRODUCT((Inputs!$A$5:$A$110=$B60)*ISNUMBER(INDEX(Inputs!$K$5:$AJ$110,0,MATCH(X$2,Inputs!$K$4:$AJ$4,0))))+SUMPRODUCT((Inputs!$C$5:$C$110=$B60)*ISNUMBER(INDEX(Inputs!$K$5:$AJ$110,0,MATCH(X$2,Inputs!$K$4:$AJ$4,0))))+SUMPRODUCT((Inputs!$E$5:$E$110=$B60)*ISNUMBER(INDEX(Inputs!$K$5:$AJ$110,0,MATCH(X$2,Inputs!$K$4:$AJ$4,0))))=0,NA(),SUMPRODUCT((Inputs!$A$5:$A$110=$B60)*Inputs!$B$5:$B$110*(((Inputs!$G$5:$G$110="moeda")+(Inputs!$G$5:$G$110="acoes"))*Inputs!$B$1+((Inputs!$G$5:$G$110&lt;&gt;"moeda")*(Inputs!$G$5:$G$110&lt;&gt;"acoes")))*INDEX(Inputs!$K$5:$AJ$110,0,MATCH(X$2,Inputs!$K$4:$AJ$4,0)))+SUMPRODUCT((Inputs!$C$5:$C$110=$B60)*Inputs!$D$5:$D$110*(((Inputs!$G$5:$G$110="moeda")+(Inputs!$G$5:$G$110="acoes"))*Inputs!$B$1+((Inputs!$G$5:$G$110&lt;&gt;"moeda")*(Inputs!$G$5:$G$110&lt;&gt;"acoes")))*INDEX(Inputs!$K$5:$AJ$110,0,MATCH(X$2,Inputs!$K$4:$AJ$4,0)))+SUMPRODUCT((Inputs!$E$5:$E$110=$B60)*Inputs!$F$5:$F$110*(((Inputs!$G$5:$G$110="moeda")+(Inputs!$G$5:$G$110="acoes"))*Inputs!$B$1+((Inputs!$G$5:$G$110&lt;&gt;"moeda")*(Inputs!$G$5:$G$110&lt;&gt;"acoes")))*INDEX(Inputs!$K$5:$AJ$110,0,MATCH(X$2,Inputs!$K$4:$AJ$4,0)))))</f>
        <v>32682</v>
      </c>
      <c r="Y60" s="263">
        <f>IF(ISNA(MATCH(Y$2,Inputs!$K$4:$AJ$4,0)),NA(),IF(SUMPRODUCT((Inputs!$A$5:$A$110=$B60)*ISNUMBER(INDEX(Inputs!$K$5:$AJ$110,0,MATCH(Y$2,Inputs!$K$4:$AJ$4,0))))+SUMPRODUCT((Inputs!$C$5:$C$110=$B60)*ISNUMBER(INDEX(Inputs!$K$5:$AJ$110,0,MATCH(Y$2,Inputs!$K$4:$AJ$4,0))))+SUMPRODUCT((Inputs!$E$5:$E$110=$B60)*ISNUMBER(INDEX(Inputs!$K$5:$AJ$110,0,MATCH(Y$2,Inputs!$K$4:$AJ$4,0))))=0,NA(),SUMPRODUCT((Inputs!$A$5:$A$110=$B60)*Inputs!$B$5:$B$110*(((Inputs!$G$5:$G$110="moeda")+(Inputs!$G$5:$G$110="acoes"))*Inputs!$B$1+((Inputs!$G$5:$G$110&lt;&gt;"moeda")*(Inputs!$G$5:$G$110&lt;&gt;"acoes")))*INDEX(Inputs!$K$5:$AJ$110,0,MATCH(Y$2,Inputs!$K$4:$AJ$4,0)))+SUMPRODUCT((Inputs!$C$5:$C$110=$B60)*Inputs!$D$5:$D$110*(((Inputs!$G$5:$G$110="moeda")+(Inputs!$G$5:$G$110="acoes"))*Inputs!$B$1+((Inputs!$G$5:$G$110&lt;&gt;"moeda")*(Inputs!$G$5:$G$110&lt;&gt;"acoes")))*INDEX(Inputs!$K$5:$AJ$110,0,MATCH(Y$2,Inputs!$K$4:$AJ$4,0)))+SUMPRODUCT((Inputs!$E$5:$E$110=$B60)*Inputs!$F$5:$F$110*(((Inputs!$G$5:$G$110="moeda")+(Inputs!$G$5:$G$110="acoes"))*Inputs!$B$1+((Inputs!$G$5:$G$110&lt;&gt;"moeda")*(Inputs!$G$5:$G$110&lt;&gt;"acoes")))*INDEX(Inputs!$K$5:$AJ$110,0,MATCH(Y$2,Inputs!$K$4:$AJ$4,0)))))</f>
        <v>33063</v>
      </c>
      <c r="Z60" s="263">
        <f>IF(ISNA(MATCH(Z$2,Inputs!$K$4:$AJ$4,0)),NA(),IF(SUMPRODUCT((Inputs!$A$5:$A$110=$B60)*ISNUMBER(INDEX(Inputs!$K$5:$AJ$110,0,MATCH(Z$2,Inputs!$K$4:$AJ$4,0))))+SUMPRODUCT((Inputs!$C$5:$C$110=$B60)*ISNUMBER(INDEX(Inputs!$K$5:$AJ$110,0,MATCH(Z$2,Inputs!$K$4:$AJ$4,0))))+SUMPRODUCT((Inputs!$E$5:$E$110=$B60)*ISNUMBER(INDEX(Inputs!$K$5:$AJ$110,0,MATCH(Z$2,Inputs!$K$4:$AJ$4,0))))=0,NA(),SUMPRODUCT((Inputs!$A$5:$A$110=$B60)*Inputs!$B$5:$B$110*(((Inputs!$G$5:$G$110="moeda")+(Inputs!$G$5:$G$110="acoes"))*Inputs!$B$1+((Inputs!$G$5:$G$110&lt;&gt;"moeda")*(Inputs!$G$5:$G$110&lt;&gt;"acoes")))*INDEX(Inputs!$K$5:$AJ$110,0,MATCH(Z$2,Inputs!$K$4:$AJ$4,0)))+SUMPRODUCT((Inputs!$C$5:$C$110=$B60)*Inputs!$D$5:$D$110*(((Inputs!$G$5:$G$110="moeda")+(Inputs!$G$5:$G$110="acoes"))*Inputs!$B$1+((Inputs!$G$5:$G$110&lt;&gt;"moeda")*(Inputs!$G$5:$G$110&lt;&gt;"acoes")))*INDEX(Inputs!$K$5:$AJ$110,0,MATCH(Z$2,Inputs!$K$4:$AJ$4,0)))+SUMPRODUCT((Inputs!$E$5:$E$110=$B60)*Inputs!$F$5:$F$110*(((Inputs!$G$5:$G$110="moeda")+(Inputs!$G$5:$G$110="acoes"))*Inputs!$B$1+((Inputs!$G$5:$G$110&lt;&gt;"moeda")*(Inputs!$G$5:$G$110&lt;&gt;"acoes")))*INDEX(Inputs!$K$5:$AJ$110,0,MATCH(Z$2,Inputs!$K$4:$AJ$4,0)))))</f>
        <v>33527</v>
      </c>
      <c r="AA60" s="263">
        <f>IF(ISNA(MATCH(AA$2,Inputs!$K$4:$AJ$4,0)),NA(),IF(SUMPRODUCT((Inputs!$A$5:$A$110=$B60)*ISNUMBER(INDEX(Inputs!$K$5:$AJ$110,0,MATCH(AA$2,Inputs!$K$4:$AJ$4,0))))+SUMPRODUCT((Inputs!$C$5:$C$110=$B60)*ISNUMBER(INDEX(Inputs!$K$5:$AJ$110,0,MATCH(AA$2,Inputs!$K$4:$AJ$4,0))))+SUMPRODUCT((Inputs!$E$5:$E$110=$B60)*ISNUMBER(INDEX(Inputs!$K$5:$AJ$110,0,MATCH(AA$2,Inputs!$K$4:$AJ$4,0))))=0,NA(),SUMPRODUCT((Inputs!$A$5:$A$110=$B60)*Inputs!$B$5:$B$110*(((Inputs!$G$5:$G$110="moeda")+(Inputs!$G$5:$G$110="acoes"))*Inputs!$B$1+((Inputs!$G$5:$G$110&lt;&gt;"moeda")*(Inputs!$G$5:$G$110&lt;&gt;"acoes")))*INDEX(Inputs!$K$5:$AJ$110,0,MATCH(AA$2,Inputs!$K$4:$AJ$4,0)))+SUMPRODUCT((Inputs!$C$5:$C$110=$B60)*Inputs!$D$5:$D$110*(((Inputs!$G$5:$G$110="moeda")+(Inputs!$G$5:$G$110="acoes"))*Inputs!$B$1+((Inputs!$G$5:$G$110&lt;&gt;"moeda")*(Inputs!$G$5:$G$110&lt;&gt;"acoes")))*INDEX(Inputs!$K$5:$AJ$110,0,MATCH(AA$2,Inputs!$K$4:$AJ$4,0)))+SUMPRODUCT((Inputs!$E$5:$E$110=$B60)*Inputs!$F$5:$F$110*(((Inputs!$G$5:$G$110="moeda")+(Inputs!$G$5:$G$110="acoes"))*Inputs!$B$1+((Inputs!$G$5:$G$110&lt;&gt;"moeda")*(Inputs!$G$5:$G$110&lt;&gt;"acoes")))*INDEX(Inputs!$K$5:$AJ$110,0,MATCH(AA$2,Inputs!$K$4:$AJ$4,0)))))</f>
        <v>40132</v>
      </c>
      <c r="AB60" s="264">
        <f>SUM(X60:AA60)</f>
        <v>139404</v>
      </c>
      <c r="AC60" s="263">
        <f>IF(ISNA(MATCH(AC$2,Inputs!$K$4:$AJ$4,0)),NA(),IF(SUMPRODUCT((Inputs!$A$5:$A$110=$B60)*ISNUMBER(INDEX(Inputs!$K$5:$AJ$110,0,MATCH(AC$2,Inputs!$K$4:$AJ$4,0))))+SUMPRODUCT((Inputs!$C$5:$C$110=$B60)*ISNUMBER(INDEX(Inputs!$K$5:$AJ$110,0,MATCH(AC$2,Inputs!$K$4:$AJ$4,0))))+SUMPRODUCT((Inputs!$E$5:$E$110=$B60)*ISNUMBER(INDEX(Inputs!$K$5:$AJ$110,0,MATCH(AC$2,Inputs!$K$4:$AJ$4,0))))=0,NA(),SUMPRODUCT((Inputs!$A$5:$A$110=$B60)*Inputs!$B$5:$B$110*(((Inputs!$G$5:$G$110="moeda")+(Inputs!$G$5:$G$110="acoes"))*Inputs!$B$1+((Inputs!$G$5:$G$110&lt;&gt;"moeda")*(Inputs!$G$5:$G$110&lt;&gt;"acoes")))*INDEX(Inputs!$K$5:$AJ$110,0,MATCH(AC$2,Inputs!$K$4:$AJ$4,0)))+SUMPRODUCT((Inputs!$C$5:$C$110=$B60)*Inputs!$D$5:$D$110*(((Inputs!$G$5:$G$110="moeda")+(Inputs!$G$5:$G$110="acoes"))*Inputs!$B$1+((Inputs!$G$5:$G$110&lt;&gt;"moeda")*(Inputs!$G$5:$G$110&lt;&gt;"acoes")))*INDEX(Inputs!$K$5:$AJ$110,0,MATCH(AC$2,Inputs!$K$4:$AJ$4,0)))+SUMPRODUCT((Inputs!$E$5:$E$110=$B60)*Inputs!$F$5:$F$110*(((Inputs!$G$5:$G$110="moeda")+(Inputs!$G$5:$G$110="acoes"))*Inputs!$B$1+((Inputs!$G$5:$G$110&lt;&gt;"moeda")*(Inputs!$G$5:$G$110&lt;&gt;"acoes")))*INDEX(Inputs!$K$5:$AJ$110,0,MATCH(AC$2,Inputs!$K$4:$AJ$4,0)))))</f>
        <v>40589</v>
      </c>
      <c r="AD60" s="263">
        <f>IF(ISNA(MATCH(AD$2,Inputs!$K$4:$AJ$4,0)),NA(),IF(SUMPRODUCT((Inputs!$A$5:$A$110=$B60)*ISNUMBER(INDEX(Inputs!$K$5:$AJ$110,0,MATCH(AD$2,Inputs!$K$4:$AJ$4,0))))+SUMPRODUCT((Inputs!$C$5:$C$110=$B60)*ISNUMBER(INDEX(Inputs!$K$5:$AJ$110,0,MATCH(AD$2,Inputs!$K$4:$AJ$4,0))))+SUMPRODUCT((Inputs!$E$5:$E$110=$B60)*ISNUMBER(INDEX(Inputs!$K$5:$AJ$110,0,MATCH(AD$2,Inputs!$K$4:$AJ$4,0))))=0,NA(),SUMPRODUCT((Inputs!$A$5:$A$110=$B60)*Inputs!$B$5:$B$110*(((Inputs!$G$5:$G$110="moeda")+(Inputs!$G$5:$G$110="acoes"))*Inputs!$B$1+((Inputs!$G$5:$G$110&lt;&gt;"moeda")*(Inputs!$G$5:$G$110&lt;&gt;"acoes")))*INDEX(Inputs!$K$5:$AJ$110,0,MATCH(AD$2,Inputs!$K$4:$AJ$4,0)))+SUMPRODUCT((Inputs!$C$5:$C$110=$B60)*Inputs!$D$5:$D$110*(((Inputs!$G$5:$G$110="moeda")+(Inputs!$G$5:$G$110="acoes"))*Inputs!$B$1+((Inputs!$G$5:$G$110&lt;&gt;"moeda")*(Inputs!$G$5:$G$110&lt;&gt;"acoes")))*INDEX(Inputs!$K$5:$AJ$110,0,MATCH(AD$2,Inputs!$K$4:$AJ$4,0)))+SUMPRODUCT((Inputs!$E$5:$E$110=$B60)*Inputs!$F$5:$F$110*(((Inputs!$G$5:$G$110="moeda")+(Inputs!$G$5:$G$110="acoes"))*Inputs!$B$1+((Inputs!$G$5:$G$110&lt;&gt;"moeda")*(Inputs!$G$5:$G$110&lt;&gt;"acoes")))*INDEX(Inputs!$K$5:$AJ$110,0,MATCH(AD$2,Inputs!$K$4:$AJ$4,0)))))</f>
        <v>39544</v>
      </c>
      <c r="AE60" s="263" t="e">
        <f>IF(ISNA(MATCH(AE$2,Inputs!$K$4:$AJ$4,0)),NA(),IF(SUMPRODUCT((Inputs!$A$5:$A$110=$B60)*ISNUMBER(INDEX(Inputs!$K$5:$AJ$110,0,MATCH(AE$2,Inputs!$K$4:$AJ$4,0))))+SUMPRODUCT((Inputs!$C$5:$C$110=$B60)*ISNUMBER(INDEX(Inputs!$K$5:$AJ$110,0,MATCH(AE$2,Inputs!$K$4:$AJ$4,0))))+SUMPRODUCT((Inputs!$E$5:$E$110=$B60)*ISNUMBER(INDEX(Inputs!$K$5:$AJ$110,0,MATCH(AE$2,Inputs!$K$4:$AJ$4,0))))=0,NA(),SUMPRODUCT((Inputs!$A$5:$A$110=$B60)*Inputs!$B$5:$B$110*(((Inputs!$G$5:$G$110="moeda")+(Inputs!$G$5:$G$110="acoes"))*Inputs!$B$1+((Inputs!$G$5:$G$110&lt;&gt;"moeda")*(Inputs!$G$5:$G$110&lt;&gt;"acoes")))*INDEX(Inputs!$K$5:$AJ$110,0,MATCH(AE$2,Inputs!$K$4:$AJ$4,0)))+SUMPRODUCT((Inputs!$C$5:$C$110=$B60)*Inputs!$D$5:$D$110*(((Inputs!$G$5:$G$110="moeda")+(Inputs!$G$5:$G$110="acoes"))*Inputs!$B$1+((Inputs!$G$5:$G$110&lt;&gt;"moeda")*(Inputs!$G$5:$G$110&lt;&gt;"acoes")))*INDEX(Inputs!$K$5:$AJ$110,0,MATCH(AE$2,Inputs!$K$4:$AJ$4,0)))+SUMPRODUCT((Inputs!$E$5:$E$110=$B60)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0" s="263" t="e">
        <f>IF(ISNA(MATCH(AF$2,Inputs!$K$4:$AJ$4,0)),NA(),IF(SUMPRODUCT((Inputs!$A$5:$A$110=$B60)*ISNUMBER(INDEX(Inputs!$K$5:$AJ$110,0,MATCH(AF$2,Inputs!$K$4:$AJ$4,0))))+SUMPRODUCT((Inputs!$C$5:$C$110=$B60)*ISNUMBER(INDEX(Inputs!$K$5:$AJ$110,0,MATCH(AF$2,Inputs!$K$4:$AJ$4,0))))+SUMPRODUCT((Inputs!$E$5:$E$110=$B60)*ISNUMBER(INDEX(Inputs!$K$5:$AJ$110,0,MATCH(AF$2,Inputs!$K$4:$AJ$4,0))))=0,NA(),SUMPRODUCT((Inputs!$A$5:$A$110=$B60)*Inputs!$B$5:$B$110*(((Inputs!$G$5:$G$110="moeda")+(Inputs!$G$5:$G$110="acoes"))*Inputs!$B$1+((Inputs!$G$5:$G$110&lt;&gt;"moeda")*(Inputs!$G$5:$G$110&lt;&gt;"acoes")))*INDEX(Inputs!$K$5:$AJ$110,0,MATCH(AF$2,Inputs!$K$4:$AJ$4,0)))+SUMPRODUCT((Inputs!$C$5:$C$110=$B60)*Inputs!$D$5:$D$110*(((Inputs!$G$5:$G$110="moeda")+(Inputs!$G$5:$G$110="acoes"))*Inputs!$B$1+((Inputs!$G$5:$G$110&lt;&gt;"moeda")*(Inputs!$G$5:$G$110&lt;&gt;"acoes")))*INDEX(Inputs!$K$5:$AJ$110,0,MATCH(AF$2,Inputs!$K$4:$AJ$4,0)))+SUMPRODUCT((Inputs!$E$5:$E$110=$B60)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0" s="264" t="e">
        <f>SUM(AC60:AF60)</f>
        <v>#N/A</v>
      </c>
      <c r="AH60" s="263">
        <f>IF(ISNA(MATCH(AH$2,Inputs!$K$4:$AJ$4,0)),NA(),IF(SUMPRODUCT((Inputs!$A$5:$A$110=$B60)*ISNUMBER(INDEX(Inputs!$K$5:$AJ$110,0,MATCH(AH$2,Inputs!$K$4:$AJ$4,0))))+SUMPRODUCT((Inputs!$C$5:$C$110=$B60)*ISNUMBER(INDEX(Inputs!$K$5:$AJ$110,0,MATCH(AH$2,Inputs!$K$4:$AJ$4,0))))+SUMPRODUCT((Inputs!$E$5:$E$110=$B60)*ISNUMBER(INDEX(Inputs!$K$5:$AJ$110,0,MATCH(AH$2,Inputs!$K$4:$AJ$4,0))))=0,NA(),SUMPRODUCT((Inputs!$A$5:$A$110=$B60)*Inputs!$B$5:$B$110*(((Inputs!$G$5:$G$110="moeda")+(Inputs!$G$5:$G$110="acoes"))*Inputs!$B$1+((Inputs!$G$5:$G$110&lt;&gt;"moeda")*(Inputs!$G$5:$G$110&lt;&gt;"acoes")))*INDEX(Inputs!$K$5:$AJ$110,0,MATCH(AH$2,Inputs!$K$4:$AJ$4,0)))+SUMPRODUCT((Inputs!$C$5:$C$110=$B60)*Inputs!$D$5:$D$110*(((Inputs!$G$5:$G$110="moeda")+(Inputs!$G$5:$G$110="acoes"))*Inputs!$B$1+((Inputs!$G$5:$G$110&lt;&gt;"moeda")*(Inputs!$G$5:$G$110&lt;&gt;"acoes")))*INDEX(Inputs!$K$5:$AJ$110,0,MATCH(AH$2,Inputs!$K$4:$AJ$4,0)))+SUMPRODUCT((Inputs!$E$5:$E$110=$B60)*Inputs!$F$5:$F$110*(((Inputs!$G$5:$G$110="moeda")+(Inputs!$G$5:$G$110="acoes"))*Inputs!$B$1+((Inputs!$G$5:$G$110&lt;&gt;"moeda")*(Inputs!$G$5:$G$110&lt;&gt;"acoes")))*INDEX(Inputs!$K$5:$AJ$110,0,MATCH(AH$2,Inputs!$K$4:$AJ$4,0)))))</f>
        <v>11548</v>
      </c>
      <c r="AI60" s="263">
        <f>IF(ISNA(MATCH(AI$2,Inputs!$K$4:$AJ$4,0)),NA(),IF(SUMPRODUCT((Inputs!$A$5:$A$110=$B60)*ISNUMBER(INDEX(Inputs!$K$5:$AJ$110,0,MATCH(AI$2,Inputs!$K$4:$AJ$4,0))))+SUMPRODUCT((Inputs!$C$5:$C$110=$B60)*ISNUMBER(INDEX(Inputs!$K$5:$AJ$110,0,MATCH(AI$2,Inputs!$K$4:$AJ$4,0))))+SUMPRODUCT((Inputs!$E$5:$E$110=$B60)*ISNUMBER(INDEX(Inputs!$K$5:$AJ$110,0,MATCH(AI$2,Inputs!$K$4:$AJ$4,0))))=0,NA(),SUMPRODUCT((Inputs!$A$5:$A$110=$B60)*Inputs!$B$5:$B$110*(((Inputs!$G$5:$G$110="moeda")+(Inputs!$G$5:$G$110="acoes"))*Inputs!$B$1+((Inputs!$G$5:$G$110&lt;&gt;"moeda")*(Inputs!$G$5:$G$110&lt;&gt;"acoes")))*INDEX(Inputs!$K$5:$AJ$110,0,MATCH(AI$2,Inputs!$K$4:$AJ$4,0)))+SUMPRODUCT((Inputs!$C$5:$C$110=$B60)*Inputs!$D$5:$D$110*(((Inputs!$G$5:$G$110="moeda")+(Inputs!$G$5:$G$110="acoes"))*Inputs!$B$1+((Inputs!$G$5:$G$110&lt;&gt;"moeda")*(Inputs!$G$5:$G$110&lt;&gt;"acoes")))*INDEX(Inputs!$K$5:$AJ$110,0,MATCH(AI$2,Inputs!$K$4:$AJ$4,0)))+SUMPRODUCT((Inputs!$E$5:$E$110=$B60)*Inputs!$F$5:$F$110*(((Inputs!$G$5:$G$110="moeda")+(Inputs!$G$5:$G$110="acoes"))*Inputs!$B$1+((Inputs!$G$5:$G$110&lt;&gt;"moeda")*(Inputs!$G$5:$G$110&lt;&gt;"acoes")))*INDEX(Inputs!$K$5:$AJ$110,0,MATCH(AI$2,Inputs!$K$4:$AJ$4,0)))))</f>
        <v>9539</v>
      </c>
      <c r="AJ60" s="263">
        <f>IF(ISNA(MATCH(AJ$2,Inputs!$K$4:$AJ$4,0)),NA(),IF(SUMPRODUCT((Inputs!$A$5:$A$110=$B60)*ISNUMBER(INDEX(Inputs!$K$5:$AJ$110,0,MATCH(AJ$2,Inputs!$K$4:$AJ$4,0))))+SUMPRODUCT((Inputs!$C$5:$C$110=$B60)*ISNUMBER(INDEX(Inputs!$K$5:$AJ$110,0,MATCH(AJ$2,Inputs!$K$4:$AJ$4,0))))+SUMPRODUCT((Inputs!$E$5:$E$110=$B60)*ISNUMBER(INDEX(Inputs!$K$5:$AJ$110,0,MATCH(AJ$2,Inputs!$K$4:$AJ$4,0))))=0,NA(),SUMPRODUCT((Inputs!$A$5:$A$110=$B60)*Inputs!$B$5:$B$110*(((Inputs!$G$5:$G$110="moeda")+(Inputs!$G$5:$G$110="acoes"))*Inputs!$B$1+((Inputs!$G$5:$G$110&lt;&gt;"moeda")*(Inputs!$G$5:$G$110&lt;&gt;"acoes")))*INDEX(Inputs!$K$5:$AJ$110,0,MATCH(AJ$2,Inputs!$K$4:$AJ$4,0)))+SUMPRODUCT((Inputs!$C$5:$C$110=$B60)*Inputs!$D$5:$D$110*(((Inputs!$G$5:$G$110="moeda")+(Inputs!$G$5:$G$110="acoes"))*Inputs!$B$1+((Inputs!$G$5:$G$110&lt;&gt;"moeda")*(Inputs!$G$5:$G$110&lt;&gt;"acoes")))*INDEX(Inputs!$K$5:$AJ$110,0,MATCH(AJ$2,Inputs!$K$4:$AJ$4,0)))+SUMPRODUCT((Inputs!$E$5:$E$110=$B60)*Inputs!$F$5:$F$110*(((Inputs!$G$5:$G$110="moeda")+(Inputs!$G$5:$G$110="acoes"))*Inputs!$B$1+((Inputs!$G$5:$G$110&lt;&gt;"moeda")*(Inputs!$G$5:$G$110&lt;&gt;"acoes")))*INDEX(Inputs!$K$5:$AJ$110,0,MATCH(AJ$2,Inputs!$K$4:$AJ$4,0)))))</f>
        <v>14453</v>
      </c>
      <c r="AK60" s="263">
        <f>IF(ISNA(MATCH(AK$2,Inputs!$K$4:$AJ$4,0)),NA(),IF(SUMPRODUCT((Inputs!$A$5:$A$110=$B60)*ISNUMBER(INDEX(Inputs!$K$5:$AJ$110,0,MATCH(AK$2,Inputs!$K$4:$AJ$4,0))))+SUMPRODUCT((Inputs!$C$5:$C$110=$B60)*ISNUMBER(INDEX(Inputs!$K$5:$AJ$110,0,MATCH(AK$2,Inputs!$K$4:$AJ$4,0))))+SUMPRODUCT((Inputs!$E$5:$E$110=$B60)*ISNUMBER(INDEX(Inputs!$K$5:$AJ$110,0,MATCH(AK$2,Inputs!$K$4:$AJ$4,0))))=0,NA(),SUMPRODUCT((Inputs!$A$5:$A$110=$B60)*Inputs!$B$5:$B$110*(((Inputs!$G$5:$G$110="moeda")+(Inputs!$G$5:$G$110="acoes"))*Inputs!$B$1+((Inputs!$G$5:$G$110&lt;&gt;"moeda")*(Inputs!$G$5:$G$110&lt;&gt;"acoes")))*INDEX(Inputs!$K$5:$AJ$110,0,MATCH(AK$2,Inputs!$K$4:$AJ$4,0)))+SUMPRODUCT((Inputs!$C$5:$C$110=$B60)*Inputs!$D$5:$D$110*(((Inputs!$G$5:$G$110="moeda")+(Inputs!$G$5:$G$110="acoes"))*Inputs!$B$1+((Inputs!$G$5:$G$110&lt;&gt;"moeda")*(Inputs!$G$5:$G$110&lt;&gt;"acoes")))*INDEX(Inputs!$K$5:$AJ$110,0,MATCH(AK$2,Inputs!$K$4:$AJ$4,0)))+SUMPRODUCT((Inputs!$E$5:$E$110=$B60)*Inputs!$F$5:$F$110*(((Inputs!$G$5:$G$110="moeda")+(Inputs!$G$5:$G$110="acoes"))*Inputs!$B$1+((Inputs!$G$5:$G$110&lt;&gt;"moeda")*(Inputs!$G$5:$G$110&lt;&gt;"acoes")))*INDEX(Inputs!$K$5:$AJ$110,0,MATCH(AK$2,Inputs!$K$4:$AJ$4,0)))))</f>
        <v>19066</v>
      </c>
      <c r="AL60" s="264">
        <f>SUM(AH60:AK60)</f>
        <v>54606</v>
      </c>
    </row>
    <row r="61">
      <c r="B61" s="46" t="n">
        <v>53</v>
      </c>
      <c r="C61" s="29" t="inlineStr">
        <is>
          <t>Google Cloud - lucro operacional (USD)</t>
        </is>
      </c>
      <c r="D61" s="263">
        <f>IF(ISNA(MATCH(D$2,Inputs!$K$4:$AJ$4,0)),NA(),IF(SUMPRODUCT((Inputs!$A$5:$A$110=$B61)*ISNUMBER(INDEX(Inputs!$K$5:$AJ$110,0,MATCH(D$2,Inputs!$K$4:$AJ$4,0))))+SUMPRODUCT((Inputs!$C$5:$C$110=$B61)*ISNUMBER(INDEX(Inputs!$K$5:$AJ$110,0,MATCH(D$2,Inputs!$K$4:$AJ$4,0))))+SUMPRODUCT((Inputs!$E$5:$E$110=$B61)*ISNUMBER(INDEX(Inputs!$K$5:$AJ$110,0,MATCH(D$2,Inputs!$K$4:$AJ$4,0))))=0,NA(),SUMPRODUCT((Inputs!$A$5:$A$110=$B61)*Inputs!$B$5:$B$110*(((Inputs!$G$5:$G$110="moeda")+(Inputs!$G$5:$G$110="acoes"))*Inputs!$B$1+((Inputs!$G$5:$G$110&lt;&gt;"moeda")*(Inputs!$G$5:$G$110&lt;&gt;"acoes")))*INDEX(Inputs!$K$5:$AJ$110,0,MATCH(D$2,Inputs!$K$4:$AJ$4,0)))+SUMPRODUCT((Inputs!$C$5:$C$110=$B61)*Inputs!$D$5:$D$110*(((Inputs!$G$5:$G$110="moeda")+(Inputs!$G$5:$G$110="acoes"))*Inputs!$B$1+((Inputs!$G$5:$G$110&lt;&gt;"moeda")*(Inputs!$G$5:$G$110&lt;&gt;"acoes")))*INDEX(Inputs!$K$5:$AJ$110,0,MATCH(D$2,Inputs!$K$4:$AJ$4,0)))+SUMPRODUCT((Inputs!$E$5:$E$110=$B61)*Inputs!$F$5:$F$110*(((Inputs!$G$5:$G$110="moeda")+(Inputs!$G$5:$G$110="acoes"))*Inputs!$B$1+((Inputs!$G$5:$G$110&lt;&gt;"moeda")*(Inputs!$G$5:$G$110&lt;&gt;"acoes")))*INDEX(Inputs!$K$5:$AJ$110,0,MATCH(D$2,Inputs!$K$4:$AJ$4,0)))))</f>
        <v>-974</v>
      </c>
      <c r="E61" s="263">
        <f>IF(ISNA(MATCH(E$2,Inputs!$K$4:$AJ$4,0)),NA(),IF(SUMPRODUCT((Inputs!$A$5:$A$110=$B61)*ISNUMBER(INDEX(Inputs!$K$5:$AJ$110,0,MATCH(E$2,Inputs!$K$4:$AJ$4,0))))+SUMPRODUCT((Inputs!$C$5:$C$110=$B61)*ISNUMBER(INDEX(Inputs!$K$5:$AJ$110,0,MATCH(E$2,Inputs!$K$4:$AJ$4,0))))+SUMPRODUCT((Inputs!$E$5:$E$110=$B61)*ISNUMBER(INDEX(Inputs!$K$5:$AJ$110,0,MATCH(E$2,Inputs!$K$4:$AJ$4,0))))=0,NA(),SUMPRODUCT((Inputs!$A$5:$A$110=$B61)*Inputs!$B$5:$B$110*(((Inputs!$G$5:$G$110="moeda")+(Inputs!$G$5:$G$110="acoes"))*Inputs!$B$1+((Inputs!$G$5:$G$110&lt;&gt;"moeda")*(Inputs!$G$5:$G$110&lt;&gt;"acoes")))*INDEX(Inputs!$K$5:$AJ$110,0,MATCH(E$2,Inputs!$K$4:$AJ$4,0)))+SUMPRODUCT((Inputs!$C$5:$C$110=$B61)*Inputs!$D$5:$D$110*(((Inputs!$G$5:$G$110="moeda")+(Inputs!$G$5:$G$110="acoes"))*Inputs!$B$1+((Inputs!$G$5:$G$110&lt;&gt;"moeda")*(Inputs!$G$5:$G$110&lt;&gt;"acoes")))*INDEX(Inputs!$K$5:$AJ$110,0,MATCH(E$2,Inputs!$K$4:$AJ$4,0)))+SUMPRODUCT((Inputs!$E$5:$E$110=$B61)*Inputs!$F$5:$F$110*(((Inputs!$G$5:$G$110="moeda")+(Inputs!$G$5:$G$110="acoes"))*Inputs!$B$1+((Inputs!$G$5:$G$110&lt;&gt;"moeda")*(Inputs!$G$5:$G$110&lt;&gt;"acoes")))*INDEX(Inputs!$K$5:$AJ$110,0,MATCH(E$2,Inputs!$K$4:$AJ$4,0)))))</f>
        <v>-591</v>
      </c>
      <c r="F61" s="263">
        <f>IF(ISNA(MATCH(F$2,Inputs!$K$4:$AJ$4,0)),NA(),IF(SUMPRODUCT((Inputs!$A$5:$A$110=$B61)*ISNUMBER(INDEX(Inputs!$K$5:$AJ$110,0,MATCH(F$2,Inputs!$K$4:$AJ$4,0))))+SUMPRODUCT((Inputs!$C$5:$C$110=$B61)*ISNUMBER(INDEX(Inputs!$K$5:$AJ$110,0,MATCH(F$2,Inputs!$K$4:$AJ$4,0))))+SUMPRODUCT((Inputs!$E$5:$E$110=$B61)*ISNUMBER(INDEX(Inputs!$K$5:$AJ$110,0,MATCH(F$2,Inputs!$K$4:$AJ$4,0))))=0,NA(),SUMPRODUCT((Inputs!$A$5:$A$110=$B61)*Inputs!$B$5:$B$110*(((Inputs!$G$5:$G$110="moeda")+(Inputs!$G$5:$G$110="acoes"))*Inputs!$B$1+((Inputs!$G$5:$G$110&lt;&gt;"moeda")*(Inputs!$G$5:$G$110&lt;&gt;"acoes")))*INDEX(Inputs!$K$5:$AJ$110,0,MATCH(F$2,Inputs!$K$4:$AJ$4,0)))+SUMPRODUCT((Inputs!$C$5:$C$110=$B61)*Inputs!$D$5:$D$110*(((Inputs!$G$5:$G$110="moeda")+(Inputs!$G$5:$G$110="acoes"))*Inputs!$B$1+((Inputs!$G$5:$G$110&lt;&gt;"moeda")*(Inputs!$G$5:$G$110&lt;&gt;"acoes")))*INDEX(Inputs!$K$5:$AJ$110,0,MATCH(F$2,Inputs!$K$4:$AJ$4,0)))+SUMPRODUCT((Inputs!$E$5:$E$110=$B61)*Inputs!$F$5:$F$110*(((Inputs!$G$5:$G$110="moeda")+(Inputs!$G$5:$G$110="acoes"))*Inputs!$B$1+((Inputs!$G$5:$G$110&lt;&gt;"moeda")*(Inputs!$G$5:$G$110&lt;&gt;"acoes")))*INDEX(Inputs!$K$5:$AJ$110,0,MATCH(F$2,Inputs!$K$4:$AJ$4,0)))))</f>
        <v>-644</v>
      </c>
      <c r="G61" s="263">
        <f>IF(ISNA(MATCH(G$2,Inputs!$K$4:$AJ$4,0)),NA(),IF(SUMPRODUCT((Inputs!$A$5:$A$110=$B61)*ISNUMBER(INDEX(Inputs!$K$5:$AJ$110,0,MATCH(G$2,Inputs!$K$4:$AJ$4,0))))+SUMPRODUCT((Inputs!$C$5:$C$110=$B61)*ISNUMBER(INDEX(Inputs!$K$5:$AJ$110,0,MATCH(G$2,Inputs!$K$4:$AJ$4,0))))+SUMPRODUCT((Inputs!$E$5:$E$110=$B61)*ISNUMBER(INDEX(Inputs!$K$5:$AJ$110,0,MATCH(G$2,Inputs!$K$4:$AJ$4,0))))=0,NA(),SUMPRODUCT((Inputs!$A$5:$A$110=$B61)*Inputs!$B$5:$B$110*(((Inputs!$G$5:$G$110="moeda")+(Inputs!$G$5:$G$110="acoes"))*Inputs!$B$1+((Inputs!$G$5:$G$110&lt;&gt;"moeda")*(Inputs!$G$5:$G$110&lt;&gt;"acoes")))*INDEX(Inputs!$K$5:$AJ$110,0,MATCH(G$2,Inputs!$K$4:$AJ$4,0)))+SUMPRODUCT((Inputs!$C$5:$C$110=$B61)*Inputs!$D$5:$D$110*(((Inputs!$G$5:$G$110="moeda")+(Inputs!$G$5:$G$110="acoes"))*Inputs!$B$1+((Inputs!$G$5:$G$110&lt;&gt;"moeda")*(Inputs!$G$5:$G$110&lt;&gt;"acoes")))*INDEX(Inputs!$K$5:$AJ$110,0,MATCH(G$2,Inputs!$K$4:$AJ$4,0)))+SUMPRODUCT((Inputs!$E$5:$E$110=$B61)*Inputs!$F$5:$F$110*(((Inputs!$G$5:$G$110="moeda")+(Inputs!$G$5:$G$110="acoes"))*Inputs!$B$1+((Inputs!$G$5:$G$110&lt;&gt;"moeda")*(Inputs!$G$5:$G$110&lt;&gt;"acoes")))*INDEX(Inputs!$K$5:$AJ$110,0,MATCH(G$2,Inputs!$K$4:$AJ$4,0)))))</f>
        <v>-73</v>
      </c>
      <c r="H61" s="264">
        <f>SUM(D61:G61)</f>
        <v>-2282</v>
      </c>
      <c r="I61" s="263">
        <f>IF(ISNA(MATCH(I$2,Inputs!$K$4:$AJ$4,0)),NA(),IF(SUMPRODUCT((Inputs!$A$5:$A$110=$B61)*ISNUMBER(INDEX(Inputs!$K$5:$AJ$110,0,MATCH(I$2,Inputs!$K$4:$AJ$4,0))))+SUMPRODUCT((Inputs!$C$5:$C$110=$B61)*ISNUMBER(INDEX(Inputs!$K$5:$AJ$110,0,MATCH(I$2,Inputs!$K$4:$AJ$4,0))))+SUMPRODUCT((Inputs!$E$5:$E$110=$B61)*ISNUMBER(INDEX(Inputs!$K$5:$AJ$110,0,MATCH(I$2,Inputs!$K$4:$AJ$4,0))))=0,NA(),SUMPRODUCT((Inputs!$A$5:$A$110=$B61)*Inputs!$B$5:$B$110*(((Inputs!$G$5:$G$110="moeda")+(Inputs!$G$5:$G$110="acoes"))*Inputs!$B$1+((Inputs!$G$5:$G$110&lt;&gt;"moeda")*(Inputs!$G$5:$G$110&lt;&gt;"acoes")))*INDEX(Inputs!$K$5:$AJ$110,0,MATCH(I$2,Inputs!$K$4:$AJ$4,0)))+SUMPRODUCT((Inputs!$C$5:$C$110=$B61)*Inputs!$D$5:$D$110*(((Inputs!$G$5:$G$110="moeda")+(Inputs!$G$5:$G$110="acoes"))*Inputs!$B$1+((Inputs!$G$5:$G$110&lt;&gt;"moeda")*(Inputs!$G$5:$G$110&lt;&gt;"acoes")))*INDEX(Inputs!$K$5:$AJ$110,0,MATCH(I$2,Inputs!$K$4:$AJ$4,0)))+SUMPRODUCT((Inputs!$E$5:$E$110=$B61)*Inputs!$F$5:$F$110*(((Inputs!$G$5:$G$110="moeda")+(Inputs!$G$5:$G$110="acoes"))*Inputs!$B$1+((Inputs!$G$5:$G$110&lt;&gt;"moeda")*(Inputs!$G$5:$G$110&lt;&gt;"acoes")))*INDEX(Inputs!$K$5:$AJ$110,0,MATCH(I$2,Inputs!$K$4:$AJ$4,0)))))</f>
        <v>-931</v>
      </c>
      <c r="J61" s="263">
        <f>IF(ISNA(MATCH(J$2,Inputs!$K$4:$AJ$4,0)),NA(),IF(SUMPRODUCT((Inputs!$A$5:$A$110=$B61)*ISNUMBER(INDEX(Inputs!$K$5:$AJ$110,0,MATCH(J$2,Inputs!$K$4:$AJ$4,0))))+SUMPRODUCT((Inputs!$C$5:$C$110=$B61)*ISNUMBER(INDEX(Inputs!$K$5:$AJ$110,0,MATCH(J$2,Inputs!$K$4:$AJ$4,0))))+SUMPRODUCT((Inputs!$E$5:$E$110=$B61)*ISNUMBER(INDEX(Inputs!$K$5:$AJ$110,0,MATCH(J$2,Inputs!$K$4:$AJ$4,0))))=0,NA(),SUMPRODUCT((Inputs!$A$5:$A$110=$B61)*Inputs!$B$5:$B$110*(((Inputs!$G$5:$G$110="moeda")+(Inputs!$G$5:$G$110="acoes"))*Inputs!$B$1+((Inputs!$G$5:$G$110&lt;&gt;"moeda")*(Inputs!$G$5:$G$110&lt;&gt;"acoes")))*INDEX(Inputs!$K$5:$AJ$110,0,MATCH(J$2,Inputs!$K$4:$AJ$4,0)))+SUMPRODUCT((Inputs!$C$5:$C$110=$B61)*Inputs!$D$5:$D$110*(((Inputs!$G$5:$G$110="moeda")+(Inputs!$G$5:$G$110="acoes"))*Inputs!$B$1+((Inputs!$G$5:$G$110&lt;&gt;"moeda")*(Inputs!$G$5:$G$110&lt;&gt;"acoes")))*INDEX(Inputs!$K$5:$AJ$110,0,MATCH(J$2,Inputs!$K$4:$AJ$4,0)))+SUMPRODUCT((Inputs!$E$5:$E$110=$B61)*Inputs!$F$5:$F$110*(((Inputs!$G$5:$G$110="moeda")+(Inputs!$G$5:$G$110="acoes"))*Inputs!$B$1+((Inputs!$G$5:$G$110&lt;&gt;"moeda")*(Inputs!$G$5:$G$110&lt;&gt;"acoes")))*INDEX(Inputs!$K$5:$AJ$110,0,MATCH(J$2,Inputs!$K$4:$AJ$4,0)))))</f>
        <v>-858</v>
      </c>
      <c r="K61" s="263">
        <f>IF(ISNA(MATCH(K$2,Inputs!$K$4:$AJ$4,0)),NA(),IF(SUMPRODUCT((Inputs!$A$5:$A$110=$B61)*ISNUMBER(INDEX(Inputs!$K$5:$AJ$110,0,MATCH(K$2,Inputs!$K$4:$AJ$4,0))))+SUMPRODUCT((Inputs!$C$5:$C$110=$B61)*ISNUMBER(INDEX(Inputs!$K$5:$AJ$110,0,MATCH(K$2,Inputs!$K$4:$AJ$4,0))))+SUMPRODUCT((Inputs!$E$5:$E$110=$B61)*ISNUMBER(INDEX(Inputs!$K$5:$AJ$110,0,MATCH(K$2,Inputs!$K$4:$AJ$4,0))))=0,NA(),SUMPRODUCT((Inputs!$A$5:$A$110=$B61)*Inputs!$B$5:$B$110*(((Inputs!$G$5:$G$110="moeda")+(Inputs!$G$5:$G$110="acoes"))*Inputs!$B$1+((Inputs!$G$5:$G$110&lt;&gt;"moeda")*(Inputs!$G$5:$G$110&lt;&gt;"acoes")))*INDEX(Inputs!$K$5:$AJ$110,0,MATCH(K$2,Inputs!$K$4:$AJ$4,0)))+SUMPRODUCT((Inputs!$C$5:$C$110=$B61)*Inputs!$D$5:$D$110*(((Inputs!$G$5:$G$110="moeda")+(Inputs!$G$5:$G$110="acoes"))*Inputs!$B$1+((Inputs!$G$5:$G$110&lt;&gt;"moeda")*(Inputs!$G$5:$G$110&lt;&gt;"acoes")))*INDEX(Inputs!$K$5:$AJ$110,0,MATCH(K$2,Inputs!$K$4:$AJ$4,0)))+SUMPRODUCT((Inputs!$E$5:$E$110=$B61)*Inputs!$F$5:$F$110*(((Inputs!$G$5:$G$110="moeda")+(Inputs!$G$5:$G$110="acoes"))*Inputs!$B$1+((Inputs!$G$5:$G$110&lt;&gt;"moeda")*(Inputs!$G$5:$G$110&lt;&gt;"acoes")))*INDEX(Inputs!$K$5:$AJ$110,0,MATCH(K$2,Inputs!$K$4:$AJ$4,0)))))</f>
        <v>-699</v>
      </c>
      <c r="L61" s="263">
        <f>IF(ISNA(MATCH(L$2,Inputs!$K$4:$AJ$4,0)),NA(),IF(SUMPRODUCT((Inputs!$A$5:$A$110=$B61)*ISNUMBER(INDEX(Inputs!$K$5:$AJ$110,0,MATCH(L$2,Inputs!$K$4:$AJ$4,0))))+SUMPRODUCT((Inputs!$C$5:$C$110=$B61)*ISNUMBER(INDEX(Inputs!$K$5:$AJ$110,0,MATCH(L$2,Inputs!$K$4:$AJ$4,0))))+SUMPRODUCT((Inputs!$E$5:$E$110=$B61)*ISNUMBER(INDEX(Inputs!$K$5:$AJ$110,0,MATCH(L$2,Inputs!$K$4:$AJ$4,0))))=0,NA(),SUMPRODUCT((Inputs!$A$5:$A$110=$B61)*Inputs!$B$5:$B$110*(((Inputs!$G$5:$G$110="moeda")+(Inputs!$G$5:$G$110="acoes"))*Inputs!$B$1+((Inputs!$G$5:$G$110&lt;&gt;"moeda")*(Inputs!$G$5:$G$110&lt;&gt;"acoes")))*INDEX(Inputs!$K$5:$AJ$110,0,MATCH(L$2,Inputs!$K$4:$AJ$4,0)))+SUMPRODUCT((Inputs!$C$5:$C$110=$B61)*Inputs!$D$5:$D$110*(((Inputs!$G$5:$G$110="moeda")+(Inputs!$G$5:$G$110="acoes"))*Inputs!$B$1+((Inputs!$G$5:$G$110&lt;&gt;"moeda")*(Inputs!$G$5:$G$110&lt;&gt;"acoes")))*INDEX(Inputs!$K$5:$AJ$110,0,MATCH(L$2,Inputs!$K$4:$AJ$4,0)))+SUMPRODUCT((Inputs!$E$5:$E$110=$B61)*Inputs!$F$5:$F$110*(((Inputs!$G$5:$G$110="moeda")+(Inputs!$G$5:$G$110="acoes"))*Inputs!$B$1+((Inputs!$G$5:$G$110&lt;&gt;"moeda")*(Inputs!$G$5:$G$110&lt;&gt;"acoes")))*INDEX(Inputs!$K$5:$AJ$110,0,MATCH(L$2,Inputs!$K$4:$AJ$4,0)))))</f>
        <v>566</v>
      </c>
      <c r="M61" s="264">
        <f>SUM(I61:L61)</f>
        <v>-1922</v>
      </c>
      <c r="N61" s="263">
        <f>IF(ISNA(MATCH(N$2,Inputs!$K$4:$AJ$4,0)),NA(),IF(SUMPRODUCT((Inputs!$A$5:$A$110=$B61)*ISNUMBER(INDEX(Inputs!$K$5:$AJ$110,0,MATCH(N$2,Inputs!$K$4:$AJ$4,0))))+SUMPRODUCT((Inputs!$C$5:$C$110=$B61)*ISNUMBER(INDEX(Inputs!$K$5:$AJ$110,0,MATCH(N$2,Inputs!$K$4:$AJ$4,0))))+SUMPRODUCT((Inputs!$E$5:$E$110=$B61)*ISNUMBER(INDEX(Inputs!$K$5:$AJ$110,0,MATCH(N$2,Inputs!$K$4:$AJ$4,0))))=0,NA(),SUMPRODUCT((Inputs!$A$5:$A$110=$B61)*Inputs!$B$5:$B$110*(((Inputs!$G$5:$G$110="moeda")+(Inputs!$G$5:$G$110="acoes"))*Inputs!$B$1+((Inputs!$G$5:$G$110&lt;&gt;"moeda")*(Inputs!$G$5:$G$110&lt;&gt;"acoes")))*INDEX(Inputs!$K$5:$AJ$110,0,MATCH(N$2,Inputs!$K$4:$AJ$4,0)))+SUMPRODUCT((Inputs!$C$5:$C$110=$B61)*Inputs!$D$5:$D$110*(((Inputs!$G$5:$G$110="moeda")+(Inputs!$G$5:$G$110="acoes"))*Inputs!$B$1+((Inputs!$G$5:$G$110&lt;&gt;"moeda")*(Inputs!$G$5:$G$110&lt;&gt;"acoes")))*INDEX(Inputs!$K$5:$AJ$110,0,MATCH(N$2,Inputs!$K$4:$AJ$4,0)))+SUMPRODUCT((Inputs!$E$5:$E$110=$B61)*Inputs!$F$5:$F$110*(((Inputs!$G$5:$G$110="moeda")+(Inputs!$G$5:$G$110="acoes"))*Inputs!$B$1+((Inputs!$G$5:$G$110&lt;&gt;"moeda")*(Inputs!$G$5:$G$110&lt;&gt;"acoes")))*INDEX(Inputs!$K$5:$AJ$110,0,MATCH(N$2,Inputs!$K$4:$AJ$4,0)))))</f>
        <v>191</v>
      </c>
      <c r="O61" s="263">
        <f>IF(ISNA(MATCH(O$2,Inputs!$K$4:$AJ$4,0)),NA(),IF(SUMPRODUCT((Inputs!$A$5:$A$110=$B61)*ISNUMBER(INDEX(Inputs!$K$5:$AJ$110,0,MATCH(O$2,Inputs!$K$4:$AJ$4,0))))+SUMPRODUCT((Inputs!$C$5:$C$110=$B61)*ISNUMBER(INDEX(Inputs!$K$5:$AJ$110,0,MATCH(O$2,Inputs!$K$4:$AJ$4,0))))+SUMPRODUCT((Inputs!$E$5:$E$110=$B61)*ISNUMBER(INDEX(Inputs!$K$5:$AJ$110,0,MATCH(O$2,Inputs!$K$4:$AJ$4,0))))=0,NA(),SUMPRODUCT((Inputs!$A$5:$A$110=$B61)*Inputs!$B$5:$B$110*(((Inputs!$G$5:$G$110="moeda")+(Inputs!$G$5:$G$110="acoes"))*Inputs!$B$1+((Inputs!$G$5:$G$110&lt;&gt;"moeda")*(Inputs!$G$5:$G$110&lt;&gt;"acoes")))*INDEX(Inputs!$K$5:$AJ$110,0,MATCH(O$2,Inputs!$K$4:$AJ$4,0)))+SUMPRODUCT((Inputs!$C$5:$C$110=$B61)*Inputs!$D$5:$D$110*(((Inputs!$G$5:$G$110="moeda")+(Inputs!$G$5:$G$110="acoes"))*Inputs!$B$1+((Inputs!$G$5:$G$110&lt;&gt;"moeda")*(Inputs!$G$5:$G$110&lt;&gt;"acoes")))*INDEX(Inputs!$K$5:$AJ$110,0,MATCH(O$2,Inputs!$K$4:$AJ$4,0)))+SUMPRODUCT((Inputs!$E$5:$E$110=$B61)*Inputs!$F$5:$F$110*(((Inputs!$G$5:$G$110="moeda")+(Inputs!$G$5:$G$110="acoes"))*Inputs!$B$1+((Inputs!$G$5:$G$110&lt;&gt;"moeda")*(Inputs!$G$5:$G$110&lt;&gt;"acoes")))*INDEX(Inputs!$K$5:$AJ$110,0,MATCH(O$2,Inputs!$K$4:$AJ$4,0)))))</f>
        <v>395</v>
      </c>
      <c r="P61" s="263">
        <f>IF(ISNA(MATCH(P$2,Inputs!$K$4:$AJ$4,0)),NA(),IF(SUMPRODUCT((Inputs!$A$5:$A$110=$B61)*ISNUMBER(INDEX(Inputs!$K$5:$AJ$110,0,MATCH(P$2,Inputs!$K$4:$AJ$4,0))))+SUMPRODUCT((Inputs!$C$5:$C$110=$B61)*ISNUMBER(INDEX(Inputs!$K$5:$AJ$110,0,MATCH(P$2,Inputs!$K$4:$AJ$4,0))))+SUMPRODUCT((Inputs!$E$5:$E$110=$B61)*ISNUMBER(INDEX(Inputs!$K$5:$AJ$110,0,MATCH(P$2,Inputs!$K$4:$AJ$4,0))))=0,NA(),SUMPRODUCT((Inputs!$A$5:$A$110=$B61)*Inputs!$B$5:$B$110*(((Inputs!$G$5:$G$110="moeda")+(Inputs!$G$5:$G$110="acoes"))*Inputs!$B$1+((Inputs!$G$5:$G$110&lt;&gt;"moeda")*(Inputs!$G$5:$G$110&lt;&gt;"acoes")))*INDEX(Inputs!$K$5:$AJ$110,0,MATCH(P$2,Inputs!$K$4:$AJ$4,0)))+SUMPRODUCT((Inputs!$C$5:$C$110=$B61)*Inputs!$D$5:$D$110*(((Inputs!$G$5:$G$110="moeda")+(Inputs!$G$5:$G$110="acoes"))*Inputs!$B$1+((Inputs!$G$5:$G$110&lt;&gt;"moeda")*(Inputs!$G$5:$G$110&lt;&gt;"acoes")))*INDEX(Inputs!$K$5:$AJ$110,0,MATCH(P$2,Inputs!$K$4:$AJ$4,0)))+SUMPRODUCT((Inputs!$E$5:$E$110=$B61)*Inputs!$F$5:$F$110*(((Inputs!$G$5:$G$110="moeda")+(Inputs!$G$5:$G$110="acoes"))*Inputs!$B$1+((Inputs!$G$5:$G$110&lt;&gt;"moeda")*(Inputs!$G$5:$G$110&lt;&gt;"acoes")))*INDEX(Inputs!$K$5:$AJ$110,0,MATCH(P$2,Inputs!$K$4:$AJ$4,0)))))</f>
        <v>266</v>
      </c>
      <c r="Q61" s="263">
        <f>IF(ISNA(MATCH(Q$2,Inputs!$K$4:$AJ$4,0)),NA(),IF(SUMPRODUCT((Inputs!$A$5:$A$110=$B61)*ISNUMBER(INDEX(Inputs!$K$5:$AJ$110,0,MATCH(Q$2,Inputs!$K$4:$AJ$4,0))))+SUMPRODUCT((Inputs!$C$5:$C$110=$B61)*ISNUMBER(INDEX(Inputs!$K$5:$AJ$110,0,MATCH(Q$2,Inputs!$K$4:$AJ$4,0))))+SUMPRODUCT((Inputs!$E$5:$E$110=$B61)*ISNUMBER(INDEX(Inputs!$K$5:$AJ$110,0,MATCH(Q$2,Inputs!$K$4:$AJ$4,0))))=0,NA(),SUMPRODUCT((Inputs!$A$5:$A$110=$B61)*Inputs!$B$5:$B$110*(((Inputs!$G$5:$G$110="moeda")+(Inputs!$G$5:$G$110="acoes"))*Inputs!$B$1+((Inputs!$G$5:$G$110&lt;&gt;"moeda")*(Inputs!$G$5:$G$110&lt;&gt;"acoes")))*INDEX(Inputs!$K$5:$AJ$110,0,MATCH(Q$2,Inputs!$K$4:$AJ$4,0)))+SUMPRODUCT((Inputs!$C$5:$C$110=$B61)*Inputs!$D$5:$D$110*(((Inputs!$G$5:$G$110="moeda")+(Inputs!$G$5:$G$110="acoes"))*Inputs!$B$1+((Inputs!$G$5:$G$110&lt;&gt;"moeda")*(Inputs!$G$5:$G$110&lt;&gt;"acoes")))*INDEX(Inputs!$K$5:$AJ$110,0,MATCH(Q$2,Inputs!$K$4:$AJ$4,0)))+SUMPRODUCT((Inputs!$E$5:$E$110=$B61)*Inputs!$F$5:$F$110*(((Inputs!$G$5:$G$110="moeda")+(Inputs!$G$5:$G$110="acoes"))*Inputs!$B$1+((Inputs!$G$5:$G$110&lt;&gt;"moeda")*(Inputs!$G$5:$G$110&lt;&gt;"acoes")))*INDEX(Inputs!$K$5:$AJ$110,0,MATCH(Q$2,Inputs!$K$4:$AJ$4,0)))))</f>
        <v>864</v>
      </c>
      <c r="R61" s="264">
        <f>SUM(N61:Q61)</f>
        <v>1716</v>
      </c>
      <c r="S61" s="263">
        <f>IF(ISNA(MATCH(S$2,Inputs!$K$4:$AJ$4,0)),NA(),IF(SUMPRODUCT((Inputs!$A$5:$A$110=$B61)*ISNUMBER(INDEX(Inputs!$K$5:$AJ$110,0,MATCH(S$2,Inputs!$K$4:$AJ$4,0))))+SUMPRODUCT((Inputs!$C$5:$C$110=$B61)*ISNUMBER(INDEX(Inputs!$K$5:$AJ$110,0,MATCH(S$2,Inputs!$K$4:$AJ$4,0))))+SUMPRODUCT((Inputs!$E$5:$E$110=$B61)*ISNUMBER(INDEX(Inputs!$K$5:$AJ$110,0,MATCH(S$2,Inputs!$K$4:$AJ$4,0))))=0,NA(),SUMPRODUCT((Inputs!$A$5:$A$110=$B61)*Inputs!$B$5:$B$110*(((Inputs!$G$5:$G$110="moeda")+(Inputs!$G$5:$G$110="acoes"))*Inputs!$B$1+((Inputs!$G$5:$G$110&lt;&gt;"moeda")*(Inputs!$G$5:$G$110&lt;&gt;"acoes")))*INDEX(Inputs!$K$5:$AJ$110,0,MATCH(S$2,Inputs!$K$4:$AJ$4,0)))+SUMPRODUCT((Inputs!$C$5:$C$110=$B61)*Inputs!$D$5:$D$110*(((Inputs!$G$5:$G$110="moeda")+(Inputs!$G$5:$G$110="acoes"))*Inputs!$B$1+((Inputs!$G$5:$G$110&lt;&gt;"moeda")*(Inputs!$G$5:$G$110&lt;&gt;"acoes")))*INDEX(Inputs!$K$5:$AJ$110,0,MATCH(S$2,Inputs!$K$4:$AJ$4,0)))+SUMPRODUCT((Inputs!$E$5:$E$110=$B61)*Inputs!$F$5:$F$110*(((Inputs!$G$5:$G$110="moeda")+(Inputs!$G$5:$G$110="acoes"))*Inputs!$B$1+((Inputs!$G$5:$G$110&lt;&gt;"moeda")*(Inputs!$G$5:$G$110&lt;&gt;"acoes")))*INDEX(Inputs!$K$5:$AJ$110,0,MATCH(S$2,Inputs!$K$4:$AJ$4,0)))))</f>
        <v>900</v>
      </c>
      <c r="T61" s="263">
        <f>IF(ISNA(MATCH(T$2,Inputs!$K$4:$AJ$4,0)),NA(),IF(SUMPRODUCT((Inputs!$A$5:$A$110=$B61)*ISNUMBER(INDEX(Inputs!$K$5:$AJ$110,0,MATCH(T$2,Inputs!$K$4:$AJ$4,0))))+SUMPRODUCT((Inputs!$C$5:$C$110=$B61)*ISNUMBER(INDEX(Inputs!$K$5:$AJ$110,0,MATCH(T$2,Inputs!$K$4:$AJ$4,0))))+SUMPRODUCT((Inputs!$E$5:$E$110=$B61)*ISNUMBER(INDEX(Inputs!$K$5:$AJ$110,0,MATCH(T$2,Inputs!$K$4:$AJ$4,0))))=0,NA(),SUMPRODUCT((Inputs!$A$5:$A$110=$B61)*Inputs!$B$5:$B$110*(((Inputs!$G$5:$G$110="moeda")+(Inputs!$G$5:$G$110="acoes"))*Inputs!$B$1+((Inputs!$G$5:$G$110&lt;&gt;"moeda")*(Inputs!$G$5:$G$110&lt;&gt;"acoes")))*INDEX(Inputs!$K$5:$AJ$110,0,MATCH(T$2,Inputs!$K$4:$AJ$4,0)))+SUMPRODUCT((Inputs!$C$5:$C$110=$B61)*Inputs!$D$5:$D$110*(((Inputs!$G$5:$G$110="moeda")+(Inputs!$G$5:$G$110="acoes"))*Inputs!$B$1+((Inputs!$G$5:$G$110&lt;&gt;"moeda")*(Inputs!$G$5:$G$110&lt;&gt;"acoes")))*INDEX(Inputs!$K$5:$AJ$110,0,MATCH(T$2,Inputs!$K$4:$AJ$4,0)))+SUMPRODUCT((Inputs!$E$5:$E$110=$B61)*Inputs!$F$5:$F$110*(((Inputs!$G$5:$G$110="moeda")+(Inputs!$G$5:$G$110="acoes"))*Inputs!$B$1+((Inputs!$G$5:$G$110&lt;&gt;"moeda")*(Inputs!$G$5:$G$110&lt;&gt;"acoes")))*INDEX(Inputs!$K$5:$AJ$110,0,MATCH(T$2,Inputs!$K$4:$AJ$4,0)))))</f>
        <v>1172</v>
      </c>
      <c r="U61" s="263">
        <f>IF(ISNA(MATCH(U$2,Inputs!$K$4:$AJ$4,0)),NA(),IF(SUMPRODUCT((Inputs!$A$5:$A$110=$B61)*ISNUMBER(INDEX(Inputs!$K$5:$AJ$110,0,MATCH(U$2,Inputs!$K$4:$AJ$4,0))))+SUMPRODUCT((Inputs!$C$5:$C$110=$B61)*ISNUMBER(INDEX(Inputs!$K$5:$AJ$110,0,MATCH(U$2,Inputs!$K$4:$AJ$4,0))))+SUMPRODUCT((Inputs!$E$5:$E$110=$B61)*ISNUMBER(INDEX(Inputs!$K$5:$AJ$110,0,MATCH(U$2,Inputs!$K$4:$AJ$4,0))))=0,NA(),SUMPRODUCT((Inputs!$A$5:$A$110=$B61)*Inputs!$B$5:$B$110*(((Inputs!$G$5:$G$110="moeda")+(Inputs!$G$5:$G$110="acoes"))*Inputs!$B$1+((Inputs!$G$5:$G$110&lt;&gt;"moeda")*(Inputs!$G$5:$G$110&lt;&gt;"acoes")))*INDEX(Inputs!$K$5:$AJ$110,0,MATCH(U$2,Inputs!$K$4:$AJ$4,0)))+SUMPRODUCT((Inputs!$C$5:$C$110=$B61)*Inputs!$D$5:$D$110*(((Inputs!$G$5:$G$110="moeda")+(Inputs!$G$5:$G$110="acoes"))*Inputs!$B$1+((Inputs!$G$5:$G$110&lt;&gt;"moeda")*(Inputs!$G$5:$G$110&lt;&gt;"acoes")))*INDEX(Inputs!$K$5:$AJ$110,0,MATCH(U$2,Inputs!$K$4:$AJ$4,0)))+SUMPRODUCT((Inputs!$E$5:$E$110=$B61)*Inputs!$F$5:$F$110*(((Inputs!$G$5:$G$110="moeda")+(Inputs!$G$5:$G$110="acoes"))*Inputs!$B$1+((Inputs!$G$5:$G$110&lt;&gt;"moeda")*(Inputs!$G$5:$G$110&lt;&gt;"acoes")))*INDEX(Inputs!$K$5:$AJ$110,0,MATCH(U$2,Inputs!$K$4:$AJ$4,0)))))</f>
        <v>1947</v>
      </c>
      <c r="V61" s="263">
        <f>IF(ISNA(MATCH(V$2,Inputs!$K$4:$AJ$4,0)),NA(),IF(SUMPRODUCT((Inputs!$A$5:$A$110=$B61)*ISNUMBER(INDEX(Inputs!$K$5:$AJ$110,0,MATCH(V$2,Inputs!$K$4:$AJ$4,0))))+SUMPRODUCT((Inputs!$C$5:$C$110=$B61)*ISNUMBER(INDEX(Inputs!$K$5:$AJ$110,0,MATCH(V$2,Inputs!$K$4:$AJ$4,0))))+SUMPRODUCT((Inputs!$E$5:$E$110=$B61)*ISNUMBER(INDEX(Inputs!$K$5:$AJ$110,0,MATCH(V$2,Inputs!$K$4:$AJ$4,0))))=0,NA(),SUMPRODUCT((Inputs!$A$5:$A$110=$B61)*Inputs!$B$5:$B$110*(((Inputs!$G$5:$G$110="moeda")+(Inputs!$G$5:$G$110="acoes"))*Inputs!$B$1+((Inputs!$G$5:$G$110&lt;&gt;"moeda")*(Inputs!$G$5:$G$110&lt;&gt;"acoes")))*INDEX(Inputs!$K$5:$AJ$110,0,MATCH(V$2,Inputs!$K$4:$AJ$4,0)))+SUMPRODUCT((Inputs!$C$5:$C$110=$B61)*Inputs!$D$5:$D$110*(((Inputs!$G$5:$G$110="moeda")+(Inputs!$G$5:$G$110="acoes"))*Inputs!$B$1+((Inputs!$G$5:$G$110&lt;&gt;"moeda")*(Inputs!$G$5:$G$110&lt;&gt;"acoes")))*INDEX(Inputs!$K$5:$AJ$110,0,MATCH(V$2,Inputs!$K$4:$AJ$4,0)))+SUMPRODUCT((Inputs!$E$5:$E$110=$B61)*Inputs!$F$5:$F$110*(((Inputs!$G$5:$G$110="moeda")+(Inputs!$G$5:$G$110="acoes"))*Inputs!$B$1+((Inputs!$G$5:$G$110&lt;&gt;"moeda")*(Inputs!$G$5:$G$110&lt;&gt;"acoes")))*INDEX(Inputs!$K$5:$AJ$110,0,MATCH(V$2,Inputs!$K$4:$AJ$4,0)))))</f>
        <v>2093</v>
      </c>
      <c r="W61" s="264">
        <f>SUM(S61:V61)</f>
        <v>6112</v>
      </c>
      <c r="X61" s="263">
        <f>IF(ISNA(MATCH(X$2,Inputs!$K$4:$AJ$4,0)),NA(),IF(SUMPRODUCT((Inputs!$A$5:$A$110=$B61)*ISNUMBER(INDEX(Inputs!$K$5:$AJ$110,0,MATCH(X$2,Inputs!$K$4:$AJ$4,0))))+SUMPRODUCT((Inputs!$C$5:$C$110=$B61)*ISNUMBER(INDEX(Inputs!$K$5:$AJ$110,0,MATCH(X$2,Inputs!$K$4:$AJ$4,0))))+SUMPRODUCT((Inputs!$E$5:$E$110=$B61)*ISNUMBER(INDEX(Inputs!$K$5:$AJ$110,0,MATCH(X$2,Inputs!$K$4:$AJ$4,0))))=0,NA(),SUMPRODUCT((Inputs!$A$5:$A$110=$B61)*Inputs!$B$5:$B$110*(((Inputs!$G$5:$G$110="moeda")+(Inputs!$G$5:$G$110="acoes"))*Inputs!$B$1+((Inputs!$G$5:$G$110&lt;&gt;"moeda")*(Inputs!$G$5:$G$110&lt;&gt;"acoes")))*INDEX(Inputs!$K$5:$AJ$110,0,MATCH(X$2,Inputs!$K$4:$AJ$4,0)))+SUMPRODUCT((Inputs!$C$5:$C$110=$B61)*Inputs!$D$5:$D$110*(((Inputs!$G$5:$G$110="moeda")+(Inputs!$G$5:$G$110="acoes"))*Inputs!$B$1+((Inputs!$G$5:$G$110&lt;&gt;"moeda")*(Inputs!$G$5:$G$110&lt;&gt;"acoes")))*INDEX(Inputs!$K$5:$AJ$110,0,MATCH(X$2,Inputs!$K$4:$AJ$4,0)))+SUMPRODUCT((Inputs!$E$5:$E$110=$B61)*Inputs!$F$5:$F$110*(((Inputs!$G$5:$G$110="moeda")+(Inputs!$G$5:$G$110="acoes"))*Inputs!$B$1+((Inputs!$G$5:$G$110&lt;&gt;"moeda")*(Inputs!$G$5:$G$110&lt;&gt;"acoes")))*INDEX(Inputs!$K$5:$AJ$110,0,MATCH(X$2,Inputs!$K$4:$AJ$4,0)))))</f>
        <v>2177</v>
      </c>
      <c r="Y61" s="263">
        <f>IF(ISNA(MATCH(Y$2,Inputs!$K$4:$AJ$4,0)),NA(),IF(SUMPRODUCT((Inputs!$A$5:$A$110=$B61)*ISNUMBER(INDEX(Inputs!$K$5:$AJ$110,0,MATCH(Y$2,Inputs!$K$4:$AJ$4,0))))+SUMPRODUCT((Inputs!$C$5:$C$110=$B61)*ISNUMBER(INDEX(Inputs!$K$5:$AJ$110,0,MATCH(Y$2,Inputs!$K$4:$AJ$4,0))))+SUMPRODUCT((Inputs!$E$5:$E$110=$B61)*ISNUMBER(INDEX(Inputs!$K$5:$AJ$110,0,MATCH(Y$2,Inputs!$K$4:$AJ$4,0))))=0,NA(),SUMPRODUCT((Inputs!$A$5:$A$110=$B61)*Inputs!$B$5:$B$110*(((Inputs!$G$5:$G$110="moeda")+(Inputs!$G$5:$G$110="acoes"))*Inputs!$B$1+((Inputs!$G$5:$G$110&lt;&gt;"moeda")*(Inputs!$G$5:$G$110&lt;&gt;"acoes")))*INDEX(Inputs!$K$5:$AJ$110,0,MATCH(Y$2,Inputs!$K$4:$AJ$4,0)))+SUMPRODUCT((Inputs!$C$5:$C$110=$B61)*Inputs!$D$5:$D$110*(((Inputs!$G$5:$G$110="moeda")+(Inputs!$G$5:$G$110="acoes"))*Inputs!$B$1+((Inputs!$G$5:$G$110&lt;&gt;"moeda")*(Inputs!$G$5:$G$110&lt;&gt;"acoes")))*INDEX(Inputs!$K$5:$AJ$110,0,MATCH(Y$2,Inputs!$K$4:$AJ$4,0)))+SUMPRODUCT((Inputs!$E$5:$E$110=$B61)*Inputs!$F$5:$F$110*(((Inputs!$G$5:$G$110="moeda")+(Inputs!$G$5:$G$110="acoes"))*Inputs!$B$1+((Inputs!$G$5:$G$110&lt;&gt;"moeda")*(Inputs!$G$5:$G$110&lt;&gt;"acoes")))*INDEX(Inputs!$K$5:$AJ$110,0,MATCH(Y$2,Inputs!$K$4:$AJ$4,0)))))</f>
        <v>2826</v>
      </c>
      <c r="Z61" s="263">
        <f>IF(ISNA(MATCH(Z$2,Inputs!$K$4:$AJ$4,0)),NA(),IF(SUMPRODUCT((Inputs!$A$5:$A$110=$B61)*ISNUMBER(INDEX(Inputs!$K$5:$AJ$110,0,MATCH(Z$2,Inputs!$K$4:$AJ$4,0))))+SUMPRODUCT((Inputs!$C$5:$C$110=$B61)*ISNUMBER(INDEX(Inputs!$K$5:$AJ$110,0,MATCH(Z$2,Inputs!$K$4:$AJ$4,0))))+SUMPRODUCT((Inputs!$E$5:$E$110=$B61)*ISNUMBER(INDEX(Inputs!$K$5:$AJ$110,0,MATCH(Z$2,Inputs!$K$4:$AJ$4,0))))=0,NA(),SUMPRODUCT((Inputs!$A$5:$A$110=$B61)*Inputs!$B$5:$B$110*(((Inputs!$G$5:$G$110="moeda")+(Inputs!$G$5:$G$110="acoes"))*Inputs!$B$1+((Inputs!$G$5:$G$110&lt;&gt;"moeda")*(Inputs!$G$5:$G$110&lt;&gt;"acoes")))*INDEX(Inputs!$K$5:$AJ$110,0,MATCH(Z$2,Inputs!$K$4:$AJ$4,0)))+SUMPRODUCT((Inputs!$C$5:$C$110=$B61)*Inputs!$D$5:$D$110*(((Inputs!$G$5:$G$110="moeda")+(Inputs!$G$5:$G$110="acoes"))*Inputs!$B$1+((Inputs!$G$5:$G$110&lt;&gt;"moeda")*(Inputs!$G$5:$G$110&lt;&gt;"acoes")))*INDEX(Inputs!$K$5:$AJ$110,0,MATCH(Z$2,Inputs!$K$4:$AJ$4,0)))+SUMPRODUCT((Inputs!$E$5:$E$110=$B61)*Inputs!$F$5:$F$110*(((Inputs!$G$5:$G$110="moeda")+(Inputs!$G$5:$G$110="acoes"))*Inputs!$B$1+((Inputs!$G$5:$G$110&lt;&gt;"moeda")*(Inputs!$G$5:$G$110&lt;&gt;"acoes")))*INDEX(Inputs!$K$5:$AJ$110,0,MATCH(Z$2,Inputs!$K$4:$AJ$4,0)))))</f>
        <v>3594</v>
      </c>
      <c r="AA61" s="263">
        <f>IF(ISNA(MATCH(AA$2,Inputs!$K$4:$AJ$4,0)),NA(),IF(SUMPRODUCT((Inputs!$A$5:$A$110=$B61)*ISNUMBER(INDEX(Inputs!$K$5:$AJ$110,0,MATCH(AA$2,Inputs!$K$4:$AJ$4,0))))+SUMPRODUCT((Inputs!$C$5:$C$110=$B61)*ISNUMBER(INDEX(Inputs!$K$5:$AJ$110,0,MATCH(AA$2,Inputs!$K$4:$AJ$4,0))))+SUMPRODUCT((Inputs!$E$5:$E$110=$B61)*ISNUMBER(INDEX(Inputs!$K$5:$AJ$110,0,MATCH(AA$2,Inputs!$K$4:$AJ$4,0))))=0,NA(),SUMPRODUCT((Inputs!$A$5:$A$110=$B61)*Inputs!$B$5:$B$110*(((Inputs!$G$5:$G$110="moeda")+(Inputs!$G$5:$G$110="acoes"))*Inputs!$B$1+((Inputs!$G$5:$G$110&lt;&gt;"moeda")*(Inputs!$G$5:$G$110&lt;&gt;"acoes")))*INDEX(Inputs!$K$5:$AJ$110,0,MATCH(AA$2,Inputs!$K$4:$AJ$4,0)))+SUMPRODUCT((Inputs!$C$5:$C$110=$B61)*Inputs!$D$5:$D$110*(((Inputs!$G$5:$G$110="moeda")+(Inputs!$G$5:$G$110="acoes"))*Inputs!$B$1+((Inputs!$G$5:$G$110&lt;&gt;"moeda")*(Inputs!$G$5:$G$110&lt;&gt;"acoes")))*INDEX(Inputs!$K$5:$AJ$110,0,MATCH(AA$2,Inputs!$K$4:$AJ$4,0)))+SUMPRODUCT((Inputs!$E$5:$E$110=$B61)*Inputs!$F$5:$F$110*(((Inputs!$G$5:$G$110="moeda")+(Inputs!$G$5:$G$110="acoes"))*Inputs!$B$1+((Inputs!$G$5:$G$110&lt;&gt;"moeda")*(Inputs!$G$5:$G$110&lt;&gt;"acoes")))*INDEX(Inputs!$K$5:$AJ$110,0,MATCH(AA$2,Inputs!$K$4:$AJ$4,0)))))</f>
        <v>5313</v>
      </c>
      <c r="AB61" s="264">
        <f>SUM(X61:AA61)</f>
        <v>13910</v>
      </c>
      <c r="AC61" s="263">
        <f>IF(ISNA(MATCH(AC$2,Inputs!$K$4:$AJ$4,0)),NA(),IF(SUMPRODUCT((Inputs!$A$5:$A$110=$B61)*ISNUMBER(INDEX(Inputs!$K$5:$AJ$110,0,MATCH(AC$2,Inputs!$K$4:$AJ$4,0))))+SUMPRODUCT((Inputs!$C$5:$C$110=$B61)*ISNUMBER(INDEX(Inputs!$K$5:$AJ$110,0,MATCH(AC$2,Inputs!$K$4:$AJ$4,0))))+SUMPRODUCT((Inputs!$E$5:$E$110=$B61)*ISNUMBER(INDEX(Inputs!$K$5:$AJ$110,0,MATCH(AC$2,Inputs!$K$4:$AJ$4,0))))=0,NA(),SUMPRODUCT((Inputs!$A$5:$A$110=$B61)*Inputs!$B$5:$B$110*(((Inputs!$G$5:$G$110="moeda")+(Inputs!$G$5:$G$110="acoes"))*Inputs!$B$1+((Inputs!$G$5:$G$110&lt;&gt;"moeda")*(Inputs!$G$5:$G$110&lt;&gt;"acoes")))*INDEX(Inputs!$K$5:$AJ$110,0,MATCH(AC$2,Inputs!$K$4:$AJ$4,0)))+SUMPRODUCT((Inputs!$C$5:$C$110=$B61)*Inputs!$D$5:$D$110*(((Inputs!$G$5:$G$110="moeda")+(Inputs!$G$5:$G$110="acoes"))*Inputs!$B$1+((Inputs!$G$5:$G$110&lt;&gt;"moeda")*(Inputs!$G$5:$G$110&lt;&gt;"acoes")))*INDEX(Inputs!$K$5:$AJ$110,0,MATCH(AC$2,Inputs!$K$4:$AJ$4,0)))+SUMPRODUCT((Inputs!$E$5:$E$110=$B61)*Inputs!$F$5:$F$110*(((Inputs!$G$5:$G$110="moeda")+(Inputs!$G$5:$G$110="acoes"))*Inputs!$B$1+((Inputs!$G$5:$G$110&lt;&gt;"moeda")*(Inputs!$G$5:$G$110&lt;&gt;"acoes")))*INDEX(Inputs!$K$5:$AJ$110,0,MATCH(AC$2,Inputs!$K$4:$AJ$4,0)))))</f>
        <v>6598</v>
      </c>
      <c r="AD61" s="263">
        <f>IF(ISNA(MATCH(AD$2,Inputs!$K$4:$AJ$4,0)),NA(),IF(SUMPRODUCT((Inputs!$A$5:$A$110=$B61)*ISNUMBER(INDEX(Inputs!$K$5:$AJ$110,0,MATCH(AD$2,Inputs!$K$4:$AJ$4,0))))+SUMPRODUCT((Inputs!$C$5:$C$110=$B61)*ISNUMBER(INDEX(Inputs!$K$5:$AJ$110,0,MATCH(AD$2,Inputs!$K$4:$AJ$4,0))))+SUMPRODUCT((Inputs!$E$5:$E$110=$B61)*ISNUMBER(INDEX(Inputs!$K$5:$AJ$110,0,MATCH(AD$2,Inputs!$K$4:$AJ$4,0))))=0,NA(),SUMPRODUCT((Inputs!$A$5:$A$110=$B61)*Inputs!$B$5:$B$110*(((Inputs!$G$5:$G$110="moeda")+(Inputs!$G$5:$G$110="acoes"))*Inputs!$B$1+((Inputs!$G$5:$G$110&lt;&gt;"moeda")*(Inputs!$G$5:$G$110&lt;&gt;"acoes")))*INDEX(Inputs!$K$5:$AJ$110,0,MATCH(AD$2,Inputs!$K$4:$AJ$4,0)))+SUMPRODUCT((Inputs!$C$5:$C$110=$B61)*Inputs!$D$5:$D$110*(((Inputs!$G$5:$G$110="moeda")+(Inputs!$G$5:$G$110="acoes"))*Inputs!$B$1+((Inputs!$G$5:$G$110&lt;&gt;"moeda")*(Inputs!$G$5:$G$110&lt;&gt;"acoes")))*INDEX(Inputs!$K$5:$AJ$110,0,MATCH(AD$2,Inputs!$K$4:$AJ$4,0)))+SUMPRODUCT((Inputs!$E$5:$E$110=$B61)*Inputs!$F$5:$F$110*(((Inputs!$G$5:$G$110="moeda")+(Inputs!$G$5:$G$110="acoes"))*Inputs!$B$1+((Inputs!$G$5:$G$110&lt;&gt;"moeda")*(Inputs!$G$5:$G$110&lt;&gt;"acoes")))*INDEX(Inputs!$K$5:$AJ$110,0,MATCH(AD$2,Inputs!$K$4:$AJ$4,0)))))</f>
        <v>8814</v>
      </c>
      <c r="AE61" s="263" t="e">
        <f>IF(ISNA(MATCH(AE$2,Inputs!$K$4:$AJ$4,0)),NA(),IF(SUMPRODUCT((Inputs!$A$5:$A$110=$B61)*ISNUMBER(INDEX(Inputs!$K$5:$AJ$110,0,MATCH(AE$2,Inputs!$K$4:$AJ$4,0))))+SUMPRODUCT((Inputs!$C$5:$C$110=$B61)*ISNUMBER(INDEX(Inputs!$K$5:$AJ$110,0,MATCH(AE$2,Inputs!$K$4:$AJ$4,0))))+SUMPRODUCT((Inputs!$E$5:$E$110=$B61)*ISNUMBER(INDEX(Inputs!$K$5:$AJ$110,0,MATCH(AE$2,Inputs!$K$4:$AJ$4,0))))=0,NA(),SUMPRODUCT((Inputs!$A$5:$A$110=$B61)*Inputs!$B$5:$B$110*(((Inputs!$G$5:$G$110="moeda")+(Inputs!$G$5:$G$110="acoes"))*Inputs!$B$1+((Inputs!$G$5:$G$110&lt;&gt;"moeda")*(Inputs!$G$5:$G$110&lt;&gt;"acoes")))*INDEX(Inputs!$K$5:$AJ$110,0,MATCH(AE$2,Inputs!$K$4:$AJ$4,0)))+SUMPRODUCT((Inputs!$C$5:$C$110=$B61)*Inputs!$D$5:$D$110*(((Inputs!$G$5:$G$110="moeda")+(Inputs!$G$5:$G$110="acoes"))*Inputs!$B$1+((Inputs!$G$5:$G$110&lt;&gt;"moeda")*(Inputs!$G$5:$G$110&lt;&gt;"acoes")))*INDEX(Inputs!$K$5:$AJ$110,0,MATCH(AE$2,Inputs!$K$4:$AJ$4,0)))+SUMPRODUCT((Inputs!$E$5:$E$110=$B61)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1" s="263" t="e">
        <f>IF(ISNA(MATCH(AF$2,Inputs!$K$4:$AJ$4,0)),NA(),IF(SUMPRODUCT((Inputs!$A$5:$A$110=$B61)*ISNUMBER(INDEX(Inputs!$K$5:$AJ$110,0,MATCH(AF$2,Inputs!$K$4:$AJ$4,0))))+SUMPRODUCT((Inputs!$C$5:$C$110=$B61)*ISNUMBER(INDEX(Inputs!$K$5:$AJ$110,0,MATCH(AF$2,Inputs!$K$4:$AJ$4,0))))+SUMPRODUCT((Inputs!$E$5:$E$110=$B61)*ISNUMBER(INDEX(Inputs!$K$5:$AJ$110,0,MATCH(AF$2,Inputs!$K$4:$AJ$4,0))))=0,NA(),SUMPRODUCT((Inputs!$A$5:$A$110=$B61)*Inputs!$B$5:$B$110*(((Inputs!$G$5:$G$110="moeda")+(Inputs!$G$5:$G$110="acoes"))*Inputs!$B$1+((Inputs!$G$5:$G$110&lt;&gt;"moeda")*(Inputs!$G$5:$G$110&lt;&gt;"acoes")))*INDEX(Inputs!$K$5:$AJ$110,0,MATCH(AF$2,Inputs!$K$4:$AJ$4,0)))+SUMPRODUCT((Inputs!$C$5:$C$110=$B61)*Inputs!$D$5:$D$110*(((Inputs!$G$5:$G$110="moeda")+(Inputs!$G$5:$G$110="acoes"))*Inputs!$B$1+((Inputs!$G$5:$G$110&lt;&gt;"moeda")*(Inputs!$G$5:$G$110&lt;&gt;"acoes")))*INDEX(Inputs!$K$5:$AJ$110,0,MATCH(AF$2,Inputs!$K$4:$AJ$4,0)))+SUMPRODUCT((Inputs!$E$5:$E$110=$B61)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1" s="264" t="e">
        <f>SUM(AC61:AF61)</f>
        <v>#N/A</v>
      </c>
      <c r="AH61" s="263">
        <f>IF(ISNA(MATCH(AH$2,Inputs!$K$4:$AJ$4,0)),NA(),IF(SUMPRODUCT((Inputs!$A$5:$A$110=$B61)*ISNUMBER(INDEX(Inputs!$K$5:$AJ$110,0,MATCH(AH$2,Inputs!$K$4:$AJ$4,0))))+SUMPRODUCT((Inputs!$C$5:$C$110=$B61)*ISNUMBER(INDEX(Inputs!$K$5:$AJ$110,0,MATCH(AH$2,Inputs!$K$4:$AJ$4,0))))+SUMPRODUCT((Inputs!$E$5:$E$110=$B61)*ISNUMBER(INDEX(Inputs!$K$5:$AJ$110,0,MATCH(AH$2,Inputs!$K$4:$AJ$4,0))))=0,NA(),SUMPRODUCT((Inputs!$A$5:$A$110=$B61)*Inputs!$B$5:$B$110*(((Inputs!$G$5:$G$110="moeda")+(Inputs!$G$5:$G$110="acoes"))*Inputs!$B$1+((Inputs!$G$5:$G$110&lt;&gt;"moeda")*(Inputs!$G$5:$G$110&lt;&gt;"acoes")))*INDEX(Inputs!$K$5:$AJ$110,0,MATCH(AH$2,Inputs!$K$4:$AJ$4,0)))+SUMPRODUCT((Inputs!$C$5:$C$110=$B61)*Inputs!$D$5:$D$110*(((Inputs!$G$5:$G$110="moeda")+(Inputs!$G$5:$G$110="acoes"))*Inputs!$B$1+((Inputs!$G$5:$G$110&lt;&gt;"moeda")*(Inputs!$G$5:$G$110&lt;&gt;"acoes")))*INDEX(Inputs!$K$5:$AJ$110,0,MATCH(AH$2,Inputs!$K$4:$AJ$4,0)))+SUMPRODUCT((Inputs!$E$5:$E$110=$B61)*Inputs!$F$5:$F$110*(((Inputs!$G$5:$G$110="moeda")+(Inputs!$G$5:$G$110="acoes"))*Inputs!$B$1+((Inputs!$G$5:$G$110&lt;&gt;"moeda")*(Inputs!$G$5:$G$110&lt;&gt;"acoes")))*INDEX(Inputs!$K$5:$AJ$110,0,MATCH(AH$2,Inputs!$K$4:$AJ$4,0)))))</f>
        <v>-1730</v>
      </c>
      <c r="AI61" s="263">
        <f>IF(ISNA(MATCH(AI$2,Inputs!$K$4:$AJ$4,0)),NA(),IF(SUMPRODUCT((Inputs!$A$5:$A$110=$B61)*ISNUMBER(INDEX(Inputs!$K$5:$AJ$110,0,MATCH(AI$2,Inputs!$K$4:$AJ$4,0))))+SUMPRODUCT((Inputs!$C$5:$C$110=$B61)*ISNUMBER(INDEX(Inputs!$K$5:$AJ$110,0,MATCH(AI$2,Inputs!$K$4:$AJ$4,0))))+SUMPRODUCT((Inputs!$E$5:$E$110=$B61)*ISNUMBER(INDEX(Inputs!$K$5:$AJ$110,0,MATCH(AI$2,Inputs!$K$4:$AJ$4,0))))=0,NA(),SUMPRODUCT((Inputs!$A$5:$A$110=$B61)*Inputs!$B$5:$B$110*(((Inputs!$G$5:$G$110="moeda")+(Inputs!$G$5:$G$110="acoes"))*Inputs!$B$1+((Inputs!$G$5:$G$110&lt;&gt;"moeda")*(Inputs!$G$5:$G$110&lt;&gt;"acoes")))*INDEX(Inputs!$K$5:$AJ$110,0,MATCH(AI$2,Inputs!$K$4:$AJ$4,0)))+SUMPRODUCT((Inputs!$C$5:$C$110=$B61)*Inputs!$D$5:$D$110*(((Inputs!$G$5:$G$110="moeda")+(Inputs!$G$5:$G$110="acoes"))*Inputs!$B$1+((Inputs!$G$5:$G$110&lt;&gt;"moeda")*(Inputs!$G$5:$G$110&lt;&gt;"acoes")))*INDEX(Inputs!$K$5:$AJ$110,0,MATCH(AI$2,Inputs!$K$4:$AJ$4,0)))+SUMPRODUCT((Inputs!$E$5:$E$110=$B61)*Inputs!$F$5:$F$110*(((Inputs!$G$5:$G$110="moeda")+(Inputs!$G$5:$G$110="acoes"))*Inputs!$B$1+((Inputs!$G$5:$G$110&lt;&gt;"moeda")*(Inputs!$G$5:$G$110&lt;&gt;"acoes")))*INDEX(Inputs!$K$5:$AJ$110,0,MATCH(AI$2,Inputs!$K$4:$AJ$4,0)))))</f>
        <v>-1426</v>
      </c>
      <c r="AJ61" s="263">
        <f>IF(ISNA(MATCH(AJ$2,Inputs!$K$4:$AJ$4,0)),NA(),IF(SUMPRODUCT((Inputs!$A$5:$A$110=$B61)*ISNUMBER(INDEX(Inputs!$K$5:$AJ$110,0,MATCH(AJ$2,Inputs!$K$4:$AJ$4,0))))+SUMPRODUCT((Inputs!$C$5:$C$110=$B61)*ISNUMBER(INDEX(Inputs!$K$5:$AJ$110,0,MATCH(AJ$2,Inputs!$K$4:$AJ$4,0))))+SUMPRODUCT((Inputs!$E$5:$E$110=$B61)*ISNUMBER(INDEX(Inputs!$K$5:$AJ$110,0,MATCH(AJ$2,Inputs!$K$4:$AJ$4,0))))=0,NA(),SUMPRODUCT((Inputs!$A$5:$A$110=$B61)*Inputs!$B$5:$B$110*(((Inputs!$G$5:$G$110="moeda")+(Inputs!$G$5:$G$110="acoes"))*Inputs!$B$1+((Inputs!$G$5:$G$110&lt;&gt;"moeda")*(Inputs!$G$5:$G$110&lt;&gt;"acoes")))*INDEX(Inputs!$K$5:$AJ$110,0,MATCH(AJ$2,Inputs!$K$4:$AJ$4,0)))+SUMPRODUCT((Inputs!$C$5:$C$110=$B61)*Inputs!$D$5:$D$110*(((Inputs!$G$5:$G$110="moeda")+(Inputs!$G$5:$G$110="acoes"))*Inputs!$B$1+((Inputs!$G$5:$G$110&lt;&gt;"moeda")*(Inputs!$G$5:$G$110&lt;&gt;"acoes")))*INDEX(Inputs!$K$5:$AJ$110,0,MATCH(AJ$2,Inputs!$K$4:$AJ$4,0)))+SUMPRODUCT((Inputs!$E$5:$E$110=$B61)*Inputs!$F$5:$F$110*(((Inputs!$G$5:$G$110="moeda")+(Inputs!$G$5:$G$110="acoes"))*Inputs!$B$1+((Inputs!$G$5:$G$110&lt;&gt;"moeda")*(Inputs!$G$5:$G$110&lt;&gt;"acoes")))*INDEX(Inputs!$K$5:$AJ$110,0,MATCH(AJ$2,Inputs!$K$4:$AJ$4,0)))))</f>
        <v>-1208</v>
      </c>
      <c r="AK61" s="263">
        <f>IF(ISNA(MATCH(AK$2,Inputs!$K$4:$AJ$4,0)),NA(),IF(SUMPRODUCT((Inputs!$A$5:$A$110=$B61)*ISNUMBER(INDEX(Inputs!$K$5:$AJ$110,0,MATCH(AK$2,Inputs!$K$4:$AJ$4,0))))+SUMPRODUCT((Inputs!$C$5:$C$110=$B61)*ISNUMBER(INDEX(Inputs!$K$5:$AJ$110,0,MATCH(AK$2,Inputs!$K$4:$AJ$4,0))))+SUMPRODUCT((Inputs!$E$5:$E$110=$B61)*ISNUMBER(INDEX(Inputs!$K$5:$AJ$110,0,MATCH(AK$2,Inputs!$K$4:$AJ$4,0))))=0,NA(),SUMPRODUCT((Inputs!$A$5:$A$110=$B61)*Inputs!$B$5:$B$110*(((Inputs!$G$5:$G$110="moeda")+(Inputs!$G$5:$G$110="acoes"))*Inputs!$B$1+((Inputs!$G$5:$G$110&lt;&gt;"moeda")*(Inputs!$G$5:$G$110&lt;&gt;"acoes")))*INDEX(Inputs!$K$5:$AJ$110,0,MATCH(AK$2,Inputs!$K$4:$AJ$4,0)))+SUMPRODUCT((Inputs!$C$5:$C$110=$B61)*Inputs!$D$5:$D$110*(((Inputs!$G$5:$G$110="moeda")+(Inputs!$G$5:$G$110="acoes"))*Inputs!$B$1+((Inputs!$G$5:$G$110&lt;&gt;"moeda")*(Inputs!$G$5:$G$110&lt;&gt;"acoes")))*INDEX(Inputs!$K$5:$AJ$110,0,MATCH(AK$2,Inputs!$K$4:$AJ$4,0)))+SUMPRODUCT((Inputs!$E$5:$E$110=$B61)*Inputs!$F$5:$F$110*(((Inputs!$G$5:$G$110="moeda")+(Inputs!$G$5:$G$110="acoes"))*Inputs!$B$1+((Inputs!$G$5:$G$110&lt;&gt;"moeda")*(Inputs!$G$5:$G$110&lt;&gt;"acoes")))*INDEX(Inputs!$K$5:$AJ$110,0,MATCH(AK$2,Inputs!$K$4:$AJ$4,0)))))</f>
        <v>-1243</v>
      </c>
      <c r="AL61" s="264">
        <f>SUM(AH61:AK61)</f>
        <v>-5607</v>
      </c>
    </row>
    <row r="62">
      <c r="B62" s="46" t="n">
        <v>54</v>
      </c>
      <c r="C62" s="29" t="inlineStr">
        <is>
          <t>Other Bets - lucro operacional (USD)</t>
        </is>
      </c>
      <c r="D62" s="263">
        <f>IF(ISNA(MATCH(D$2,Inputs!$K$4:$AJ$4,0)),NA(),IF(SUMPRODUCT((Inputs!$A$5:$A$110=$B62)*ISNUMBER(INDEX(Inputs!$K$5:$AJ$110,0,MATCH(D$2,Inputs!$K$4:$AJ$4,0))))+SUMPRODUCT((Inputs!$C$5:$C$110=$B62)*ISNUMBER(INDEX(Inputs!$K$5:$AJ$110,0,MATCH(D$2,Inputs!$K$4:$AJ$4,0))))+SUMPRODUCT((Inputs!$E$5:$E$110=$B62)*ISNUMBER(INDEX(Inputs!$K$5:$AJ$110,0,MATCH(D$2,Inputs!$K$4:$AJ$4,0))))=0,NA(),SUMPRODUCT((Inputs!$A$5:$A$110=$B62)*Inputs!$B$5:$B$110*(((Inputs!$G$5:$G$110="moeda")+(Inputs!$G$5:$G$110="acoes"))*Inputs!$B$1+((Inputs!$G$5:$G$110&lt;&gt;"moeda")*(Inputs!$G$5:$G$110&lt;&gt;"acoes")))*INDEX(Inputs!$K$5:$AJ$110,0,MATCH(D$2,Inputs!$K$4:$AJ$4,0)))+SUMPRODUCT((Inputs!$C$5:$C$110=$B62)*Inputs!$D$5:$D$110*(((Inputs!$G$5:$G$110="moeda")+(Inputs!$G$5:$G$110="acoes"))*Inputs!$B$1+((Inputs!$G$5:$G$110&lt;&gt;"moeda")*(Inputs!$G$5:$G$110&lt;&gt;"acoes")))*INDEX(Inputs!$K$5:$AJ$110,0,MATCH(D$2,Inputs!$K$4:$AJ$4,0)))+SUMPRODUCT((Inputs!$E$5:$E$110=$B62)*Inputs!$F$5:$F$110*(((Inputs!$G$5:$G$110="moeda")+(Inputs!$G$5:$G$110="acoes"))*Inputs!$B$1+((Inputs!$G$5:$G$110&lt;&gt;"moeda")*(Inputs!$G$5:$G$110&lt;&gt;"acoes")))*INDEX(Inputs!$K$5:$AJ$110,0,MATCH(D$2,Inputs!$K$4:$AJ$4,0)))))</f>
        <v>-1145</v>
      </c>
      <c r="E62" s="263">
        <f>IF(ISNA(MATCH(E$2,Inputs!$K$4:$AJ$4,0)),NA(),IF(SUMPRODUCT((Inputs!$A$5:$A$110=$B62)*ISNUMBER(INDEX(Inputs!$K$5:$AJ$110,0,MATCH(E$2,Inputs!$K$4:$AJ$4,0))))+SUMPRODUCT((Inputs!$C$5:$C$110=$B62)*ISNUMBER(INDEX(Inputs!$K$5:$AJ$110,0,MATCH(E$2,Inputs!$K$4:$AJ$4,0))))+SUMPRODUCT((Inputs!$E$5:$E$110=$B62)*ISNUMBER(INDEX(Inputs!$K$5:$AJ$110,0,MATCH(E$2,Inputs!$K$4:$AJ$4,0))))=0,NA(),SUMPRODUCT((Inputs!$A$5:$A$110=$B62)*Inputs!$B$5:$B$110*(((Inputs!$G$5:$G$110="moeda")+(Inputs!$G$5:$G$110="acoes"))*Inputs!$B$1+((Inputs!$G$5:$G$110&lt;&gt;"moeda")*(Inputs!$G$5:$G$110&lt;&gt;"acoes")))*INDEX(Inputs!$K$5:$AJ$110,0,MATCH(E$2,Inputs!$K$4:$AJ$4,0)))+SUMPRODUCT((Inputs!$C$5:$C$110=$B62)*Inputs!$D$5:$D$110*(((Inputs!$G$5:$G$110="moeda")+(Inputs!$G$5:$G$110="acoes"))*Inputs!$B$1+((Inputs!$G$5:$G$110&lt;&gt;"moeda")*(Inputs!$G$5:$G$110&lt;&gt;"acoes")))*INDEX(Inputs!$K$5:$AJ$110,0,MATCH(E$2,Inputs!$K$4:$AJ$4,0)))+SUMPRODUCT((Inputs!$E$5:$E$110=$B62)*Inputs!$F$5:$F$110*(((Inputs!$G$5:$G$110="moeda")+(Inputs!$G$5:$G$110="acoes"))*Inputs!$B$1+((Inputs!$G$5:$G$110&lt;&gt;"moeda")*(Inputs!$G$5:$G$110&lt;&gt;"acoes")))*INDEX(Inputs!$K$5:$AJ$110,0,MATCH(E$2,Inputs!$K$4:$AJ$4,0)))))</f>
        <v>-1398</v>
      </c>
      <c r="F62" s="263">
        <f>IF(ISNA(MATCH(F$2,Inputs!$K$4:$AJ$4,0)),NA(),IF(SUMPRODUCT((Inputs!$A$5:$A$110=$B62)*ISNUMBER(INDEX(Inputs!$K$5:$AJ$110,0,MATCH(F$2,Inputs!$K$4:$AJ$4,0))))+SUMPRODUCT((Inputs!$C$5:$C$110=$B62)*ISNUMBER(INDEX(Inputs!$K$5:$AJ$110,0,MATCH(F$2,Inputs!$K$4:$AJ$4,0))))+SUMPRODUCT((Inputs!$E$5:$E$110=$B62)*ISNUMBER(INDEX(Inputs!$K$5:$AJ$110,0,MATCH(F$2,Inputs!$K$4:$AJ$4,0))))=0,NA(),SUMPRODUCT((Inputs!$A$5:$A$110=$B62)*Inputs!$B$5:$B$110*(((Inputs!$G$5:$G$110="moeda")+(Inputs!$G$5:$G$110="acoes"))*Inputs!$B$1+((Inputs!$G$5:$G$110&lt;&gt;"moeda")*(Inputs!$G$5:$G$110&lt;&gt;"acoes")))*INDEX(Inputs!$K$5:$AJ$110,0,MATCH(F$2,Inputs!$K$4:$AJ$4,0)))+SUMPRODUCT((Inputs!$C$5:$C$110=$B62)*Inputs!$D$5:$D$110*(((Inputs!$G$5:$G$110="moeda")+(Inputs!$G$5:$G$110="acoes"))*Inputs!$B$1+((Inputs!$G$5:$G$110&lt;&gt;"moeda")*(Inputs!$G$5:$G$110&lt;&gt;"acoes")))*INDEX(Inputs!$K$5:$AJ$110,0,MATCH(F$2,Inputs!$K$4:$AJ$4,0)))+SUMPRODUCT((Inputs!$E$5:$E$110=$B62)*Inputs!$F$5:$F$110*(((Inputs!$G$5:$G$110="moeda")+(Inputs!$G$5:$G$110="acoes"))*Inputs!$B$1+((Inputs!$G$5:$G$110&lt;&gt;"moeda")*(Inputs!$G$5:$G$110&lt;&gt;"acoes")))*INDEX(Inputs!$K$5:$AJ$110,0,MATCH(F$2,Inputs!$K$4:$AJ$4,0)))))</f>
        <v>-1288</v>
      </c>
      <c r="G62" s="263">
        <f>IF(ISNA(MATCH(G$2,Inputs!$K$4:$AJ$4,0)),NA(),IF(SUMPRODUCT((Inputs!$A$5:$A$110=$B62)*ISNUMBER(INDEX(Inputs!$K$5:$AJ$110,0,MATCH(G$2,Inputs!$K$4:$AJ$4,0))))+SUMPRODUCT((Inputs!$C$5:$C$110=$B62)*ISNUMBER(INDEX(Inputs!$K$5:$AJ$110,0,MATCH(G$2,Inputs!$K$4:$AJ$4,0))))+SUMPRODUCT((Inputs!$E$5:$E$110=$B62)*ISNUMBER(INDEX(Inputs!$K$5:$AJ$110,0,MATCH(G$2,Inputs!$K$4:$AJ$4,0))))=0,NA(),SUMPRODUCT((Inputs!$A$5:$A$110=$B62)*Inputs!$B$5:$B$110*(((Inputs!$G$5:$G$110="moeda")+(Inputs!$G$5:$G$110="acoes"))*Inputs!$B$1+((Inputs!$G$5:$G$110&lt;&gt;"moeda")*(Inputs!$G$5:$G$110&lt;&gt;"acoes")))*INDEX(Inputs!$K$5:$AJ$110,0,MATCH(G$2,Inputs!$K$4:$AJ$4,0)))+SUMPRODUCT((Inputs!$C$5:$C$110=$B62)*Inputs!$D$5:$D$110*(((Inputs!$G$5:$G$110="moeda")+(Inputs!$G$5:$G$110="acoes"))*Inputs!$B$1+((Inputs!$G$5:$G$110&lt;&gt;"moeda")*(Inputs!$G$5:$G$110&lt;&gt;"acoes")))*INDEX(Inputs!$K$5:$AJ$110,0,MATCH(G$2,Inputs!$K$4:$AJ$4,0)))+SUMPRODUCT((Inputs!$E$5:$E$110=$B62)*Inputs!$F$5:$F$110*(((Inputs!$G$5:$G$110="moeda")+(Inputs!$G$5:$G$110="acoes"))*Inputs!$B$1+((Inputs!$G$5:$G$110&lt;&gt;"moeda")*(Inputs!$G$5:$G$110&lt;&gt;"acoes")))*INDEX(Inputs!$K$5:$AJ$110,0,MATCH(G$2,Inputs!$K$4:$AJ$4,0)))))</f>
        <v>-220</v>
      </c>
      <c r="H62" s="264">
        <f>SUM(D62:G62)</f>
        <v>-4051</v>
      </c>
      <c r="I62" s="263">
        <f>IF(ISNA(MATCH(I$2,Inputs!$K$4:$AJ$4,0)),NA(),IF(SUMPRODUCT((Inputs!$A$5:$A$110=$B62)*ISNUMBER(INDEX(Inputs!$K$5:$AJ$110,0,MATCH(I$2,Inputs!$K$4:$AJ$4,0))))+SUMPRODUCT((Inputs!$C$5:$C$110=$B62)*ISNUMBER(INDEX(Inputs!$K$5:$AJ$110,0,MATCH(I$2,Inputs!$K$4:$AJ$4,0))))+SUMPRODUCT((Inputs!$E$5:$E$110=$B62)*ISNUMBER(INDEX(Inputs!$K$5:$AJ$110,0,MATCH(I$2,Inputs!$K$4:$AJ$4,0))))=0,NA(),SUMPRODUCT((Inputs!$A$5:$A$110=$B62)*Inputs!$B$5:$B$110*(((Inputs!$G$5:$G$110="moeda")+(Inputs!$G$5:$G$110="acoes"))*Inputs!$B$1+((Inputs!$G$5:$G$110&lt;&gt;"moeda")*(Inputs!$G$5:$G$110&lt;&gt;"acoes")))*INDEX(Inputs!$K$5:$AJ$110,0,MATCH(I$2,Inputs!$K$4:$AJ$4,0)))+SUMPRODUCT((Inputs!$C$5:$C$110=$B62)*Inputs!$D$5:$D$110*(((Inputs!$G$5:$G$110="moeda")+(Inputs!$G$5:$G$110="acoes"))*Inputs!$B$1+((Inputs!$G$5:$G$110&lt;&gt;"moeda")*(Inputs!$G$5:$G$110&lt;&gt;"acoes")))*INDEX(Inputs!$K$5:$AJ$110,0,MATCH(I$2,Inputs!$K$4:$AJ$4,0)))+SUMPRODUCT((Inputs!$E$5:$E$110=$B62)*Inputs!$F$5:$F$110*(((Inputs!$G$5:$G$110="moeda")+(Inputs!$G$5:$G$110="acoes"))*Inputs!$B$1+((Inputs!$G$5:$G$110&lt;&gt;"moeda")*(Inputs!$G$5:$G$110&lt;&gt;"acoes")))*INDEX(Inputs!$K$5:$AJ$110,0,MATCH(I$2,Inputs!$K$4:$AJ$4,0)))))</f>
        <v>-835</v>
      </c>
      <c r="J62" s="263">
        <f>IF(ISNA(MATCH(J$2,Inputs!$K$4:$AJ$4,0)),NA(),IF(SUMPRODUCT((Inputs!$A$5:$A$110=$B62)*ISNUMBER(INDEX(Inputs!$K$5:$AJ$110,0,MATCH(J$2,Inputs!$K$4:$AJ$4,0))))+SUMPRODUCT((Inputs!$C$5:$C$110=$B62)*ISNUMBER(INDEX(Inputs!$K$5:$AJ$110,0,MATCH(J$2,Inputs!$K$4:$AJ$4,0))))+SUMPRODUCT((Inputs!$E$5:$E$110=$B62)*ISNUMBER(INDEX(Inputs!$K$5:$AJ$110,0,MATCH(J$2,Inputs!$K$4:$AJ$4,0))))=0,NA(),SUMPRODUCT((Inputs!$A$5:$A$110=$B62)*Inputs!$B$5:$B$110*(((Inputs!$G$5:$G$110="moeda")+(Inputs!$G$5:$G$110="acoes"))*Inputs!$B$1+((Inputs!$G$5:$G$110&lt;&gt;"moeda")*(Inputs!$G$5:$G$110&lt;&gt;"acoes")))*INDEX(Inputs!$K$5:$AJ$110,0,MATCH(J$2,Inputs!$K$4:$AJ$4,0)))+SUMPRODUCT((Inputs!$C$5:$C$110=$B62)*Inputs!$D$5:$D$110*(((Inputs!$G$5:$G$110="moeda")+(Inputs!$G$5:$G$110="acoes"))*Inputs!$B$1+((Inputs!$G$5:$G$110&lt;&gt;"moeda")*(Inputs!$G$5:$G$110&lt;&gt;"acoes")))*INDEX(Inputs!$K$5:$AJ$110,0,MATCH(J$2,Inputs!$K$4:$AJ$4,0)))+SUMPRODUCT((Inputs!$E$5:$E$110=$B62)*Inputs!$F$5:$F$110*(((Inputs!$G$5:$G$110="moeda")+(Inputs!$G$5:$G$110="acoes"))*Inputs!$B$1+((Inputs!$G$5:$G$110&lt;&gt;"moeda")*(Inputs!$G$5:$G$110&lt;&gt;"acoes")))*INDEX(Inputs!$K$5:$AJ$110,0,MATCH(J$2,Inputs!$K$4:$AJ$4,0)))))</f>
        <v>-1339</v>
      </c>
      <c r="K62" s="263">
        <f>IF(ISNA(MATCH(K$2,Inputs!$K$4:$AJ$4,0)),NA(),IF(SUMPRODUCT((Inputs!$A$5:$A$110=$B62)*ISNUMBER(INDEX(Inputs!$K$5:$AJ$110,0,MATCH(K$2,Inputs!$K$4:$AJ$4,0))))+SUMPRODUCT((Inputs!$C$5:$C$110=$B62)*ISNUMBER(INDEX(Inputs!$K$5:$AJ$110,0,MATCH(K$2,Inputs!$K$4:$AJ$4,0))))+SUMPRODUCT((Inputs!$E$5:$E$110=$B62)*ISNUMBER(INDEX(Inputs!$K$5:$AJ$110,0,MATCH(K$2,Inputs!$K$4:$AJ$4,0))))=0,NA(),SUMPRODUCT((Inputs!$A$5:$A$110=$B62)*Inputs!$B$5:$B$110*(((Inputs!$G$5:$G$110="moeda")+(Inputs!$G$5:$G$110="acoes"))*Inputs!$B$1+((Inputs!$G$5:$G$110&lt;&gt;"moeda")*(Inputs!$G$5:$G$110&lt;&gt;"acoes")))*INDEX(Inputs!$K$5:$AJ$110,0,MATCH(K$2,Inputs!$K$4:$AJ$4,0)))+SUMPRODUCT((Inputs!$C$5:$C$110=$B62)*Inputs!$D$5:$D$110*(((Inputs!$G$5:$G$110="moeda")+(Inputs!$G$5:$G$110="acoes"))*Inputs!$B$1+((Inputs!$G$5:$G$110&lt;&gt;"moeda")*(Inputs!$G$5:$G$110&lt;&gt;"acoes")))*INDEX(Inputs!$K$5:$AJ$110,0,MATCH(K$2,Inputs!$K$4:$AJ$4,0)))+SUMPRODUCT((Inputs!$E$5:$E$110=$B62)*Inputs!$F$5:$F$110*(((Inputs!$G$5:$G$110="moeda")+(Inputs!$G$5:$G$110="acoes"))*Inputs!$B$1+((Inputs!$G$5:$G$110&lt;&gt;"moeda")*(Inputs!$G$5:$G$110&lt;&gt;"acoes")))*INDEX(Inputs!$K$5:$AJ$110,0,MATCH(K$2,Inputs!$K$4:$AJ$4,0)))))</f>
        <v>-1225</v>
      </c>
      <c r="L62" s="263">
        <f>IF(ISNA(MATCH(L$2,Inputs!$K$4:$AJ$4,0)),NA(),IF(SUMPRODUCT((Inputs!$A$5:$A$110=$B62)*ISNUMBER(INDEX(Inputs!$K$5:$AJ$110,0,MATCH(L$2,Inputs!$K$4:$AJ$4,0))))+SUMPRODUCT((Inputs!$C$5:$C$110=$B62)*ISNUMBER(INDEX(Inputs!$K$5:$AJ$110,0,MATCH(L$2,Inputs!$K$4:$AJ$4,0))))+SUMPRODUCT((Inputs!$E$5:$E$110=$B62)*ISNUMBER(INDEX(Inputs!$K$5:$AJ$110,0,MATCH(L$2,Inputs!$K$4:$AJ$4,0))))=0,NA(),SUMPRODUCT((Inputs!$A$5:$A$110=$B62)*Inputs!$B$5:$B$110*(((Inputs!$G$5:$G$110="moeda")+(Inputs!$G$5:$G$110="acoes"))*Inputs!$B$1+((Inputs!$G$5:$G$110&lt;&gt;"moeda")*(Inputs!$G$5:$G$110&lt;&gt;"acoes")))*INDEX(Inputs!$K$5:$AJ$110,0,MATCH(L$2,Inputs!$K$4:$AJ$4,0)))+SUMPRODUCT((Inputs!$C$5:$C$110=$B62)*Inputs!$D$5:$D$110*(((Inputs!$G$5:$G$110="moeda")+(Inputs!$G$5:$G$110="acoes"))*Inputs!$B$1+((Inputs!$G$5:$G$110&lt;&gt;"moeda")*(Inputs!$G$5:$G$110&lt;&gt;"acoes")))*INDEX(Inputs!$K$5:$AJ$110,0,MATCH(L$2,Inputs!$K$4:$AJ$4,0)))+SUMPRODUCT((Inputs!$E$5:$E$110=$B62)*Inputs!$F$5:$F$110*(((Inputs!$G$5:$G$110="moeda")+(Inputs!$G$5:$G$110="acoes"))*Inputs!$B$1+((Inputs!$G$5:$G$110&lt;&gt;"moeda")*(Inputs!$G$5:$G$110&lt;&gt;"acoes")))*INDEX(Inputs!$K$5:$AJ$110,0,MATCH(L$2,Inputs!$K$4:$AJ$4,0)))))</f>
        <v>-1237</v>
      </c>
      <c r="M62" s="264">
        <f>SUM(I62:L62)</f>
        <v>-4636</v>
      </c>
      <c r="N62" s="263">
        <f>IF(ISNA(MATCH(N$2,Inputs!$K$4:$AJ$4,0)),NA(),IF(SUMPRODUCT((Inputs!$A$5:$A$110=$B62)*ISNUMBER(INDEX(Inputs!$K$5:$AJ$110,0,MATCH(N$2,Inputs!$K$4:$AJ$4,0))))+SUMPRODUCT((Inputs!$C$5:$C$110=$B62)*ISNUMBER(INDEX(Inputs!$K$5:$AJ$110,0,MATCH(N$2,Inputs!$K$4:$AJ$4,0))))+SUMPRODUCT((Inputs!$E$5:$E$110=$B62)*ISNUMBER(INDEX(Inputs!$K$5:$AJ$110,0,MATCH(N$2,Inputs!$K$4:$AJ$4,0))))=0,NA(),SUMPRODUCT((Inputs!$A$5:$A$110=$B62)*Inputs!$B$5:$B$110*(((Inputs!$G$5:$G$110="moeda")+(Inputs!$G$5:$G$110="acoes"))*Inputs!$B$1+((Inputs!$G$5:$G$110&lt;&gt;"moeda")*(Inputs!$G$5:$G$110&lt;&gt;"acoes")))*INDEX(Inputs!$K$5:$AJ$110,0,MATCH(N$2,Inputs!$K$4:$AJ$4,0)))+SUMPRODUCT((Inputs!$C$5:$C$110=$B62)*Inputs!$D$5:$D$110*(((Inputs!$G$5:$G$110="moeda")+(Inputs!$G$5:$G$110="acoes"))*Inputs!$B$1+((Inputs!$G$5:$G$110&lt;&gt;"moeda")*(Inputs!$G$5:$G$110&lt;&gt;"acoes")))*INDEX(Inputs!$K$5:$AJ$110,0,MATCH(N$2,Inputs!$K$4:$AJ$4,0)))+SUMPRODUCT((Inputs!$E$5:$E$110=$B62)*Inputs!$F$5:$F$110*(((Inputs!$G$5:$G$110="moeda")+(Inputs!$G$5:$G$110="acoes"))*Inputs!$B$1+((Inputs!$G$5:$G$110&lt;&gt;"moeda")*(Inputs!$G$5:$G$110&lt;&gt;"acoes")))*INDEX(Inputs!$K$5:$AJ$110,0,MATCH(N$2,Inputs!$K$4:$AJ$4,0)))))</f>
        <v>-1225</v>
      </c>
      <c r="O62" s="263">
        <f>IF(ISNA(MATCH(O$2,Inputs!$K$4:$AJ$4,0)),NA(),IF(SUMPRODUCT((Inputs!$A$5:$A$110=$B62)*ISNUMBER(INDEX(Inputs!$K$5:$AJ$110,0,MATCH(O$2,Inputs!$K$4:$AJ$4,0))))+SUMPRODUCT((Inputs!$C$5:$C$110=$B62)*ISNUMBER(INDEX(Inputs!$K$5:$AJ$110,0,MATCH(O$2,Inputs!$K$4:$AJ$4,0))))+SUMPRODUCT((Inputs!$E$5:$E$110=$B62)*ISNUMBER(INDEX(Inputs!$K$5:$AJ$110,0,MATCH(O$2,Inputs!$K$4:$AJ$4,0))))=0,NA(),SUMPRODUCT((Inputs!$A$5:$A$110=$B62)*Inputs!$B$5:$B$110*(((Inputs!$G$5:$G$110="moeda")+(Inputs!$G$5:$G$110="acoes"))*Inputs!$B$1+((Inputs!$G$5:$G$110&lt;&gt;"moeda")*(Inputs!$G$5:$G$110&lt;&gt;"acoes")))*INDEX(Inputs!$K$5:$AJ$110,0,MATCH(O$2,Inputs!$K$4:$AJ$4,0)))+SUMPRODUCT((Inputs!$C$5:$C$110=$B62)*Inputs!$D$5:$D$110*(((Inputs!$G$5:$G$110="moeda")+(Inputs!$G$5:$G$110="acoes"))*Inputs!$B$1+((Inputs!$G$5:$G$110&lt;&gt;"moeda")*(Inputs!$G$5:$G$110&lt;&gt;"acoes")))*INDEX(Inputs!$K$5:$AJ$110,0,MATCH(O$2,Inputs!$K$4:$AJ$4,0)))+SUMPRODUCT((Inputs!$E$5:$E$110=$B62)*Inputs!$F$5:$F$110*(((Inputs!$G$5:$G$110="moeda")+(Inputs!$G$5:$G$110="acoes"))*Inputs!$B$1+((Inputs!$G$5:$G$110&lt;&gt;"moeda")*(Inputs!$G$5:$G$110&lt;&gt;"acoes")))*INDEX(Inputs!$K$5:$AJ$110,0,MATCH(O$2,Inputs!$K$4:$AJ$4,0)))))</f>
        <v>-813</v>
      </c>
      <c r="P62" s="263">
        <f>IF(ISNA(MATCH(P$2,Inputs!$K$4:$AJ$4,0)),NA(),IF(SUMPRODUCT((Inputs!$A$5:$A$110=$B62)*ISNUMBER(INDEX(Inputs!$K$5:$AJ$110,0,MATCH(P$2,Inputs!$K$4:$AJ$4,0))))+SUMPRODUCT((Inputs!$C$5:$C$110=$B62)*ISNUMBER(INDEX(Inputs!$K$5:$AJ$110,0,MATCH(P$2,Inputs!$K$4:$AJ$4,0))))+SUMPRODUCT((Inputs!$E$5:$E$110=$B62)*ISNUMBER(INDEX(Inputs!$K$5:$AJ$110,0,MATCH(P$2,Inputs!$K$4:$AJ$4,0))))=0,NA(),SUMPRODUCT((Inputs!$A$5:$A$110=$B62)*Inputs!$B$5:$B$110*(((Inputs!$G$5:$G$110="moeda")+(Inputs!$G$5:$G$110="acoes"))*Inputs!$B$1+((Inputs!$G$5:$G$110&lt;&gt;"moeda")*(Inputs!$G$5:$G$110&lt;&gt;"acoes")))*INDEX(Inputs!$K$5:$AJ$110,0,MATCH(P$2,Inputs!$K$4:$AJ$4,0)))+SUMPRODUCT((Inputs!$C$5:$C$110=$B62)*Inputs!$D$5:$D$110*(((Inputs!$G$5:$G$110="moeda")+(Inputs!$G$5:$G$110="acoes"))*Inputs!$B$1+((Inputs!$G$5:$G$110&lt;&gt;"moeda")*(Inputs!$G$5:$G$110&lt;&gt;"acoes")))*INDEX(Inputs!$K$5:$AJ$110,0,MATCH(P$2,Inputs!$K$4:$AJ$4,0)))+SUMPRODUCT((Inputs!$E$5:$E$110=$B62)*Inputs!$F$5:$F$110*(((Inputs!$G$5:$G$110="moeda")+(Inputs!$G$5:$G$110="acoes"))*Inputs!$B$1+((Inputs!$G$5:$G$110&lt;&gt;"moeda")*(Inputs!$G$5:$G$110&lt;&gt;"acoes")))*INDEX(Inputs!$K$5:$AJ$110,0,MATCH(P$2,Inputs!$K$4:$AJ$4,0)))))</f>
        <v>-1194</v>
      </c>
      <c r="Q62" s="263">
        <f>IF(ISNA(MATCH(Q$2,Inputs!$K$4:$AJ$4,0)),NA(),IF(SUMPRODUCT((Inputs!$A$5:$A$110=$B62)*ISNUMBER(INDEX(Inputs!$K$5:$AJ$110,0,MATCH(Q$2,Inputs!$K$4:$AJ$4,0))))+SUMPRODUCT((Inputs!$C$5:$C$110=$B62)*ISNUMBER(INDEX(Inputs!$K$5:$AJ$110,0,MATCH(Q$2,Inputs!$K$4:$AJ$4,0))))+SUMPRODUCT((Inputs!$E$5:$E$110=$B62)*ISNUMBER(INDEX(Inputs!$K$5:$AJ$110,0,MATCH(Q$2,Inputs!$K$4:$AJ$4,0))))=0,NA(),SUMPRODUCT((Inputs!$A$5:$A$110=$B62)*Inputs!$B$5:$B$110*(((Inputs!$G$5:$G$110="moeda")+(Inputs!$G$5:$G$110="acoes"))*Inputs!$B$1+((Inputs!$G$5:$G$110&lt;&gt;"moeda")*(Inputs!$G$5:$G$110&lt;&gt;"acoes")))*INDEX(Inputs!$K$5:$AJ$110,0,MATCH(Q$2,Inputs!$K$4:$AJ$4,0)))+SUMPRODUCT((Inputs!$C$5:$C$110=$B62)*Inputs!$D$5:$D$110*(((Inputs!$G$5:$G$110="moeda")+(Inputs!$G$5:$G$110="acoes"))*Inputs!$B$1+((Inputs!$G$5:$G$110&lt;&gt;"moeda")*(Inputs!$G$5:$G$110&lt;&gt;"acoes")))*INDEX(Inputs!$K$5:$AJ$110,0,MATCH(Q$2,Inputs!$K$4:$AJ$4,0)))+SUMPRODUCT((Inputs!$E$5:$E$110=$B62)*Inputs!$F$5:$F$110*(((Inputs!$G$5:$G$110="moeda")+(Inputs!$G$5:$G$110="acoes"))*Inputs!$B$1+((Inputs!$G$5:$G$110&lt;&gt;"moeda")*(Inputs!$G$5:$G$110&lt;&gt;"acoes")))*INDEX(Inputs!$K$5:$AJ$110,0,MATCH(Q$2,Inputs!$K$4:$AJ$4,0)))))</f>
        <v>-863</v>
      </c>
      <c r="R62" s="264">
        <f>SUM(N62:Q62)</f>
        <v>-4095</v>
      </c>
      <c r="S62" s="263">
        <f>IF(ISNA(MATCH(S$2,Inputs!$K$4:$AJ$4,0)),NA(),IF(SUMPRODUCT((Inputs!$A$5:$A$110=$B62)*ISNUMBER(INDEX(Inputs!$K$5:$AJ$110,0,MATCH(S$2,Inputs!$K$4:$AJ$4,0))))+SUMPRODUCT((Inputs!$C$5:$C$110=$B62)*ISNUMBER(INDEX(Inputs!$K$5:$AJ$110,0,MATCH(S$2,Inputs!$K$4:$AJ$4,0))))+SUMPRODUCT((Inputs!$E$5:$E$110=$B62)*ISNUMBER(INDEX(Inputs!$K$5:$AJ$110,0,MATCH(S$2,Inputs!$K$4:$AJ$4,0))))=0,NA(),SUMPRODUCT((Inputs!$A$5:$A$110=$B62)*Inputs!$B$5:$B$110*(((Inputs!$G$5:$G$110="moeda")+(Inputs!$G$5:$G$110="acoes"))*Inputs!$B$1+((Inputs!$G$5:$G$110&lt;&gt;"moeda")*(Inputs!$G$5:$G$110&lt;&gt;"acoes")))*INDEX(Inputs!$K$5:$AJ$110,0,MATCH(S$2,Inputs!$K$4:$AJ$4,0)))+SUMPRODUCT((Inputs!$C$5:$C$110=$B62)*Inputs!$D$5:$D$110*(((Inputs!$G$5:$G$110="moeda")+(Inputs!$G$5:$G$110="acoes"))*Inputs!$B$1+((Inputs!$G$5:$G$110&lt;&gt;"moeda")*(Inputs!$G$5:$G$110&lt;&gt;"acoes")))*INDEX(Inputs!$K$5:$AJ$110,0,MATCH(S$2,Inputs!$K$4:$AJ$4,0)))+SUMPRODUCT((Inputs!$E$5:$E$110=$B62)*Inputs!$F$5:$F$110*(((Inputs!$G$5:$G$110="moeda")+(Inputs!$G$5:$G$110="acoes"))*Inputs!$B$1+((Inputs!$G$5:$G$110&lt;&gt;"moeda")*(Inputs!$G$5:$G$110&lt;&gt;"acoes")))*INDEX(Inputs!$K$5:$AJ$110,0,MATCH(S$2,Inputs!$K$4:$AJ$4,0)))))</f>
        <v>-1020</v>
      </c>
      <c r="T62" s="263">
        <f>IF(ISNA(MATCH(T$2,Inputs!$K$4:$AJ$4,0)),NA(),IF(SUMPRODUCT((Inputs!$A$5:$A$110=$B62)*ISNUMBER(INDEX(Inputs!$K$5:$AJ$110,0,MATCH(T$2,Inputs!$K$4:$AJ$4,0))))+SUMPRODUCT((Inputs!$C$5:$C$110=$B62)*ISNUMBER(INDEX(Inputs!$K$5:$AJ$110,0,MATCH(T$2,Inputs!$K$4:$AJ$4,0))))+SUMPRODUCT((Inputs!$E$5:$E$110=$B62)*ISNUMBER(INDEX(Inputs!$K$5:$AJ$110,0,MATCH(T$2,Inputs!$K$4:$AJ$4,0))))=0,NA(),SUMPRODUCT((Inputs!$A$5:$A$110=$B62)*Inputs!$B$5:$B$110*(((Inputs!$G$5:$G$110="moeda")+(Inputs!$G$5:$G$110="acoes"))*Inputs!$B$1+((Inputs!$G$5:$G$110&lt;&gt;"moeda")*(Inputs!$G$5:$G$110&lt;&gt;"acoes")))*INDEX(Inputs!$K$5:$AJ$110,0,MATCH(T$2,Inputs!$K$4:$AJ$4,0)))+SUMPRODUCT((Inputs!$C$5:$C$110=$B62)*Inputs!$D$5:$D$110*(((Inputs!$G$5:$G$110="moeda")+(Inputs!$G$5:$G$110="acoes"))*Inputs!$B$1+((Inputs!$G$5:$G$110&lt;&gt;"moeda")*(Inputs!$G$5:$G$110&lt;&gt;"acoes")))*INDEX(Inputs!$K$5:$AJ$110,0,MATCH(T$2,Inputs!$K$4:$AJ$4,0)))+SUMPRODUCT((Inputs!$E$5:$E$110=$B62)*Inputs!$F$5:$F$110*(((Inputs!$G$5:$G$110="moeda")+(Inputs!$G$5:$G$110="acoes"))*Inputs!$B$1+((Inputs!$G$5:$G$110&lt;&gt;"moeda")*(Inputs!$G$5:$G$110&lt;&gt;"acoes")))*INDEX(Inputs!$K$5:$AJ$110,0,MATCH(T$2,Inputs!$K$4:$AJ$4,0)))))</f>
        <v>-1134</v>
      </c>
      <c r="U62" s="263">
        <f>IF(ISNA(MATCH(U$2,Inputs!$K$4:$AJ$4,0)),NA(),IF(SUMPRODUCT((Inputs!$A$5:$A$110=$B62)*ISNUMBER(INDEX(Inputs!$K$5:$AJ$110,0,MATCH(U$2,Inputs!$K$4:$AJ$4,0))))+SUMPRODUCT((Inputs!$C$5:$C$110=$B62)*ISNUMBER(INDEX(Inputs!$K$5:$AJ$110,0,MATCH(U$2,Inputs!$K$4:$AJ$4,0))))+SUMPRODUCT((Inputs!$E$5:$E$110=$B62)*ISNUMBER(INDEX(Inputs!$K$5:$AJ$110,0,MATCH(U$2,Inputs!$K$4:$AJ$4,0))))=0,NA(),SUMPRODUCT((Inputs!$A$5:$A$110=$B62)*Inputs!$B$5:$B$110*(((Inputs!$G$5:$G$110="moeda")+(Inputs!$G$5:$G$110="acoes"))*Inputs!$B$1+((Inputs!$G$5:$G$110&lt;&gt;"moeda")*(Inputs!$G$5:$G$110&lt;&gt;"acoes")))*INDEX(Inputs!$K$5:$AJ$110,0,MATCH(U$2,Inputs!$K$4:$AJ$4,0)))+SUMPRODUCT((Inputs!$C$5:$C$110=$B62)*Inputs!$D$5:$D$110*(((Inputs!$G$5:$G$110="moeda")+(Inputs!$G$5:$G$110="acoes"))*Inputs!$B$1+((Inputs!$G$5:$G$110&lt;&gt;"moeda")*(Inputs!$G$5:$G$110&lt;&gt;"acoes")))*INDEX(Inputs!$K$5:$AJ$110,0,MATCH(U$2,Inputs!$K$4:$AJ$4,0)))+SUMPRODUCT((Inputs!$E$5:$E$110=$B62)*Inputs!$F$5:$F$110*(((Inputs!$G$5:$G$110="moeda")+(Inputs!$G$5:$G$110="acoes"))*Inputs!$B$1+((Inputs!$G$5:$G$110&lt;&gt;"moeda")*(Inputs!$G$5:$G$110&lt;&gt;"acoes")))*INDEX(Inputs!$K$5:$AJ$110,0,MATCH(U$2,Inputs!$K$4:$AJ$4,0)))))</f>
        <v>-1116</v>
      </c>
      <c r="V62" s="263">
        <f>IF(ISNA(MATCH(V$2,Inputs!$K$4:$AJ$4,0)),NA(),IF(SUMPRODUCT((Inputs!$A$5:$A$110=$B62)*ISNUMBER(INDEX(Inputs!$K$5:$AJ$110,0,MATCH(V$2,Inputs!$K$4:$AJ$4,0))))+SUMPRODUCT((Inputs!$C$5:$C$110=$B62)*ISNUMBER(INDEX(Inputs!$K$5:$AJ$110,0,MATCH(V$2,Inputs!$K$4:$AJ$4,0))))+SUMPRODUCT((Inputs!$E$5:$E$110=$B62)*ISNUMBER(INDEX(Inputs!$K$5:$AJ$110,0,MATCH(V$2,Inputs!$K$4:$AJ$4,0))))=0,NA(),SUMPRODUCT((Inputs!$A$5:$A$110=$B62)*Inputs!$B$5:$B$110*(((Inputs!$G$5:$G$110="moeda")+(Inputs!$G$5:$G$110="acoes"))*Inputs!$B$1+((Inputs!$G$5:$G$110&lt;&gt;"moeda")*(Inputs!$G$5:$G$110&lt;&gt;"acoes")))*INDEX(Inputs!$K$5:$AJ$110,0,MATCH(V$2,Inputs!$K$4:$AJ$4,0)))+SUMPRODUCT((Inputs!$C$5:$C$110=$B62)*Inputs!$D$5:$D$110*(((Inputs!$G$5:$G$110="moeda")+(Inputs!$G$5:$G$110="acoes"))*Inputs!$B$1+((Inputs!$G$5:$G$110&lt;&gt;"moeda")*(Inputs!$G$5:$G$110&lt;&gt;"acoes")))*INDEX(Inputs!$K$5:$AJ$110,0,MATCH(V$2,Inputs!$K$4:$AJ$4,0)))+SUMPRODUCT((Inputs!$E$5:$E$110=$B62)*Inputs!$F$5:$F$110*(((Inputs!$G$5:$G$110="moeda")+(Inputs!$G$5:$G$110="acoes"))*Inputs!$B$1+((Inputs!$G$5:$G$110&lt;&gt;"moeda")*(Inputs!$G$5:$G$110&lt;&gt;"acoes")))*INDEX(Inputs!$K$5:$AJ$110,0,MATCH(V$2,Inputs!$K$4:$AJ$4,0)))))</f>
        <v>-1174</v>
      </c>
      <c r="W62" s="264">
        <f>SUM(S62:V62)</f>
        <v>-4444</v>
      </c>
      <c r="X62" s="263">
        <f>IF(ISNA(MATCH(X$2,Inputs!$K$4:$AJ$4,0)),NA(),IF(SUMPRODUCT((Inputs!$A$5:$A$110=$B62)*ISNUMBER(INDEX(Inputs!$K$5:$AJ$110,0,MATCH(X$2,Inputs!$K$4:$AJ$4,0))))+SUMPRODUCT((Inputs!$C$5:$C$110=$B62)*ISNUMBER(INDEX(Inputs!$K$5:$AJ$110,0,MATCH(X$2,Inputs!$K$4:$AJ$4,0))))+SUMPRODUCT((Inputs!$E$5:$E$110=$B62)*ISNUMBER(INDEX(Inputs!$K$5:$AJ$110,0,MATCH(X$2,Inputs!$K$4:$AJ$4,0))))=0,NA(),SUMPRODUCT((Inputs!$A$5:$A$110=$B62)*Inputs!$B$5:$B$110*(((Inputs!$G$5:$G$110="moeda")+(Inputs!$G$5:$G$110="acoes"))*Inputs!$B$1+((Inputs!$G$5:$G$110&lt;&gt;"moeda")*(Inputs!$G$5:$G$110&lt;&gt;"acoes")))*INDEX(Inputs!$K$5:$AJ$110,0,MATCH(X$2,Inputs!$K$4:$AJ$4,0)))+SUMPRODUCT((Inputs!$C$5:$C$110=$B62)*Inputs!$D$5:$D$110*(((Inputs!$G$5:$G$110="moeda")+(Inputs!$G$5:$G$110="acoes"))*Inputs!$B$1+((Inputs!$G$5:$G$110&lt;&gt;"moeda")*(Inputs!$G$5:$G$110&lt;&gt;"acoes")))*INDEX(Inputs!$K$5:$AJ$110,0,MATCH(X$2,Inputs!$K$4:$AJ$4,0)))+SUMPRODUCT((Inputs!$E$5:$E$110=$B62)*Inputs!$F$5:$F$110*(((Inputs!$G$5:$G$110="moeda")+(Inputs!$G$5:$G$110="acoes"))*Inputs!$B$1+((Inputs!$G$5:$G$110&lt;&gt;"moeda")*(Inputs!$G$5:$G$110&lt;&gt;"acoes")))*INDEX(Inputs!$K$5:$AJ$110,0,MATCH(X$2,Inputs!$K$4:$AJ$4,0)))))</f>
        <v>-1226</v>
      </c>
      <c r="Y62" s="263">
        <f>IF(ISNA(MATCH(Y$2,Inputs!$K$4:$AJ$4,0)),NA(),IF(SUMPRODUCT((Inputs!$A$5:$A$110=$B62)*ISNUMBER(INDEX(Inputs!$K$5:$AJ$110,0,MATCH(Y$2,Inputs!$K$4:$AJ$4,0))))+SUMPRODUCT((Inputs!$C$5:$C$110=$B62)*ISNUMBER(INDEX(Inputs!$K$5:$AJ$110,0,MATCH(Y$2,Inputs!$K$4:$AJ$4,0))))+SUMPRODUCT((Inputs!$E$5:$E$110=$B62)*ISNUMBER(INDEX(Inputs!$K$5:$AJ$110,0,MATCH(Y$2,Inputs!$K$4:$AJ$4,0))))=0,NA(),SUMPRODUCT((Inputs!$A$5:$A$110=$B62)*Inputs!$B$5:$B$110*(((Inputs!$G$5:$G$110="moeda")+(Inputs!$G$5:$G$110="acoes"))*Inputs!$B$1+((Inputs!$G$5:$G$110&lt;&gt;"moeda")*(Inputs!$G$5:$G$110&lt;&gt;"acoes")))*INDEX(Inputs!$K$5:$AJ$110,0,MATCH(Y$2,Inputs!$K$4:$AJ$4,0)))+SUMPRODUCT((Inputs!$C$5:$C$110=$B62)*Inputs!$D$5:$D$110*(((Inputs!$G$5:$G$110="moeda")+(Inputs!$G$5:$G$110="acoes"))*Inputs!$B$1+((Inputs!$G$5:$G$110&lt;&gt;"moeda")*(Inputs!$G$5:$G$110&lt;&gt;"acoes")))*INDEX(Inputs!$K$5:$AJ$110,0,MATCH(Y$2,Inputs!$K$4:$AJ$4,0)))+SUMPRODUCT((Inputs!$E$5:$E$110=$B62)*Inputs!$F$5:$F$110*(((Inputs!$G$5:$G$110="moeda")+(Inputs!$G$5:$G$110="acoes"))*Inputs!$B$1+((Inputs!$G$5:$G$110&lt;&gt;"moeda")*(Inputs!$G$5:$G$110&lt;&gt;"acoes")))*INDEX(Inputs!$K$5:$AJ$110,0,MATCH(Y$2,Inputs!$K$4:$AJ$4,0)))))</f>
        <v>-1246</v>
      </c>
      <c r="Z62" s="263">
        <f>IF(ISNA(MATCH(Z$2,Inputs!$K$4:$AJ$4,0)),NA(),IF(SUMPRODUCT((Inputs!$A$5:$A$110=$B62)*ISNUMBER(INDEX(Inputs!$K$5:$AJ$110,0,MATCH(Z$2,Inputs!$K$4:$AJ$4,0))))+SUMPRODUCT((Inputs!$C$5:$C$110=$B62)*ISNUMBER(INDEX(Inputs!$K$5:$AJ$110,0,MATCH(Z$2,Inputs!$K$4:$AJ$4,0))))+SUMPRODUCT((Inputs!$E$5:$E$110=$B62)*ISNUMBER(INDEX(Inputs!$K$5:$AJ$110,0,MATCH(Z$2,Inputs!$K$4:$AJ$4,0))))=0,NA(),SUMPRODUCT((Inputs!$A$5:$A$110=$B62)*Inputs!$B$5:$B$110*(((Inputs!$G$5:$G$110="moeda")+(Inputs!$G$5:$G$110="acoes"))*Inputs!$B$1+((Inputs!$G$5:$G$110&lt;&gt;"moeda")*(Inputs!$G$5:$G$110&lt;&gt;"acoes")))*INDEX(Inputs!$K$5:$AJ$110,0,MATCH(Z$2,Inputs!$K$4:$AJ$4,0)))+SUMPRODUCT((Inputs!$C$5:$C$110=$B62)*Inputs!$D$5:$D$110*(((Inputs!$G$5:$G$110="moeda")+(Inputs!$G$5:$G$110="acoes"))*Inputs!$B$1+((Inputs!$G$5:$G$110&lt;&gt;"moeda")*(Inputs!$G$5:$G$110&lt;&gt;"acoes")))*INDEX(Inputs!$K$5:$AJ$110,0,MATCH(Z$2,Inputs!$K$4:$AJ$4,0)))+SUMPRODUCT((Inputs!$E$5:$E$110=$B62)*Inputs!$F$5:$F$110*(((Inputs!$G$5:$G$110="moeda")+(Inputs!$G$5:$G$110="acoes"))*Inputs!$B$1+((Inputs!$G$5:$G$110&lt;&gt;"moeda")*(Inputs!$G$5:$G$110&lt;&gt;"acoes")))*INDEX(Inputs!$K$5:$AJ$110,0,MATCH(Z$2,Inputs!$K$4:$AJ$4,0)))))</f>
        <v>-1426</v>
      </c>
      <c r="AA62" s="263">
        <f>IF(ISNA(MATCH(AA$2,Inputs!$K$4:$AJ$4,0)),NA(),IF(SUMPRODUCT((Inputs!$A$5:$A$110=$B62)*ISNUMBER(INDEX(Inputs!$K$5:$AJ$110,0,MATCH(AA$2,Inputs!$K$4:$AJ$4,0))))+SUMPRODUCT((Inputs!$C$5:$C$110=$B62)*ISNUMBER(INDEX(Inputs!$K$5:$AJ$110,0,MATCH(AA$2,Inputs!$K$4:$AJ$4,0))))+SUMPRODUCT((Inputs!$E$5:$E$110=$B62)*ISNUMBER(INDEX(Inputs!$K$5:$AJ$110,0,MATCH(AA$2,Inputs!$K$4:$AJ$4,0))))=0,NA(),SUMPRODUCT((Inputs!$A$5:$A$110=$B62)*Inputs!$B$5:$B$110*(((Inputs!$G$5:$G$110="moeda")+(Inputs!$G$5:$G$110="acoes"))*Inputs!$B$1+((Inputs!$G$5:$G$110&lt;&gt;"moeda")*(Inputs!$G$5:$G$110&lt;&gt;"acoes")))*INDEX(Inputs!$K$5:$AJ$110,0,MATCH(AA$2,Inputs!$K$4:$AJ$4,0)))+SUMPRODUCT((Inputs!$C$5:$C$110=$B62)*Inputs!$D$5:$D$110*(((Inputs!$G$5:$G$110="moeda")+(Inputs!$G$5:$G$110="acoes"))*Inputs!$B$1+((Inputs!$G$5:$G$110&lt;&gt;"moeda")*(Inputs!$G$5:$G$110&lt;&gt;"acoes")))*INDEX(Inputs!$K$5:$AJ$110,0,MATCH(AA$2,Inputs!$K$4:$AJ$4,0)))+SUMPRODUCT((Inputs!$E$5:$E$110=$B62)*Inputs!$F$5:$F$110*(((Inputs!$G$5:$G$110="moeda")+(Inputs!$G$5:$G$110="acoes"))*Inputs!$B$1+((Inputs!$G$5:$G$110&lt;&gt;"moeda")*(Inputs!$G$5:$G$110&lt;&gt;"acoes")))*INDEX(Inputs!$K$5:$AJ$110,0,MATCH(AA$2,Inputs!$K$4:$AJ$4,0)))))</f>
        <v>-3617</v>
      </c>
      <c r="AB62" s="264">
        <f>SUM(X62:AA62)</f>
        <v>-7515</v>
      </c>
      <c r="AC62" s="263">
        <f>IF(ISNA(MATCH(AC$2,Inputs!$K$4:$AJ$4,0)),NA(),IF(SUMPRODUCT((Inputs!$A$5:$A$110=$B62)*ISNUMBER(INDEX(Inputs!$K$5:$AJ$110,0,MATCH(AC$2,Inputs!$K$4:$AJ$4,0))))+SUMPRODUCT((Inputs!$C$5:$C$110=$B62)*ISNUMBER(INDEX(Inputs!$K$5:$AJ$110,0,MATCH(AC$2,Inputs!$K$4:$AJ$4,0))))+SUMPRODUCT((Inputs!$E$5:$E$110=$B62)*ISNUMBER(INDEX(Inputs!$K$5:$AJ$110,0,MATCH(AC$2,Inputs!$K$4:$AJ$4,0))))=0,NA(),SUMPRODUCT((Inputs!$A$5:$A$110=$B62)*Inputs!$B$5:$B$110*(((Inputs!$G$5:$G$110="moeda")+(Inputs!$G$5:$G$110="acoes"))*Inputs!$B$1+((Inputs!$G$5:$G$110&lt;&gt;"moeda")*(Inputs!$G$5:$G$110&lt;&gt;"acoes")))*INDEX(Inputs!$K$5:$AJ$110,0,MATCH(AC$2,Inputs!$K$4:$AJ$4,0)))+SUMPRODUCT((Inputs!$C$5:$C$110=$B62)*Inputs!$D$5:$D$110*(((Inputs!$G$5:$G$110="moeda")+(Inputs!$G$5:$G$110="acoes"))*Inputs!$B$1+((Inputs!$G$5:$G$110&lt;&gt;"moeda")*(Inputs!$G$5:$G$110&lt;&gt;"acoes")))*INDEX(Inputs!$K$5:$AJ$110,0,MATCH(AC$2,Inputs!$K$4:$AJ$4,0)))+SUMPRODUCT((Inputs!$E$5:$E$110=$B62)*Inputs!$F$5:$F$110*(((Inputs!$G$5:$G$110="moeda")+(Inputs!$G$5:$G$110="acoes"))*Inputs!$B$1+((Inputs!$G$5:$G$110&lt;&gt;"moeda")*(Inputs!$G$5:$G$110&lt;&gt;"acoes")))*INDEX(Inputs!$K$5:$AJ$110,0,MATCH(AC$2,Inputs!$K$4:$AJ$4,0)))))</f>
        <v>-2100</v>
      </c>
      <c r="AD62" s="263">
        <f>IF(ISNA(MATCH(AD$2,Inputs!$K$4:$AJ$4,0)),NA(),IF(SUMPRODUCT((Inputs!$A$5:$A$110=$B62)*ISNUMBER(INDEX(Inputs!$K$5:$AJ$110,0,MATCH(AD$2,Inputs!$K$4:$AJ$4,0))))+SUMPRODUCT((Inputs!$C$5:$C$110=$B62)*ISNUMBER(INDEX(Inputs!$K$5:$AJ$110,0,MATCH(AD$2,Inputs!$K$4:$AJ$4,0))))+SUMPRODUCT((Inputs!$E$5:$E$110=$B62)*ISNUMBER(INDEX(Inputs!$K$5:$AJ$110,0,MATCH(AD$2,Inputs!$K$4:$AJ$4,0))))=0,NA(),SUMPRODUCT((Inputs!$A$5:$A$110=$B62)*Inputs!$B$5:$B$110*(((Inputs!$G$5:$G$110="moeda")+(Inputs!$G$5:$G$110="acoes"))*Inputs!$B$1+((Inputs!$G$5:$G$110&lt;&gt;"moeda")*(Inputs!$G$5:$G$110&lt;&gt;"acoes")))*INDEX(Inputs!$K$5:$AJ$110,0,MATCH(AD$2,Inputs!$K$4:$AJ$4,0)))+SUMPRODUCT((Inputs!$C$5:$C$110=$B62)*Inputs!$D$5:$D$110*(((Inputs!$G$5:$G$110="moeda")+(Inputs!$G$5:$G$110="acoes"))*Inputs!$B$1+((Inputs!$G$5:$G$110&lt;&gt;"moeda")*(Inputs!$G$5:$G$110&lt;&gt;"acoes")))*INDEX(Inputs!$K$5:$AJ$110,0,MATCH(AD$2,Inputs!$K$4:$AJ$4,0)))+SUMPRODUCT((Inputs!$E$5:$E$110=$B62)*Inputs!$F$5:$F$110*(((Inputs!$G$5:$G$110="moeda")+(Inputs!$G$5:$G$110="acoes"))*Inputs!$B$1+((Inputs!$G$5:$G$110&lt;&gt;"moeda")*(Inputs!$G$5:$G$110&lt;&gt;"acoes")))*INDEX(Inputs!$K$5:$AJ$110,0,MATCH(AD$2,Inputs!$K$4:$AJ$4,0)))))</f>
        <v>-1799</v>
      </c>
      <c r="AE62" s="263" t="e">
        <f>IF(ISNA(MATCH(AE$2,Inputs!$K$4:$AJ$4,0)),NA(),IF(SUMPRODUCT((Inputs!$A$5:$A$110=$B62)*ISNUMBER(INDEX(Inputs!$K$5:$AJ$110,0,MATCH(AE$2,Inputs!$K$4:$AJ$4,0))))+SUMPRODUCT((Inputs!$C$5:$C$110=$B62)*ISNUMBER(INDEX(Inputs!$K$5:$AJ$110,0,MATCH(AE$2,Inputs!$K$4:$AJ$4,0))))+SUMPRODUCT((Inputs!$E$5:$E$110=$B62)*ISNUMBER(INDEX(Inputs!$K$5:$AJ$110,0,MATCH(AE$2,Inputs!$K$4:$AJ$4,0))))=0,NA(),SUMPRODUCT((Inputs!$A$5:$A$110=$B62)*Inputs!$B$5:$B$110*(((Inputs!$G$5:$G$110="moeda")+(Inputs!$G$5:$G$110="acoes"))*Inputs!$B$1+((Inputs!$G$5:$G$110&lt;&gt;"moeda")*(Inputs!$G$5:$G$110&lt;&gt;"acoes")))*INDEX(Inputs!$K$5:$AJ$110,0,MATCH(AE$2,Inputs!$K$4:$AJ$4,0)))+SUMPRODUCT((Inputs!$C$5:$C$110=$B62)*Inputs!$D$5:$D$110*(((Inputs!$G$5:$G$110="moeda")+(Inputs!$G$5:$G$110="acoes"))*Inputs!$B$1+((Inputs!$G$5:$G$110&lt;&gt;"moeda")*(Inputs!$G$5:$G$110&lt;&gt;"acoes")))*INDEX(Inputs!$K$5:$AJ$110,0,MATCH(AE$2,Inputs!$K$4:$AJ$4,0)))+SUMPRODUCT((Inputs!$E$5:$E$110=$B62)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2" s="263" t="e">
        <f>IF(ISNA(MATCH(AF$2,Inputs!$K$4:$AJ$4,0)),NA(),IF(SUMPRODUCT((Inputs!$A$5:$A$110=$B62)*ISNUMBER(INDEX(Inputs!$K$5:$AJ$110,0,MATCH(AF$2,Inputs!$K$4:$AJ$4,0))))+SUMPRODUCT((Inputs!$C$5:$C$110=$B62)*ISNUMBER(INDEX(Inputs!$K$5:$AJ$110,0,MATCH(AF$2,Inputs!$K$4:$AJ$4,0))))+SUMPRODUCT((Inputs!$E$5:$E$110=$B62)*ISNUMBER(INDEX(Inputs!$K$5:$AJ$110,0,MATCH(AF$2,Inputs!$K$4:$AJ$4,0))))=0,NA(),SUMPRODUCT((Inputs!$A$5:$A$110=$B62)*Inputs!$B$5:$B$110*(((Inputs!$G$5:$G$110="moeda")+(Inputs!$G$5:$G$110="acoes"))*Inputs!$B$1+((Inputs!$G$5:$G$110&lt;&gt;"moeda")*(Inputs!$G$5:$G$110&lt;&gt;"acoes")))*INDEX(Inputs!$K$5:$AJ$110,0,MATCH(AF$2,Inputs!$K$4:$AJ$4,0)))+SUMPRODUCT((Inputs!$C$5:$C$110=$B62)*Inputs!$D$5:$D$110*(((Inputs!$G$5:$G$110="moeda")+(Inputs!$G$5:$G$110="acoes"))*Inputs!$B$1+((Inputs!$G$5:$G$110&lt;&gt;"moeda")*(Inputs!$G$5:$G$110&lt;&gt;"acoes")))*INDEX(Inputs!$K$5:$AJ$110,0,MATCH(AF$2,Inputs!$K$4:$AJ$4,0)))+SUMPRODUCT((Inputs!$E$5:$E$110=$B62)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2" s="264" t="e">
        <f>SUM(AC62:AF62)</f>
        <v>#N/A</v>
      </c>
      <c r="AH62" s="263">
        <f>IF(ISNA(MATCH(AH$2,Inputs!$K$4:$AJ$4,0)),NA(),IF(SUMPRODUCT((Inputs!$A$5:$A$110=$B62)*ISNUMBER(INDEX(Inputs!$K$5:$AJ$110,0,MATCH(AH$2,Inputs!$K$4:$AJ$4,0))))+SUMPRODUCT((Inputs!$C$5:$C$110=$B62)*ISNUMBER(INDEX(Inputs!$K$5:$AJ$110,0,MATCH(AH$2,Inputs!$K$4:$AJ$4,0))))+SUMPRODUCT((Inputs!$E$5:$E$110=$B62)*ISNUMBER(INDEX(Inputs!$K$5:$AJ$110,0,MATCH(AH$2,Inputs!$K$4:$AJ$4,0))))=0,NA(),SUMPRODUCT((Inputs!$A$5:$A$110=$B62)*Inputs!$B$5:$B$110*(((Inputs!$G$5:$G$110="moeda")+(Inputs!$G$5:$G$110="acoes"))*Inputs!$B$1+((Inputs!$G$5:$G$110&lt;&gt;"moeda")*(Inputs!$G$5:$G$110&lt;&gt;"acoes")))*INDEX(Inputs!$K$5:$AJ$110,0,MATCH(AH$2,Inputs!$K$4:$AJ$4,0)))+SUMPRODUCT((Inputs!$C$5:$C$110=$B62)*Inputs!$D$5:$D$110*(((Inputs!$G$5:$G$110="moeda")+(Inputs!$G$5:$G$110="acoes"))*Inputs!$B$1+((Inputs!$G$5:$G$110&lt;&gt;"moeda")*(Inputs!$G$5:$G$110&lt;&gt;"acoes")))*INDEX(Inputs!$K$5:$AJ$110,0,MATCH(AH$2,Inputs!$K$4:$AJ$4,0)))+SUMPRODUCT((Inputs!$E$5:$E$110=$B62)*Inputs!$F$5:$F$110*(((Inputs!$G$5:$G$110="moeda")+(Inputs!$G$5:$G$110="acoes"))*Inputs!$B$1+((Inputs!$G$5:$G$110&lt;&gt;"moeda")*(Inputs!$G$5:$G$110&lt;&gt;"acoes")))*INDEX(Inputs!$K$5:$AJ$110,0,MATCH(AH$2,Inputs!$K$4:$AJ$4,0)))))</f>
        <v>-1121</v>
      </c>
      <c r="AI62" s="263">
        <f>IF(ISNA(MATCH(AI$2,Inputs!$K$4:$AJ$4,0)),NA(),IF(SUMPRODUCT((Inputs!$A$5:$A$110=$B62)*ISNUMBER(INDEX(Inputs!$K$5:$AJ$110,0,MATCH(AI$2,Inputs!$K$4:$AJ$4,0))))+SUMPRODUCT((Inputs!$C$5:$C$110=$B62)*ISNUMBER(INDEX(Inputs!$K$5:$AJ$110,0,MATCH(AI$2,Inputs!$K$4:$AJ$4,0))))+SUMPRODUCT((Inputs!$E$5:$E$110=$B62)*ISNUMBER(INDEX(Inputs!$K$5:$AJ$110,0,MATCH(AI$2,Inputs!$K$4:$AJ$4,0))))=0,NA(),SUMPRODUCT((Inputs!$A$5:$A$110=$B62)*Inputs!$B$5:$B$110*(((Inputs!$G$5:$G$110="moeda")+(Inputs!$G$5:$G$110="acoes"))*Inputs!$B$1+((Inputs!$G$5:$G$110&lt;&gt;"moeda")*(Inputs!$G$5:$G$110&lt;&gt;"acoes")))*INDEX(Inputs!$K$5:$AJ$110,0,MATCH(AI$2,Inputs!$K$4:$AJ$4,0)))+SUMPRODUCT((Inputs!$C$5:$C$110=$B62)*Inputs!$D$5:$D$110*(((Inputs!$G$5:$G$110="moeda")+(Inputs!$G$5:$G$110="acoes"))*Inputs!$B$1+((Inputs!$G$5:$G$110&lt;&gt;"moeda")*(Inputs!$G$5:$G$110&lt;&gt;"acoes")))*INDEX(Inputs!$K$5:$AJ$110,0,MATCH(AI$2,Inputs!$K$4:$AJ$4,0)))+SUMPRODUCT((Inputs!$E$5:$E$110=$B62)*Inputs!$F$5:$F$110*(((Inputs!$G$5:$G$110="moeda")+(Inputs!$G$5:$G$110="acoes"))*Inputs!$B$1+((Inputs!$G$5:$G$110&lt;&gt;"moeda")*(Inputs!$G$5:$G$110&lt;&gt;"acoes")))*INDEX(Inputs!$K$5:$AJ$110,0,MATCH(AI$2,Inputs!$K$4:$AJ$4,0)))))</f>
        <v>-1116</v>
      </c>
      <c r="AJ62" s="263">
        <f>IF(ISNA(MATCH(AJ$2,Inputs!$K$4:$AJ$4,0)),NA(),IF(SUMPRODUCT((Inputs!$A$5:$A$110=$B62)*ISNUMBER(INDEX(Inputs!$K$5:$AJ$110,0,MATCH(AJ$2,Inputs!$K$4:$AJ$4,0))))+SUMPRODUCT((Inputs!$C$5:$C$110=$B62)*ISNUMBER(INDEX(Inputs!$K$5:$AJ$110,0,MATCH(AJ$2,Inputs!$K$4:$AJ$4,0))))+SUMPRODUCT((Inputs!$E$5:$E$110=$B62)*ISNUMBER(INDEX(Inputs!$K$5:$AJ$110,0,MATCH(AJ$2,Inputs!$K$4:$AJ$4,0))))=0,NA(),SUMPRODUCT((Inputs!$A$5:$A$110=$B62)*Inputs!$B$5:$B$110*(((Inputs!$G$5:$G$110="moeda")+(Inputs!$G$5:$G$110="acoes"))*Inputs!$B$1+((Inputs!$G$5:$G$110&lt;&gt;"moeda")*(Inputs!$G$5:$G$110&lt;&gt;"acoes")))*INDEX(Inputs!$K$5:$AJ$110,0,MATCH(AJ$2,Inputs!$K$4:$AJ$4,0)))+SUMPRODUCT((Inputs!$C$5:$C$110=$B62)*Inputs!$D$5:$D$110*(((Inputs!$G$5:$G$110="moeda")+(Inputs!$G$5:$G$110="acoes"))*Inputs!$B$1+((Inputs!$G$5:$G$110&lt;&gt;"moeda")*(Inputs!$G$5:$G$110&lt;&gt;"acoes")))*INDEX(Inputs!$K$5:$AJ$110,0,MATCH(AJ$2,Inputs!$K$4:$AJ$4,0)))+SUMPRODUCT((Inputs!$E$5:$E$110=$B62)*Inputs!$F$5:$F$110*(((Inputs!$G$5:$G$110="moeda")+(Inputs!$G$5:$G$110="acoes"))*Inputs!$B$1+((Inputs!$G$5:$G$110&lt;&gt;"moeda")*(Inputs!$G$5:$G$110&lt;&gt;"acoes")))*INDEX(Inputs!$K$5:$AJ$110,0,MATCH(AJ$2,Inputs!$K$4:$AJ$4,0)))))</f>
        <v>-1103</v>
      </c>
      <c r="AK62" s="263">
        <f>IF(ISNA(MATCH(AK$2,Inputs!$K$4:$AJ$4,0)),NA(),IF(SUMPRODUCT((Inputs!$A$5:$A$110=$B62)*ISNUMBER(INDEX(Inputs!$K$5:$AJ$110,0,MATCH(AK$2,Inputs!$K$4:$AJ$4,0))))+SUMPRODUCT((Inputs!$C$5:$C$110=$B62)*ISNUMBER(INDEX(Inputs!$K$5:$AJ$110,0,MATCH(AK$2,Inputs!$K$4:$AJ$4,0))))+SUMPRODUCT((Inputs!$E$5:$E$110=$B62)*ISNUMBER(INDEX(Inputs!$K$5:$AJ$110,0,MATCH(AK$2,Inputs!$K$4:$AJ$4,0))))=0,NA(),SUMPRODUCT((Inputs!$A$5:$A$110=$B62)*Inputs!$B$5:$B$110*(((Inputs!$G$5:$G$110="moeda")+(Inputs!$G$5:$G$110="acoes"))*Inputs!$B$1+((Inputs!$G$5:$G$110&lt;&gt;"moeda")*(Inputs!$G$5:$G$110&lt;&gt;"acoes")))*INDEX(Inputs!$K$5:$AJ$110,0,MATCH(AK$2,Inputs!$K$4:$AJ$4,0)))+SUMPRODUCT((Inputs!$C$5:$C$110=$B62)*Inputs!$D$5:$D$110*(((Inputs!$G$5:$G$110="moeda")+(Inputs!$G$5:$G$110="acoes"))*Inputs!$B$1+((Inputs!$G$5:$G$110&lt;&gt;"moeda")*(Inputs!$G$5:$G$110&lt;&gt;"acoes")))*INDEX(Inputs!$K$5:$AJ$110,0,MATCH(AK$2,Inputs!$K$4:$AJ$4,0)))+SUMPRODUCT((Inputs!$E$5:$E$110=$B62)*Inputs!$F$5:$F$110*(((Inputs!$G$5:$G$110="moeda")+(Inputs!$G$5:$G$110="acoes"))*Inputs!$B$1+((Inputs!$G$5:$G$110&lt;&gt;"moeda")*(Inputs!$G$5:$G$110&lt;&gt;"acoes")))*INDEX(Inputs!$K$5:$AJ$110,0,MATCH(AK$2,Inputs!$K$4:$AJ$4,0)))))</f>
        <v>-1136</v>
      </c>
      <c r="AL62" s="264">
        <f>SUM(AH62:AK62)</f>
        <v>-4476</v>
      </c>
    </row>
    <row r="63">
      <c r="B63" s="46" t="n">
        <v>55</v>
      </c>
      <c r="C63" s="29" t="inlineStr">
        <is>
          <t>Alphabet-level activities - resultado operacional (USD)</t>
        </is>
      </c>
      <c r="D63" s="263">
        <f>IF(ISNA(MATCH(D$2,Inputs!$K$4:$AJ$4,0)),NA(),IF(SUMPRODUCT((Inputs!$A$5:$A$110=$B63)*ISNUMBER(INDEX(Inputs!$K$5:$AJ$110,0,MATCH(D$2,Inputs!$K$4:$AJ$4,0))))+SUMPRODUCT((Inputs!$C$5:$C$110=$B63)*ISNUMBER(INDEX(Inputs!$K$5:$AJ$110,0,MATCH(D$2,Inputs!$K$4:$AJ$4,0))))+SUMPRODUCT((Inputs!$E$5:$E$110=$B63)*ISNUMBER(INDEX(Inputs!$K$5:$AJ$110,0,MATCH(D$2,Inputs!$K$4:$AJ$4,0))))=0,NA(),SUMPRODUCT((Inputs!$A$5:$A$110=$B63)*Inputs!$B$5:$B$110*(((Inputs!$G$5:$G$110="moeda")+(Inputs!$G$5:$G$110="acoes"))*Inputs!$B$1+((Inputs!$G$5:$G$110&lt;&gt;"moeda")*(Inputs!$G$5:$G$110&lt;&gt;"acoes")))*INDEX(Inputs!$K$5:$AJ$110,0,MATCH(D$2,Inputs!$K$4:$AJ$4,0)))+SUMPRODUCT((Inputs!$C$5:$C$110=$B63)*Inputs!$D$5:$D$110*(((Inputs!$G$5:$G$110="moeda")+(Inputs!$G$5:$G$110="acoes"))*Inputs!$B$1+((Inputs!$G$5:$G$110&lt;&gt;"moeda")*(Inputs!$G$5:$G$110&lt;&gt;"acoes")))*INDEX(Inputs!$K$5:$AJ$110,0,MATCH(D$2,Inputs!$K$4:$AJ$4,0)))+SUMPRODUCT((Inputs!$E$5:$E$110=$B63)*Inputs!$F$5:$F$110*(((Inputs!$G$5:$G$110="moeda")+(Inputs!$G$5:$G$110="acoes"))*Inputs!$B$1+((Inputs!$G$5:$G$110&lt;&gt;"moeda")*(Inputs!$G$5:$G$110&lt;&gt;"acoes")))*INDEX(Inputs!$K$5:$AJ$110,0,MATCH(D$2,Inputs!$K$4:$AJ$4,0)))))</f>
        <v>-990</v>
      </c>
      <c r="E63" s="263">
        <f>IF(ISNA(MATCH(E$2,Inputs!$K$4:$AJ$4,0)),NA(),IF(SUMPRODUCT((Inputs!$A$5:$A$110=$B63)*ISNUMBER(INDEX(Inputs!$K$5:$AJ$110,0,MATCH(E$2,Inputs!$K$4:$AJ$4,0))))+SUMPRODUCT((Inputs!$C$5:$C$110=$B63)*ISNUMBER(INDEX(Inputs!$K$5:$AJ$110,0,MATCH(E$2,Inputs!$K$4:$AJ$4,0))))+SUMPRODUCT((Inputs!$E$5:$E$110=$B63)*ISNUMBER(INDEX(Inputs!$K$5:$AJ$110,0,MATCH(E$2,Inputs!$K$4:$AJ$4,0))))=0,NA(),SUMPRODUCT((Inputs!$A$5:$A$110=$B63)*Inputs!$B$5:$B$110*(((Inputs!$G$5:$G$110="moeda")+(Inputs!$G$5:$G$110="acoes"))*Inputs!$B$1+((Inputs!$G$5:$G$110&lt;&gt;"moeda")*(Inputs!$G$5:$G$110&lt;&gt;"acoes")))*INDEX(Inputs!$K$5:$AJ$110,0,MATCH(E$2,Inputs!$K$4:$AJ$4,0)))+SUMPRODUCT((Inputs!$C$5:$C$110=$B63)*Inputs!$D$5:$D$110*(((Inputs!$G$5:$G$110="moeda")+(Inputs!$G$5:$G$110="acoes"))*Inputs!$B$1+((Inputs!$G$5:$G$110&lt;&gt;"moeda")*(Inputs!$G$5:$G$110&lt;&gt;"acoes")))*INDEX(Inputs!$K$5:$AJ$110,0,MATCH(E$2,Inputs!$K$4:$AJ$4,0)))+SUMPRODUCT((Inputs!$E$5:$E$110=$B63)*Inputs!$F$5:$F$110*(((Inputs!$G$5:$G$110="moeda")+(Inputs!$G$5:$G$110="acoes"))*Inputs!$B$1+((Inputs!$G$5:$G$110&lt;&gt;"moeda")*(Inputs!$G$5:$G$110&lt;&gt;"acoes")))*INDEX(Inputs!$K$5:$AJ$110,0,MATCH(E$2,Inputs!$K$4:$AJ$4,0)))))</f>
        <v>-993</v>
      </c>
      <c r="F63" s="263">
        <f>IF(ISNA(MATCH(F$2,Inputs!$K$4:$AJ$4,0)),NA(),IF(SUMPRODUCT((Inputs!$A$5:$A$110=$B63)*ISNUMBER(INDEX(Inputs!$K$5:$AJ$110,0,MATCH(F$2,Inputs!$K$4:$AJ$4,0))))+SUMPRODUCT((Inputs!$C$5:$C$110=$B63)*ISNUMBER(INDEX(Inputs!$K$5:$AJ$110,0,MATCH(F$2,Inputs!$K$4:$AJ$4,0))))+SUMPRODUCT((Inputs!$E$5:$E$110=$B63)*ISNUMBER(INDEX(Inputs!$K$5:$AJ$110,0,MATCH(F$2,Inputs!$K$4:$AJ$4,0))))=0,NA(),SUMPRODUCT((Inputs!$A$5:$A$110=$B63)*Inputs!$B$5:$B$110*(((Inputs!$G$5:$G$110="moeda")+(Inputs!$G$5:$G$110="acoes"))*Inputs!$B$1+((Inputs!$G$5:$G$110&lt;&gt;"moeda")*(Inputs!$G$5:$G$110&lt;&gt;"acoes")))*INDEX(Inputs!$K$5:$AJ$110,0,MATCH(F$2,Inputs!$K$4:$AJ$4,0)))+SUMPRODUCT((Inputs!$C$5:$C$110=$B63)*Inputs!$D$5:$D$110*(((Inputs!$G$5:$G$110="moeda")+(Inputs!$G$5:$G$110="acoes"))*Inputs!$B$1+((Inputs!$G$5:$G$110&lt;&gt;"moeda")*(Inputs!$G$5:$G$110&lt;&gt;"acoes")))*INDEX(Inputs!$K$5:$AJ$110,0,MATCH(F$2,Inputs!$K$4:$AJ$4,0)))+SUMPRODUCT((Inputs!$E$5:$E$110=$B63)*Inputs!$F$5:$F$110*(((Inputs!$G$5:$G$110="moeda")+(Inputs!$G$5:$G$110="acoes"))*Inputs!$B$1+((Inputs!$G$5:$G$110&lt;&gt;"moeda")*(Inputs!$G$5:$G$110&lt;&gt;"acoes")))*INDEX(Inputs!$K$5:$AJ$110,0,MATCH(F$2,Inputs!$K$4:$AJ$4,0)))))</f>
        <v>-1010</v>
      </c>
      <c r="G63" s="263">
        <f>IF(ISNA(MATCH(G$2,Inputs!$K$4:$AJ$4,0)),NA(),IF(SUMPRODUCT((Inputs!$A$5:$A$110=$B63)*ISNUMBER(INDEX(Inputs!$K$5:$AJ$110,0,MATCH(G$2,Inputs!$K$4:$AJ$4,0))))+SUMPRODUCT((Inputs!$C$5:$C$110=$B63)*ISNUMBER(INDEX(Inputs!$K$5:$AJ$110,0,MATCH(G$2,Inputs!$K$4:$AJ$4,0))))+SUMPRODUCT((Inputs!$E$5:$E$110=$B63)*ISNUMBER(INDEX(Inputs!$K$5:$AJ$110,0,MATCH(G$2,Inputs!$K$4:$AJ$4,0))))=0,NA(),SUMPRODUCT((Inputs!$A$5:$A$110=$B63)*Inputs!$B$5:$B$110*(((Inputs!$G$5:$G$110="moeda")+(Inputs!$G$5:$G$110="acoes"))*Inputs!$B$1+((Inputs!$G$5:$G$110&lt;&gt;"moeda")*(Inputs!$G$5:$G$110&lt;&gt;"acoes")))*INDEX(Inputs!$K$5:$AJ$110,0,MATCH(G$2,Inputs!$K$4:$AJ$4,0)))+SUMPRODUCT((Inputs!$C$5:$C$110=$B63)*Inputs!$D$5:$D$110*(((Inputs!$G$5:$G$110="moeda")+(Inputs!$G$5:$G$110="acoes"))*Inputs!$B$1+((Inputs!$G$5:$G$110&lt;&gt;"moeda")*(Inputs!$G$5:$G$110&lt;&gt;"acoes")))*INDEX(Inputs!$K$5:$AJ$110,0,MATCH(G$2,Inputs!$K$4:$AJ$4,0)))+SUMPRODUCT((Inputs!$E$5:$E$110=$B63)*Inputs!$F$5:$F$110*(((Inputs!$G$5:$G$110="moeda")+(Inputs!$G$5:$G$110="acoes"))*Inputs!$B$1+((Inputs!$G$5:$G$110&lt;&gt;"moeda")*(Inputs!$G$5:$G$110&lt;&gt;"acoes")))*INDEX(Inputs!$K$5:$AJ$110,0,MATCH(G$2,Inputs!$K$4:$AJ$4,0)))))</f>
        <v>-92</v>
      </c>
      <c r="H63" s="264">
        <f>SUM(D63:G63)</f>
        <v>-3085</v>
      </c>
      <c r="I63" s="263">
        <f>IF(ISNA(MATCH(I$2,Inputs!$K$4:$AJ$4,0)),NA(),IF(SUMPRODUCT((Inputs!$A$5:$A$110=$B63)*ISNUMBER(INDEX(Inputs!$K$5:$AJ$110,0,MATCH(I$2,Inputs!$K$4:$AJ$4,0))))+SUMPRODUCT((Inputs!$C$5:$C$110=$B63)*ISNUMBER(INDEX(Inputs!$K$5:$AJ$110,0,MATCH(I$2,Inputs!$K$4:$AJ$4,0))))+SUMPRODUCT((Inputs!$E$5:$E$110=$B63)*ISNUMBER(INDEX(Inputs!$K$5:$AJ$110,0,MATCH(I$2,Inputs!$K$4:$AJ$4,0))))=0,NA(),SUMPRODUCT((Inputs!$A$5:$A$110=$B63)*Inputs!$B$5:$B$110*(((Inputs!$G$5:$G$110="moeda")+(Inputs!$G$5:$G$110="acoes"))*Inputs!$B$1+((Inputs!$G$5:$G$110&lt;&gt;"moeda")*(Inputs!$G$5:$G$110&lt;&gt;"acoes")))*INDEX(Inputs!$K$5:$AJ$110,0,MATCH(I$2,Inputs!$K$4:$AJ$4,0)))+SUMPRODUCT((Inputs!$C$5:$C$110=$B63)*Inputs!$D$5:$D$110*(((Inputs!$G$5:$G$110="moeda")+(Inputs!$G$5:$G$110="acoes"))*Inputs!$B$1+((Inputs!$G$5:$G$110&lt;&gt;"moeda")*(Inputs!$G$5:$G$110&lt;&gt;"acoes")))*INDEX(Inputs!$K$5:$AJ$110,0,MATCH(I$2,Inputs!$K$4:$AJ$4,0)))+SUMPRODUCT((Inputs!$E$5:$E$110=$B63)*Inputs!$F$5:$F$110*(((Inputs!$G$5:$G$110="moeda")+(Inputs!$G$5:$G$110="acoes"))*Inputs!$B$1+((Inputs!$G$5:$G$110&lt;&gt;"moeda")*(Inputs!$G$5:$G$110&lt;&gt;"acoes")))*INDEX(Inputs!$K$5:$AJ$110,0,MATCH(I$2,Inputs!$K$4:$AJ$4,0)))))</f>
        <v>-338</v>
      </c>
      <c r="J63" s="263">
        <f>IF(ISNA(MATCH(J$2,Inputs!$K$4:$AJ$4,0)),NA(),IF(SUMPRODUCT((Inputs!$A$5:$A$110=$B63)*ISNUMBER(INDEX(Inputs!$K$5:$AJ$110,0,MATCH(J$2,Inputs!$K$4:$AJ$4,0))))+SUMPRODUCT((Inputs!$C$5:$C$110=$B63)*ISNUMBER(INDEX(Inputs!$K$5:$AJ$110,0,MATCH(J$2,Inputs!$K$4:$AJ$4,0))))+SUMPRODUCT((Inputs!$E$5:$E$110=$B63)*ISNUMBER(INDEX(Inputs!$K$5:$AJ$110,0,MATCH(J$2,Inputs!$K$4:$AJ$4,0))))=0,NA(),SUMPRODUCT((Inputs!$A$5:$A$110=$B63)*Inputs!$B$5:$B$110*(((Inputs!$G$5:$G$110="moeda")+(Inputs!$G$5:$G$110="acoes"))*Inputs!$B$1+((Inputs!$G$5:$G$110&lt;&gt;"moeda")*(Inputs!$G$5:$G$110&lt;&gt;"acoes")))*INDEX(Inputs!$K$5:$AJ$110,0,MATCH(J$2,Inputs!$K$4:$AJ$4,0)))+SUMPRODUCT((Inputs!$C$5:$C$110=$B63)*Inputs!$D$5:$D$110*(((Inputs!$G$5:$G$110="moeda")+(Inputs!$G$5:$G$110="acoes"))*Inputs!$B$1+((Inputs!$G$5:$G$110&lt;&gt;"moeda")*(Inputs!$G$5:$G$110&lt;&gt;"acoes")))*INDEX(Inputs!$K$5:$AJ$110,0,MATCH(J$2,Inputs!$K$4:$AJ$4,0)))+SUMPRODUCT((Inputs!$E$5:$E$110=$B63)*Inputs!$F$5:$F$110*(((Inputs!$G$5:$G$110="moeda")+(Inputs!$G$5:$G$110="acoes"))*Inputs!$B$1+((Inputs!$G$5:$G$110&lt;&gt;"moeda")*(Inputs!$G$5:$G$110&lt;&gt;"acoes")))*INDEX(Inputs!$K$5:$AJ$110,0,MATCH(J$2,Inputs!$K$4:$AJ$4,0)))))</f>
        <v>-239</v>
      </c>
      <c r="K63" s="263">
        <f>IF(ISNA(MATCH(K$2,Inputs!$K$4:$AJ$4,0)),NA(),IF(SUMPRODUCT((Inputs!$A$5:$A$110=$B63)*ISNUMBER(INDEX(Inputs!$K$5:$AJ$110,0,MATCH(K$2,Inputs!$K$4:$AJ$4,0))))+SUMPRODUCT((Inputs!$C$5:$C$110=$B63)*ISNUMBER(INDEX(Inputs!$K$5:$AJ$110,0,MATCH(K$2,Inputs!$K$4:$AJ$4,0))))+SUMPRODUCT((Inputs!$E$5:$E$110=$B63)*ISNUMBER(INDEX(Inputs!$K$5:$AJ$110,0,MATCH(K$2,Inputs!$K$4:$AJ$4,0))))=0,NA(),SUMPRODUCT((Inputs!$A$5:$A$110=$B63)*Inputs!$B$5:$B$110*(((Inputs!$G$5:$G$110="moeda")+(Inputs!$G$5:$G$110="acoes"))*Inputs!$B$1+((Inputs!$G$5:$G$110&lt;&gt;"moeda")*(Inputs!$G$5:$G$110&lt;&gt;"acoes")))*INDEX(Inputs!$K$5:$AJ$110,0,MATCH(K$2,Inputs!$K$4:$AJ$4,0)))+SUMPRODUCT((Inputs!$C$5:$C$110=$B63)*Inputs!$D$5:$D$110*(((Inputs!$G$5:$G$110="moeda")+(Inputs!$G$5:$G$110="acoes"))*Inputs!$B$1+((Inputs!$G$5:$G$110&lt;&gt;"moeda")*(Inputs!$G$5:$G$110&lt;&gt;"acoes")))*INDEX(Inputs!$K$5:$AJ$110,0,MATCH(K$2,Inputs!$K$4:$AJ$4,0)))+SUMPRODUCT((Inputs!$E$5:$E$110=$B63)*Inputs!$F$5:$F$110*(((Inputs!$G$5:$G$110="moeda")+(Inputs!$G$5:$G$110="acoes"))*Inputs!$B$1+((Inputs!$G$5:$G$110&lt;&gt;"moeda")*(Inputs!$G$5:$G$110&lt;&gt;"acoes")))*INDEX(Inputs!$K$5:$AJ$110,0,MATCH(K$2,Inputs!$K$4:$AJ$4,0)))))</f>
        <v>-83</v>
      </c>
      <c r="L63" s="263">
        <f>IF(ISNA(MATCH(L$2,Inputs!$K$4:$AJ$4,0)),NA(),IF(SUMPRODUCT((Inputs!$A$5:$A$110=$B63)*ISNUMBER(INDEX(Inputs!$K$5:$AJ$110,0,MATCH(L$2,Inputs!$K$4:$AJ$4,0))))+SUMPRODUCT((Inputs!$C$5:$C$110=$B63)*ISNUMBER(INDEX(Inputs!$K$5:$AJ$110,0,MATCH(L$2,Inputs!$K$4:$AJ$4,0))))+SUMPRODUCT((Inputs!$E$5:$E$110=$B63)*ISNUMBER(INDEX(Inputs!$K$5:$AJ$110,0,MATCH(L$2,Inputs!$K$4:$AJ$4,0))))=0,NA(),SUMPRODUCT((Inputs!$A$5:$A$110=$B63)*Inputs!$B$5:$B$110*(((Inputs!$G$5:$G$110="moeda")+(Inputs!$G$5:$G$110="acoes"))*Inputs!$B$1+((Inputs!$G$5:$G$110&lt;&gt;"moeda")*(Inputs!$G$5:$G$110&lt;&gt;"acoes")))*INDEX(Inputs!$K$5:$AJ$110,0,MATCH(L$2,Inputs!$K$4:$AJ$4,0)))+SUMPRODUCT((Inputs!$C$5:$C$110=$B63)*Inputs!$D$5:$D$110*(((Inputs!$G$5:$G$110="moeda")+(Inputs!$G$5:$G$110="acoes"))*Inputs!$B$1+((Inputs!$G$5:$G$110&lt;&gt;"moeda")*(Inputs!$G$5:$G$110&lt;&gt;"acoes")))*INDEX(Inputs!$K$5:$AJ$110,0,MATCH(L$2,Inputs!$K$4:$AJ$4,0)))+SUMPRODUCT((Inputs!$E$5:$E$110=$B63)*Inputs!$F$5:$F$110*(((Inputs!$G$5:$G$110="moeda")+(Inputs!$G$5:$G$110="acoes"))*Inputs!$B$1+((Inputs!$G$5:$G$110&lt;&gt;"moeda")*(Inputs!$G$5:$G$110&lt;&gt;"acoes")))*INDEX(Inputs!$K$5:$AJ$110,0,MATCH(L$2,Inputs!$K$4:$AJ$4,0)))))</f>
        <v>-639</v>
      </c>
      <c r="M63" s="264">
        <f>SUM(I63:L63)</f>
        <v>-1299</v>
      </c>
      <c r="N63" s="263">
        <f>IF(ISNA(MATCH(N$2,Inputs!$K$4:$AJ$4,0)),NA(),IF(SUMPRODUCT((Inputs!$A$5:$A$110=$B63)*ISNUMBER(INDEX(Inputs!$K$5:$AJ$110,0,MATCH(N$2,Inputs!$K$4:$AJ$4,0))))+SUMPRODUCT((Inputs!$C$5:$C$110=$B63)*ISNUMBER(INDEX(Inputs!$K$5:$AJ$110,0,MATCH(N$2,Inputs!$K$4:$AJ$4,0))))+SUMPRODUCT((Inputs!$E$5:$E$110=$B63)*ISNUMBER(INDEX(Inputs!$K$5:$AJ$110,0,MATCH(N$2,Inputs!$K$4:$AJ$4,0))))=0,NA(),SUMPRODUCT((Inputs!$A$5:$A$110=$B63)*Inputs!$B$5:$B$110*(((Inputs!$G$5:$G$110="moeda")+(Inputs!$G$5:$G$110="acoes"))*Inputs!$B$1+((Inputs!$G$5:$G$110&lt;&gt;"moeda")*(Inputs!$G$5:$G$110&lt;&gt;"acoes")))*INDEX(Inputs!$K$5:$AJ$110,0,MATCH(N$2,Inputs!$K$4:$AJ$4,0)))+SUMPRODUCT((Inputs!$C$5:$C$110=$B63)*Inputs!$D$5:$D$110*(((Inputs!$G$5:$G$110="moeda")+(Inputs!$G$5:$G$110="acoes"))*Inputs!$B$1+((Inputs!$G$5:$G$110&lt;&gt;"moeda")*(Inputs!$G$5:$G$110&lt;&gt;"acoes")))*INDEX(Inputs!$K$5:$AJ$110,0,MATCH(N$2,Inputs!$K$4:$AJ$4,0)))+SUMPRODUCT((Inputs!$E$5:$E$110=$B63)*Inputs!$F$5:$F$110*(((Inputs!$G$5:$G$110="moeda")+(Inputs!$G$5:$G$110="acoes"))*Inputs!$B$1+((Inputs!$G$5:$G$110&lt;&gt;"moeda")*(Inputs!$G$5:$G$110&lt;&gt;"acoes")))*INDEX(Inputs!$K$5:$AJ$110,0,MATCH(N$2,Inputs!$K$4:$AJ$4,0)))))</f>
        <v>-3288</v>
      </c>
      <c r="O63" s="263">
        <f>IF(ISNA(MATCH(O$2,Inputs!$K$4:$AJ$4,0)),NA(),IF(SUMPRODUCT((Inputs!$A$5:$A$110=$B63)*ISNUMBER(INDEX(Inputs!$K$5:$AJ$110,0,MATCH(O$2,Inputs!$K$4:$AJ$4,0))))+SUMPRODUCT((Inputs!$C$5:$C$110=$B63)*ISNUMBER(INDEX(Inputs!$K$5:$AJ$110,0,MATCH(O$2,Inputs!$K$4:$AJ$4,0))))+SUMPRODUCT((Inputs!$E$5:$E$110=$B63)*ISNUMBER(INDEX(Inputs!$K$5:$AJ$110,0,MATCH(O$2,Inputs!$K$4:$AJ$4,0))))=0,NA(),SUMPRODUCT((Inputs!$A$5:$A$110=$B63)*Inputs!$B$5:$B$110*(((Inputs!$G$5:$G$110="moeda")+(Inputs!$G$5:$G$110="acoes"))*Inputs!$B$1+((Inputs!$G$5:$G$110&lt;&gt;"moeda")*(Inputs!$G$5:$G$110&lt;&gt;"acoes")))*INDEX(Inputs!$K$5:$AJ$110,0,MATCH(O$2,Inputs!$K$4:$AJ$4,0)))+SUMPRODUCT((Inputs!$C$5:$C$110=$B63)*Inputs!$D$5:$D$110*(((Inputs!$G$5:$G$110="moeda")+(Inputs!$G$5:$G$110="acoes"))*Inputs!$B$1+((Inputs!$G$5:$G$110&lt;&gt;"moeda")*(Inputs!$G$5:$G$110&lt;&gt;"acoes")))*INDEX(Inputs!$K$5:$AJ$110,0,MATCH(O$2,Inputs!$K$4:$AJ$4,0)))+SUMPRODUCT((Inputs!$E$5:$E$110=$B63)*Inputs!$F$5:$F$110*(((Inputs!$G$5:$G$110="moeda")+(Inputs!$G$5:$G$110="acoes"))*Inputs!$B$1+((Inputs!$G$5:$G$110&lt;&gt;"moeda")*(Inputs!$G$5:$G$110&lt;&gt;"acoes")))*INDEX(Inputs!$K$5:$AJ$110,0,MATCH(O$2,Inputs!$K$4:$AJ$4,0)))))</f>
        <v>-1198</v>
      </c>
      <c r="P63" s="263">
        <f>IF(ISNA(MATCH(P$2,Inputs!$K$4:$AJ$4,0)),NA(),IF(SUMPRODUCT((Inputs!$A$5:$A$110=$B63)*ISNUMBER(INDEX(Inputs!$K$5:$AJ$110,0,MATCH(P$2,Inputs!$K$4:$AJ$4,0))))+SUMPRODUCT((Inputs!$C$5:$C$110=$B63)*ISNUMBER(INDEX(Inputs!$K$5:$AJ$110,0,MATCH(P$2,Inputs!$K$4:$AJ$4,0))))+SUMPRODUCT((Inputs!$E$5:$E$110=$B63)*ISNUMBER(INDEX(Inputs!$K$5:$AJ$110,0,MATCH(P$2,Inputs!$K$4:$AJ$4,0))))=0,NA(),SUMPRODUCT((Inputs!$A$5:$A$110=$B63)*Inputs!$B$5:$B$110*(((Inputs!$G$5:$G$110="moeda")+(Inputs!$G$5:$G$110="acoes"))*Inputs!$B$1+((Inputs!$G$5:$G$110&lt;&gt;"moeda")*(Inputs!$G$5:$G$110&lt;&gt;"acoes")))*INDEX(Inputs!$K$5:$AJ$110,0,MATCH(P$2,Inputs!$K$4:$AJ$4,0)))+SUMPRODUCT((Inputs!$C$5:$C$110=$B63)*Inputs!$D$5:$D$110*(((Inputs!$G$5:$G$110="moeda")+(Inputs!$G$5:$G$110="acoes"))*Inputs!$B$1+((Inputs!$G$5:$G$110&lt;&gt;"moeda")*(Inputs!$G$5:$G$110&lt;&gt;"acoes")))*INDEX(Inputs!$K$5:$AJ$110,0,MATCH(P$2,Inputs!$K$4:$AJ$4,0)))+SUMPRODUCT((Inputs!$E$5:$E$110=$B63)*Inputs!$F$5:$F$110*(((Inputs!$G$5:$G$110="moeda")+(Inputs!$G$5:$G$110="acoes"))*Inputs!$B$1+((Inputs!$G$5:$G$110&lt;&gt;"moeda")*(Inputs!$G$5:$G$110&lt;&gt;"acoes")))*INDEX(Inputs!$K$5:$AJ$110,0,MATCH(P$2,Inputs!$K$4:$AJ$4,0)))))</f>
        <v>-1666</v>
      </c>
      <c r="Q63" s="263">
        <f>IF(ISNA(MATCH(Q$2,Inputs!$K$4:$AJ$4,0)),NA(),IF(SUMPRODUCT((Inputs!$A$5:$A$110=$B63)*ISNUMBER(INDEX(Inputs!$K$5:$AJ$110,0,MATCH(Q$2,Inputs!$K$4:$AJ$4,0))))+SUMPRODUCT((Inputs!$C$5:$C$110=$B63)*ISNUMBER(INDEX(Inputs!$K$5:$AJ$110,0,MATCH(Q$2,Inputs!$K$4:$AJ$4,0))))+SUMPRODUCT((Inputs!$E$5:$E$110=$B63)*ISNUMBER(INDEX(Inputs!$K$5:$AJ$110,0,MATCH(Q$2,Inputs!$K$4:$AJ$4,0))))=0,NA(),SUMPRODUCT((Inputs!$A$5:$A$110=$B63)*Inputs!$B$5:$B$110*(((Inputs!$G$5:$G$110="moeda")+(Inputs!$G$5:$G$110="acoes"))*Inputs!$B$1+((Inputs!$G$5:$G$110&lt;&gt;"moeda")*(Inputs!$G$5:$G$110&lt;&gt;"acoes")))*INDEX(Inputs!$K$5:$AJ$110,0,MATCH(Q$2,Inputs!$K$4:$AJ$4,0)))+SUMPRODUCT((Inputs!$C$5:$C$110=$B63)*Inputs!$D$5:$D$110*(((Inputs!$G$5:$G$110="moeda")+(Inputs!$G$5:$G$110="acoes"))*Inputs!$B$1+((Inputs!$G$5:$G$110&lt;&gt;"moeda")*(Inputs!$G$5:$G$110&lt;&gt;"acoes")))*INDEX(Inputs!$K$5:$AJ$110,0,MATCH(Q$2,Inputs!$K$4:$AJ$4,0)))+SUMPRODUCT((Inputs!$E$5:$E$110=$B63)*Inputs!$F$5:$F$110*(((Inputs!$G$5:$G$110="moeda")+(Inputs!$G$5:$G$110="acoes"))*Inputs!$B$1+((Inputs!$G$5:$G$110&lt;&gt;"moeda")*(Inputs!$G$5:$G$110&lt;&gt;"acoes")))*INDEX(Inputs!$K$5:$AJ$110,0,MATCH(Q$2,Inputs!$K$4:$AJ$4,0)))))</f>
        <v>-3034</v>
      </c>
      <c r="R63" s="264">
        <f>SUM(N63:Q63)</f>
        <v>-9186</v>
      </c>
      <c r="S63" s="263">
        <f>IF(ISNA(MATCH(S$2,Inputs!$K$4:$AJ$4,0)),NA(),IF(SUMPRODUCT((Inputs!$A$5:$A$110=$B63)*ISNUMBER(INDEX(Inputs!$K$5:$AJ$110,0,MATCH(S$2,Inputs!$K$4:$AJ$4,0))))+SUMPRODUCT((Inputs!$C$5:$C$110=$B63)*ISNUMBER(INDEX(Inputs!$K$5:$AJ$110,0,MATCH(S$2,Inputs!$K$4:$AJ$4,0))))+SUMPRODUCT((Inputs!$E$5:$E$110=$B63)*ISNUMBER(INDEX(Inputs!$K$5:$AJ$110,0,MATCH(S$2,Inputs!$K$4:$AJ$4,0))))=0,NA(),SUMPRODUCT((Inputs!$A$5:$A$110=$B63)*Inputs!$B$5:$B$110*(((Inputs!$G$5:$G$110="moeda")+(Inputs!$G$5:$G$110="acoes"))*Inputs!$B$1+((Inputs!$G$5:$G$110&lt;&gt;"moeda")*(Inputs!$G$5:$G$110&lt;&gt;"acoes")))*INDEX(Inputs!$K$5:$AJ$110,0,MATCH(S$2,Inputs!$K$4:$AJ$4,0)))+SUMPRODUCT((Inputs!$C$5:$C$110=$B63)*Inputs!$D$5:$D$110*(((Inputs!$G$5:$G$110="moeda")+(Inputs!$G$5:$G$110="acoes"))*Inputs!$B$1+((Inputs!$G$5:$G$110&lt;&gt;"moeda")*(Inputs!$G$5:$G$110&lt;&gt;"acoes")))*INDEX(Inputs!$K$5:$AJ$110,0,MATCH(S$2,Inputs!$K$4:$AJ$4,0)))+SUMPRODUCT((Inputs!$E$5:$E$110=$B63)*Inputs!$F$5:$F$110*(((Inputs!$G$5:$G$110="moeda")+(Inputs!$G$5:$G$110="acoes"))*Inputs!$B$1+((Inputs!$G$5:$G$110&lt;&gt;"moeda")*(Inputs!$G$5:$G$110&lt;&gt;"acoes")))*INDEX(Inputs!$K$5:$AJ$110,0,MATCH(S$2,Inputs!$K$4:$AJ$4,0)))))</f>
        <v>-2305</v>
      </c>
      <c r="T63" s="263">
        <f>IF(ISNA(MATCH(T$2,Inputs!$K$4:$AJ$4,0)),NA(),IF(SUMPRODUCT((Inputs!$A$5:$A$110=$B63)*ISNUMBER(INDEX(Inputs!$K$5:$AJ$110,0,MATCH(T$2,Inputs!$K$4:$AJ$4,0))))+SUMPRODUCT((Inputs!$C$5:$C$110=$B63)*ISNUMBER(INDEX(Inputs!$K$5:$AJ$110,0,MATCH(T$2,Inputs!$K$4:$AJ$4,0))))+SUMPRODUCT((Inputs!$E$5:$E$110=$B63)*ISNUMBER(INDEX(Inputs!$K$5:$AJ$110,0,MATCH(T$2,Inputs!$K$4:$AJ$4,0))))=0,NA(),SUMPRODUCT((Inputs!$A$5:$A$110=$B63)*Inputs!$B$5:$B$110*(((Inputs!$G$5:$G$110="moeda")+(Inputs!$G$5:$G$110="acoes"))*Inputs!$B$1+((Inputs!$G$5:$G$110&lt;&gt;"moeda")*(Inputs!$G$5:$G$110&lt;&gt;"acoes")))*INDEX(Inputs!$K$5:$AJ$110,0,MATCH(T$2,Inputs!$K$4:$AJ$4,0)))+SUMPRODUCT((Inputs!$C$5:$C$110=$B63)*Inputs!$D$5:$D$110*(((Inputs!$G$5:$G$110="moeda")+(Inputs!$G$5:$G$110="acoes"))*Inputs!$B$1+((Inputs!$G$5:$G$110&lt;&gt;"moeda")*(Inputs!$G$5:$G$110&lt;&gt;"acoes")))*INDEX(Inputs!$K$5:$AJ$110,0,MATCH(T$2,Inputs!$K$4:$AJ$4,0)))+SUMPRODUCT((Inputs!$E$5:$E$110=$B63)*Inputs!$F$5:$F$110*(((Inputs!$G$5:$G$110="moeda")+(Inputs!$G$5:$G$110="acoes"))*Inputs!$B$1+((Inputs!$G$5:$G$110&lt;&gt;"moeda")*(Inputs!$G$5:$G$110&lt;&gt;"acoes")))*INDEX(Inputs!$K$5:$AJ$110,0,MATCH(T$2,Inputs!$K$4:$AJ$4,0)))))</f>
        <v>-2287</v>
      </c>
      <c r="U63" s="263">
        <f>IF(ISNA(MATCH(U$2,Inputs!$K$4:$AJ$4,0)),NA(),IF(SUMPRODUCT((Inputs!$A$5:$A$110=$B63)*ISNUMBER(INDEX(Inputs!$K$5:$AJ$110,0,MATCH(U$2,Inputs!$K$4:$AJ$4,0))))+SUMPRODUCT((Inputs!$C$5:$C$110=$B63)*ISNUMBER(INDEX(Inputs!$K$5:$AJ$110,0,MATCH(U$2,Inputs!$K$4:$AJ$4,0))))+SUMPRODUCT((Inputs!$E$5:$E$110=$B63)*ISNUMBER(INDEX(Inputs!$K$5:$AJ$110,0,MATCH(U$2,Inputs!$K$4:$AJ$4,0))))=0,NA(),SUMPRODUCT((Inputs!$A$5:$A$110=$B63)*Inputs!$B$5:$B$110*(((Inputs!$G$5:$G$110="moeda")+(Inputs!$G$5:$G$110="acoes"))*Inputs!$B$1+((Inputs!$G$5:$G$110&lt;&gt;"moeda")*(Inputs!$G$5:$G$110&lt;&gt;"acoes")))*INDEX(Inputs!$K$5:$AJ$110,0,MATCH(U$2,Inputs!$K$4:$AJ$4,0)))+SUMPRODUCT((Inputs!$C$5:$C$110=$B63)*Inputs!$D$5:$D$110*(((Inputs!$G$5:$G$110="moeda")+(Inputs!$G$5:$G$110="acoes"))*Inputs!$B$1+((Inputs!$G$5:$G$110&lt;&gt;"moeda")*(Inputs!$G$5:$G$110&lt;&gt;"acoes")))*INDEX(Inputs!$K$5:$AJ$110,0,MATCH(U$2,Inputs!$K$4:$AJ$4,0)))+SUMPRODUCT((Inputs!$E$5:$E$110=$B63)*Inputs!$F$5:$F$110*(((Inputs!$G$5:$G$110="moeda")+(Inputs!$G$5:$G$110="acoes"))*Inputs!$B$1+((Inputs!$G$5:$G$110&lt;&gt;"moeda")*(Inputs!$G$5:$G$110&lt;&gt;"acoes")))*INDEX(Inputs!$K$5:$AJ$110,0,MATCH(U$2,Inputs!$K$4:$AJ$4,0)))))</f>
        <v>-3166</v>
      </c>
      <c r="V63" s="263">
        <f>IF(ISNA(MATCH(V$2,Inputs!$K$4:$AJ$4,0)),NA(),IF(SUMPRODUCT((Inputs!$A$5:$A$110=$B63)*ISNUMBER(INDEX(Inputs!$K$5:$AJ$110,0,MATCH(V$2,Inputs!$K$4:$AJ$4,0))))+SUMPRODUCT((Inputs!$C$5:$C$110=$B63)*ISNUMBER(INDEX(Inputs!$K$5:$AJ$110,0,MATCH(V$2,Inputs!$K$4:$AJ$4,0))))+SUMPRODUCT((Inputs!$E$5:$E$110=$B63)*ISNUMBER(INDEX(Inputs!$K$5:$AJ$110,0,MATCH(V$2,Inputs!$K$4:$AJ$4,0))))=0,NA(),SUMPRODUCT((Inputs!$A$5:$A$110=$B63)*Inputs!$B$5:$B$110*(((Inputs!$G$5:$G$110="moeda")+(Inputs!$G$5:$G$110="acoes"))*Inputs!$B$1+((Inputs!$G$5:$G$110&lt;&gt;"moeda")*(Inputs!$G$5:$G$110&lt;&gt;"acoes")))*INDEX(Inputs!$K$5:$AJ$110,0,MATCH(V$2,Inputs!$K$4:$AJ$4,0)))+SUMPRODUCT((Inputs!$C$5:$C$110=$B63)*Inputs!$D$5:$D$110*(((Inputs!$G$5:$G$110="moeda")+(Inputs!$G$5:$G$110="acoes"))*Inputs!$B$1+((Inputs!$G$5:$G$110&lt;&gt;"moeda")*(Inputs!$G$5:$G$110&lt;&gt;"acoes")))*INDEX(Inputs!$K$5:$AJ$110,0,MATCH(V$2,Inputs!$K$4:$AJ$4,0)))+SUMPRODUCT((Inputs!$E$5:$E$110=$B63)*Inputs!$F$5:$F$110*(((Inputs!$G$5:$G$110="moeda")+(Inputs!$G$5:$G$110="acoes"))*Inputs!$B$1+((Inputs!$G$5:$G$110&lt;&gt;"moeda")*(Inputs!$G$5:$G$110&lt;&gt;"acoes")))*INDEX(Inputs!$K$5:$AJ$110,0,MATCH(V$2,Inputs!$K$4:$AJ$4,0)))))</f>
        <v>-2783</v>
      </c>
      <c r="W63" s="264">
        <f>SUM(S63:V63)</f>
        <v>-10541</v>
      </c>
      <c r="X63" s="263">
        <f>IF(ISNA(MATCH(X$2,Inputs!$K$4:$AJ$4,0)),NA(),IF(SUMPRODUCT((Inputs!$A$5:$A$110=$B63)*ISNUMBER(INDEX(Inputs!$K$5:$AJ$110,0,MATCH(X$2,Inputs!$K$4:$AJ$4,0))))+SUMPRODUCT((Inputs!$C$5:$C$110=$B63)*ISNUMBER(INDEX(Inputs!$K$5:$AJ$110,0,MATCH(X$2,Inputs!$K$4:$AJ$4,0))))+SUMPRODUCT((Inputs!$E$5:$E$110=$B63)*ISNUMBER(INDEX(Inputs!$K$5:$AJ$110,0,MATCH(X$2,Inputs!$K$4:$AJ$4,0))))=0,NA(),SUMPRODUCT((Inputs!$A$5:$A$110=$B63)*Inputs!$B$5:$B$110*(((Inputs!$G$5:$G$110="moeda")+(Inputs!$G$5:$G$110="acoes"))*Inputs!$B$1+((Inputs!$G$5:$G$110&lt;&gt;"moeda")*(Inputs!$G$5:$G$110&lt;&gt;"acoes")))*INDEX(Inputs!$K$5:$AJ$110,0,MATCH(X$2,Inputs!$K$4:$AJ$4,0)))+SUMPRODUCT((Inputs!$C$5:$C$110=$B63)*Inputs!$D$5:$D$110*(((Inputs!$G$5:$G$110="moeda")+(Inputs!$G$5:$G$110="acoes"))*Inputs!$B$1+((Inputs!$G$5:$G$110&lt;&gt;"moeda")*(Inputs!$G$5:$G$110&lt;&gt;"acoes")))*INDEX(Inputs!$K$5:$AJ$110,0,MATCH(X$2,Inputs!$K$4:$AJ$4,0)))+SUMPRODUCT((Inputs!$E$5:$E$110=$B63)*Inputs!$F$5:$F$110*(((Inputs!$G$5:$G$110="moeda")+(Inputs!$G$5:$G$110="acoes"))*Inputs!$B$1+((Inputs!$G$5:$G$110&lt;&gt;"moeda")*(Inputs!$G$5:$G$110&lt;&gt;"acoes")))*INDEX(Inputs!$K$5:$AJ$110,0,MATCH(X$2,Inputs!$K$4:$AJ$4,0)))))</f>
        <v>-3027</v>
      </c>
      <c r="Y63" s="263">
        <f>IF(ISNA(MATCH(Y$2,Inputs!$K$4:$AJ$4,0)),NA(),IF(SUMPRODUCT((Inputs!$A$5:$A$110=$B63)*ISNUMBER(INDEX(Inputs!$K$5:$AJ$110,0,MATCH(Y$2,Inputs!$K$4:$AJ$4,0))))+SUMPRODUCT((Inputs!$C$5:$C$110=$B63)*ISNUMBER(INDEX(Inputs!$K$5:$AJ$110,0,MATCH(Y$2,Inputs!$K$4:$AJ$4,0))))+SUMPRODUCT((Inputs!$E$5:$E$110=$B63)*ISNUMBER(INDEX(Inputs!$K$5:$AJ$110,0,MATCH(Y$2,Inputs!$K$4:$AJ$4,0))))=0,NA(),SUMPRODUCT((Inputs!$A$5:$A$110=$B63)*Inputs!$B$5:$B$110*(((Inputs!$G$5:$G$110="moeda")+(Inputs!$G$5:$G$110="acoes"))*Inputs!$B$1+((Inputs!$G$5:$G$110&lt;&gt;"moeda")*(Inputs!$G$5:$G$110&lt;&gt;"acoes")))*INDEX(Inputs!$K$5:$AJ$110,0,MATCH(Y$2,Inputs!$K$4:$AJ$4,0)))+SUMPRODUCT((Inputs!$C$5:$C$110=$B63)*Inputs!$D$5:$D$110*(((Inputs!$G$5:$G$110="moeda")+(Inputs!$G$5:$G$110="acoes"))*Inputs!$B$1+((Inputs!$G$5:$G$110&lt;&gt;"moeda")*(Inputs!$G$5:$G$110&lt;&gt;"acoes")))*INDEX(Inputs!$K$5:$AJ$110,0,MATCH(Y$2,Inputs!$K$4:$AJ$4,0)))+SUMPRODUCT((Inputs!$E$5:$E$110=$B63)*Inputs!$F$5:$F$110*(((Inputs!$G$5:$G$110="moeda")+(Inputs!$G$5:$G$110="acoes"))*Inputs!$B$1+((Inputs!$G$5:$G$110&lt;&gt;"moeda")*(Inputs!$G$5:$G$110&lt;&gt;"acoes")))*INDEX(Inputs!$K$5:$AJ$110,0,MATCH(Y$2,Inputs!$K$4:$AJ$4,0)))))</f>
        <v>-3372</v>
      </c>
      <c r="Z63" s="263">
        <f>IF(ISNA(MATCH(Z$2,Inputs!$K$4:$AJ$4,0)),NA(),IF(SUMPRODUCT((Inputs!$A$5:$A$110=$B63)*ISNUMBER(INDEX(Inputs!$K$5:$AJ$110,0,MATCH(Z$2,Inputs!$K$4:$AJ$4,0))))+SUMPRODUCT((Inputs!$C$5:$C$110=$B63)*ISNUMBER(INDEX(Inputs!$K$5:$AJ$110,0,MATCH(Z$2,Inputs!$K$4:$AJ$4,0))))+SUMPRODUCT((Inputs!$E$5:$E$110=$B63)*ISNUMBER(INDEX(Inputs!$K$5:$AJ$110,0,MATCH(Z$2,Inputs!$K$4:$AJ$4,0))))=0,NA(),SUMPRODUCT((Inputs!$A$5:$A$110=$B63)*Inputs!$B$5:$B$110*(((Inputs!$G$5:$G$110="moeda")+(Inputs!$G$5:$G$110="acoes"))*Inputs!$B$1+((Inputs!$G$5:$G$110&lt;&gt;"moeda")*(Inputs!$G$5:$G$110&lt;&gt;"acoes")))*INDEX(Inputs!$K$5:$AJ$110,0,MATCH(Z$2,Inputs!$K$4:$AJ$4,0)))+SUMPRODUCT((Inputs!$C$5:$C$110=$B63)*Inputs!$D$5:$D$110*(((Inputs!$G$5:$G$110="moeda")+(Inputs!$G$5:$G$110="acoes"))*Inputs!$B$1+((Inputs!$G$5:$G$110&lt;&gt;"moeda")*(Inputs!$G$5:$G$110&lt;&gt;"acoes")))*INDEX(Inputs!$K$5:$AJ$110,0,MATCH(Z$2,Inputs!$K$4:$AJ$4,0)))+SUMPRODUCT((Inputs!$E$5:$E$110=$B63)*Inputs!$F$5:$F$110*(((Inputs!$G$5:$G$110="moeda")+(Inputs!$G$5:$G$110="acoes"))*Inputs!$B$1+((Inputs!$G$5:$G$110&lt;&gt;"moeda")*(Inputs!$G$5:$G$110&lt;&gt;"acoes")))*INDEX(Inputs!$K$5:$AJ$110,0,MATCH(Z$2,Inputs!$K$4:$AJ$4,0)))))</f>
        <v>-4467</v>
      </c>
      <c r="AA63" s="263">
        <f>IF(ISNA(MATCH(AA$2,Inputs!$K$4:$AJ$4,0)),NA(),IF(SUMPRODUCT((Inputs!$A$5:$A$110=$B63)*ISNUMBER(INDEX(Inputs!$K$5:$AJ$110,0,MATCH(AA$2,Inputs!$K$4:$AJ$4,0))))+SUMPRODUCT((Inputs!$C$5:$C$110=$B63)*ISNUMBER(INDEX(Inputs!$K$5:$AJ$110,0,MATCH(AA$2,Inputs!$K$4:$AJ$4,0))))+SUMPRODUCT((Inputs!$E$5:$E$110=$B63)*ISNUMBER(INDEX(Inputs!$K$5:$AJ$110,0,MATCH(AA$2,Inputs!$K$4:$AJ$4,0))))=0,NA(),SUMPRODUCT((Inputs!$A$5:$A$110=$B63)*Inputs!$B$5:$B$110*(((Inputs!$G$5:$G$110="moeda")+(Inputs!$G$5:$G$110="acoes"))*Inputs!$B$1+((Inputs!$G$5:$G$110&lt;&gt;"moeda")*(Inputs!$G$5:$G$110&lt;&gt;"acoes")))*INDEX(Inputs!$K$5:$AJ$110,0,MATCH(AA$2,Inputs!$K$4:$AJ$4,0)))+SUMPRODUCT((Inputs!$C$5:$C$110=$B63)*Inputs!$D$5:$D$110*(((Inputs!$G$5:$G$110="moeda")+(Inputs!$G$5:$G$110="acoes"))*Inputs!$B$1+((Inputs!$G$5:$G$110&lt;&gt;"moeda")*(Inputs!$G$5:$G$110&lt;&gt;"acoes")))*INDEX(Inputs!$K$5:$AJ$110,0,MATCH(AA$2,Inputs!$K$4:$AJ$4,0)))+SUMPRODUCT((Inputs!$E$5:$E$110=$B63)*Inputs!$F$5:$F$110*(((Inputs!$G$5:$G$110="moeda")+(Inputs!$G$5:$G$110="acoes"))*Inputs!$B$1+((Inputs!$G$5:$G$110&lt;&gt;"moeda")*(Inputs!$G$5:$G$110&lt;&gt;"acoes")))*INDEX(Inputs!$K$5:$AJ$110,0,MATCH(AA$2,Inputs!$K$4:$AJ$4,0)))))</f>
        <v>-5894</v>
      </c>
      <c r="AB63" s="264">
        <f>SUM(X63:AA63)</f>
        <v>-16760</v>
      </c>
      <c r="AC63" s="263">
        <f>IF(ISNA(MATCH(AC$2,Inputs!$K$4:$AJ$4,0)),NA(),IF(SUMPRODUCT((Inputs!$A$5:$A$110=$B63)*ISNUMBER(INDEX(Inputs!$K$5:$AJ$110,0,MATCH(AC$2,Inputs!$K$4:$AJ$4,0))))+SUMPRODUCT((Inputs!$C$5:$C$110=$B63)*ISNUMBER(INDEX(Inputs!$K$5:$AJ$110,0,MATCH(AC$2,Inputs!$K$4:$AJ$4,0))))+SUMPRODUCT((Inputs!$E$5:$E$110=$B63)*ISNUMBER(INDEX(Inputs!$K$5:$AJ$110,0,MATCH(AC$2,Inputs!$K$4:$AJ$4,0))))=0,NA(),SUMPRODUCT((Inputs!$A$5:$A$110=$B63)*Inputs!$B$5:$B$110*(((Inputs!$G$5:$G$110="moeda")+(Inputs!$G$5:$G$110="acoes"))*Inputs!$B$1+((Inputs!$G$5:$G$110&lt;&gt;"moeda")*(Inputs!$G$5:$G$110&lt;&gt;"acoes")))*INDEX(Inputs!$K$5:$AJ$110,0,MATCH(AC$2,Inputs!$K$4:$AJ$4,0)))+SUMPRODUCT((Inputs!$C$5:$C$110=$B63)*Inputs!$D$5:$D$110*(((Inputs!$G$5:$G$110="moeda")+(Inputs!$G$5:$G$110="acoes"))*Inputs!$B$1+((Inputs!$G$5:$G$110&lt;&gt;"moeda")*(Inputs!$G$5:$G$110&lt;&gt;"acoes")))*INDEX(Inputs!$K$5:$AJ$110,0,MATCH(AC$2,Inputs!$K$4:$AJ$4,0)))+SUMPRODUCT((Inputs!$E$5:$E$110=$B63)*Inputs!$F$5:$F$110*(((Inputs!$G$5:$G$110="moeda")+(Inputs!$G$5:$G$110="acoes"))*Inputs!$B$1+((Inputs!$G$5:$G$110&lt;&gt;"moeda")*(Inputs!$G$5:$G$110&lt;&gt;"acoes")))*INDEX(Inputs!$K$5:$AJ$110,0,MATCH(AC$2,Inputs!$K$4:$AJ$4,0)))))</f>
        <v>-5391</v>
      </c>
      <c r="AD63" s="263">
        <f>IF(ISNA(MATCH(AD$2,Inputs!$K$4:$AJ$4,0)),NA(),IF(SUMPRODUCT((Inputs!$A$5:$A$110=$B63)*ISNUMBER(INDEX(Inputs!$K$5:$AJ$110,0,MATCH(AD$2,Inputs!$K$4:$AJ$4,0))))+SUMPRODUCT((Inputs!$C$5:$C$110=$B63)*ISNUMBER(INDEX(Inputs!$K$5:$AJ$110,0,MATCH(AD$2,Inputs!$K$4:$AJ$4,0))))+SUMPRODUCT((Inputs!$E$5:$E$110=$B63)*ISNUMBER(INDEX(Inputs!$K$5:$AJ$110,0,MATCH(AD$2,Inputs!$K$4:$AJ$4,0))))=0,NA(),SUMPRODUCT((Inputs!$A$5:$A$110=$B63)*Inputs!$B$5:$B$110*(((Inputs!$G$5:$G$110="moeda")+(Inputs!$G$5:$G$110="acoes"))*Inputs!$B$1+((Inputs!$G$5:$G$110&lt;&gt;"moeda")*(Inputs!$G$5:$G$110&lt;&gt;"acoes")))*INDEX(Inputs!$K$5:$AJ$110,0,MATCH(AD$2,Inputs!$K$4:$AJ$4,0)))+SUMPRODUCT((Inputs!$C$5:$C$110=$B63)*Inputs!$D$5:$D$110*(((Inputs!$G$5:$G$110="moeda")+(Inputs!$G$5:$G$110="acoes"))*Inputs!$B$1+((Inputs!$G$5:$G$110&lt;&gt;"moeda")*(Inputs!$G$5:$G$110&lt;&gt;"acoes")))*INDEX(Inputs!$K$5:$AJ$110,0,MATCH(AD$2,Inputs!$K$4:$AJ$4,0)))+SUMPRODUCT((Inputs!$E$5:$E$110=$B63)*Inputs!$F$5:$F$110*(((Inputs!$G$5:$G$110="moeda")+(Inputs!$G$5:$G$110="acoes"))*Inputs!$B$1+((Inputs!$G$5:$G$110&lt;&gt;"moeda")*(Inputs!$G$5:$G$110&lt;&gt;"acoes")))*INDEX(Inputs!$K$5:$AJ$110,0,MATCH(AD$2,Inputs!$K$4:$AJ$4,0)))))</f>
        <v>-5789</v>
      </c>
      <c r="AE63" s="263" t="e">
        <f>IF(ISNA(MATCH(AE$2,Inputs!$K$4:$AJ$4,0)),NA(),IF(SUMPRODUCT((Inputs!$A$5:$A$110=$B63)*ISNUMBER(INDEX(Inputs!$K$5:$AJ$110,0,MATCH(AE$2,Inputs!$K$4:$AJ$4,0))))+SUMPRODUCT((Inputs!$C$5:$C$110=$B63)*ISNUMBER(INDEX(Inputs!$K$5:$AJ$110,0,MATCH(AE$2,Inputs!$K$4:$AJ$4,0))))+SUMPRODUCT((Inputs!$E$5:$E$110=$B63)*ISNUMBER(INDEX(Inputs!$K$5:$AJ$110,0,MATCH(AE$2,Inputs!$K$4:$AJ$4,0))))=0,NA(),SUMPRODUCT((Inputs!$A$5:$A$110=$B63)*Inputs!$B$5:$B$110*(((Inputs!$G$5:$G$110="moeda")+(Inputs!$G$5:$G$110="acoes"))*Inputs!$B$1+((Inputs!$G$5:$G$110&lt;&gt;"moeda")*(Inputs!$G$5:$G$110&lt;&gt;"acoes")))*INDEX(Inputs!$K$5:$AJ$110,0,MATCH(AE$2,Inputs!$K$4:$AJ$4,0)))+SUMPRODUCT((Inputs!$C$5:$C$110=$B63)*Inputs!$D$5:$D$110*(((Inputs!$G$5:$G$110="moeda")+(Inputs!$G$5:$G$110="acoes"))*Inputs!$B$1+((Inputs!$G$5:$G$110&lt;&gt;"moeda")*(Inputs!$G$5:$G$110&lt;&gt;"acoes")))*INDEX(Inputs!$K$5:$AJ$110,0,MATCH(AE$2,Inputs!$K$4:$AJ$4,0)))+SUMPRODUCT((Inputs!$E$5:$E$110=$B63)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3" s="263" t="e">
        <f>IF(ISNA(MATCH(AF$2,Inputs!$K$4:$AJ$4,0)),NA(),IF(SUMPRODUCT((Inputs!$A$5:$A$110=$B63)*ISNUMBER(INDEX(Inputs!$K$5:$AJ$110,0,MATCH(AF$2,Inputs!$K$4:$AJ$4,0))))+SUMPRODUCT((Inputs!$C$5:$C$110=$B63)*ISNUMBER(INDEX(Inputs!$K$5:$AJ$110,0,MATCH(AF$2,Inputs!$K$4:$AJ$4,0))))+SUMPRODUCT((Inputs!$E$5:$E$110=$B63)*ISNUMBER(INDEX(Inputs!$K$5:$AJ$110,0,MATCH(AF$2,Inputs!$K$4:$AJ$4,0))))=0,NA(),SUMPRODUCT((Inputs!$A$5:$A$110=$B63)*Inputs!$B$5:$B$110*(((Inputs!$G$5:$G$110="moeda")+(Inputs!$G$5:$G$110="acoes"))*Inputs!$B$1+((Inputs!$G$5:$G$110&lt;&gt;"moeda")*(Inputs!$G$5:$G$110&lt;&gt;"acoes")))*INDEX(Inputs!$K$5:$AJ$110,0,MATCH(AF$2,Inputs!$K$4:$AJ$4,0)))+SUMPRODUCT((Inputs!$C$5:$C$110=$B63)*Inputs!$D$5:$D$110*(((Inputs!$G$5:$G$110="moeda")+(Inputs!$G$5:$G$110="acoes"))*Inputs!$B$1+((Inputs!$G$5:$G$110&lt;&gt;"moeda")*(Inputs!$G$5:$G$110&lt;&gt;"acoes")))*INDEX(Inputs!$K$5:$AJ$110,0,MATCH(AF$2,Inputs!$K$4:$AJ$4,0)))+SUMPRODUCT((Inputs!$E$5:$E$110=$B63)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3" s="264" t="e">
        <f>SUM(AC63:AF63)</f>
        <v>#N/A</v>
      </c>
      <c r="AH63" s="263">
        <f>IF(ISNA(MATCH(AH$2,Inputs!$K$4:$AJ$4,0)),NA(),IF(SUMPRODUCT((Inputs!$A$5:$A$110=$B63)*ISNUMBER(INDEX(Inputs!$K$5:$AJ$110,0,MATCH(AH$2,Inputs!$K$4:$AJ$4,0))))+SUMPRODUCT((Inputs!$C$5:$C$110=$B63)*ISNUMBER(INDEX(Inputs!$K$5:$AJ$110,0,MATCH(AH$2,Inputs!$K$4:$AJ$4,0))))+SUMPRODUCT((Inputs!$E$5:$E$110=$B63)*ISNUMBER(INDEX(Inputs!$K$5:$AJ$110,0,MATCH(AH$2,Inputs!$K$4:$AJ$4,0))))=0,NA(),SUMPRODUCT((Inputs!$A$5:$A$110=$B63)*Inputs!$B$5:$B$110*(((Inputs!$G$5:$G$110="moeda")+(Inputs!$G$5:$G$110="acoes"))*Inputs!$B$1+((Inputs!$G$5:$G$110&lt;&gt;"moeda")*(Inputs!$G$5:$G$110&lt;&gt;"acoes")))*INDEX(Inputs!$K$5:$AJ$110,0,MATCH(AH$2,Inputs!$K$4:$AJ$4,0)))+SUMPRODUCT((Inputs!$C$5:$C$110=$B63)*Inputs!$D$5:$D$110*(((Inputs!$G$5:$G$110="moeda")+(Inputs!$G$5:$G$110="acoes"))*Inputs!$B$1+((Inputs!$G$5:$G$110&lt;&gt;"moeda")*(Inputs!$G$5:$G$110&lt;&gt;"acoes")))*INDEX(Inputs!$K$5:$AJ$110,0,MATCH(AH$2,Inputs!$K$4:$AJ$4,0)))+SUMPRODUCT((Inputs!$E$5:$E$110=$B63)*Inputs!$F$5:$F$110*(((Inputs!$G$5:$G$110="moeda")+(Inputs!$G$5:$G$110="acoes"))*Inputs!$B$1+((Inputs!$G$5:$G$110&lt;&gt;"moeda")*(Inputs!$G$5:$G$110&lt;&gt;"acoes")))*INDEX(Inputs!$K$5:$AJ$110,0,MATCH(AH$2,Inputs!$K$4:$AJ$4,0)))))</f>
        <v>-720</v>
      </c>
      <c r="AI63" s="263">
        <f>IF(ISNA(MATCH(AI$2,Inputs!$K$4:$AJ$4,0)),NA(),IF(SUMPRODUCT((Inputs!$A$5:$A$110=$B63)*ISNUMBER(INDEX(Inputs!$K$5:$AJ$110,0,MATCH(AI$2,Inputs!$K$4:$AJ$4,0))))+SUMPRODUCT((Inputs!$C$5:$C$110=$B63)*ISNUMBER(INDEX(Inputs!$K$5:$AJ$110,0,MATCH(AI$2,Inputs!$K$4:$AJ$4,0))))+SUMPRODUCT((Inputs!$E$5:$E$110=$B63)*ISNUMBER(INDEX(Inputs!$K$5:$AJ$110,0,MATCH(AI$2,Inputs!$K$4:$AJ$4,0))))=0,NA(),SUMPRODUCT((Inputs!$A$5:$A$110=$B63)*Inputs!$B$5:$B$110*(((Inputs!$G$5:$G$110="moeda")+(Inputs!$G$5:$G$110="acoes"))*Inputs!$B$1+((Inputs!$G$5:$G$110&lt;&gt;"moeda")*(Inputs!$G$5:$G$110&lt;&gt;"acoes")))*INDEX(Inputs!$K$5:$AJ$110,0,MATCH(AI$2,Inputs!$K$4:$AJ$4,0)))+SUMPRODUCT((Inputs!$C$5:$C$110=$B63)*Inputs!$D$5:$D$110*(((Inputs!$G$5:$G$110="moeda")+(Inputs!$G$5:$G$110="acoes"))*Inputs!$B$1+((Inputs!$G$5:$G$110&lt;&gt;"moeda")*(Inputs!$G$5:$G$110&lt;&gt;"acoes")))*INDEX(Inputs!$K$5:$AJ$110,0,MATCH(AI$2,Inputs!$K$4:$AJ$4,0)))+SUMPRODUCT((Inputs!$E$5:$E$110=$B63)*Inputs!$F$5:$F$110*(((Inputs!$G$5:$G$110="moeda")+(Inputs!$G$5:$G$110="acoes"))*Inputs!$B$1+((Inputs!$G$5:$G$110&lt;&gt;"moeda")*(Inputs!$G$5:$G$110&lt;&gt;"acoes")))*INDEX(Inputs!$K$5:$AJ$110,0,MATCH(AI$2,Inputs!$K$4:$AJ$4,0)))))</f>
        <v>-614</v>
      </c>
      <c r="AJ63" s="263">
        <f>IF(ISNA(MATCH(AJ$2,Inputs!$K$4:$AJ$4,0)),NA(),IF(SUMPRODUCT((Inputs!$A$5:$A$110=$B63)*ISNUMBER(INDEX(Inputs!$K$5:$AJ$110,0,MATCH(AJ$2,Inputs!$K$4:$AJ$4,0))))+SUMPRODUCT((Inputs!$C$5:$C$110=$B63)*ISNUMBER(INDEX(Inputs!$K$5:$AJ$110,0,MATCH(AJ$2,Inputs!$K$4:$AJ$4,0))))+SUMPRODUCT((Inputs!$E$5:$E$110=$B63)*ISNUMBER(INDEX(Inputs!$K$5:$AJ$110,0,MATCH(AJ$2,Inputs!$K$4:$AJ$4,0))))=0,NA(),SUMPRODUCT((Inputs!$A$5:$A$110=$B63)*Inputs!$B$5:$B$110*(((Inputs!$G$5:$G$110="moeda")+(Inputs!$G$5:$G$110="acoes"))*Inputs!$B$1+((Inputs!$G$5:$G$110&lt;&gt;"moeda")*(Inputs!$G$5:$G$110&lt;&gt;"acoes")))*INDEX(Inputs!$K$5:$AJ$110,0,MATCH(AJ$2,Inputs!$K$4:$AJ$4,0)))+SUMPRODUCT((Inputs!$C$5:$C$110=$B63)*Inputs!$D$5:$D$110*(((Inputs!$G$5:$G$110="moeda")+(Inputs!$G$5:$G$110="acoes"))*Inputs!$B$1+((Inputs!$G$5:$G$110&lt;&gt;"moeda")*(Inputs!$G$5:$G$110&lt;&gt;"acoes")))*INDEX(Inputs!$K$5:$AJ$110,0,MATCH(AJ$2,Inputs!$K$4:$AJ$4,0)))+SUMPRODUCT((Inputs!$E$5:$E$110=$B63)*Inputs!$F$5:$F$110*(((Inputs!$G$5:$G$110="moeda")+(Inputs!$G$5:$G$110="acoes"))*Inputs!$B$1+((Inputs!$G$5:$G$110&lt;&gt;"moeda")*(Inputs!$G$5:$G$110&lt;&gt;"acoes")))*INDEX(Inputs!$K$5:$AJ$110,0,MATCH(AJ$2,Inputs!$K$4:$AJ$4,0)))))</f>
        <v>-929</v>
      </c>
      <c r="AK63" s="263">
        <f>IF(ISNA(MATCH(AK$2,Inputs!$K$4:$AJ$4,0)),NA(),IF(SUMPRODUCT((Inputs!$A$5:$A$110=$B63)*ISNUMBER(INDEX(Inputs!$K$5:$AJ$110,0,MATCH(AK$2,Inputs!$K$4:$AJ$4,0))))+SUMPRODUCT((Inputs!$C$5:$C$110=$B63)*ISNUMBER(INDEX(Inputs!$K$5:$AJ$110,0,MATCH(AK$2,Inputs!$K$4:$AJ$4,0))))+SUMPRODUCT((Inputs!$E$5:$E$110=$B63)*ISNUMBER(INDEX(Inputs!$K$5:$AJ$110,0,MATCH(AK$2,Inputs!$K$4:$AJ$4,0))))=0,NA(),SUMPRODUCT((Inputs!$A$5:$A$110=$B63)*Inputs!$B$5:$B$110*(((Inputs!$G$5:$G$110="moeda")+(Inputs!$G$5:$G$110="acoes"))*Inputs!$B$1+((Inputs!$G$5:$G$110&lt;&gt;"moeda")*(Inputs!$G$5:$G$110&lt;&gt;"acoes")))*INDEX(Inputs!$K$5:$AJ$110,0,MATCH(AK$2,Inputs!$K$4:$AJ$4,0)))+SUMPRODUCT((Inputs!$C$5:$C$110=$B63)*Inputs!$D$5:$D$110*(((Inputs!$G$5:$G$110="moeda")+(Inputs!$G$5:$G$110="acoes"))*Inputs!$B$1+((Inputs!$G$5:$G$110&lt;&gt;"moeda")*(Inputs!$G$5:$G$110&lt;&gt;"acoes")))*INDEX(Inputs!$K$5:$AJ$110,0,MATCH(AK$2,Inputs!$K$4:$AJ$4,0)))+SUMPRODUCT((Inputs!$E$5:$E$110=$B63)*Inputs!$F$5:$F$110*(((Inputs!$G$5:$G$110="moeda")+(Inputs!$G$5:$G$110="acoes"))*Inputs!$B$1+((Inputs!$G$5:$G$110&lt;&gt;"moeda")*(Inputs!$G$5:$G$110&lt;&gt;"acoes")))*INDEX(Inputs!$K$5:$AJ$110,0,MATCH(AK$2,Inputs!$K$4:$AJ$4,0)))))</f>
        <v>-1036</v>
      </c>
      <c r="AL63" s="264">
        <f>SUM(AH63:AK63)</f>
        <v>-3299</v>
      </c>
    </row>
    <row r="64">
      <c r="B64" s="46" t="n">
        <v>56</v>
      </c>
      <c r="C64" s="29" t="inlineStr">
        <is>
          <t>Receita Estados Unidos (USD)</t>
        </is>
      </c>
      <c r="D64" s="263">
        <f>IF(ISNA(MATCH(D$2,Inputs!$K$4:$AJ$4,0)),NA(),IF(SUMPRODUCT((Inputs!$A$5:$A$110=$B64)*ISNUMBER(INDEX(Inputs!$K$5:$AJ$110,0,MATCH(D$2,Inputs!$K$4:$AJ$4,0))))+SUMPRODUCT((Inputs!$C$5:$C$110=$B64)*ISNUMBER(INDEX(Inputs!$K$5:$AJ$110,0,MATCH(D$2,Inputs!$K$4:$AJ$4,0))))+SUMPRODUCT((Inputs!$E$5:$E$110=$B64)*ISNUMBER(INDEX(Inputs!$K$5:$AJ$110,0,MATCH(D$2,Inputs!$K$4:$AJ$4,0))))=0,NA(),SUMPRODUCT((Inputs!$A$5:$A$110=$B64)*Inputs!$B$5:$B$110*(((Inputs!$G$5:$G$110="moeda")+(Inputs!$G$5:$G$110="acoes"))*Inputs!$B$1+((Inputs!$G$5:$G$110&lt;&gt;"moeda")*(Inputs!$G$5:$G$110&lt;&gt;"acoes")))*INDEX(Inputs!$K$5:$AJ$110,0,MATCH(D$2,Inputs!$K$4:$AJ$4,0)))+SUMPRODUCT((Inputs!$C$5:$C$110=$B64)*Inputs!$D$5:$D$110*(((Inputs!$G$5:$G$110="moeda")+(Inputs!$G$5:$G$110="acoes"))*Inputs!$B$1+((Inputs!$G$5:$G$110&lt;&gt;"moeda")*(Inputs!$G$5:$G$110&lt;&gt;"acoes")))*INDEX(Inputs!$K$5:$AJ$110,0,MATCH(D$2,Inputs!$K$4:$AJ$4,0)))+SUMPRODUCT((Inputs!$E$5:$E$110=$B64)*Inputs!$F$5:$F$110*(((Inputs!$G$5:$G$110="moeda")+(Inputs!$G$5:$G$110="acoes"))*Inputs!$B$1+((Inputs!$G$5:$G$110&lt;&gt;"moeda")*(Inputs!$G$5:$G$110&lt;&gt;"acoes")))*INDEX(Inputs!$K$5:$AJ$110,0,MATCH(D$2,Inputs!$K$4:$AJ$4,0)))))</f>
        <v>25032</v>
      </c>
      <c r="E64" s="263">
        <f>IF(ISNA(MATCH(E$2,Inputs!$K$4:$AJ$4,0)),NA(),IF(SUMPRODUCT((Inputs!$A$5:$A$110=$B64)*ISNUMBER(INDEX(Inputs!$K$5:$AJ$110,0,MATCH(E$2,Inputs!$K$4:$AJ$4,0))))+SUMPRODUCT((Inputs!$C$5:$C$110=$B64)*ISNUMBER(INDEX(Inputs!$K$5:$AJ$110,0,MATCH(E$2,Inputs!$K$4:$AJ$4,0))))+SUMPRODUCT((Inputs!$E$5:$E$110=$B64)*ISNUMBER(INDEX(Inputs!$K$5:$AJ$110,0,MATCH(E$2,Inputs!$K$4:$AJ$4,0))))=0,NA(),SUMPRODUCT((Inputs!$A$5:$A$110=$B64)*Inputs!$B$5:$B$110*(((Inputs!$G$5:$G$110="moeda")+(Inputs!$G$5:$G$110="acoes"))*Inputs!$B$1+((Inputs!$G$5:$G$110&lt;&gt;"moeda")*(Inputs!$G$5:$G$110&lt;&gt;"acoes")))*INDEX(Inputs!$K$5:$AJ$110,0,MATCH(E$2,Inputs!$K$4:$AJ$4,0)))+SUMPRODUCT((Inputs!$C$5:$C$110=$B64)*Inputs!$D$5:$D$110*(((Inputs!$G$5:$G$110="moeda")+(Inputs!$G$5:$G$110="acoes"))*Inputs!$B$1+((Inputs!$G$5:$G$110&lt;&gt;"moeda")*(Inputs!$G$5:$G$110&lt;&gt;"acoes")))*INDEX(Inputs!$K$5:$AJ$110,0,MATCH(E$2,Inputs!$K$4:$AJ$4,0)))+SUMPRODUCT((Inputs!$E$5:$E$110=$B64)*Inputs!$F$5:$F$110*(((Inputs!$G$5:$G$110="moeda")+(Inputs!$G$5:$G$110="acoes"))*Inputs!$B$1+((Inputs!$G$5:$G$110&lt;&gt;"moeda")*(Inputs!$G$5:$G$110&lt;&gt;"acoes")))*INDEX(Inputs!$K$5:$AJ$110,0,MATCH(E$2,Inputs!$K$4:$AJ$4,0)))))</f>
        <v>28208</v>
      </c>
      <c r="F64" s="263">
        <f>IF(ISNA(MATCH(F$2,Inputs!$K$4:$AJ$4,0)),NA(),IF(SUMPRODUCT((Inputs!$A$5:$A$110=$B64)*ISNUMBER(INDEX(Inputs!$K$5:$AJ$110,0,MATCH(F$2,Inputs!$K$4:$AJ$4,0))))+SUMPRODUCT((Inputs!$C$5:$C$110=$B64)*ISNUMBER(INDEX(Inputs!$K$5:$AJ$110,0,MATCH(F$2,Inputs!$K$4:$AJ$4,0))))+SUMPRODUCT((Inputs!$E$5:$E$110=$B64)*ISNUMBER(INDEX(Inputs!$K$5:$AJ$110,0,MATCH(F$2,Inputs!$K$4:$AJ$4,0))))=0,NA(),SUMPRODUCT((Inputs!$A$5:$A$110=$B64)*Inputs!$B$5:$B$110*(((Inputs!$G$5:$G$110="moeda")+(Inputs!$G$5:$G$110="acoes"))*Inputs!$B$1+((Inputs!$G$5:$G$110&lt;&gt;"moeda")*(Inputs!$G$5:$G$110&lt;&gt;"acoes")))*INDEX(Inputs!$K$5:$AJ$110,0,MATCH(F$2,Inputs!$K$4:$AJ$4,0)))+SUMPRODUCT((Inputs!$C$5:$C$110=$B64)*Inputs!$D$5:$D$110*(((Inputs!$G$5:$G$110="moeda")+(Inputs!$G$5:$G$110="acoes"))*Inputs!$B$1+((Inputs!$G$5:$G$110&lt;&gt;"moeda")*(Inputs!$G$5:$G$110&lt;&gt;"acoes")))*INDEX(Inputs!$K$5:$AJ$110,0,MATCH(F$2,Inputs!$K$4:$AJ$4,0)))+SUMPRODUCT((Inputs!$E$5:$E$110=$B64)*Inputs!$F$5:$F$110*(((Inputs!$G$5:$G$110="moeda")+(Inputs!$G$5:$G$110="acoes"))*Inputs!$B$1+((Inputs!$G$5:$G$110&lt;&gt;"moeda")*(Inputs!$G$5:$G$110&lt;&gt;"acoes")))*INDEX(Inputs!$K$5:$AJ$110,0,MATCH(F$2,Inputs!$K$4:$AJ$4,0)))))</f>
        <v>29824</v>
      </c>
      <c r="G64" s="263">
        <f>IF(ISNA(MATCH(G$2,Inputs!$K$4:$AJ$4,0)),NA(),IF(SUMPRODUCT((Inputs!$A$5:$A$110=$B64)*ISNUMBER(INDEX(Inputs!$K$5:$AJ$110,0,MATCH(G$2,Inputs!$K$4:$AJ$4,0))))+SUMPRODUCT((Inputs!$C$5:$C$110=$B64)*ISNUMBER(INDEX(Inputs!$K$5:$AJ$110,0,MATCH(G$2,Inputs!$K$4:$AJ$4,0))))+SUMPRODUCT((Inputs!$E$5:$E$110=$B64)*ISNUMBER(INDEX(Inputs!$K$5:$AJ$110,0,MATCH(G$2,Inputs!$K$4:$AJ$4,0))))=0,NA(),SUMPRODUCT((Inputs!$A$5:$A$110=$B64)*Inputs!$B$5:$B$110*(((Inputs!$G$5:$G$110="moeda")+(Inputs!$G$5:$G$110="acoes"))*Inputs!$B$1+((Inputs!$G$5:$G$110&lt;&gt;"moeda")*(Inputs!$G$5:$G$110&lt;&gt;"acoes")))*INDEX(Inputs!$K$5:$AJ$110,0,MATCH(G$2,Inputs!$K$4:$AJ$4,0)))+SUMPRODUCT((Inputs!$C$5:$C$110=$B64)*Inputs!$D$5:$D$110*(((Inputs!$G$5:$G$110="moeda")+(Inputs!$G$5:$G$110="acoes"))*Inputs!$B$1+((Inputs!$G$5:$G$110&lt;&gt;"moeda")*(Inputs!$G$5:$G$110&lt;&gt;"acoes")))*INDEX(Inputs!$K$5:$AJ$110,0,MATCH(G$2,Inputs!$K$4:$AJ$4,0)))+SUMPRODUCT((Inputs!$E$5:$E$110=$B64)*Inputs!$F$5:$F$110*(((Inputs!$G$5:$G$110="moeda")+(Inputs!$G$5:$G$110="acoes"))*Inputs!$B$1+((Inputs!$G$5:$G$110&lt;&gt;"moeda")*(Inputs!$G$5:$G$110&lt;&gt;"acoes")))*INDEX(Inputs!$K$5:$AJ$110,0,MATCH(G$2,Inputs!$K$4:$AJ$4,0)))))</f>
        <v>34790</v>
      </c>
      <c r="H64" s="264">
        <f>SUM(D64:G64)</f>
        <v>117854</v>
      </c>
      <c r="I64" s="263">
        <f>IF(ISNA(MATCH(I$2,Inputs!$K$4:$AJ$4,0)),NA(),IF(SUMPRODUCT((Inputs!$A$5:$A$110=$B64)*ISNUMBER(INDEX(Inputs!$K$5:$AJ$110,0,MATCH(I$2,Inputs!$K$4:$AJ$4,0))))+SUMPRODUCT((Inputs!$C$5:$C$110=$B64)*ISNUMBER(INDEX(Inputs!$K$5:$AJ$110,0,MATCH(I$2,Inputs!$K$4:$AJ$4,0))))+SUMPRODUCT((Inputs!$E$5:$E$110=$B64)*ISNUMBER(INDEX(Inputs!$K$5:$AJ$110,0,MATCH(I$2,Inputs!$K$4:$AJ$4,0))))=0,NA(),SUMPRODUCT((Inputs!$A$5:$A$110=$B64)*Inputs!$B$5:$B$110*(((Inputs!$G$5:$G$110="moeda")+(Inputs!$G$5:$G$110="acoes"))*Inputs!$B$1+((Inputs!$G$5:$G$110&lt;&gt;"moeda")*(Inputs!$G$5:$G$110&lt;&gt;"acoes")))*INDEX(Inputs!$K$5:$AJ$110,0,MATCH(I$2,Inputs!$K$4:$AJ$4,0)))+SUMPRODUCT((Inputs!$C$5:$C$110=$B64)*Inputs!$D$5:$D$110*(((Inputs!$G$5:$G$110="moeda")+(Inputs!$G$5:$G$110="acoes"))*Inputs!$B$1+((Inputs!$G$5:$G$110&lt;&gt;"moeda")*(Inputs!$G$5:$G$110&lt;&gt;"acoes")))*INDEX(Inputs!$K$5:$AJ$110,0,MATCH(I$2,Inputs!$K$4:$AJ$4,0)))+SUMPRODUCT((Inputs!$E$5:$E$110=$B64)*Inputs!$F$5:$F$110*(((Inputs!$G$5:$G$110="moeda")+(Inputs!$G$5:$G$110="acoes"))*Inputs!$B$1+((Inputs!$G$5:$G$110&lt;&gt;"moeda")*(Inputs!$G$5:$G$110&lt;&gt;"acoes")))*INDEX(Inputs!$K$5:$AJ$110,0,MATCH(I$2,Inputs!$K$4:$AJ$4,0)))))</f>
        <v>31733</v>
      </c>
      <c r="J64" s="263">
        <f>IF(ISNA(MATCH(J$2,Inputs!$K$4:$AJ$4,0)),NA(),IF(SUMPRODUCT((Inputs!$A$5:$A$110=$B64)*ISNUMBER(INDEX(Inputs!$K$5:$AJ$110,0,MATCH(J$2,Inputs!$K$4:$AJ$4,0))))+SUMPRODUCT((Inputs!$C$5:$C$110=$B64)*ISNUMBER(INDEX(Inputs!$K$5:$AJ$110,0,MATCH(J$2,Inputs!$K$4:$AJ$4,0))))+SUMPRODUCT((Inputs!$E$5:$E$110=$B64)*ISNUMBER(INDEX(Inputs!$K$5:$AJ$110,0,MATCH(J$2,Inputs!$K$4:$AJ$4,0))))=0,NA(),SUMPRODUCT((Inputs!$A$5:$A$110=$B64)*Inputs!$B$5:$B$110*(((Inputs!$G$5:$G$110="moeda")+(Inputs!$G$5:$G$110="acoes"))*Inputs!$B$1+((Inputs!$G$5:$G$110&lt;&gt;"moeda")*(Inputs!$G$5:$G$110&lt;&gt;"acoes")))*INDEX(Inputs!$K$5:$AJ$110,0,MATCH(J$2,Inputs!$K$4:$AJ$4,0)))+SUMPRODUCT((Inputs!$C$5:$C$110=$B64)*Inputs!$D$5:$D$110*(((Inputs!$G$5:$G$110="moeda")+(Inputs!$G$5:$G$110="acoes"))*Inputs!$B$1+((Inputs!$G$5:$G$110&lt;&gt;"moeda")*(Inputs!$G$5:$G$110&lt;&gt;"acoes")))*INDEX(Inputs!$K$5:$AJ$110,0,MATCH(J$2,Inputs!$K$4:$AJ$4,0)))+SUMPRODUCT((Inputs!$E$5:$E$110=$B64)*Inputs!$F$5:$F$110*(((Inputs!$G$5:$G$110="moeda")+(Inputs!$G$5:$G$110="acoes"))*Inputs!$B$1+((Inputs!$G$5:$G$110&lt;&gt;"moeda")*(Inputs!$G$5:$G$110&lt;&gt;"acoes")))*INDEX(Inputs!$K$5:$AJ$110,0,MATCH(J$2,Inputs!$K$4:$AJ$4,0)))))</f>
        <v>32727</v>
      </c>
      <c r="K64" s="263">
        <f>IF(ISNA(MATCH(K$2,Inputs!$K$4:$AJ$4,0)),NA(),IF(SUMPRODUCT((Inputs!$A$5:$A$110=$B64)*ISNUMBER(INDEX(Inputs!$K$5:$AJ$110,0,MATCH(K$2,Inputs!$K$4:$AJ$4,0))))+SUMPRODUCT((Inputs!$C$5:$C$110=$B64)*ISNUMBER(INDEX(Inputs!$K$5:$AJ$110,0,MATCH(K$2,Inputs!$K$4:$AJ$4,0))))+SUMPRODUCT((Inputs!$E$5:$E$110=$B64)*ISNUMBER(INDEX(Inputs!$K$5:$AJ$110,0,MATCH(K$2,Inputs!$K$4:$AJ$4,0))))=0,NA(),SUMPRODUCT((Inputs!$A$5:$A$110=$B64)*Inputs!$B$5:$B$110*(((Inputs!$G$5:$G$110="moeda")+(Inputs!$G$5:$G$110="acoes"))*Inputs!$B$1+((Inputs!$G$5:$G$110&lt;&gt;"moeda")*(Inputs!$G$5:$G$110&lt;&gt;"acoes")))*INDEX(Inputs!$K$5:$AJ$110,0,MATCH(K$2,Inputs!$K$4:$AJ$4,0)))+SUMPRODUCT((Inputs!$C$5:$C$110=$B64)*Inputs!$D$5:$D$110*(((Inputs!$G$5:$G$110="moeda")+(Inputs!$G$5:$G$110="acoes"))*Inputs!$B$1+((Inputs!$G$5:$G$110&lt;&gt;"moeda")*(Inputs!$G$5:$G$110&lt;&gt;"acoes")))*INDEX(Inputs!$K$5:$AJ$110,0,MATCH(K$2,Inputs!$K$4:$AJ$4,0)))+SUMPRODUCT((Inputs!$E$5:$E$110=$B64)*Inputs!$F$5:$F$110*(((Inputs!$G$5:$G$110="moeda")+(Inputs!$G$5:$G$110="acoes"))*Inputs!$B$1+((Inputs!$G$5:$G$110&lt;&gt;"moeda")*(Inputs!$G$5:$G$110&lt;&gt;"acoes")))*INDEX(Inputs!$K$5:$AJ$110,0,MATCH(K$2,Inputs!$K$4:$AJ$4,0)))))</f>
        <v>33372</v>
      </c>
      <c r="L64" s="263">
        <f>IF(ISNA(MATCH(L$2,Inputs!$K$4:$AJ$4,0)),NA(),IF(SUMPRODUCT((Inputs!$A$5:$A$110=$B64)*ISNUMBER(INDEX(Inputs!$K$5:$AJ$110,0,MATCH(L$2,Inputs!$K$4:$AJ$4,0))))+SUMPRODUCT((Inputs!$C$5:$C$110=$B64)*ISNUMBER(INDEX(Inputs!$K$5:$AJ$110,0,MATCH(L$2,Inputs!$K$4:$AJ$4,0))))+SUMPRODUCT((Inputs!$E$5:$E$110=$B64)*ISNUMBER(INDEX(Inputs!$K$5:$AJ$110,0,MATCH(L$2,Inputs!$K$4:$AJ$4,0))))=0,NA(),SUMPRODUCT((Inputs!$A$5:$A$110=$B64)*Inputs!$B$5:$B$110*(((Inputs!$G$5:$G$110="moeda")+(Inputs!$G$5:$G$110="acoes"))*Inputs!$B$1+((Inputs!$G$5:$G$110&lt;&gt;"moeda")*(Inputs!$G$5:$G$110&lt;&gt;"acoes")))*INDEX(Inputs!$K$5:$AJ$110,0,MATCH(L$2,Inputs!$K$4:$AJ$4,0)))+SUMPRODUCT((Inputs!$C$5:$C$110=$B64)*Inputs!$D$5:$D$110*(((Inputs!$G$5:$G$110="moeda")+(Inputs!$G$5:$G$110="acoes"))*Inputs!$B$1+((Inputs!$G$5:$G$110&lt;&gt;"moeda")*(Inputs!$G$5:$G$110&lt;&gt;"acoes")))*INDEX(Inputs!$K$5:$AJ$110,0,MATCH(L$2,Inputs!$K$4:$AJ$4,0)))+SUMPRODUCT((Inputs!$E$5:$E$110=$B64)*Inputs!$F$5:$F$110*(((Inputs!$G$5:$G$110="moeda")+(Inputs!$G$5:$G$110="acoes"))*Inputs!$B$1+((Inputs!$G$5:$G$110&lt;&gt;"moeda")*(Inputs!$G$5:$G$110&lt;&gt;"acoes")))*INDEX(Inputs!$K$5:$AJ$110,0,MATCH(L$2,Inputs!$K$4:$AJ$4,0)))))</f>
        <v>36982</v>
      </c>
      <c r="M64" s="264">
        <f>SUM(I64:L64)</f>
        <v>134814</v>
      </c>
      <c r="N64" s="263">
        <f>IF(ISNA(MATCH(N$2,Inputs!$K$4:$AJ$4,0)),NA(),IF(SUMPRODUCT((Inputs!$A$5:$A$110=$B64)*ISNUMBER(INDEX(Inputs!$K$5:$AJ$110,0,MATCH(N$2,Inputs!$K$4:$AJ$4,0))))+SUMPRODUCT((Inputs!$C$5:$C$110=$B64)*ISNUMBER(INDEX(Inputs!$K$5:$AJ$110,0,MATCH(N$2,Inputs!$K$4:$AJ$4,0))))+SUMPRODUCT((Inputs!$E$5:$E$110=$B64)*ISNUMBER(INDEX(Inputs!$K$5:$AJ$110,0,MATCH(N$2,Inputs!$K$4:$AJ$4,0))))=0,NA(),SUMPRODUCT((Inputs!$A$5:$A$110=$B64)*Inputs!$B$5:$B$110*(((Inputs!$G$5:$G$110="moeda")+(Inputs!$G$5:$G$110="acoes"))*Inputs!$B$1+((Inputs!$G$5:$G$110&lt;&gt;"moeda")*(Inputs!$G$5:$G$110&lt;&gt;"acoes")))*INDEX(Inputs!$K$5:$AJ$110,0,MATCH(N$2,Inputs!$K$4:$AJ$4,0)))+SUMPRODUCT((Inputs!$C$5:$C$110=$B64)*Inputs!$D$5:$D$110*(((Inputs!$G$5:$G$110="moeda")+(Inputs!$G$5:$G$110="acoes"))*Inputs!$B$1+((Inputs!$G$5:$G$110&lt;&gt;"moeda")*(Inputs!$G$5:$G$110&lt;&gt;"acoes")))*INDEX(Inputs!$K$5:$AJ$110,0,MATCH(N$2,Inputs!$K$4:$AJ$4,0)))+SUMPRODUCT((Inputs!$E$5:$E$110=$B64)*Inputs!$F$5:$F$110*(((Inputs!$G$5:$G$110="moeda")+(Inputs!$G$5:$G$110="acoes"))*Inputs!$B$1+((Inputs!$G$5:$G$110&lt;&gt;"moeda")*(Inputs!$G$5:$G$110&lt;&gt;"acoes")))*INDEX(Inputs!$K$5:$AJ$110,0,MATCH(N$2,Inputs!$K$4:$AJ$4,0)))))</f>
        <v>32864</v>
      </c>
      <c r="O64" s="263">
        <f>IF(ISNA(MATCH(O$2,Inputs!$K$4:$AJ$4,0)),NA(),IF(SUMPRODUCT((Inputs!$A$5:$A$110=$B64)*ISNUMBER(INDEX(Inputs!$K$5:$AJ$110,0,MATCH(O$2,Inputs!$K$4:$AJ$4,0))))+SUMPRODUCT((Inputs!$C$5:$C$110=$B64)*ISNUMBER(INDEX(Inputs!$K$5:$AJ$110,0,MATCH(O$2,Inputs!$K$4:$AJ$4,0))))+SUMPRODUCT((Inputs!$E$5:$E$110=$B64)*ISNUMBER(INDEX(Inputs!$K$5:$AJ$110,0,MATCH(O$2,Inputs!$K$4:$AJ$4,0))))=0,NA(),SUMPRODUCT((Inputs!$A$5:$A$110=$B64)*Inputs!$B$5:$B$110*(((Inputs!$G$5:$G$110="moeda")+(Inputs!$G$5:$G$110="acoes"))*Inputs!$B$1+((Inputs!$G$5:$G$110&lt;&gt;"moeda")*(Inputs!$G$5:$G$110&lt;&gt;"acoes")))*INDEX(Inputs!$K$5:$AJ$110,0,MATCH(O$2,Inputs!$K$4:$AJ$4,0)))+SUMPRODUCT((Inputs!$C$5:$C$110=$B64)*Inputs!$D$5:$D$110*(((Inputs!$G$5:$G$110="moeda")+(Inputs!$G$5:$G$110="acoes"))*Inputs!$B$1+((Inputs!$G$5:$G$110&lt;&gt;"moeda")*(Inputs!$G$5:$G$110&lt;&gt;"acoes")))*INDEX(Inputs!$K$5:$AJ$110,0,MATCH(O$2,Inputs!$K$4:$AJ$4,0)))+SUMPRODUCT((Inputs!$E$5:$E$110=$B64)*Inputs!$F$5:$F$110*(((Inputs!$G$5:$G$110="moeda")+(Inputs!$G$5:$G$110="acoes"))*Inputs!$B$1+((Inputs!$G$5:$G$110&lt;&gt;"moeda")*(Inputs!$G$5:$G$110&lt;&gt;"acoes")))*INDEX(Inputs!$K$5:$AJ$110,0,MATCH(O$2,Inputs!$K$4:$AJ$4,0)))))</f>
        <v>35073</v>
      </c>
      <c r="P64" s="263">
        <f>IF(ISNA(MATCH(P$2,Inputs!$K$4:$AJ$4,0)),NA(),IF(SUMPRODUCT((Inputs!$A$5:$A$110=$B64)*ISNUMBER(INDEX(Inputs!$K$5:$AJ$110,0,MATCH(P$2,Inputs!$K$4:$AJ$4,0))))+SUMPRODUCT((Inputs!$C$5:$C$110=$B64)*ISNUMBER(INDEX(Inputs!$K$5:$AJ$110,0,MATCH(P$2,Inputs!$K$4:$AJ$4,0))))+SUMPRODUCT((Inputs!$E$5:$E$110=$B64)*ISNUMBER(INDEX(Inputs!$K$5:$AJ$110,0,MATCH(P$2,Inputs!$K$4:$AJ$4,0))))=0,NA(),SUMPRODUCT((Inputs!$A$5:$A$110=$B64)*Inputs!$B$5:$B$110*(((Inputs!$G$5:$G$110="moeda")+(Inputs!$G$5:$G$110="acoes"))*Inputs!$B$1+((Inputs!$G$5:$G$110&lt;&gt;"moeda")*(Inputs!$G$5:$G$110&lt;&gt;"acoes")))*INDEX(Inputs!$K$5:$AJ$110,0,MATCH(P$2,Inputs!$K$4:$AJ$4,0)))+SUMPRODUCT((Inputs!$C$5:$C$110=$B64)*Inputs!$D$5:$D$110*(((Inputs!$G$5:$G$110="moeda")+(Inputs!$G$5:$G$110="acoes"))*Inputs!$B$1+((Inputs!$G$5:$G$110&lt;&gt;"moeda")*(Inputs!$G$5:$G$110&lt;&gt;"acoes")))*INDEX(Inputs!$K$5:$AJ$110,0,MATCH(P$2,Inputs!$K$4:$AJ$4,0)))+SUMPRODUCT((Inputs!$E$5:$E$110=$B64)*Inputs!$F$5:$F$110*(((Inputs!$G$5:$G$110="moeda")+(Inputs!$G$5:$G$110="acoes"))*Inputs!$B$1+((Inputs!$G$5:$G$110&lt;&gt;"moeda")*(Inputs!$G$5:$G$110&lt;&gt;"acoes")))*INDEX(Inputs!$K$5:$AJ$110,0,MATCH(P$2,Inputs!$K$4:$AJ$4,0)))))</f>
        <v>36354</v>
      </c>
      <c r="Q64" s="263">
        <f>IF(ISNA(MATCH(Q$2,Inputs!$K$4:$AJ$4,0)),NA(),IF(SUMPRODUCT((Inputs!$A$5:$A$110=$B64)*ISNUMBER(INDEX(Inputs!$K$5:$AJ$110,0,MATCH(Q$2,Inputs!$K$4:$AJ$4,0))))+SUMPRODUCT((Inputs!$C$5:$C$110=$B64)*ISNUMBER(INDEX(Inputs!$K$5:$AJ$110,0,MATCH(Q$2,Inputs!$K$4:$AJ$4,0))))+SUMPRODUCT((Inputs!$E$5:$E$110=$B64)*ISNUMBER(INDEX(Inputs!$K$5:$AJ$110,0,MATCH(Q$2,Inputs!$K$4:$AJ$4,0))))=0,NA(),SUMPRODUCT((Inputs!$A$5:$A$110=$B64)*Inputs!$B$5:$B$110*(((Inputs!$G$5:$G$110="moeda")+(Inputs!$G$5:$G$110="acoes"))*Inputs!$B$1+((Inputs!$G$5:$G$110&lt;&gt;"moeda")*(Inputs!$G$5:$G$110&lt;&gt;"acoes")))*INDEX(Inputs!$K$5:$AJ$110,0,MATCH(Q$2,Inputs!$K$4:$AJ$4,0)))+SUMPRODUCT((Inputs!$C$5:$C$110=$B64)*Inputs!$D$5:$D$110*(((Inputs!$G$5:$G$110="moeda")+(Inputs!$G$5:$G$110="acoes"))*Inputs!$B$1+((Inputs!$G$5:$G$110&lt;&gt;"moeda")*(Inputs!$G$5:$G$110&lt;&gt;"acoes")))*INDEX(Inputs!$K$5:$AJ$110,0,MATCH(Q$2,Inputs!$K$4:$AJ$4,0)))+SUMPRODUCT((Inputs!$E$5:$E$110=$B64)*Inputs!$F$5:$F$110*(((Inputs!$G$5:$G$110="moeda")+(Inputs!$G$5:$G$110="acoes"))*Inputs!$B$1+((Inputs!$G$5:$G$110&lt;&gt;"moeda")*(Inputs!$G$5:$G$110&lt;&gt;"acoes")))*INDEX(Inputs!$K$5:$AJ$110,0,MATCH(Q$2,Inputs!$K$4:$AJ$4,0)))))</f>
        <v>41995</v>
      </c>
      <c r="R64" s="264">
        <f>SUM(N64:Q64)</f>
        <v>146286</v>
      </c>
      <c r="S64" s="263">
        <f>IF(ISNA(MATCH(S$2,Inputs!$K$4:$AJ$4,0)),NA(),IF(SUMPRODUCT((Inputs!$A$5:$A$110=$B64)*ISNUMBER(INDEX(Inputs!$K$5:$AJ$110,0,MATCH(S$2,Inputs!$K$4:$AJ$4,0))))+SUMPRODUCT((Inputs!$C$5:$C$110=$B64)*ISNUMBER(INDEX(Inputs!$K$5:$AJ$110,0,MATCH(S$2,Inputs!$K$4:$AJ$4,0))))+SUMPRODUCT((Inputs!$E$5:$E$110=$B64)*ISNUMBER(INDEX(Inputs!$K$5:$AJ$110,0,MATCH(S$2,Inputs!$K$4:$AJ$4,0))))=0,NA(),SUMPRODUCT((Inputs!$A$5:$A$110=$B64)*Inputs!$B$5:$B$110*(((Inputs!$G$5:$G$110="moeda")+(Inputs!$G$5:$G$110="acoes"))*Inputs!$B$1+((Inputs!$G$5:$G$110&lt;&gt;"moeda")*(Inputs!$G$5:$G$110&lt;&gt;"acoes")))*INDEX(Inputs!$K$5:$AJ$110,0,MATCH(S$2,Inputs!$K$4:$AJ$4,0)))+SUMPRODUCT((Inputs!$C$5:$C$110=$B64)*Inputs!$D$5:$D$110*(((Inputs!$G$5:$G$110="moeda")+(Inputs!$G$5:$G$110="acoes"))*Inputs!$B$1+((Inputs!$G$5:$G$110&lt;&gt;"moeda")*(Inputs!$G$5:$G$110&lt;&gt;"acoes")))*INDEX(Inputs!$K$5:$AJ$110,0,MATCH(S$2,Inputs!$K$4:$AJ$4,0)))+SUMPRODUCT((Inputs!$E$5:$E$110=$B64)*Inputs!$F$5:$F$110*(((Inputs!$G$5:$G$110="moeda")+(Inputs!$G$5:$G$110="acoes"))*Inputs!$B$1+((Inputs!$G$5:$G$110&lt;&gt;"moeda")*(Inputs!$G$5:$G$110&lt;&gt;"acoes")))*INDEX(Inputs!$K$5:$AJ$110,0,MATCH(S$2,Inputs!$K$4:$AJ$4,0)))))</f>
        <v>38737</v>
      </c>
      <c r="T64" s="263">
        <f>IF(ISNA(MATCH(T$2,Inputs!$K$4:$AJ$4,0)),NA(),IF(SUMPRODUCT((Inputs!$A$5:$A$110=$B64)*ISNUMBER(INDEX(Inputs!$K$5:$AJ$110,0,MATCH(T$2,Inputs!$K$4:$AJ$4,0))))+SUMPRODUCT((Inputs!$C$5:$C$110=$B64)*ISNUMBER(INDEX(Inputs!$K$5:$AJ$110,0,MATCH(T$2,Inputs!$K$4:$AJ$4,0))))+SUMPRODUCT((Inputs!$E$5:$E$110=$B64)*ISNUMBER(INDEX(Inputs!$K$5:$AJ$110,0,MATCH(T$2,Inputs!$K$4:$AJ$4,0))))=0,NA(),SUMPRODUCT((Inputs!$A$5:$A$110=$B64)*Inputs!$B$5:$B$110*(((Inputs!$G$5:$G$110="moeda")+(Inputs!$G$5:$G$110="acoes"))*Inputs!$B$1+((Inputs!$G$5:$G$110&lt;&gt;"moeda")*(Inputs!$G$5:$G$110&lt;&gt;"acoes")))*INDEX(Inputs!$K$5:$AJ$110,0,MATCH(T$2,Inputs!$K$4:$AJ$4,0)))+SUMPRODUCT((Inputs!$C$5:$C$110=$B64)*Inputs!$D$5:$D$110*(((Inputs!$G$5:$G$110="moeda")+(Inputs!$G$5:$G$110="acoes"))*Inputs!$B$1+((Inputs!$G$5:$G$110&lt;&gt;"moeda")*(Inputs!$G$5:$G$110&lt;&gt;"acoes")))*INDEX(Inputs!$K$5:$AJ$110,0,MATCH(T$2,Inputs!$K$4:$AJ$4,0)))+SUMPRODUCT((Inputs!$E$5:$E$110=$B64)*Inputs!$F$5:$F$110*(((Inputs!$G$5:$G$110="moeda")+(Inputs!$G$5:$G$110="acoes"))*Inputs!$B$1+((Inputs!$G$5:$G$110&lt;&gt;"moeda")*(Inputs!$G$5:$G$110&lt;&gt;"acoes")))*INDEX(Inputs!$K$5:$AJ$110,0,MATCH(T$2,Inputs!$K$4:$AJ$4,0)))))</f>
        <v>41196</v>
      </c>
      <c r="U64" s="263">
        <f>IF(ISNA(MATCH(U$2,Inputs!$K$4:$AJ$4,0)),NA(),IF(SUMPRODUCT((Inputs!$A$5:$A$110=$B64)*ISNUMBER(INDEX(Inputs!$K$5:$AJ$110,0,MATCH(U$2,Inputs!$K$4:$AJ$4,0))))+SUMPRODUCT((Inputs!$C$5:$C$110=$B64)*ISNUMBER(INDEX(Inputs!$K$5:$AJ$110,0,MATCH(U$2,Inputs!$K$4:$AJ$4,0))))+SUMPRODUCT((Inputs!$E$5:$E$110=$B64)*ISNUMBER(INDEX(Inputs!$K$5:$AJ$110,0,MATCH(U$2,Inputs!$K$4:$AJ$4,0))))=0,NA(),SUMPRODUCT((Inputs!$A$5:$A$110=$B64)*Inputs!$B$5:$B$110*(((Inputs!$G$5:$G$110="moeda")+(Inputs!$G$5:$G$110="acoes"))*Inputs!$B$1+((Inputs!$G$5:$G$110&lt;&gt;"moeda")*(Inputs!$G$5:$G$110&lt;&gt;"acoes")))*INDEX(Inputs!$K$5:$AJ$110,0,MATCH(U$2,Inputs!$K$4:$AJ$4,0)))+SUMPRODUCT((Inputs!$C$5:$C$110=$B64)*Inputs!$D$5:$D$110*(((Inputs!$G$5:$G$110="moeda")+(Inputs!$G$5:$G$110="acoes"))*Inputs!$B$1+((Inputs!$G$5:$G$110&lt;&gt;"moeda")*(Inputs!$G$5:$G$110&lt;&gt;"acoes")))*INDEX(Inputs!$K$5:$AJ$110,0,MATCH(U$2,Inputs!$K$4:$AJ$4,0)))+SUMPRODUCT((Inputs!$E$5:$E$110=$B64)*Inputs!$F$5:$F$110*(((Inputs!$G$5:$G$110="moeda")+(Inputs!$G$5:$G$110="acoes"))*Inputs!$B$1+((Inputs!$G$5:$G$110&lt;&gt;"moeda")*(Inputs!$G$5:$G$110&lt;&gt;"acoes")))*INDEX(Inputs!$K$5:$AJ$110,0,MATCH(U$2,Inputs!$K$4:$AJ$4,0)))))</f>
        <v>43139</v>
      </c>
      <c r="V64" s="263">
        <f>IF(ISNA(MATCH(V$2,Inputs!$K$4:$AJ$4,0)),NA(),IF(SUMPRODUCT((Inputs!$A$5:$A$110=$B64)*ISNUMBER(INDEX(Inputs!$K$5:$AJ$110,0,MATCH(V$2,Inputs!$K$4:$AJ$4,0))))+SUMPRODUCT((Inputs!$C$5:$C$110=$B64)*ISNUMBER(INDEX(Inputs!$K$5:$AJ$110,0,MATCH(V$2,Inputs!$K$4:$AJ$4,0))))+SUMPRODUCT((Inputs!$E$5:$E$110=$B64)*ISNUMBER(INDEX(Inputs!$K$5:$AJ$110,0,MATCH(V$2,Inputs!$K$4:$AJ$4,0))))=0,NA(),SUMPRODUCT((Inputs!$A$5:$A$110=$B64)*Inputs!$B$5:$B$110*(((Inputs!$G$5:$G$110="moeda")+(Inputs!$G$5:$G$110="acoes"))*Inputs!$B$1+((Inputs!$G$5:$G$110&lt;&gt;"moeda")*(Inputs!$G$5:$G$110&lt;&gt;"acoes")))*INDEX(Inputs!$K$5:$AJ$110,0,MATCH(V$2,Inputs!$K$4:$AJ$4,0)))+SUMPRODUCT((Inputs!$C$5:$C$110=$B64)*Inputs!$D$5:$D$110*(((Inputs!$G$5:$G$110="moeda")+(Inputs!$G$5:$G$110="acoes"))*Inputs!$B$1+((Inputs!$G$5:$G$110&lt;&gt;"moeda")*(Inputs!$G$5:$G$110&lt;&gt;"acoes")))*INDEX(Inputs!$K$5:$AJ$110,0,MATCH(V$2,Inputs!$K$4:$AJ$4,0)))+SUMPRODUCT((Inputs!$E$5:$E$110=$B64)*Inputs!$F$5:$F$110*(((Inputs!$G$5:$G$110="moeda")+(Inputs!$G$5:$G$110="acoes"))*Inputs!$B$1+((Inputs!$G$5:$G$110&lt;&gt;"moeda")*(Inputs!$G$5:$G$110&lt;&gt;"acoes")))*INDEX(Inputs!$K$5:$AJ$110,0,MATCH(V$2,Inputs!$K$4:$AJ$4,0)))))</f>
        <v>47375</v>
      </c>
      <c r="W64" s="264">
        <f>SUM(S64:V64)</f>
        <v>170447</v>
      </c>
      <c r="X64" s="263">
        <f>IF(ISNA(MATCH(X$2,Inputs!$K$4:$AJ$4,0)),NA(),IF(SUMPRODUCT((Inputs!$A$5:$A$110=$B64)*ISNUMBER(INDEX(Inputs!$K$5:$AJ$110,0,MATCH(X$2,Inputs!$K$4:$AJ$4,0))))+SUMPRODUCT((Inputs!$C$5:$C$110=$B64)*ISNUMBER(INDEX(Inputs!$K$5:$AJ$110,0,MATCH(X$2,Inputs!$K$4:$AJ$4,0))))+SUMPRODUCT((Inputs!$E$5:$E$110=$B64)*ISNUMBER(INDEX(Inputs!$K$5:$AJ$110,0,MATCH(X$2,Inputs!$K$4:$AJ$4,0))))=0,NA(),SUMPRODUCT((Inputs!$A$5:$A$110=$B64)*Inputs!$B$5:$B$110*(((Inputs!$G$5:$G$110="moeda")+(Inputs!$G$5:$G$110="acoes"))*Inputs!$B$1+((Inputs!$G$5:$G$110&lt;&gt;"moeda")*(Inputs!$G$5:$G$110&lt;&gt;"acoes")))*INDEX(Inputs!$K$5:$AJ$110,0,MATCH(X$2,Inputs!$K$4:$AJ$4,0)))+SUMPRODUCT((Inputs!$C$5:$C$110=$B64)*Inputs!$D$5:$D$110*(((Inputs!$G$5:$G$110="moeda")+(Inputs!$G$5:$G$110="acoes"))*Inputs!$B$1+((Inputs!$G$5:$G$110&lt;&gt;"moeda")*(Inputs!$G$5:$G$110&lt;&gt;"acoes")))*INDEX(Inputs!$K$5:$AJ$110,0,MATCH(X$2,Inputs!$K$4:$AJ$4,0)))+SUMPRODUCT((Inputs!$E$5:$E$110=$B64)*Inputs!$F$5:$F$110*(((Inputs!$G$5:$G$110="moeda")+(Inputs!$G$5:$G$110="acoes"))*Inputs!$B$1+((Inputs!$G$5:$G$110&lt;&gt;"moeda")*(Inputs!$G$5:$G$110&lt;&gt;"acoes")))*INDEX(Inputs!$K$5:$AJ$110,0,MATCH(X$2,Inputs!$K$4:$AJ$4,0)))))</f>
        <v>43964</v>
      </c>
      <c r="Y64" s="263">
        <f>IF(ISNA(MATCH(Y$2,Inputs!$K$4:$AJ$4,0)),NA(),IF(SUMPRODUCT((Inputs!$A$5:$A$110=$B64)*ISNUMBER(INDEX(Inputs!$K$5:$AJ$110,0,MATCH(Y$2,Inputs!$K$4:$AJ$4,0))))+SUMPRODUCT((Inputs!$C$5:$C$110=$B64)*ISNUMBER(INDEX(Inputs!$K$5:$AJ$110,0,MATCH(Y$2,Inputs!$K$4:$AJ$4,0))))+SUMPRODUCT((Inputs!$E$5:$E$110=$B64)*ISNUMBER(INDEX(Inputs!$K$5:$AJ$110,0,MATCH(Y$2,Inputs!$K$4:$AJ$4,0))))=0,NA(),SUMPRODUCT((Inputs!$A$5:$A$110=$B64)*Inputs!$B$5:$B$110*(((Inputs!$G$5:$G$110="moeda")+(Inputs!$G$5:$G$110="acoes"))*Inputs!$B$1+((Inputs!$G$5:$G$110&lt;&gt;"moeda")*(Inputs!$G$5:$G$110&lt;&gt;"acoes")))*INDEX(Inputs!$K$5:$AJ$110,0,MATCH(Y$2,Inputs!$K$4:$AJ$4,0)))+SUMPRODUCT((Inputs!$C$5:$C$110=$B64)*Inputs!$D$5:$D$110*(((Inputs!$G$5:$G$110="moeda")+(Inputs!$G$5:$G$110="acoes"))*Inputs!$B$1+((Inputs!$G$5:$G$110&lt;&gt;"moeda")*(Inputs!$G$5:$G$110&lt;&gt;"acoes")))*INDEX(Inputs!$K$5:$AJ$110,0,MATCH(Y$2,Inputs!$K$4:$AJ$4,0)))+SUMPRODUCT((Inputs!$E$5:$E$110=$B64)*Inputs!$F$5:$F$110*(((Inputs!$G$5:$G$110="moeda")+(Inputs!$G$5:$G$110="acoes"))*Inputs!$B$1+((Inputs!$G$5:$G$110&lt;&gt;"moeda")*(Inputs!$G$5:$G$110&lt;&gt;"acoes")))*INDEX(Inputs!$K$5:$AJ$110,0,MATCH(Y$2,Inputs!$K$4:$AJ$4,0)))))</f>
        <v>46063</v>
      </c>
      <c r="Z64" s="263">
        <f>IF(ISNA(MATCH(Z$2,Inputs!$K$4:$AJ$4,0)),NA(),IF(SUMPRODUCT((Inputs!$A$5:$A$110=$B64)*ISNUMBER(INDEX(Inputs!$K$5:$AJ$110,0,MATCH(Z$2,Inputs!$K$4:$AJ$4,0))))+SUMPRODUCT((Inputs!$C$5:$C$110=$B64)*ISNUMBER(INDEX(Inputs!$K$5:$AJ$110,0,MATCH(Z$2,Inputs!$K$4:$AJ$4,0))))+SUMPRODUCT((Inputs!$E$5:$E$110=$B64)*ISNUMBER(INDEX(Inputs!$K$5:$AJ$110,0,MATCH(Z$2,Inputs!$K$4:$AJ$4,0))))=0,NA(),SUMPRODUCT((Inputs!$A$5:$A$110=$B64)*Inputs!$B$5:$B$110*(((Inputs!$G$5:$G$110="moeda")+(Inputs!$G$5:$G$110="acoes"))*Inputs!$B$1+((Inputs!$G$5:$G$110&lt;&gt;"moeda")*(Inputs!$G$5:$G$110&lt;&gt;"acoes")))*INDEX(Inputs!$K$5:$AJ$110,0,MATCH(Z$2,Inputs!$K$4:$AJ$4,0)))+SUMPRODUCT((Inputs!$C$5:$C$110=$B64)*Inputs!$D$5:$D$110*(((Inputs!$G$5:$G$110="moeda")+(Inputs!$G$5:$G$110="acoes"))*Inputs!$B$1+((Inputs!$G$5:$G$110&lt;&gt;"moeda")*(Inputs!$G$5:$G$110&lt;&gt;"acoes")))*INDEX(Inputs!$K$5:$AJ$110,0,MATCH(Z$2,Inputs!$K$4:$AJ$4,0)))+SUMPRODUCT((Inputs!$E$5:$E$110=$B64)*Inputs!$F$5:$F$110*(((Inputs!$G$5:$G$110="moeda")+(Inputs!$G$5:$G$110="acoes"))*Inputs!$B$1+((Inputs!$G$5:$G$110&lt;&gt;"moeda")*(Inputs!$G$5:$G$110&lt;&gt;"acoes")))*INDEX(Inputs!$K$5:$AJ$110,0,MATCH(Z$2,Inputs!$K$4:$AJ$4,0)))))</f>
        <v>48758</v>
      </c>
      <c r="AA64" s="263">
        <f>IF(ISNA(MATCH(AA$2,Inputs!$K$4:$AJ$4,0)),NA(),IF(SUMPRODUCT((Inputs!$A$5:$A$110=$B64)*ISNUMBER(INDEX(Inputs!$K$5:$AJ$110,0,MATCH(AA$2,Inputs!$K$4:$AJ$4,0))))+SUMPRODUCT((Inputs!$C$5:$C$110=$B64)*ISNUMBER(INDEX(Inputs!$K$5:$AJ$110,0,MATCH(AA$2,Inputs!$K$4:$AJ$4,0))))+SUMPRODUCT((Inputs!$E$5:$E$110=$B64)*ISNUMBER(INDEX(Inputs!$K$5:$AJ$110,0,MATCH(AA$2,Inputs!$K$4:$AJ$4,0))))=0,NA(),SUMPRODUCT((Inputs!$A$5:$A$110=$B64)*Inputs!$B$5:$B$110*(((Inputs!$G$5:$G$110="moeda")+(Inputs!$G$5:$G$110="acoes"))*Inputs!$B$1+((Inputs!$G$5:$G$110&lt;&gt;"moeda")*(Inputs!$G$5:$G$110&lt;&gt;"acoes")))*INDEX(Inputs!$K$5:$AJ$110,0,MATCH(AA$2,Inputs!$K$4:$AJ$4,0)))+SUMPRODUCT((Inputs!$C$5:$C$110=$B64)*Inputs!$D$5:$D$110*(((Inputs!$G$5:$G$110="moeda")+(Inputs!$G$5:$G$110="acoes"))*Inputs!$B$1+((Inputs!$G$5:$G$110&lt;&gt;"moeda")*(Inputs!$G$5:$G$110&lt;&gt;"acoes")))*INDEX(Inputs!$K$5:$AJ$110,0,MATCH(AA$2,Inputs!$K$4:$AJ$4,0)))+SUMPRODUCT((Inputs!$E$5:$E$110=$B64)*Inputs!$F$5:$F$110*(((Inputs!$G$5:$G$110="moeda")+(Inputs!$G$5:$G$110="acoes"))*Inputs!$B$1+((Inputs!$G$5:$G$110&lt;&gt;"moeda")*(Inputs!$G$5:$G$110&lt;&gt;"acoes")))*INDEX(Inputs!$K$5:$AJ$110,0,MATCH(AA$2,Inputs!$K$4:$AJ$4,0)))))</f>
        <v>55444</v>
      </c>
      <c r="AB64" s="264">
        <f>SUM(X64:AA64)</f>
        <v>194229</v>
      </c>
      <c r="AC64" s="263">
        <f>IF(ISNA(MATCH(AC$2,Inputs!$K$4:$AJ$4,0)),NA(),IF(SUMPRODUCT((Inputs!$A$5:$A$110=$B64)*ISNUMBER(INDEX(Inputs!$K$5:$AJ$110,0,MATCH(AC$2,Inputs!$K$4:$AJ$4,0))))+SUMPRODUCT((Inputs!$C$5:$C$110=$B64)*ISNUMBER(INDEX(Inputs!$K$5:$AJ$110,0,MATCH(AC$2,Inputs!$K$4:$AJ$4,0))))+SUMPRODUCT((Inputs!$E$5:$E$110=$B64)*ISNUMBER(INDEX(Inputs!$K$5:$AJ$110,0,MATCH(AC$2,Inputs!$K$4:$AJ$4,0))))=0,NA(),SUMPRODUCT((Inputs!$A$5:$A$110=$B64)*Inputs!$B$5:$B$110*(((Inputs!$G$5:$G$110="moeda")+(Inputs!$G$5:$G$110="acoes"))*Inputs!$B$1+((Inputs!$G$5:$G$110&lt;&gt;"moeda")*(Inputs!$G$5:$G$110&lt;&gt;"acoes")))*INDEX(Inputs!$K$5:$AJ$110,0,MATCH(AC$2,Inputs!$K$4:$AJ$4,0)))+SUMPRODUCT((Inputs!$C$5:$C$110=$B64)*Inputs!$D$5:$D$110*(((Inputs!$G$5:$G$110="moeda")+(Inputs!$G$5:$G$110="acoes"))*Inputs!$B$1+((Inputs!$G$5:$G$110&lt;&gt;"moeda")*(Inputs!$G$5:$G$110&lt;&gt;"acoes")))*INDEX(Inputs!$K$5:$AJ$110,0,MATCH(AC$2,Inputs!$K$4:$AJ$4,0)))+SUMPRODUCT((Inputs!$E$5:$E$110=$B64)*Inputs!$F$5:$F$110*(((Inputs!$G$5:$G$110="moeda")+(Inputs!$G$5:$G$110="acoes"))*Inputs!$B$1+((Inputs!$G$5:$G$110&lt;&gt;"moeda")*(Inputs!$G$5:$G$110&lt;&gt;"acoes")))*INDEX(Inputs!$K$5:$AJ$110,0,MATCH(AC$2,Inputs!$K$4:$AJ$4,0)))))</f>
        <v>53975</v>
      </c>
      <c r="AD64" s="263">
        <f>IF(ISNA(MATCH(AD$2,Inputs!$K$4:$AJ$4,0)),NA(),IF(SUMPRODUCT((Inputs!$A$5:$A$110=$B64)*ISNUMBER(INDEX(Inputs!$K$5:$AJ$110,0,MATCH(AD$2,Inputs!$K$4:$AJ$4,0))))+SUMPRODUCT((Inputs!$C$5:$C$110=$B64)*ISNUMBER(INDEX(Inputs!$K$5:$AJ$110,0,MATCH(AD$2,Inputs!$K$4:$AJ$4,0))))+SUMPRODUCT((Inputs!$E$5:$E$110=$B64)*ISNUMBER(INDEX(Inputs!$K$5:$AJ$110,0,MATCH(AD$2,Inputs!$K$4:$AJ$4,0))))=0,NA(),SUMPRODUCT((Inputs!$A$5:$A$110=$B64)*Inputs!$B$5:$B$110*(((Inputs!$G$5:$G$110="moeda")+(Inputs!$G$5:$G$110="acoes"))*Inputs!$B$1+((Inputs!$G$5:$G$110&lt;&gt;"moeda")*(Inputs!$G$5:$G$110&lt;&gt;"acoes")))*INDEX(Inputs!$K$5:$AJ$110,0,MATCH(AD$2,Inputs!$K$4:$AJ$4,0)))+SUMPRODUCT((Inputs!$C$5:$C$110=$B64)*Inputs!$D$5:$D$110*(((Inputs!$G$5:$G$110="moeda")+(Inputs!$G$5:$G$110="acoes"))*Inputs!$B$1+((Inputs!$G$5:$G$110&lt;&gt;"moeda")*(Inputs!$G$5:$G$110&lt;&gt;"acoes")))*INDEX(Inputs!$K$5:$AJ$110,0,MATCH(AD$2,Inputs!$K$4:$AJ$4,0)))+SUMPRODUCT((Inputs!$E$5:$E$110=$B64)*Inputs!$F$5:$F$110*(((Inputs!$G$5:$G$110="moeda")+(Inputs!$G$5:$G$110="acoes"))*Inputs!$B$1+((Inputs!$G$5:$G$110&lt;&gt;"moeda")*(Inputs!$G$5:$G$110&lt;&gt;"acoes")))*INDEX(Inputs!$K$5:$AJ$110,0,MATCH(AD$2,Inputs!$K$4:$AJ$4,0)))))</f>
        <v>60846</v>
      </c>
      <c r="AE64" s="263" t="e">
        <f>IF(ISNA(MATCH(AE$2,Inputs!$K$4:$AJ$4,0)),NA(),IF(SUMPRODUCT((Inputs!$A$5:$A$110=$B64)*ISNUMBER(INDEX(Inputs!$K$5:$AJ$110,0,MATCH(AE$2,Inputs!$K$4:$AJ$4,0))))+SUMPRODUCT((Inputs!$C$5:$C$110=$B64)*ISNUMBER(INDEX(Inputs!$K$5:$AJ$110,0,MATCH(AE$2,Inputs!$K$4:$AJ$4,0))))+SUMPRODUCT((Inputs!$E$5:$E$110=$B64)*ISNUMBER(INDEX(Inputs!$K$5:$AJ$110,0,MATCH(AE$2,Inputs!$K$4:$AJ$4,0))))=0,NA(),SUMPRODUCT((Inputs!$A$5:$A$110=$B64)*Inputs!$B$5:$B$110*(((Inputs!$G$5:$G$110="moeda")+(Inputs!$G$5:$G$110="acoes"))*Inputs!$B$1+((Inputs!$G$5:$G$110&lt;&gt;"moeda")*(Inputs!$G$5:$G$110&lt;&gt;"acoes")))*INDEX(Inputs!$K$5:$AJ$110,0,MATCH(AE$2,Inputs!$K$4:$AJ$4,0)))+SUMPRODUCT((Inputs!$C$5:$C$110=$B64)*Inputs!$D$5:$D$110*(((Inputs!$G$5:$G$110="moeda")+(Inputs!$G$5:$G$110="acoes"))*Inputs!$B$1+((Inputs!$G$5:$G$110&lt;&gt;"moeda")*(Inputs!$G$5:$G$110&lt;&gt;"acoes")))*INDEX(Inputs!$K$5:$AJ$110,0,MATCH(AE$2,Inputs!$K$4:$AJ$4,0)))+SUMPRODUCT((Inputs!$E$5:$E$110=$B64)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4" s="263" t="e">
        <f>IF(ISNA(MATCH(AF$2,Inputs!$K$4:$AJ$4,0)),NA(),IF(SUMPRODUCT((Inputs!$A$5:$A$110=$B64)*ISNUMBER(INDEX(Inputs!$K$5:$AJ$110,0,MATCH(AF$2,Inputs!$K$4:$AJ$4,0))))+SUMPRODUCT((Inputs!$C$5:$C$110=$B64)*ISNUMBER(INDEX(Inputs!$K$5:$AJ$110,0,MATCH(AF$2,Inputs!$K$4:$AJ$4,0))))+SUMPRODUCT((Inputs!$E$5:$E$110=$B64)*ISNUMBER(INDEX(Inputs!$K$5:$AJ$110,0,MATCH(AF$2,Inputs!$K$4:$AJ$4,0))))=0,NA(),SUMPRODUCT((Inputs!$A$5:$A$110=$B64)*Inputs!$B$5:$B$110*(((Inputs!$G$5:$G$110="moeda")+(Inputs!$G$5:$G$110="acoes"))*Inputs!$B$1+((Inputs!$G$5:$G$110&lt;&gt;"moeda")*(Inputs!$G$5:$G$110&lt;&gt;"acoes")))*INDEX(Inputs!$K$5:$AJ$110,0,MATCH(AF$2,Inputs!$K$4:$AJ$4,0)))+SUMPRODUCT((Inputs!$C$5:$C$110=$B64)*Inputs!$D$5:$D$110*(((Inputs!$G$5:$G$110="moeda")+(Inputs!$G$5:$G$110="acoes"))*Inputs!$B$1+((Inputs!$G$5:$G$110&lt;&gt;"moeda")*(Inputs!$G$5:$G$110&lt;&gt;"acoes")))*INDEX(Inputs!$K$5:$AJ$110,0,MATCH(AF$2,Inputs!$K$4:$AJ$4,0)))+SUMPRODUCT((Inputs!$E$5:$E$110=$B64)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4" s="264" t="e">
        <f>SUM(AC64:AF64)</f>
        <v>#N/A</v>
      </c>
      <c r="AH64" s="263">
        <f>IF(ISNA(MATCH(AH$2,Inputs!$K$4:$AJ$4,0)),NA(),IF(SUMPRODUCT((Inputs!$A$5:$A$110=$B64)*ISNUMBER(INDEX(Inputs!$K$5:$AJ$110,0,MATCH(AH$2,Inputs!$K$4:$AJ$4,0))))+SUMPRODUCT((Inputs!$C$5:$C$110=$B64)*ISNUMBER(INDEX(Inputs!$K$5:$AJ$110,0,MATCH(AH$2,Inputs!$K$4:$AJ$4,0))))+SUMPRODUCT((Inputs!$E$5:$E$110=$B64)*ISNUMBER(INDEX(Inputs!$K$5:$AJ$110,0,MATCH(AH$2,Inputs!$K$4:$AJ$4,0))))=0,NA(),SUMPRODUCT((Inputs!$A$5:$A$110=$B64)*Inputs!$B$5:$B$110*(((Inputs!$G$5:$G$110="moeda")+(Inputs!$G$5:$G$110="acoes"))*Inputs!$B$1+((Inputs!$G$5:$G$110&lt;&gt;"moeda")*(Inputs!$G$5:$G$110&lt;&gt;"acoes")))*INDEX(Inputs!$K$5:$AJ$110,0,MATCH(AH$2,Inputs!$K$4:$AJ$4,0)))+SUMPRODUCT((Inputs!$C$5:$C$110=$B64)*Inputs!$D$5:$D$110*(((Inputs!$G$5:$G$110="moeda")+(Inputs!$G$5:$G$110="acoes"))*Inputs!$B$1+((Inputs!$G$5:$G$110&lt;&gt;"moeda")*(Inputs!$G$5:$G$110&lt;&gt;"acoes")))*INDEX(Inputs!$K$5:$AJ$110,0,MATCH(AH$2,Inputs!$K$4:$AJ$4,0)))+SUMPRODUCT((Inputs!$E$5:$E$110=$B64)*Inputs!$F$5:$F$110*(((Inputs!$G$5:$G$110="moeda")+(Inputs!$G$5:$G$110="acoes"))*Inputs!$B$1+((Inputs!$G$5:$G$110&lt;&gt;"moeda")*(Inputs!$G$5:$G$110&lt;&gt;"acoes")))*INDEX(Inputs!$K$5:$AJ$110,0,MATCH(AH$2,Inputs!$K$4:$AJ$4,0)))))</f>
        <v>18870</v>
      </c>
      <c r="AI64" s="263">
        <f>IF(ISNA(MATCH(AI$2,Inputs!$K$4:$AJ$4,0)),NA(),IF(SUMPRODUCT((Inputs!$A$5:$A$110=$B64)*ISNUMBER(INDEX(Inputs!$K$5:$AJ$110,0,MATCH(AI$2,Inputs!$K$4:$AJ$4,0))))+SUMPRODUCT((Inputs!$C$5:$C$110=$B64)*ISNUMBER(INDEX(Inputs!$K$5:$AJ$110,0,MATCH(AI$2,Inputs!$K$4:$AJ$4,0))))+SUMPRODUCT((Inputs!$E$5:$E$110=$B64)*ISNUMBER(INDEX(Inputs!$K$5:$AJ$110,0,MATCH(AI$2,Inputs!$K$4:$AJ$4,0))))=0,NA(),SUMPRODUCT((Inputs!$A$5:$A$110=$B64)*Inputs!$B$5:$B$110*(((Inputs!$G$5:$G$110="moeda")+(Inputs!$G$5:$G$110="acoes"))*Inputs!$B$1+((Inputs!$G$5:$G$110&lt;&gt;"moeda")*(Inputs!$G$5:$G$110&lt;&gt;"acoes")))*INDEX(Inputs!$K$5:$AJ$110,0,MATCH(AI$2,Inputs!$K$4:$AJ$4,0)))+SUMPRODUCT((Inputs!$C$5:$C$110=$B64)*Inputs!$D$5:$D$110*(((Inputs!$G$5:$G$110="moeda")+(Inputs!$G$5:$G$110="acoes"))*Inputs!$B$1+((Inputs!$G$5:$G$110&lt;&gt;"moeda")*(Inputs!$G$5:$G$110&lt;&gt;"acoes")))*INDEX(Inputs!$K$5:$AJ$110,0,MATCH(AI$2,Inputs!$K$4:$AJ$4,0)))+SUMPRODUCT((Inputs!$E$5:$E$110=$B64)*Inputs!$F$5:$F$110*(((Inputs!$G$5:$G$110="moeda")+(Inputs!$G$5:$G$110="acoes"))*Inputs!$B$1+((Inputs!$G$5:$G$110&lt;&gt;"moeda")*(Inputs!$G$5:$G$110&lt;&gt;"acoes")))*INDEX(Inputs!$K$5:$AJ$110,0,MATCH(AI$2,Inputs!$K$4:$AJ$4,0)))))</f>
        <v>17999</v>
      </c>
      <c r="AJ64" s="263">
        <f>IF(ISNA(MATCH(AJ$2,Inputs!$K$4:$AJ$4,0)),NA(),IF(SUMPRODUCT((Inputs!$A$5:$A$110=$B64)*ISNUMBER(INDEX(Inputs!$K$5:$AJ$110,0,MATCH(AJ$2,Inputs!$K$4:$AJ$4,0))))+SUMPRODUCT((Inputs!$C$5:$C$110=$B64)*ISNUMBER(INDEX(Inputs!$K$5:$AJ$110,0,MATCH(AJ$2,Inputs!$K$4:$AJ$4,0))))+SUMPRODUCT((Inputs!$E$5:$E$110=$B64)*ISNUMBER(INDEX(Inputs!$K$5:$AJ$110,0,MATCH(AJ$2,Inputs!$K$4:$AJ$4,0))))=0,NA(),SUMPRODUCT((Inputs!$A$5:$A$110=$B64)*Inputs!$B$5:$B$110*(((Inputs!$G$5:$G$110="moeda")+(Inputs!$G$5:$G$110="acoes"))*Inputs!$B$1+((Inputs!$G$5:$G$110&lt;&gt;"moeda")*(Inputs!$G$5:$G$110&lt;&gt;"acoes")))*INDEX(Inputs!$K$5:$AJ$110,0,MATCH(AJ$2,Inputs!$K$4:$AJ$4,0)))+SUMPRODUCT((Inputs!$C$5:$C$110=$B64)*Inputs!$D$5:$D$110*(((Inputs!$G$5:$G$110="moeda")+(Inputs!$G$5:$G$110="acoes"))*Inputs!$B$1+((Inputs!$G$5:$G$110&lt;&gt;"moeda")*(Inputs!$G$5:$G$110&lt;&gt;"acoes")))*INDEX(Inputs!$K$5:$AJ$110,0,MATCH(AJ$2,Inputs!$K$4:$AJ$4,0)))+SUMPRODUCT((Inputs!$E$5:$E$110=$B64)*Inputs!$F$5:$F$110*(((Inputs!$G$5:$G$110="moeda")+(Inputs!$G$5:$G$110="acoes"))*Inputs!$B$1+((Inputs!$G$5:$G$110&lt;&gt;"moeda")*(Inputs!$G$5:$G$110&lt;&gt;"acoes")))*INDEX(Inputs!$K$5:$AJ$110,0,MATCH(AJ$2,Inputs!$K$4:$AJ$4,0)))))</f>
        <v>21442</v>
      </c>
      <c r="AK64" s="263">
        <f>IF(ISNA(MATCH(AK$2,Inputs!$K$4:$AJ$4,0)),NA(),IF(SUMPRODUCT((Inputs!$A$5:$A$110=$B64)*ISNUMBER(INDEX(Inputs!$K$5:$AJ$110,0,MATCH(AK$2,Inputs!$K$4:$AJ$4,0))))+SUMPRODUCT((Inputs!$C$5:$C$110=$B64)*ISNUMBER(INDEX(Inputs!$K$5:$AJ$110,0,MATCH(AK$2,Inputs!$K$4:$AJ$4,0))))+SUMPRODUCT((Inputs!$E$5:$E$110=$B64)*ISNUMBER(INDEX(Inputs!$K$5:$AJ$110,0,MATCH(AK$2,Inputs!$K$4:$AJ$4,0))))=0,NA(),SUMPRODUCT((Inputs!$A$5:$A$110=$B64)*Inputs!$B$5:$B$110*(((Inputs!$G$5:$G$110="moeda")+(Inputs!$G$5:$G$110="acoes"))*Inputs!$B$1+((Inputs!$G$5:$G$110&lt;&gt;"moeda")*(Inputs!$G$5:$G$110&lt;&gt;"acoes")))*INDEX(Inputs!$K$5:$AJ$110,0,MATCH(AK$2,Inputs!$K$4:$AJ$4,0)))+SUMPRODUCT((Inputs!$C$5:$C$110=$B64)*Inputs!$D$5:$D$110*(((Inputs!$G$5:$G$110="moeda")+(Inputs!$G$5:$G$110="acoes"))*Inputs!$B$1+((Inputs!$G$5:$G$110&lt;&gt;"moeda")*(Inputs!$G$5:$G$110&lt;&gt;"acoes")))*INDEX(Inputs!$K$5:$AJ$110,0,MATCH(AK$2,Inputs!$K$4:$AJ$4,0)))+SUMPRODUCT((Inputs!$E$5:$E$110=$B64)*Inputs!$F$5:$F$110*(((Inputs!$G$5:$G$110="moeda")+(Inputs!$G$5:$G$110="acoes"))*Inputs!$B$1+((Inputs!$G$5:$G$110&lt;&gt;"moeda")*(Inputs!$G$5:$G$110&lt;&gt;"acoes")))*INDEX(Inputs!$K$5:$AJ$110,0,MATCH(AK$2,Inputs!$K$4:$AJ$4,0)))))</f>
        <v>26703</v>
      </c>
      <c r="AL64" s="264">
        <f>SUM(AH64:AK64)</f>
        <v>85014</v>
      </c>
    </row>
    <row r="65">
      <c r="B65" s="46" t="n">
        <v>57</v>
      </c>
      <c r="C65" s="29" t="inlineStr">
        <is>
          <t>Receita EMEA (USD)</t>
        </is>
      </c>
      <c r="D65" s="263">
        <f>IF(ISNA(MATCH(D$2,Inputs!$K$4:$AJ$4,0)),NA(),IF(SUMPRODUCT((Inputs!$A$5:$A$110=$B65)*ISNUMBER(INDEX(Inputs!$K$5:$AJ$110,0,MATCH(D$2,Inputs!$K$4:$AJ$4,0))))+SUMPRODUCT((Inputs!$C$5:$C$110=$B65)*ISNUMBER(INDEX(Inputs!$K$5:$AJ$110,0,MATCH(D$2,Inputs!$K$4:$AJ$4,0))))+SUMPRODUCT((Inputs!$E$5:$E$110=$B65)*ISNUMBER(INDEX(Inputs!$K$5:$AJ$110,0,MATCH(D$2,Inputs!$K$4:$AJ$4,0))))=0,NA(),SUMPRODUCT((Inputs!$A$5:$A$110=$B65)*Inputs!$B$5:$B$110*(((Inputs!$G$5:$G$110="moeda")+(Inputs!$G$5:$G$110="acoes"))*Inputs!$B$1+((Inputs!$G$5:$G$110&lt;&gt;"moeda")*(Inputs!$G$5:$G$110&lt;&gt;"acoes")))*INDEX(Inputs!$K$5:$AJ$110,0,MATCH(D$2,Inputs!$K$4:$AJ$4,0)))+SUMPRODUCT((Inputs!$C$5:$C$110=$B65)*Inputs!$D$5:$D$110*(((Inputs!$G$5:$G$110="moeda")+(Inputs!$G$5:$G$110="acoes"))*Inputs!$B$1+((Inputs!$G$5:$G$110&lt;&gt;"moeda")*(Inputs!$G$5:$G$110&lt;&gt;"acoes")))*INDEX(Inputs!$K$5:$AJ$110,0,MATCH(D$2,Inputs!$K$4:$AJ$4,0)))+SUMPRODUCT((Inputs!$E$5:$E$110=$B65)*Inputs!$F$5:$F$110*(((Inputs!$G$5:$G$110="moeda")+(Inputs!$G$5:$G$110="acoes"))*Inputs!$B$1+((Inputs!$G$5:$G$110&lt;&gt;"moeda")*(Inputs!$G$5:$G$110&lt;&gt;"acoes")))*INDEX(Inputs!$K$5:$AJ$110,0,MATCH(D$2,Inputs!$K$4:$AJ$4,0)))))</f>
        <v>17031</v>
      </c>
      <c r="E65" s="263">
        <f>IF(ISNA(MATCH(E$2,Inputs!$K$4:$AJ$4,0)),NA(),IF(SUMPRODUCT((Inputs!$A$5:$A$110=$B65)*ISNUMBER(INDEX(Inputs!$K$5:$AJ$110,0,MATCH(E$2,Inputs!$K$4:$AJ$4,0))))+SUMPRODUCT((Inputs!$C$5:$C$110=$B65)*ISNUMBER(INDEX(Inputs!$K$5:$AJ$110,0,MATCH(E$2,Inputs!$K$4:$AJ$4,0))))+SUMPRODUCT((Inputs!$E$5:$E$110=$B65)*ISNUMBER(INDEX(Inputs!$K$5:$AJ$110,0,MATCH(E$2,Inputs!$K$4:$AJ$4,0))))=0,NA(),SUMPRODUCT((Inputs!$A$5:$A$110=$B65)*Inputs!$B$5:$B$110*(((Inputs!$G$5:$G$110="moeda")+(Inputs!$G$5:$G$110="acoes"))*Inputs!$B$1+((Inputs!$G$5:$G$110&lt;&gt;"moeda")*(Inputs!$G$5:$G$110&lt;&gt;"acoes")))*INDEX(Inputs!$K$5:$AJ$110,0,MATCH(E$2,Inputs!$K$4:$AJ$4,0)))+SUMPRODUCT((Inputs!$C$5:$C$110=$B65)*Inputs!$D$5:$D$110*(((Inputs!$G$5:$G$110="moeda")+(Inputs!$G$5:$G$110="acoes"))*Inputs!$B$1+((Inputs!$G$5:$G$110&lt;&gt;"moeda")*(Inputs!$G$5:$G$110&lt;&gt;"acoes")))*INDEX(Inputs!$K$5:$AJ$110,0,MATCH(E$2,Inputs!$K$4:$AJ$4,0)))+SUMPRODUCT((Inputs!$E$5:$E$110=$B65)*Inputs!$F$5:$F$110*(((Inputs!$G$5:$G$110="moeda")+(Inputs!$G$5:$G$110="acoes"))*Inputs!$B$1+((Inputs!$G$5:$G$110&lt;&gt;"moeda")*(Inputs!$G$5:$G$110&lt;&gt;"acoes")))*INDEX(Inputs!$K$5:$AJ$110,0,MATCH(E$2,Inputs!$K$4:$AJ$4,0)))))</f>
        <v>19084</v>
      </c>
      <c r="F65" s="263">
        <f>IF(ISNA(MATCH(F$2,Inputs!$K$4:$AJ$4,0)),NA(),IF(SUMPRODUCT((Inputs!$A$5:$A$110=$B65)*ISNUMBER(INDEX(Inputs!$K$5:$AJ$110,0,MATCH(F$2,Inputs!$K$4:$AJ$4,0))))+SUMPRODUCT((Inputs!$C$5:$C$110=$B65)*ISNUMBER(INDEX(Inputs!$K$5:$AJ$110,0,MATCH(F$2,Inputs!$K$4:$AJ$4,0))))+SUMPRODUCT((Inputs!$E$5:$E$110=$B65)*ISNUMBER(INDEX(Inputs!$K$5:$AJ$110,0,MATCH(F$2,Inputs!$K$4:$AJ$4,0))))=0,NA(),SUMPRODUCT((Inputs!$A$5:$A$110=$B65)*Inputs!$B$5:$B$110*(((Inputs!$G$5:$G$110="moeda")+(Inputs!$G$5:$G$110="acoes"))*Inputs!$B$1+((Inputs!$G$5:$G$110&lt;&gt;"moeda")*(Inputs!$G$5:$G$110&lt;&gt;"acoes")))*INDEX(Inputs!$K$5:$AJ$110,0,MATCH(F$2,Inputs!$K$4:$AJ$4,0)))+SUMPRODUCT((Inputs!$C$5:$C$110=$B65)*Inputs!$D$5:$D$110*(((Inputs!$G$5:$G$110="moeda")+(Inputs!$G$5:$G$110="acoes"))*Inputs!$B$1+((Inputs!$G$5:$G$110&lt;&gt;"moeda")*(Inputs!$G$5:$G$110&lt;&gt;"acoes")))*INDEX(Inputs!$K$5:$AJ$110,0,MATCH(F$2,Inputs!$K$4:$AJ$4,0)))+SUMPRODUCT((Inputs!$E$5:$E$110=$B65)*Inputs!$F$5:$F$110*(((Inputs!$G$5:$G$110="moeda")+(Inputs!$G$5:$G$110="acoes"))*Inputs!$B$1+((Inputs!$G$5:$G$110&lt;&gt;"moeda")*(Inputs!$G$5:$G$110&lt;&gt;"acoes")))*INDEX(Inputs!$K$5:$AJ$110,0,MATCH(F$2,Inputs!$K$4:$AJ$4,0)))))</f>
        <v>19839</v>
      </c>
      <c r="G65" s="263">
        <f>IF(ISNA(MATCH(G$2,Inputs!$K$4:$AJ$4,0)),NA(),IF(SUMPRODUCT((Inputs!$A$5:$A$110=$B65)*ISNUMBER(INDEX(Inputs!$K$5:$AJ$110,0,MATCH(G$2,Inputs!$K$4:$AJ$4,0))))+SUMPRODUCT((Inputs!$C$5:$C$110=$B65)*ISNUMBER(INDEX(Inputs!$K$5:$AJ$110,0,MATCH(G$2,Inputs!$K$4:$AJ$4,0))))+SUMPRODUCT((Inputs!$E$5:$E$110=$B65)*ISNUMBER(INDEX(Inputs!$K$5:$AJ$110,0,MATCH(G$2,Inputs!$K$4:$AJ$4,0))))=0,NA(),SUMPRODUCT((Inputs!$A$5:$A$110=$B65)*Inputs!$B$5:$B$110*(((Inputs!$G$5:$G$110="moeda")+(Inputs!$G$5:$G$110="acoes"))*Inputs!$B$1+((Inputs!$G$5:$G$110&lt;&gt;"moeda")*(Inputs!$G$5:$G$110&lt;&gt;"acoes")))*INDEX(Inputs!$K$5:$AJ$110,0,MATCH(G$2,Inputs!$K$4:$AJ$4,0)))+SUMPRODUCT((Inputs!$C$5:$C$110=$B65)*Inputs!$D$5:$D$110*(((Inputs!$G$5:$G$110="moeda")+(Inputs!$G$5:$G$110="acoes"))*Inputs!$B$1+((Inputs!$G$5:$G$110&lt;&gt;"moeda")*(Inputs!$G$5:$G$110&lt;&gt;"acoes")))*INDEX(Inputs!$K$5:$AJ$110,0,MATCH(G$2,Inputs!$K$4:$AJ$4,0)))+SUMPRODUCT((Inputs!$E$5:$E$110=$B65)*Inputs!$F$5:$F$110*(((Inputs!$G$5:$G$110="moeda")+(Inputs!$G$5:$G$110="acoes"))*Inputs!$B$1+((Inputs!$G$5:$G$110&lt;&gt;"moeda")*(Inputs!$G$5:$G$110&lt;&gt;"acoes")))*INDEX(Inputs!$K$5:$AJ$110,0,MATCH(G$2,Inputs!$K$4:$AJ$4,0)))))</f>
        <v>23153</v>
      </c>
      <c r="H65" s="264">
        <f>SUM(D65:G65)</f>
        <v>79107</v>
      </c>
      <c r="I65" s="263">
        <f>IF(ISNA(MATCH(I$2,Inputs!$K$4:$AJ$4,0)),NA(),IF(SUMPRODUCT((Inputs!$A$5:$A$110=$B65)*ISNUMBER(INDEX(Inputs!$K$5:$AJ$110,0,MATCH(I$2,Inputs!$K$4:$AJ$4,0))))+SUMPRODUCT((Inputs!$C$5:$C$110=$B65)*ISNUMBER(INDEX(Inputs!$K$5:$AJ$110,0,MATCH(I$2,Inputs!$K$4:$AJ$4,0))))+SUMPRODUCT((Inputs!$E$5:$E$110=$B65)*ISNUMBER(INDEX(Inputs!$K$5:$AJ$110,0,MATCH(I$2,Inputs!$K$4:$AJ$4,0))))=0,NA(),SUMPRODUCT((Inputs!$A$5:$A$110=$B65)*Inputs!$B$5:$B$110*(((Inputs!$G$5:$G$110="moeda")+(Inputs!$G$5:$G$110="acoes"))*Inputs!$B$1+((Inputs!$G$5:$G$110&lt;&gt;"moeda")*(Inputs!$G$5:$G$110&lt;&gt;"acoes")))*INDEX(Inputs!$K$5:$AJ$110,0,MATCH(I$2,Inputs!$K$4:$AJ$4,0)))+SUMPRODUCT((Inputs!$C$5:$C$110=$B65)*Inputs!$D$5:$D$110*(((Inputs!$G$5:$G$110="moeda")+(Inputs!$G$5:$G$110="acoes"))*Inputs!$B$1+((Inputs!$G$5:$G$110&lt;&gt;"moeda")*(Inputs!$G$5:$G$110&lt;&gt;"acoes")))*INDEX(Inputs!$K$5:$AJ$110,0,MATCH(I$2,Inputs!$K$4:$AJ$4,0)))+SUMPRODUCT((Inputs!$E$5:$E$110=$B65)*Inputs!$F$5:$F$110*(((Inputs!$G$5:$G$110="moeda")+(Inputs!$G$5:$G$110="acoes"))*Inputs!$B$1+((Inputs!$G$5:$G$110&lt;&gt;"moeda")*(Inputs!$G$5:$G$110&lt;&gt;"acoes")))*INDEX(Inputs!$K$5:$AJ$110,0,MATCH(I$2,Inputs!$K$4:$AJ$4,0)))))</f>
        <v>20317</v>
      </c>
      <c r="J65" s="263">
        <f>IF(ISNA(MATCH(J$2,Inputs!$K$4:$AJ$4,0)),NA(),IF(SUMPRODUCT((Inputs!$A$5:$A$110=$B65)*ISNUMBER(INDEX(Inputs!$K$5:$AJ$110,0,MATCH(J$2,Inputs!$K$4:$AJ$4,0))))+SUMPRODUCT((Inputs!$C$5:$C$110=$B65)*ISNUMBER(INDEX(Inputs!$K$5:$AJ$110,0,MATCH(J$2,Inputs!$K$4:$AJ$4,0))))+SUMPRODUCT((Inputs!$E$5:$E$110=$B65)*ISNUMBER(INDEX(Inputs!$K$5:$AJ$110,0,MATCH(J$2,Inputs!$K$4:$AJ$4,0))))=0,NA(),SUMPRODUCT((Inputs!$A$5:$A$110=$B65)*Inputs!$B$5:$B$110*(((Inputs!$G$5:$G$110="moeda")+(Inputs!$G$5:$G$110="acoes"))*Inputs!$B$1+((Inputs!$G$5:$G$110&lt;&gt;"moeda")*(Inputs!$G$5:$G$110&lt;&gt;"acoes")))*INDEX(Inputs!$K$5:$AJ$110,0,MATCH(J$2,Inputs!$K$4:$AJ$4,0)))+SUMPRODUCT((Inputs!$C$5:$C$110=$B65)*Inputs!$D$5:$D$110*(((Inputs!$G$5:$G$110="moeda")+(Inputs!$G$5:$G$110="acoes"))*Inputs!$B$1+((Inputs!$G$5:$G$110&lt;&gt;"moeda")*(Inputs!$G$5:$G$110&lt;&gt;"acoes")))*INDEX(Inputs!$K$5:$AJ$110,0,MATCH(J$2,Inputs!$K$4:$AJ$4,0)))+SUMPRODUCT((Inputs!$E$5:$E$110=$B65)*Inputs!$F$5:$F$110*(((Inputs!$G$5:$G$110="moeda")+(Inputs!$G$5:$G$110="acoes"))*Inputs!$B$1+((Inputs!$G$5:$G$110&lt;&gt;"moeda")*(Inputs!$G$5:$G$110&lt;&gt;"acoes")))*INDEX(Inputs!$K$5:$AJ$110,0,MATCH(J$2,Inputs!$K$4:$AJ$4,0)))))</f>
        <v>20533</v>
      </c>
      <c r="K65" s="263">
        <f>IF(ISNA(MATCH(K$2,Inputs!$K$4:$AJ$4,0)),NA(),IF(SUMPRODUCT((Inputs!$A$5:$A$110=$B65)*ISNUMBER(INDEX(Inputs!$K$5:$AJ$110,0,MATCH(K$2,Inputs!$K$4:$AJ$4,0))))+SUMPRODUCT((Inputs!$C$5:$C$110=$B65)*ISNUMBER(INDEX(Inputs!$K$5:$AJ$110,0,MATCH(K$2,Inputs!$K$4:$AJ$4,0))))+SUMPRODUCT((Inputs!$E$5:$E$110=$B65)*ISNUMBER(INDEX(Inputs!$K$5:$AJ$110,0,MATCH(K$2,Inputs!$K$4:$AJ$4,0))))=0,NA(),SUMPRODUCT((Inputs!$A$5:$A$110=$B65)*Inputs!$B$5:$B$110*(((Inputs!$G$5:$G$110="moeda")+(Inputs!$G$5:$G$110="acoes"))*Inputs!$B$1+((Inputs!$G$5:$G$110&lt;&gt;"moeda")*(Inputs!$G$5:$G$110&lt;&gt;"acoes")))*INDEX(Inputs!$K$5:$AJ$110,0,MATCH(K$2,Inputs!$K$4:$AJ$4,0)))+SUMPRODUCT((Inputs!$C$5:$C$110=$B65)*Inputs!$D$5:$D$110*(((Inputs!$G$5:$G$110="moeda")+(Inputs!$G$5:$G$110="acoes"))*Inputs!$B$1+((Inputs!$G$5:$G$110&lt;&gt;"moeda")*(Inputs!$G$5:$G$110&lt;&gt;"acoes")))*INDEX(Inputs!$K$5:$AJ$110,0,MATCH(K$2,Inputs!$K$4:$AJ$4,0)))+SUMPRODUCT((Inputs!$E$5:$E$110=$B65)*Inputs!$F$5:$F$110*(((Inputs!$G$5:$G$110="moeda")+(Inputs!$G$5:$G$110="acoes"))*Inputs!$B$1+((Inputs!$G$5:$G$110&lt;&gt;"moeda")*(Inputs!$G$5:$G$110&lt;&gt;"acoes")))*INDEX(Inputs!$K$5:$AJ$110,0,MATCH(K$2,Inputs!$K$4:$AJ$4,0)))))</f>
        <v>19450</v>
      </c>
      <c r="L65" s="263">
        <f>IF(ISNA(MATCH(L$2,Inputs!$K$4:$AJ$4,0)),NA(),IF(SUMPRODUCT((Inputs!$A$5:$A$110=$B65)*ISNUMBER(INDEX(Inputs!$K$5:$AJ$110,0,MATCH(L$2,Inputs!$K$4:$AJ$4,0))))+SUMPRODUCT((Inputs!$C$5:$C$110=$B65)*ISNUMBER(INDEX(Inputs!$K$5:$AJ$110,0,MATCH(L$2,Inputs!$K$4:$AJ$4,0))))+SUMPRODUCT((Inputs!$E$5:$E$110=$B65)*ISNUMBER(INDEX(Inputs!$K$5:$AJ$110,0,MATCH(L$2,Inputs!$K$4:$AJ$4,0))))=0,NA(),SUMPRODUCT((Inputs!$A$5:$A$110=$B65)*Inputs!$B$5:$B$110*(((Inputs!$G$5:$G$110="moeda")+(Inputs!$G$5:$G$110="acoes"))*Inputs!$B$1+((Inputs!$G$5:$G$110&lt;&gt;"moeda")*(Inputs!$G$5:$G$110&lt;&gt;"acoes")))*INDEX(Inputs!$K$5:$AJ$110,0,MATCH(L$2,Inputs!$K$4:$AJ$4,0)))+SUMPRODUCT((Inputs!$C$5:$C$110=$B65)*Inputs!$D$5:$D$110*(((Inputs!$G$5:$G$110="moeda")+(Inputs!$G$5:$G$110="acoes"))*Inputs!$B$1+((Inputs!$G$5:$G$110&lt;&gt;"moeda")*(Inputs!$G$5:$G$110&lt;&gt;"acoes")))*INDEX(Inputs!$K$5:$AJ$110,0,MATCH(L$2,Inputs!$K$4:$AJ$4,0)))+SUMPRODUCT((Inputs!$E$5:$E$110=$B65)*Inputs!$F$5:$F$110*(((Inputs!$G$5:$G$110="moeda")+(Inputs!$G$5:$G$110="acoes"))*Inputs!$B$1+((Inputs!$G$5:$G$110&lt;&gt;"moeda")*(Inputs!$G$5:$G$110&lt;&gt;"acoes")))*INDEX(Inputs!$K$5:$AJ$110,0,MATCH(L$2,Inputs!$K$4:$AJ$4,0)))))</f>
        <v>21762</v>
      </c>
      <c r="M65" s="264">
        <f>SUM(I65:L65)</f>
        <v>82062</v>
      </c>
      <c r="N65" s="263">
        <f>IF(ISNA(MATCH(N$2,Inputs!$K$4:$AJ$4,0)),NA(),IF(SUMPRODUCT((Inputs!$A$5:$A$110=$B65)*ISNUMBER(INDEX(Inputs!$K$5:$AJ$110,0,MATCH(N$2,Inputs!$K$4:$AJ$4,0))))+SUMPRODUCT((Inputs!$C$5:$C$110=$B65)*ISNUMBER(INDEX(Inputs!$K$5:$AJ$110,0,MATCH(N$2,Inputs!$K$4:$AJ$4,0))))+SUMPRODUCT((Inputs!$E$5:$E$110=$B65)*ISNUMBER(INDEX(Inputs!$K$5:$AJ$110,0,MATCH(N$2,Inputs!$K$4:$AJ$4,0))))=0,NA(),SUMPRODUCT((Inputs!$A$5:$A$110=$B65)*Inputs!$B$5:$B$110*(((Inputs!$G$5:$G$110="moeda")+(Inputs!$G$5:$G$110="acoes"))*Inputs!$B$1+((Inputs!$G$5:$G$110&lt;&gt;"moeda")*(Inputs!$G$5:$G$110&lt;&gt;"acoes")))*INDEX(Inputs!$K$5:$AJ$110,0,MATCH(N$2,Inputs!$K$4:$AJ$4,0)))+SUMPRODUCT((Inputs!$C$5:$C$110=$B65)*Inputs!$D$5:$D$110*(((Inputs!$G$5:$G$110="moeda")+(Inputs!$G$5:$G$110="acoes"))*Inputs!$B$1+((Inputs!$G$5:$G$110&lt;&gt;"moeda")*(Inputs!$G$5:$G$110&lt;&gt;"acoes")))*INDEX(Inputs!$K$5:$AJ$110,0,MATCH(N$2,Inputs!$K$4:$AJ$4,0)))+SUMPRODUCT((Inputs!$E$5:$E$110=$B65)*Inputs!$F$5:$F$110*(((Inputs!$G$5:$G$110="moeda")+(Inputs!$G$5:$G$110="acoes"))*Inputs!$B$1+((Inputs!$G$5:$G$110&lt;&gt;"moeda")*(Inputs!$G$5:$G$110&lt;&gt;"acoes")))*INDEX(Inputs!$K$5:$AJ$110,0,MATCH(N$2,Inputs!$K$4:$AJ$4,0)))))</f>
        <v>21078</v>
      </c>
      <c r="O65" s="263">
        <f>IF(ISNA(MATCH(O$2,Inputs!$K$4:$AJ$4,0)),NA(),IF(SUMPRODUCT((Inputs!$A$5:$A$110=$B65)*ISNUMBER(INDEX(Inputs!$K$5:$AJ$110,0,MATCH(O$2,Inputs!$K$4:$AJ$4,0))))+SUMPRODUCT((Inputs!$C$5:$C$110=$B65)*ISNUMBER(INDEX(Inputs!$K$5:$AJ$110,0,MATCH(O$2,Inputs!$K$4:$AJ$4,0))))+SUMPRODUCT((Inputs!$E$5:$E$110=$B65)*ISNUMBER(INDEX(Inputs!$K$5:$AJ$110,0,MATCH(O$2,Inputs!$K$4:$AJ$4,0))))=0,NA(),SUMPRODUCT((Inputs!$A$5:$A$110=$B65)*Inputs!$B$5:$B$110*(((Inputs!$G$5:$G$110="moeda")+(Inputs!$G$5:$G$110="acoes"))*Inputs!$B$1+((Inputs!$G$5:$G$110&lt;&gt;"moeda")*(Inputs!$G$5:$G$110&lt;&gt;"acoes")))*INDEX(Inputs!$K$5:$AJ$110,0,MATCH(O$2,Inputs!$K$4:$AJ$4,0)))+SUMPRODUCT((Inputs!$C$5:$C$110=$B65)*Inputs!$D$5:$D$110*(((Inputs!$G$5:$G$110="moeda")+(Inputs!$G$5:$G$110="acoes"))*Inputs!$B$1+((Inputs!$G$5:$G$110&lt;&gt;"moeda")*(Inputs!$G$5:$G$110&lt;&gt;"acoes")))*INDEX(Inputs!$K$5:$AJ$110,0,MATCH(O$2,Inputs!$K$4:$AJ$4,0)))+SUMPRODUCT((Inputs!$E$5:$E$110=$B65)*Inputs!$F$5:$F$110*(((Inputs!$G$5:$G$110="moeda")+(Inputs!$G$5:$G$110="acoes"))*Inputs!$B$1+((Inputs!$G$5:$G$110&lt;&gt;"moeda")*(Inputs!$G$5:$G$110&lt;&gt;"acoes")))*INDEX(Inputs!$K$5:$AJ$110,0,MATCH(O$2,Inputs!$K$4:$AJ$4,0)))))</f>
        <v>22289</v>
      </c>
      <c r="P65" s="263">
        <f>IF(ISNA(MATCH(P$2,Inputs!$K$4:$AJ$4,0)),NA(),IF(SUMPRODUCT((Inputs!$A$5:$A$110=$B65)*ISNUMBER(INDEX(Inputs!$K$5:$AJ$110,0,MATCH(P$2,Inputs!$K$4:$AJ$4,0))))+SUMPRODUCT((Inputs!$C$5:$C$110=$B65)*ISNUMBER(INDEX(Inputs!$K$5:$AJ$110,0,MATCH(P$2,Inputs!$K$4:$AJ$4,0))))+SUMPRODUCT((Inputs!$E$5:$E$110=$B65)*ISNUMBER(INDEX(Inputs!$K$5:$AJ$110,0,MATCH(P$2,Inputs!$K$4:$AJ$4,0))))=0,NA(),SUMPRODUCT((Inputs!$A$5:$A$110=$B65)*Inputs!$B$5:$B$110*(((Inputs!$G$5:$G$110="moeda")+(Inputs!$G$5:$G$110="acoes"))*Inputs!$B$1+((Inputs!$G$5:$G$110&lt;&gt;"moeda")*(Inputs!$G$5:$G$110&lt;&gt;"acoes")))*INDEX(Inputs!$K$5:$AJ$110,0,MATCH(P$2,Inputs!$K$4:$AJ$4,0)))+SUMPRODUCT((Inputs!$C$5:$C$110=$B65)*Inputs!$D$5:$D$110*(((Inputs!$G$5:$G$110="moeda")+(Inputs!$G$5:$G$110="acoes"))*Inputs!$B$1+((Inputs!$G$5:$G$110&lt;&gt;"moeda")*(Inputs!$G$5:$G$110&lt;&gt;"acoes")))*INDEX(Inputs!$K$5:$AJ$110,0,MATCH(P$2,Inputs!$K$4:$AJ$4,0)))+SUMPRODUCT((Inputs!$E$5:$E$110=$B65)*Inputs!$F$5:$F$110*(((Inputs!$G$5:$G$110="moeda")+(Inputs!$G$5:$G$110="acoes"))*Inputs!$B$1+((Inputs!$G$5:$G$110&lt;&gt;"moeda")*(Inputs!$G$5:$G$110&lt;&gt;"acoes")))*INDEX(Inputs!$K$5:$AJ$110,0,MATCH(P$2,Inputs!$K$4:$AJ$4,0)))))</f>
        <v>22661</v>
      </c>
      <c r="Q65" s="263">
        <f>IF(ISNA(MATCH(Q$2,Inputs!$K$4:$AJ$4,0)),NA(),IF(SUMPRODUCT((Inputs!$A$5:$A$110=$B65)*ISNUMBER(INDEX(Inputs!$K$5:$AJ$110,0,MATCH(Q$2,Inputs!$K$4:$AJ$4,0))))+SUMPRODUCT((Inputs!$C$5:$C$110=$B65)*ISNUMBER(INDEX(Inputs!$K$5:$AJ$110,0,MATCH(Q$2,Inputs!$K$4:$AJ$4,0))))+SUMPRODUCT((Inputs!$E$5:$E$110=$B65)*ISNUMBER(INDEX(Inputs!$K$5:$AJ$110,0,MATCH(Q$2,Inputs!$K$4:$AJ$4,0))))=0,NA(),SUMPRODUCT((Inputs!$A$5:$A$110=$B65)*Inputs!$B$5:$B$110*(((Inputs!$G$5:$G$110="moeda")+(Inputs!$G$5:$G$110="acoes"))*Inputs!$B$1+((Inputs!$G$5:$G$110&lt;&gt;"moeda")*(Inputs!$G$5:$G$110&lt;&gt;"acoes")))*INDEX(Inputs!$K$5:$AJ$110,0,MATCH(Q$2,Inputs!$K$4:$AJ$4,0)))+SUMPRODUCT((Inputs!$C$5:$C$110=$B65)*Inputs!$D$5:$D$110*(((Inputs!$G$5:$G$110="moeda")+(Inputs!$G$5:$G$110="acoes"))*Inputs!$B$1+((Inputs!$G$5:$G$110&lt;&gt;"moeda")*(Inputs!$G$5:$G$110&lt;&gt;"acoes")))*INDEX(Inputs!$K$5:$AJ$110,0,MATCH(Q$2,Inputs!$K$4:$AJ$4,0)))+SUMPRODUCT((Inputs!$E$5:$E$110=$B65)*Inputs!$F$5:$F$110*(((Inputs!$G$5:$G$110="moeda")+(Inputs!$G$5:$G$110="acoes"))*Inputs!$B$1+((Inputs!$G$5:$G$110&lt;&gt;"moeda")*(Inputs!$G$5:$G$110&lt;&gt;"acoes")))*INDEX(Inputs!$K$5:$AJ$110,0,MATCH(Q$2,Inputs!$K$4:$AJ$4,0)))))</f>
        <v>25010</v>
      </c>
      <c r="R65" s="264">
        <f>SUM(N65:Q65)</f>
        <v>91038</v>
      </c>
      <c r="S65" s="263">
        <f>IF(ISNA(MATCH(S$2,Inputs!$K$4:$AJ$4,0)),NA(),IF(SUMPRODUCT((Inputs!$A$5:$A$110=$B65)*ISNUMBER(INDEX(Inputs!$K$5:$AJ$110,0,MATCH(S$2,Inputs!$K$4:$AJ$4,0))))+SUMPRODUCT((Inputs!$C$5:$C$110=$B65)*ISNUMBER(INDEX(Inputs!$K$5:$AJ$110,0,MATCH(S$2,Inputs!$K$4:$AJ$4,0))))+SUMPRODUCT((Inputs!$E$5:$E$110=$B65)*ISNUMBER(INDEX(Inputs!$K$5:$AJ$110,0,MATCH(S$2,Inputs!$K$4:$AJ$4,0))))=0,NA(),SUMPRODUCT((Inputs!$A$5:$A$110=$B65)*Inputs!$B$5:$B$110*(((Inputs!$G$5:$G$110="moeda")+(Inputs!$G$5:$G$110="acoes"))*Inputs!$B$1+((Inputs!$G$5:$G$110&lt;&gt;"moeda")*(Inputs!$G$5:$G$110&lt;&gt;"acoes")))*INDEX(Inputs!$K$5:$AJ$110,0,MATCH(S$2,Inputs!$K$4:$AJ$4,0)))+SUMPRODUCT((Inputs!$C$5:$C$110=$B65)*Inputs!$D$5:$D$110*(((Inputs!$G$5:$G$110="moeda")+(Inputs!$G$5:$G$110="acoes"))*Inputs!$B$1+((Inputs!$G$5:$G$110&lt;&gt;"moeda")*(Inputs!$G$5:$G$110&lt;&gt;"acoes")))*INDEX(Inputs!$K$5:$AJ$110,0,MATCH(S$2,Inputs!$K$4:$AJ$4,0)))+SUMPRODUCT((Inputs!$E$5:$E$110=$B65)*Inputs!$F$5:$F$110*(((Inputs!$G$5:$G$110="moeda")+(Inputs!$G$5:$G$110="acoes"))*Inputs!$B$1+((Inputs!$G$5:$G$110&lt;&gt;"moeda")*(Inputs!$G$5:$G$110&lt;&gt;"acoes")))*INDEX(Inputs!$K$5:$AJ$110,0,MATCH(S$2,Inputs!$K$4:$AJ$4,0)))))</f>
        <v>23788</v>
      </c>
      <c r="T65" s="263">
        <f>IF(ISNA(MATCH(T$2,Inputs!$K$4:$AJ$4,0)),NA(),IF(SUMPRODUCT((Inputs!$A$5:$A$110=$B65)*ISNUMBER(INDEX(Inputs!$K$5:$AJ$110,0,MATCH(T$2,Inputs!$K$4:$AJ$4,0))))+SUMPRODUCT((Inputs!$C$5:$C$110=$B65)*ISNUMBER(INDEX(Inputs!$K$5:$AJ$110,0,MATCH(T$2,Inputs!$K$4:$AJ$4,0))))+SUMPRODUCT((Inputs!$E$5:$E$110=$B65)*ISNUMBER(INDEX(Inputs!$K$5:$AJ$110,0,MATCH(T$2,Inputs!$K$4:$AJ$4,0))))=0,NA(),SUMPRODUCT((Inputs!$A$5:$A$110=$B65)*Inputs!$B$5:$B$110*(((Inputs!$G$5:$G$110="moeda")+(Inputs!$G$5:$G$110="acoes"))*Inputs!$B$1+((Inputs!$G$5:$G$110&lt;&gt;"moeda")*(Inputs!$G$5:$G$110&lt;&gt;"acoes")))*INDEX(Inputs!$K$5:$AJ$110,0,MATCH(T$2,Inputs!$K$4:$AJ$4,0)))+SUMPRODUCT((Inputs!$C$5:$C$110=$B65)*Inputs!$D$5:$D$110*(((Inputs!$G$5:$G$110="moeda")+(Inputs!$G$5:$G$110="acoes"))*Inputs!$B$1+((Inputs!$G$5:$G$110&lt;&gt;"moeda")*(Inputs!$G$5:$G$110&lt;&gt;"acoes")))*INDEX(Inputs!$K$5:$AJ$110,0,MATCH(T$2,Inputs!$K$4:$AJ$4,0)))+SUMPRODUCT((Inputs!$E$5:$E$110=$B65)*Inputs!$F$5:$F$110*(((Inputs!$G$5:$G$110="moeda")+(Inputs!$G$5:$G$110="acoes"))*Inputs!$B$1+((Inputs!$G$5:$G$110&lt;&gt;"moeda")*(Inputs!$G$5:$G$110&lt;&gt;"acoes")))*INDEX(Inputs!$K$5:$AJ$110,0,MATCH(T$2,Inputs!$K$4:$AJ$4,0)))))</f>
        <v>24683</v>
      </c>
      <c r="U65" s="263">
        <f>IF(ISNA(MATCH(U$2,Inputs!$K$4:$AJ$4,0)),NA(),IF(SUMPRODUCT((Inputs!$A$5:$A$110=$B65)*ISNUMBER(INDEX(Inputs!$K$5:$AJ$110,0,MATCH(U$2,Inputs!$K$4:$AJ$4,0))))+SUMPRODUCT((Inputs!$C$5:$C$110=$B65)*ISNUMBER(INDEX(Inputs!$K$5:$AJ$110,0,MATCH(U$2,Inputs!$K$4:$AJ$4,0))))+SUMPRODUCT((Inputs!$E$5:$E$110=$B65)*ISNUMBER(INDEX(Inputs!$K$5:$AJ$110,0,MATCH(U$2,Inputs!$K$4:$AJ$4,0))))=0,NA(),SUMPRODUCT((Inputs!$A$5:$A$110=$B65)*Inputs!$B$5:$B$110*(((Inputs!$G$5:$G$110="moeda")+(Inputs!$G$5:$G$110="acoes"))*Inputs!$B$1+((Inputs!$G$5:$G$110&lt;&gt;"moeda")*(Inputs!$G$5:$G$110&lt;&gt;"acoes")))*INDEX(Inputs!$K$5:$AJ$110,0,MATCH(U$2,Inputs!$K$4:$AJ$4,0)))+SUMPRODUCT((Inputs!$C$5:$C$110=$B65)*Inputs!$D$5:$D$110*(((Inputs!$G$5:$G$110="moeda")+(Inputs!$G$5:$G$110="acoes"))*Inputs!$B$1+((Inputs!$G$5:$G$110&lt;&gt;"moeda")*(Inputs!$G$5:$G$110&lt;&gt;"acoes")))*INDEX(Inputs!$K$5:$AJ$110,0,MATCH(U$2,Inputs!$K$4:$AJ$4,0)))+SUMPRODUCT((Inputs!$E$5:$E$110=$B65)*Inputs!$F$5:$F$110*(((Inputs!$G$5:$G$110="moeda")+(Inputs!$G$5:$G$110="acoes"))*Inputs!$B$1+((Inputs!$G$5:$G$110&lt;&gt;"moeda")*(Inputs!$G$5:$G$110&lt;&gt;"acoes")))*INDEX(Inputs!$K$5:$AJ$110,0,MATCH(U$2,Inputs!$K$4:$AJ$4,0)))))</f>
        <v>25472</v>
      </c>
      <c r="V65" s="263">
        <f>IF(ISNA(MATCH(V$2,Inputs!$K$4:$AJ$4,0)),NA(),IF(SUMPRODUCT((Inputs!$A$5:$A$110=$B65)*ISNUMBER(INDEX(Inputs!$K$5:$AJ$110,0,MATCH(V$2,Inputs!$K$4:$AJ$4,0))))+SUMPRODUCT((Inputs!$C$5:$C$110=$B65)*ISNUMBER(INDEX(Inputs!$K$5:$AJ$110,0,MATCH(V$2,Inputs!$K$4:$AJ$4,0))))+SUMPRODUCT((Inputs!$E$5:$E$110=$B65)*ISNUMBER(INDEX(Inputs!$K$5:$AJ$110,0,MATCH(V$2,Inputs!$K$4:$AJ$4,0))))=0,NA(),SUMPRODUCT((Inputs!$A$5:$A$110=$B65)*Inputs!$B$5:$B$110*(((Inputs!$G$5:$G$110="moeda")+(Inputs!$G$5:$G$110="acoes"))*Inputs!$B$1+((Inputs!$G$5:$G$110&lt;&gt;"moeda")*(Inputs!$G$5:$G$110&lt;&gt;"acoes")))*INDEX(Inputs!$K$5:$AJ$110,0,MATCH(V$2,Inputs!$K$4:$AJ$4,0)))+SUMPRODUCT((Inputs!$C$5:$C$110=$B65)*Inputs!$D$5:$D$110*(((Inputs!$G$5:$G$110="moeda")+(Inputs!$G$5:$G$110="acoes"))*Inputs!$B$1+((Inputs!$G$5:$G$110&lt;&gt;"moeda")*(Inputs!$G$5:$G$110&lt;&gt;"acoes")))*INDEX(Inputs!$K$5:$AJ$110,0,MATCH(V$2,Inputs!$K$4:$AJ$4,0)))+SUMPRODUCT((Inputs!$E$5:$E$110=$B65)*Inputs!$F$5:$F$110*(((Inputs!$G$5:$G$110="moeda")+(Inputs!$G$5:$G$110="acoes"))*Inputs!$B$1+((Inputs!$G$5:$G$110&lt;&gt;"moeda")*(Inputs!$G$5:$G$110&lt;&gt;"acoes")))*INDEX(Inputs!$K$5:$AJ$110,0,MATCH(V$2,Inputs!$K$4:$AJ$4,0)))))</f>
        <v>28184</v>
      </c>
      <c r="W65" s="264">
        <f>SUM(S65:V65)</f>
        <v>102127</v>
      </c>
      <c r="X65" s="263">
        <f>IF(ISNA(MATCH(X$2,Inputs!$K$4:$AJ$4,0)),NA(),IF(SUMPRODUCT((Inputs!$A$5:$A$110=$B65)*ISNUMBER(INDEX(Inputs!$K$5:$AJ$110,0,MATCH(X$2,Inputs!$K$4:$AJ$4,0))))+SUMPRODUCT((Inputs!$C$5:$C$110=$B65)*ISNUMBER(INDEX(Inputs!$K$5:$AJ$110,0,MATCH(X$2,Inputs!$K$4:$AJ$4,0))))+SUMPRODUCT((Inputs!$E$5:$E$110=$B65)*ISNUMBER(INDEX(Inputs!$K$5:$AJ$110,0,MATCH(X$2,Inputs!$K$4:$AJ$4,0))))=0,NA(),SUMPRODUCT((Inputs!$A$5:$A$110=$B65)*Inputs!$B$5:$B$110*(((Inputs!$G$5:$G$110="moeda")+(Inputs!$G$5:$G$110="acoes"))*Inputs!$B$1+((Inputs!$G$5:$G$110&lt;&gt;"moeda")*(Inputs!$G$5:$G$110&lt;&gt;"acoes")))*INDEX(Inputs!$K$5:$AJ$110,0,MATCH(X$2,Inputs!$K$4:$AJ$4,0)))+SUMPRODUCT((Inputs!$C$5:$C$110=$B65)*Inputs!$D$5:$D$110*(((Inputs!$G$5:$G$110="moeda")+(Inputs!$G$5:$G$110="acoes"))*Inputs!$B$1+((Inputs!$G$5:$G$110&lt;&gt;"moeda")*(Inputs!$G$5:$G$110&lt;&gt;"acoes")))*INDEX(Inputs!$K$5:$AJ$110,0,MATCH(X$2,Inputs!$K$4:$AJ$4,0)))+SUMPRODUCT((Inputs!$E$5:$E$110=$B65)*Inputs!$F$5:$F$110*(((Inputs!$G$5:$G$110="moeda")+(Inputs!$G$5:$G$110="acoes"))*Inputs!$B$1+((Inputs!$G$5:$G$110&lt;&gt;"moeda")*(Inputs!$G$5:$G$110&lt;&gt;"acoes")))*INDEX(Inputs!$K$5:$AJ$110,0,MATCH(X$2,Inputs!$K$4:$AJ$4,0)))))</f>
        <v>25923</v>
      </c>
      <c r="Y65" s="263">
        <f>IF(ISNA(MATCH(Y$2,Inputs!$K$4:$AJ$4,0)),NA(),IF(SUMPRODUCT((Inputs!$A$5:$A$110=$B65)*ISNUMBER(INDEX(Inputs!$K$5:$AJ$110,0,MATCH(Y$2,Inputs!$K$4:$AJ$4,0))))+SUMPRODUCT((Inputs!$C$5:$C$110=$B65)*ISNUMBER(INDEX(Inputs!$K$5:$AJ$110,0,MATCH(Y$2,Inputs!$K$4:$AJ$4,0))))+SUMPRODUCT((Inputs!$E$5:$E$110=$B65)*ISNUMBER(INDEX(Inputs!$K$5:$AJ$110,0,MATCH(Y$2,Inputs!$K$4:$AJ$4,0))))=0,NA(),SUMPRODUCT((Inputs!$A$5:$A$110=$B65)*Inputs!$B$5:$B$110*(((Inputs!$G$5:$G$110="moeda")+(Inputs!$G$5:$G$110="acoes"))*Inputs!$B$1+((Inputs!$G$5:$G$110&lt;&gt;"moeda")*(Inputs!$G$5:$G$110&lt;&gt;"acoes")))*INDEX(Inputs!$K$5:$AJ$110,0,MATCH(Y$2,Inputs!$K$4:$AJ$4,0)))+SUMPRODUCT((Inputs!$C$5:$C$110=$B65)*Inputs!$D$5:$D$110*(((Inputs!$G$5:$G$110="moeda")+(Inputs!$G$5:$G$110="acoes"))*Inputs!$B$1+((Inputs!$G$5:$G$110&lt;&gt;"moeda")*(Inputs!$G$5:$G$110&lt;&gt;"acoes")))*INDEX(Inputs!$K$5:$AJ$110,0,MATCH(Y$2,Inputs!$K$4:$AJ$4,0)))+SUMPRODUCT((Inputs!$E$5:$E$110=$B65)*Inputs!$F$5:$F$110*(((Inputs!$G$5:$G$110="moeda")+(Inputs!$G$5:$G$110="acoes"))*Inputs!$B$1+((Inputs!$G$5:$G$110&lt;&gt;"moeda")*(Inputs!$G$5:$G$110&lt;&gt;"acoes")))*INDEX(Inputs!$K$5:$AJ$110,0,MATCH(Y$2,Inputs!$K$4:$AJ$4,0)))))</f>
        <v>28262</v>
      </c>
      <c r="Z65" s="263">
        <f>IF(ISNA(MATCH(Z$2,Inputs!$K$4:$AJ$4,0)),NA(),IF(SUMPRODUCT((Inputs!$A$5:$A$110=$B65)*ISNUMBER(INDEX(Inputs!$K$5:$AJ$110,0,MATCH(Z$2,Inputs!$K$4:$AJ$4,0))))+SUMPRODUCT((Inputs!$C$5:$C$110=$B65)*ISNUMBER(INDEX(Inputs!$K$5:$AJ$110,0,MATCH(Z$2,Inputs!$K$4:$AJ$4,0))))+SUMPRODUCT((Inputs!$E$5:$E$110=$B65)*ISNUMBER(INDEX(Inputs!$K$5:$AJ$110,0,MATCH(Z$2,Inputs!$K$4:$AJ$4,0))))=0,NA(),SUMPRODUCT((Inputs!$A$5:$A$110=$B65)*Inputs!$B$5:$B$110*(((Inputs!$G$5:$G$110="moeda")+(Inputs!$G$5:$G$110="acoes"))*Inputs!$B$1+((Inputs!$G$5:$G$110&lt;&gt;"moeda")*(Inputs!$G$5:$G$110&lt;&gt;"acoes")))*INDEX(Inputs!$K$5:$AJ$110,0,MATCH(Z$2,Inputs!$K$4:$AJ$4,0)))+SUMPRODUCT((Inputs!$C$5:$C$110=$B65)*Inputs!$D$5:$D$110*(((Inputs!$G$5:$G$110="moeda")+(Inputs!$G$5:$G$110="acoes"))*Inputs!$B$1+((Inputs!$G$5:$G$110&lt;&gt;"moeda")*(Inputs!$G$5:$G$110&lt;&gt;"acoes")))*INDEX(Inputs!$K$5:$AJ$110,0,MATCH(Z$2,Inputs!$K$4:$AJ$4,0)))+SUMPRODUCT((Inputs!$E$5:$E$110=$B65)*Inputs!$F$5:$F$110*(((Inputs!$G$5:$G$110="moeda")+(Inputs!$G$5:$G$110="acoes"))*Inputs!$B$1+((Inputs!$G$5:$G$110&lt;&gt;"moeda")*(Inputs!$G$5:$G$110&lt;&gt;"acoes")))*INDEX(Inputs!$K$5:$AJ$110,0,MATCH(Z$2,Inputs!$K$4:$AJ$4,0)))))</f>
        <v>29911</v>
      </c>
      <c r="AA65" s="263">
        <f>IF(ISNA(MATCH(AA$2,Inputs!$K$4:$AJ$4,0)),NA(),IF(SUMPRODUCT((Inputs!$A$5:$A$110=$B65)*ISNUMBER(INDEX(Inputs!$K$5:$AJ$110,0,MATCH(AA$2,Inputs!$K$4:$AJ$4,0))))+SUMPRODUCT((Inputs!$C$5:$C$110=$B65)*ISNUMBER(INDEX(Inputs!$K$5:$AJ$110,0,MATCH(AA$2,Inputs!$K$4:$AJ$4,0))))+SUMPRODUCT((Inputs!$E$5:$E$110=$B65)*ISNUMBER(INDEX(Inputs!$K$5:$AJ$110,0,MATCH(AA$2,Inputs!$K$4:$AJ$4,0))))=0,NA(),SUMPRODUCT((Inputs!$A$5:$A$110=$B65)*Inputs!$B$5:$B$110*(((Inputs!$G$5:$G$110="moeda")+(Inputs!$G$5:$G$110="acoes"))*Inputs!$B$1+((Inputs!$G$5:$G$110&lt;&gt;"moeda")*(Inputs!$G$5:$G$110&lt;&gt;"acoes")))*INDEX(Inputs!$K$5:$AJ$110,0,MATCH(AA$2,Inputs!$K$4:$AJ$4,0)))+SUMPRODUCT((Inputs!$C$5:$C$110=$B65)*Inputs!$D$5:$D$110*(((Inputs!$G$5:$G$110="moeda")+(Inputs!$G$5:$G$110="acoes"))*Inputs!$B$1+((Inputs!$G$5:$G$110&lt;&gt;"moeda")*(Inputs!$G$5:$G$110&lt;&gt;"acoes")))*INDEX(Inputs!$K$5:$AJ$110,0,MATCH(AA$2,Inputs!$K$4:$AJ$4,0)))+SUMPRODUCT((Inputs!$E$5:$E$110=$B65)*Inputs!$F$5:$F$110*(((Inputs!$G$5:$G$110="moeda")+(Inputs!$G$5:$G$110="acoes"))*Inputs!$B$1+((Inputs!$G$5:$G$110&lt;&gt;"moeda")*(Inputs!$G$5:$G$110&lt;&gt;"acoes")))*INDEX(Inputs!$K$5:$AJ$110,0,MATCH(AA$2,Inputs!$K$4:$AJ$4,0)))))</f>
        <v>33056</v>
      </c>
      <c r="AB65" s="264">
        <f>SUM(X65:AA65)</f>
        <v>117152</v>
      </c>
      <c r="AC65" s="263">
        <f>IF(ISNA(MATCH(AC$2,Inputs!$K$4:$AJ$4,0)),NA(),IF(SUMPRODUCT((Inputs!$A$5:$A$110=$B65)*ISNUMBER(INDEX(Inputs!$K$5:$AJ$110,0,MATCH(AC$2,Inputs!$K$4:$AJ$4,0))))+SUMPRODUCT((Inputs!$C$5:$C$110=$B65)*ISNUMBER(INDEX(Inputs!$K$5:$AJ$110,0,MATCH(AC$2,Inputs!$K$4:$AJ$4,0))))+SUMPRODUCT((Inputs!$E$5:$E$110=$B65)*ISNUMBER(INDEX(Inputs!$K$5:$AJ$110,0,MATCH(AC$2,Inputs!$K$4:$AJ$4,0))))=0,NA(),SUMPRODUCT((Inputs!$A$5:$A$110=$B65)*Inputs!$B$5:$B$110*(((Inputs!$G$5:$G$110="moeda")+(Inputs!$G$5:$G$110="acoes"))*Inputs!$B$1+((Inputs!$G$5:$G$110&lt;&gt;"moeda")*(Inputs!$G$5:$G$110&lt;&gt;"acoes")))*INDEX(Inputs!$K$5:$AJ$110,0,MATCH(AC$2,Inputs!$K$4:$AJ$4,0)))+SUMPRODUCT((Inputs!$C$5:$C$110=$B65)*Inputs!$D$5:$D$110*(((Inputs!$G$5:$G$110="moeda")+(Inputs!$G$5:$G$110="acoes"))*Inputs!$B$1+((Inputs!$G$5:$G$110&lt;&gt;"moeda")*(Inputs!$G$5:$G$110&lt;&gt;"acoes")))*INDEX(Inputs!$K$5:$AJ$110,0,MATCH(AC$2,Inputs!$K$4:$AJ$4,0)))+SUMPRODUCT((Inputs!$E$5:$E$110=$B65)*Inputs!$F$5:$F$110*(((Inputs!$G$5:$G$110="moeda")+(Inputs!$G$5:$G$110="acoes"))*Inputs!$B$1+((Inputs!$G$5:$G$110&lt;&gt;"moeda")*(Inputs!$G$5:$G$110&lt;&gt;"acoes")))*INDEX(Inputs!$K$5:$AJ$110,0,MATCH(AC$2,Inputs!$K$4:$AJ$4,0)))))</f>
        <v>31468</v>
      </c>
      <c r="AD65" s="263">
        <f>IF(ISNA(MATCH(AD$2,Inputs!$K$4:$AJ$4,0)),NA(),IF(SUMPRODUCT((Inputs!$A$5:$A$110=$B65)*ISNUMBER(INDEX(Inputs!$K$5:$AJ$110,0,MATCH(AD$2,Inputs!$K$4:$AJ$4,0))))+SUMPRODUCT((Inputs!$C$5:$C$110=$B65)*ISNUMBER(INDEX(Inputs!$K$5:$AJ$110,0,MATCH(AD$2,Inputs!$K$4:$AJ$4,0))))+SUMPRODUCT((Inputs!$E$5:$E$110=$B65)*ISNUMBER(INDEX(Inputs!$K$5:$AJ$110,0,MATCH(AD$2,Inputs!$K$4:$AJ$4,0))))=0,NA(),SUMPRODUCT((Inputs!$A$5:$A$110=$B65)*Inputs!$B$5:$B$110*(((Inputs!$G$5:$G$110="moeda")+(Inputs!$G$5:$G$110="acoes"))*Inputs!$B$1+((Inputs!$G$5:$G$110&lt;&gt;"moeda")*(Inputs!$G$5:$G$110&lt;&gt;"acoes")))*INDEX(Inputs!$K$5:$AJ$110,0,MATCH(AD$2,Inputs!$K$4:$AJ$4,0)))+SUMPRODUCT((Inputs!$C$5:$C$110=$B65)*Inputs!$D$5:$D$110*(((Inputs!$G$5:$G$110="moeda")+(Inputs!$G$5:$G$110="acoes"))*Inputs!$B$1+((Inputs!$G$5:$G$110&lt;&gt;"moeda")*(Inputs!$G$5:$G$110&lt;&gt;"acoes")))*INDEX(Inputs!$K$5:$AJ$110,0,MATCH(AD$2,Inputs!$K$4:$AJ$4,0)))+SUMPRODUCT((Inputs!$E$5:$E$110=$B65)*Inputs!$F$5:$F$110*(((Inputs!$G$5:$G$110="moeda")+(Inputs!$G$5:$G$110="acoes"))*Inputs!$B$1+((Inputs!$G$5:$G$110&lt;&gt;"moeda")*(Inputs!$G$5:$G$110&lt;&gt;"acoes")))*INDEX(Inputs!$K$5:$AJ$110,0,MATCH(AD$2,Inputs!$K$4:$AJ$4,0)))))</f>
        <v>32501</v>
      </c>
      <c r="AE65" s="263" t="e">
        <f>IF(ISNA(MATCH(AE$2,Inputs!$K$4:$AJ$4,0)),NA(),IF(SUMPRODUCT((Inputs!$A$5:$A$110=$B65)*ISNUMBER(INDEX(Inputs!$K$5:$AJ$110,0,MATCH(AE$2,Inputs!$K$4:$AJ$4,0))))+SUMPRODUCT((Inputs!$C$5:$C$110=$B65)*ISNUMBER(INDEX(Inputs!$K$5:$AJ$110,0,MATCH(AE$2,Inputs!$K$4:$AJ$4,0))))+SUMPRODUCT((Inputs!$E$5:$E$110=$B65)*ISNUMBER(INDEX(Inputs!$K$5:$AJ$110,0,MATCH(AE$2,Inputs!$K$4:$AJ$4,0))))=0,NA(),SUMPRODUCT((Inputs!$A$5:$A$110=$B65)*Inputs!$B$5:$B$110*(((Inputs!$G$5:$G$110="moeda")+(Inputs!$G$5:$G$110="acoes"))*Inputs!$B$1+((Inputs!$G$5:$G$110&lt;&gt;"moeda")*(Inputs!$G$5:$G$110&lt;&gt;"acoes")))*INDEX(Inputs!$K$5:$AJ$110,0,MATCH(AE$2,Inputs!$K$4:$AJ$4,0)))+SUMPRODUCT((Inputs!$C$5:$C$110=$B65)*Inputs!$D$5:$D$110*(((Inputs!$G$5:$G$110="moeda")+(Inputs!$G$5:$G$110="acoes"))*Inputs!$B$1+((Inputs!$G$5:$G$110&lt;&gt;"moeda")*(Inputs!$G$5:$G$110&lt;&gt;"acoes")))*INDEX(Inputs!$K$5:$AJ$110,0,MATCH(AE$2,Inputs!$K$4:$AJ$4,0)))+SUMPRODUCT((Inputs!$E$5:$E$110=$B65)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5" s="263" t="e">
        <f>IF(ISNA(MATCH(AF$2,Inputs!$K$4:$AJ$4,0)),NA(),IF(SUMPRODUCT((Inputs!$A$5:$A$110=$B65)*ISNUMBER(INDEX(Inputs!$K$5:$AJ$110,0,MATCH(AF$2,Inputs!$K$4:$AJ$4,0))))+SUMPRODUCT((Inputs!$C$5:$C$110=$B65)*ISNUMBER(INDEX(Inputs!$K$5:$AJ$110,0,MATCH(AF$2,Inputs!$K$4:$AJ$4,0))))+SUMPRODUCT((Inputs!$E$5:$E$110=$B65)*ISNUMBER(INDEX(Inputs!$K$5:$AJ$110,0,MATCH(AF$2,Inputs!$K$4:$AJ$4,0))))=0,NA(),SUMPRODUCT((Inputs!$A$5:$A$110=$B65)*Inputs!$B$5:$B$110*(((Inputs!$G$5:$G$110="moeda")+(Inputs!$G$5:$G$110="acoes"))*Inputs!$B$1+((Inputs!$G$5:$G$110&lt;&gt;"moeda")*(Inputs!$G$5:$G$110&lt;&gt;"acoes")))*INDEX(Inputs!$K$5:$AJ$110,0,MATCH(AF$2,Inputs!$K$4:$AJ$4,0)))+SUMPRODUCT((Inputs!$C$5:$C$110=$B65)*Inputs!$D$5:$D$110*(((Inputs!$G$5:$G$110="moeda")+(Inputs!$G$5:$G$110="acoes"))*Inputs!$B$1+((Inputs!$G$5:$G$110&lt;&gt;"moeda")*(Inputs!$G$5:$G$110&lt;&gt;"acoes")))*INDEX(Inputs!$K$5:$AJ$110,0,MATCH(AF$2,Inputs!$K$4:$AJ$4,0)))+SUMPRODUCT((Inputs!$E$5:$E$110=$B65)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5" s="264" t="e">
        <f>SUM(AC65:AF65)</f>
        <v>#N/A</v>
      </c>
      <c r="AH65" s="263">
        <f>IF(ISNA(MATCH(AH$2,Inputs!$K$4:$AJ$4,0)),NA(),IF(SUMPRODUCT((Inputs!$A$5:$A$110=$B65)*ISNUMBER(INDEX(Inputs!$K$5:$AJ$110,0,MATCH(AH$2,Inputs!$K$4:$AJ$4,0))))+SUMPRODUCT((Inputs!$C$5:$C$110=$B65)*ISNUMBER(INDEX(Inputs!$K$5:$AJ$110,0,MATCH(AH$2,Inputs!$K$4:$AJ$4,0))))+SUMPRODUCT((Inputs!$E$5:$E$110=$B65)*ISNUMBER(INDEX(Inputs!$K$5:$AJ$110,0,MATCH(AH$2,Inputs!$K$4:$AJ$4,0))))=0,NA(),SUMPRODUCT((Inputs!$A$5:$A$110=$B65)*Inputs!$B$5:$B$110*(((Inputs!$G$5:$G$110="moeda")+(Inputs!$G$5:$G$110="acoes"))*Inputs!$B$1+((Inputs!$G$5:$G$110&lt;&gt;"moeda")*(Inputs!$G$5:$G$110&lt;&gt;"acoes")))*INDEX(Inputs!$K$5:$AJ$110,0,MATCH(AH$2,Inputs!$K$4:$AJ$4,0)))+SUMPRODUCT((Inputs!$C$5:$C$110=$B65)*Inputs!$D$5:$D$110*(((Inputs!$G$5:$G$110="moeda")+(Inputs!$G$5:$G$110="acoes"))*Inputs!$B$1+((Inputs!$G$5:$G$110&lt;&gt;"moeda")*(Inputs!$G$5:$G$110&lt;&gt;"acoes")))*INDEX(Inputs!$K$5:$AJ$110,0,MATCH(AH$2,Inputs!$K$4:$AJ$4,0)))+SUMPRODUCT((Inputs!$E$5:$E$110=$B65)*Inputs!$F$5:$F$110*(((Inputs!$G$5:$G$110="moeda")+(Inputs!$G$5:$G$110="acoes"))*Inputs!$B$1+((Inputs!$G$5:$G$110&lt;&gt;"moeda")*(Inputs!$G$5:$G$110&lt;&gt;"acoes")))*INDEX(Inputs!$K$5:$AJ$110,0,MATCH(AH$2,Inputs!$K$4:$AJ$4,0)))))</f>
        <v>12845</v>
      </c>
      <c r="AI65" s="263">
        <f>IF(ISNA(MATCH(AI$2,Inputs!$K$4:$AJ$4,0)),NA(),IF(SUMPRODUCT((Inputs!$A$5:$A$110=$B65)*ISNUMBER(INDEX(Inputs!$K$5:$AJ$110,0,MATCH(AI$2,Inputs!$K$4:$AJ$4,0))))+SUMPRODUCT((Inputs!$C$5:$C$110=$B65)*ISNUMBER(INDEX(Inputs!$K$5:$AJ$110,0,MATCH(AI$2,Inputs!$K$4:$AJ$4,0))))+SUMPRODUCT((Inputs!$E$5:$E$110=$B65)*ISNUMBER(INDEX(Inputs!$K$5:$AJ$110,0,MATCH(AI$2,Inputs!$K$4:$AJ$4,0))))=0,NA(),SUMPRODUCT((Inputs!$A$5:$A$110=$B65)*Inputs!$B$5:$B$110*(((Inputs!$G$5:$G$110="moeda")+(Inputs!$G$5:$G$110="acoes"))*Inputs!$B$1+((Inputs!$G$5:$G$110&lt;&gt;"moeda")*(Inputs!$G$5:$G$110&lt;&gt;"acoes")))*INDEX(Inputs!$K$5:$AJ$110,0,MATCH(AI$2,Inputs!$K$4:$AJ$4,0)))+SUMPRODUCT((Inputs!$C$5:$C$110=$B65)*Inputs!$D$5:$D$110*(((Inputs!$G$5:$G$110="moeda")+(Inputs!$G$5:$G$110="acoes"))*Inputs!$B$1+((Inputs!$G$5:$G$110&lt;&gt;"moeda")*(Inputs!$G$5:$G$110&lt;&gt;"acoes")))*INDEX(Inputs!$K$5:$AJ$110,0,MATCH(AI$2,Inputs!$K$4:$AJ$4,0)))+SUMPRODUCT((Inputs!$E$5:$E$110=$B65)*Inputs!$F$5:$F$110*(((Inputs!$G$5:$G$110="moeda")+(Inputs!$G$5:$G$110="acoes"))*Inputs!$B$1+((Inputs!$G$5:$G$110&lt;&gt;"moeda")*(Inputs!$G$5:$G$110&lt;&gt;"acoes")))*INDEX(Inputs!$K$5:$AJ$110,0,MATCH(AI$2,Inputs!$K$4:$AJ$4,0)))))</f>
        <v>11363</v>
      </c>
      <c r="AJ65" s="263">
        <f>IF(ISNA(MATCH(AJ$2,Inputs!$K$4:$AJ$4,0)),NA(),IF(SUMPRODUCT((Inputs!$A$5:$A$110=$B65)*ISNUMBER(INDEX(Inputs!$K$5:$AJ$110,0,MATCH(AJ$2,Inputs!$K$4:$AJ$4,0))))+SUMPRODUCT((Inputs!$C$5:$C$110=$B65)*ISNUMBER(INDEX(Inputs!$K$5:$AJ$110,0,MATCH(AJ$2,Inputs!$K$4:$AJ$4,0))))+SUMPRODUCT((Inputs!$E$5:$E$110=$B65)*ISNUMBER(INDEX(Inputs!$K$5:$AJ$110,0,MATCH(AJ$2,Inputs!$K$4:$AJ$4,0))))=0,NA(),SUMPRODUCT((Inputs!$A$5:$A$110=$B65)*Inputs!$B$5:$B$110*(((Inputs!$G$5:$G$110="moeda")+(Inputs!$G$5:$G$110="acoes"))*Inputs!$B$1+((Inputs!$G$5:$G$110&lt;&gt;"moeda")*(Inputs!$G$5:$G$110&lt;&gt;"acoes")))*INDEX(Inputs!$K$5:$AJ$110,0,MATCH(AJ$2,Inputs!$K$4:$AJ$4,0)))+SUMPRODUCT((Inputs!$C$5:$C$110=$B65)*Inputs!$D$5:$D$110*(((Inputs!$G$5:$G$110="moeda")+(Inputs!$G$5:$G$110="acoes"))*Inputs!$B$1+((Inputs!$G$5:$G$110&lt;&gt;"moeda")*(Inputs!$G$5:$G$110&lt;&gt;"acoes")))*INDEX(Inputs!$K$5:$AJ$110,0,MATCH(AJ$2,Inputs!$K$4:$AJ$4,0)))+SUMPRODUCT((Inputs!$E$5:$E$110=$B65)*Inputs!$F$5:$F$110*(((Inputs!$G$5:$G$110="moeda")+(Inputs!$G$5:$G$110="acoes"))*Inputs!$B$1+((Inputs!$G$5:$G$110&lt;&gt;"moeda")*(Inputs!$G$5:$G$110&lt;&gt;"acoes")))*INDEX(Inputs!$K$5:$AJ$110,0,MATCH(AJ$2,Inputs!$K$4:$AJ$4,0)))))</f>
        <v>13924</v>
      </c>
      <c r="AK65" s="263">
        <f>IF(ISNA(MATCH(AK$2,Inputs!$K$4:$AJ$4,0)),NA(),IF(SUMPRODUCT((Inputs!$A$5:$A$110=$B65)*ISNUMBER(INDEX(Inputs!$K$5:$AJ$110,0,MATCH(AK$2,Inputs!$K$4:$AJ$4,0))))+SUMPRODUCT((Inputs!$C$5:$C$110=$B65)*ISNUMBER(INDEX(Inputs!$K$5:$AJ$110,0,MATCH(AK$2,Inputs!$K$4:$AJ$4,0))))+SUMPRODUCT((Inputs!$E$5:$E$110=$B65)*ISNUMBER(INDEX(Inputs!$K$5:$AJ$110,0,MATCH(AK$2,Inputs!$K$4:$AJ$4,0))))=0,NA(),SUMPRODUCT((Inputs!$A$5:$A$110=$B65)*Inputs!$B$5:$B$110*(((Inputs!$G$5:$G$110="moeda")+(Inputs!$G$5:$G$110="acoes"))*Inputs!$B$1+((Inputs!$G$5:$G$110&lt;&gt;"moeda")*(Inputs!$G$5:$G$110&lt;&gt;"acoes")))*INDEX(Inputs!$K$5:$AJ$110,0,MATCH(AK$2,Inputs!$K$4:$AJ$4,0)))+SUMPRODUCT((Inputs!$C$5:$C$110=$B65)*Inputs!$D$5:$D$110*(((Inputs!$G$5:$G$110="moeda")+(Inputs!$G$5:$G$110="acoes"))*Inputs!$B$1+((Inputs!$G$5:$G$110&lt;&gt;"moeda")*(Inputs!$G$5:$G$110&lt;&gt;"acoes")))*INDEX(Inputs!$K$5:$AJ$110,0,MATCH(AK$2,Inputs!$K$4:$AJ$4,0)))+SUMPRODUCT((Inputs!$E$5:$E$110=$B65)*Inputs!$F$5:$F$110*(((Inputs!$G$5:$G$110="moeda")+(Inputs!$G$5:$G$110="acoes"))*Inputs!$B$1+((Inputs!$G$5:$G$110&lt;&gt;"moeda")*(Inputs!$G$5:$G$110&lt;&gt;"acoes")))*INDEX(Inputs!$K$5:$AJ$110,0,MATCH(AK$2,Inputs!$K$4:$AJ$4,0)))))</f>
        <v>17238</v>
      </c>
      <c r="AL65" s="264">
        <f>SUM(AH65:AK65)</f>
        <v>55370</v>
      </c>
    </row>
    <row r="66">
      <c r="B66" s="46" t="n">
        <v>58</v>
      </c>
      <c r="C66" s="29" t="inlineStr">
        <is>
          <t>Receita APAC (USD)</t>
        </is>
      </c>
      <c r="D66" s="263">
        <f>IF(ISNA(MATCH(D$2,Inputs!$K$4:$AJ$4,0)),NA(),IF(SUMPRODUCT((Inputs!$A$5:$A$110=$B66)*ISNUMBER(INDEX(Inputs!$K$5:$AJ$110,0,MATCH(D$2,Inputs!$K$4:$AJ$4,0))))+SUMPRODUCT((Inputs!$C$5:$C$110=$B66)*ISNUMBER(INDEX(Inputs!$K$5:$AJ$110,0,MATCH(D$2,Inputs!$K$4:$AJ$4,0))))+SUMPRODUCT((Inputs!$E$5:$E$110=$B66)*ISNUMBER(INDEX(Inputs!$K$5:$AJ$110,0,MATCH(D$2,Inputs!$K$4:$AJ$4,0))))=0,NA(),SUMPRODUCT((Inputs!$A$5:$A$110=$B66)*Inputs!$B$5:$B$110*(((Inputs!$G$5:$G$110="moeda")+(Inputs!$G$5:$G$110="acoes"))*Inputs!$B$1+((Inputs!$G$5:$G$110&lt;&gt;"moeda")*(Inputs!$G$5:$G$110&lt;&gt;"acoes")))*INDEX(Inputs!$K$5:$AJ$110,0,MATCH(D$2,Inputs!$K$4:$AJ$4,0)))+SUMPRODUCT((Inputs!$C$5:$C$110=$B66)*Inputs!$D$5:$D$110*(((Inputs!$G$5:$G$110="moeda")+(Inputs!$G$5:$G$110="acoes"))*Inputs!$B$1+((Inputs!$G$5:$G$110&lt;&gt;"moeda")*(Inputs!$G$5:$G$110&lt;&gt;"acoes")))*INDEX(Inputs!$K$5:$AJ$110,0,MATCH(D$2,Inputs!$K$4:$AJ$4,0)))+SUMPRODUCT((Inputs!$E$5:$E$110=$B66)*Inputs!$F$5:$F$110*(((Inputs!$G$5:$G$110="moeda")+(Inputs!$G$5:$G$110="acoes"))*Inputs!$B$1+((Inputs!$G$5:$G$110&lt;&gt;"moeda")*(Inputs!$G$5:$G$110&lt;&gt;"acoes")))*INDEX(Inputs!$K$5:$AJ$110,0,MATCH(D$2,Inputs!$K$4:$AJ$4,0)))))</f>
        <v>10455</v>
      </c>
      <c r="E66" s="263">
        <f>IF(ISNA(MATCH(E$2,Inputs!$K$4:$AJ$4,0)),NA(),IF(SUMPRODUCT((Inputs!$A$5:$A$110=$B66)*ISNUMBER(INDEX(Inputs!$K$5:$AJ$110,0,MATCH(E$2,Inputs!$K$4:$AJ$4,0))))+SUMPRODUCT((Inputs!$C$5:$C$110=$B66)*ISNUMBER(INDEX(Inputs!$K$5:$AJ$110,0,MATCH(E$2,Inputs!$K$4:$AJ$4,0))))+SUMPRODUCT((Inputs!$E$5:$E$110=$B66)*ISNUMBER(INDEX(Inputs!$K$5:$AJ$110,0,MATCH(E$2,Inputs!$K$4:$AJ$4,0))))=0,NA(),SUMPRODUCT((Inputs!$A$5:$A$110=$B66)*Inputs!$B$5:$B$110*(((Inputs!$G$5:$G$110="moeda")+(Inputs!$G$5:$G$110="acoes"))*Inputs!$B$1+((Inputs!$G$5:$G$110&lt;&gt;"moeda")*(Inputs!$G$5:$G$110&lt;&gt;"acoes")))*INDEX(Inputs!$K$5:$AJ$110,0,MATCH(E$2,Inputs!$K$4:$AJ$4,0)))+SUMPRODUCT((Inputs!$C$5:$C$110=$B66)*Inputs!$D$5:$D$110*(((Inputs!$G$5:$G$110="moeda")+(Inputs!$G$5:$G$110="acoes"))*Inputs!$B$1+((Inputs!$G$5:$G$110&lt;&gt;"moeda")*(Inputs!$G$5:$G$110&lt;&gt;"acoes")))*INDEX(Inputs!$K$5:$AJ$110,0,MATCH(E$2,Inputs!$K$4:$AJ$4,0)))+SUMPRODUCT((Inputs!$E$5:$E$110=$B66)*Inputs!$F$5:$F$110*(((Inputs!$G$5:$G$110="moeda")+(Inputs!$G$5:$G$110="acoes"))*Inputs!$B$1+((Inputs!$G$5:$G$110&lt;&gt;"moeda")*(Inputs!$G$5:$G$110&lt;&gt;"acoes")))*INDEX(Inputs!$K$5:$AJ$110,0,MATCH(E$2,Inputs!$K$4:$AJ$4,0)))))</f>
        <v>11231</v>
      </c>
      <c r="F66" s="263">
        <f>IF(ISNA(MATCH(F$2,Inputs!$K$4:$AJ$4,0)),NA(),IF(SUMPRODUCT((Inputs!$A$5:$A$110=$B66)*ISNUMBER(INDEX(Inputs!$K$5:$AJ$110,0,MATCH(F$2,Inputs!$K$4:$AJ$4,0))))+SUMPRODUCT((Inputs!$C$5:$C$110=$B66)*ISNUMBER(INDEX(Inputs!$K$5:$AJ$110,0,MATCH(F$2,Inputs!$K$4:$AJ$4,0))))+SUMPRODUCT((Inputs!$E$5:$E$110=$B66)*ISNUMBER(INDEX(Inputs!$K$5:$AJ$110,0,MATCH(F$2,Inputs!$K$4:$AJ$4,0))))=0,NA(),SUMPRODUCT((Inputs!$A$5:$A$110=$B66)*Inputs!$B$5:$B$110*(((Inputs!$G$5:$G$110="moeda")+(Inputs!$G$5:$G$110="acoes"))*Inputs!$B$1+((Inputs!$G$5:$G$110&lt;&gt;"moeda")*(Inputs!$G$5:$G$110&lt;&gt;"acoes")))*INDEX(Inputs!$K$5:$AJ$110,0,MATCH(F$2,Inputs!$K$4:$AJ$4,0)))+SUMPRODUCT((Inputs!$C$5:$C$110=$B66)*Inputs!$D$5:$D$110*(((Inputs!$G$5:$G$110="moeda")+(Inputs!$G$5:$G$110="acoes"))*Inputs!$B$1+((Inputs!$G$5:$G$110&lt;&gt;"moeda")*(Inputs!$G$5:$G$110&lt;&gt;"acoes")))*INDEX(Inputs!$K$5:$AJ$110,0,MATCH(F$2,Inputs!$K$4:$AJ$4,0)))+SUMPRODUCT((Inputs!$E$5:$E$110=$B66)*Inputs!$F$5:$F$110*(((Inputs!$G$5:$G$110="moeda")+(Inputs!$G$5:$G$110="acoes"))*Inputs!$B$1+((Inputs!$G$5:$G$110&lt;&gt;"moeda")*(Inputs!$G$5:$G$110&lt;&gt;"acoes")))*INDEX(Inputs!$K$5:$AJ$110,0,MATCH(F$2,Inputs!$K$4:$AJ$4,0)))))</f>
        <v>11705</v>
      </c>
      <c r="G66" s="263">
        <f>IF(ISNA(MATCH(G$2,Inputs!$K$4:$AJ$4,0)),NA(),IF(SUMPRODUCT((Inputs!$A$5:$A$110=$B66)*ISNUMBER(INDEX(Inputs!$K$5:$AJ$110,0,MATCH(G$2,Inputs!$K$4:$AJ$4,0))))+SUMPRODUCT((Inputs!$C$5:$C$110=$B66)*ISNUMBER(INDEX(Inputs!$K$5:$AJ$110,0,MATCH(G$2,Inputs!$K$4:$AJ$4,0))))+SUMPRODUCT((Inputs!$E$5:$E$110=$B66)*ISNUMBER(INDEX(Inputs!$K$5:$AJ$110,0,MATCH(G$2,Inputs!$K$4:$AJ$4,0))))=0,NA(),SUMPRODUCT((Inputs!$A$5:$A$110=$B66)*Inputs!$B$5:$B$110*(((Inputs!$G$5:$G$110="moeda")+(Inputs!$G$5:$G$110="acoes"))*Inputs!$B$1+((Inputs!$G$5:$G$110&lt;&gt;"moeda")*(Inputs!$G$5:$G$110&lt;&gt;"acoes")))*INDEX(Inputs!$K$5:$AJ$110,0,MATCH(G$2,Inputs!$K$4:$AJ$4,0)))+SUMPRODUCT((Inputs!$C$5:$C$110=$B66)*Inputs!$D$5:$D$110*(((Inputs!$G$5:$G$110="moeda")+(Inputs!$G$5:$G$110="acoes"))*Inputs!$B$1+((Inputs!$G$5:$G$110&lt;&gt;"moeda")*(Inputs!$G$5:$G$110&lt;&gt;"acoes")))*INDEX(Inputs!$K$5:$AJ$110,0,MATCH(G$2,Inputs!$K$4:$AJ$4,0)))+SUMPRODUCT((Inputs!$E$5:$E$110=$B66)*Inputs!$F$5:$F$110*(((Inputs!$G$5:$G$110="moeda")+(Inputs!$G$5:$G$110="acoes"))*Inputs!$B$1+((Inputs!$G$5:$G$110&lt;&gt;"moeda")*(Inputs!$G$5:$G$110&lt;&gt;"acoes")))*INDEX(Inputs!$K$5:$AJ$110,0,MATCH(G$2,Inputs!$K$4:$AJ$4,0)))))</f>
        <v>12732</v>
      </c>
      <c r="H66" s="264">
        <f>SUM(D66:G66)</f>
        <v>46123</v>
      </c>
      <c r="I66" s="263">
        <f>IF(ISNA(MATCH(I$2,Inputs!$K$4:$AJ$4,0)),NA(),IF(SUMPRODUCT((Inputs!$A$5:$A$110=$B66)*ISNUMBER(INDEX(Inputs!$K$5:$AJ$110,0,MATCH(I$2,Inputs!$K$4:$AJ$4,0))))+SUMPRODUCT((Inputs!$C$5:$C$110=$B66)*ISNUMBER(INDEX(Inputs!$K$5:$AJ$110,0,MATCH(I$2,Inputs!$K$4:$AJ$4,0))))+SUMPRODUCT((Inputs!$E$5:$E$110=$B66)*ISNUMBER(INDEX(Inputs!$K$5:$AJ$110,0,MATCH(I$2,Inputs!$K$4:$AJ$4,0))))=0,NA(),SUMPRODUCT((Inputs!$A$5:$A$110=$B66)*Inputs!$B$5:$B$110*(((Inputs!$G$5:$G$110="moeda")+(Inputs!$G$5:$G$110="acoes"))*Inputs!$B$1+((Inputs!$G$5:$G$110&lt;&gt;"moeda")*(Inputs!$G$5:$G$110&lt;&gt;"acoes")))*INDEX(Inputs!$K$5:$AJ$110,0,MATCH(I$2,Inputs!$K$4:$AJ$4,0)))+SUMPRODUCT((Inputs!$C$5:$C$110=$B66)*Inputs!$D$5:$D$110*(((Inputs!$G$5:$G$110="moeda")+(Inputs!$G$5:$G$110="acoes"))*Inputs!$B$1+((Inputs!$G$5:$G$110&lt;&gt;"moeda")*(Inputs!$G$5:$G$110&lt;&gt;"acoes")))*INDEX(Inputs!$K$5:$AJ$110,0,MATCH(I$2,Inputs!$K$4:$AJ$4,0)))+SUMPRODUCT((Inputs!$E$5:$E$110=$B66)*Inputs!$F$5:$F$110*(((Inputs!$G$5:$G$110="moeda")+(Inputs!$G$5:$G$110="acoes"))*Inputs!$B$1+((Inputs!$G$5:$G$110&lt;&gt;"moeda")*(Inputs!$G$5:$G$110&lt;&gt;"acoes")))*INDEX(Inputs!$K$5:$AJ$110,0,MATCH(I$2,Inputs!$K$4:$AJ$4,0)))))</f>
        <v>11841</v>
      </c>
      <c r="J66" s="263">
        <f>IF(ISNA(MATCH(J$2,Inputs!$K$4:$AJ$4,0)),NA(),IF(SUMPRODUCT((Inputs!$A$5:$A$110=$B66)*ISNUMBER(INDEX(Inputs!$K$5:$AJ$110,0,MATCH(J$2,Inputs!$K$4:$AJ$4,0))))+SUMPRODUCT((Inputs!$C$5:$C$110=$B66)*ISNUMBER(INDEX(Inputs!$K$5:$AJ$110,0,MATCH(J$2,Inputs!$K$4:$AJ$4,0))))+SUMPRODUCT((Inputs!$E$5:$E$110=$B66)*ISNUMBER(INDEX(Inputs!$K$5:$AJ$110,0,MATCH(J$2,Inputs!$K$4:$AJ$4,0))))=0,NA(),SUMPRODUCT((Inputs!$A$5:$A$110=$B66)*Inputs!$B$5:$B$110*(((Inputs!$G$5:$G$110="moeda")+(Inputs!$G$5:$G$110="acoes"))*Inputs!$B$1+((Inputs!$G$5:$G$110&lt;&gt;"moeda")*(Inputs!$G$5:$G$110&lt;&gt;"acoes")))*INDEX(Inputs!$K$5:$AJ$110,0,MATCH(J$2,Inputs!$K$4:$AJ$4,0)))+SUMPRODUCT((Inputs!$C$5:$C$110=$B66)*Inputs!$D$5:$D$110*(((Inputs!$G$5:$G$110="moeda")+(Inputs!$G$5:$G$110="acoes"))*Inputs!$B$1+((Inputs!$G$5:$G$110&lt;&gt;"moeda")*(Inputs!$G$5:$G$110&lt;&gt;"acoes")))*INDEX(Inputs!$K$5:$AJ$110,0,MATCH(J$2,Inputs!$K$4:$AJ$4,0)))+SUMPRODUCT((Inputs!$E$5:$E$110=$B66)*Inputs!$F$5:$F$110*(((Inputs!$G$5:$G$110="moeda")+(Inputs!$G$5:$G$110="acoes"))*Inputs!$B$1+((Inputs!$G$5:$G$110&lt;&gt;"moeda")*(Inputs!$G$5:$G$110&lt;&gt;"acoes")))*INDEX(Inputs!$K$5:$AJ$110,0,MATCH(J$2,Inputs!$K$4:$AJ$4,0)))))</f>
        <v>11710</v>
      </c>
      <c r="K66" s="263">
        <f>IF(ISNA(MATCH(K$2,Inputs!$K$4:$AJ$4,0)),NA(),IF(SUMPRODUCT((Inputs!$A$5:$A$110=$B66)*ISNUMBER(INDEX(Inputs!$K$5:$AJ$110,0,MATCH(K$2,Inputs!$K$4:$AJ$4,0))))+SUMPRODUCT((Inputs!$C$5:$C$110=$B66)*ISNUMBER(INDEX(Inputs!$K$5:$AJ$110,0,MATCH(K$2,Inputs!$K$4:$AJ$4,0))))+SUMPRODUCT((Inputs!$E$5:$E$110=$B66)*ISNUMBER(INDEX(Inputs!$K$5:$AJ$110,0,MATCH(K$2,Inputs!$K$4:$AJ$4,0))))=0,NA(),SUMPRODUCT((Inputs!$A$5:$A$110=$B66)*Inputs!$B$5:$B$110*(((Inputs!$G$5:$G$110="moeda")+(Inputs!$G$5:$G$110="acoes"))*Inputs!$B$1+((Inputs!$G$5:$G$110&lt;&gt;"moeda")*(Inputs!$G$5:$G$110&lt;&gt;"acoes")))*INDEX(Inputs!$K$5:$AJ$110,0,MATCH(K$2,Inputs!$K$4:$AJ$4,0)))+SUMPRODUCT((Inputs!$C$5:$C$110=$B66)*Inputs!$D$5:$D$110*(((Inputs!$G$5:$G$110="moeda")+(Inputs!$G$5:$G$110="acoes"))*Inputs!$B$1+((Inputs!$G$5:$G$110&lt;&gt;"moeda")*(Inputs!$G$5:$G$110&lt;&gt;"acoes")))*INDEX(Inputs!$K$5:$AJ$110,0,MATCH(K$2,Inputs!$K$4:$AJ$4,0)))+SUMPRODUCT((Inputs!$E$5:$E$110=$B66)*Inputs!$F$5:$F$110*(((Inputs!$G$5:$G$110="moeda")+(Inputs!$G$5:$G$110="acoes"))*Inputs!$B$1+((Inputs!$G$5:$G$110&lt;&gt;"moeda")*(Inputs!$G$5:$G$110&lt;&gt;"acoes")))*INDEX(Inputs!$K$5:$AJ$110,0,MATCH(K$2,Inputs!$K$4:$AJ$4,0)))))</f>
        <v>11494</v>
      </c>
      <c r="L66" s="263">
        <f>IF(ISNA(MATCH(L$2,Inputs!$K$4:$AJ$4,0)),NA(),IF(SUMPRODUCT((Inputs!$A$5:$A$110=$B66)*ISNUMBER(INDEX(Inputs!$K$5:$AJ$110,0,MATCH(L$2,Inputs!$K$4:$AJ$4,0))))+SUMPRODUCT((Inputs!$C$5:$C$110=$B66)*ISNUMBER(INDEX(Inputs!$K$5:$AJ$110,0,MATCH(L$2,Inputs!$K$4:$AJ$4,0))))+SUMPRODUCT((Inputs!$E$5:$E$110=$B66)*ISNUMBER(INDEX(Inputs!$K$5:$AJ$110,0,MATCH(L$2,Inputs!$K$4:$AJ$4,0))))=0,NA(),SUMPRODUCT((Inputs!$A$5:$A$110=$B66)*Inputs!$B$5:$B$110*(((Inputs!$G$5:$G$110="moeda")+(Inputs!$G$5:$G$110="acoes"))*Inputs!$B$1+((Inputs!$G$5:$G$110&lt;&gt;"moeda")*(Inputs!$G$5:$G$110&lt;&gt;"acoes")))*INDEX(Inputs!$K$5:$AJ$110,0,MATCH(L$2,Inputs!$K$4:$AJ$4,0)))+SUMPRODUCT((Inputs!$C$5:$C$110=$B66)*Inputs!$D$5:$D$110*(((Inputs!$G$5:$G$110="moeda")+(Inputs!$G$5:$G$110="acoes"))*Inputs!$B$1+((Inputs!$G$5:$G$110&lt;&gt;"moeda")*(Inputs!$G$5:$G$110&lt;&gt;"acoes")))*INDEX(Inputs!$K$5:$AJ$110,0,MATCH(L$2,Inputs!$K$4:$AJ$4,0)))+SUMPRODUCT((Inputs!$E$5:$E$110=$B66)*Inputs!$F$5:$F$110*(((Inputs!$G$5:$G$110="moeda")+(Inputs!$G$5:$G$110="acoes"))*Inputs!$B$1+((Inputs!$G$5:$G$110&lt;&gt;"moeda")*(Inputs!$G$5:$G$110&lt;&gt;"acoes")))*INDEX(Inputs!$K$5:$AJ$110,0,MATCH(L$2,Inputs!$K$4:$AJ$4,0)))))</f>
        <v>11979</v>
      </c>
      <c r="M66" s="264">
        <f>SUM(I66:L66)</f>
        <v>47024</v>
      </c>
      <c r="N66" s="263">
        <f>IF(ISNA(MATCH(N$2,Inputs!$K$4:$AJ$4,0)),NA(),IF(SUMPRODUCT((Inputs!$A$5:$A$110=$B66)*ISNUMBER(INDEX(Inputs!$K$5:$AJ$110,0,MATCH(N$2,Inputs!$K$4:$AJ$4,0))))+SUMPRODUCT((Inputs!$C$5:$C$110=$B66)*ISNUMBER(INDEX(Inputs!$K$5:$AJ$110,0,MATCH(N$2,Inputs!$K$4:$AJ$4,0))))+SUMPRODUCT((Inputs!$E$5:$E$110=$B66)*ISNUMBER(INDEX(Inputs!$K$5:$AJ$110,0,MATCH(N$2,Inputs!$K$4:$AJ$4,0))))=0,NA(),SUMPRODUCT((Inputs!$A$5:$A$110=$B66)*Inputs!$B$5:$B$110*(((Inputs!$G$5:$G$110="moeda")+(Inputs!$G$5:$G$110="acoes"))*Inputs!$B$1+((Inputs!$G$5:$G$110&lt;&gt;"moeda")*(Inputs!$G$5:$G$110&lt;&gt;"acoes")))*INDEX(Inputs!$K$5:$AJ$110,0,MATCH(N$2,Inputs!$K$4:$AJ$4,0)))+SUMPRODUCT((Inputs!$C$5:$C$110=$B66)*Inputs!$D$5:$D$110*(((Inputs!$G$5:$G$110="moeda")+(Inputs!$G$5:$G$110="acoes"))*Inputs!$B$1+((Inputs!$G$5:$G$110&lt;&gt;"moeda")*(Inputs!$G$5:$G$110&lt;&gt;"acoes")))*INDEX(Inputs!$K$5:$AJ$110,0,MATCH(N$2,Inputs!$K$4:$AJ$4,0)))+SUMPRODUCT((Inputs!$E$5:$E$110=$B66)*Inputs!$F$5:$F$110*(((Inputs!$G$5:$G$110="moeda")+(Inputs!$G$5:$G$110="acoes"))*Inputs!$B$1+((Inputs!$G$5:$G$110&lt;&gt;"moeda")*(Inputs!$G$5:$G$110&lt;&gt;"acoes")))*INDEX(Inputs!$K$5:$AJ$110,0,MATCH(N$2,Inputs!$K$4:$AJ$4,0)))))</f>
        <v>11681</v>
      </c>
      <c r="O66" s="263">
        <f>IF(ISNA(MATCH(O$2,Inputs!$K$4:$AJ$4,0)),NA(),IF(SUMPRODUCT((Inputs!$A$5:$A$110=$B66)*ISNUMBER(INDEX(Inputs!$K$5:$AJ$110,0,MATCH(O$2,Inputs!$K$4:$AJ$4,0))))+SUMPRODUCT((Inputs!$C$5:$C$110=$B66)*ISNUMBER(INDEX(Inputs!$K$5:$AJ$110,0,MATCH(O$2,Inputs!$K$4:$AJ$4,0))))+SUMPRODUCT((Inputs!$E$5:$E$110=$B66)*ISNUMBER(INDEX(Inputs!$K$5:$AJ$110,0,MATCH(O$2,Inputs!$K$4:$AJ$4,0))))=0,NA(),SUMPRODUCT((Inputs!$A$5:$A$110=$B66)*Inputs!$B$5:$B$110*(((Inputs!$G$5:$G$110="moeda")+(Inputs!$G$5:$G$110="acoes"))*Inputs!$B$1+((Inputs!$G$5:$G$110&lt;&gt;"moeda")*(Inputs!$G$5:$G$110&lt;&gt;"acoes")))*INDEX(Inputs!$K$5:$AJ$110,0,MATCH(O$2,Inputs!$K$4:$AJ$4,0)))+SUMPRODUCT((Inputs!$C$5:$C$110=$B66)*Inputs!$D$5:$D$110*(((Inputs!$G$5:$G$110="moeda")+(Inputs!$G$5:$G$110="acoes"))*Inputs!$B$1+((Inputs!$G$5:$G$110&lt;&gt;"moeda")*(Inputs!$G$5:$G$110&lt;&gt;"acoes")))*INDEX(Inputs!$K$5:$AJ$110,0,MATCH(O$2,Inputs!$K$4:$AJ$4,0)))+SUMPRODUCT((Inputs!$E$5:$E$110=$B66)*Inputs!$F$5:$F$110*(((Inputs!$G$5:$G$110="moeda")+(Inputs!$G$5:$G$110="acoes"))*Inputs!$B$1+((Inputs!$G$5:$G$110&lt;&gt;"moeda")*(Inputs!$G$5:$G$110&lt;&gt;"acoes")))*INDEX(Inputs!$K$5:$AJ$110,0,MATCH(O$2,Inputs!$K$4:$AJ$4,0)))))</f>
        <v>12728</v>
      </c>
      <c r="P66" s="263">
        <f>IF(ISNA(MATCH(P$2,Inputs!$K$4:$AJ$4,0)),NA(),IF(SUMPRODUCT((Inputs!$A$5:$A$110=$B66)*ISNUMBER(INDEX(Inputs!$K$5:$AJ$110,0,MATCH(P$2,Inputs!$K$4:$AJ$4,0))))+SUMPRODUCT((Inputs!$C$5:$C$110=$B66)*ISNUMBER(INDEX(Inputs!$K$5:$AJ$110,0,MATCH(P$2,Inputs!$K$4:$AJ$4,0))))+SUMPRODUCT((Inputs!$E$5:$E$110=$B66)*ISNUMBER(INDEX(Inputs!$K$5:$AJ$110,0,MATCH(P$2,Inputs!$K$4:$AJ$4,0))))=0,NA(),SUMPRODUCT((Inputs!$A$5:$A$110=$B66)*Inputs!$B$5:$B$110*(((Inputs!$G$5:$G$110="moeda")+(Inputs!$G$5:$G$110="acoes"))*Inputs!$B$1+((Inputs!$G$5:$G$110&lt;&gt;"moeda")*(Inputs!$G$5:$G$110&lt;&gt;"acoes")))*INDEX(Inputs!$K$5:$AJ$110,0,MATCH(P$2,Inputs!$K$4:$AJ$4,0)))+SUMPRODUCT((Inputs!$C$5:$C$110=$B66)*Inputs!$D$5:$D$110*(((Inputs!$G$5:$G$110="moeda")+(Inputs!$G$5:$G$110="acoes"))*Inputs!$B$1+((Inputs!$G$5:$G$110&lt;&gt;"moeda")*(Inputs!$G$5:$G$110&lt;&gt;"acoes")))*INDEX(Inputs!$K$5:$AJ$110,0,MATCH(P$2,Inputs!$K$4:$AJ$4,0)))+SUMPRODUCT((Inputs!$E$5:$E$110=$B66)*Inputs!$F$5:$F$110*(((Inputs!$G$5:$G$110="moeda")+(Inputs!$G$5:$G$110="acoes"))*Inputs!$B$1+((Inputs!$G$5:$G$110&lt;&gt;"moeda")*(Inputs!$G$5:$G$110&lt;&gt;"acoes")))*INDEX(Inputs!$K$5:$AJ$110,0,MATCH(P$2,Inputs!$K$4:$AJ$4,0)))))</f>
        <v>13126</v>
      </c>
      <c r="Q66" s="263">
        <f>IF(ISNA(MATCH(Q$2,Inputs!$K$4:$AJ$4,0)),NA(),IF(SUMPRODUCT((Inputs!$A$5:$A$110=$B66)*ISNUMBER(INDEX(Inputs!$K$5:$AJ$110,0,MATCH(Q$2,Inputs!$K$4:$AJ$4,0))))+SUMPRODUCT((Inputs!$C$5:$C$110=$B66)*ISNUMBER(INDEX(Inputs!$K$5:$AJ$110,0,MATCH(Q$2,Inputs!$K$4:$AJ$4,0))))+SUMPRODUCT((Inputs!$E$5:$E$110=$B66)*ISNUMBER(INDEX(Inputs!$K$5:$AJ$110,0,MATCH(Q$2,Inputs!$K$4:$AJ$4,0))))=0,NA(),SUMPRODUCT((Inputs!$A$5:$A$110=$B66)*Inputs!$B$5:$B$110*(((Inputs!$G$5:$G$110="moeda")+(Inputs!$G$5:$G$110="acoes"))*Inputs!$B$1+((Inputs!$G$5:$G$110&lt;&gt;"moeda")*(Inputs!$G$5:$G$110&lt;&gt;"acoes")))*INDEX(Inputs!$K$5:$AJ$110,0,MATCH(Q$2,Inputs!$K$4:$AJ$4,0)))+SUMPRODUCT((Inputs!$C$5:$C$110=$B66)*Inputs!$D$5:$D$110*(((Inputs!$G$5:$G$110="moeda")+(Inputs!$G$5:$G$110="acoes"))*Inputs!$B$1+((Inputs!$G$5:$G$110&lt;&gt;"moeda")*(Inputs!$G$5:$G$110&lt;&gt;"acoes")))*INDEX(Inputs!$K$5:$AJ$110,0,MATCH(Q$2,Inputs!$K$4:$AJ$4,0)))+SUMPRODUCT((Inputs!$E$5:$E$110=$B66)*Inputs!$F$5:$F$110*(((Inputs!$G$5:$G$110="moeda")+(Inputs!$G$5:$G$110="acoes"))*Inputs!$B$1+((Inputs!$G$5:$G$110&lt;&gt;"moeda")*(Inputs!$G$5:$G$110&lt;&gt;"acoes")))*INDEX(Inputs!$K$5:$AJ$110,0,MATCH(Q$2,Inputs!$K$4:$AJ$4,0)))))</f>
        <v>13979</v>
      </c>
      <c r="R66" s="264">
        <f>SUM(N66:Q66)</f>
        <v>51514</v>
      </c>
      <c r="S66" s="263">
        <f>IF(ISNA(MATCH(S$2,Inputs!$K$4:$AJ$4,0)),NA(),IF(SUMPRODUCT((Inputs!$A$5:$A$110=$B66)*ISNUMBER(INDEX(Inputs!$K$5:$AJ$110,0,MATCH(S$2,Inputs!$K$4:$AJ$4,0))))+SUMPRODUCT((Inputs!$C$5:$C$110=$B66)*ISNUMBER(INDEX(Inputs!$K$5:$AJ$110,0,MATCH(S$2,Inputs!$K$4:$AJ$4,0))))+SUMPRODUCT((Inputs!$E$5:$E$110=$B66)*ISNUMBER(INDEX(Inputs!$K$5:$AJ$110,0,MATCH(S$2,Inputs!$K$4:$AJ$4,0))))=0,NA(),SUMPRODUCT((Inputs!$A$5:$A$110=$B66)*Inputs!$B$5:$B$110*(((Inputs!$G$5:$G$110="moeda")+(Inputs!$G$5:$G$110="acoes"))*Inputs!$B$1+((Inputs!$G$5:$G$110&lt;&gt;"moeda")*(Inputs!$G$5:$G$110&lt;&gt;"acoes")))*INDEX(Inputs!$K$5:$AJ$110,0,MATCH(S$2,Inputs!$K$4:$AJ$4,0)))+SUMPRODUCT((Inputs!$C$5:$C$110=$B66)*Inputs!$D$5:$D$110*(((Inputs!$G$5:$G$110="moeda")+(Inputs!$G$5:$G$110="acoes"))*Inputs!$B$1+((Inputs!$G$5:$G$110&lt;&gt;"moeda")*(Inputs!$G$5:$G$110&lt;&gt;"acoes")))*INDEX(Inputs!$K$5:$AJ$110,0,MATCH(S$2,Inputs!$K$4:$AJ$4,0)))+SUMPRODUCT((Inputs!$E$5:$E$110=$B66)*Inputs!$F$5:$F$110*(((Inputs!$G$5:$G$110="moeda")+(Inputs!$G$5:$G$110="acoes"))*Inputs!$B$1+((Inputs!$G$5:$G$110&lt;&gt;"moeda")*(Inputs!$G$5:$G$110&lt;&gt;"acoes")))*INDEX(Inputs!$K$5:$AJ$110,0,MATCH(S$2,Inputs!$K$4:$AJ$4,0)))))</f>
        <v>13289</v>
      </c>
      <c r="T66" s="263">
        <f>IF(ISNA(MATCH(T$2,Inputs!$K$4:$AJ$4,0)),NA(),IF(SUMPRODUCT((Inputs!$A$5:$A$110=$B66)*ISNUMBER(INDEX(Inputs!$K$5:$AJ$110,0,MATCH(T$2,Inputs!$K$4:$AJ$4,0))))+SUMPRODUCT((Inputs!$C$5:$C$110=$B66)*ISNUMBER(INDEX(Inputs!$K$5:$AJ$110,0,MATCH(T$2,Inputs!$K$4:$AJ$4,0))))+SUMPRODUCT((Inputs!$E$5:$E$110=$B66)*ISNUMBER(INDEX(Inputs!$K$5:$AJ$110,0,MATCH(T$2,Inputs!$K$4:$AJ$4,0))))=0,NA(),SUMPRODUCT((Inputs!$A$5:$A$110=$B66)*Inputs!$B$5:$B$110*(((Inputs!$G$5:$G$110="moeda")+(Inputs!$G$5:$G$110="acoes"))*Inputs!$B$1+((Inputs!$G$5:$G$110&lt;&gt;"moeda")*(Inputs!$G$5:$G$110&lt;&gt;"acoes")))*INDEX(Inputs!$K$5:$AJ$110,0,MATCH(T$2,Inputs!$K$4:$AJ$4,0)))+SUMPRODUCT((Inputs!$C$5:$C$110=$B66)*Inputs!$D$5:$D$110*(((Inputs!$G$5:$G$110="moeda")+(Inputs!$G$5:$G$110="acoes"))*Inputs!$B$1+((Inputs!$G$5:$G$110&lt;&gt;"moeda")*(Inputs!$G$5:$G$110&lt;&gt;"acoes")))*INDEX(Inputs!$K$5:$AJ$110,0,MATCH(T$2,Inputs!$K$4:$AJ$4,0)))+SUMPRODUCT((Inputs!$E$5:$E$110=$B66)*Inputs!$F$5:$F$110*(((Inputs!$G$5:$G$110="moeda")+(Inputs!$G$5:$G$110="acoes"))*Inputs!$B$1+((Inputs!$G$5:$G$110&lt;&gt;"moeda")*(Inputs!$G$5:$G$110&lt;&gt;"acoes")))*INDEX(Inputs!$K$5:$AJ$110,0,MATCH(T$2,Inputs!$K$4:$AJ$4,0)))))</f>
        <v>13823</v>
      </c>
      <c r="U66" s="263">
        <f>IF(ISNA(MATCH(U$2,Inputs!$K$4:$AJ$4,0)),NA(),IF(SUMPRODUCT((Inputs!$A$5:$A$110=$B66)*ISNUMBER(INDEX(Inputs!$K$5:$AJ$110,0,MATCH(U$2,Inputs!$K$4:$AJ$4,0))))+SUMPRODUCT((Inputs!$C$5:$C$110=$B66)*ISNUMBER(INDEX(Inputs!$K$5:$AJ$110,0,MATCH(U$2,Inputs!$K$4:$AJ$4,0))))+SUMPRODUCT((Inputs!$E$5:$E$110=$B66)*ISNUMBER(INDEX(Inputs!$K$5:$AJ$110,0,MATCH(U$2,Inputs!$K$4:$AJ$4,0))))=0,NA(),SUMPRODUCT((Inputs!$A$5:$A$110=$B66)*Inputs!$B$5:$B$110*(((Inputs!$G$5:$G$110="moeda")+(Inputs!$G$5:$G$110="acoes"))*Inputs!$B$1+((Inputs!$G$5:$G$110&lt;&gt;"moeda")*(Inputs!$G$5:$G$110&lt;&gt;"acoes")))*INDEX(Inputs!$K$5:$AJ$110,0,MATCH(U$2,Inputs!$K$4:$AJ$4,0)))+SUMPRODUCT((Inputs!$C$5:$C$110=$B66)*Inputs!$D$5:$D$110*(((Inputs!$G$5:$G$110="moeda")+(Inputs!$G$5:$G$110="acoes"))*Inputs!$B$1+((Inputs!$G$5:$G$110&lt;&gt;"moeda")*(Inputs!$G$5:$G$110&lt;&gt;"acoes")))*INDEX(Inputs!$K$5:$AJ$110,0,MATCH(U$2,Inputs!$K$4:$AJ$4,0)))+SUMPRODUCT((Inputs!$E$5:$E$110=$B66)*Inputs!$F$5:$F$110*(((Inputs!$G$5:$G$110="moeda")+(Inputs!$G$5:$G$110="acoes"))*Inputs!$B$1+((Inputs!$G$5:$G$110&lt;&gt;"moeda")*(Inputs!$G$5:$G$110&lt;&gt;"acoes")))*INDEX(Inputs!$K$5:$AJ$110,0,MATCH(U$2,Inputs!$K$4:$AJ$4,0)))))</f>
        <v>14547</v>
      </c>
      <c r="V66" s="263">
        <f>IF(ISNA(MATCH(V$2,Inputs!$K$4:$AJ$4,0)),NA(),IF(SUMPRODUCT((Inputs!$A$5:$A$110=$B66)*ISNUMBER(INDEX(Inputs!$K$5:$AJ$110,0,MATCH(V$2,Inputs!$K$4:$AJ$4,0))))+SUMPRODUCT((Inputs!$C$5:$C$110=$B66)*ISNUMBER(INDEX(Inputs!$K$5:$AJ$110,0,MATCH(V$2,Inputs!$K$4:$AJ$4,0))))+SUMPRODUCT((Inputs!$E$5:$E$110=$B66)*ISNUMBER(INDEX(Inputs!$K$5:$AJ$110,0,MATCH(V$2,Inputs!$K$4:$AJ$4,0))))=0,NA(),SUMPRODUCT((Inputs!$A$5:$A$110=$B66)*Inputs!$B$5:$B$110*(((Inputs!$G$5:$G$110="moeda")+(Inputs!$G$5:$G$110="acoes"))*Inputs!$B$1+((Inputs!$G$5:$G$110&lt;&gt;"moeda")*(Inputs!$G$5:$G$110&lt;&gt;"acoes")))*INDEX(Inputs!$K$5:$AJ$110,0,MATCH(V$2,Inputs!$K$4:$AJ$4,0)))+SUMPRODUCT((Inputs!$C$5:$C$110=$B66)*Inputs!$D$5:$D$110*(((Inputs!$G$5:$G$110="moeda")+(Inputs!$G$5:$G$110="acoes"))*Inputs!$B$1+((Inputs!$G$5:$G$110&lt;&gt;"moeda")*(Inputs!$G$5:$G$110&lt;&gt;"acoes")))*INDEX(Inputs!$K$5:$AJ$110,0,MATCH(V$2,Inputs!$K$4:$AJ$4,0)))+SUMPRODUCT((Inputs!$E$5:$E$110=$B66)*Inputs!$F$5:$F$110*(((Inputs!$G$5:$G$110="moeda")+(Inputs!$G$5:$G$110="acoes"))*Inputs!$B$1+((Inputs!$G$5:$G$110&lt;&gt;"moeda")*(Inputs!$G$5:$G$110&lt;&gt;"acoes")))*INDEX(Inputs!$K$5:$AJ$110,0,MATCH(V$2,Inputs!$K$4:$AJ$4,0)))))</f>
        <v>15156</v>
      </c>
      <c r="W66" s="264">
        <f>SUM(S66:V66)</f>
        <v>56815</v>
      </c>
      <c r="X66" s="263">
        <f>IF(ISNA(MATCH(X$2,Inputs!$K$4:$AJ$4,0)),NA(),IF(SUMPRODUCT((Inputs!$A$5:$A$110=$B66)*ISNUMBER(INDEX(Inputs!$K$5:$AJ$110,0,MATCH(X$2,Inputs!$K$4:$AJ$4,0))))+SUMPRODUCT((Inputs!$C$5:$C$110=$B66)*ISNUMBER(INDEX(Inputs!$K$5:$AJ$110,0,MATCH(X$2,Inputs!$K$4:$AJ$4,0))))+SUMPRODUCT((Inputs!$E$5:$E$110=$B66)*ISNUMBER(INDEX(Inputs!$K$5:$AJ$110,0,MATCH(X$2,Inputs!$K$4:$AJ$4,0))))=0,NA(),SUMPRODUCT((Inputs!$A$5:$A$110=$B66)*Inputs!$B$5:$B$110*(((Inputs!$G$5:$G$110="moeda")+(Inputs!$G$5:$G$110="acoes"))*Inputs!$B$1+((Inputs!$G$5:$G$110&lt;&gt;"moeda")*(Inputs!$G$5:$G$110&lt;&gt;"acoes")))*INDEX(Inputs!$K$5:$AJ$110,0,MATCH(X$2,Inputs!$K$4:$AJ$4,0)))+SUMPRODUCT((Inputs!$C$5:$C$110=$B66)*Inputs!$D$5:$D$110*(((Inputs!$G$5:$G$110="moeda")+(Inputs!$G$5:$G$110="acoes"))*Inputs!$B$1+((Inputs!$G$5:$G$110&lt;&gt;"moeda")*(Inputs!$G$5:$G$110&lt;&gt;"acoes")))*INDEX(Inputs!$K$5:$AJ$110,0,MATCH(X$2,Inputs!$K$4:$AJ$4,0)))+SUMPRODUCT((Inputs!$E$5:$E$110=$B66)*Inputs!$F$5:$F$110*(((Inputs!$G$5:$G$110="moeda")+(Inputs!$G$5:$G$110="acoes"))*Inputs!$B$1+((Inputs!$G$5:$G$110&lt;&gt;"moeda")*(Inputs!$G$5:$G$110&lt;&gt;"acoes")))*INDEX(Inputs!$K$5:$AJ$110,0,MATCH(X$2,Inputs!$K$4:$AJ$4,0)))))</f>
        <v>14854</v>
      </c>
      <c r="Y66" s="263">
        <f>IF(ISNA(MATCH(Y$2,Inputs!$K$4:$AJ$4,0)),NA(),IF(SUMPRODUCT((Inputs!$A$5:$A$110=$B66)*ISNUMBER(INDEX(Inputs!$K$5:$AJ$110,0,MATCH(Y$2,Inputs!$K$4:$AJ$4,0))))+SUMPRODUCT((Inputs!$C$5:$C$110=$B66)*ISNUMBER(INDEX(Inputs!$K$5:$AJ$110,0,MATCH(Y$2,Inputs!$K$4:$AJ$4,0))))+SUMPRODUCT((Inputs!$E$5:$E$110=$B66)*ISNUMBER(INDEX(Inputs!$K$5:$AJ$110,0,MATCH(Y$2,Inputs!$K$4:$AJ$4,0))))=0,NA(),SUMPRODUCT((Inputs!$A$5:$A$110=$B66)*Inputs!$B$5:$B$110*(((Inputs!$G$5:$G$110="moeda")+(Inputs!$G$5:$G$110="acoes"))*Inputs!$B$1+((Inputs!$G$5:$G$110&lt;&gt;"moeda")*(Inputs!$G$5:$G$110&lt;&gt;"acoes")))*INDEX(Inputs!$K$5:$AJ$110,0,MATCH(Y$2,Inputs!$K$4:$AJ$4,0)))+SUMPRODUCT((Inputs!$C$5:$C$110=$B66)*Inputs!$D$5:$D$110*(((Inputs!$G$5:$G$110="moeda")+(Inputs!$G$5:$G$110="acoes"))*Inputs!$B$1+((Inputs!$G$5:$G$110&lt;&gt;"moeda")*(Inputs!$G$5:$G$110&lt;&gt;"acoes")))*INDEX(Inputs!$K$5:$AJ$110,0,MATCH(Y$2,Inputs!$K$4:$AJ$4,0)))+SUMPRODUCT((Inputs!$E$5:$E$110=$B66)*Inputs!$F$5:$F$110*(((Inputs!$G$5:$G$110="moeda")+(Inputs!$G$5:$G$110="acoes"))*Inputs!$B$1+((Inputs!$G$5:$G$110&lt;&gt;"moeda")*(Inputs!$G$5:$G$110&lt;&gt;"acoes")))*INDEX(Inputs!$K$5:$AJ$110,0,MATCH(Y$2,Inputs!$K$4:$AJ$4,0)))))</f>
        <v>16480</v>
      </c>
      <c r="Z66" s="263">
        <f>IF(ISNA(MATCH(Z$2,Inputs!$K$4:$AJ$4,0)),NA(),IF(SUMPRODUCT((Inputs!$A$5:$A$110=$B66)*ISNUMBER(INDEX(Inputs!$K$5:$AJ$110,0,MATCH(Z$2,Inputs!$K$4:$AJ$4,0))))+SUMPRODUCT((Inputs!$C$5:$C$110=$B66)*ISNUMBER(INDEX(Inputs!$K$5:$AJ$110,0,MATCH(Z$2,Inputs!$K$4:$AJ$4,0))))+SUMPRODUCT((Inputs!$E$5:$E$110=$B66)*ISNUMBER(INDEX(Inputs!$K$5:$AJ$110,0,MATCH(Z$2,Inputs!$K$4:$AJ$4,0))))=0,NA(),SUMPRODUCT((Inputs!$A$5:$A$110=$B66)*Inputs!$B$5:$B$110*(((Inputs!$G$5:$G$110="moeda")+(Inputs!$G$5:$G$110="acoes"))*Inputs!$B$1+((Inputs!$G$5:$G$110&lt;&gt;"moeda")*(Inputs!$G$5:$G$110&lt;&gt;"acoes")))*INDEX(Inputs!$K$5:$AJ$110,0,MATCH(Z$2,Inputs!$K$4:$AJ$4,0)))+SUMPRODUCT((Inputs!$C$5:$C$110=$B66)*Inputs!$D$5:$D$110*(((Inputs!$G$5:$G$110="moeda")+(Inputs!$G$5:$G$110="acoes"))*Inputs!$B$1+((Inputs!$G$5:$G$110&lt;&gt;"moeda")*(Inputs!$G$5:$G$110&lt;&gt;"acoes")))*INDEX(Inputs!$K$5:$AJ$110,0,MATCH(Z$2,Inputs!$K$4:$AJ$4,0)))+SUMPRODUCT((Inputs!$E$5:$E$110=$B66)*Inputs!$F$5:$F$110*(((Inputs!$G$5:$G$110="moeda")+(Inputs!$G$5:$G$110="acoes"))*Inputs!$B$1+((Inputs!$G$5:$G$110&lt;&gt;"moeda")*(Inputs!$G$5:$G$110&lt;&gt;"acoes")))*INDEX(Inputs!$K$5:$AJ$110,0,MATCH(Z$2,Inputs!$K$4:$AJ$4,0)))))</f>
        <v>17819</v>
      </c>
      <c r="AA66" s="263">
        <f>IF(ISNA(MATCH(AA$2,Inputs!$K$4:$AJ$4,0)),NA(),IF(SUMPRODUCT((Inputs!$A$5:$A$110=$B66)*ISNUMBER(INDEX(Inputs!$K$5:$AJ$110,0,MATCH(AA$2,Inputs!$K$4:$AJ$4,0))))+SUMPRODUCT((Inputs!$C$5:$C$110=$B66)*ISNUMBER(INDEX(Inputs!$K$5:$AJ$110,0,MATCH(AA$2,Inputs!$K$4:$AJ$4,0))))+SUMPRODUCT((Inputs!$E$5:$E$110=$B66)*ISNUMBER(INDEX(Inputs!$K$5:$AJ$110,0,MATCH(AA$2,Inputs!$K$4:$AJ$4,0))))=0,NA(),SUMPRODUCT((Inputs!$A$5:$A$110=$B66)*Inputs!$B$5:$B$110*(((Inputs!$G$5:$G$110="moeda")+(Inputs!$G$5:$G$110="acoes"))*Inputs!$B$1+((Inputs!$G$5:$G$110&lt;&gt;"moeda")*(Inputs!$G$5:$G$110&lt;&gt;"acoes")))*INDEX(Inputs!$K$5:$AJ$110,0,MATCH(AA$2,Inputs!$K$4:$AJ$4,0)))+SUMPRODUCT((Inputs!$C$5:$C$110=$B66)*Inputs!$D$5:$D$110*(((Inputs!$G$5:$G$110="moeda")+(Inputs!$G$5:$G$110="acoes"))*Inputs!$B$1+((Inputs!$G$5:$G$110&lt;&gt;"moeda")*(Inputs!$G$5:$G$110&lt;&gt;"acoes")))*INDEX(Inputs!$K$5:$AJ$110,0,MATCH(AA$2,Inputs!$K$4:$AJ$4,0)))+SUMPRODUCT((Inputs!$E$5:$E$110=$B66)*Inputs!$F$5:$F$110*(((Inputs!$G$5:$G$110="moeda")+(Inputs!$G$5:$G$110="acoes"))*Inputs!$B$1+((Inputs!$G$5:$G$110&lt;&gt;"moeda")*(Inputs!$G$5:$G$110&lt;&gt;"acoes")))*INDEX(Inputs!$K$5:$AJ$110,0,MATCH(AA$2,Inputs!$K$4:$AJ$4,0)))))</f>
        <v>18527</v>
      </c>
      <c r="AB66" s="264">
        <f>SUM(X66:AA66)</f>
        <v>67680</v>
      </c>
      <c r="AC66" s="263">
        <f>IF(ISNA(MATCH(AC$2,Inputs!$K$4:$AJ$4,0)),NA(),IF(SUMPRODUCT((Inputs!$A$5:$A$110=$B66)*ISNUMBER(INDEX(Inputs!$K$5:$AJ$110,0,MATCH(AC$2,Inputs!$K$4:$AJ$4,0))))+SUMPRODUCT((Inputs!$C$5:$C$110=$B66)*ISNUMBER(INDEX(Inputs!$K$5:$AJ$110,0,MATCH(AC$2,Inputs!$K$4:$AJ$4,0))))+SUMPRODUCT((Inputs!$E$5:$E$110=$B66)*ISNUMBER(INDEX(Inputs!$K$5:$AJ$110,0,MATCH(AC$2,Inputs!$K$4:$AJ$4,0))))=0,NA(),SUMPRODUCT((Inputs!$A$5:$A$110=$B66)*Inputs!$B$5:$B$110*(((Inputs!$G$5:$G$110="moeda")+(Inputs!$G$5:$G$110="acoes"))*Inputs!$B$1+((Inputs!$G$5:$G$110&lt;&gt;"moeda")*(Inputs!$G$5:$G$110&lt;&gt;"acoes")))*INDEX(Inputs!$K$5:$AJ$110,0,MATCH(AC$2,Inputs!$K$4:$AJ$4,0)))+SUMPRODUCT((Inputs!$C$5:$C$110=$B66)*Inputs!$D$5:$D$110*(((Inputs!$G$5:$G$110="moeda")+(Inputs!$G$5:$G$110="acoes"))*Inputs!$B$1+((Inputs!$G$5:$G$110&lt;&gt;"moeda")*(Inputs!$G$5:$G$110&lt;&gt;"acoes")))*INDEX(Inputs!$K$5:$AJ$110,0,MATCH(AC$2,Inputs!$K$4:$AJ$4,0)))+SUMPRODUCT((Inputs!$E$5:$E$110=$B66)*Inputs!$F$5:$F$110*(((Inputs!$G$5:$G$110="moeda")+(Inputs!$G$5:$G$110="acoes"))*Inputs!$B$1+((Inputs!$G$5:$G$110&lt;&gt;"moeda")*(Inputs!$G$5:$G$110&lt;&gt;"acoes")))*INDEX(Inputs!$K$5:$AJ$110,0,MATCH(AC$2,Inputs!$K$4:$AJ$4,0)))))</f>
        <v>18288</v>
      </c>
      <c r="AD66" s="263">
        <f>IF(ISNA(MATCH(AD$2,Inputs!$K$4:$AJ$4,0)),NA(),IF(SUMPRODUCT((Inputs!$A$5:$A$110=$B66)*ISNUMBER(INDEX(Inputs!$K$5:$AJ$110,0,MATCH(AD$2,Inputs!$K$4:$AJ$4,0))))+SUMPRODUCT((Inputs!$C$5:$C$110=$B66)*ISNUMBER(INDEX(Inputs!$K$5:$AJ$110,0,MATCH(AD$2,Inputs!$K$4:$AJ$4,0))))+SUMPRODUCT((Inputs!$E$5:$E$110=$B66)*ISNUMBER(INDEX(Inputs!$K$5:$AJ$110,0,MATCH(AD$2,Inputs!$K$4:$AJ$4,0))))=0,NA(),SUMPRODUCT((Inputs!$A$5:$A$110=$B66)*Inputs!$B$5:$B$110*(((Inputs!$G$5:$G$110="moeda")+(Inputs!$G$5:$G$110="acoes"))*Inputs!$B$1+((Inputs!$G$5:$G$110&lt;&gt;"moeda")*(Inputs!$G$5:$G$110&lt;&gt;"acoes")))*INDEX(Inputs!$K$5:$AJ$110,0,MATCH(AD$2,Inputs!$K$4:$AJ$4,0)))+SUMPRODUCT((Inputs!$C$5:$C$110=$B66)*Inputs!$D$5:$D$110*(((Inputs!$G$5:$G$110="moeda")+(Inputs!$G$5:$G$110="acoes"))*Inputs!$B$1+((Inputs!$G$5:$G$110&lt;&gt;"moeda")*(Inputs!$G$5:$G$110&lt;&gt;"acoes")))*INDEX(Inputs!$K$5:$AJ$110,0,MATCH(AD$2,Inputs!$K$4:$AJ$4,0)))+SUMPRODUCT((Inputs!$E$5:$E$110=$B66)*Inputs!$F$5:$F$110*(((Inputs!$G$5:$G$110="moeda")+(Inputs!$G$5:$G$110="acoes"))*Inputs!$B$1+((Inputs!$G$5:$G$110&lt;&gt;"moeda")*(Inputs!$G$5:$G$110&lt;&gt;"acoes")))*INDEX(Inputs!$K$5:$AJ$110,0,MATCH(AD$2,Inputs!$K$4:$AJ$4,0)))))</f>
        <v>19317</v>
      </c>
      <c r="AE66" s="263" t="e">
        <f>IF(ISNA(MATCH(AE$2,Inputs!$K$4:$AJ$4,0)),NA(),IF(SUMPRODUCT((Inputs!$A$5:$A$110=$B66)*ISNUMBER(INDEX(Inputs!$K$5:$AJ$110,0,MATCH(AE$2,Inputs!$K$4:$AJ$4,0))))+SUMPRODUCT((Inputs!$C$5:$C$110=$B66)*ISNUMBER(INDEX(Inputs!$K$5:$AJ$110,0,MATCH(AE$2,Inputs!$K$4:$AJ$4,0))))+SUMPRODUCT((Inputs!$E$5:$E$110=$B66)*ISNUMBER(INDEX(Inputs!$K$5:$AJ$110,0,MATCH(AE$2,Inputs!$K$4:$AJ$4,0))))=0,NA(),SUMPRODUCT((Inputs!$A$5:$A$110=$B66)*Inputs!$B$5:$B$110*(((Inputs!$G$5:$G$110="moeda")+(Inputs!$G$5:$G$110="acoes"))*Inputs!$B$1+((Inputs!$G$5:$G$110&lt;&gt;"moeda")*(Inputs!$G$5:$G$110&lt;&gt;"acoes")))*INDEX(Inputs!$K$5:$AJ$110,0,MATCH(AE$2,Inputs!$K$4:$AJ$4,0)))+SUMPRODUCT((Inputs!$C$5:$C$110=$B66)*Inputs!$D$5:$D$110*(((Inputs!$G$5:$G$110="moeda")+(Inputs!$G$5:$G$110="acoes"))*Inputs!$B$1+((Inputs!$G$5:$G$110&lt;&gt;"moeda")*(Inputs!$G$5:$G$110&lt;&gt;"acoes")))*INDEX(Inputs!$K$5:$AJ$110,0,MATCH(AE$2,Inputs!$K$4:$AJ$4,0)))+SUMPRODUCT((Inputs!$E$5:$E$110=$B66)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6" s="263" t="e">
        <f>IF(ISNA(MATCH(AF$2,Inputs!$K$4:$AJ$4,0)),NA(),IF(SUMPRODUCT((Inputs!$A$5:$A$110=$B66)*ISNUMBER(INDEX(Inputs!$K$5:$AJ$110,0,MATCH(AF$2,Inputs!$K$4:$AJ$4,0))))+SUMPRODUCT((Inputs!$C$5:$C$110=$B66)*ISNUMBER(INDEX(Inputs!$K$5:$AJ$110,0,MATCH(AF$2,Inputs!$K$4:$AJ$4,0))))+SUMPRODUCT((Inputs!$E$5:$E$110=$B66)*ISNUMBER(INDEX(Inputs!$K$5:$AJ$110,0,MATCH(AF$2,Inputs!$K$4:$AJ$4,0))))=0,NA(),SUMPRODUCT((Inputs!$A$5:$A$110=$B66)*Inputs!$B$5:$B$110*(((Inputs!$G$5:$G$110="moeda")+(Inputs!$G$5:$G$110="acoes"))*Inputs!$B$1+((Inputs!$G$5:$G$110&lt;&gt;"moeda")*(Inputs!$G$5:$G$110&lt;&gt;"acoes")))*INDEX(Inputs!$K$5:$AJ$110,0,MATCH(AF$2,Inputs!$K$4:$AJ$4,0)))+SUMPRODUCT((Inputs!$C$5:$C$110=$B66)*Inputs!$D$5:$D$110*(((Inputs!$G$5:$G$110="moeda")+(Inputs!$G$5:$G$110="acoes"))*Inputs!$B$1+((Inputs!$G$5:$G$110&lt;&gt;"moeda")*(Inputs!$G$5:$G$110&lt;&gt;"acoes")))*INDEX(Inputs!$K$5:$AJ$110,0,MATCH(AF$2,Inputs!$K$4:$AJ$4,0)))+SUMPRODUCT((Inputs!$E$5:$E$110=$B66)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6" s="264" t="e">
        <f>SUM(AC66:AF66)</f>
        <v>#N/A</v>
      </c>
      <c r="AH66" s="263">
        <f>IF(ISNA(MATCH(AH$2,Inputs!$K$4:$AJ$4,0)),NA(),IF(SUMPRODUCT((Inputs!$A$5:$A$110=$B66)*ISNUMBER(INDEX(Inputs!$K$5:$AJ$110,0,MATCH(AH$2,Inputs!$K$4:$AJ$4,0))))+SUMPRODUCT((Inputs!$C$5:$C$110=$B66)*ISNUMBER(INDEX(Inputs!$K$5:$AJ$110,0,MATCH(AH$2,Inputs!$K$4:$AJ$4,0))))+SUMPRODUCT((Inputs!$E$5:$E$110=$B66)*ISNUMBER(INDEX(Inputs!$K$5:$AJ$110,0,MATCH(AH$2,Inputs!$K$4:$AJ$4,0))))=0,NA(),SUMPRODUCT((Inputs!$A$5:$A$110=$B66)*Inputs!$B$5:$B$110*(((Inputs!$G$5:$G$110="moeda")+(Inputs!$G$5:$G$110="acoes"))*Inputs!$B$1+((Inputs!$G$5:$G$110&lt;&gt;"moeda")*(Inputs!$G$5:$G$110&lt;&gt;"acoes")))*INDEX(Inputs!$K$5:$AJ$110,0,MATCH(AH$2,Inputs!$K$4:$AJ$4,0)))+SUMPRODUCT((Inputs!$C$5:$C$110=$B66)*Inputs!$D$5:$D$110*(((Inputs!$G$5:$G$110="moeda")+(Inputs!$G$5:$G$110="acoes"))*Inputs!$B$1+((Inputs!$G$5:$G$110&lt;&gt;"moeda")*(Inputs!$G$5:$G$110&lt;&gt;"acoes")))*INDEX(Inputs!$K$5:$AJ$110,0,MATCH(AH$2,Inputs!$K$4:$AJ$4,0)))+SUMPRODUCT((Inputs!$E$5:$E$110=$B66)*Inputs!$F$5:$F$110*(((Inputs!$G$5:$G$110="moeda")+(Inputs!$G$5:$G$110="acoes"))*Inputs!$B$1+((Inputs!$G$5:$G$110&lt;&gt;"moeda")*(Inputs!$G$5:$G$110&lt;&gt;"acoes")))*INDEX(Inputs!$K$5:$AJ$110,0,MATCH(AH$2,Inputs!$K$4:$AJ$4,0)))))</f>
        <v>7238</v>
      </c>
      <c r="AI66" s="263">
        <f>IF(ISNA(MATCH(AI$2,Inputs!$K$4:$AJ$4,0)),NA(),IF(SUMPRODUCT((Inputs!$A$5:$A$110=$B66)*ISNUMBER(INDEX(Inputs!$K$5:$AJ$110,0,MATCH(AI$2,Inputs!$K$4:$AJ$4,0))))+SUMPRODUCT((Inputs!$C$5:$C$110=$B66)*ISNUMBER(INDEX(Inputs!$K$5:$AJ$110,0,MATCH(AI$2,Inputs!$K$4:$AJ$4,0))))+SUMPRODUCT((Inputs!$E$5:$E$110=$B66)*ISNUMBER(INDEX(Inputs!$K$5:$AJ$110,0,MATCH(AI$2,Inputs!$K$4:$AJ$4,0))))=0,NA(),SUMPRODUCT((Inputs!$A$5:$A$110=$B66)*Inputs!$B$5:$B$110*(((Inputs!$G$5:$G$110="moeda")+(Inputs!$G$5:$G$110="acoes"))*Inputs!$B$1+((Inputs!$G$5:$G$110&lt;&gt;"moeda")*(Inputs!$G$5:$G$110&lt;&gt;"acoes")))*INDEX(Inputs!$K$5:$AJ$110,0,MATCH(AI$2,Inputs!$K$4:$AJ$4,0)))+SUMPRODUCT((Inputs!$C$5:$C$110=$B66)*Inputs!$D$5:$D$110*(((Inputs!$G$5:$G$110="moeda")+(Inputs!$G$5:$G$110="acoes"))*Inputs!$B$1+((Inputs!$G$5:$G$110&lt;&gt;"moeda")*(Inputs!$G$5:$G$110&lt;&gt;"acoes")))*INDEX(Inputs!$K$5:$AJ$110,0,MATCH(AI$2,Inputs!$K$4:$AJ$4,0)))+SUMPRODUCT((Inputs!$E$5:$E$110=$B66)*Inputs!$F$5:$F$110*(((Inputs!$G$5:$G$110="moeda")+(Inputs!$G$5:$G$110="acoes"))*Inputs!$B$1+((Inputs!$G$5:$G$110&lt;&gt;"moeda")*(Inputs!$G$5:$G$110&lt;&gt;"acoes")))*INDEX(Inputs!$K$5:$AJ$110,0,MATCH(AI$2,Inputs!$K$4:$AJ$4,0)))))</f>
        <v>6945</v>
      </c>
      <c r="AJ66" s="263">
        <f>IF(ISNA(MATCH(AJ$2,Inputs!$K$4:$AJ$4,0)),NA(),IF(SUMPRODUCT((Inputs!$A$5:$A$110=$B66)*ISNUMBER(INDEX(Inputs!$K$5:$AJ$110,0,MATCH(AJ$2,Inputs!$K$4:$AJ$4,0))))+SUMPRODUCT((Inputs!$C$5:$C$110=$B66)*ISNUMBER(INDEX(Inputs!$K$5:$AJ$110,0,MATCH(AJ$2,Inputs!$K$4:$AJ$4,0))))+SUMPRODUCT((Inputs!$E$5:$E$110=$B66)*ISNUMBER(INDEX(Inputs!$K$5:$AJ$110,0,MATCH(AJ$2,Inputs!$K$4:$AJ$4,0))))=0,NA(),SUMPRODUCT((Inputs!$A$5:$A$110=$B66)*Inputs!$B$5:$B$110*(((Inputs!$G$5:$G$110="moeda")+(Inputs!$G$5:$G$110="acoes"))*Inputs!$B$1+((Inputs!$G$5:$G$110&lt;&gt;"moeda")*(Inputs!$G$5:$G$110&lt;&gt;"acoes")))*INDEX(Inputs!$K$5:$AJ$110,0,MATCH(AJ$2,Inputs!$K$4:$AJ$4,0)))+SUMPRODUCT((Inputs!$C$5:$C$110=$B66)*Inputs!$D$5:$D$110*(((Inputs!$G$5:$G$110="moeda")+(Inputs!$G$5:$G$110="acoes"))*Inputs!$B$1+((Inputs!$G$5:$G$110&lt;&gt;"moeda")*(Inputs!$G$5:$G$110&lt;&gt;"acoes")))*INDEX(Inputs!$K$5:$AJ$110,0,MATCH(AJ$2,Inputs!$K$4:$AJ$4,0)))+SUMPRODUCT((Inputs!$E$5:$E$110=$B66)*Inputs!$F$5:$F$110*(((Inputs!$G$5:$G$110="moeda")+(Inputs!$G$5:$G$110="acoes"))*Inputs!$B$1+((Inputs!$G$5:$G$110&lt;&gt;"moeda")*(Inputs!$G$5:$G$110&lt;&gt;"acoes")))*INDEX(Inputs!$K$5:$AJ$110,0,MATCH(AJ$2,Inputs!$K$4:$AJ$4,0)))))</f>
        <v>8458</v>
      </c>
      <c r="AK66" s="263">
        <f>IF(ISNA(MATCH(AK$2,Inputs!$K$4:$AJ$4,0)),NA(),IF(SUMPRODUCT((Inputs!$A$5:$A$110=$B66)*ISNUMBER(INDEX(Inputs!$K$5:$AJ$110,0,MATCH(AK$2,Inputs!$K$4:$AJ$4,0))))+SUMPRODUCT((Inputs!$C$5:$C$110=$B66)*ISNUMBER(INDEX(Inputs!$K$5:$AJ$110,0,MATCH(AK$2,Inputs!$K$4:$AJ$4,0))))+SUMPRODUCT((Inputs!$E$5:$E$110=$B66)*ISNUMBER(INDEX(Inputs!$K$5:$AJ$110,0,MATCH(AK$2,Inputs!$K$4:$AJ$4,0))))=0,NA(),SUMPRODUCT((Inputs!$A$5:$A$110=$B66)*Inputs!$B$5:$B$110*(((Inputs!$G$5:$G$110="moeda")+(Inputs!$G$5:$G$110="acoes"))*Inputs!$B$1+((Inputs!$G$5:$G$110&lt;&gt;"moeda")*(Inputs!$G$5:$G$110&lt;&gt;"acoes")))*INDEX(Inputs!$K$5:$AJ$110,0,MATCH(AK$2,Inputs!$K$4:$AJ$4,0)))+SUMPRODUCT((Inputs!$C$5:$C$110=$B66)*Inputs!$D$5:$D$110*(((Inputs!$G$5:$G$110="moeda")+(Inputs!$G$5:$G$110="acoes"))*Inputs!$B$1+((Inputs!$G$5:$G$110&lt;&gt;"moeda")*(Inputs!$G$5:$G$110&lt;&gt;"acoes")))*INDEX(Inputs!$K$5:$AJ$110,0,MATCH(AK$2,Inputs!$K$4:$AJ$4,0)))+SUMPRODUCT((Inputs!$E$5:$E$110=$B66)*Inputs!$F$5:$F$110*(((Inputs!$G$5:$G$110="moeda")+(Inputs!$G$5:$G$110="acoes"))*Inputs!$B$1+((Inputs!$G$5:$G$110&lt;&gt;"moeda")*(Inputs!$G$5:$G$110&lt;&gt;"acoes")))*INDEX(Inputs!$K$5:$AJ$110,0,MATCH(AK$2,Inputs!$K$4:$AJ$4,0)))))</f>
        <v>9909</v>
      </c>
      <c r="AL66" s="264">
        <f>SUM(AH66:AK66)</f>
        <v>32550</v>
      </c>
    </row>
    <row r="67">
      <c r="B67" s="46" t="n">
        <v>59</v>
      </c>
      <c r="C67" s="29" t="inlineStr">
        <is>
          <t>Receita Outras Américas (USD)</t>
        </is>
      </c>
      <c r="D67" s="263">
        <f>IF(ISNA(MATCH(D$2,Inputs!$K$4:$AJ$4,0)),NA(),IF(SUMPRODUCT((Inputs!$A$5:$A$110=$B67)*ISNUMBER(INDEX(Inputs!$K$5:$AJ$110,0,MATCH(D$2,Inputs!$K$4:$AJ$4,0))))+SUMPRODUCT((Inputs!$C$5:$C$110=$B67)*ISNUMBER(INDEX(Inputs!$K$5:$AJ$110,0,MATCH(D$2,Inputs!$K$4:$AJ$4,0))))+SUMPRODUCT((Inputs!$E$5:$E$110=$B67)*ISNUMBER(INDEX(Inputs!$K$5:$AJ$110,0,MATCH(D$2,Inputs!$K$4:$AJ$4,0))))=0,NA(),SUMPRODUCT((Inputs!$A$5:$A$110=$B67)*Inputs!$B$5:$B$110*(((Inputs!$G$5:$G$110="moeda")+(Inputs!$G$5:$G$110="acoes"))*Inputs!$B$1+((Inputs!$G$5:$G$110&lt;&gt;"moeda")*(Inputs!$G$5:$G$110&lt;&gt;"acoes")))*INDEX(Inputs!$K$5:$AJ$110,0,MATCH(D$2,Inputs!$K$4:$AJ$4,0)))+SUMPRODUCT((Inputs!$C$5:$C$110=$B67)*Inputs!$D$5:$D$110*(((Inputs!$G$5:$G$110="moeda")+(Inputs!$G$5:$G$110="acoes"))*Inputs!$B$1+((Inputs!$G$5:$G$110&lt;&gt;"moeda")*(Inputs!$G$5:$G$110&lt;&gt;"acoes")))*INDEX(Inputs!$K$5:$AJ$110,0,MATCH(D$2,Inputs!$K$4:$AJ$4,0)))+SUMPRODUCT((Inputs!$E$5:$E$110=$B67)*Inputs!$F$5:$F$110*(((Inputs!$G$5:$G$110="moeda")+(Inputs!$G$5:$G$110="acoes"))*Inputs!$B$1+((Inputs!$G$5:$G$110&lt;&gt;"moeda")*(Inputs!$G$5:$G$110&lt;&gt;"acoes")))*INDEX(Inputs!$K$5:$AJ$110,0,MATCH(D$2,Inputs!$K$4:$AJ$4,0)))))</f>
        <v>2905</v>
      </c>
      <c r="E67" s="263">
        <f>IF(ISNA(MATCH(E$2,Inputs!$K$4:$AJ$4,0)),NA(),IF(SUMPRODUCT((Inputs!$A$5:$A$110=$B67)*ISNUMBER(INDEX(Inputs!$K$5:$AJ$110,0,MATCH(E$2,Inputs!$K$4:$AJ$4,0))))+SUMPRODUCT((Inputs!$C$5:$C$110=$B67)*ISNUMBER(INDEX(Inputs!$K$5:$AJ$110,0,MATCH(E$2,Inputs!$K$4:$AJ$4,0))))+SUMPRODUCT((Inputs!$E$5:$E$110=$B67)*ISNUMBER(INDEX(Inputs!$K$5:$AJ$110,0,MATCH(E$2,Inputs!$K$4:$AJ$4,0))))=0,NA(),SUMPRODUCT((Inputs!$A$5:$A$110=$B67)*Inputs!$B$5:$B$110*(((Inputs!$G$5:$G$110="moeda")+(Inputs!$G$5:$G$110="acoes"))*Inputs!$B$1+((Inputs!$G$5:$G$110&lt;&gt;"moeda")*(Inputs!$G$5:$G$110&lt;&gt;"acoes")))*INDEX(Inputs!$K$5:$AJ$110,0,MATCH(E$2,Inputs!$K$4:$AJ$4,0)))+SUMPRODUCT((Inputs!$C$5:$C$110=$B67)*Inputs!$D$5:$D$110*(((Inputs!$G$5:$G$110="moeda")+(Inputs!$G$5:$G$110="acoes"))*Inputs!$B$1+((Inputs!$G$5:$G$110&lt;&gt;"moeda")*(Inputs!$G$5:$G$110&lt;&gt;"acoes")))*INDEX(Inputs!$K$5:$AJ$110,0,MATCH(E$2,Inputs!$K$4:$AJ$4,0)))+SUMPRODUCT((Inputs!$E$5:$E$110=$B67)*Inputs!$F$5:$F$110*(((Inputs!$G$5:$G$110="moeda")+(Inputs!$G$5:$G$110="acoes"))*Inputs!$B$1+((Inputs!$G$5:$G$110&lt;&gt;"moeda")*(Inputs!$G$5:$G$110&lt;&gt;"acoes")))*INDEX(Inputs!$K$5:$AJ$110,0,MATCH(E$2,Inputs!$K$4:$AJ$4,0)))))</f>
        <v>3364</v>
      </c>
      <c r="F67" s="263">
        <f>IF(ISNA(MATCH(F$2,Inputs!$K$4:$AJ$4,0)),NA(),IF(SUMPRODUCT((Inputs!$A$5:$A$110=$B67)*ISNUMBER(INDEX(Inputs!$K$5:$AJ$110,0,MATCH(F$2,Inputs!$K$4:$AJ$4,0))))+SUMPRODUCT((Inputs!$C$5:$C$110=$B67)*ISNUMBER(INDEX(Inputs!$K$5:$AJ$110,0,MATCH(F$2,Inputs!$K$4:$AJ$4,0))))+SUMPRODUCT((Inputs!$E$5:$E$110=$B67)*ISNUMBER(INDEX(Inputs!$K$5:$AJ$110,0,MATCH(F$2,Inputs!$K$4:$AJ$4,0))))=0,NA(),SUMPRODUCT((Inputs!$A$5:$A$110=$B67)*Inputs!$B$5:$B$110*(((Inputs!$G$5:$G$110="moeda")+(Inputs!$G$5:$G$110="acoes"))*Inputs!$B$1+((Inputs!$G$5:$G$110&lt;&gt;"moeda")*(Inputs!$G$5:$G$110&lt;&gt;"acoes")))*INDEX(Inputs!$K$5:$AJ$110,0,MATCH(F$2,Inputs!$K$4:$AJ$4,0)))+SUMPRODUCT((Inputs!$C$5:$C$110=$B67)*Inputs!$D$5:$D$110*(((Inputs!$G$5:$G$110="moeda")+(Inputs!$G$5:$G$110="acoes"))*Inputs!$B$1+((Inputs!$G$5:$G$110&lt;&gt;"moeda")*(Inputs!$G$5:$G$110&lt;&gt;"acoes")))*INDEX(Inputs!$K$5:$AJ$110,0,MATCH(F$2,Inputs!$K$4:$AJ$4,0)))+SUMPRODUCT((Inputs!$E$5:$E$110=$B67)*Inputs!$F$5:$F$110*(((Inputs!$G$5:$G$110="moeda")+(Inputs!$G$5:$G$110="acoes"))*Inputs!$B$1+((Inputs!$G$5:$G$110&lt;&gt;"moeda")*(Inputs!$G$5:$G$110&lt;&gt;"acoes")))*INDEX(Inputs!$K$5:$AJ$110,0,MATCH(F$2,Inputs!$K$4:$AJ$4,0)))))</f>
        <v>3688</v>
      </c>
      <c r="G67" s="263">
        <f>IF(ISNA(MATCH(G$2,Inputs!$K$4:$AJ$4,0)),NA(),IF(SUMPRODUCT((Inputs!$A$5:$A$110=$B67)*ISNUMBER(INDEX(Inputs!$K$5:$AJ$110,0,MATCH(G$2,Inputs!$K$4:$AJ$4,0))))+SUMPRODUCT((Inputs!$C$5:$C$110=$B67)*ISNUMBER(INDEX(Inputs!$K$5:$AJ$110,0,MATCH(G$2,Inputs!$K$4:$AJ$4,0))))+SUMPRODUCT((Inputs!$E$5:$E$110=$B67)*ISNUMBER(INDEX(Inputs!$K$5:$AJ$110,0,MATCH(G$2,Inputs!$K$4:$AJ$4,0))))=0,NA(),SUMPRODUCT((Inputs!$A$5:$A$110=$B67)*Inputs!$B$5:$B$110*(((Inputs!$G$5:$G$110="moeda")+(Inputs!$G$5:$G$110="acoes"))*Inputs!$B$1+((Inputs!$G$5:$G$110&lt;&gt;"moeda")*(Inputs!$G$5:$G$110&lt;&gt;"acoes")))*INDEX(Inputs!$K$5:$AJ$110,0,MATCH(G$2,Inputs!$K$4:$AJ$4,0)))+SUMPRODUCT((Inputs!$C$5:$C$110=$B67)*Inputs!$D$5:$D$110*(((Inputs!$G$5:$G$110="moeda")+(Inputs!$G$5:$G$110="acoes"))*Inputs!$B$1+((Inputs!$G$5:$G$110&lt;&gt;"moeda")*(Inputs!$G$5:$G$110&lt;&gt;"acoes")))*INDEX(Inputs!$K$5:$AJ$110,0,MATCH(G$2,Inputs!$K$4:$AJ$4,0)))+SUMPRODUCT((Inputs!$E$5:$E$110=$B67)*Inputs!$F$5:$F$110*(((Inputs!$G$5:$G$110="moeda")+(Inputs!$G$5:$G$110="acoes"))*Inputs!$B$1+((Inputs!$G$5:$G$110&lt;&gt;"moeda")*(Inputs!$G$5:$G$110&lt;&gt;"acoes")))*INDEX(Inputs!$K$5:$AJ$110,0,MATCH(G$2,Inputs!$K$4:$AJ$4,0)))))</f>
        <v>4447</v>
      </c>
      <c r="H67" s="264">
        <f>SUM(D67:G67)</f>
        <v>14404</v>
      </c>
      <c r="I67" s="263">
        <f>IF(ISNA(MATCH(I$2,Inputs!$K$4:$AJ$4,0)),NA(),IF(SUMPRODUCT((Inputs!$A$5:$A$110=$B67)*ISNUMBER(INDEX(Inputs!$K$5:$AJ$110,0,MATCH(I$2,Inputs!$K$4:$AJ$4,0))))+SUMPRODUCT((Inputs!$C$5:$C$110=$B67)*ISNUMBER(INDEX(Inputs!$K$5:$AJ$110,0,MATCH(I$2,Inputs!$K$4:$AJ$4,0))))+SUMPRODUCT((Inputs!$E$5:$E$110=$B67)*ISNUMBER(INDEX(Inputs!$K$5:$AJ$110,0,MATCH(I$2,Inputs!$K$4:$AJ$4,0))))=0,NA(),SUMPRODUCT((Inputs!$A$5:$A$110=$B67)*Inputs!$B$5:$B$110*(((Inputs!$G$5:$G$110="moeda")+(Inputs!$G$5:$G$110="acoes"))*Inputs!$B$1+((Inputs!$G$5:$G$110&lt;&gt;"moeda")*(Inputs!$G$5:$G$110&lt;&gt;"acoes")))*INDEX(Inputs!$K$5:$AJ$110,0,MATCH(I$2,Inputs!$K$4:$AJ$4,0)))+SUMPRODUCT((Inputs!$C$5:$C$110=$B67)*Inputs!$D$5:$D$110*(((Inputs!$G$5:$G$110="moeda")+(Inputs!$G$5:$G$110="acoes"))*Inputs!$B$1+((Inputs!$G$5:$G$110&lt;&gt;"moeda")*(Inputs!$G$5:$G$110&lt;&gt;"acoes")))*INDEX(Inputs!$K$5:$AJ$110,0,MATCH(I$2,Inputs!$K$4:$AJ$4,0)))+SUMPRODUCT((Inputs!$E$5:$E$110=$B67)*Inputs!$F$5:$F$110*(((Inputs!$G$5:$G$110="moeda")+(Inputs!$G$5:$G$110="acoes"))*Inputs!$B$1+((Inputs!$G$5:$G$110&lt;&gt;"moeda")*(Inputs!$G$5:$G$110&lt;&gt;"acoes")))*INDEX(Inputs!$K$5:$AJ$110,0,MATCH(I$2,Inputs!$K$4:$AJ$4,0)))))</f>
        <v>3842</v>
      </c>
      <c r="J67" s="263">
        <f>IF(ISNA(MATCH(J$2,Inputs!$K$4:$AJ$4,0)),NA(),IF(SUMPRODUCT((Inputs!$A$5:$A$110=$B67)*ISNUMBER(INDEX(Inputs!$K$5:$AJ$110,0,MATCH(J$2,Inputs!$K$4:$AJ$4,0))))+SUMPRODUCT((Inputs!$C$5:$C$110=$B67)*ISNUMBER(INDEX(Inputs!$K$5:$AJ$110,0,MATCH(J$2,Inputs!$K$4:$AJ$4,0))))+SUMPRODUCT((Inputs!$E$5:$E$110=$B67)*ISNUMBER(INDEX(Inputs!$K$5:$AJ$110,0,MATCH(J$2,Inputs!$K$4:$AJ$4,0))))=0,NA(),SUMPRODUCT((Inputs!$A$5:$A$110=$B67)*Inputs!$B$5:$B$110*(((Inputs!$G$5:$G$110="moeda")+(Inputs!$G$5:$G$110="acoes"))*Inputs!$B$1+((Inputs!$G$5:$G$110&lt;&gt;"moeda")*(Inputs!$G$5:$G$110&lt;&gt;"acoes")))*INDEX(Inputs!$K$5:$AJ$110,0,MATCH(J$2,Inputs!$K$4:$AJ$4,0)))+SUMPRODUCT((Inputs!$C$5:$C$110=$B67)*Inputs!$D$5:$D$110*(((Inputs!$G$5:$G$110="moeda")+(Inputs!$G$5:$G$110="acoes"))*Inputs!$B$1+((Inputs!$G$5:$G$110&lt;&gt;"moeda")*(Inputs!$G$5:$G$110&lt;&gt;"acoes")))*INDEX(Inputs!$K$5:$AJ$110,0,MATCH(J$2,Inputs!$K$4:$AJ$4,0)))+SUMPRODUCT((Inputs!$E$5:$E$110=$B67)*Inputs!$F$5:$F$110*(((Inputs!$G$5:$G$110="moeda")+(Inputs!$G$5:$G$110="acoes"))*Inputs!$B$1+((Inputs!$G$5:$G$110&lt;&gt;"moeda")*(Inputs!$G$5:$G$110&lt;&gt;"acoes")))*INDEX(Inputs!$K$5:$AJ$110,0,MATCH(J$2,Inputs!$K$4:$AJ$4,0)))))</f>
        <v>4340</v>
      </c>
      <c r="K67" s="263">
        <f>IF(ISNA(MATCH(K$2,Inputs!$K$4:$AJ$4,0)),NA(),IF(SUMPRODUCT((Inputs!$A$5:$A$110=$B67)*ISNUMBER(INDEX(Inputs!$K$5:$AJ$110,0,MATCH(K$2,Inputs!$K$4:$AJ$4,0))))+SUMPRODUCT((Inputs!$C$5:$C$110=$B67)*ISNUMBER(INDEX(Inputs!$K$5:$AJ$110,0,MATCH(K$2,Inputs!$K$4:$AJ$4,0))))+SUMPRODUCT((Inputs!$E$5:$E$110=$B67)*ISNUMBER(INDEX(Inputs!$K$5:$AJ$110,0,MATCH(K$2,Inputs!$K$4:$AJ$4,0))))=0,NA(),SUMPRODUCT((Inputs!$A$5:$A$110=$B67)*Inputs!$B$5:$B$110*(((Inputs!$G$5:$G$110="moeda")+(Inputs!$G$5:$G$110="acoes"))*Inputs!$B$1+((Inputs!$G$5:$G$110&lt;&gt;"moeda")*(Inputs!$G$5:$G$110&lt;&gt;"acoes")))*INDEX(Inputs!$K$5:$AJ$110,0,MATCH(K$2,Inputs!$K$4:$AJ$4,0)))+SUMPRODUCT((Inputs!$C$5:$C$110=$B67)*Inputs!$D$5:$D$110*(((Inputs!$G$5:$G$110="moeda")+(Inputs!$G$5:$G$110="acoes"))*Inputs!$B$1+((Inputs!$G$5:$G$110&lt;&gt;"moeda")*(Inputs!$G$5:$G$110&lt;&gt;"acoes")))*INDEX(Inputs!$K$5:$AJ$110,0,MATCH(K$2,Inputs!$K$4:$AJ$4,0)))+SUMPRODUCT((Inputs!$E$5:$E$110=$B67)*Inputs!$F$5:$F$110*(((Inputs!$G$5:$G$110="moeda")+(Inputs!$G$5:$G$110="acoes"))*Inputs!$B$1+((Inputs!$G$5:$G$110&lt;&gt;"moeda")*(Inputs!$G$5:$G$110&lt;&gt;"acoes")))*INDEX(Inputs!$K$5:$AJ$110,0,MATCH(K$2,Inputs!$K$4:$AJ$4,0)))))</f>
        <v>4138</v>
      </c>
      <c r="L67" s="263">
        <f>IF(ISNA(MATCH(L$2,Inputs!$K$4:$AJ$4,0)),NA(),IF(SUMPRODUCT((Inputs!$A$5:$A$110=$B67)*ISNUMBER(INDEX(Inputs!$K$5:$AJ$110,0,MATCH(L$2,Inputs!$K$4:$AJ$4,0))))+SUMPRODUCT((Inputs!$C$5:$C$110=$B67)*ISNUMBER(INDEX(Inputs!$K$5:$AJ$110,0,MATCH(L$2,Inputs!$K$4:$AJ$4,0))))+SUMPRODUCT((Inputs!$E$5:$E$110=$B67)*ISNUMBER(INDEX(Inputs!$K$5:$AJ$110,0,MATCH(L$2,Inputs!$K$4:$AJ$4,0))))=0,NA(),SUMPRODUCT((Inputs!$A$5:$A$110=$B67)*Inputs!$B$5:$B$110*(((Inputs!$G$5:$G$110="moeda")+(Inputs!$G$5:$G$110="acoes"))*Inputs!$B$1+((Inputs!$G$5:$G$110&lt;&gt;"moeda")*(Inputs!$G$5:$G$110&lt;&gt;"acoes")))*INDEX(Inputs!$K$5:$AJ$110,0,MATCH(L$2,Inputs!$K$4:$AJ$4,0)))+SUMPRODUCT((Inputs!$C$5:$C$110=$B67)*Inputs!$D$5:$D$110*(((Inputs!$G$5:$G$110="moeda")+(Inputs!$G$5:$G$110="acoes"))*Inputs!$B$1+((Inputs!$G$5:$G$110&lt;&gt;"moeda")*(Inputs!$G$5:$G$110&lt;&gt;"acoes")))*INDEX(Inputs!$K$5:$AJ$110,0,MATCH(L$2,Inputs!$K$4:$AJ$4,0)))+SUMPRODUCT((Inputs!$E$5:$E$110=$B67)*Inputs!$F$5:$F$110*(((Inputs!$G$5:$G$110="moeda")+(Inputs!$G$5:$G$110="acoes"))*Inputs!$B$1+((Inputs!$G$5:$G$110&lt;&gt;"moeda")*(Inputs!$G$5:$G$110&lt;&gt;"acoes")))*INDEX(Inputs!$K$5:$AJ$110,0,MATCH(L$2,Inputs!$K$4:$AJ$4,0)))))</f>
        <v>4656</v>
      </c>
      <c r="M67" s="264">
        <f>SUM(I67:L67)</f>
        <v>16976</v>
      </c>
      <c r="N67" s="263">
        <f>IF(ISNA(MATCH(N$2,Inputs!$K$4:$AJ$4,0)),NA(),IF(SUMPRODUCT((Inputs!$A$5:$A$110=$B67)*ISNUMBER(INDEX(Inputs!$K$5:$AJ$110,0,MATCH(N$2,Inputs!$K$4:$AJ$4,0))))+SUMPRODUCT((Inputs!$C$5:$C$110=$B67)*ISNUMBER(INDEX(Inputs!$K$5:$AJ$110,0,MATCH(N$2,Inputs!$K$4:$AJ$4,0))))+SUMPRODUCT((Inputs!$E$5:$E$110=$B67)*ISNUMBER(INDEX(Inputs!$K$5:$AJ$110,0,MATCH(N$2,Inputs!$K$4:$AJ$4,0))))=0,NA(),SUMPRODUCT((Inputs!$A$5:$A$110=$B67)*Inputs!$B$5:$B$110*(((Inputs!$G$5:$G$110="moeda")+(Inputs!$G$5:$G$110="acoes"))*Inputs!$B$1+((Inputs!$G$5:$G$110&lt;&gt;"moeda")*(Inputs!$G$5:$G$110&lt;&gt;"acoes")))*INDEX(Inputs!$K$5:$AJ$110,0,MATCH(N$2,Inputs!$K$4:$AJ$4,0)))+SUMPRODUCT((Inputs!$C$5:$C$110=$B67)*Inputs!$D$5:$D$110*(((Inputs!$G$5:$G$110="moeda")+(Inputs!$G$5:$G$110="acoes"))*Inputs!$B$1+((Inputs!$G$5:$G$110&lt;&gt;"moeda")*(Inputs!$G$5:$G$110&lt;&gt;"acoes")))*INDEX(Inputs!$K$5:$AJ$110,0,MATCH(N$2,Inputs!$K$4:$AJ$4,0)))+SUMPRODUCT((Inputs!$E$5:$E$110=$B67)*Inputs!$F$5:$F$110*(((Inputs!$G$5:$G$110="moeda")+(Inputs!$G$5:$G$110="acoes"))*Inputs!$B$1+((Inputs!$G$5:$G$110&lt;&gt;"moeda")*(Inputs!$G$5:$G$110&lt;&gt;"acoes")))*INDEX(Inputs!$K$5:$AJ$110,0,MATCH(N$2,Inputs!$K$4:$AJ$4,0)))))</f>
        <v>4080</v>
      </c>
      <c r="O67" s="263">
        <f>IF(ISNA(MATCH(O$2,Inputs!$K$4:$AJ$4,0)),NA(),IF(SUMPRODUCT((Inputs!$A$5:$A$110=$B67)*ISNUMBER(INDEX(Inputs!$K$5:$AJ$110,0,MATCH(O$2,Inputs!$K$4:$AJ$4,0))))+SUMPRODUCT((Inputs!$C$5:$C$110=$B67)*ISNUMBER(INDEX(Inputs!$K$5:$AJ$110,0,MATCH(O$2,Inputs!$K$4:$AJ$4,0))))+SUMPRODUCT((Inputs!$E$5:$E$110=$B67)*ISNUMBER(INDEX(Inputs!$K$5:$AJ$110,0,MATCH(O$2,Inputs!$K$4:$AJ$4,0))))=0,NA(),SUMPRODUCT((Inputs!$A$5:$A$110=$B67)*Inputs!$B$5:$B$110*(((Inputs!$G$5:$G$110="moeda")+(Inputs!$G$5:$G$110="acoes"))*Inputs!$B$1+((Inputs!$G$5:$G$110&lt;&gt;"moeda")*(Inputs!$G$5:$G$110&lt;&gt;"acoes")))*INDEX(Inputs!$K$5:$AJ$110,0,MATCH(O$2,Inputs!$K$4:$AJ$4,0)))+SUMPRODUCT((Inputs!$C$5:$C$110=$B67)*Inputs!$D$5:$D$110*(((Inputs!$G$5:$G$110="moeda")+(Inputs!$G$5:$G$110="acoes"))*Inputs!$B$1+((Inputs!$G$5:$G$110&lt;&gt;"moeda")*(Inputs!$G$5:$G$110&lt;&gt;"acoes")))*INDEX(Inputs!$K$5:$AJ$110,0,MATCH(O$2,Inputs!$K$4:$AJ$4,0)))+SUMPRODUCT((Inputs!$E$5:$E$110=$B67)*Inputs!$F$5:$F$110*(((Inputs!$G$5:$G$110="moeda")+(Inputs!$G$5:$G$110="acoes"))*Inputs!$B$1+((Inputs!$G$5:$G$110&lt;&gt;"moeda")*(Inputs!$G$5:$G$110&lt;&gt;"acoes")))*INDEX(Inputs!$K$5:$AJ$110,0,MATCH(O$2,Inputs!$K$4:$AJ$4,0)))))</f>
        <v>4511</v>
      </c>
      <c r="P67" s="263">
        <f>IF(ISNA(MATCH(P$2,Inputs!$K$4:$AJ$4,0)),NA(),IF(SUMPRODUCT((Inputs!$A$5:$A$110=$B67)*ISNUMBER(INDEX(Inputs!$K$5:$AJ$110,0,MATCH(P$2,Inputs!$K$4:$AJ$4,0))))+SUMPRODUCT((Inputs!$C$5:$C$110=$B67)*ISNUMBER(INDEX(Inputs!$K$5:$AJ$110,0,MATCH(P$2,Inputs!$K$4:$AJ$4,0))))+SUMPRODUCT((Inputs!$E$5:$E$110=$B67)*ISNUMBER(INDEX(Inputs!$K$5:$AJ$110,0,MATCH(P$2,Inputs!$K$4:$AJ$4,0))))=0,NA(),SUMPRODUCT((Inputs!$A$5:$A$110=$B67)*Inputs!$B$5:$B$110*(((Inputs!$G$5:$G$110="moeda")+(Inputs!$G$5:$G$110="acoes"))*Inputs!$B$1+((Inputs!$G$5:$G$110&lt;&gt;"moeda")*(Inputs!$G$5:$G$110&lt;&gt;"acoes")))*INDEX(Inputs!$K$5:$AJ$110,0,MATCH(P$2,Inputs!$K$4:$AJ$4,0)))+SUMPRODUCT((Inputs!$C$5:$C$110=$B67)*Inputs!$D$5:$D$110*(((Inputs!$G$5:$G$110="moeda")+(Inputs!$G$5:$G$110="acoes"))*Inputs!$B$1+((Inputs!$G$5:$G$110&lt;&gt;"moeda")*(Inputs!$G$5:$G$110&lt;&gt;"acoes")))*INDEX(Inputs!$K$5:$AJ$110,0,MATCH(P$2,Inputs!$K$4:$AJ$4,0)))+SUMPRODUCT((Inputs!$E$5:$E$110=$B67)*Inputs!$F$5:$F$110*(((Inputs!$G$5:$G$110="moeda")+(Inputs!$G$5:$G$110="acoes"))*Inputs!$B$1+((Inputs!$G$5:$G$110&lt;&gt;"moeda")*(Inputs!$G$5:$G$110&lt;&gt;"acoes")))*INDEX(Inputs!$K$5:$AJ$110,0,MATCH(P$2,Inputs!$K$4:$AJ$4,0)))))</f>
        <v>4553</v>
      </c>
      <c r="Q67" s="263">
        <f>IF(ISNA(MATCH(Q$2,Inputs!$K$4:$AJ$4,0)),NA(),IF(SUMPRODUCT((Inputs!$A$5:$A$110=$B67)*ISNUMBER(INDEX(Inputs!$K$5:$AJ$110,0,MATCH(Q$2,Inputs!$K$4:$AJ$4,0))))+SUMPRODUCT((Inputs!$C$5:$C$110=$B67)*ISNUMBER(INDEX(Inputs!$K$5:$AJ$110,0,MATCH(Q$2,Inputs!$K$4:$AJ$4,0))))+SUMPRODUCT((Inputs!$E$5:$E$110=$B67)*ISNUMBER(INDEX(Inputs!$K$5:$AJ$110,0,MATCH(Q$2,Inputs!$K$4:$AJ$4,0))))=0,NA(),SUMPRODUCT((Inputs!$A$5:$A$110=$B67)*Inputs!$B$5:$B$110*(((Inputs!$G$5:$G$110="moeda")+(Inputs!$G$5:$G$110="acoes"))*Inputs!$B$1+((Inputs!$G$5:$G$110&lt;&gt;"moeda")*(Inputs!$G$5:$G$110&lt;&gt;"acoes")))*INDEX(Inputs!$K$5:$AJ$110,0,MATCH(Q$2,Inputs!$K$4:$AJ$4,0)))+SUMPRODUCT((Inputs!$C$5:$C$110=$B67)*Inputs!$D$5:$D$110*(((Inputs!$G$5:$G$110="moeda")+(Inputs!$G$5:$G$110="acoes"))*Inputs!$B$1+((Inputs!$G$5:$G$110&lt;&gt;"moeda")*(Inputs!$G$5:$G$110&lt;&gt;"acoes")))*INDEX(Inputs!$K$5:$AJ$110,0,MATCH(Q$2,Inputs!$K$4:$AJ$4,0)))+SUMPRODUCT((Inputs!$E$5:$E$110=$B67)*Inputs!$F$5:$F$110*(((Inputs!$G$5:$G$110="moeda")+(Inputs!$G$5:$G$110="acoes"))*Inputs!$B$1+((Inputs!$G$5:$G$110&lt;&gt;"moeda")*(Inputs!$G$5:$G$110&lt;&gt;"acoes")))*INDEX(Inputs!$K$5:$AJ$110,0,MATCH(Q$2,Inputs!$K$4:$AJ$4,0)))))</f>
        <v>5176</v>
      </c>
      <c r="R67" s="264">
        <f>SUM(N67:Q67)</f>
        <v>18320</v>
      </c>
      <c r="S67" s="263">
        <f>IF(ISNA(MATCH(S$2,Inputs!$K$4:$AJ$4,0)),NA(),IF(SUMPRODUCT((Inputs!$A$5:$A$110=$B67)*ISNUMBER(INDEX(Inputs!$K$5:$AJ$110,0,MATCH(S$2,Inputs!$K$4:$AJ$4,0))))+SUMPRODUCT((Inputs!$C$5:$C$110=$B67)*ISNUMBER(INDEX(Inputs!$K$5:$AJ$110,0,MATCH(S$2,Inputs!$K$4:$AJ$4,0))))+SUMPRODUCT((Inputs!$E$5:$E$110=$B67)*ISNUMBER(INDEX(Inputs!$K$5:$AJ$110,0,MATCH(S$2,Inputs!$K$4:$AJ$4,0))))=0,NA(),SUMPRODUCT((Inputs!$A$5:$A$110=$B67)*Inputs!$B$5:$B$110*(((Inputs!$G$5:$G$110="moeda")+(Inputs!$G$5:$G$110="acoes"))*Inputs!$B$1+((Inputs!$G$5:$G$110&lt;&gt;"moeda")*(Inputs!$G$5:$G$110&lt;&gt;"acoes")))*INDEX(Inputs!$K$5:$AJ$110,0,MATCH(S$2,Inputs!$K$4:$AJ$4,0)))+SUMPRODUCT((Inputs!$C$5:$C$110=$B67)*Inputs!$D$5:$D$110*(((Inputs!$G$5:$G$110="moeda")+(Inputs!$G$5:$G$110="acoes"))*Inputs!$B$1+((Inputs!$G$5:$G$110&lt;&gt;"moeda")*(Inputs!$G$5:$G$110&lt;&gt;"acoes")))*INDEX(Inputs!$K$5:$AJ$110,0,MATCH(S$2,Inputs!$K$4:$AJ$4,0)))+SUMPRODUCT((Inputs!$E$5:$E$110=$B67)*Inputs!$F$5:$F$110*(((Inputs!$G$5:$G$110="moeda")+(Inputs!$G$5:$G$110="acoes"))*Inputs!$B$1+((Inputs!$G$5:$G$110&lt;&gt;"moeda")*(Inputs!$G$5:$G$110&lt;&gt;"acoes")))*INDEX(Inputs!$K$5:$AJ$110,0,MATCH(S$2,Inputs!$K$4:$AJ$4,0)))))</f>
        <v>4653</v>
      </c>
      <c r="T67" s="263">
        <f>IF(ISNA(MATCH(T$2,Inputs!$K$4:$AJ$4,0)),NA(),IF(SUMPRODUCT((Inputs!$A$5:$A$110=$B67)*ISNUMBER(INDEX(Inputs!$K$5:$AJ$110,0,MATCH(T$2,Inputs!$K$4:$AJ$4,0))))+SUMPRODUCT((Inputs!$C$5:$C$110=$B67)*ISNUMBER(INDEX(Inputs!$K$5:$AJ$110,0,MATCH(T$2,Inputs!$K$4:$AJ$4,0))))+SUMPRODUCT((Inputs!$E$5:$E$110=$B67)*ISNUMBER(INDEX(Inputs!$K$5:$AJ$110,0,MATCH(T$2,Inputs!$K$4:$AJ$4,0))))=0,NA(),SUMPRODUCT((Inputs!$A$5:$A$110=$B67)*Inputs!$B$5:$B$110*(((Inputs!$G$5:$G$110="moeda")+(Inputs!$G$5:$G$110="acoes"))*Inputs!$B$1+((Inputs!$G$5:$G$110&lt;&gt;"moeda")*(Inputs!$G$5:$G$110&lt;&gt;"acoes")))*INDEX(Inputs!$K$5:$AJ$110,0,MATCH(T$2,Inputs!$K$4:$AJ$4,0)))+SUMPRODUCT((Inputs!$C$5:$C$110=$B67)*Inputs!$D$5:$D$110*(((Inputs!$G$5:$G$110="moeda")+(Inputs!$G$5:$G$110="acoes"))*Inputs!$B$1+((Inputs!$G$5:$G$110&lt;&gt;"moeda")*(Inputs!$G$5:$G$110&lt;&gt;"acoes")))*INDEX(Inputs!$K$5:$AJ$110,0,MATCH(T$2,Inputs!$K$4:$AJ$4,0)))+SUMPRODUCT((Inputs!$E$5:$E$110=$B67)*Inputs!$F$5:$F$110*(((Inputs!$G$5:$G$110="moeda")+(Inputs!$G$5:$G$110="acoes"))*Inputs!$B$1+((Inputs!$G$5:$G$110&lt;&gt;"moeda")*(Inputs!$G$5:$G$110&lt;&gt;"acoes")))*INDEX(Inputs!$K$5:$AJ$110,0,MATCH(T$2,Inputs!$K$4:$AJ$4,0)))))</f>
        <v>4938</v>
      </c>
      <c r="U67" s="263">
        <f>IF(ISNA(MATCH(U$2,Inputs!$K$4:$AJ$4,0)),NA(),IF(SUMPRODUCT((Inputs!$A$5:$A$110=$B67)*ISNUMBER(INDEX(Inputs!$K$5:$AJ$110,0,MATCH(U$2,Inputs!$K$4:$AJ$4,0))))+SUMPRODUCT((Inputs!$C$5:$C$110=$B67)*ISNUMBER(INDEX(Inputs!$K$5:$AJ$110,0,MATCH(U$2,Inputs!$K$4:$AJ$4,0))))+SUMPRODUCT((Inputs!$E$5:$E$110=$B67)*ISNUMBER(INDEX(Inputs!$K$5:$AJ$110,0,MATCH(U$2,Inputs!$K$4:$AJ$4,0))))=0,NA(),SUMPRODUCT((Inputs!$A$5:$A$110=$B67)*Inputs!$B$5:$B$110*(((Inputs!$G$5:$G$110="moeda")+(Inputs!$G$5:$G$110="acoes"))*Inputs!$B$1+((Inputs!$G$5:$G$110&lt;&gt;"moeda")*(Inputs!$G$5:$G$110&lt;&gt;"acoes")))*INDEX(Inputs!$K$5:$AJ$110,0,MATCH(U$2,Inputs!$K$4:$AJ$4,0)))+SUMPRODUCT((Inputs!$C$5:$C$110=$B67)*Inputs!$D$5:$D$110*(((Inputs!$G$5:$G$110="moeda")+(Inputs!$G$5:$G$110="acoes"))*Inputs!$B$1+((Inputs!$G$5:$G$110&lt;&gt;"moeda")*(Inputs!$G$5:$G$110&lt;&gt;"acoes")))*INDEX(Inputs!$K$5:$AJ$110,0,MATCH(U$2,Inputs!$K$4:$AJ$4,0)))+SUMPRODUCT((Inputs!$E$5:$E$110=$B67)*Inputs!$F$5:$F$110*(((Inputs!$G$5:$G$110="moeda")+(Inputs!$G$5:$G$110="acoes"))*Inputs!$B$1+((Inputs!$G$5:$G$110&lt;&gt;"moeda")*(Inputs!$G$5:$G$110&lt;&gt;"acoes")))*INDEX(Inputs!$K$5:$AJ$110,0,MATCH(U$2,Inputs!$K$4:$AJ$4,0)))))</f>
        <v>5093</v>
      </c>
      <c r="V67" s="263">
        <f>IF(ISNA(MATCH(V$2,Inputs!$K$4:$AJ$4,0)),NA(),IF(SUMPRODUCT((Inputs!$A$5:$A$110=$B67)*ISNUMBER(INDEX(Inputs!$K$5:$AJ$110,0,MATCH(V$2,Inputs!$K$4:$AJ$4,0))))+SUMPRODUCT((Inputs!$C$5:$C$110=$B67)*ISNUMBER(INDEX(Inputs!$K$5:$AJ$110,0,MATCH(V$2,Inputs!$K$4:$AJ$4,0))))+SUMPRODUCT((Inputs!$E$5:$E$110=$B67)*ISNUMBER(INDEX(Inputs!$K$5:$AJ$110,0,MATCH(V$2,Inputs!$K$4:$AJ$4,0))))=0,NA(),SUMPRODUCT((Inputs!$A$5:$A$110=$B67)*Inputs!$B$5:$B$110*(((Inputs!$G$5:$G$110="moeda")+(Inputs!$G$5:$G$110="acoes"))*Inputs!$B$1+((Inputs!$G$5:$G$110&lt;&gt;"moeda")*(Inputs!$G$5:$G$110&lt;&gt;"acoes")))*INDEX(Inputs!$K$5:$AJ$110,0,MATCH(V$2,Inputs!$K$4:$AJ$4,0)))+SUMPRODUCT((Inputs!$C$5:$C$110=$B67)*Inputs!$D$5:$D$110*(((Inputs!$G$5:$G$110="moeda")+(Inputs!$G$5:$G$110="acoes"))*Inputs!$B$1+((Inputs!$G$5:$G$110&lt;&gt;"moeda")*(Inputs!$G$5:$G$110&lt;&gt;"acoes")))*INDEX(Inputs!$K$5:$AJ$110,0,MATCH(V$2,Inputs!$K$4:$AJ$4,0)))+SUMPRODUCT((Inputs!$E$5:$E$110=$B67)*Inputs!$F$5:$F$110*(((Inputs!$G$5:$G$110="moeda")+(Inputs!$G$5:$G$110="acoes"))*Inputs!$B$1+((Inputs!$G$5:$G$110&lt;&gt;"moeda")*(Inputs!$G$5:$G$110&lt;&gt;"acoes")))*INDEX(Inputs!$K$5:$AJ$110,0,MATCH(V$2,Inputs!$K$4:$AJ$4,0)))))</f>
        <v>5734</v>
      </c>
      <c r="W67" s="264">
        <f>SUM(S67:V67)</f>
        <v>20418</v>
      </c>
      <c r="X67" s="263">
        <f>IF(ISNA(MATCH(X$2,Inputs!$K$4:$AJ$4,0)),NA(),IF(SUMPRODUCT((Inputs!$A$5:$A$110=$B67)*ISNUMBER(INDEX(Inputs!$K$5:$AJ$110,0,MATCH(X$2,Inputs!$K$4:$AJ$4,0))))+SUMPRODUCT((Inputs!$C$5:$C$110=$B67)*ISNUMBER(INDEX(Inputs!$K$5:$AJ$110,0,MATCH(X$2,Inputs!$K$4:$AJ$4,0))))+SUMPRODUCT((Inputs!$E$5:$E$110=$B67)*ISNUMBER(INDEX(Inputs!$K$5:$AJ$110,0,MATCH(X$2,Inputs!$K$4:$AJ$4,0))))=0,NA(),SUMPRODUCT((Inputs!$A$5:$A$110=$B67)*Inputs!$B$5:$B$110*(((Inputs!$G$5:$G$110="moeda")+(Inputs!$G$5:$G$110="acoes"))*Inputs!$B$1+((Inputs!$G$5:$G$110&lt;&gt;"moeda")*(Inputs!$G$5:$G$110&lt;&gt;"acoes")))*INDEX(Inputs!$K$5:$AJ$110,0,MATCH(X$2,Inputs!$K$4:$AJ$4,0)))+SUMPRODUCT((Inputs!$C$5:$C$110=$B67)*Inputs!$D$5:$D$110*(((Inputs!$G$5:$G$110="moeda")+(Inputs!$G$5:$G$110="acoes"))*Inputs!$B$1+((Inputs!$G$5:$G$110&lt;&gt;"moeda")*(Inputs!$G$5:$G$110&lt;&gt;"acoes")))*INDEX(Inputs!$K$5:$AJ$110,0,MATCH(X$2,Inputs!$K$4:$AJ$4,0)))+SUMPRODUCT((Inputs!$E$5:$E$110=$B67)*Inputs!$F$5:$F$110*(((Inputs!$G$5:$G$110="moeda")+(Inputs!$G$5:$G$110="acoes"))*Inputs!$B$1+((Inputs!$G$5:$G$110&lt;&gt;"moeda")*(Inputs!$G$5:$G$110&lt;&gt;"acoes")))*INDEX(Inputs!$K$5:$AJ$110,0,MATCH(X$2,Inputs!$K$4:$AJ$4,0)))))</f>
        <v>5233</v>
      </c>
      <c r="Y67" s="263">
        <f>IF(ISNA(MATCH(Y$2,Inputs!$K$4:$AJ$4,0)),NA(),IF(SUMPRODUCT((Inputs!$A$5:$A$110=$B67)*ISNUMBER(INDEX(Inputs!$K$5:$AJ$110,0,MATCH(Y$2,Inputs!$K$4:$AJ$4,0))))+SUMPRODUCT((Inputs!$C$5:$C$110=$B67)*ISNUMBER(INDEX(Inputs!$K$5:$AJ$110,0,MATCH(Y$2,Inputs!$K$4:$AJ$4,0))))+SUMPRODUCT((Inputs!$E$5:$E$110=$B67)*ISNUMBER(INDEX(Inputs!$K$5:$AJ$110,0,MATCH(Y$2,Inputs!$K$4:$AJ$4,0))))=0,NA(),SUMPRODUCT((Inputs!$A$5:$A$110=$B67)*Inputs!$B$5:$B$110*(((Inputs!$G$5:$G$110="moeda")+(Inputs!$G$5:$G$110="acoes"))*Inputs!$B$1+((Inputs!$G$5:$G$110&lt;&gt;"moeda")*(Inputs!$G$5:$G$110&lt;&gt;"acoes")))*INDEX(Inputs!$K$5:$AJ$110,0,MATCH(Y$2,Inputs!$K$4:$AJ$4,0)))+SUMPRODUCT((Inputs!$C$5:$C$110=$B67)*Inputs!$D$5:$D$110*(((Inputs!$G$5:$G$110="moeda")+(Inputs!$G$5:$G$110="acoes"))*Inputs!$B$1+((Inputs!$G$5:$G$110&lt;&gt;"moeda")*(Inputs!$G$5:$G$110&lt;&gt;"acoes")))*INDEX(Inputs!$K$5:$AJ$110,0,MATCH(Y$2,Inputs!$K$4:$AJ$4,0)))+SUMPRODUCT((Inputs!$E$5:$E$110=$B67)*Inputs!$F$5:$F$110*(((Inputs!$G$5:$G$110="moeda")+(Inputs!$G$5:$G$110="acoes"))*Inputs!$B$1+((Inputs!$G$5:$G$110&lt;&gt;"moeda")*(Inputs!$G$5:$G$110&lt;&gt;"acoes")))*INDEX(Inputs!$K$5:$AJ$110,0,MATCH(Y$2,Inputs!$K$4:$AJ$4,0)))))</f>
        <v>5735</v>
      </c>
      <c r="Z67" s="263">
        <f>IF(ISNA(MATCH(Z$2,Inputs!$K$4:$AJ$4,0)),NA(),IF(SUMPRODUCT((Inputs!$A$5:$A$110=$B67)*ISNUMBER(INDEX(Inputs!$K$5:$AJ$110,0,MATCH(Z$2,Inputs!$K$4:$AJ$4,0))))+SUMPRODUCT((Inputs!$C$5:$C$110=$B67)*ISNUMBER(INDEX(Inputs!$K$5:$AJ$110,0,MATCH(Z$2,Inputs!$K$4:$AJ$4,0))))+SUMPRODUCT((Inputs!$E$5:$E$110=$B67)*ISNUMBER(INDEX(Inputs!$K$5:$AJ$110,0,MATCH(Z$2,Inputs!$K$4:$AJ$4,0))))=0,NA(),SUMPRODUCT((Inputs!$A$5:$A$110=$B67)*Inputs!$B$5:$B$110*(((Inputs!$G$5:$G$110="moeda")+(Inputs!$G$5:$G$110="acoes"))*Inputs!$B$1+((Inputs!$G$5:$G$110&lt;&gt;"moeda")*(Inputs!$G$5:$G$110&lt;&gt;"acoes")))*INDEX(Inputs!$K$5:$AJ$110,0,MATCH(Z$2,Inputs!$K$4:$AJ$4,0)))+SUMPRODUCT((Inputs!$C$5:$C$110=$B67)*Inputs!$D$5:$D$110*(((Inputs!$G$5:$G$110="moeda")+(Inputs!$G$5:$G$110="acoes"))*Inputs!$B$1+((Inputs!$G$5:$G$110&lt;&gt;"moeda")*(Inputs!$G$5:$G$110&lt;&gt;"acoes")))*INDEX(Inputs!$K$5:$AJ$110,0,MATCH(Z$2,Inputs!$K$4:$AJ$4,0)))+SUMPRODUCT((Inputs!$E$5:$E$110=$B67)*Inputs!$F$5:$F$110*(((Inputs!$G$5:$G$110="moeda")+(Inputs!$G$5:$G$110="acoes"))*Inputs!$B$1+((Inputs!$G$5:$G$110&lt;&gt;"moeda")*(Inputs!$G$5:$G$110&lt;&gt;"acoes")))*INDEX(Inputs!$K$5:$AJ$110,0,MATCH(Z$2,Inputs!$K$4:$AJ$4,0)))))</f>
        <v>6065</v>
      </c>
      <c r="AA67" s="263">
        <f>IF(ISNA(MATCH(AA$2,Inputs!$K$4:$AJ$4,0)),NA(),IF(SUMPRODUCT((Inputs!$A$5:$A$110=$B67)*ISNUMBER(INDEX(Inputs!$K$5:$AJ$110,0,MATCH(AA$2,Inputs!$K$4:$AJ$4,0))))+SUMPRODUCT((Inputs!$C$5:$C$110=$B67)*ISNUMBER(INDEX(Inputs!$K$5:$AJ$110,0,MATCH(AA$2,Inputs!$K$4:$AJ$4,0))))+SUMPRODUCT((Inputs!$E$5:$E$110=$B67)*ISNUMBER(INDEX(Inputs!$K$5:$AJ$110,0,MATCH(AA$2,Inputs!$K$4:$AJ$4,0))))=0,NA(),SUMPRODUCT((Inputs!$A$5:$A$110=$B67)*Inputs!$B$5:$B$110*(((Inputs!$G$5:$G$110="moeda")+(Inputs!$G$5:$G$110="acoes"))*Inputs!$B$1+((Inputs!$G$5:$G$110&lt;&gt;"moeda")*(Inputs!$G$5:$G$110&lt;&gt;"acoes")))*INDEX(Inputs!$K$5:$AJ$110,0,MATCH(AA$2,Inputs!$K$4:$AJ$4,0)))+SUMPRODUCT((Inputs!$C$5:$C$110=$B67)*Inputs!$D$5:$D$110*(((Inputs!$G$5:$G$110="moeda")+(Inputs!$G$5:$G$110="acoes"))*Inputs!$B$1+((Inputs!$G$5:$G$110&lt;&gt;"moeda")*(Inputs!$G$5:$G$110&lt;&gt;"acoes")))*INDEX(Inputs!$K$5:$AJ$110,0,MATCH(AA$2,Inputs!$K$4:$AJ$4,0)))+SUMPRODUCT((Inputs!$E$5:$E$110=$B67)*Inputs!$F$5:$F$110*(((Inputs!$G$5:$G$110="moeda")+(Inputs!$G$5:$G$110="acoes"))*Inputs!$B$1+((Inputs!$G$5:$G$110&lt;&gt;"moeda")*(Inputs!$G$5:$G$110&lt;&gt;"acoes")))*INDEX(Inputs!$K$5:$AJ$110,0,MATCH(AA$2,Inputs!$K$4:$AJ$4,0)))))</f>
        <v>6869</v>
      </c>
      <c r="AB67" s="264">
        <f>SUM(X67:AA67)</f>
        <v>23902</v>
      </c>
      <c r="AC67" s="263">
        <f>IF(ISNA(MATCH(AC$2,Inputs!$K$4:$AJ$4,0)),NA(),IF(SUMPRODUCT((Inputs!$A$5:$A$110=$B67)*ISNUMBER(INDEX(Inputs!$K$5:$AJ$110,0,MATCH(AC$2,Inputs!$K$4:$AJ$4,0))))+SUMPRODUCT((Inputs!$C$5:$C$110=$B67)*ISNUMBER(INDEX(Inputs!$K$5:$AJ$110,0,MATCH(AC$2,Inputs!$K$4:$AJ$4,0))))+SUMPRODUCT((Inputs!$E$5:$E$110=$B67)*ISNUMBER(INDEX(Inputs!$K$5:$AJ$110,0,MATCH(AC$2,Inputs!$K$4:$AJ$4,0))))=0,NA(),SUMPRODUCT((Inputs!$A$5:$A$110=$B67)*Inputs!$B$5:$B$110*(((Inputs!$G$5:$G$110="moeda")+(Inputs!$G$5:$G$110="acoes"))*Inputs!$B$1+((Inputs!$G$5:$G$110&lt;&gt;"moeda")*(Inputs!$G$5:$G$110&lt;&gt;"acoes")))*INDEX(Inputs!$K$5:$AJ$110,0,MATCH(AC$2,Inputs!$K$4:$AJ$4,0)))+SUMPRODUCT((Inputs!$C$5:$C$110=$B67)*Inputs!$D$5:$D$110*(((Inputs!$G$5:$G$110="moeda")+(Inputs!$G$5:$G$110="acoes"))*Inputs!$B$1+((Inputs!$G$5:$G$110&lt;&gt;"moeda")*(Inputs!$G$5:$G$110&lt;&gt;"acoes")))*INDEX(Inputs!$K$5:$AJ$110,0,MATCH(AC$2,Inputs!$K$4:$AJ$4,0)))+SUMPRODUCT((Inputs!$E$5:$E$110=$B67)*Inputs!$F$5:$F$110*(((Inputs!$G$5:$G$110="moeda")+(Inputs!$G$5:$G$110="acoes"))*Inputs!$B$1+((Inputs!$G$5:$G$110&lt;&gt;"moeda")*(Inputs!$G$5:$G$110&lt;&gt;"acoes")))*INDEX(Inputs!$K$5:$AJ$110,0,MATCH(AC$2,Inputs!$K$4:$AJ$4,0)))))</f>
        <v>6345</v>
      </c>
      <c r="AD67" s="263">
        <f>IF(ISNA(MATCH(AD$2,Inputs!$K$4:$AJ$4,0)),NA(),IF(SUMPRODUCT((Inputs!$A$5:$A$110=$B67)*ISNUMBER(INDEX(Inputs!$K$5:$AJ$110,0,MATCH(AD$2,Inputs!$K$4:$AJ$4,0))))+SUMPRODUCT((Inputs!$C$5:$C$110=$B67)*ISNUMBER(INDEX(Inputs!$K$5:$AJ$110,0,MATCH(AD$2,Inputs!$K$4:$AJ$4,0))))+SUMPRODUCT((Inputs!$E$5:$E$110=$B67)*ISNUMBER(INDEX(Inputs!$K$5:$AJ$110,0,MATCH(AD$2,Inputs!$K$4:$AJ$4,0))))=0,NA(),SUMPRODUCT((Inputs!$A$5:$A$110=$B67)*Inputs!$B$5:$B$110*(((Inputs!$G$5:$G$110="moeda")+(Inputs!$G$5:$G$110="acoes"))*Inputs!$B$1+((Inputs!$G$5:$G$110&lt;&gt;"moeda")*(Inputs!$G$5:$G$110&lt;&gt;"acoes")))*INDEX(Inputs!$K$5:$AJ$110,0,MATCH(AD$2,Inputs!$K$4:$AJ$4,0)))+SUMPRODUCT((Inputs!$C$5:$C$110=$B67)*Inputs!$D$5:$D$110*(((Inputs!$G$5:$G$110="moeda")+(Inputs!$G$5:$G$110="acoes"))*Inputs!$B$1+((Inputs!$G$5:$G$110&lt;&gt;"moeda")*(Inputs!$G$5:$G$110&lt;&gt;"acoes")))*INDEX(Inputs!$K$5:$AJ$110,0,MATCH(AD$2,Inputs!$K$4:$AJ$4,0)))+SUMPRODUCT((Inputs!$E$5:$E$110=$B67)*Inputs!$F$5:$F$110*(((Inputs!$G$5:$G$110="moeda")+(Inputs!$G$5:$G$110="acoes"))*Inputs!$B$1+((Inputs!$G$5:$G$110&lt;&gt;"moeda")*(Inputs!$G$5:$G$110&lt;&gt;"acoes")))*INDEX(Inputs!$K$5:$AJ$110,0,MATCH(AD$2,Inputs!$K$4:$AJ$4,0)))))</f>
        <v>7026</v>
      </c>
      <c r="AE67" s="263" t="e">
        <f>IF(ISNA(MATCH(AE$2,Inputs!$K$4:$AJ$4,0)),NA(),IF(SUMPRODUCT((Inputs!$A$5:$A$110=$B67)*ISNUMBER(INDEX(Inputs!$K$5:$AJ$110,0,MATCH(AE$2,Inputs!$K$4:$AJ$4,0))))+SUMPRODUCT((Inputs!$C$5:$C$110=$B67)*ISNUMBER(INDEX(Inputs!$K$5:$AJ$110,0,MATCH(AE$2,Inputs!$K$4:$AJ$4,0))))+SUMPRODUCT((Inputs!$E$5:$E$110=$B67)*ISNUMBER(INDEX(Inputs!$K$5:$AJ$110,0,MATCH(AE$2,Inputs!$K$4:$AJ$4,0))))=0,NA(),SUMPRODUCT((Inputs!$A$5:$A$110=$B67)*Inputs!$B$5:$B$110*(((Inputs!$G$5:$G$110="moeda")+(Inputs!$G$5:$G$110="acoes"))*Inputs!$B$1+((Inputs!$G$5:$G$110&lt;&gt;"moeda")*(Inputs!$G$5:$G$110&lt;&gt;"acoes")))*INDEX(Inputs!$K$5:$AJ$110,0,MATCH(AE$2,Inputs!$K$4:$AJ$4,0)))+SUMPRODUCT((Inputs!$C$5:$C$110=$B67)*Inputs!$D$5:$D$110*(((Inputs!$G$5:$G$110="moeda")+(Inputs!$G$5:$G$110="acoes"))*Inputs!$B$1+((Inputs!$G$5:$G$110&lt;&gt;"moeda")*(Inputs!$G$5:$G$110&lt;&gt;"acoes")))*INDEX(Inputs!$K$5:$AJ$110,0,MATCH(AE$2,Inputs!$K$4:$AJ$4,0)))+SUMPRODUCT((Inputs!$E$5:$E$110=$B67)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7" s="263" t="e">
        <f>IF(ISNA(MATCH(AF$2,Inputs!$K$4:$AJ$4,0)),NA(),IF(SUMPRODUCT((Inputs!$A$5:$A$110=$B67)*ISNUMBER(INDEX(Inputs!$K$5:$AJ$110,0,MATCH(AF$2,Inputs!$K$4:$AJ$4,0))))+SUMPRODUCT((Inputs!$C$5:$C$110=$B67)*ISNUMBER(INDEX(Inputs!$K$5:$AJ$110,0,MATCH(AF$2,Inputs!$K$4:$AJ$4,0))))+SUMPRODUCT((Inputs!$E$5:$E$110=$B67)*ISNUMBER(INDEX(Inputs!$K$5:$AJ$110,0,MATCH(AF$2,Inputs!$K$4:$AJ$4,0))))=0,NA(),SUMPRODUCT((Inputs!$A$5:$A$110=$B67)*Inputs!$B$5:$B$110*(((Inputs!$G$5:$G$110="moeda")+(Inputs!$G$5:$G$110="acoes"))*Inputs!$B$1+((Inputs!$G$5:$G$110&lt;&gt;"moeda")*(Inputs!$G$5:$G$110&lt;&gt;"acoes")))*INDEX(Inputs!$K$5:$AJ$110,0,MATCH(AF$2,Inputs!$K$4:$AJ$4,0)))+SUMPRODUCT((Inputs!$C$5:$C$110=$B67)*Inputs!$D$5:$D$110*(((Inputs!$G$5:$G$110="moeda")+(Inputs!$G$5:$G$110="acoes"))*Inputs!$B$1+((Inputs!$G$5:$G$110&lt;&gt;"moeda")*(Inputs!$G$5:$G$110&lt;&gt;"acoes")))*INDEX(Inputs!$K$5:$AJ$110,0,MATCH(AF$2,Inputs!$K$4:$AJ$4,0)))+SUMPRODUCT((Inputs!$E$5:$E$110=$B67)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7" s="264" t="e">
        <f>SUM(AC67:AF67)</f>
        <v>#N/A</v>
      </c>
      <c r="AH67" s="263">
        <f>IF(ISNA(MATCH(AH$2,Inputs!$K$4:$AJ$4,0)),NA(),IF(SUMPRODUCT((Inputs!$A$5:$A$110=$B67)*ISNUMBER(INDEX(Inputs!$K$5:$AJ$110,0,MATCH(AH$2,Inputs!$K$4:$AJ$4,0))))+SUMPRODUCT((Inputs!$C$5:$C$110=$B67)*ISNUMBER(INDEX(Inputs!$K$5:$AJ$110,0,MATCH(AH$2,Inputs!$K$4:$AJ$4,0))))+SUMPRODUCT((Inputs!$E$5:$E$110=$B67)*ISNUMBER(INDEX(Inputs!$K$5:$AJ$110,0,MATCH(AH$2,Inputs!$K$4:$AJ$4,0))))=0,NA(),SUMPRODUCT((Inputs!$A$5:$A$110=$B67)*Inputs!$B$5:$B$110*(((Inputs!$G$5:$G$110="moeda")+(Inputs!$G$5:$G$110="acoes"))*Inputs!$B$1+((Inputs!$G$5:$G$110&lt;&gt;"moeda")*(Inputs!$G$5:$G$110&lt;&gt;"acoes")))*INDEX(Inputs!$K$5:$AJ$110,0,MATCH(AH$2,Inputs!$K$4:$AJ$4,0)))+SUMPRODUCT((Inputs!$C$5:$C$110=$B67)*Inputs!$D$5:$D$110*(((Inputs!$G$5:$G$110="moeda")+(Inputs!$G$5:$G$110="acoes"))*Inputs!$B$1+((Inputs!$G$5:$G$110&lt;&gt;"moeda")*(Inputs!$G$5:$G$110&lt;&gt;"acoes")))*INDEX(Inputs!$K$5:$AJ$110,0,MATCH(AH$2,Inputs!$K$4:$AJ$4,0)))+SUMPRODUCT((Inputs!$E$5:$E$110=$B67)*Inputs!$F$5:$F$110*(((Inputs!$G$5:$G$110="moeda")+(Inputs!$G$5:$G$110="acoes"))*Inputs!$B$1+((Inputs!$G$5:$G$110&lt;&gt;"moeda")*(Inputs!$G$5:$G$110&lt;&gt;"acoes")))*INDEX(Inputs!$K$5:$AJ$110,0,MATCH(AH$2,Inputs!$K$4:$AJ$4,0)))))</f>
        <v>2157</v>
      </c>
      <c r="AI67" s="263">
        <f>IF(ISNA(MATCH(AI$2,Inputs!$K$4:$AJ$4,0)),NA(),IF(SUMPRODUCT((Inputs!$A$5:$A$110=$B67)*ISNUMBER(INDEX(Inputs!$K$5:$AJ$110,0,MATCH(AI$2,Inputs!$K$4:$AJ$4,0))))+SUMPRODUCT((Inputs!$C$5:$C$110=$B67)*ISNUMBER(INDEX(Inputs!$K$5:$AJ$110,0,MATCH(AI$2,Inputs!$K$4:$AJ$4,0))))+SUMPRODUCT((Inputs!$E$5:$E$110=$B67)*ISNUMBER(INDEX(Inputs!$K$5:$AJ$110,0,MATCH(AI$2,Inputs!$K$4:$AJ$4,0))))=0,NA(),SUMPRODUCT((Inputs!$A$5:$A$110=$B67)*Inputs!$B$5:$B$110*(((Inputs!$G$5:$G$110="moeda")+(Inputs!$G$5:$G$110="acoes"))*Inputs!$B$1+((Inputs!$G$5:$G$110&lt;&gt;"moeda")*(Inputs!$G$5:$G$110&lt;&gt;"acoes")))*INDEX(Inputs!$K$5:$AJ$110,0,MATCH(AI$2,Inputs!$K$4:$AJ$4,0)))+SUMPRODUCT((Inputs!$C$5:$C$110=$B67)*Inputs!$D$5:$D$110*(((Inputs!$G$5:$G$110="moeda")+(Inputs!$G$5:$G$110="acoes"))*Inputs!$B$1+((Inputs!$G$5:$G$110&lt;&gt;"moeda")*(Inputs!$G$5:$G$110&lt;&gt;"acoes")))*INDEX(Inputs!$K$5:$AJ$110,0,MATCH(AI$2,Inputs!$K$4:$AJ$4,0)))+SUMPRODUCT((Inputs!$E$5:$E$110=$B67)*Inputs!$F$5:$F$110*(((Inputs!$G$5:$G$110="moeda")+(Inputs!$G$5:$G$110="acoes"))*Inputs!$B$1+((Inputs!$G$5:$G$110&lt;&gt;"moeda")*(Inputs!$G$5:$G$110&lt;&gt;"acoes")))*INDEX(Inputs!$K$5:$AJ$110,0,MATCH(AI$2,Inputs!$K$4:$AJ$4,0)))))</f>
        <v>1839</v>
      </c>
      <c r="AJ67" s="263">
        <f>IF(ISNA(MATCH(AJ$2,Inputs!$K$4:$AJ$4,0)),NA(),IF(SUMPRODUCT((Inputs!$A$5:$A$110=$B67)*ISNUMBER(INDEX(Inputs!$K$5:$AJ$110,0,MATCH(AJ$2,Inputs!$K$4:$AJ$4,0))))+SUMPRODUCT((Inputs!$C$5:$C$110=$B67)*ISNUMBER(INDEX(Inputs!$K$5:$AJ$110,0,MATCH(AJ$2,Inputs!$K$4:$AJ$4,0))))+SUMPRODUCT((Inputs!$E$5:$E$110=$B67)*ISNUMBER(INDEX(Inputs!$K$5:$AJ$110,0,MATCH(AJ$2,Inputs!$K$4:$AJ$4,0))))=0,NA(),SUMPRODUCT((Inputs!$A$5:$A$110=$B67)*Inputs!$B$5:$B$110*(((Inputs!$G$5:$G$110="moeda")+(Inputs!$G$5:$G$110="acoes"))*Inputs!$B$1+((Inputs!$G$5:$G$110&lt;&gt;"moeda")*(Inputs!$G$5:$G$110&lt;&gt;"acoes")))*INDEX(Inputs!$K$5:$AJ$110,0,MATCH(AJ$2,Inputs!$K$4:$AJ$4,0)))+SUMPRODUCT((Inputs!$C$5:$C$110=$B67)*Inputs!$D$5:$D$110*(((Inputs!$G$5:$G$110="moeda")+(Inputs!$G$5:$G$110="acoes"))*Inputs!$B$1+((Inputs!$G$5:$G$110&lt;&gt;"moeda")*(Inputs!$G$5:$G$110&lt;&gt;"acoes")))*INDEX(Inputs!$K$5:$AJ$110,0,MATCH(AJ$2,Inputs!$K$4:$AJ$4,0)))+SUMPRODUCT((Inputs!$E$5:$E$110=$B67)*Inputs!$F$5:$F$110*(((Inputs!$G$5:$G$110="moeda")+(Inputs!$G$5:$G$110="acoes"))*Inputs!$B$1+((Inputs!$G$5:$G$110&lt;&gt;"moeda")*(Inputs!$G$5:$G$110&lt;&gt;"acoes")))*INDEX(Inputs!$K$5:$AJ$110,0,MATCH(AJ$2,Inputs!$K$4:$AJ$4,0)))))</f>
        <v>2371</v>
      </c>
      <c r="AK67" s="263">
        <f>IF(ISNA(MATCH(AK$2,Inputs!$K$4:$AJ$4,0)),NA(),IF(SUMPRODUCT((Inputs!$A$5:$A$110=$B67)*ISNUMBER(INDEX(Inputs!$K$5:$AJ$110,0,MATCH(AK$2,Inputs!$K$4:$AJ$4,0))))+SUMPRODUCT((Inputs!$C$5:$C$110=$B67)*ISNUMBER(INDEX(Inputs!$K$5:$AJ$110,0,MATCH(AK$2,Inputs!$K$4:$AJ$4,0))))+SUMPRODUCT((Inputs!$E$5:$E$110=$B67)*ISNUMBER(INDEX(Inputs!$K$5:$AJ$110,0,MATCH(AK$2,Inputs!$K$4:$AJ$4,0))))=0,NA(),SUMPRODUCT((Inputs!$A$5:$A$110=$B67)*Inputs!$B$5:$B$110*(((Inputs!$G$5:$G$110="moeda")+(Inputs!$G$5:$G$110="acoes"))*Inputs!$B$1+((Inputs!$G$5:$G$110&lt;&gt;"moeda")*(Inputs!$G$5:$G$110&lt;&gt;"acoes")))*INDEX(Inputs!$K$5:$AJ$110,0,MATCH(AK$2,Inputs!$K$4:$AJ$4,0)))+SUMPRODUCT((Inputs!$C$5:$C$110=$B67)*Inputs!$D$5:$D$110*(((Inputs!$G$5:$G$110="moeda")+(Inputs!$G$5:$G$110="acoes"))*Inputs!$B$1+((Inputs!$G$5:$G$110&lt;&gt;"moeda")*(Inputs!$G$5:$G$110&lt;&gt;"acoes")))*INDEX(Inputs!$K$5:$AJ$110,0,MATCH(AK$2,Inputs!$K$4:$AJ$4,0)))+SUMPRODUCT((Inputs!$E$5:$E$110=$B67)*Inputs!$F$5:$F$110*(((Inputs!$G$5:$G$110="moeda")+(Inputs!$G$5:$G$110="acoes"))*Inputs!$B$1+((Inputs!$G$5:$G$110&lt;&gt;"moeda")*(Inputs!$G$5:$G$110&lt;&gt;"acoes")))*INDEX(Inputs!$K$5:$AJ$110,0,MATCH(AK$2,Inputs!$K$4:$AJ$4,0)))))</f>
        <v>3050</v>
      </c>
      <c r="AL67" s="264">
        <f>SUM(AH67:AK67)</f>
        <v>9417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88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ABS(D193-D269)</f>
        <v>0</v>
      </c>
      <c r="E2" s="3">
        <f>ABS(E193-E269)</f>
        <v>0</v>
      </c>
      <c r="F2" s="3">
        <f>ABS(F193-F269)</f>
        <v>0</v>
      </c>
      <c r="G2" s="3">
        <f>ABS(G193-G269)</f>
        <v>0</v>
      </c>
      <c r="H2" s="3">
        <f>ABS(H193-H269)</f>
        <v>0</v>
      </c>
      <c r="I2" s="3">
        <f>ABS(I193-I269)</f>
        <v>0</v>
      </c>
      <c r="J2" s="3">
        <f>ABS(J193-J269)</f>
        <v>0</v>
      </c>
      <c r="K2" s="3">
        <f>ABS(K193-K269)</f>
        <v>0</v>
      </c>
      <c r="L2" s="3">
        <f>ABS(L193-L269)</f>
        <v>0</v>
      </c>
      <c r="M2" s="3">
        <f>ABS(M193-M269)</f>
        <v>0</v>
      </c>
      <c r="N2" s="3">
        <f>ABS(N193-N269)</f>
        <v>0</v>
      </c>
      <c r="O2" s="3">
        <f>ABS(O193-O269)</f>
        <v>0</v>
      </c>
      <c r="P2" s="3">
        <f>ABS(P193-P269)</f>
        <v>0</v>
      </c>
      <c r="Q2" s="3">
        <f>ABS(Q193-Q269)</f>
        <v>0</v>
      </c>
      <c r="R2" s="3">
        <f>ABS(R193-R269)</f>
        <v>0</v>
      </c>
      <c r="S2" s="3">
        <f>ABS(S193-S269)</f>
        <v>0</v>
      </c>
      <c r="T2" s="3">
        <f>ABS(T193-T269)</f>
        <v>0</v>
      </c>
      <c r="U2" s="3">
        <f>ABS(U193-U269)</f>
        <v>0</v>
      </c>
      <c r="V2" s="3">
        <f>ABS(V193-V269)</f>
        <v>0</v>
      </c>
      <c r="W2" s="3">
        <f>ABS(W193-W269)</f>
        <v>0</v>
      </c>
      <c r="X2" s="3">
        <f>ABS(X193-X269)</f>
        <v>0</v>
      </c>
      <c r="Y2" s="3">
        <f>ABS(Y193-Y269)</f>
        <v>0</v>
      </c>
      <c r="Z2" s="3">
        <f>ABS(Z193-Z269)</f>
        <v>0</v>
      </c>
      <c r="AA2" s="3">
        <f>ABS(AA193-AA269)</f>
        <v>0</v>
      </c>
      <c r="AB2" s="3">
        <f>ABS(AB193-AB269)</f>
        <v>0</v>
      </c>
      <c r="AC2" s="3">
        <f>ABS(AC193-AC269)</f>
        <v>0</v>
      </c>
      <c r="AD2" s="3">
        <f>ABS(AD193-AD269)</f>
        <v>0</v>
      </c>
      <c r="AE2" s="3">
        <f>ABS(AE193-AE269)</f>
        <v>0</v>
      </c>
      <c r="AF2" s="3">
        <f>ABS(AF193-AF269)</f>
        <v>0</v>
      </c>
      <c r="AG2" s="3">
        <f>ABS(AG193-AG269)</f>
        <v>0</v>
      </c>
      <c r="AH2" s="3">
        <f>ABS(AH193-AH269)</f>
        <v>0</v>
      </c>
      <c r="AI2" s="3">
        <f>ABS(AI193-AI269)</f>
        <v>0</v>
      </c>
      <c r="AJ2" s="3">
        <f>ABS(AJ193-AJ269)</f>
        <v>0</v>
      </c>
      <c r="AK2" s="3">
        <f>ABS(AK193-AK269)</f>
        <v>0</v>
      </c>
      <c r="AL2" s="3">
        <f>ABS(AL193-AL269)</f>
        <v>0</v>
      </c>
      <c r="AM2" s="3" t="e">
        <f>ABS(AM193-AM269)</f>
        <v>#DIV/0!</v>
      </c>
      <c r="AN2" s="3" t="e">
        <f>ABS(AN193-AN269)</f>
        <v>#DIV/0!</v>
      </c>
      <c r="AO2" s="3" t="e">
        <f>ABS(AO193-AO269)</f>
        <v>#DIV/0!</v>
      </c>
      <c r="AP2" s="3" t="e">
        <f>ABS(AP193-AP269)</f>
        <v>#DIV/0!</v>
      </c>
      <c r="AQ2" s="3" t="e">
        <f>ABS(AQ193-AQ269)</f>
        <v>#DIV/0!</v>
      </c>
      <c r="AR2" s="3" t="e">
        <f>ABS(AR193-AR269)</f>
        <v>#DIV/0!</v>
      </c>
      <c r="AS2" s="3" t="e">
        <f>ABS(AS193-AS269)</f>
        <v>#DIV/0!</v>
      </c>
      <c r="AT2" s="3" t="e">
        <f>ABS(AT193-AT269)</f>
        <v>#DIV/0!</v>
      </c>
      <c r="AU2" s="3" t="e">
        <f>ABS(AU193-AU269)</f>
        <v>#DIV/0!</v>
      </c>
      <c r="AV2" s="3" t="e">
        <f>ABS(AV193-AV269)</f>
        <v>#DIV/0!</v>
      </c>
      <c r="AW2" s="3" t="e">
        <f>ABS(AW193-AW269)</f>
        <v>#DIV/0!</v>
      </c>
      <c r="AX2" s="3" t="e">
        <f>ABS(AX193-AX269)</f>
        <v>#DIV/0!</v>
      </c>
      <c r="AY2" s="3" t="e">
        <f>ABS(AY193-AY269)</f>
        <v>#DIV/0!</v>
      </c>
      <c r="AZ2" s="3" t="e">
        <f>ABS(AZ193-AZ269)</f>
        <v>#DIV/0!</v>
      </c>
      <c r="BA2" s="3" t="e">
        <f>ABS(BA193-BA269)</f>
        <v>#DIV/0!</v>
      </c>
      <c r="BB2" s="3" t="e">
        <f>ABS(BB193-BB269)</f>
        <v>#DIV/0!</v>
      </c>
      <c r="BC2" s="3" t="e">
        <f>ABS(BC193-BC269)</f>
        <v>#DIV/0!</v>
      </c>
      <c r="BD2" s="3" t="e">
        <f>ABS(BD193-BD269)</f>
        <v>#DIV/0!</v>
      </c>
      <c r="BE2" s="3" t="e">
        <f>ABS(BE193-BE269)</f>
        <v>#DIV/0!</v>
      </c>
      <c r="BF2" s="3" t="e">
        <f>ABS(BF193-BF269)</f>
        <v>#DIV/0!</v>
      </c>
      <c r="BG2" s="3" t="e">
        <f>ABS(BG193-BG269)</f>
        <v>#DIV/0!</v>
      </c>
      <c r="BH2" s="3" t="e">
        <f>ABS(BH193-BH269)</f>
        <v>#DIV/0!</v>
      </c>
      <c r="BI2" s="3" t="e">
        <f>ABS(BI193-BI269)</f>
        <v>#DIV/0!</v>
      </c>
      <c r="BJ2" s="3" t="e">
        <f>ABS(BJ193-BJ269)</f>
        <v>#DIV/0!</v>
      </c>
      <c r="BK2" s="3" t="e">
        <f>ABS(BK193-BK269)</f>
        <v>#DIV/0!</v>
      </c>
      <c r="BL2" s="3" t="e">
        <f>ABS(BL193-BL269)</f>
        <v>#DIV/0!</v>
      </c>
      <c r="BM2" s="3" t="e">
        <f>ABS(BM193-BM269)</f>
        <v>#DIV/0!</v>
      </c>
      <c r="BN2" s="3" t="e">
        <f>ABS(BN193-BN269)</f>
        <v>#DIV/0!</v>
      </c>
      <c r="BO2" s="3" t="e">
        <f>ABS(BO193-BO269)</f>
        <v>#DIV/0!</v>
      </c>
      <c r="BP2" s="3" t="e">
        <f>ABS(BP193-BP269)</f>
        <v>#DIV/0!</v>
      </c>
      <c r="BQ2" s="3" t="e">
        <f>ABS(BQ193-BQ269)</f>
        <v>#DIV/0!</v>
      </c>
      <c r="BR2" s="3" t="e">
        <f>ABS(BR193-BR269)</f>
        <v>#DIV/0!</v>
      </c>
      <c r="BS2" s="3" t="e">
        <f>ABS(BS193-BS269)</f>
        <v>#DIV/0!</v>
      </c>
      <c r="BT2" s="3" t="e">
        <f>ABS(BT193-BT269)</f>
        <v>#DIV/0!</v>
      </c>
      <c r="BU2" s="3" t="e">
        <f>ABS(BU193-BU269)</f>
        <v>#DIV/0!</v>
      </c>
      <c r="BV2" s="3" t="e">
        <f>ABS(BV193-BV269)</f>
        <v>#DIV/0!</v>
      </c>
      <c r="BW2" s="3" t="e">
        <f>ABS(BW193-BW269)</f>
        <v>#DIV/0!</v>
      </c>
      <c r="BX2" s="3" t="e">
        <f>ABS(BX193-BX269)</f>
        <v>#DIV/0!</v>
      </c>
      <c r="BY2" s="3" t="e">
        <f>ABS(BY193-BY269)</f>
        <v>#DIV/0!</v>
      </c>
      <c r="BZ2" s="3" t="e">
        <f>ABS(BZ193-BZ269)</f>
        <v>#DIV/0!</v>
      </c>
      <c r="CA2" s="3" t="e">
        <f>ABS(CA193-CA269)</f>
        <v>#DIV/0!</v>
      </c>
      <c r="CB2" s="3" t="e">
        <f>ABS(CB193-CB269)</f>
        <v>#DIV/0!</v>
      </c>
      <c r="CC2" s="3" t="e">
        <f>ABS(CC193-CC269)</f>
        <v>#DIV/0!</v>
      </c>
      <c r="CD2" s="3" t="e">
        <f>ABS(CD193-CD269)</f>
        <v>#DIV/0!</v>
      </c>
      <c r="CE2" s="3" t="e">
        <f>ABS(CE193-CE269)</f>
        <v>#DIV/0!</v>
      </c>
      <c r="CF2" s="3" t="e">
        <f>ABS(CF193-CF269)</f>
        <v>#DIV/0!</v>
      </c>
      <c r="CG2" s="3" t="e">
        <f>ABS(CG193-CG269)</f>
        <v>#DIV/0!</v>
      </c>
      <c r="CH2" s="3" t="e">
        <f>ABS(CH193-CH269)</f>
        <v>#DIV/0!</v>
      </c>
      <c r="CI2" s="3" t="e">
        <f>ABS(CI193-CI269)</f>
        <v>#DIV/0!</v>
      </c>
      <c r="CJ2" s="3" t="e">
        <f>ABS(CJ193-CJ269)</f>
        <v>#DIV/0!</v>
      </c>
      <c r="CK2" s="3" t="e">
        <f>ABS(CK193-CK269)</f>
        <v>#DIV/0!</v>
      </c>
      <c r="CL2" s="3" t="e">
        <f>ABS(CL193-CL269)</f>
        <v>#DIV/0!</v>
      </c>
      <c r="CM2" s="3" t="e">
        <f>ABS(CM193-CM269)</f>
        <v>#DIV/0!</v>
      </c>
      <c r="CN2" s="3" t="e">
        <f>ABS(CN193-CN269)</f>
        <v>#DIV/0!</v>
      </c>
      <c r="CO2" s="3" t="e">
        <f>ABS(CO193-CO269)</f>
        <v>#DIV/0!</v>
      </c>
      <c r="CP2" s="3" t="e">
        <f>ABS(CP193-CP269)</f>
        <v>#DIV/0!</v>
      </c>
      <c r="CQ2" s="3" t="e">
        <f>ABS(CQ193-CQ269)</f>
        <v>#DIV/0!</v>
      </c>
      <c r="CR2" s="3" t="e">
        <f>ABS(CR193-CR269)</f>
        <v>#DIV/0!</v>
      </c>
      <c r="CS2" s="3" t="e">
        <f>ABS(CS193-CS269)</f>
        <v>#DIV/0!</v>
      </c>
      <c r="CT2" s="3" t="e">
        <f>ABS(CT193-CT269)</f>
        <v>#DIV/0!</v>
      </c>
      <c r="CU2" s="3" t="e">
        <f>ABS(CU193-CU269)</f>
        <v>#DIV/0!</v>
      </c>
      <c r="CV2" s="3" t="e">
        <f>ABS(CV193-CV269)</f>
        <v>#DIV/0!</v>
      </c>
      <c r="CW2" s="3" t="e">
        <f>ABS(CW193-CW269)</f>
        <v>#DIV/0!</v>
      </c>
      <c r="CX2" s="3" t="e">
        <f>ABS(CX193-CX269)</f>
        <v>#DIV/0!</v>
      </c>
      <c r="CY2" s="3" t="e">
        <f>ABS(CY193-CY269)</f>
        <v>#DIV/0!</v>
      </c>
    </row>
    <row r="3" outlineLevel="1">
      <c r="C3" s="5" t="inlineStr">
        <is>
          <t>IS</t>
        </is>
      </c>
      <c r="D3" s="3">
        <f>IF(COUNT(D4)=0,"",ABS(D133-D4))</f>
        <v>0</v>
      </c>
      <c r="E3" s="3">
        <f>IF(COUNT(E4)=0,"",ABS(E133-E4))</f>
        <v>0</v>
      </c>
      <c r="F3" s="3">
        <f>IF(COUNT(F4)=0,"",ABS(F133-F4))</f>
        <v>0</v>
      </c>
      <c r="G3" s="3">
        <f>IF(COUNT(G4)=0,"",ABS(G133-G4))</f>
        <v>0</v>
      </c>
      <c r="H3" s="3">
        <f>IF(COUNT(H4)=0,"",ABS(H133-H4))</f>
        <v>0</v>
      </c>
      <c r="I3" s="3">
        <f>IF(COUNT(I4)=0,"",ABS(I133-I4))</f>
        <v>0</v>
      </c>
      <c r="J3" s="3">
        <f>IF(COUNT(J4)=0,"",ABS(J133-J4))</f>
        <v>0</v>
      </c>
      <c r="K3" s="3">
        <f>IF(COUNT(K4)=0,"",ABS(K133-K4))</f>
        <v>0</v>
      </c>
      <c r="L3" s="3">
        <f>IF(COUNT(L4)=0,"",ABS(L133-L4))</f>
        <v>0</v>
      </c>
      <c r="M3" s="3">
        <f>IF(COUNT(M4)=0,"",ABS(M133-M4))</f>
        <v>0</v>
      </c>
      <c r="N3" s="3">
        <f>IF(COUNT(N4)=0,"",ABS(N133-N4))</f>
        <v>0</v>
      </c>
      <c r="O3" s="3">
        <f>IF(COUNT(O4)=0,"",ABS(O133-O4))</f>
        <v>0</v>
      </c>
      <c r="P3" s="3">
        <f>IF(COUNT(P4)=0,"",ABS(P133-P4))</f>
        <v>0</v>
      </c>
      <c r="Q3" s="3">
        <f>IF(COUNT(Q4)=0,"",ABS(Q133-Q4))</f>
        <v>0</v>
      </c>
      <c r="R3" s="3">
        <f>IF(COUNT(R4)=0,"",ABS(R133-R4))</f>
        <v>0</v>
      </c>
      <c r="S3" s="3">
        <f>IF(COUNT(S4)=0,"",ABS(S133-S4))</f>
        <v>0</v>
      </c>
      <c r="T3" s="3">
        <f>IF(COUNT(T4)=0,"",ABS(T133-T4))</f>
        <v>0</v>
      </c>
      <c r="U3" s="3">
        <f>IF(COUNT(U4)=0,"",ABS(U133-U4))</f>
        <v>0</v>
      </c>
      <c r="V3" s="3">
        <f>IF(COUNT(V4)=0,"",ABS(V133-V4))</f>
        <v>0</v>
      </c>
      <c r="W3" s="3">
        <f>IF(COUNT(W4)=0,"",ABS(W133-W4))</f>
        <v>0</v>
      </c>
      <c r="X3" s="3">
        <f>IF(COUNT(X4)=0,"",ABS(X133-X4))</f>
        <v>0</v>
      </c>
      <c r="Y3" s="3">
        <f>IF(COUNT(Y4)=0,"",ABS(Y133-Y4))</f>
        <v>0</v>
      </c>
      <c r="Z3" s="3">
        <f>IF(COUNT(Z4)=0,"",ABS(Z133-Z4))</f>
        <v>0</v>
      </c>
      <c r="AA3" s="3">
        <f>IF(COUNT(AA4)=0,"",ABS(AA133-AA4))</f>
        <v>0</v>
      </c>
      <c r="AB3" s="3">
        <f>IF(COUNT(AB4)=0,"",ABS(AB133-AB4))</f>
        <v>0</v>
      </c>
      <c r="AC3" s="3">
        <f>IF(COUNT(AC4)=0,"",ABS(AC133-AC4))</f>
        <v>0</v>
      </c>
      <c r="AD3" s="3">
        <f>IF(COUNT(AD4)=0,"",ABS(AD133-AD4))</f>
        <v>0</v>
      </c>
      <c r="AE3" s="3">
        <f>IF(COUNT(AE4)=0,"",ABS(AE133-AE4))</f>
        <v>0</v>
      </c>
      <c r="AF3" s="3">
        <f>IF(COUNT(AF4)=0,"",ABS(AF133-AF4))</f>
        <v>0</v>
      </c>
      <c r="AG3" s="3">
        <f>IF(COUNT(AG4)=0,"",ABS(AG133-AG4))</f>
        <v>0</v>
      </c>
      <c r="AH3" s="3">
        <f>IF(COUNT(AH4)=0,"",ABS(AH133-AH4))</f>
        <v>0</v>
      </c>
      <c r="AI3" s="3">
        <f>IF(COUNT(AI4)=0,"",ABS(AI133-AI4))</f>
        <v>0</v>
      </c>
      <c r="AJ3" s="3" t="str">
        <f>IF(COUNT(AJ4)=0,"",ABS(AJ133-AJ4))</f>
        <v/>
      </c>
      <c r="AK3" s="3" t="str">
        <f>IF(COUNT(AK4)=0,"",ABS(AK133-AK4))</f>
        <v/>
      </c>
      <c r="AL3" s="3" t="str">
        <f>IF(COUNT(AL4)=0,"",ABS(AL133-AL4))</f>
        <v/>
      </c>
      <c r="AM3" s="3" t="str">
        <f>IF(COUNT(AM4)=0,"",ABS(AM133-AM4))</f>
        <v/>
      </c>
      <c r="AN3" s="3" t="str">
        <f>IF(COUNT(AN4)=0,"",ABS(AN133-AN4))</f>
        <v/>
      </c>
      <c r="AO3" s="3" t="str">
        <f>IF(COUNT(AO4)=0,"",ABS(AO133-AO4))</f>
        <v/>
      </c>
      <c r="AP3" s="3" t="str">
        <f>IF(COUNT(AP4)=0,"",ABS(AP133-AP4))</f>
        <v/>
      </c>
      <c r="AQ3" s="3" t="str">
        <f>IF(COUNT(AQ4)=0,"",ABS(AQ133-AQ4))</f>
        <v/>
      </c>
      <c r="AR3" s="3" t="str">
        <f>IF(COUNT(AR4)=0,"",ABS(AR133-AR4))</f>
        <v/>
      </c>
      <c r="AS3" s="3" t="str">
        <f>IF(COUNT(AS4)=0,"",ABS(AS133-AS4))</f>
        <v/>
      </c>
      <c r="AT3" s="3" t="str">
        <f>IF(COUNT(AT4)=0,"",ABS(AT133-AT4))</f>
        <v/>
      </c>
      <c r="AU3" s="3" t="str">
        <f>IF(COUNT(AU4)=0,"",ABS(AU133-AU4))</f>
        <v/>
      </c>
      <c r="AV3" s="3" t="str">
        <f>IF(COUNT(AV4)=0,"",ABS(AV133-AV4))</f>
        <v/>
      </c>
      <c r="AW3" s="3" t="str">
        <f>IF(COUNT(AW4)=0,"",ABS(AW133-AW4))</f>
        <v/>
      </c>
      <c r="AX3" s="3" t="str">
        <f>IF(COUNT(AX4)=0,"",ABS(AX133-AX4))</f>
        <v/>
      </c>
      <c r="AY3" s="3" t="str">
        <f>IF(COUNT(AY4)=0,"",ABS(AY133-AY4))</f>
        <v/>
      </c>
      <c r="AZ3" s="3" t="str">
        <f>IF(COUNT(AZ4)=0,"",ABS(AZ133-AZ4))</f>
        <v/>
      </c>
      <c r="BA3" s="3" t="str">
        <f>IF(COUNT(BA4)=0,"",ABS(BA133-BA4))</f>
        <v/>
      </c>
      <c r="BB3" s="3" t="str">
        <f>IF(COUNT(BB4)=0,"",ABS(BB133-BB4))</f>
        <v/>
      </c>
      <c r="BC3" s="3" t="str">
        <f>IF(COUNT(BC4)=0,"",ABS(BC133-BC4))</f>
        <v/>
      </c>
      <c r="BD3" s="3" t="str">
        <f>IF(COUNT(BD4)=0,"",ABS(BD133-BD4))</f>
        <v/>
      </c>
      <c r="BE3" s="3" t="str">
        <f>IF(COUNT(BE4)=0,"",ABS(BE133-BE4))</f>
        <v/>
      </c>
      <c r="BF3" s="3" t="str">
        <f>IF(COUNT(BF4)=0,"",ABS(BF133-BF4))</f>
        <v/>
      </c>
      <c r="BG3" s="3" t="str">
        <f>IF(COUNT(BG4)=0,"",ABS(BG133-BG4))</f>
        <v/>
      </c>
      <c r="BH3" s="3" t="str">
        <f>IF(COUNT(BH4)=0,"",ABS(BH133-BH4))</f>
        <v/>
      </c>
      <c r="BI3" s="3" t="str">
        <f>IF(COUNT(BI4)=0,"",ABS(BI133-BI4))</f>
        <v/>
      </c>
      <c r="BJ3" s="3" t="str">
        <f>IF(COUNT(BJ4)=0,"",ABS(BJ133-BJ4))</f>
        <v/>
      </c>
      <c r="BK3" s="3" t="str">
        <f>IF(COUNT(BK4)=0,"",ABS(BK133-BK4))</f>
        <v/>
      </c>
      <c r="BL3" s="3" t="str">
        <f>IF(COUNT(BL4)=0,"",ABS(BL133-BL4))</f>
        <v/>
      </c>
      <c r="BM3" s="3" t="str">
        <f>IF(COUNT(BM4)=0,"",ABS(BM133-BM4))</f>
        <v/>
      </c>
      <c r="BN3" s="3" t="str">
        <f>IF(COUNT(BN4)=0,"",ABS(BN133-BN4))</f>
        <v/>
      </c>
      <c r="BO3" s="3" t="str">
        <f>IF(COUNT(BO4)=0,"",ABS(BO133-BO4))</f>
        <v/>
      </c>
      <c r="BP3" s="3" t="str">
        <f>IF(COUNT(BP4)=0,"",ABS(BP133-BP4))</f>
        <v/>
      </c>
      <c r="BQ3" s="3" t="str">
        <f>IF(COUNT(BQ4)=0,"",ABS(BQ133-BQ4))</f>
        <v/>
      </c>
      <c r="BR3" s="3" t="str">
        <f>IF(COUNT(BR4)=0,"",ABS(BR133-BR4))</f>
        <v/>
      </c>
      <c r="BS3" s="3" t="str">
        <f>IF(COUNT(BS4)=0,"",ABS(BS133-BS4))</f>
        <v/>
      </c>
      <c r="BT3" s="3" t="str">
        <f>IF(COUNT(BT4)=0,"",ABS(BT133-BT4))</f>
        <v/>
      </c>
      <c r="BU3" s="3" t="str">
        <f>IF(COUNT(BU4)=0,"",ABS(BU133-BU4))</f>
        <v/>
      </c>
      <c r="BV3" s="3" t="str">
        <f>IF(COUNT(BV4)=0,"",ABS(BV133-BV4))</f>
        <v/>
      </c>
      <c r="BW3" s="3" t="str">
        <f>IF(COUNT(BW4)=0,"",ABS(BW133-BW4))</f>
        <v/>
      </c>
      <c r="BX3" s="3" t="str">
        <f>IF(COUNT(BX4)=0,"",ABS(BX133-BX4))</f>
        <v/>
      </c>
      <c r="BY3" s="3" t="str">
        <f>IF(COUNT(BY4)=0,"",ABS(BY133-BY4))</f>
        <v/>
      </c>
      <c r="BZ3" s="3" t="str">
        <f>IF(COUNT(BZ4)=0,"",ABS(BZ133-BZ4))</f>
        <v/>
      </c>
      <c r="CA3" s="3" t="str">
        <f>IF(COUNT(CA4)=0,"",ABS(CA133-CA4))</f>
        <v/>
      </c>
      <c r="CB3" s="3" t="str">
        <f>IF(COUNT(CB4)=0,"",ABS(CB133-CB4))</f>
        <v/>
      </c>
      <c r="CC3" s="3" t="str">
        <f>IF(COUNT(CC4)=0,"",ABS(CC133-CC4))</f>
        <v/>
      </c>
      <c r="CD3" s="3" t="str">
        <f>IF(COUNT(CD4)=0,"",ABS(CD133-CD4))</f>
        <v/>
      </c>
      <c r="CE3" s="3" t="str">
        <f>IF(COUNT(CE4)=0,"",ABS(CE133-CE4))</f>
        <v/>
      </c>
      <c r="CF3" s="3" t="str">
        <f>IF(COUNT(CF4)=0,"",ABS(CF133-CF4))</f>
        <v/>
      </c>
      <c r="CG3" s="3" t="str">
        <f>IF(COUNT(CG4)=0,"",ABS(CG133-CG4))</f>
        <v/>
      </c>
      <c r="CH3" s="3" t="str">
        <f>IF(COUNT(CH4)=0,"",ABS(CH133-CH4))</f>
        <v/>
      </c>
      <c r="CI3" s="3" t="str">
        <f>IF(COUNT(CI4)=0,"",ABS(CI133-CI4))</f>
        <v/>
      </c>
      <c r="CJ3" s="3" t="str">
        <f>IF(COUNT(CJ4)=0,"",ABS(CJ133-CJ4))</f>
        <v/>
      </c>
      <c r="CK3" s="3" t="str">
        <f>IF(COUNT(CK4)=0,"",ABS(CK133-CK4))</f>
        <v/>
      </c>
      <c r="CL3" s="3" t="str">
        <f>IF(COUNT(CL4)=0,"",ABS(CL133-CL4))</f>
        <v/>
      </c>
      <c r="CM3" s="3" t="str">
        <f>IF(COUNT(CM4)=0,"",ABS(CM133-CM4))</f>
        <v/>
      </c>
      <c r="CN3" s="3" t="str">
        <f>IF(COUNT(CN4)=0,"",ABS(CN133-CN4))</f>
        <v/>
      </c>
      <c r="CO3" s="3" t="str">
        <f>IF(COUNT(CO4)=0,"",ABS(CO133-CO4))</f>
        <v/>
      </c>
      <c r="CP3" s="3" t="str">
        <f>IF(COUNT(CP4)=0,"",ABS(CP133-CP4))</f>
        <v/>
      </c>
      <c r="CQ3" s="3" t="str">
        <f>IF(COUNT(CQ4)=0,"",ABS(CQ133-CQ4))</f>
        <v/>
      </c>
      <c r="CR3" s="3" t="str">
        <f>IF(COUNT(CR4)=0,"",ABS(CR133-CR4))</f>
        <v/>
      </c>
      <c r="CS3" s="3" t="str">
        <f>IF(COUNT(CS4)=0,"",ABS(CS133-CS4))</f>
        <v/>
      </c>
      <c r="CT3" s="3" t="str">
        <f>IF(COUNT(CT4)=0,"",ABS(CT133-CT4))</f>
        <v/>
      </c>
      <c r="CU3" s="3" t="str">
        <f>IF(COUNT(CU4)=0,"",ABS(CU133-CU4))</f>
        <v/>
      </c>
      <c r="CV3" s="3" t="str">
        <f>IF(COUNT(CV4)=0,"",ABS(CV133-CV4))</f>
        <v/>
      </c>
      <c r="CW3" s="3" t="str">
        <f>IF(COUNT(CW4)=0,"",ABS(CW133-CW4))</f>
        <v/>
      </c>
      <c r="CX3" s="3" t="str">
        <f>IF(COUNT(CX4)=0,"",ABS(CX133-CX4))</f>
        <v/>
      </c>
      <c r="CY3" s="3" t="str">
        <f>IF(COUNT(CY4)=0,"",ABS(CY133-CY4))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6836</v>
      </c>
      <c r="E4" s="16">
        <f>INDEX('Inputs (2)'!$D$50:$AL$50,MATCH(E$7,'Inputs (2)'!$D$2:$AL$2,0))</f>
        <v>6959</v>
      </c>
      <c r="F4" s="16">
        <f>INDEX('Inputs (2)'!$D$50:$AL$50,MATCH(F$7,'Inputs (2)'!$D$2:$AL$2,0))</f>
        <v>11247</v>
      </c>
      <c r="G4" s="16">
        <f>INDEX('Inputs (2)'!$D$50:$AL$50,MATCH(G$7,'Inputs (2)'!$D$2:$AL$2,0))</f>
        <v>15227</v>
      </c>
      <c r="H4" s="16">
        <f>IF(COUNT(D4:G4)=4,SUM(D4:G4),"")</f>
        <v>40269</v>
      </c>
      <c r="I4" s="16">
        <f>INDEX('Inputs (2)'!$D$50:$AL$50,MATCH(I$7,'Inputs (2)'!$D$2:$AL$2,0))</f>
        <v>17930</v>
      </c>
      <c r="J4" s="16">
        <f>INDEX('Inputs (2)'!$D$50:$AL$50,MATCH(J$7,'Inputs (2)'!$D$2:$AL$2,0))</f>
        <v>18525</v>
      </c>
      <c r="K4" s="16">
        <f>INDEX('Inputs (2)'!$D$50:$AL$50,MATCH(K$7,'Inputs (2)'!$D$2:$AL$2,0))</f>
        <v>18936</v>
      </c>
      <c r="L4" s="16">
        <f>INDEX('Inputs (2)'!$D$50:$AL$50,MATCH(L$7,'Inputs (2)'!$D$2:$AL$2,0))</f>
        <v>20642</v>
      </c>
      <c r="M4" s="16">
        <f>IF(COUNT(I4:L4)=4,SUM(I4:L4),"")</f>
        <v>76033</v>
      </c>
      <c r="N4" s="16">
        <f>INDEX('Inputs (2)'!$D$50:$AL$50,MATCH(N$7,'Inputs (2)'!$D$2:$AL$2,0))</f>
        <v>16436</v>
      </c>
      <c r="O4" s="16">
        <f>INDEX('Inputs (2)'!$D$50:$AL$50,MATCH(O$7,'Inputs (2)'!$D$2:$AL$2,0))</f>
        <v>16002</v>
      </c>
      <c r="P4" s="16">
        <f>INDEX('Inputs (2)'!$D$50:$AL$50,MATCH(P$7,'Inputs (2)'!$D$2:$AL$2,0))</f>
        <v>13910</v>
      </c>
      <c r="Q4" s="16">
        <f>INDEX('Inputs (2)'!$D$50:$AL$50,MATCH(Q$7,'Inputs (2)'!$D$2:$AL$2,0))</f>
        <v>13624</v>
      </c>
      <c r="R4" s="16">
        <f>IF(COUNT(N4:Q4)=4,SUM(N4:Q4),"")</f>
        <v>59972</v>
      </c>
      <c r="S4" s="16">
        <f>INDEX('Inputs (2)'!$D$50:$AL$50,MATCH(S$7,'Inputs (2)'!$D$2:$AL$2,0))</f>
        <v>15051</v>
      </c>
      <c r="T4" s="16">
        <f>INDEX('Inputs (2)'!$D$50:$AL$50,MATCH(T$7,'Inputs (2)'!$D$2:$AL$2,0))</f>
        <v>18368</v>
      </c>
      <c r="U4" s="16">
        <f>INDEX('Inputs (2)'!$D$50:$AL$50,MATCH(U$7,'Inputs (2)'!$D$2:$AL$2,0))</f>
        <v>19689</v>
      </c>
      <c r="V4" s="16">
        <f>INDEX('Inputs (2)'!$D$50:$AL$50,MATCH(V$7,'Inputs (2)'!$D$2:$AL$2,0))</f>
        <v>20687</v>
      </c>
      <c r="W4" s="16">
        <f>IF(COUNT(S4:V4)=4,SUM(S4:V4),"")</f>
        <v>73795</v>
      </c>
      <c r="X4" s="16">
        <f>INDEX('Inputs (2)'!$D$50:$AL$50,MATCH(X$7,'Inputs (2)'!$D$2:$AL$2,0))</f>
        <v>23662</v>
      </c>
      <c r="Y4" s="16">
        <f>INDEX('Inputs (2)'!$D$50:$AL$50,MATCH(Y$7,'Inputs (2)'!$D$2:$AL$2,0))</f>
        <v>23619</v>
      </c>
      <c r="Z4" s="16">
        <f>INDEX('Inputs (2)'!$D$50:$AL$50,MATCH(Z$7,'Inputs (2)'!$D$2:$AL$2,0))</f>
        <v>26301</v>
      </c>
      <c r="AA4" s="16">
        <f>INDEX('Inputs (2)'!$D$50:$AL$50,MATCH(AA$7,'Inputs (2)'!$D$2:$AL$2,0))</f>
        <v>26536</v>
      </c>
      <c r="AB4" s="16">
        <f>IF(COUNT(X4:AA4)=4,SUM(X4:AA4),"")</f>
        <v>100118</v>
      </c>
      <c r="AC4" s="16">
        <f>INDEX('Inputs (2)'!$D$50:$AL$50,MATCH(AC$7,'Inputs (2)'!$D$2:$AL$2,0))</f>
        <v>34540</v>
      </c>
      <c r="AD4" s="16">
        <f>INDEX('Inputs (2)'!$D$50:$AL$50,MATCH(AD$7,'Inputs (2)'!$D$2:$AL$2,0))</f>
        <v>28196</v>
      </c>
      <c r="AE4" s="16">
        <f>INDEX('Inputs (2)'!$D$50:$AL$50,MATCH(AE$7,'Inputs (2)'!$D$2:$AL$2,0))</f>
        <v>34979</v>
      </c>
      <c r="AF4" s="16">
        <f>INDEX('Inputs (2)'!$D$50:$AL$50,MATCH(AF$7,'Inputs (2)'!$D$2:$AL$2,0))</f>
        <v>34455</v>
      </c>
      <c r="AG4" s="16">
        <f>IF(COUNT(AC4:AF4)=4,SUM(AC4:AF4),"")</f>
        <v>132170</v>
      </c>
      <c r="AH4" s="6">
        <f>INDEX('Inputs (2)'!$D$50:$AL$50,MATCH(AH$7,'Inputs (2)'!$D$2:$AL$2,0))</f>
        <v>62578</v>
      </c>
      <c r="AI4" s="6">
        <f>INDEX('Inputs (2)'!$D$50:$AL$50,MATCH(AI$7,'Inputs (2)'!$D$2:$AL$2,0))</f>
        <v>112193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41159</v>
      </c>
      <c r="E15" s="15">
        <f>INDEX('Inputs (2)'!$D$4:$AL$4,MATCH(E$7,'Inputs (2)'!$D$2:$AL$2,0))</f>
        <v>38297</v>
      </c>
      <c r="F15" s="15">
        <f>INDEX('Inputs (2)'!$D$4:$AL$4,MATCH(F$7,'Inputs (2)'!$D$2:$AL$2,0))</f>
        <v>46173</v>
      </c>
      <c r="G15" s="15">
        <f>INDEX('Inputs (2)'!$D$4:$AL$4,MATCH(G$7,'Inputs (2)'!$D$2:$AL$2,0))</f>
        <v>56898</v>
      </c>
      <c r="H15" s="16">
        <f>SUM(D15:G15)</f>
        <v>182527</v>
      </c>
      <c r="I15" s="15">
        <f>INDEX('Inputs (2)'!$D$4:$AL$4,MATCH(I$7,'Inputs (2)'!$D$2:$AL$2,0))</f>
        <v>55314</v>
      </c>
      <c r="J15" s="15">
        <f>INDEX('Inputs (2)'!$D$4:$AL$4,MATCH(J$7,'Inputs (2)'!$D$2:$AL$2,0))</f>
        <v>61880</v>
      </c>
      <c r="K15" s="15">
        <f>INDEX('Inputs (2)'!$D$4:$AL$4,MATCH(K$7,'Inputs (2)'!$D$2:$AL$2,0))</f>
        <v>65118</v>
      </c>
      <c r="L15" s="15">
        <f>INDEX('Inputs (2)'!$D$4:$AL$4,MATCH(L$7,'Inputs (2)'!$D$2:$AL$2,0))</f>
        <v>75325</v>
      </c>
      <c r="M15" s="16">
        <f>SUM(I15:L15)</f>
        <v>257637</v>
      </c>
      <c r="N15" s="15">
        <f>INDEX('Inputs (2)'!$D$4:$AL$4,MATCH(N$7,'Inputs (2)'!$D$2:$AL$2,0))</f>
        <v>68011</v>
      </c>
      <c r="O15" s="15">
        <f>INDEX('Inputs (2)'!$D$4:$AL$4,MATCH(O$7,'Inputs (2)'!$D$2:$AL$2,0))</f>
        <v>69685</v>
      </c>
      <c r="P15" s="15">
        <f>INDEX('Inputs (2)'!$D$4:$AL$4,MATCH(P$7,'Inputs (2)'!$D$2:$AL$2,0))</f>
        <v>69092</v>
      </c>
      <c r="Q15" s="15">
        <f>INDEX('Inputs (2)'!$D$4:$AL$4,MATCH(Q$7,'Inputs (2)'!$D$2:$AL$2,0))</f>
        <v>76048</v>
      </c>
      <c r="R15" s="16">
        <f>SUM(N15:Q15)</f>
        <v>282836</v>
      </c>
      <c r="S15" s="15">
        <f>INDEX('Inputs (2)'!$D$4:$AL$4,MATCH(S$7,'Inputs (2)'!$D$2:$AL$2,0))</f>
        <v>69787</v>
      </c>
      <c r="T15" s="15">
        <f>INDEX('Inputs (2)'!$D$4:$AL$4,MATCH(T$7,'Inputs (2)'!$D$2:$AL$2,0))</f>
        <v>74604</v>
      </c>
      <c r="U15" s="15">
        <f>INDEX('Inputs (2)'!$D$4:$AL$4,MATCH(U$7,'Inputs (2)'!$D$2:$AL$2,0))</f>
        <v>76693</v>
      </c>
      <c r="V15" s="15">
        <f>INDEX('Inputs (2)'!$D$4:$AL$4,MATCH(V$7,'Inputs (2)'!$D$2:$AL$2,0))</f>
        <v>86310</v>
      </c>
      <c r="W15" s="16">
        <f>SUM(S15:V15)</f>
        <v>307394</v>
      </c>
      <c r="X15" s="15">
        <f>INDEX('Inputs (2)'!$D$4:$AL$4,MATCH(X$7,'Inputs (2)'!$D$2:$AL$2,0))</f>
        <v>80539</v>
      </c>
      <c r="Y15" s="15">
        <f>INDEX('Inputs (2)'!$D$4:$AL$4,MATCH(Y$7,'Inputs (2)'!$D$2:$AL$2,0))</f>
        <v>84742</v>
      </c>
      <c r="Z15" s="15">
        <f>INDEX('Inputs (2)'!$D$4:$AL$4,MATCH(Z$7,'Inputs (2)'!$D$2:$AL$2,0))</f>
        <v>88268</v>
      </c>
      <c r="AA15" s="15">
        <f>INDEX('Inputs (2)'!$D$4:$AL$4,MATCH(AA$7,'Inputs (2)'!$D$2:$AL$2,0))</f>
        <v>96469</v>
      </c>
      <c r="AB15" s="16">
        <f>SUM(X15:AA15)</f>
        <v>350018</v>
      </c>
      <c r="AC15" s="15">
        <f>INDEX('Inputs (2)'!$D$4:$AL$4,MATCH(AC$7,'Inputs (2)'!$D$2:$AL$2,0))</f>
        <v>90234</v>
      </c>
      <c r="AD15" s="15">
        <f>INDEX('Inputs (2)'!$D$4:$AL$4,MATCH(AD$7,'Inputs (2)'!$D$2:$AL$2,0))</f>
        <v>96428</v>
      </c>
      <c r="AE15" s="15">
        <f>INDEX('Inputs (2)'!$D$4:$AL$4,MATCH(AE$7,'Inputs (2)'!$D$2:$AL$2,0))</f>
        <v>102346</v>
      </c>
      <c r="AF15" s="15">
        <f>INDEX('Inputs (2)'!$D$4:$AL$4,MATCH(AF$7,'Inputs (2)'!$D$2:$AL$2,0))</f>
        <v>113829</v>
      </c>
      <c r="AG15" s="16">
        <f>SUM(AC15:AF15)</f>
        <v>402837</v>
      </c>
      <c r="AH15" s="16">
        <f>INDEX('Inputs (2)'!$D$4:$AL$4,MATCH(AH$7,'Inputs (2)'!$D$2:$AL$2,0))</f>
        <v>109896</v>
      </c>
      <c r="AI15" s="16">
        <f>INDEX('Inputs (2)'!$D$4:$AL$4,MATCH(AI$7,'Inputs (2)'!$D$2:$AL$2,0))</f>
        <v>119796</v>
      </c>
      <c r="AJ15" s="16">
        <f>AE15*(1+AJ16)</f>
        <v>102346</v>
      </c>
      <c r="AK15" s="16">
        <f>AF15*(1+AK16)</f>
        <v>113829</v>
      </c>
      <c r="AL15" s="16">
        <f>SUM(AH15:AK15)</f>
        <v>445867</v>
      </c>
      <c r="AM15" s="16">
        <f>AH15*(1+AM16)</f>
        <v>109896</v>
      </c>
      <c r="AN15" s="16">
        <f>AI15*(1+AN16)</f>
        <v>119796</v>
      </c>
      <c r="AO15" s="16">
        <f>AJ15*(1+AO16)</f>
        <v>102346</v>
      </c>
      <c r="AP15" s="16">
        <f>AK15*(1+AP16)</f>
        <v>113829</v>
      </c>
      <c r="AQ15" s="16">
        <f>SUM(AM15:AP15)</f>
        <v>445867</v>
      </c>
      <c r="AR15" s="16">
        <f>AM15*(1+AR16)</f>
        <v>109896</v>
      </c>
      <c r="AS15" s="16">
        <f>AN15*(1+AS16)</f>
        <v>119796</v>
      </c>
      <c r="AT15" s="16">
        <f>AO15*(1+AT16)</f>
        <v>102346</v>
      </c>
      <c r="AU15" s="16">
        <f>AP15*(1+AU16)</f>
        <v>113829</v>
      </c>
      <c r="AV15" s="16">
        <f>SUM(AR15:AU15)</f>
        <v>445867</v>
      </c>
      <c r="AW15" s="16">
        <f>AR15*(1+AW16)</f>
        <v>109896</v>
      </c>
      <c r="AX15" s="16">
        <f>AS15*(1+AX16)</f>
        <v>119796</v>
      </c>
      <c r="AY15" s="16">
        <f>AT15*(1+AY16)</f>
        <v>102346</v>
      </c>
      <c r="AZ15" s="16">
        <f>AU15*(1+AZ16)</f>
        <v>113829</v>
      </c>
      <c r="BA15" s="16">
        <f>SUM(AW15:AZ15)</f>
        <v>445867</v>
      </c>
      <c r="BB15" s="16">
        <f>AW15*(1+BB16)</f>
        <v>109896</v>
      </c>
      <c r="BC15" s="16">
        <f>AX15*(1+BC16)</f>
        <v>119796</v>
      </c>
      <c r="BD15" s="16">
        <f>AY15*(1+BD16)</f>
        <v>102346</v>
      </c>
      <c r="BE15" s="16">
        <f>AZ15*(1+BE16)</f>
        <v>113829</v>
      </c>
      <c r="BF15" s="16">
        <f>SUM(BB15:BE15)</f>
        <v>445867</v>
      </c>
      <c r="BG15" s="16">
        <f>BB15*(1+BG16)</f>
        <v>109896</v>
      </c>
      <c r="BH15" s="16">
        <f>BC15*(1+BH16)</f>
        <v>119796</v>
      </c>
      <c r="BI15" s="16">
        <f>BD15*(1+BI16)</f>
        <v>102346</v>
      </c>
      <c r="BJ15" s="16">
        <f>BE15*(1+BJ16)</f>
        <v>113829</v>
      </c>
      <c r="BK15" s="16">
        <f>SUM(BG15:BJ15)</f>
        <v>445867</v>
      </c>
      <c r="BL15" s="16">
        <f>BG15*(1+BL16)</f>
        <v>109896</v>
      </c>
      <c r="BM15" s="16">
        <f>BH15*(1+BM16)</f>
        <v>119796</v>
      </c>
      <c r="BN15" s="16">
        <f>BI15*(1+BN16)</f>
        <v>102346</v>
      </c>
      <c r="BO15" s="16">
        <f>BJ15*(1+BO16)</f>
        <v>113829</v>
      </c>
      <c r="BP15" s="16">
        <f>SUM(BL15:BO15)</f>
        <v>445867</v>
      </c>
      <c r="BQ15" s="16">
        <f>BL15*(1+BQ16)</f>
        <v>109896</v>
      </c>
      <c r="BR15" s="16">
        <f>BM15*(1+BR16)</f>
        <v>119796</v>
      </c>
      <c r="BS15" s="16">
        <f>BN15*(1+BS16)</f>
        <v>102346</v>
      </c>
      <c r="BT15" s="16">
        <f>BO15*(1+BT16)</f>
        <v>113829</v>
      </c>
      <c r="BU15" s="16">
        <f>SUM(BQ15:BT15)</f>
        <v>445867</v>
      </c>
      <c r="BV15" s="16">
        <f>BQ15*(1+BV16)</f>
        <v>109896</v>
      </c>
      <c r="BW15" s="16">
        <f>BR15*(1+BW16)</f>
        <v>119796</v>
      </c>
      <c r="BX15" s="16">
        <f>BS15*(1+BX16)</f>
        <v>102346</v>
      </c>
      <c r="BY15" s="16">
        <f>BT15*(1+BY16)</f>
        <v>113829</v>
      </c>
      <c r="BZ15" s="16">
        <f>SUM(BV15:BY15)</f>
        <v>445867</v>
      </c>
      <c r="CA15" s="16">
        <f>BV15*(1+CA16)</f>
        <v>109896</v>
      </c>
      <c r="CB15" s="16">
        <f>BW15*(1+CB16)</f>
        <v>119796</v>
      </c>
      <c r="CC15" s="16">
        <f>BX15*(1+CC16)</f>
        <v>102346</v>
      </c>
      <c r="CD15" s="16">
        <f>BY15*(1+CD16)</f>
        <v>113829</v>
      </c>
      <c r="CE15" s="16">
        <f>SUM(CA15:CD15)</f>
        <v>445867</v>
      </c>
      <c r="CF15" s="16">
        <f>CA15*(1+CF16)</f>
        <v>109896</v>
      </c>
      <c r="CG15" s="16">
        <f>CB15*(1+CG16)</f>
        <v>119796</v>
      </c>
      <c r="CH15" s="16">
        <f>CC15*(1+CH16)</f>
        <v>102346</v>
      </c>
      <c r="CI15" s="16">
        <f>CD15*(1+CI16)</f>
        <v>113829</v>
      </c>
      <c r="CJ15" s="16">
        <f>SUM(CF15:CI15)</f>
        <v>445867</v>
      </c>
      <c r="CK15" s="16">
        <f>CF15*(1+CK16)</f>
        <v>109896</v>
      </c>
      <c r="CL15" s="16">
        <f>CG15*(1+CL16)</f>
        <v>119796</v>
      </c>
      <c r="CM15" s="16">
        <f>CH15*(1+CM16)</f>
        <v>102346</v>
      </c>
      <c r="CN15" s="16">
        <f>CI15*(1+CN16)</f>
        <v>113829</v>
      </c>
      <c r="CO15" s="16">
        <f>SUM(CK15:CN15)</f>
        <v>445867</v>
      </c>
      <c r="CP15" s="16">
        <f>CK15*(1+CP16)</f>
        <v>109896</v>
      </c>
      <c r="CQ15" s="16">
        <f>CL15*(1+CQ16)</f>
        <v>119796</v>
      </c>
      <c r="CR15" s="16">
        <f>CM15*(1+CR16)</f>
        <v>102346</v>
      </c>
      <c r="CS15" s="16">
        <f>CN15*(1+CS16)</f>
        <v>113829</v>
      </c>
      <c r="CT15" s="16">
        <f>SUM(CP15:CS15)</f>
        <v>445867</v>
      </c>
      <c r="CU15" s="16">
        <f>CP15*(1+CU16)</f>
        <v>109896</v>
      </c>
      <c r="CV15" s="16">
        <f>CQ15*(1+CV16)</f>
        <v>119796</v>
      </c>
      <c r="CW15" s="16">
        <f>CR15*(1+CW16)</f>
        <v>102346</v>
      </c>
      <c r="CX15" s="16">
        <f>CS15*(1+CX16)</f>
        <v>113829</v>
      </c>
      <c r="CY15" s="16">
        <f>SUM(CU15:CX15)</f>
        <v>445867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0.229544057562281</v>
      </c>
      <c r="O16" s="47">
        <f>O15/J15-1</f>
        <v>0.126131221719457</v>
      </c>
      <c r="P16" s="47">
        <f>P15/K15-1</f>
        <v>0.0610276728400749</v>
      </c>
      <c r="Q16" s="47">
        <f>Q15/L15-1</f>
        <v>0.00959840690341851</v>
      </c>
      <c r="R16" s="47">
        <f>R15/M15-1</f>
        <v>0.0978081564371578</v>
      </c>
      <c r="S16" s="47">
        <f>S15/N15-1</f>
        <v>0.0261134228286601</v>
      </c>
      <c r="T16" s="47">
        <f>T15/O15-1</f>
        <v>0.0705890794288584</v>
      </c>
      <c r="U16" s="47">
        <f>U15/P15-1</f>
        <v>0.110012736641</v>
      </c>
      <c r="V16" s="47">
        <f>V15/Q15-1</f>
        <v>0.134941089837997</v>
      </c>
      <c r="W16" s="47">
        <f>W15/R15-1</f>
        <v>0.0868277022726951</v>
      </c>
      <c r="X16" s="47">
        <f>X15/S15-1</f>
        <v>0.154068809377105</v>
      </c>
      <c r="Y16" s="47">
        <f>Y15/T15-1</f>
        <v>0.135890836952442</v>
      </c>
      <c r="Z16" s="47">
        <f>Z15/U15-1</f>
        <v>0.150926420924987</v>
      </c>
      <c r="AA16" s="47">
        <f>AA15/V15-1</f>
        <v>0.11770362646275</v>
      </c>
      <c r="AB16" s="47">
        <f>AB15/W15-1</f>
        <v>0.138662433229016</v>
      </c>
      <c r="AC16" s="47">
        <f>AC15/X15-1</f>
        <v>0.120376463576652</v>
      </c>
      <c r="AD16" s="47">
        <f>AD15/Y15-1</f>
        <v>0.137900922800972</v>
      </c>
      <c r="AE16" s="47">
        <f>AE15/Z15-1</f>
        <v>0.159491548466035</v>
      </c>
      <c r="AF16" s="44">
        <f>AF15/AA15-1</f>
        <v>0.179954182172511</v>
      </c>
      <c r="AG16" s="47">
        <f>AG15/AB15-1</f>
        <v>0.15090366781137</v>
      </c>
      <c r="AH16" s="44">
        <f>AH15/AC15-1</f>
        <v>0.217900126338187</v>
      </c>
      <c r="AI16" s="44">
        <f>AI15/AD15-1</f>
        <v>0.242336250881487</v>
      </c>
      <c r="AJ16" s="44" t="n"/>
      <c r="AK16" s="44" t="n"/>
      <c r="AL16" s="22">
        <f>AL15/AG15-1</f>
        <v>0.106817397607469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soma dos tipos de receita)</t>
        </is>
      </c>
      <c r="D17" s="15">
        <f>IF(COUNT(D27)=0,"",D27)</f>
        <v>49</v>
      </c>
      <c r="E17" s="15">
        <f>IF(COUNT(E27)=0,"",E27)</f>
        <v>151</v>
      </c>
      <c r="F17" s="15">
        <f>IF(COUNT(F27)=0,"",F27)</f>
        <v>-22</v>
      </c>
      <c r="G17" s="15">
        <f>IF(COUNT(G27)=0,"",G27)</f>
        <v>-2</v>
      </c>
      <c r="H17" s="16">
        <f>IF(COUNT(H27)=0,"",H27)</f>
        <v>176</v>
      </c>
      <c r="I17" s="15">
        <f>IF(COUNT(I27)=0,"",I27)</f>
        <v>-109</v>
      </c>
      <c r="J17" s="15">
        <f>IF(COUNT(J27)=0,"",J27)</f>
        <v>-7</v>
      </c>
      <c r="K17" s="15">
        <f>IF(COUNT(K27)=0,"",K27)</f>
        <v>62</v>
      </c>
      <c r="L17" s="15">
        <f>IF(COUNT(L27)=0,"",L27)</f>
        <v>203</v>
      </c>
      <c r="M17" s="16">
        <f>IF(COUNT(M27)=0,"",M27)</f>
        <v>149</v>
      </c>
      <c r="N17" s="15">
        <f>IF(COUNT(N27)=0,"",N27)</f>
        <v>278</v>
      </c>
      <c r="O17" s="15">
        <f>IF(COUNT(O27)=0,"",O27)</f>
        <v>375</v>
      </c>
      <c r="P17" s="15">
        <f>IF(COUNT(P27)=0,"",P27)</f>
        <v>638</v>
      </c>
      <c r="Q17" s="15">
        <f>IF(COUNT(Q27)=0,"",Q27)</f>
        <v>669</v>
      </c>
      <c r="R17" s="16">
        <f>IF(COUNT(R27)=0,"",R27)</f>
        <v>1960</v>
      </c>
      <c r="S17" s="15">
        <f>IF(COUNT(S27)=0,"",S27)</f>
        <v>84</v>
      </c>
      <c r="T17" s="15">
        <f>IF(COUNT(T27)=0,"",T27)</f>
        <v>3</v>
      </c>
      <c r="U17" s="15">
        <f>IF(COUNT(U27)=0,"",U27)</f>
        <v>-1</v>
      </c>
      <c r="V17" s="15">
        <f>IF(COUNT(V27)=0,"",V27)</f>
        <v>150</v>
      </c>
      <c r="W17" s="16">
        <f>IF(COUNT(W27)=0,"",W27)</f>
        <v>236</v>
      </c>
      <c r="X17" s="15">
        <f>IF(COUNT(X27)=0,"",X27)</f>
        <v>72</v>
      </c>
      <c r="Y17" s="15">
        <f>IF(COUNT(Y27)=0,"",Y27)</f>
        <v>102</v>
      </c>
      <c r="Z17" s="15">
        <f>IF(COUNT(Z27)=0,"",Z27)</f>
        <v>17</v>
      </c>
      <c r="AA17" s="15">
        <f>IF(COUNT(AA27)=0,"",AA27)</f>
        <v>20</v>
      </c>
      <c r="AB17" s="16">
        <f>IF(COUNT(AB27)=0,"",AB27)</f>
        <v>211</v>
      </c>
      <c r="AC17" s="15">
        <f>IF(COUNT(AC27)=0,"",AC27)</f>
        <v>260</v>
      </c>
      <c r="AD17" s="15">
        <f>IF(COUNT(AD27)=0,"",AD27)</f>
        <v>-112</v>
      </c>
      <c r="AE17" s="15">
        <f>IF(COUNT(AE27)=0,"",AE27)</f>
        <v>-207</v>
      </c>
      <c r="AF17" s="15">
        <f>IF(COUNT(AF27)=0,"",AF27)</f>
        <v>-67</v>
      </c>
      <c r="AG17" s="16">
        <f>IF(COUNT(AG27)=0,"",AG27)</f>
        <v>-126</v>
      </c>
      <c r="AH17" s="16">
        <f>IF(COUNT(AH27)=0,"",AH27)</f>
        <v>-180</v>
      </c>
      <c r="AI17" s="16">
        <f>IF(COUNT(AI27)=0,"",AI27)</f>
        <v>106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Receita por tipo - como a Alphabet divulga (USD milhões)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 xml:space="preserve">   Google Search &amp; other</t>
        </is>
      </c>
      <c r="D19" s="265">
        <f>IFERROR(INDEX('Inputs (2)'!$D$53:$AL$53,MATCH(D$7,'Inputs (2)'!$D$2:$AL$2,0)),"")</f>
        <v>24502</v>
      </c>
      <c r="E19" s="265">
        <f>IFERROR(INDEX('Inputs (2)'!$D$53:$AL$53,MATCH(E$7,'Inputs (2)'!$D$2:$AL$2,0)),"")</f>
        <v>21319</v>
      </c>
      <c r="F19" s="265">
        <f>IFERROR(INDEX('Inputs (2)'!$D$53:$AL$53,MATCH(F$7,'Inputs (2)'!$D$2:$AL$2,0)),"")</f>
        <v>26338</v>
      </c>
      <c r="G19" s="265">
        <f>IFERROR(INDEX('Inputs (2)'!$D$53:$AL$53,MATCH(G$7,'Inputs (2)'!$D$2:$AL$2,0)),"")</f>
        <v>31903</v>
      </c>
      <c r="H19" s="266">
        <f>IF(COUNT(D19:G19)=4,SUM(D19:G19),"")</f>
        <v>104062</v>
      </c>
      <c r="I19" s="265">
        <f>IFERROR(INDEX('Inputs (2)'!$D$53:$AL$53,MATCH(I$7,'Inputs (2)'!$D$2:$AL$2,0)),"")</f>
        <v>31879</v>
      </c>
      <c r="J19" s="265">
        <f>IFERROR(INDEX('Inputs (2)'!$D$53:$AL$53,MATCH(J$7,'Inputs (2)'!$D$2:$AL$2,0)),"")</f>
        <v>35845</v>
      </c>
      <c r="K19" s="265">
        <f>IFERROR(INDEX('Inputs (2)'!$D$53:$AL$53,MATCH(K$7,'Inputs (2)'!$D$2:$AL$2,0)),"")</f>
        <v>37926</v>
      </c>
      <c r="L19" s="265">
        <f>IFERROR(INDEX('Inputs (2)'!$D$53:$AL$53,MATCH(L$7,'Inputs (2)'!$D$2:$AL$2,0)),"")</f>
        <v>43301</v>
      </c>
      <c r="M19" s="266">
        <f>IF(COUNT(I19:L19)=4,SUM(I19:L19),"")</f>
        <v>148951</v>
      </c>
      <c r="N19" s="265">
        <f>IFERROR(INDEX('Inputs (2)'!$D$53:$AL$53,MATCH(N$7,'Inputs (2)'!$D$2:$AL$2,0)),"")</f>
        <v>39618</v>
      </c>
      <c r="O19" s="265">
        <f>IFERROR(INDEX('Inputs (2)'!$D$53:$AL$53,MATCH(O$7,'Inputs (2)'!$D$2:$AL$2,0)),"")</f>
        <v>40689</v>
      </c>
      <c r="P19" s="265">
        <f>IFERROR(INDEX('Inputs (2)'!$D$53:$AL$53,MATCH(P$7,'Inputs (2)'!$D$2:$AL$2,0)),"")</f>
        <v>39539</v>
      </c>
      <c r="Q19" s="265">
        <f>IFERROR(INDEX('Inputs (2)'!$D$53:$AL$53,MATCH(Q$7,'Inputs (2)'!$D$2:$AL$2,0)),"")</f>
        <v>42604</v>
      </c>
      <c r="R19" s="266">
        <f>IF(COUNT(N19:Q19)=4,SUM(N19:Q19),"")</f>
        <v>162450</v>
      </c>
      <c r="S19" s="265">
        <f>IFERROR(INDEX('Inputs (2)'!$D$53:$AL$53,MATCH(S$7,'Inputs (2)'!$D$2:$AL$2,0)),"")</f>
        <v>40359</v>
      </c>
      <c r="T19" s="265">
        <f>IFERROR(INDEX('Inputs (2)'!$D$53:$AL$53,MATCH(T$7,'Inputs (2)'!$D$2:$AL$2,0)),"")</f>
        <v>42628</v>
      </c>
      <c r="U19" s="265">
        <f>IFERROR(INDEX('Inputs (2)'!$D$53:$AL$53,MATCH(U$7,'Inputs (2)'!$D$2:$AL$2,0)),"")</f>
        <v>44026</v>
      </c>
      <c r="V19" s="265">
        <f>IFERROR(INDEX('Inputs (2)'!$D$53:$AL$53,MATCH(V$7,'Inputs (2)'!$D$2:$AL$2,0)),"")</f>
        <v>48020</v>
      </c>
      <c r="W19" s="266">
        <f>IF(COUNT(S19:V19)=4,SUM(S19:V19),"")</f>
        <v>175033</v>
      </c>
      <c r="X19" s="265">
        <f>IFERROR(INDEX('Inputs (2)'!$D$53:$AL$53,MATCH(X$7,'Inputs (2)'!$D$2:$AL$2,0)),"")</f>
        <v>46156</v>
      </c>
      <c r="Y19" s="265">
        <f>IFERROR(INDEX('Inputs (2)'!$D$53:$AL$53,MATCH(Y$7,'Inputs (2)'!$D$2:$AL$2,0)),"")</f>
        <v>48509</v>
      </c>
      <c r="Z19" s="265">
        <f>IFERROR(INDEX('Inputs (2)'!$D$53:$AL$53,MATCH(Z$7,'Inputs (2)'!$D$2:$AL$2,0)),"")</f>
        <v>49385</v>
      </c>
      <c r="AA19" s="265">
        <f>IFERROR(INDEX('Inputs (2)'!$D$53:$AL$53,MATCH(AA$7,'Inputs (2)'!$D$2:$AL$2,0)),"")</f>
        <v>54034</v>
      </c>
      <c r="AB19" s="266">
        <f>IF(COUNT(X19:AA19)=4,SUM(X19:AA19),"")</f>
        <v>198084</v>
      </c>
      <c r="AC19" s="265">
        <f>IFERROR(INDEX('Inputs (2)'!$D$53:$AL$53,MATCH(AC$7,'Inputs (2)'!$D$2:$AL$2,0)),"")</f>
        <v>50702</v>
      </c>
      <c r="AD19" s="265">
        <f>IFERROR(INDEX('Inputs (2)'!$D$53:$AL$53,MATCH(AD$7,'Inputs (2)'!$D$2:$AL$2,0)),"")</f>
        <v>54190</v>
      </c>
      <c r="AE19" s="265">
        <f>IFERROR(INDEX('Inputs (2)'!$D$53:$AL$53,MATCH(AE$7,'Inputs (2)'!$D$2:$AL$2,0)),"")</f>
        <v>56567</v>
      </c>
      <c r="AF19" s="265">
        <f>IFERROR(INDEX('Inputs (2)'!$D$53:$AL$53,MATCH(AF$7,'Inputs (2)'!$D$2:$AL$2,0)),"")</f>
        <v>63073</v>
      </c>
      <c r="AG19" s="266">
        <f>IF(COUNT(AC19:AF19)=4,SUM(AC19:AF19),"")</f>
        <v>224532</v>
      </c>
      <c r="AH19" s="266">
        <f>IFERROR(INDEX('Inputs (2)'!$D$53:$AL$53,MATCH(AH$7,'Inputs (2)'!$D$2:$AL$2,0)),"")</f>
        <v>60399</v>
      </c>
      <c r="AI19" s="266">
        <f>IFERROR(INDEX('Inputs (2)'!$D$53:$AL$53,MATCH(AI$7,'Inputs (2)'!$D$2:$AL$2,0)),"")</f>
        <v>63271</v>
      </c>
    </row>
    <row r="20">
      <c r="C20" s="14" t="inlineStr">
        <is>
          <t xml:space="preserve">   YouTube ads</t>
        </is>
      </c>
      <c r="D20" s="265">
        <f>IFERROR(INDEX('Inputs (2)'!$D$54:$AL$54,MATCH(D$7,'Inputs (2)'!$D$2:$AL$2,0)),"")</f>
        <v>4038</v>
      </c>
      <c r="E20" s="265">
        <f>IFERROR(INDEX('Inputs (2)'!$D$54:$AL$54,MATCH(E$7,'Inputs (2)'!$D$2:$AL$2,0)),"")</f>
        <v>3812</v>
      </c>
      <c r="F20" s="265">
        <f>IFERROR(INDEX('Inputs (2)'!$D$54:$AL$54,MATCH(F$7,'Inputs (2)'!$D$2:$AL$2,0)),"")</f>
        <v>5037</v>
      </c>
      <c r="G20" s="265">
        <f>IFERROR(INDEX('Inputs (2)'!$D$54:$AL$54,MATCH(G$7,'Inputs (2)'!$D$2:$AL$2,0)),"")</f>
        <v>6885</v>
      </c>
      <c r="H20" s="266">
        <f>IF(COUNT(D20:G20)=4,SUM(D20:G20),"")</f>
        <v>19772</v>
      </c>
      <c r="I20" s="265">
        <f>IFERROR(INDEX('Inputs (2)'!$D$54:$AL$54,MATCH(I$7,'Inputs (2)'!$D$2:$AL$2,0)),"")</f>
        <v>6005</v>
      </c>
      <c r="J20" s="265">
        <f>IFERROR(INDEX('Inputs (2)'!$D$54:$AL$54,MATCH(J$7,'Inputs (2)'!$D$2:$AL$2,0)),"")</f>
        <v>7002</v>
      </c>
      <c r="K20" s="265">
        <f>IFERROR(INDEX('Inputs (2)'!$D$54:$AL$54,MATCH(K$7,'Inputs (2)'!$D$2:$AL$2,0)),"")</f>
        <v>7205</v>
      </c>
      <c r="L20" s="265">
        <f>IFERROR(INDEX('Inputs (2)'!$D$54:$AL$54,MATCH(L$7,'Inputs (2)'!$D$2:$AL$2,0)),"")</f>
        <v>8633</v>
      </c>
      <c r="M20" s="266">
        <f>IF(COUNT(I20:L20)=4,SUM(I20:L20),"")</f>
        <v>28845</v>
      </c>
      <c r="N20" s="265">
        <f>IFERROR(INDEX('Inputs (2)'!$D$54:$AL$54,MATCH(N$7,'Inputs (2)'!$D$2:$AL$2,0)),"")</f>
        <v>6869</v>
      </c>
      <c r="O20" s="265">
        <f>IFERROR(INDEX('Inputs (2)'!$D$54:$AL$54,MATCH(O$7,'Inputs (2)'!$D$2:$AL$2,0)),"")</f>
        <v>7340</v>
      </c>
      <c r="P20" s="265">
        <f>IFERROR(INDEX('Inputs (2)'!$D$54:$AL$54,MATCH(P$7,'Inputs (2)'!$D$2:$AL$2,0)),"")</f>
        <v>7071</v>
      </c>
      <c r="Q20" s="265">
        <f>IFERROR(INDEX('Inputs (2)'!$D$54:$AL$54,MATCH(Q$7,'Inputs (2)'!$D$2:$AL$2,0)),"")</f>
        <v>7963</v>
      </c>
      <c r="R20" s="266">
        <f>IF(COUNT(N20:Q20)=4,SUM(N20:Q20),"")</f>
        <v>29243</v>
      </c>
      <c r="S20" s="265">
        <f>IFERROR(INDEX('Inputs (2)'!$D$54:$AL$54,MATCH(S$7,'Inputs (2)'!$D$2:$AL$2,0)),"")</f>
        <v>6693</v>
      </c>
      <c r="T20" s="265">
        <f>IFERROR(INDEX('Inputs (2)'!$D$54:$AL$54,MATCH(T$7,'Inputs (2)'!$D$2:$AL$2,0)),"")</f>
        <v>7665</v>
      </c>
      <c r="U20" s="265">
        <f>IFERROR(INDEX('Inputs (2)'!$D$54:$AL$54,MATCH(U$7,'Inputs (2)'!$D$2:$AL$2,0)),"")</f>
        <v>7952</v>
      </c>
      <c r="V20" s="265">
        <f>IFERROR(INDEX('Inputs (2)'!$D$54:$AL$54,MATCH(V$7,'Inputs (2)'!$D$2:$AL$2,0)),"")</f>
        <v>9200</v>
      </c>
      <c r="W20" s="266">
        <f>IF(COUNT(S20:V20)=4,SUM(S20:V20),"")</f>
        <v>31510</v>
      </c>
      <c r="X20" s="265">
        <f>IFERROR(INDEX('Inputs (2)'!$D$54:$AL$54,MATCH(X$7,'Inputs (2)'!$D$2:$AL$2,0)),"")</f>
        <v>8090</v>
      </c>
      <c r="Y20" s="265">
        <f>IFERROR(INDEX('Inputs (2)'!$D$54:$AL$54,MATCH(Y$7,'Inputs (2)'!$D$2:$AL$2,0)),"")</f>
        <v>8663</v>
      </c>
      <c r="Z20" s="265">
        <f>IFERROR(INDEX('Inputs (2)'!$D$54:$AL$54,MATCH(Z$7,'Inputs (2)'!$D$2:$AL$2,0)),"")</f>
        <v>8921</v>
      </c>
      <c r="AA20" s="265">
        <f>IFERROR(INDEX('Inputs (2)'!$D$54:$AL$54,MATCH(AA$7,'Inputs (2)'!$D$2:$AL$2,0)),"")</f>
        <v>10473</v>
      </c>
      <c r="AB20" s="266">
        <f>IF(COUNT(X20:AA20)=4,SUM(X20:AA20),"")</f>
        <v>36147</v>
      </c>
      <c r="AC20" s="265">
        <f>IFERROR(INDEX('Inputs (2)'!$D$54:$AL$54,MATCH(AC$7,'Inputs (2)'!$D$2:$AL$2,0)),"")</f>
        <v>8927</v>
      </c>
      <c r="AD20" s="265">
        <f>IFERROR(INDEX('Inputs (2)'!$D$54:$AL$54,MATCH(AD$7,'Inputs (2)'!$D$2:$AL$2,0)),"")</f>
        <v>9796</v>
      </c>
      <c r="AE20" s="265">
        <f>IFERROR(INDEX('Inputs (2)'!$D$54:$AL$54,MATCH(AE$7,'Inputs (2)'!$D$2:$AL$2,0)),"")</f>
        <v>10261</v>
      </c>
      <c r="AF20" s="265">
        <f>IFERROR(INDEX('Inputs (2)'!$D$54:$AL$54,MATCH(AF$7,'Inputs (2)'!$D$2:$AL$2,0)),"")</f>
        <v>11383</v>
      </c>
      <c r="AG20" s="266">
        <f>IF(COUNT(AC20:AF20)=4,SUM(AC20:AF20),"")</f>
        <v>40367</v>
      </c>
      <c r="AH20" s="266">
        <f>IFERROR(INDEX('Inputs (2)'!$D$54:$AL$54,MATCH(AH$7,'Inputs (2)'!$D$2:$AL$2,0)),"")</f>
        <v>9883</v>
      </c>
      <c r="AI20" s="266">
        <f>IFERROR(INDEX('Inputs (2)'!$D$54:$AL$54,MATCH(AI$7,'Inputs (2)'!$D$2:$AL$2,0)),"")</f>
        <v>11055</v>
      </c>
    </row>
    <row r="21">
      <c r="C21" s="14" t="inlineStr">
        <is>
          <t xml:space="preserve">   Google Network</t>
        </is>
      </c>
      <c r="D21" s="265">
        <f>IFERROR(INDEX('Inputs (2)'!$D$55:$AL$55,MATCH(D$7,'Inputs (2)'!$D$2:$AL$2,0)),"")</f>
        <v>5223</v>
      </c>
      <c r="E21" s="265">
        <f>IFERROR(INDEX('Inputs (2)'!$D$55:$AL$55,MATCH(E$7,'Inputs (2)'!$D$2:$AL$2,0)),"")</f>
        <v>4736</v>
      </c>
      <c r="F21" s="265">
        <f>IFERROR(INDEX('Inputs (2)'!$D$55:$AL$55,MATCH(F$7,'Inputs (2)'!$D$2:$AL$2,0)),"")</f>
        <v>5720</v>
      </c>
      <c r="G21" s="265">
        <f>IFERROR(INDEX('Inputs (2)'!$D$55:$AL$55,MATCH(G$7,'Inputs (2)'!$D$2:$AL$2,0)),"")</f>
        <v>7411</v>
      </c>
      <c r="H21" s="266">
        <f>IF(COUNT(D21:G21)=4,SUM(D21:G21),"")</f>
        <v>23090</v>
      </c>
      <c r="I21" s="265">
        <f>IFERROR(INDEX('Inputs (2)'!$D$55:$AL$55,MATCH(I$7,'Inputs (2)'!$D$2:$AL$2,0)),"")</f>
        <v>6800</v>
      </c>
      <c r="J21" s="265">
        <f>IFERROR(INDEX('Inputs (2)'!$D$55:$AL$55,MATCH(J$7,'Inputs (2)'!$D$2:$AL$2,0)),"")</f>
        <v>7597</v>
      </c>
      <c r="K21" s="265">
        <f>IFERROR(INDEX('Inputs (2)'!$D$55:$AL$55,MATCH(K$7,'Inputs (2)'!$D$2:$AL$2,0)),"")</f>
        <v>7999</v>
      </c>
      <c r="L21" s="265">
        <f>IFERROR(INDEX('Inputs (2)'!$D$55:$AL$55,MATCH(L$7,'Inputs (2)'!$D$2:$AL$2,0)),"")</f>
        <v>9305</v>
      </c>
      <c r="M21" s="266">
        <f>IF(COUNT(I21:L21)=4,SUM(I21:L21),"")</f>
        <v>31701</v>
      </c>
      <c r="N21" s="265">
        <f>IFERROR(INDEX('Inputs (2)'!$D$55:$AL$55,MATCH(N$7,'Inputs (2)'!$D$2:$AL$2,0)),"")</f>
        <v>8174</v>
      </c>
      <c r="O21" s="265">
        <f>IFERROR(INDEX('Inputs (2)'!$D$55:$AL$55,MATCH(O$7,'Inputs (2)'!$D$2:$AL$2,0)),"")</f>
        <v>8259</v>
      </c>
      <c r="P21" s="265">
        <f>IFERROR(INDEX('Inputs (2)'!$D$55:$AL$55,MATCH(P$7,'Inputs (2)'!$D$2:$AL$2,0)),"")</f>
        <v>7872</v>
      </c>
      <c r="Q21" s="265">
        <f>IFERROR(INDEX('Inputs (2)'!$D$55:$AL$55,MATCH(Q$7,'Inputs (2)'!$D$2:$AL$2,0)),"")</f>
        <v>8475</v>
      </c>
      <c r="R21" s="266">
        <f>IF(COUNT(N21:Q21)=4,SUM(N21:Q21),"")</f>
        <v>32780</v>
      </c>
      <c r="S21" s="265">
        <f>IFERROR(INDEX('Inputs (2)'!$D$55:$AL$55,MATCH(S$7,'Inputs (2)'!$D$2:$AL$2,0)),"")</f>
        <v>7496</v>
      </c>
      <c r="T21" s="265">
        <f>IFERROR(INDEX('Inputs (2)'!$D$55:$AL$55,MATCH(T$7,'Inputs (2)'!$D$2:$AL$2,0)),"")</f>
        <v>7850</v>
      </c>
      <c r="U21" s="265">
        <f>IFERROR(INDEX('Inputs (2)'!$D$55:$AL$55,MATCH(U$7,'Inputs (2)'!$D$2:$AL$2,0)),"")</f>
        <v>7669</v>
      </c>
      <c r="V21" s="265">
        <f>IFERROR(INDEX('Inputs (2)'!$D$55:$AL$55,MATCH(V$7,'Inputs (2)'!$D$2:$AL$2,0)),"")</f>
        <v>8297</v>
      </c>
      <c r="W21" s="266">
        <f>IF(COUNT(S21:V21)=4,SUM(S21:V21),"")</f>
        <v>31312</v>
      </c>
      <c r="X21" s="265">
        <f>IFERROR(INDEX('Inputs (2)'!$D$55:$AL$55,MATCH(X$7,'Inputs (2)'!$D$2:$AL$2,0)),"")</f>
        <v>7413</v>
      </c>
      <c r="Y21" s="265">
        <f>IFERROR(INDEX('Inputs (2)'!$D$55:$AL$55,MATCH(Y$7,'Inputs (2)'!$D$2:$AL$2,0)),"")</f>
        <v>7444</v>
      </c>
      <c r="Z21" s="265">
        <f>IFERROR(INDEX('Inputs (2)'!$D$55:$AL$55,MATCH(Z$7,'Inputs (2)'!$D$2:$AL$2,0)),"")</f>
        <v>7548</v>
      </c>
      <c r="AA21" s="265">
        <f>IFERROR(INDEX('Inputs (2)'!$D$55:$AL$55,MATCH(AA$7,'Inputs (2)'!$D$2:$AL$2,0)),"")</f>
        <v>7954</v>
      </c>
      <c r="AB21" s="266">
        <f>IF(COUNT(X21:AA21)=4,SUM(X21:AA21),"")</f>
        <v>30359</v>
      </c>
      <c r="AC21" s="265">
        <f>IFERROR(INDEX('Inputs (2)'!$D$55:$AL$55,MATCH(AC$7,'Inputs (2)'!$D$2:$AL$2,0)),"")</f>
        <v>7256</v>
      </c>
      <c r="AD21" s="265">
        <f>IFERROR(INDEX('Inputs (2)'!$D$55:$AL$55,MATCH(AD$7,'Inputs (2)'!$D$2:$AL$2,0)),"")</f>
        <v>7354</v>
      </c>
      <c r="AE21" s="265">
        <f>IFERROR(INDEX('Inputs (2)'!$D$55:$AL$55,MATCH(AE$7,'Inputs (2)'!$D$2:$AL$2,0)),"")</f>
        <v>7354</v>
      </c>
      <c r="AF21" s="265">
        <f>IFERROR(INDEX('Inputs (2)'!$D$55:$AL$55,MATCH(AF$7,'Inputs (2)'!$D$2:$AL$2,0)),"")</f>
        <v>7828</v>
      </c>
      <c r="AG21" s="266">
        <f>IF(COUNT(AC21:AF21)=4,SUM(AC21:AF21),"")</f>
        <v>29792</v>
      </c>
      <c r="AH21" s="266">
        <f>IFERROR(INDEX('Inputs (2)'!$D$55:$AL$55,MATCH(AH$7,'Inputs (2)'!$D$2:$AL$2,0)),"")</f>
        <v>6971</v>
      </c>
      <c r="AI21" s="266">
        <f>IFERROR(INDEX('Inputs (2)'!$D$55:$AL$55,MATCH(AI$7,'Inputs (2)'!$D$2:$AL$2,0)),"")</f>
        <v>7303</v>
      </c>
    </row>
    <row r="22">
      <c r="C22" s="267" t="inlineStr">
        <is>
          <t>Google advertising</t>
        </is>
      </c>
      <c r="D22" s="265">
        <f>IF(COUNT(D19,D20,D21)=0,"",N(D19)+N(D20)+N(D21))</f>
        <v>33763</v>
      </c>
      <c r="E22" s="265">
        <f>IF(COUNT(E19,E20,E21)=0,"",N(E19)+N(E20)+N(E21))</f>
        <v>29867</v>
      </c>
      <c r="F22" s="265">
        <f>IF(COUNT(F19,F20,F21)=0,"",N(F19)+N(F20)+N(F21))</f>
        <v>37095</v>
      </c>
      <c r="G22" s="265">
        <f>IF(COUNT(G19,G20,G21)=0,"",N(G19)+N(G20)+N(G21))</f>
        <v>46199</v>
      </c>
      <c r="H22" s="266">
        <f>IF(COUNT(H19,H20,H21)=0,"",N(H19)+N(H20)+N(H21))</f>
        <v>146924</v>
      </c>
      <c r="I22" s="265">
        <f>IF(COUNT(I19,I20,I21)=0,"",N(I19)+N(I20)+N(I21))</f>
        <v>44684</v>
      </c>
      <c r="J22" s="265">
        <f>IF(COUNT(J19,J20,J21)=0,"",N(J19)+N(J20)+N(J21))</f>
        <v>50444</v>
      </c>
      <c r="K22" s="265">
        <f>IF(COUNT(K19,K20,K21)=0,"",N(K19)+N(K20)+N(K21))</f>
        <v>53130</v>
      </c>
      <c r="L22" s="265">
        <f>IF(COUNT(L19,L20,L21)=0,"",N(L19)+N(L20)+N(L21))</f>
        <v>61239</v>
      </c>
      <c r="M22" s="266">
        <f>IF(COUNT(M19,M20,M21)=0,"",N(M19)+N(M20)+N(M21))</f>
        <v>209497</v>
      </c>
      <c r="N22" s="265">
        <f>IF(COUNT(N19,N20,N21)=0,"",N(N19)+N(N20)+N(N21))</f>
        <v>54661</v>
      </c>
      <c r="O22" s="265">
        <f>IF(COUNT(O19,O20,O21)=0,"",N(O19)+N(O20)+N(O21))</f>
        <v>56288</v>
      </c>
      <c r="P22" s="265">
        <f>IF(COUNT(P19,P20,P21)=0,"",N(P19)+N(P20)+N(P21))</f>
        <v>54482</v>
      </c>
      <c r="Q22" s="265">
        <f>IF(COUNT(Q19,Q20,Q21)=0,"",N(Q19)+N(Q20)+N(Q21))</f>
        <v>59042</v>
      </c>
      <c r="R22" s="266">
        <f>IF(COUNT(R19,R20,R21)=0,"",N(R19)+N(R20)+N(R21))</f>
        <v>224473</v>
      </c>
      <c r="S22" s="265">
        <f>IF(COUNT(S19,S20,S21)=0,"",N(S19)+N(S20)+N(S21))</f>
        <v>54548</v>
      </c>
      <c r="T22" s="265">
        <f>IF(COUNT(T19,T20,T21)=0,"",N(T19)+N(T20)+N(T21))</f>
        <v>58143</v>
      </c>
      <c r="U22" s="265">
        <f>IF(COUNT(U19,U20,U21)=0,"",N(U19)+N(U20)+N(U21))</f>
        <v>59647</v>
      </c>
      <c r="V22" s="265">
        <f>IF(COUNT(V19,V20,V21)=0,"",N(V19)+N(V20)+N(V21))</f>
        <v>65517</v>
      </c>
      <c r="W22" s="266">
        <f>IF(COUNT(W19,W20,W21)=0,"",N(W19)+N(W20)+N(W21))</f>
        <v>237855</v>
      </c>
      <c r="X22" s="265">
        <f>IF(COUNT(X19,X20,X21)=0,"",N(X19)+N(X20)+N(X21))</f>
        <v>61659</v>
      </c>
      <c r="Y22" s="265">
        <f>IF(COUNT(Y19,Y20,Y21)=0,"",N(Y19)+N(Y20)+N(Y21))</f>
        <v>64616</v>
      </c>
      <c r="Z22" s="265">
        <f>IF(COUNT(Z19,Z20,Z21)=0,"",N(Z19)+N(Z20)+N(Z21))</f>
        <v>65854</v>
      </c>
      <c r="AA22" s="265">
        <f>IF(COUNT(AA19,AA20,AA21)=0,"",N(AA19)+N(AA20)+N(AA21))</f>
        <v>72461</v>
      </c>
      <c r="AB22" s="266">
        <f>IF(COUNT(AB19,AB20,AB21)=0,"",N(AB19)+N(AB20)+N(AB21))</f>
        <v>264590</v>
      </c>
      <c r="AC22" s="265">
        <f>IF(COUNT(AC19,AC20,AC21)=0,"",N(AC19)+N(AC20)+N(AC21))</f>
        <v>66885</v>
      </c>
      <c r="AD22" s="265">
        <f>IF(COUNT(AD19,AD20,AD21)=0,"",N(AD19)+N(AD20)+N(AD21))</f>
        <v>71340</v>
      </c>
      <c r="AE22" s="265">
        <f>IF(COUNT(AE19,AE20,AE21)=0,"",N(AE19)+N(AE20)+N(AE21))</f>
        <v>74182</v>
      </c>
      <c r="AF22" s="265">
        <f>IF(COUNT(AF19,AF20,AF21)=0,"",N(AF19)+N(AF20)+N(AF21))</f>
        <v>82284</v>
      </c>
      <c r="AG22" s="266">
        <f>IF(COUNT(AG19,AG20,AG21)=0,"",N(AG19)+N(AG20)+N(AG21))</f>
        <v>294691</v>
      </c>
      <c r="AH22" s="266">
        <f>IF(COUNT(AH19,AH20,AH21)=0,"",N(AH19)+N(AH20)+N(AH21))</f>
        <v>77253</v>
      </c>
      <c r="AI22" s="266">
        <f>IF(COUNT(AI19,AI20,AI21)=0,"",N(AI19)+N(AI20)+N(AI21))</f>
        <v>81629</v>
      </c>
    </row>
    <row r="23">
      <c r="C23" s="14" t="inlineStr">
        <is>
          <t xml:space="preserve">   Subscriptions, platforms and devices</t>
        </is>
      </c>
      <c r="D23" s="265">
        <f>IFERROR(INDEX('Inputs (2)'!$D$56:$AL$56,MATCH(D$7,'Inputs (2)'!$D$2:$AL$2,0)),"")</f>
        <v>4435</v>
      </c>
      <c r="E23" s="265">
        <f>IFERROR(INDEX('Inputs (2)'!$D$56:$AL$56,MATCH(E$7,'Inputs (2)'!$D$2:$AL$2,0)),"")</f>
        <v>5124</v>
      </c>
      <c r="F23" s="265">
        <f>IFERROR(INDEX('Inputs (2)'!$D$56:$AL$56,MATCH(F$7,'Inputs (2)'!$D$2:$AL$2,0)),"")</f>
        <v>5478</v>
      </c>
      <c r="G23" s="265">
        <f>IFERROR(INDEX('Inputs (2)'!$D$56:$AL$56,MATCH(G$7,'Inputs (2)'!$D$2:$AL$2,0)),"")</f>
        <v>6674</v>
      </c>
      <c r="H23" s="266">
        <f>IF(COUNT(D23:G23)=4,SUM(D23:G23),"")</f>
        <v>21711</v>
      </c>
      <c r="I23" s="265">
        <f>IFERROR(INDEX('Inputs (2)'!$D$56:$AL$56,MATCH(I$7,'Inputs (2)'!$D$2:$AL$2,0)),"")</f>
        <v>6494</v>
      </c>
      <c r="J23" s="265">
        <f>IFERROR(INDEX('Inputs (2)'!$D$56:$AL$56,MATCH(J$7,'Inputs (2)'!$D$2:$AL$2,0)),"")</f>
        <v>6623</v>
      </c>
      <c r="K23" s="265">
        <f>IFERROR(INDEX('Inputs (2)'!$D$56:$AL$56,MATCH(K$7,'Inputs (2)'!$D$2:$AL$2,0)),"")</f>
        <v>6754</v>
      </c>
      <c r="L23" s="265">
        <f>IFERROR(INDEX('Inputs (2)'!$D$56:$AL$56,MATCH(L$7,'Inputs (2)'!$D$2:$AL$2,0)),"")</f>
        <v>8161</v>
      </c>
      <c r="M23" s="266">
        <f>IF(COUNT(I23:L23)=4,SUM(I23:L23),"")</f>
        <v>28032</v>
      </c>
      <c r="N23" s="265">
        <f>IFERROR(INDEX('Inputs (2)'!$D$56:$AL$56,MATCH(N$7,'Inputs (2)'!$D$2:$AL$2,0)),"")</f>
        <v>6811</v>
      </c>
      <c r="O23" s="265">
        <f>IFERROR(INDEX('Inputs (2)'!$D$56:$AL$56,MATCH(O$7,'Inputs (2)'!$D$2:$AL$2,0)),"")</f>
        <v>6553</v>
      </c>
      <c r="P23" s="265">
        <f>IFERROR(INDEX('Inputs (2)'!$D$56:$AL$56,MATCH(P$7,'Inputs (2)'!$D$2:$AL$2,0)),"")</f>
        <v>6895</v>
      </c>
      <c r="Q23" s="265">
        <f>IFERROR(INDEX('Inputs (2)'!$D$56:$AL$56,MATCH(Q$7,'Inputs (2)'!$D$2:$AL$2,0)),"")</f>
        <v>8796</v>
      </c>
      <c r="R23" s="266">
        <f>IF(COUNT(N23:Q23)=4,SUM(N23:Q23),"")</f>
        <v>29055</v>
      </c>
      <c r="S23" s="265">
        <f>IFERROR(INDEX('Inputs (2)'!$D$56:$AL$56,MATCH(S$7,'Inputs (2)'!$D$2:$AL$2,0)),"")</f>
        <v>7413</v>
      </c>
      <c r="T23" s="265">
        <f>IFERROR(INDEX('Inputs (2)'!$D$56:$AL$56,MATCH(T$7,'Inputs (2)'!$D$2:$AL$2,0)),"")</f>
        <v>8142</v>
      </c>
      <c r="U23" s="265">
        <f>IFERROR(INDEX('Inputs (2)'!$D$56:$AL$56,MATCH(U$7,'Inputs (2)'!$D$2:$AL$2,0)),"")</f>
        <v>8339</v>
      </c>
      <c r="V23" s="265">
        <f>IFERROR(INDEX('Inputs (2)'!$D$56:$AL$56,MATCH(V$7,'Inputs (2)'!$D$2:$AL$2,0)),"")</f>
        <v>10794</v>
      </c>
      <c r="W23" s="266">
        <f>IF(COUNT(S23:V23)=4,SUM(S23:V23),"")</f>
        <v>34688</v>
      </c>
      <c r="X23" s="265">
        <f>IFERROR(INDEX('Inputs (2)'!$D$56:$AL$56,MATCH(X$7,'Inputs (2)'!$D$2:$AL$2,0)),"")</f>
        <v>8739</v>
      </c>
      <c r="Y23" s="265">
        <f>IFERROR(INDEX('Inputs (2)'!$D$56:$AL$56,MATCH(Y$7,'Inputs (2)'!$D$2:$AL$2,0)),"")</f>
        <v>9312</v>
      </c>
      <c r="Z23" s="265">
        <f>IFERROR(INDEX('Inputs (2)'!$D$56:$AL$56,MATCH(Z$7,'Inputs (2)'!$D$2:$AL$2,0)),"")</f>
        <v>10656</v>
      </c>
      <c r="AA23" s="265">
        <f>IFERROR(INDEX('Inputs (2)'!$D$56:$AL$56,MATCH(AA$7,'Inputs (2)'!$D$2:$AL$2,0)),"")</f>
        <v>11633</v>
      </c>
      <c r="AB23" s="266">
        <f>IF(COUNT(X23:AA23)=4,SUM(X23:AA23),"")</f>
        <v>40340</v>
      </c>
      <c r="AC23" s="265">
        <f>IFERROR(INDEX('Inputs (2)'!$D$56:$AL$56,MATCH(AC$7,'Inputs (2)'!$D$2:$AL$2,0)),"")</f>
        <v>10379</v>
      </c>
      <c r="AD23" s="265">
        <f>IFERROR(INDEX('Inputs (2)'!$D$56:$AL$56,MATCH(AD$7,'Inputs (2)'!$D$2:$AL$2,0)),"")</f>
        <v>11203</v>
      </c>
      <c r="AE23" s="265">
        <f>IFERROR(INDEX('Inputs (2)'!$D$56:$AL$56,MATCH(AE$7,'Inputs (2)'!$D$2:$AL$2,0)),"")</f>
        <v>12870</v>
      </c>
      <c r="AF23" s="265">
        <f>IFERROR(INDEX('Inputs (2)'!$D$56:$AL$56,MATCH(AF$7,'Inputs (2)'!$D$2:$AL$2,0)),"")</f>
        <v>13578</v>
      </c>
      <c r="AG23" s="266">
        <f>IF(COUNT(AC23:AF23)=4,SUM(AC23:AF23),"")</f>
        <v>48030</v>
      </c>
      <c r="AH23" s="266">
        <f>IFERROR(INDEX('Inputs (2)'!$D$56:$AL$56,MATCH(AH$7,'Inputs (2)'!$D$2:$AL$2,0)),"")</f>
        <v>12384</v>
      </c>
      <c r="AI23" s="266">
        <f>IFERROR(INDEX('Inputs (2)'!$D$56:$AL$56,MATCH(AI$7,'Inputs (2)'!$D$2:$AL$2,0)),"")</f>
        <v>12911</v>
      </c>
    </row>
    <row r="24">
      <c r="C24" s="14" t="inlineStr">
        <is>
          <t>Google Cloud</t>
        </is>
      </c>
      <c r="D24" s="265">
        <f>IFERROR(INDEX('Inputs (2)'!$D$58:$AL$58,MATCH(D$7,'Inputs (2)'!$D$2:$AL$2,0)),"")</f>
        <v>2777</v>
      </c>
      <c r="E24" s="265">
        <f>IFERROR(INDEX('Inputs (2)'!$D$58:$AL$58,MATCH(E$7,'Inputs (2)'!$D$2:$AL$2,0)),"")</f>
        <v>3007</v>
      </c>
      <c r="F24" s="265">
        <f>IFERROR(INDEX('Inputs (2)'!$D$58:$AL$58,MATCH(F$7,'Inputs (2)'!$D$2:$AL$2,0)),"")</f>
        <v>3444</v>
      </c>
      <c r="G24" s="265">
        <f>IFERROR(INDEX('Inputs (2)'!$D$58:$AL$58,MATCH(G$7,'Inputs (2)'!$D$2:$AL$2,0)),"")</f>
        <v>3831</v>
      </c>
      <c r="H24" s="266">
        <f>IF(COUNT(D24:G24)=4,SUM(D24:G24),"")</f>
        <v>13059</v>
      </c>
      <c r="I24" s="265">
        <f>IFERROR(INDEX('Inputs (2)'!$D$58:$AL$58,MATCH(I$7,'Inputs (2)'!$D$2:$AL$2,0)),"")</f>
        <v>4047</v>
      </c>
      <c r="J24" s="265">
        <f>IFERROR(INDEX('Inputs (2)'!$D$58:$AL$58,MATCH(J$7,'Inputs (2)'!$D$2:$AL$2,0)),"")</f>
        <v>4628</v>
      </c>
      <c r="K24" s="265">
        <f>IFERROR(INDEX('Inputs (2)'!$D$58:$AL$58,MATCH(K$7,'Inputs (2)'!$D$2:$AL$2,0)),"")</f>
        <v>4990</v>
      </c>
      <c r="L24" s="265">
        <f>IFERROR(INDEX('Inputs (2)'!$D$58:$AL$58,MATCH(L$7,'Inputs (2)'!$D$2:$AL$2,0)),"")</f>
        <v>5541</v>
      </c>
      <c r="M24" s="266">
        <f>IF(COUNT(I24:L24)=4,SUM(I24:L24),"")</f>
        <v>19206</v>
      </c>
      <c r="N24" s="265">
        <f>IFERROR(INDEX('Inputs (2)'!$D$58:$AL$58,MATCH(N$7,'Inputs (2)'!$D$2:$AL$2,0)),"")</f>
        <v>5821</v>
      </c>
      <c r="O24" s="265">
        <f>IFERROR(INDEX('Inputs (2)'!$D$58:$AL$58,MATCH(O$7,'Inputs (2)'!$D$2:$AL$2,0)),"")</f>
        <v>6276</v>
      </c>
      <c r="P24" s="265">
        <f>IFERROR(INDEX('Inputs (2)'!$D$58:$AL$58,MATCH(P$7,'Inputs (2)'!$D$2:$AL$2,0)),"")</f>
        <v>6868</v>
      </c>
      <c r="Q24" s="265">
        <f>IFERROR(INDEX('Inputs (2)'!$D$58:$AL$58,MATCH(Q$7,'Inputs (2)'!$D$2:$AL$2,0)),"")</f>
        <v>7315</v>
      </c>
      <c r="R24" s="266">
        <f>IF(COUNT(N24:Q24)=4,SUM(N24:Q24),"")</f>
        <v>26280</v>
      </c>
      <c r="S24" s="265">
        <f>IFERROR(INDEX('Inputs (2)'!$D$58:$AL$58,MATCH(S$7,'Inputs (2)'!$D$2:$AL$2,0)),"")</f>
        <v>7454</v>
      </c>
      <c r="T24" s="265">
        <f>IFERROR(INDEX('Inputs (2)'!$D$58:$AL$58,MATCH(T$7,'Inputs (2)'!$D$2:$AL$2,0)),"")</f>
        <v>8031</v>
      </c>
      <c r="U24" s="265">
        <f>IFERROR(INDEX('Inputs (2)'!$D$58:$AL$58,MATCH(U$7,'Inputs (2)'!$D$2:$AL$2,0)),"")</f>
        <v>8411</v>
      </c>
      <c r="V24" s="265">
        <f>IFERROR(INDEX('Inputs (2)'!$D$58:$AL$58,MATCH(V$7,'Inputs (2)'!$D$2:$AL$2,0)),"")</f>
        <v>9192</v>
      </c>
      <c r="W24" s="266">
        <f>IF(COUNT(S24:V24)=4,SUM(S24:V24),"")</f>
        <v>33088</v>
      </c>
      <c r="X24" s="265">
        <f>IFERROR(INDEX('Inputs (2)'!$D$58:$AL$58,MATCH(X$7,'Inputs (2)'!$D$2:$AL$2,0)),"")</f>
        <v>9574</v>
      </c>
      <c r="Y24" s="265">
        <f>IFERROR(INDEX('Inputs (2)'!$D$58:$AL$58,MATCH(Y$7,'Inputs (2)'!$D$2:$AL$2,0)),"")</f>
        <v>10347</v>
      </c>
      <c r="Z24" s="265">
        <f>IFERROR(INDEX('Inputs (2)'!$D$58:$AL$58,MATCH(Z$7,'Inputs (2)'!$D$2:$AL$2,0)),"")</f>
        <v>11353</v>
      </c>
      <c r="AA24" s="265">
        <f>IFERROR(INDEX('Inputs (2)'!$D$58:$AL$58,MATCH(AA$7,'Inputs (2)'!$D$2:$AL$2,0)),"")</f>
        <v>11955</v>
      </c>
      <c r="AB24" s="266">
        <f>IF(COUNT(X24:AA24)=4,SUM(X24:AA24),"")</f>
        <v>43229</v>
      </c>
      <c r="AC24" s="265">
        <f>IFERROR(INDEX('Inputs (2)'!$D$58:$AL$58,MATCH(AC$7,'Inputs (2)'!$D$2:$AL$2,0)),"")</f>
        <v>12260</v>
      </c>
      <c r="AD24" s="265">
        <f>IFERROR(INDEX('Inputs (2)'!$D$58:$AL$58,MATCH(AD$7,'Inputs (2)'!$D$2:$AL$2,0)),"")</f>
        <v>13624</v>
      </c>
      <c r="AE24" s="265">
        <f>IFERROR(INDEX('Inputs (2)'!$D$58:$AL$58,MATCH(AE$7,'Inputs (2)'!$D$2:$AL$2,0)),"")</f>
        <v>15157</v>
      </c>
      <c r="AF24" s="265">
        <f>IFERROR(INDEX('Inputs (2)'!$D$58:$AL$58,MATCH(AF$7,'Inputs (2)'!$D$2:$AL$2,0)),"")</f>
        <v>17664</v>
      </c>
      <c r="AG24" s="266">
        <f>IF(COUNT(AC24:AF24)=4,SUM(AC24:AF24),"")</f>
        <v>58705</v>
      </c>
      <c r="AH24" s="266">
        <f>IFERROR(INDEX('Inputs (2)'!$D$58:$AL$58,MATCH(AH$7,'Inputs (2)'!$D$2:$AL$2,0)),"")</f>
        <v>20028</v>
      </c>
      <c r="AI24" s="266">
        <f>IFERROR(INDEX('Inputs (2)'!$D$58:$AL$58,MATCH(AI$7,'Inputs (2)'!$D$2:$AL$2,0)),"")</f>
        <v>24768</v>
      </c>
    </row>
    <row r="25">
      <c r="C25" s="14" t="inlineStr">
        <is>
          <t>Other Bets</t>
        </is>
      </c>
      <c r="D25" s="265">
        <f>IFERROR(INDEX('Inputs (2)'!$D$59:$AL$59,MATCH(D$7,'Inputs (2)'!$D$2:$AL$2,0)),"")</f>
        <v>135</v>
      </c>
      <c r="E25" s="265">
        <f>IFERROR(INDEX('Inputs (2)'!$D$59:$AL$59,MATCH(E$7,'Inputs (2)'!$D$2:$AL$2,0)),"")</f>
        <v>148</v>
      </c>
      <c r="F25" s="265">
        <f>IFERROR(INDEX('Inputs (2)'!$D$59:$AL$59,MATCH(F$7,'Inputs (2)'!$D$2:$AL$2,0)),"")</f>
        <v>178</v>
      </c>
      <c r="G25" s="265">
        <f>IFERROR(INDEX('Inputs (2)'!$D$59:$AL$59,MATCH(G$7,'Inputs (2)'!$D$2:$AL$2,0)),"")</f>
        <v>196</v>
      </c>
      <c r="H25" s="266">
        <f>IF(COUNT(D25:G25)=4,SUM(D25:G25),"")</f>
        <v>657</v>
      </c>
      <c r="I25" s="265">
        <f>IFERROR(INDEX('Inputs (2)'!$D$59:$AL$59,MATCH(I$7,'Inputs (2)'!$D$2:$AL$2,0)),"")</f>
        <v>198</v>
      </c>
      <c r="J25" s="265">
        <f>IFERROR(INDEX('Inputs (2)'!$D$59:$AL$59,MATCH(J$7,'Inputs (2)'!$D$2:$AL$2,0)),"")</f>
        <v>192</v>
      </c>
      <c r="K25" s="265">
        <f>IFERROR(INDEX('Inputs (2)'!$D$59:$AL$59,MATCH(K$7,'Inputs (2)'!$D$2:$AL$2,0)),"")</f>
        <v>182</v>
      </c>
      <c r="L25" s="265">
        <f>IFERROR(INDEX('Inputs (2)'!$D$59:$AL$59,MATCH(L$7,'Inputs (2)'!$D$2:$AL$2,0)),"")</f>
        <v>181</v>
      </c>
      <c r="M25" s="266">
        <f>IF(COUNT(I25:L25)=4,SUM(I25:L25),"")</f>
        <v>753</v>
      </c>
      <c r="N25" s="265">
        <f>IFERROR(INDEX('Inputs (2)'!$D$59:$AL$59,MATCH(N$7,'Inputs (2)'!$D$2:$AL$2,0)),"")</f>
        <v>440</v>
      </c>
      <c r="O25" s="265">
        <f>IFERROR(INDEX('Inputs (2)'!$D$59:$AL$59,MATCH(O$7,'Inputs (2)'!$D$2:$AL$2,0)),"")</f>
        <v>193</v>
      </c>
      <c r="P25" s="265">
        <f>IFERROR(INDEX('Inputs (2)'!$D$59:$AL$59,MATCH(P$7,'Inputs (2)'!$D$2:$AL$2,0)),"")</f>
        <v>209</v>
      </c>
      <c r="Q25" s="265">
        <f>IFERROR(INDEX('Inputs (2)'!$D$59:$AL$59,MATCH(Q$7,'Inputs (2)'!$D$2:$AL$2,0)),"")</f>
        <v>226</v>
      </c>
      <c r="R25" s="266">
        <f>IF(COUNT(N25:Q25)=4,SUM(N25:Q25),"")</f>
        <v>1068</v>
      </c>
      <c r="S25" s="265">
        <f>IFERROR(INDEX('Inputs (2)'!$D$59:$AL$59,MATCH(S$7,'Inputs (2)'!$D$2:$AL$2,0)),"")</f>
        <v>288</v>
      </c>
      <c r="T25" s="265">
        <f>IFERROR(INDEX('Inputs (2)'!$D$59:$AL$59,MATCH(T$7,'Inputs (2)'!$D$2:$AL$2,0)),"")</f>
        <v>285</v>
      </c>
      <c r="U25" s="265">
        <f>IFERROR(INDEX('Inputs (2)'!$D$59:$AL$59,MATCH(U$7,'Inputs (2)'!$D$2:$AL$2,0)),"")</f>
        <v>297</v>
      </c>
      <c r="V25" s="265">
        <f>IFERROR(INDEX('Inputs (2)'!$D$59:$AL$59,MATCH(V$7,'Inputs (2)'!$D$2:$AL$2,0)),"")</f>
        <v>657</v>
      </c>
      <c r="W25" s="266">
        <f>IF(COUNT(S25:V25)=4,SUM(S25:V25),"")</f>
        <v>1527</v>
      </c>
      <c r="X25" s="265">
        <f>IFERROR(INDEX('Inputs (2)'!$D$59:$AL$59,MATCH(X$7,'Inputs (2)'!$D$2:$AL$2,0)),"")</f>
        <v>495</v>
      </c>
      <c r="Y25" s="265">
        <f>IFERROR(INDEX('Inputs (2)'!$D$59:$AL$59,MATCH(Y$7,'Inputs (2)'!$D$2:$AL$2,0)),"")</f>
        <v>365</v>
      </c>
      <c r="Z25" s="265">
        <f>IFERROR(INDEX('Inputs (2)'!$D$59:$AL$59,MATCH(Z$7,'Inputs (2)'!$D$2:$AL$2,0)),"")</f>
        <v>388</v>
      </c>
      <c r="AA25" s="265">
        <f>IFERROR(INDEX('Inputs (2)'!$D$59:$AL$59,MATCH(AA$7,'Inputs (2)'!$D$2:$AL$2,0)),"")</f>
        <v>400</v>
      </c>
      <c r="AB25" s="266">
        <f>IF(COUNT(X25:AA25)=4,SUM(X25:AA25),"")</f>
        <v>1648</v>
      </c>
      <c r="AC25" s="265">
        <f>IFERROR(INDEX('Inputs (2)'!$D$59:$AL$59,MATCH(AC$7,'Inputs (2)'!$D$2:$AL$2,0)),"")</f>
        <v>450</v>
      </c>
      <c r="AD25" s="265">
        <f>IFERROR(INDEX('Inputs (2)'!$D$59:$AL$59,MATCH(AD$7,'Inputs (2)'!$D$2:$AL$2,0)),"")</f>
        <v>373</v>
      </c>
      <c r="AE25" s="265">
        <f>IFERROR(INDEX('Inputs (2)'!$D$59:$AL$59,MATCH(AE$7,'Inputs (2)'!$D$2:$AL$2,0)),"")</f>
        <v>344</v>
      </c>
      <c r="AF25" s="265">
        <f>IFERROR(INDEX('Inputs (2)'!$D$59:$AL$59,MATCH(AF$7,'Inputs (2)'!$D$2:$AL$2,0)),"")</f>
        <v>370</v>
      </c>
      <c r="AG25" s="266">
        <f>IF(COUNT(AC25:AF25)=4,SUM(AC25:AF25),"")</f>
        <v>1537</v>
      </c>
      <c r="AH25" s="266">
        <f>IFERROR(INDEX('Inputs (2)'!$D$59:$AL$59,MATCH(AH$7,'Inputs (2)'!$D$2:$AL$2,0)),"")</f>
        <v>411</v>
      </c>
      <c r="AI25" s="266">
        <f>IFERROR(INDEX('Inputs (2)'!$D$59:$AL$59,MATCH(AI$7,'Inputs (2)'!$D$2:$AL$2,0)),"")</f>
        <v>382</v>
      </c>
    </row>
    <row r="26">
      <c r="C26" s="267" t="inlineStr">
        <is>
          <t>Receita (soma dos tipos; a diferença para a linha 15 são os ganhos de hedge)</t>
        </is>
      </c>
      <c r="D26" s="265">
        <f>IF(COUNT(D22,D23,D24,D25)=0,"",N(D22)+N(D23)+N(D24)+N(D25))</f>
        <v>41110</v>
      </c>
      <c r="E26" s="265">
        <f>IF(COUNT(E22,E23,E24,E25)=0,"",N(E22)+N(E23)+N(E24)+N(E25))</f>
        <v>38146</v>
      </c>
      <c r="F26" s="265">
        <f>IF(COUNT(F22,F23,F24,F25)=0,"",N(F22)+N(F23)+N(F24)+N(F25))</f>
        <v>46195</v>
      </c>
      <c r="G26" s="265">
        <f>IF(COUNT(G22,G23,G24,G25)=0,"",N(G22)+N(G23)+N(G24)+N(G25))</f>
        <v>56900</v>
      </c>
      <c r="H26" s="266">
        <f>IF(COUNT(H22,H23,H24,H25)=0,"",N(H22)+N(H23)+N(H24)+N(H25))</f>
        <v>182351</v>
      </c>
      <c r="I26" s="265">
        <f>IF(COUNT(I22,I23,I24,I25)=0,"",N(I22)+N(I23)+N(I24)+N(I25))</f>
        <v>55423</v>
      </c>
      <c r="J26" s="265">
        <f>IF(COUNT(J22,J23,J24,J25)=0,"",N(J22)+N(J23)+N(J24)+N(J25))</f>
        <v>61887</v>
      </c>
      <c r="K26" s="265">
        <f>IF(COUNT(K22,K23,K24,K25)=0,"",N(K22)+N(K23)+N(K24)+N(K25))</f>
        <v>65056</v>
      </c>
      <c r="L26" s="265">
        <f>IF(COUNT(L22,L23,L24,L25)=0,"",N(L22)+N(L23)+N(L24)+N(L25))</f>
        <v>75122</v>
      </c>
      <c r="M26" s="266">
        <f>IF(COUNT(M22,M23,M24,M25)=0,"",N(M22)+N(M23)+N(M24)+N(M25))</f>
        <v>257488</v>
      </c>
      <c r="N26" s="265">
        <f>IF(COUNT(N22,N23,N24,N25)=0,"",N(N22)+N(N23)+N(N24)+N(N25))</f>
        <v>67733</v>
      </c>
      <c r="O26" s="265">
        <f>IF(COUNT(O22,O23,O24,O25)=0,"",N(O22)+N(O23)+N(O24)+N(O25))</f>
        <v>69310</v>
      </c>
      <c r="P26" s="265">
        <f>IF(COUNT(P22,P23,P24,P25)=0,"",N(P22)+N(P23)+N(P24)+N(P25))</f>
        <v>68454</v>
      </c>
      <c r="Q26" s="265">
        <f>IF(COUNT(Q22,Q23,Q24,Q25)=0,"",N(Q22)+N(Q23)+N(Q24)+N(Q25))</f>
        <v>75379</v>
      </c>
      <c r="R26" s="266">
        <f>IF(COUNT(R22,R23,R24,R25)=0,"",N(R22)+N(R23)+N(R24)+N(R25))</f>
        <v>280876</v>
      </c>
      <c r="S26" s="265">
        <f>IF(COUNT(S22,S23,S24,S25)=0,"",N(S22)+N(S23)+N(S24)+N(S25))</f>
        <v>69703</v>
      </c>
      <c r="T26" s="265">
        <f>IF(COUNT(T22,T23,T24,T25)=0,"",N(T22)+N(T23)+N(T24)+N(T25))</f>
        <v>74601</v>
      </c>
      <c r="U26" s="265">
        <f>IF(COUNT(U22,U23,U24,U25)=0,"",N(U22)+N(U23)+N(U24)+N(U25))</f>
        <v>76694</v>
      </c>
      <c r="V26" s="265">
        <f>IF(COUNT(V22,V23,V24,V25)=0,"",N(V22)+N(V23)+N(V24)+N(V25))</f>
        <v>86160</v>
      </c>
      <c r="W26" s="266">
        <f>IF(COUNT(W22,W23,W24,W25)=0,"",N(W22)+N(W23)+N(W24)+N(W25))</f>
        <v>307158</v>
      </c>
      <c r="X26" s="265">
        <f>IF(COUNT(X22,X23,X24,X25)=0,"",N(X22)+N(X23)+N(X24)+N(X25))</f>
        <v>80467</v>
      </c>
      <c r="Y26" s="265">
        <f>IF(COUNT(Y22,Y23,Y24,Y25)=0,"",N(Y22)+N(Y23)+N(Y24)+N(Y25))</f>
        <v>84640</v>
      </c>
      <c r="Z26" s="265">
        <f>IF(COUNT(Z22,Z23,Z24,Z25)=0,"",N(Z22)+N(Z23)+N(Z24)+N(Z25))</f>
        <v>88251</v>
      </c>
      <c r="AA26" s="265">
        <f>IF(COUNT(AA22,AA23,AA24,AA25)=0,"",N(AA22)+N(AA23)+N(AA24)+N(AA25))</f>
        <v>96449</v>
      </c>
      <c r="AB26" s="266">
        <f>IF(COUNT(AB22,AB23,AB24,AB25)=0,"",N(AB22)+N(AB23)+N(AB24)+N(AB25))</f>
        <v>349807</v>
      </c>
      <c r="AC26" s="265">
        <f>IF(COUNT(AC22,AC23,AC24,AC25)=0,"",N(AC22)+N(AC23)+N(AC24)+N(AC25))</f>
        <v>89974</v>
      </c>
      <c r="AD26" s="265">
        <f>IF(COUNT(AD22,AD23,AD24,AD25)=0,"",N(AD22)+N(AD23)+N(AD24)+N(AD25))</f>
        <v>96540</v>
      </c>
      <c r="AE26" s="265">
        <f>IF(COUNT(AE22,AE23,AE24,AE25)=0,"",N(AE22)+N(AE23)+N(AE24)+N(AE25))</f>
        <v>102553</v>
      </c>
      <c r="AF26" s="265">
        <f>IF(COUNT(AF22,AF23,AF24,AF25)=0,"",N(AF22)+N(AF23)+N(AF24)+N(AF25))</f>
        <v>113896</v>
      </c>
      <c r="AG26" s="266">
        <f>IF(COUNT(AG22,AG23,AG24,AG25)=0,"",N(AG22)+N(AG23)+N(AG24)+N(AG25))</f>
        <v>402963</v>
      </c>
      <c r="AH26" s="266">
        <f>IF(COUNT(AH22,AH23,AH24,AH25)=0,"",N(AH22)+N(AH23)+N(AH24)+N(AH25))</f>
        <v>110076</v>
      </c>
      <c r="AI26" s="266">
        <f>IF(COUNT(AI22,AI23,AI24,AI25)=0,"",N(AI22)+N(AI23)+N(AI24)+N(AI25))</f>
        <v>119690</v>
      </c>
    </row>
    <row r="27">
      <c r="C27" s="14" t="inlineStr">
        <is>
          <t>Hedge / diferença vs Net Revenues (linha 15)</t>
        </is>
      </c>
      <c r="D27" s="265">
        <f>IF(COUNT(D26)=0,"",ROUND(D15-D26,1))</f>
        <v>49</v>
      </c>
      <c r="E27" s="265">
        <f>IF(COUNT(E26)=0,"",ROUND(E15-E26,1))</f>
        <v>151</v>
      </c>
      <c r="F27" s="265">
        <f>IF(COUNT(F26)=0,"",ROUND(F15-F26,1))</f>
        <v>-22</v>
      </c>
      <c r="G27" s="265">
        <f>IF(COUNT(G26)=0,"",ROUND(G15-G26,1))</f>
        <v>-2</v>
      </c>
      <c r="H27" s="266">
        <f>IF(COUNT(H26)=0,"",ROUND(H15-H26,1))</f>
        <v>176</v>
      </c>
      <c r="I27" s="265">
        <f>IF(COUNT(I26)=0,"",ROUND(I15-I26,1))</f>
        <v>-109</v>
      </c>
      <c r="J27" s="265">
        <f>IF(COUNT(J26)=0,"",ROUND(J15-J26,1))</f>
        <v>-7</v>
      </c>
      <c r="K27" s="265">
        <f>IF(COUNT(K26)=0,"",ROUND(K15-K26,1))</f>
        <v>62</v>
      </c>
      <c r="L27" s="265">
        <f>IF(COUNT(L26)=0,"",ROUND(L15-L26,1))</f>
        <v>203</v>
      </c>
      <c r="M27" s="266">
        <f>IF(COUNT(M26)=0,"",ROUND(M15-M26,1))</f>
        <v>149</v>
      </c>
      <c r="N27" s="265">
        <f>IF(COUNT(N26)=0,"",ROUND(N15-N26,1))</f>
        <v>278</v>
      </c>
      <c r="O27" s="265">
        <f>IF(COUNT(O26)=0,"",ROUND(O15-O26,1))</f>
        <v>375</v>
      </c>
      <c r="P27" s="265">
        <f>IF(COUNT(P26)=0,"",ROUND(P15-P26,1))</f>
        <v>638</v>
      </c>
      <c r="Q27" s="265">
        <f>IF(COUNT(Q26)=0,"",ROUND(Q15-Q26,1))</f>
        <v>669</v>
      </c>
      <c r="R27" s="266">
        <f>IF(COUNT(R26)=0,"",ROUND(R15-R26,1))</f>
        <v>1960</v>
      </c>
      <c r="S27" s="265">
        <f>IF(COUNT(S26)=0,"",ROUND(S15-S26,1))</f>
        <v>84</v>
      </c>
      <c r="T27" s="265">
        <f>IF(COUNT(T26)=0,"",ROUND(T15-T26,1))</f>
        <v>3</v>
      </c>
      <c r="U27" s="265">
        <f>IF(COUNT(U26)=0,"",ROUND(U15-U26,1))</f>
        <v>-1</v>
      </c>
      <c r="V27" s="265">
        <f>IF(COUNT(V26)=0,"",ROUND(V15-V26,1))</f>
        <v>150</v>
      </c>
      <c r="W27" s="266">
        <f>IF(COUNT(W26)=0,"",ROUND(W15-W26,1))</f>
        <v>236</v>
      </c>
      <c r="X27" s="265">
        <f>IF(COUNT(X26)=0,"",ROUND(X15-X26,1))</f>
        <v>72</v>
      </c>
      <c r="Y27" s="265">
        <f>IF(COUNT(Y26)=0,"",ROUND(Y15-Y26,1))</f>
        <v>102</v>
      </c>
      <c r="Z27" s="265">
        <f>IF(COUNT(Z26)=0,"",ROUND(Z15-Z26,1))</f>
        <v>17</v>
      </c>
      <c r="AA27" s="265">
        <f>IF(COUNT(AA26)=0,"",ROUND(AA15-AA26,1))</f>
        <v>20</v>
      </c>
      <c r="AB27" s="266">
        <f>IF(COUNT(AB26)=0,"",ROUND(AB15-AB26,1))</f>
        <v>211</v>
      </c>
      <c r="AC27" s="265">
        <f>IF(COUNT(AC26)=0,"",ROUND(AC15-AC26,1))</f>
        <v>260</v>
      </c>
      <c r="AD27" s="265">
        <f>IF(COUNT(AD26)=0,"",ROUND(AD15-AD26,1))</f>
        <v>-112</v>
      </c>
      <c r="AE27" s="265">
        <f>IF(COUNT(AE26)=0,"",ROUND(AE15-AE26,1))</f>
        <v>-207</v>
      </c>
      <c r="AF27" s="265">
        <f>IF(COUNT(AF26)=0,"",ROUND(AF15-AF26,1))</f>
        <v>-67</v>
      </c>
      <c r="AG27" s="266">
        <f>IF(COUNT(AG26)=0,"",ROUND(AG15-AG26,1))</f>
        <v>-126</v>
      </c>
      <c r="AH27" s="266">
        <f>IF(COUNT(AH26)=0,"",ROUND(AH15-AH26,1))</f>
        <v>-180</v>
      </c>
      <c r="AI27" s="266">
        <f>IF(COUNT(AI26)=0,"",ROUND(AI15-AI26,1))</f>
        <v>106</v>
      </c>
    </row>
    <row r="28">
      <c r="C28" s="14" t="inlineStr">
        <is>
          <t xml:space="preserve">   % YoY Search</t>
        </is>
      </c>
      <c r="D28" s="268" t="str">
        <f>""</f>
        <v/>
      </c>
      <c r="E28" s="268" t="str">
        <f>""</f>
        <v/>
      </c>
      <c r="F28" s="268" t="str">
        <f>""</f>
        <v/>
      </c>
      <c r="G28" s="268" t="str">
        <f>""</f>
        <v/>
      </c>
      <c r="H28" s="269" t="str">
        <f>""</f>
        <v/>
      </c>
      <c r="I28" s="268">
        <f>IFERROR(I19/D19-1,"")</f>
        <v>0.30107746306424</v>
      </c>
      <c r="J28" s="268">
        <f>IFERROR(J19/E19-1,"")</f>
        <v>0.681364041465359</v>
      </c>
      <c r="K28" s="268">
        <f>IFERROR(K19/F19-1,"")</f>
        <v>0.439972663072367</v>
      </c>
      <c r="L28" s="268">
        <f>IFERROR(L19/G19-1,"")</f>
        <v>0.357270476130771</v>
      </c>
      <c r="M28" s="269">
        <f>IFERROR(M19/H19-1,"")</f>
        <v>0.431367838404028</v>
      </c>
      <c r="N28" s="268">
        <f>IFERROR(N19/I19-1,"")</f>
        <v>0.242761692650334</v>
      </c>
      <c r="O28" s="268">
        <f>IFERROR(O19/J19-1,"")</f>
        <v>0.135137397126517</v>
      </c>
      <c r="P28" s="268">
        <f>IFERROR(P19/K19-1,"")</f>
        <v>0.042530190370722</v>
      </c>
      <c r="Q28" s="268">
        <f>IFERROR(Q19/L19-1,"")</f>
        <v>-0.0160966259439735</v>
      </c>
      <c r="R28" s="269">
        <f>IFERROR(R19/M19-1,"")</f>
        <v>0.0906271189854382</v>
      </c>
      <c r="S28" s="268">
        <f>IFERROR(S19/N19-1,"")</f>
        <v>0.0187036195668635</v>
      </c>
      <c r="T28" s="268">
        <f>IFERROR(T19/O19-1,"")</f>
        <v>0.0476541571432083</v>
      </c>
      <c r="U28" s="268">
        <f>IFERROR(U19/P19-1,"")</f>
        <v>0.113482890310832</v>
      </c>
      <c r="V28" s="268">
        <f>IFERROR(V19/Q19-1,"")</f>
        <v>0.127124213688856</v>
      </c>
      <c r="W28" s="269">
        <f>IFERROR(W19/R19-1,"")</f>
        <v>0.0774576792859341</v>
      </c>
      <c r="X28" s="268">
        <f>IFERROR(X19/S19-1,"")</f>
        <v>0.143635868083947</v>
      </c>
      <c r="Y28" s="268">
        <f>IFERROR(Y19/T19-1,"")</f>
        <v>0.137960964624191</v>
      </c>
      <c r="Z28" s="268">
        <f>IFERROR(Z19/U19-1,"")</f>
        <v>0.121723527006769</v>
      </c>
      <c r="AA28" s="268">
        <f>IFERROR(AA19/V19-1,"")</f>
        <v>0.125239483548522</v>
      </c>
      <c r="AB28" s="269">
        <f>IFERROR(AB19/W19-1,"")</f>
        <v>0.131695166054401</v>
      </c>
      <c r="AC28" s="268">
        <f>IFERROR(AC19/X19-1,"")</f>
        <v>0.0984920703700494</v>
      </c>
      <c r="AD28" s="268">
        <f>IFERROR(AD19/Y19-1,"")</f>
        <v>0.11711228844132</v>
      </c>
      <c r="AE28" s="268">
        <f>IFERROR(AE19/Z19-1,"")</f>
        <v>0.145428773919206</v>
      </c>
      <c r="AF28" s="268">
        <f>IFERROR(AF19/AA19-1,"")</f>
        <v>0.167283562201577</v>
      </c>
      <c r="AG28" s="269">
        <f>IFERROR(AG19/AB19-1,"")</f>
        <v>0.133519113103532</v>
      </c>
      <c r="AH28" s="269">
        <f>IFERROR(AH19/AC19-1,"")</f>
        <v>0.191254782848803</v>
      </c>
      <c r="AI28" s="269">
        <f>IFERROR(AI19/AD19-1,"")</f>
        <v>0.167577043735006</v>
      </c>
    </row>
    <row r="29">
      <c r="C29" s="14" t="inlineStr">
        <is>
          <t xml:space="preserve">   % YoY YouTube ads</t>
        </is>
      </c>
      <c r="D29" s="268" t="str">
        <f>""</f>
        <v/>
      </c>
      <c r="E29" s="268" t="str">
        <f>""</f>
        <v/>
      </c>
      <c r="F29" s="268" t="str">
        <f>""</f>
        <v/>
      </c>
      <c r="G29" s="268" t="str">
        <f>""</f>
        <v/>
      </c>
      <c r="H29" s="269" t="str">
        <f>""</f>
        <v/>
      </c>
      <c r="I29" s="268">
        <f>IFERROR(I20/D20-1,"")</f>
        <v>0.487122337790986</v>
      </c>
      <c r="J29" s="268">
        <f>IFERROR(J20/E20-1,"")</f>
        <v>0.836831059811123</v>
      </c>
      <c r="K29" s="268">
        <f>IFERROR(K20/F20-1,"")</f>
        <v>0.430414929521541</v>
      </c>
      <c r="L29" s="268">
        <f>IFERROR(L20/G20-1,"")</f>
        <v>0.253885257806826</v>
      </c>
      <c r="M29" s="269">
        <f>IFERROR(M20/H20-1,"")</f>
        <v>0.458881246206757</v>
      </c>
      <c r="N29" s="268">
        <f>IFERROR(N20/I20-1,"")</f>
        <v>0.143880099916736</v>
      </c>
      <c r="O29" s="268">
        <f>IFERROR(O20/J20-1,"")</f>
        <v>0.048271922307912</v>
      </c>
      <c r="P29" s="268">
        <f>IFERROR(P20/K20-1,"")</f>
        <v>-0.0185981956974324</v>
      </c>
      <c r="Q29" s="268">
        <f>IFERROR(Q20/L20-1,"")</f>
        <v>-0.0776091740993861</v>
      </c>
      <c r="R29" s="269">
        <f>IFERROR(R20/M20-1,"")</f>
        <v>0.0137978852487433</v>
      </c>
      <c r="S29" s="268">
        <f>IFERROR(S20/N20-1,"")</f>
        <v>-0.0256223613335275</v>
      </c>
      <c r="T29" s="268">
        <f>IFERROR(T20/O20-1,"")</f>
        <v>0.0442779291553133</v>
      </c>
      <c r="U29" s="268">
        <f>IFERROR(U20/P20-1,"")</f>
        <v>0.124593409701598</v>
      </c>
      <c r="V29" s="268">
        <f>IFERROR(V20/Q20-1,"")</f>
        <v>0.155343463518774</v>
      </c>
      <c r="W29" s="269">
        <f>IFERROR(W20/R20-1,"")</f>
        <v>0.077522825975447</v>
      </c>
      <c r="X29" s="268">
        <f>IFERROR(X20/S20-1,"")</f>
        <v>0.208725534140146</v>
      </c>
      <c r="Y29" s="268">
        <f>IFERROR(Y20/T20-1,"")</f>
        <v>0.130202217873451</v>
      </c>
      <c r="Z29" s="268">
        <f>IFERROR(Z20/U20-1,"")</f>
        <v>0.121856136820925</v>
      </c>
      <c r="AA29" s="268">
        <f>IFERROR(AA20/V20-1,"")</f>
        <v>0.138369565217391</v>
      </c>
      <c r="AB29" s="269">
        <f>IFERROR(AB20/W20-1,"")</f>
        <v>0.147159631862901</v>
      </c>
      <c r="AC29" s="268">
        <f>IFERROR(AC20/X20-1,"")</f>
        <v>0.103461063040791</v>
      </c>
      <c r="AD29" s="268">
        <f>IFERROR(AD20/Y20-1,"")</f>
        <v>0.130786101812305</v>
      </c>
      <c r="AE29" s="268">
        <f>IFERROR(AE20/Z20-1,"")</f>
        <v>0.150207375854725</v>
      </c>
      <c r="AF29" s="268">
        <f>IFERROR(AF20/AA20-1,"")</f>
        <v>0.0868900983481333</v>
      </c>
      <c r="AG29" s="269">
        <f>IFERROR(AG20/AB20-1,"")</f>
        <v>0.116745511384071</v>
      </c>
      <c r="AH29" s="269">
        <f>IFERROR(AH20/AC20-1,"")</f>
        <v>0.107090847989246</v>
      </c>
      <c r="AI29" s="269">
        <f>IFERROR(AI20/AD20-1,"")</f>
        <v>0.128521845651286</v>
      </c>
    </row>
    <row r="30">
      <c r="C30" s="14" t="inlineStr">
        <is>
          <t xml:space="preserve">   % YoY Google Cloud</t>
        </is>
      </c>
      <c r="D30" s="268" t="str">
        <f>""</f>
        <v/>
      </c>
      <c r="E30" s="268" t="str">
        <f>""</f>
        <v/>
      </c>
      <c r="F30" s="268" t="str">
        <f>""</f>
        <v/>
      </c>
      <c r="G30" s="268" t="str">
        <f>""</f>
        <v/>
      </c>
      <c r="H30" s="269" t="str">
        <f>""</f>
        <v/>
      </c>
      <c r="I30" s="268">
        <f>IFERROR(I24/D24-1,"")</f>
        <v>0.457328051854519</v>
      </c>
      <c r="J30" s="268">
        <f>IFERROR(J24/E24-1,"")</f>
        <v>0.539075490522115</v>
      </c>
      <c r="K30" s="268">
        <f>IFERROR(K24/F24-1,"")</f>
        <v>0.448896631823461</v>
      </c>
      <c r="L30" s="268">
        <f>IFERROR(L24/G24-1,"")</f>
        <v>0.446358653093187</v>
      </c>
      <c r="M30" s="269">
        <f>IFERROR(M24/H24-1,"")</f>
        <v>0.470709855272226</v>
      </c>
      <c r="N30" s="268">
        <f>IFERROR(N24/I24-1,"")</f>
        <v>0.438349394613294</v>
      </c>
      <c r="O30" s="268">
        <f>IFERROR(O24/J24-1,"")</f>
        <v>0.35609334485739</v>
      </c>
      <c r="P30" s="268">
        <f>IFERROR(P24/K24-1,"")</f>
        <v>0.376352705410822</v>
      </c>
      <c r="Q30" s="268">
        <f>IFERROR(Q24/L24-1,"")</f>
        <v>0.320158816098177</v>
      </c>
      <c r="R30" s="269">
        <f>IFERROR(R24/M24-1,"")</f>
        <v>0.368322399250234</v>
      </c>
      <c r="S30" s="268">
        <f>IFERROR(S24/N24-1,"")</f>
        <v>0.28053599037966</v>
      </c>
      <c r="T30" s="268">
        <f>IFERROR(T24/O24-1,"")</f>
        <v>0.279636711281071</v>
      </c>
      <c r="U30" s="268">
        <f>IFERROR(U24/P24-1,"")</f>
        <v>0.22466511357018</v>
      </c>
      <c r="V30" s="268">
        <f>IFERROR(V24/Q24-1,"")</f>
        <v>0.256596035543404</v>
      </c>
      <c r="W30" s="269">
        <f>IFERROR(W24/R24-1,"")</f>
        <v>0.259056316590563</v>
      </c>
      <c r="X30" s="268">
        <f>IFERROR(X24/S24-1,"")</f>
        <v>0.2844110544674</v>
      </c>
      <c r="Y30" s="268">
        <f>IFERROR(Y24/T24-1,"")</f>
        <v>0.288382517743743</v>
      </c>
      <c r="Z30" s="268">
        <f>IFERROR(Z24/U24-1,"")</f>
        <v>0.34978004993461</v>
      </c>
      <c r="AA30" s="268">
        <f>IFERROR(AA24/V24-1,"")</f>
        <v>0.300587467362924</v>
      </c>
      <c r="AB30" s="269">
        <f>IFERROR(AB24/W24-1,"")</f>
        <v>0.306485735009671</v>
      </c>
      <c r="AC30" s="268">
        <f>IFERROR(AC24/X24-1,"")</f>
        <v>0.280551493628577</v>
      </c>
      <c r="AD30" s="268">
        <f>IFERROR(AD24/Y24-1,"")</f>
        <v>0.316710157533585</v>
      </c>
      <c r="AE30" s="268">
        <f>IFERROR(AE24/Z24-1,"")</f>
        <v>0.335065621421651</v>
      </c>
      <c r="AF30" s="268">
        <f>IFERROR(AF24/AA24-1,"")</f>
        <v>0.477540777917189</v>
      </c>
      <c r="AG30" s="269">
        <f>IFERROR(AG24/AB24-1,"")</f>
        <v>0.358000416387148</v>
      </c>
      <c r="AH30" s="269">
        <f>IFERROR(AH24/AC24-1,"")</f>
        <v>0.633605220228385</v>
      </c>
      <c r="AI30" s="269">
        <f>IFERROR(AI24/AD24-1,"")</f>
        <v>0.817968291250734</v>
      </c>
    </row>
    <row r="31"/>
    <row r="32">
      <c r="C32" s="12" t="inlineStr">
        <is>
          <t>Segmentos - receita e lucro operacional (USD milhões)</t>
        </is>
      </c>
      <c r="D32" s="12" t="str">
        <f>D7</f>
        <v>1Q20</v>
      </c>
      <c r="E32" s="12" t="str">
        <f>E7</f>
        <v>2Q20</v>
      </c>
      <c r="F32" s="12" t="str">
        <f>F7</f>
        <v>3Q20</v>
      </c>
      <c r="G32" s="12" t="str">
        <f>G7</f>
        <v>4Q20</v>
      </c>
      <c r="H32" s="12">
        <f>H7</f>
        <v>2020</v>
      </c>
      <c r="I32" s="12" t="str">
        <f>I7</f>
        <v>1Q21</v>
      </c>
      <c r="J32" s="12" t="str">
        <f>J7</f>
        <v>2Q21</v>
      </c>
      <c r="K32" s="12" t="str">
        <f>K7</f>
        <v>3Q21</v>
      </c>
      <c r="L32" s="12" t="str">
        <f>L7</f>
        <v>4Q21</v>
      </c>
      <c r="M32" s="12">
        <f>M7</f>
        <v>2021</v>
      </c>
      <c r="N32" s="12" t="str">
        <f>N7</f>
        <v>1Q22</v>
      </c>
      <c r="O32" s="12" t="str">
        <f>O7</f>
        <v>2Q22</v>
      </c>
      <c r="P32" s="12" t="str">
        <f>P7</f>
        <v>3Q22</v>
      </c>
      <c r="Q32" s="12" t="str">
        <f>Q7</f>
        <v>4Q22</v>
      </c>
      <c r="R32" s="12">
        <f>R7</f>
        <v>2022</v>
      </c>
      <c r="S32" s="12" t="str">
        <f>S7</f>
        <v>1Q23</v>
      </c>
      <c r="T32" s="12" t="str">
        <f>T7</f>
        <v>2Q23</v>
      </c>
      <c r="U32" s="12" t="str">
        <f>U7</f>
        <v>3Q23</v>
      </c>
      <c r="V32" s="12" t="str">
        <f>V7</f>
        <v>4Q23</v>
      </c>
      <c r="W32" s="12">
        <f>W7</f>
        <v>2023</v>
      </c>
      <c r="X32" s="12" t="str">
        <f>X7</f>
        <v>1Q24</v>
      </c>
      <c r="Y32" s="12" t="str">
        <f>Y7</f>
        <v>2Q24</v>
      </c>
      <c r="Z32" s="12" t="str">
        <f>Z7</f>
        <v>3Q24</v>
      </c>
      <c r="AA32" s="12" t="str">
        <f>AA7</f>
        <v>4Q24</v>
      </c>
      <c r="AB32" s="12">
        <f>AB7</f>
        <v>2024</v>
      </c>
      <c r="AC32" s="12" t="str">
        <f>AC7</f>
        <v>1Q25</v>
      </c>
      <c r="AD32" s="12" t="str">
        <f>AD7</f>
        <v>2Q25</v>
      </c>
      <c r="AE32" s="12" t="str">
        <f>AE7</f>
        <v>3Q25</v>
      </c>
      <c r="AF32" s="12" t="str">
        <f>AF7</f>
        <v>4Q25</v>
      </c>
      <c r="AG32" s="12">
        <f>AG7</f>
        <v>2025</v>
      </c>
      <c r="AH32" s="12" t="str">
        <f>AH7</f>
        <v>1Q26</v>
      </c>
      <c r="AI32" s="12" t="str">
        <f>AI7</f>
        <v>2Q26</v>
      </c>
    </row>
    <row r="33">
      <c r="C33" s="14" t="inlineStr">
        <is>
          <t xml:space="preserve">   Receita Google Services</t>
        </is>
      </c>
      <c r="D33" s="265">
        <f>IFERROR(INDEX('Inputs (2)'!$D$57:$AL$57,MATCH(D$7,'Inputs (2)'!$D$2:$AL$2,0)),"")</f>
        <v>38198</v>
      </c>
      <c r="E33" s="265">
        <f>IFERROR(INDEX('Inputs (2)'!$D$57:$AL$57,MATCH(E$7,'Inputs (2)'!$D$2:$AL$2,0)),"")</f>
        <v>34991</v>
      </c>
      <c r="F33" s="265">
        <f>IFERROR(INDEX('Inputs (2)'!$D$57:$AL$57,MATCH(F$7,'Inputs (2)'!$D$2:$AL$2,0)),"")</f>
        <v>42573</v>
      </c>
      <c r="G33" s="265">
        <f>IFERROR(INDEX('Inputs (2)'!$D$57:$AL$57,MATCH(G$7,'Inputs (2)'!$D$2:$AL$2,0)),"")</f>
        <v>52873</v>
      </c>
      <c r="H33" s="266">
        <f>IF(COUNT(D33:G33)=4,SUM(D33:G33),"")</f>
        <v>168635</v>
      </c>
      <c r="I33" s="265">
        <f>IFERROR(INDEX('Inputs (2)'!$D$57:$AL$57,MATCH(I$7,'Inputs (2)'!$D$2:$AL$2,0)),"")</f>
        <v>51178</v>
      </c>
      <c r="J33" s="265">
        <f>IFERROR(INDEX('Inputs (2)'!$D$57:$AL$57,MATCH(J$7,'Inputs (2)'!$D$2:$AL$2,0)),"")</f>
        <v>57067</v>
      </c>
      <c r="K33" s="265">
        <f>IFERROR(INDEX('Inputs (2)'!$D$57:$AL$57,MATCH(K$7,'Inputs (2)'!$D$2:$AL$2,0)),"")</f>
        <v>59884</v>
      </c>
      <c r="L33" s="265">
        <f>IFERROR(INDEX('Inputs (2)'!$D$57:$AL$57,MATCH(L$7,'Inputs (2)'!$D$2:$AL$2,0)),"")</f>
        <v>69400</v>
      </c>
      <c r="M33" s="266">
        <f>IF(COUNT(I33:L33)=4,SUM(I33:L33),"")</f>
        <v>237529</v>
      </c>
      <c r="N33" s="265">
        <f>IFERROR(INDEX('Inputs (2)'!$D$57:$AL$57,MATCH(N$7,'Inputs (2)'!$D$2:$AL$2,0)),"")</f>
        <v>61472</v>
      </c>
      <c r="O33" s="265">
        <f>IFERROR(INDEX('Inputs (2)'!$D$57:$AL$57,MATCH(O$7,'Inputs (2)'!$D$2:$AL$2,0)),"")</f>
        <v>62841</v>
      </c>
      <c r="P33" s="265">
        <f>IFERROR(INDEX('Inputs (2)'!$D$57:$AL$57,MATCH(P$7,'Inputs (2)'!$D$2:$AL$2,0)),"")</f>
        <v>61377</v>
      </c>
      <c r="Q33" s="265">
        <f>IFERROR(INDEX('Inputs (2)'!$D$57:$AL$57,MATCH(Q$7,'Inputs (2)'!$D$2:$AL$2,0)),"")</f>
        <v>67838</v>
      </c>
      <c r="R33" s="266">
        <f>IF(COUNT(N33:Q33)=4,SUM(N33:Q33),"")</f>
        <v>253528</v>
      </c>
      <c r="S33" s="265">
        <f>IFERROR(INDEX('Inputs (2)'!$D$57:$AL$57,MATCH(S$7,'Inputs (2)'!$D$2:$AL$2,0)),"")</f>
        <v>61961</v>
      </c>
      <c r="T33" s="265">
        <f>IFERROR(INDEX('Inputs (2)'!$D$57:$AL$57,MATCH(T$7,'Inputs (2)'!$D$2:$AL$2,0)),"")</f>
        <v>66285</v>
      </c>
      <c r="U33" s="265">
        <f>IFERROR(INDEX('Inputs (2)'!$D$57:$AL$57,MATCH(U$7,'Inputs (2)'!$D$2:$AL$2,0)),"")</f>
        <v>67986</v>
      </c>
      <c r="V33" s="265">
        <f>IFERROR(INDEX('Inputs (2)'!$D$57:$AL$57,MATCH(V$7,'Inputs (2)'!$D$2:$AL$2,0)),"")</f>
        <v>76311</v>
      </c>
      <c r="W33" s="266">
        <f>IF(COUNT(S33:V33)=4,SUM(S33:V33),"")</f>
        <v>272543</v>
      </c>
      <c r="X33" s="265">
        <f>IFERROR(INDEX('Inputs (2)'!$D$57:$AL$57,MATCH(X$7,'Inputs (2)'!$D$2:$AL$2,0)),"")</f>
        <v>70398</v>
      </c>
      <c r="Y33" s="265">
        <f>IFERROR(INDEX('Inputs (2)'!$D$57:$AL$57,MATCH(Y$7,'Inputs (2)'!$D$2:$AL$2,0)),"")</f>
        <v>73928</v>
      </c>
      <c r="Z33" s="265">
        <f>IFERROR(INDEX('Inputs (2)'!$D$57:$AL$57,MATCH(Z$7,'Inputs (2)'!$D$2:$AL$2,0)),"")</f>
        <v>76510</v>
      </c>
      <c r="AA33" s="265">
        <f>IFERROR(INDEX('Inputs (2)'!$D$57:$AL$57,MATCH(AA$7,'Inputs (2)'!$D$2:$AL$2,0)),"")</f>
        <v>84094</v>
      </c>
      <c r="AB33" s="266">
        <f>IF(COUNT(X33:AA33)=4,SUM(X33:AA33),"")</f>
        <v>304930</v>
      </c>
      <c r="AC33" s="265">
        <f>IFERROR(INDEX('Inputs (2)'!$D$57:$AL$57,MATCH(AC$7,'Inputs (2)'!$D$2:$AL$2,0)),"")</f>
        <v>77264</v>
      </c>
      <c r="AD33" s="265">
        <f>IFERROR(INDEX('Inputs (2)'!$D$57:$AL$57,MATCH(AD$7,'Inputs (2)'!$D$2:$AL$2,0)),"")</f>
        <v>82543</v>
      </c>
      <c r="AE33" s="265">
        <f>IFERROR(INDEX('Inputs (2)'!$D$57:$AL$57,MATCH(AE$7,'Inputs (2)'!$D$2:$AL$2,0)),"")</f>
        <v>87052</v>
      </c>
      <c r="AF33" s="265">
        <f>IFERROR(INDEX('Inputs (2)'!$D$57:$AL$57,MATCH(AF$7,'Inputs (2)'!$D$2:$AL$2,0)),"")</f>
        <v>95862</v>
      </c>
      <c r="AG33" s="266">
        <f>IF(COUNT(AC33:AF33)=4,SUM(AC33:AF33),"")</f>
        <v>342721</v>
      </c>
      <c r="AH33" s="266">
        <f>IFERROR(INDEX('Inputs (2)'!$D$57:$AL$57,MATCH(AH$7,'Inputs (2)'!$D$2:$AL$2,0)),"")</f>
        <v>89637</v>
      </c>
      <c r="AI33" s="266">
        <f>IFERROR(INDEX('Inputs (2)'!$D$57:$AL$57,MATCH(AI$7,'Inputs (2)'!$D$2:$AL$2,0)),"")</f>
        <v>94540</v>
      </c>
    </row>
    <row r="34">
      <c r="C34" s="14" t="inlineStr">
        <is>
          <t xml:space="preserve">   Lucro operacional Google Services</t>
        </is>
      </c>
      <c r="D34" s="265">
        <f>IFERROR(INDEX('Inputs (2)'!$D$60:$AL$60,MATCH(D$7,'Inputs (2)'!$D$2:$AL$2,0)),"")</f>
        <v>11548</v>
      </c>
      <c r="E34" s="265">
        <f>IFERROR(INDEX('Inputs (2)'!$D$60:$AL$60,MATCH(E$7,'Inputs (2)'!$D$2:$AL$2,0)),"")</f>
        <v>9539</v>
      </c>
      <c r="F34" s="265">
        <f>IFERROR(INDEX('Inputs (2)'!$D$60:$AL$60,MATCH(F$7,'Inputs (2)'!$D$2:$AL$2,0)),"")</f>
        <v>14453</v>
      </c>
      <c r="G34" s="265">
        <f>IFERROR(INDEX('Inputs (2)'!$D$60:$AL$60,MATCH(G$7,'Inputs (2)'!$D$2:$AL$2,0)),"")</f>
        <v>19066</v>
      </c>
      <c r="H34" s="266">
        <f>IF(COUNT(D34:G34)=4,SUM(D34:G34),"")</f>
        <v>54606</v>
      </c>
      <c r="I34" s="265">
        <f>IFERROR(INDEX('Inputs (2)'!$D$60:$AL$60,MATCH(I$7,'Inputs (2)'!$D$2:$AL$2,0)),"")</f>
        <v>19546</v>
      </c>
      <c r="J34" s="265">
        <f>IFERROR(INDEX('Inputs (2)'!$D$60:$AL$60,MATCH(J$7,'Inputs (2)'!$D$2:$AL$2,0)),"")</f>
        <v>22343</v>
      </c>
      <c r="K34" s="265">
        <f>IFERROR(INDEX('Inputs (2)'!$D$60:$AL$60,MATCH(K$7,'Inputs (2)'!$D$2:$AL$2,0)),"")</f>
        <v>23973</v>
      </c>
      <c r="L34" s="265">
        <f>IFERROR(INDEX('Inputs (2)'!$D$60:$AL$60,MATCH(L$7,'Inputs (2)'!$D$2:$AL$2,0)),"")</f>
        <v>22270</v>
      </c>
      <c r="M34" s="266">
        <f>IF(COUNT(I34:L34)=4,SUM(I34:L34),"")</f>
        <v>88132</v>
      </c>
      <c r="N34" s="265">
        <f>IFERROR(INDEX('Inputs (2)'!$D$60:$AL$60,MATCH(N$7,'Inputs (2)'!$D$2:$AL$2,0)),"")</f>
        <v>22920</v>
      </c>
      <c r="O34" s="265">
        <f>IFERROR(INDEX('Inputs (2)'!$D$60:$AL$60,MATCH(O$7,'Inputs (2)'!$D$2:$AL$2,0)),"")</f>
        <v>22770</v>
      </c>
      <c r="P34" s="265">
        <f>IFERROR(INDEX('Inputs (2)'!$D$60:$AL$60,MATCH(P$7,'Inputs (2)'!$D$2:$AL$2,0)),"")</f>
        <v>19781</v>
      </c>
      <c r="Q34" s="265">
        <f>IFERROR(INDEX('Inputs (2)'!$D$60:$AL$60,MATCH(Q$7,'Inputs (2)'!$D$2:$AL$2,0)),"")</f>
        <v>17228</v>
      </c>
      <c r="R34" s="266">
        <f>IF(COUNT(N34:Q34)=4,SUM(N34:Q34),"")</f>
        <v>82699</v>
      </c>
      <c r="S34" s="265">
        <f>IFERROR(INDEX('Inputs (2)'!$D$60:$AL$60,MATCH(S$7,'Inputs (2)'!$D$2:$AL$2,0)),"")</f>
        <v>21737</v>
      </c>
      <c r="T34" s="265">
        <f>IFERROR(INDEX('Inputs (2)'!$D$60:$AL$60,MATCH(T$7,'Inputs (2)'!$D$2:$AL$2,0)),"")</f>
        <v>23454</v>
      </c>
      <c r="U34" s="265">
        <f>IFERROR(INDEX('Inputs (2)'!$D$60:$AL$60,MATCH(U$7,'Inputs (2)'!$D$2:$AL$2,0)),"")</f>
        <v>23937</v>
      </c>
      <c r="V34" s="265">
        <f>IFERROR(INDEX('Inputs (2)'!$D$60:$AL$60,MATCH(V$7,'Inputs (2)'!$D$2:$AL$2,0)),"")</f>
        <v>26730</v>
      </c>
      <c r="W34" s="266">
        <f>IF(COUNT(S34:V34)=4,SUM(S34:V34),"")</f>
        <v>95858</v>
      </c>
      <c r="X34" s="265">
        <f>IFERROR(INDEX('Inputs (2)'!$D$60:$AL$60,MATCH(X$7,'Inputs (2)'!$D$2:$AL$2,0)),"")</f>
        <v>27897</v>
      </c>
      <c r="Y34" s="265">
        <f>IFERROR(INDEX('Inputs (2)'!$D$60:$AL$60,MATCH(Y$7,'Inputs (2)'!$D$2:$AL$2,0)),"")</f>
        <v>29674</v>
      </c>
      <c r="Z34" s="265">
        <f>IFERROR(INDEX('Inputs (2)'!$D$60:$AL$60,MATCH(Z$7,'Inputs (2)'!$D$2:$AL$2,0)),"")</f>
        <v>30856</v>
      </c>
      <c r="AA34" s="265">
        <f>IFERROR(INDEX('Inputs (2)'!$D$60:$AL$60,MATCH(AA$7,'Inputs (2)'!$D$2:$AL$2,0)),"")</f>
        <v>32836</v>
      </c>
      <c r="AB34" s="266">
        <f>IF(COUNT(X34:AA34)=4,SUM(X34:AA34),"")</f>
        <v>121263</v>
      </c>
      <c r="AC34" s="265">
        <f>IFERROR(INDEX('Inputs (2)'!$D$60:$AL$60,MATCH(AC$7,'Inputs (2)'!$D$2:$AL$2,0)),"")</f>
        <v>32682</v>
      </c>
      <c r="AD34" s="265">
        <f>IFERROR(INDEX('Inputs (2)'!$D$60:$AL$60,MATCH(AD$7,'Inputs (2)'!$D$2:$AL$2,0)),"")</f>
        <v>33063</v>
      </c>
      <c r="AE34" s="265">
        <f>IFERROR(INDEX('Inputs (2)'!$D$60:$AL$60,MATCH(AE$7,'Inputs (2)'!$D$2:$AL$2,0)),"")</f>
        <v>33527</v>
      </c>
      <c r="AF34" s="265">
        <f>IFERROR(INDEX('Inputs (2)'!$D$60:$AL$60,MATCH(AF$7,'Inputs (2)'!$D$2:$AL$2,0)),"")</f>
        <v>40132</v>
      </c>
      <c r="AG34" s="266">
        <f>IF(COUNT(AC34:AF34)=4,SUM(AC34:AF34),"")</f>
        <v>139404</v>
      </c>
      <c r="AH34" s="266">
        <f>IFERROR(INDEX('Inputs (2)'!$D$60:$AL$60,MATCH(AH$7,'Inputs (2)'!$D$2:$AL$2,0)),"")</f>
        <v>40589</v>
      </c>
      <c r="AI34" s="266">
        <f>IFERROR(INDEX('Inputs (2)'!$D$60:$AL$60,MATCH(AI$7,'Inputs (2)'!$D$2:$AL$2,0)),"")</f>
        <v>39544</v>
      </c>
    </row>
    <row r="35">
      <c r="C35" s="14" t="inlineStr">
        <is>
          <t xml:space="preserve">   Lucro operacional Google Cloud</t>
        </is>
      </c>
      <c r="D35" s="265">
        <f>IFERROR(INDEX('Inputs (2)'!$D$61:$AL$61,MATCH(D$7,'Inputs (2)'!$D$2:$AL$2,0)),"")</f>
        <v>-1730</v>
      </c>
      <c r="E35" s="265">
        <f>IFERROR(INDEX('Inputs (2)'!$D$61:$AL$61,MATCH(E$7,'Inputs (2)'!$D$2:$AL$2,0)),"")</f>
        <v>-1426</v>
      </c>
      <c r="F35" s="265">
        <f>IFERROR(INDEX('Inputs (2)'!$D$61:$AL$61,MATCH(F$7,'Inputs (2)'!$D$2:$AL$2,0)),"")</f>
        <v>-1208</v>
      </c>
      <c r="G35" s="265">
        <f>IFERROR(INDEX('Inputs (2)'!$D$61:$AL$61,MATCH(G$7,'Inputs (2)'!$D$2:$AL$2,0)),"")</f>
        <v>-1243</v>
      </c>
      <c r="H35" s="266">
        <f>IF(COUNT(D35:G35)=4,SUM(D35:G35),"")</f>
        <v>-5607</v>
      </c>
      <c r="I35" s="265">
        <f>IFERROR(INDEX('Inputs (2)'!$D$61:$AL$61,MATCH(I$7,'Inputs (2)'!$D$2:$AL$2,0)),"")</f>
        <v>-974</v>
      </c>
      <c r="J35" s="265">
        <f>IFERROR(INDEX('Inputs (2)'!$D$61:$AL$61,MATCH(J$7,'Inputs (2)'!$D$2:$AL$2,0)),"")</f>
        <v>-591</v>
      </c>
      <c r="K35" s="265">
        <f>IFERROR(INDEX('Inputs (2)'!$D$61:$AL$61,MATCH(K$7,'Inputs (2)'!$D$2:$AL$2,0)),"")</f>
        <v>-644</v>
      </c>
      <c r="L35" s="265">
        <f>IFERROR(INDEX('Inputs (2)'!$D$61:$AL$61,MATCH(L$7,'Inputs (2)'!$D$2:$AL$2,0)),"")</f>
        <v>-73</v>
      </c>
      <c r="M35" s="266">
        <f>IF(COUNT(I35:L35)=4,SUM(I35:L35),"")</f>
        <v>-2282</v>
      </c>
      <c r="N35" s="265">
        <f>IFERROR(INDEX('Inputs (2)'!$D$61:$AL$61,MATCH(N$7,'Inputs (2)'!$D$2:$AL$2,0)),"")</f>
        <v>-931</v>
      </c>
      <c r="O35" s="265">
        <f>IFERROR(INDEX('Inputs (2)'!$D$61:$AL$61,MATCH(O$7,'Inputs (2)'!$D$2:$AL$2,0)),"")</f>
        <v>-858</v>
      </c>
      <c r="P35" s="265">
        <f>IFERROR(INDEX('Inputs (2)'!$D$61:$AL$61,MATCH(P$7,'Inputs (2)'!$D$2:$AL$2,0)),"")</f>
        <v>-699</v>
      </c>
      <c r="Q35" s="265">
        <f>IFERROR(INDEX('Inputs (2)'!$D$61:$AL$61,MATCH(Q$7,'Inputs (2)'!$D$2:$AL$2,0)),"")</f>
        <v>566</v>
      </c>
      <c r="R35" s="266">
        <f>IF(COUNT(N35:Q35)=4,SUM(N35:Q35),"")</f>
        <v>-1922</v>
      </c>
      <c r="S35" s="265">
        <f>IFERROR(INDEX('Inputs (2)'!$D$61:$AL$61,MATCH(S$7,'Inputs (2)'!$D$2:$AL$2,0)),"")</f>
        <v>191</v>
      </c>
      <c r="T35" s="265">
        <f>IFERROR(INDEX('Inputs (2)'!$D$61:$AL$61,MATCH(T$7,'Inputs (2)'!$D$2:$AL$2,0)),"")</f>
        <v>395</v>
      </c>
      <c r="U35" s="265">
        <f>IFERROR(INDEX('Inputs (2)'!$D$61:$AL$61,MATCH(U$7,'Inputs (2)'!$D$2:$AL$2,0)),"")</f>
        <v>266</v>
      </c>
      <c r="V35" s="265">
        <f>IFERROR(INDEX('Inputs (2)'!$D$61:$AL$61,MATCH(V$7,'Inputs (2)'!$D$2:$AL$2,0)),"")</f>
        <v>864</v>
      </c>
      <c r="W35" s="266">
        <f>IF(COUNT(S35:V35)=4,SUM(S35:V35),"")</f>
        <v>1716</v>
      </c>
      <c r="X35" s="265">
        <f>IFERROR(INDEX('Inputs (2)'!$D$61:$AL$61,MATCH(X$7,'Inputs (2)'!$D$2:$AL$2,0)),"")</f>
        <v>900</v>
      </c>
      <c r="Y35" s="265">
        <f>IFERROR(INDEX('Inputs (2)'!$D$61:$AL$61,MATCH(Y$7,'Inputs (2)'!$D$2:$AL$2,0)),"")</f>
        <v>1172</v>
      </c>
      <c r="Z35" s="265">
        <f>IFERROR(INDEX('Inputs (2)'!$D$61:$AL$61,MATCH(Z$7,'Inputs (2)'!$D$2:$AL$2,0)),"")</f>
        <v>1947</v>
      </c>
      <c r="AA35" s="265">
        <f>IFERROR(INDEX('Inputs (2)'!$D$61:$AL$61,MATCH(AA$7,'Inputs (2)'!$D$2:$AL$2,0)),"")</f>
        <v>2093</v>
      </c>
      <c r="AB35" s="266">
        <f>IF(COUNT(X35:AA35)=4,SUM(X35:AA35),"")</f>
        <v>6112</v>
      </c>
      <c r="AC35" s="265">
        <f>IFERROR(INDEX('Inputs (2)'!$D$61:$AL$61,MATCH(AC$7,'Inputs (2)'!$D$2:$AL$2,0)),"")</f>
        <v>2177</v>
      </c>
      <c r="AD35" s="265">
        <f>IFERROR(INDEX('Inputs (2)'!$D$61:$AL$61,MATCH(AD$7,'Inputs (2)'!$D$2:$AL$2,0)),"")</f>
        <v>2826</v>
      </c>
      <c r="AE35" s="265">
        <f>IFERROR(INDEX('Inputs (2)'!$D$61:$AL$61,MATCH(AE$7,'Inputs (2)'!$D$2:$AL$2,0)),"")</f>
        <v>3594</v>
      </c>
      <c r="AF35" s="265">
        <f>IFERROR(INDEX('Inputs (2)'!$D$61:$AL$61,MATCH(AF$7,'Inputs (2)'!$D$2:$AL$2,0)),"")</f>
        <v>5313</v>
      </c>
      <c r="AG35" s="266">
        <f>IF(COUNT(AC35:AF35)=4,SUM(AC35:AF35),"")</f>
        <v>13910</v>
      </c>
      <c r="AH35" s="266">
        <f>IFERROR(INDEX('Inputs (2)'!$D$61:$AL$61,MATCH(AH$7,'Inputs (2)'!$D$2:$AL$2,0)),"")</f>
        <v>6598</v>
      </c>
      <c r="AI35" s="266">
        <f>IFERROR(INDEX('Inputs (2)'!$D$61:$AL$61,MATCH(AI$7,'Inputs (2)'!$D$2:$AL$2,0)),"")</f>
        <v>8814</v>
      </c>
    </row>
    <row r="36">
      <c r="C36" s="14" t="inlineStr">
        <is>
          <t xml:space="preserve">   Lucro operacional Other Bets</t>
        </is>
      </c>
      <c r="D36" s="265">
        <f>IFERROR(INDEX('Inputs (2)'!$D$62:$AL$62,MATCH(D$7,'Inputs (2)'!$D$2:$AL$2,0)),"")</f>
        <v>-1121</v>
      </c>
      <c r="E36" s="265">
        <f>IFERROR(INDEX('Inputs (2)'!$D$62:$AL$62,MATCH(E$7,'Inputs (2)'!$D$2:$AL$2,0)),"")</f>
        <v>-1116</v>
      </c>
      <c r="F36" s="265">
        <f>IFERROR(INDEX('Inputs (2)'!$D$62:$AL$62,MATCH(F$7,'Inputs (2)'!$D$2:$AL$2,0)),"")</f>
        <v>-1103</v>
      </c>
      <c r="G36" s="265">
        <f>IFERROR(INDEX('Inputs (2)'!$D$62:$AL$62,MATCH(G$7,'Inputs (2)'!$D$2:$AL$2,0)),"")</f>
        <v>-1136</v>
      </c>
      <c r="H36" s="266">
        <f>IF(COUNT(D36:G36)=4,SUM(D36:G36),"")</f>
        <v>-4476</v>
      </c>
      <c r="I36" s="265">
        <f>IFERROR(INDEX('Inputs (2)'!$D$62:$AL$62,MATCH(I$7,'Inputs (2)'!$D$2:$AL$2,0)),"")</f>
        <v>-1145</v>
      </c>
      <c r="J36" s="265">
        <f>IFERROR(INDEX('Inputs (2)'!$D$62:$AL$62,MATCH(J$7,'Inputs (2)'!$D$2:$AL$2,0)),"")</f>
        <v>-1398</v>
      </c>
      <c r="K36" s="265">
        <f>IFERROR(INDEX('Inputs (2)'!$D$62:$AL$62,MATCH(K$7,'Inputs (2)'!$D$2:$AL$2,0)),"")</f>
        <v>-1288</v>
      </c>
      <c r="L36" s="265">
        <f>IFERROR(INDEX('Inputs (2)'!$D$62:$AL$62,MATCH(L$7,'Inputs (2)'!$D$2:$AL$2,0)),"")</f>
        <v>-220</v>
      </c>
      <c r="M36" s="266">
        <f>IF(COUNT(I36:L36)=4,SUM(I36:L36),"")</f>
        <v>-4051</v>
      </c>
      <c r="N36" s="265">
        <f>IFERROR(INDEX('Inputs (2)'!$D$62:$AL$62,MATCH(N$7,'Inputs (2)'!$D$2:$AL$2,0)),"")</f>
        <v>-835</v>
      </c>
      <c r="O36" s="265">
        <f>IFERROR(INDEX('Inputs (2)'!$D$62:$AL$62,MATCH(O$7,'Inputs (2)'!$D$2:$AL$2,0)),"")</f>
        <v>-1339</v>
      </c>
      <c r="P36" s="265">
        <f>IFERROR(INDEX('Inputs (2)'!$D$62:$AL$62,MATCH(P$7,'Inputs (2)'!$D$2:$AL$2,0)),"")</f>
        <v>-1225</v>
      </c>
      <c r="Q36" s="265">
        <f>IFERROR(INDEX('Inputs (2)'!$D$62:$AL$62,MATCH(Q$7,'Inputs (2)'!$D$2:$AL$2,0)),"")</f>
        <v>-1237</v>
      </c>
      <c r="R36" s="266">
        <f>IF(COUNT(N36:Q36)=4,SUM(N36:Q36),"")</f>
        <v>-4636</v>
      </c>
      <c r="S36" s="265">
        <f>IFERROR(INDEX('Inputs (2)'!$D$62:$AL$62,MATCH(S$7,'Inputs (2)'!$D$2:$AL$2,0)),"")</f>
        <v>-1225</v>
      </c>
      <c r="T36" s="265">
        <f>IFERROR(INDEX('Inputs (2)'!$D$62:$AL$62,MATCH(T$7,'Inputs (2)'!$D$2:$AL$2,0)),"")</f>
        <v>-813</v>
      </c>
      <c r="U36" s="265">
        <f>IFERROR(INDEX('Inputs (2)'!$D$62:$AL$62,MATCH(U$7,'Inputs (2)'!$D$2:$AL$2,0)),"")</f>
        <v>-1194</v>
      </c>
      <c r="V36" s="265">
        <f>IFERROR(INDEX('Inputs (2)'!$D$62:$AL$62,MATCH(V$7,'Inputs (2)'!$D$2:$AL$2,0)),"")</f>
        <v>-863</v>
      </c>
      <c r="W36" s="266">
        <f>IF(COUNT(S36:V36)=4,SUM(S36:V36),"")</f>
        <v>-4095</v>
      </c>
      <c r="X36" s="265">
        <f>IFERROR(INDEX('Inputs (2)'!$D$62:$AL$62,MATCH(X$7,'Inputs (2)'!$D$2:$AL$2,0)),"")</f>
        <v>-1020</v>
      </c>
      <c r="Y36" s="265">
        <f>IFERROR(INDEX('Inputs (2)'!$D$62:$AL$62,MATCH(Y$7,'Inputs (2)'!$D$2:$AL$2,0)),"")</f>
        <v>-1134</v>
      </c>
      <c r="Z36" s="265">
        <f>IFERROR(INDEX('Inputs (2)'!$D$62:$AL$62,MATCH(Z$7,'Inputs (2)'!$D$2:$AL$2,0)),"")</f>
        <v>-1116</v>
      </c>
      <c r="AA36" s="265">
        <f>IFERROR(INDEX('Inputs (2)'!$D$62:$AL$62,MATCH(AA$7,'Inputs (2)'!$D$2:$AL$2,0)),"")</f>
        <v>-1174</v>
      </c>
      <c r="AB36" s="266">
        <f>IF(COUNT(X36:AA36)=4,SUM(X36:AA36),"")</f>
        <v>-4444</v>
      </c>
      <c r="AC36" s="265">
        <f>IFERROR(INDEX('Inputs (2)'!$D$62:$AL$62,MATCH(AC$7,'Inputs (2)'!$D$2:$AL$2,0)),"")</f>
        <v>-1226</v>
      </c>
      <c r="AD36" s="265">
        <f>IFERROR(INDEX('Inputs (2)'!$D$62:$AL$62,MATCH(AD$7,'Inputs (2)'!$D$2:$AL$2,0)),"")</f>
        <v>-1246</v>
      </c>
      <c r="AE36" s="265">
        <f>IFERROR(INDEX('Inputs (2)'!$D$62:$AL$62,MATCH(AE$7,'Inputs (2)'!$D$2:$AL$2,0)),"")</f>
        <v>-1426</v>
      </c>
      <c r="AF36" s="265">
        <f>IFERROR(INDEX('Inputs (2)'!$D$62:$AL$62,MATCH(AF$7,'Inputs (2)'!$D$2:$AL$2,0)),"")</f>
        <v>-3617</v>
      </c>
      <c r="AG36" s="266">
        <f>IF(COUNT(AC36:AF36)=4,SUM(AC36:AF36),"")</f>
        <v>-7515</v>
      </c>
      <c r="AH36" s="266">
        <f>IFERROR(INDEX('Inputs (2)'!$D$62:$AL$62,MATCH(AH$7,'Inputs (2)'!$D$2:$AL$2,0)),"")</f>
        <v>-2100</v>
      </c>
      <c r="AI36" s="266">
        <f>IFERROR(INDEX('Inputs (2)'!$D$62:$AL$62,MATCH(AI$7,'Inputs (2)'!$D$2:$AL$2,0)),"")</f>
        <v>-1799</v>
      </c>
    </row>
    <row r="37">
      <c r="C37" s="14" t="inlineStr">
        <is>
          <t xml:space="preserve">   Alphabet-level activities</t>
        </is>
      </c>
      <c r="D37" s="265">
        <f>IFERROR(INDEX('Inputs (2)'!$D$63:$AL$63,MATCH(D$7,'Inputs (2)'!$D$2:$AL$2,0)),"")</f>
        <v>-720</v>
      </c>
      <c r="E37" s="265">
        <f>IFERROR(INDEX('Inputs (2)'!$D$63:$AL$63,MATCH(E$7,'Inputs (2)'!$D$2:$AL$2,0)),"")</f>
        <v>-614</v>
      </c>
      <c r="F37" s="265">
        <f>IFERROR(INDEX('Inputs (2)'!$D$63:$AL$63,MATCH(F$7,'Inputs (2)'!$D$2:$AL$2,0)),"")</f>
        <v>-929</v>
      </c>
      <c r="G37" s="265">
        <f>IFERROR(INDEX('Inputs (2)'!$D$63:$AL$63,MATCH(G$7,'Inputs (2)'!$D$2:$AL$2,0)),"")</f>
        <v>-1036</v>
      </c>
      <c r="H37" s="266">
        <f>IF(COUNT(D37:G37)=4,SUM(D37:G37),"")</f>
        <v>-3299</v>
      </c>
      <c r="I37" s="265">
        <f>IFERROR(INDEX('Inputs (2)'!$D$63:$AL$63,MATCH(I$7,'Inputs (2)'!$D$2:$AL$2,0)),"")</f>
        <v>-990</v>
      </c>
      <c r="J37" s="265">
        <f>IFERROR(INDEX('Inputs (2)'!$D$63:$AL$63,MATCH(J$7,'Inputs (2)'!$D$2:$AL$2,0)),"")</f>
        <v>-993</v>
      </c>
      <c r="K37" s="265">
        <f>IFERROR(INDEX('Inputs (2)'!$D$63:$AL$63,MATCH(K$7,'Inputs (2)'!$D$2:$AL$2,0)),"")</f>
        <v>-1010</v>
      </c>
      <c r="L37" s="265">
        <f>IFERROR(INDEX('Inputs (2)'!$D$63:$AL$63,MATCH(L$7,'Inputs (2)'!$D$2:$AL$2,0)),"")</f>
        <v>-92</v>
      </c>
      <c r="M37" s="266">
        <f>IF(COUNT(I37:L37)=4,SUM(I37:L37),"")</f>
        <v>-3085</v>
      </c>
      <c r="N37" s="265">
        <f>IFERROR(INDEX('Inputs (2)'!$D$63:$AL$63,MATCH(N$7,'Inputs (2)'!$D$2:$AL$2,0)),"")</f>
        <v>-338</v>
      </c>
      <c r="O37" s="265">
        <f>IFERROR(INDEX('Inputs (2)'!$D$63:$AL$63,MATCH(O$7,'Inputs (2)'!$D$2:$AL$2,0)),"")</f>
        <v>-239</v>
      </c>
      <c r="P37" s="265">
        <f>IFERROR(INDEX('Inputs (2)'!$D$63:$AL$63,MATCH(P$7,'Inputs (2)'!$D$2:$AL$2,0)),"")</f>
        <v>-83</v>
      </c>
      <c r="Q37" s="265">
        <f>IFERROR(INDEX('Inputs (2)'!$D$63:$AL$63,MATCH(Q$7,'Inputs (2)'!$D$2:$AL$2,0)),"")</f>
        <v>-639</v>
      </c>
      <c r="R37" s="266">
        <f>IF(COUNT(N37:Q37)=4,SUM(N37:Q37),"")</f>
        <v>-1299</v>
      </c>
      <c r="S37" s="265">
        <f>IFERROR(INDEX('Inputs (2)'!$D$63:$AL$63,MATCH(S$7,'Inputs (2)'!$D$2:$AL$2,0)),"")</f>
        <v>-3288</v>
      </c>
      <c r="T37" s="265">
        <f>IFERROR(INDEX('Inputs (2)'!$D$63:$AL$63,MATCH(T$7,'Inputs (2)'!$D$2:$AL$2,0)),"")</f>
        <v>-1198</v>
      </c>
      <c r="U37" s="265">
        <f>IFERROR(INDEX('Inputs (2)'!$D$63:$AL$63,MATCH(U$7,'Inputs (2)'!$D$2:$AL$2,0)),"")</f>
        <v>-1666</v>
      </c>
      <c r="V37" s="265">
        <f>IFERROR(INDEX('Inputs (2)'!$D$63:$AL$63,MATCH(V$7,'Inputs (2)'!$D$2:$AL$2,0)),"")</f>
        <v>-3034</v>
      </c>
      <c r="W37" s="266">
        <f>IF(COUNT(S37:V37)=4,SUM(S37:V37),"")</f>
        <v>-9186</v>
      </c>
      <c r="X37" s="265">
        <f>IFERROR(INDEX('Inputs (2)'!$D$63:$AL$63,MATCH(X$7,'Inputs (2)'!$D$2:$AL$2,0)),"")</f>
        <v>-2305</v>
      </c>
      <c r="Y37" s="265">
        <f>IFERROR(INDEX('Inputs (2)'!$D$63:$AL$63,MATCH(Y$7,'Inputs (2)'!$D$2:$AL$2,0)),"")</f>
        <v>-2287</v>
      </c>
      <c r="Z37" s="265">
        <f>IFERROR(INDEX('Inputs (2)'!$D$63:$AL$63,MATCH(Z$7,'Inputs (2)'!$D$2:$AL$2,0)),"")</f>
        <v>-3166</v>
      </c>
      <c r="AA37" s="265">
        <f>IFERROR(INDEX('Inputs (2)'!$D$63:$AL$63,MATCH(AA$7,'Inputs (2)'!$D$2:$AL$2,0)),"")</f>
        <v>-2783</v>
      </c>
      <c r="AB37" s="266">
        <f>IF(COUNT(X37:AA37)=4,SUM(X37:AA37),"")</f>
        <v>-10541</v>
      </c>
      <c r="AC37" s="265">
        <f>IFERROR(INDEX('Inputs (2)'!$D$63:$AL$63,MATCH(AC$7,'Inputs (2)'!$D$2:$AL$2,0)),"")</f>
        <v>-3027</v>
      </c>
      <c r="AD37" s="265">
        <f>IFERROR(INDEX('Inputs (2)'!$D$63:$AL$63,MATCH(AD$7,'Inputs (2)'!$D$2:$AL$2,0)),"")</f>
        <v>-3372</v>
      </c>
      <c r="AE37" s="265">
        <f>IFERROR(INDEX('Inputs (2)'!$D$63:$AL$63,MATCH(AE$7,'Inputs (2)'!$D$2:$AL$2,0)),"")</f>
        <v>-4467</v>
      </c>
      <c r="AF37" s="265">
        <f>IFERROR(INDEX('Inputs (2)'!$D$63:$AL$63,MATCH(AF$7,'Inputs (2)'!$D$2:$AL$2,0)),"")</f>
        <v>-5894</v>
      </c>
      <c r="AG37" s="266">
        <f>IF(COUNT(AC37:AF37)=4,SUM(AC37:AF37),"")</f>
        <v>-16760</v>
      </c>
      <c r="AH37" s="266">
        <f>IFERROR(INDEX('Inputs (2)'!$D$63:$AL$63,MATCH(AH$7,'Inputs (2)'!$D$2:$AL$2,0)),"")</f>
        <v>-5391</v>
      </c>
      <c r="AI37" s="266">
        <f>IFERROR(INDEX('Inputs (2)'!$D$63:$AL$63,MATCH(AI$7,'Inputs (2)'!$D$2:$AL$2,0)),"")</f>
        <v>-5789</v>
      </c>
    </row>
    <row r="38">
      <c r="C38" s="14" t="inlineStr">
        <is>
          <t xml:space="preserve">   Margem operacional Google Services</t>
        </is>
      </c>
      <c r="D38" s="268">
        <f>IFERROR(D34/D33,"")</f>
        <v>0.302319493167182</v>
      </c>
      <c r="E38" s="268">
        <f>IFERROR(E34/E33,"")</f>
        <v>0.272612957617673</v>
      </c>
      <c r="F38" s="268">
        <f>IFERROR(F34/F33,"")</f>
        <v>0.339487468583374</v>
      </c>
      <c r="G38" s="268">
        <f>IFERROR(G34/G33,"")</f>
        <v>0.360599928129669</v>
      </c>
      <c r="H38" s="269">
        <f>IFERROR(H34/H33,"")</f>
        <v>0.323811782844605</v>
      </c>
      <c r="I38" s="268">
        <f>IFERROR(I34/I33,"")</f>
        <v>0.381921919574817</v>
      </c>
      <c r="J38" s="268">
        <f>IFERROR(J34/J33,"")</f>
        <v>0.391522245781275</v>
      </c>
      <c r="K38" s="268">
        <f>IFERROR(K34/K33,"")</f>
        <v>0.400323959655334</v>
      </c>
      <c r="L38" s="268">
        <f>IFERROR(L34/L33,"")</f>
        <v>0.320893371757925</v>
      </c>
      <c r="M38" s="269">
        <f>IFERROR(M34/M33,"")</f>
        <v>0.371036799717087</v>
      </c>
      <c r="N38" s="268">
        <f>IFERROR(N34/N33,"")</f>
        <v>0.372852680895367</v>
      </c>
      <c r="O38" s="268">
        <f>IFERROR(O34/O33,"")</f>
        <v>0.36234305628491</v>
      </c>
      <c r="P38" s="268">
        <f>IFERROR(P34/P33,"")</f>
        <v>0.32228685012301</v>
      </c>
      <c r="Q38" s="268">
        <f>IFERROR(Q34/Q33,"")</f>
        <v>0.253957958666234</v>
      </c>
      <c r="R38" s="269">
        <f>IFERROR(R34/R33,"")</f>
        <v>0.326192767662743</v>
      </c>
      <c r="S38" s="268">
        <f>IFERROR(S34/S33,"")</f>
        <v>0.350817449686093</v>
      </c>
      <c r="T38" s="268">
        <f>IFERROR(T34/T33,"")</f>
        <v>0.353835709436524</v>
      </c>
      <c r="U38" s="268">
        <f>IFERROR(U34/U33,"")</f>
        <v>0.352087194422381</v>
      </c>
      <c r="V38" s="268">
        <f>IFERROR(V34/V33,"")</f>
        <v>0.35027715532492</v>
      </c>
      <c r="W38" s="269">
        <f>IFERROR(W34/W33,"")</f>
        <v>0.351716976770638</v>
      </c>
      <c r="X38" s="268">
        <f>IFERROR(X34/X33,"")</f>
        <v>0.39627546237109</v>
      </c>
      <c r="Y38" s="268">
        <f>IFERROR(Y34/Y33,"")</f>
        <v>0.401390542149118</v>
      </c>
      <c r="Z38" s="268">
        <f>IFERROR(Z34/Z33,"")</f>
        <v>0.403293687099726</v>
      </c>
      <c r="AA38" s="268">
        <f>IFERROR(AA34/AA33,"")</f>
        <v>0.390467809831855</v>
      </c>
      <c r="AB38" s="269">
        <f>IFERROR(AB34/AB33,"")</f>
        <v>0.397674876201095</v>
      </c>
      <c r="AC38" s="268">
        <f>IFERROR(AC34/AC33,"")</f>
        <v>0.422991302547111</v>
      </c>
      <c r="AD38" s="268">
        <f>IFERROR(AD34/AD33,"")</f>
        <v>0.400554862314188</v>
      </c>
      <c r="AE38" s="268">
        <f>IFERROR(AE34/AE33,"")</f>
        <v>0.385137618894454</v>
      </c>
      <c r="AF38" s="268">
        <f>IFERROR(AF34/AF33,"")</f>
        <v>0.418643466649976</v>
      </c>
      <c r="AG38" s="269">
        <f>IFERROR(AG34/AG33,"")</f>
        <v>0.406756516233321</v>
      </c>
      <c r="AH38" s="269">
        <f>IFERROR(AH34/AH33,"")</f>
        <v>0.452815243705166</v>
      </c>
      <c r="AI38" s="269">
        <f>IFERROR(AI34/AI33,"")</f>
        <v>0.418277977575629</v>
      </c>
    </row>
    <row r="39">
      <c r="C39" s="14" t="inlineStr">
        <is>
          <t xml:space="preserve">   Margem operacional Google Cloud</t>
        </is>
      </c>
      <c r="D39" s="268">
        <f>IFERROR(D35/D24,"")</f>
        <v>-0.622974432841196</v>
      </c>
      <c r="E39" s="268">
        <f>IFERROR(E35/E24,"")</f>
        <v>-0.474226804123711</v>
      </c>
      <c r="F39" s="268">
        <f>IFERROR(F35/F24,"")</f>
        <v>-0.35075493612079</v>
      </c>
      <c r="G39" s="268">
        <f>IFERROR(G35/G24,"")</f>
        <v>-0.32445836596189</v>
      </c>
      <c r="H39" s="269">
        <f>IFERROR(H35/H24,"")</f>
        <v>-0.429359062715369</v>
      </c>
      <c r="I39" s="268">
        <f>IFERROR(I35/I24,"")</f>
        <v>-0.240672102792192</v>
      </c>
      <c r="J39" s="268">
        <f>IFERROR(J35/J24,"")</f>
        <v>-0.127700950734659</v>
      </c>
      <c r="K39" s="268">
        <f>IFERROR(K35/K24,"")</f>
        <v>-0.129058116232465</v>
      </c>
      <c r="L39" s="268">
        <f>IFERROR(L35/L24,"")</f>
        <v>-0.0131745172351561</v>
      </c>
      <c r="M39" s="269">
        <f>IFERROR(M35/M24,"")</f>
        <v>-0.11881703634281</v>
      </c>
      <c r="N39" s="268">
        <f>IFERROR(N35/N24,"")</f>
        <v>-0.159938154956193</v>
      </c>
      <c r="O39" s="268">
        <f>IFERROR(O35/O24,"")</f>
        <v>-0.136711281070746</v>
      </c>
      <c r="P39" s="268">
        <f>IFERROR(P35/P24,"")</f>
        <v>-0.101776354105999</v>
      </c>
      <c r="Q39" s="268">
        <f>IFERROR(Q35/Q24,"")</f>
        <v>0.0773752563226248</v>
      </c>
      <c r="R39" s="269">
        <f>IFERROR(R35/R24,"")</f>
        <v>-0.0731354642313546</v>
      </c>
      <c r="S39" s="268">
        <f>IFERROR(S35/S24,"")</f>
        <v>0.0256238261336195</v>
      </c>
      <c r="T39" s="268">
        <f>IFERROR(T35/T24,"")</f>
        <v>0.0491844104096626</v>
      </c>
      <c r="U39" s="268">
        <f>IFERROR(U35/U24,"")</f>
        <v>0.0316252526453454</v>
      </c>
      <c r="V39" s="268">
        <f>IFERROR(V35/V24,"")</f>
        <v>0.0939947780678851</v>
      </c>
      <c r="W39" s="269">
        <f>IFERROR(W35/W24,"")</f>
        <v>0.0518617021276596</v>
      </c>
      <c r="X39" s="268">
        <f>IFERROR(X35/X24,"")</f>
        <v>0.0940045957802382</v>
      </c>
      <c r="Y39" s="268">
        <f>IFERROR(Y35/Y24,"")</f>
        <v>0.11326954672852</v>
      </c>
      <c r="Z39" s="268">
        <f>IFERROR(Z35/Z24,"")</f>
        <v>0.171496520743416</v>
      </c>
      <c r="AA39" s="268">
        <f>IFERROR(AA35/AA24,"")</f>
        <v>0.175073191133417</v>
      </c>
      <c r="AB39" s="269">
        <f>IFERROR(AB35/AB24,"")</f>
        <v>0.141386569201231</v>
      </c>
      <c r="AC39" s="268">
        <f>IFERROR(AC35/AC24,"")</f>
        <v>0.177569331158238</v>
      </c>
      <c r="AD39" s="268">
        <f>IFERROR(AD35/AD24,"")</f>
        <v>0.207428068115091</v>
      </c>
      <c r="AE39" s="268">
        <f>IFERROR(AE35/AE24,"")</f>
        <v>0.237118163224913</v>
      </c>
      <c r="AF39" s="268">
        <f>IFERROR(AF35/AF24,"")</f>
        <v>0.30078125</v>
      </c>
      <c r="AG39" s="269">
        <f>IFERROR(AG35/AG24,"")</f>
        <v>0.236947449109957</v>
      </c>
      <c r="AH39" s="269">
        <f>IFERROR(AH35/AH24,"")</f>
        <v>0.32943878570002</v>
      </c>
      <c r="AI39" s="269">
        <f>IFERROR(AI35/AI24,"")</f>
        <v>0.355862403100775</v>
      </c>
    </row>
    <row r="40"/>
    <row r="41">
      <c r="C41" s="12" t="inlineStr">
        <is>
          <t>Receita por região (USD milhões)</t>
        </is>
      </c>
      <c r="D41" s="12" t="str">
        <f>D7</f>
        <v>1Q20</v>
      </c>
      <c r="E41" s="12" t="str">
        <f>E7</f>
        <v>2Q20</v>
      </c>
      <c r="F41" s="12" t="str">
        <f>F7</f>
        <v>3Q20</v>
      </c>
      <c r="G41" s="12" t="str">
        <f>G7</f>
        <v>4Q20</v>
      </c>
      <c r="H41" s="12">
        <f>H7</f>
        <v>2020</v>
      </c>
      <c r="I41" s="12" t="str">
        <f>I7</f>
        <v>1Q21</v>
      </c>
      <c r="J41" s="12" t="str">
        <f>J7</f>
        <v>2Q21</v>
      </c>
      <c r="K41" s="12" t="str">
        <f>K7</f>
        <v>3Q21</v>
      </c>
      <c r="L41" s="12" t="str">
        <f>L7</f>
        <v>4Q21</v>
      </c>
      <c r="M41" s="12">
        <f>M7</f>
        <v>2021</v>
      </c>
      <c r="N41" s="12" t="str">
        <f>N7</f>
        <v>1Q22</v>
      </c>
      <c r="O41" s="12" t="str">
        <f>O7</f>
        <v>2Q22</v>
      </c>
      <c r="P41" s="12" t="str">
        <f>P7</f>
        <v>3Q22</v>
      </c>
      <c r="Q41" s="12" t="str">
        <f>Q7</f>
        <v>4Q22</v>
      </c>
      <c r="R41" s="12">
        <f>R7</f>
        <v>2022</v>
      </c>
      <c r="S41" s="12" t="str">
        <f>S7</f>
        <v>1Q23</v>
      </c>
      <c r="T41" s="12" t="str">
        <f>T7</f>
        <v>2Q23</v>
      </c>
      <c r="U41" s="12" t="str">
        <f>U7</f>
        <v>3Q23</v>
      </c>
      <c r="V41" s="12" t="str">
        <f>V7</f>
        <v>4Q23</v>
      </c>
      <c r="W41" s="12">
        <f>W7</f>
        <v>2023</v>
      </c>
      <c r="X41" s="12" t="str">
        <f>X7</f>
        <v>1Q24</v>
      </c>
      <c r="Y41" s="12" t="str">
        <f>Y7</f>
        <v>2Q24</v>
      </c>
      <c r="Z41" s="12" t="str">
        <f>Z7</f>
        <v>3Q24</v>
      </c>
      <c r="AA41" s="12" t="str">
        <f>AA7</f>
        <v>4Q24</v>
      </c>
      <c r="AB41" s="12">
        <f>AB7</f>
        <v>2024</v>
      </c>
      <c r="AC41" s="12" t="str">
        <f>AC7</f>
        <v>1Q25</v>
      </c>
      <c r="AD41" s="12" t="str">
        <f>AD7</f>
        <v>2Q25</v>
      </c>
      <c r="AE41" s="12" t="str">
        <f>AE7</f>
        <v>3Q25</v>
      </c>
      <c r="AF41" s="12" t="str">
        <f>AF7</f>
        <v>4Q25</v>
      </c>
      <c r="AG41" s="12">
        <f>AG7</f>
        <v>2025</v>
      </c>
      <c r="AH41" s="12" t="str">
        <f>AH7</f>
        <v>1Q26</v>
      </c>
      <c r="AI41" s="12" t="str">
        <f>AI7</f>
        <v>2Q26</v>
      </c>
    </row>
    <row r="42">
      <c r="C42" s="14" t="inlineStr">
        <is>
          <t xml:space="preserve">   Estados Unidos</t>
        </is>
      </c>
      <c r="D42" s="265">
        <f>IFERROR(INDEX('Inputs (2)'!$D$64:$AL$64,MATCH(D$7,'Inputs (2)'!$D$2:$AL$2,0)),"")</f>
        <v>18870</v>
      </c>
      <c r="E42" s="265">
        <f>IFERROR(INDEX('Inputs (2)'!$D$64:$AL$64,MATCH(E$7,'Inputs (2)'!$D$2:$AL$2,0)),"")</f>
        <v>17999</v>
      </c>
      <c r="F42" s="265">
        <f>IFERROR(INDEX('Inputs (2)'!$D$64:$AL$64,MATCH(F$7,'Inputs (2)'!$D$2:$AL$2,0)),"")</f>
        <v>21442</v>
      </c>
      <c r="G42" s="265">
        <f>IFERROR(INDEX('Inputs (2)'!$D$64:$AL$64,MATCH(G$7,'Inputs (2)'!$D$2:$AL$2,0)),"")</f>
        <v>26703</v>
      </c>
      <c r="H42" s="266">
        <f>IF(COUNT(D42:G42)=4,SUM(D42:G42),"")</f>
        <v>85014</v>
      </c>
      <c r="I42" s="265">
        <f>IFERROR(INDEX('Inputs (2)'!$D$64:$AL$64,MATCH(I$7,'Inputs (2)'!$D$2:$AL$2,0)),"")</f>
        <v>25032</v>
      </c>
      <c r="J42" s="265">
        <f>IFERROR(INDEX('Inputs (2)'!$D$64:$AL$64,MATCH(J$7,'Inputs (2)'!$D$2:$AL$2,0)),"")</f>
        <v>28208</v>
      </c>
      <c r="K42" s="265">
        <f>IFERROR(INDEX('Inputs (2)'!$D$64:$AL$64,MATCH(K$7,'Inputs (2)'!$D$2:$AL$2,0)),"")</f>
        <v>29824</v>
      </c>
      <c r="L42" s="265">
        <f>IFERROR(INDEX('Inputs (2)'!$D$64:$AL$64,MATCH(L$7,'Inputs (2)'!$D$2:$AL$2,0)),"")</f>
        <v>34790</v>
      </c>
      <c r="M42" s="266">
        <f>IF(COUNT(I42:L42)=4,SUM(I42:L42),"")</f>
        <v>117854</v>
      </c>
      <c r="N42" s="265">
        <f>IFERROR(INDEX('Inputs (2)'!$D$64:$AL$64,MATCH(N$7,'Inputs (2)'!$D$2:$AL$2,0)),"")</f>
        <v>31733</v>
      </c>
      <c r="O42" s="265">
        <f>IFERROR(INDEX('Inputs (2)'!$D$64:$AL$64,MATCH(O$7,'Inputs (2)'!$D$2:$AL$2,0)),"")</f>
        <v>32727</v>
      </c>
      <c r="P42" s="265">
        <f>IFERROR(INDEX('Inputs (2)'!$D$64:$AL$64,MATCH(P$7,'Inputs (2)'!$D$2:$AL$2,0)),"")</f>
        <v>33372</v>
      </c>
      <c r="Q42" s="265">
        <f>IFERROR(INDEX('Inputs (2)'!$D$64:$AL$64,MATCH(Q$7,'Inputs (2)'!$D$2:$AL$2,0)),"")</f>
        <v>36982</v>
      </c>
      <c r="R42" s="266">
        <f>IF(COUNT(N42:Q42)=4,SUM(N42:Q42),"")</f>
        <v>134814</v>
      </c>
      <c r="S42" s="265">
        <f>IFERROR(INDEX('Inputs (2)'!$D$64:$AL$64,MATCH(S$7,'Inputs (2)'!$D$2:$AL$2,0)),"")</f>
        <v>32864</v>
      </c>
      <c r="T42" s="265">
        <f>IFERROR(INDEX('Inputs (2)'!$D$64:$AL$64,MATCH(T$7,'Inputs (2)'!$D$2:$AL$2,0)),"")</f>
        <v>35073</v>
      </c>
      <c r="U42" s="265">
        <f>IFERROR(INDEX('Inputs (2)'!$D$64:$AL$64,MATCH(U$7,'Inputs (2)'!$D$2:$AL$2,0)),"")</f>
        <v>36354</v>
      </c>
      <c r="V42" s="265">
        <f>IFERROR(INDEX('Inputs (2)'!$D$64:$AL$64,MATCH(V$7,'Inputs (2)'!$D$2:$AL$2,0)),"")</f>
        <v>41995</v>
      </c>
      <c r="W42" s="266">
        <f>IF(COUNT(S42:V42)=4,SUM(S42:V42),"")</f>
        <v>146286</v>
      </c>
      <c r="X42" s="265">
        <f>IFERROR(INDEX('Inputs (2)'!$D$64:$AL$64,MATCH(X$7,'Inputs (2)'!$D$2:$AL$2,0)),"")</f>
        <v>38737</v>
      </c>
      <c r="Y42" s="265">
        <f>IFERROR(INDEX('Inputs (2)'!$D$64:$AL$64,MATCH(Y$7,'Inputs (2)'!$D$2:$AL$2,0)),"")</f>
        <v>41196</v>
      </c>
      <c r="Z42" s="265">
        <f>IFERROR(INDEX('Inputs (2)'!$D$64:$AL$64,MATCH(Z$7,'Inputs (2)'!$D$2:$AL$2,0)),"")</f>
        <v>43139</v>
      </c>
      <c r="AA42" s="265">
        <f>IFERROR(INDEX('Inputs (2)'!$D$64:$AL$64,MATCH(AA$7,'Inputs (2)'!$D$2:$AL$2,0)),"")</f>
        <v>47375</v>
      </c>
      <c r="AB42" s="266">
        <f>IF(COUNT(X42:AA42)=4,SUM(X42:AA42),"")</f>
        <v>170447</v>
      </c>
      <c r="AC42" s="265">
        <f>IFERROR(INDEX('Inputs (2)'!$D$64:$AL$64,MATCH(AC$7,'Inputs (2)'!$D$2:$AL$2,0)),"")</f>
        <v>43964</v>
      </c>
      <c r="AD42" s="265">
        <f>IFERROR(INDEX('Inputs (2)'!$D$64:$AL$64,MATCH(AD$7,'Inputs (2)'!$D$2:$AL$2,0)),"")</f>
        <v>46063</v>
      </c>
      <c r="AE42" s="265">
        <f>IFERROR(INDEX('Inputs (2)'!$D$64:$AL$64,MATCH(AE$7,'Inputs (2)'!$D$2:$AL$2,0)),"")</f>
        <v>48758</v>
      </c>
      <c r="AF42" s="265">
        <f>IFERROR(INDEX('Inputs (2)'!$D$64:$AL$64,MATCH(AF$7,'Inputs (2)'!$D$2:$AL$2,0)),"")</f>
        <v>55444</v>
      </c>
      <c r="AG42" s="266">
        <f>IF(COUNT(AC42:AF42)=4,SUM(AC42:AF42),"")</f>
        <v>194229</v>
      </c>
      <c r="AH42" s="266">
        <f>IFERROR(INDEX('Inputs (2)'!$D$64:$AL$64,MATCH(AH$7,'Inputs (2)'!$D$2:$AL$2,0)),"")</f>
        <v>53975</v>
      </c>
      <c r="AI42" s="266">
        <f>IFERROR(INDEX('Inputs (2)'!$D$64:$AL$64,MATCH(AI$7,'Inputs (2)'!$D$2:$AL$2,0)),"")</f>
        <v>60846</v>
      </c>
    </row>
    <row r="43">
      <c r="C43" s="14" t="inlineStr">
        <is>
          <t xml:space="preserve">   EMEA</t>
        </is>
      </c>
      <c r="D43" s="265">
        <f>IFERROR(INDEX('Inputs (2)'!$D$65:$AL$65,MATCH(D$7,'Inputs (2)'!$D$2:$AL$2,0)),"")</f>
        <v>12845</v>
      </c>
      <c r="E43" s="265">
        <f>IFERROR(INDEX('Inputs (2)'!$D$65:$AL$65,MATCH(E$7,'Inputs (2)'!$D$2:$AL$2,0)),"")</f>
        <v>11363</v>
      </c>
      <c r="F43" s="265">
        <f>IFERROR(INDEX('Inputs (2)'!$D$65:$AL$65,MATCH(F$7,'Inputs (2)'!$D$2:$AL$2,0)),"")</f>
        <v>13924</v>
      </c>
      <c r="G43" s="265">
        <f>IFERROR(INDEX('Inputs (2)'!$D$65:$AL$65,MATCH(G$7,'Inputs (2)'!$D$2:$AL$2,0)),"")</f>
        <v>17238</v>
      </c>
      <c r="H43" s="266">
        <f>IF(COUNT(D43:G43)=4,SUM(D43:G43),"")</f>
        <v>55370</v>
      </c>
      <c r="I43" s="265">
        <f>IFERROR(INDEX('Inputs (2)'!$D$65:$AL$65,MATCH(I$7,'Inputs (2)'!$D$2:$AL$2,0)),"")</f>
        <v>17031</v>
      </c>
      <c r="J43" s="265">
        <f>IFERROR(INDEX('Inputs (2)'!$D$65:$AL$65,MATCH(J$7,'Inputs (2)'!$D$2:$AL$2,0)),"")</f>
        <v>19084</v>
      </c>
      <c r="K43" s="265">
        <f>IFERROR(INDEX('Inputs (2)'!$D$65:$AL$65,MATCH(K$7,'Inputs (2)'!$D$2:$AL$2,0)),"")</f>
        <v>19839</v>
      </c>
      <c r="L43" s="265">
        <f>IFERROR(INDEX('Inputs (2)'!$D$65:$AL$65,MATCH(L$7,'Inputs (2)'!$D$2:$AL$2,0)),"")</f>
        <v>23153</v>
      </c>
      <c r="M43" s="266">
        <f>IF(COUNT(I43:L43)=4,SUM(I43:L43),"")</f>
        <v>79107</v>
      </c>
      <c r="N43" s="265">
        <f>IFERROR(INDEX('Inputs (2)'!$D$65:$AL$65,MATCH(N$7,'Inputs (2)'!$D$2:$AL$2,0)),"")</f>
        <v>20317</v>
      </c>
      <c r="O43" s="265">
        <f>IFERROR(INDEX('Inputs (2)'!$D$65:$AL$65,MATCH(O$7,'Inputs (2)'!$D$2:$AL$2,0)),"")</f>
        <v>20533</v>
      </c>
      <c r="P43" s="265">
        <f>IFERROR(INDEX('Inputs (2)'!$D$65:$AL$65,MATCH(P$7,'Inputs (2)'!$D$2:$AL$2,0)),"")</f>
        <v>19450</v>
      </c>
      <c r="Q43" s="265">
        <f>IFERROR(INDEX('Inputs (2)'!$D$65:$AL$65,MATCH(Q$7,'Inputs (2)'!$D$2:$AL$2,0)),"")</f>
        <v>21762</v>
      </c>
      <c r="R43" s="266">
        <f>IF(COUNT(N43:Q43)=4,SUM(N43:Q43),"")</f>
        <v>82062</v>
      </c>
      <c r="S43" s="265">
        <f>IFERROR(INDEX('Inputs (2)'!$D$65:$AL$65,MATCH(S$7,'Inputs (2)'!$D$2:$AL$2,0)),"")</f>
        <v>21078</v>
      </c>
      <c r="T43" s="265">
        <f>IFERROR(INDEX('Inputs (2)'!$D$65:$AL$65,MATCH(T$7,'Inputs (2)'!$D$2:$AL$2,0)),"")</f>
        <v>22289</v>
      </c>
      <c r="U43" s="265">
        <f>IFERROR(INDEX('Inputs (2)'!$D$65:$AL$65,MATCH(U$7,'Inputs (2)'!$D$2:$AL$2,0)),"")</f>
        <v>22661</v>
      </c>
      <c r="V43" s="265">
        <f>IFERROR(INDEX('Inputs (2)'!$D$65:$AL$65,MATCH(V$7,'Inputs (2)'!$D$2:$AL$2,0)),"")</f>
        <v>25010</v>
      </c>
      <c r="W43" s="266">
        <f>IF(COUNT(S43:V43)=4,SUM(S43:V43),"")</f>
        <v>91038</v>
      </c>
      <c r="X43" s="265">
        <f>IFERROR(INDEX('Inputs (2)'!$D$65:$AL$65,MATCH(X$7,'Inputs (2)'!$D$2:$AL$2,0)),"")</f>
        <v>23788</v>
      </c>
      <c r="Y43" s="265">
        <f>IFERROR(INDEX('Inputs (2)'!$D$65:$AL$65,MATCH(Y$7,'Inputs (2)'!$D$2:$AL$2,0)),"")</f>
        <v>24683</v>
      </c>
      <c r="Z43" s="265">
        <f>IFERROR(INDEX('Inputs (2)'!$D$65:$AL$65,MATCH(Z$7,'Inputs (2)'!$D$2:$AL$2,0)),"")</f>
        <v>25472</v>
      </c>
      <c r="AA43" s="265">
        <f>IFERROR(INDEX('Inputs (2)'!$D$65:$AL$65,MATCH(AA$7,'Inputs (2)'!$D$2:$AL$2,0)),"")</f>
        <v>28184</v>
      </c>
      <c r="AB43" s="266">
        <f>IF(COUNT(X43:AA43)=4,SUM(X43:AA43),"")</f>
        <v>102127</v>
      </c>
      <c r="AC43" s="265">
        <f>IFERROR(INDEX('Inputs (2)'!$D$65:$AL$65,MATCH(AC$7,'Inputs (2)'!$D$2:$AL$2,0)),"")</f>
        <v>25923</v>
      </c>
      <c r="AD43" s="265">
        <f>IFERROR(INDEX('Inputs (2)'!$D$65:$AL$65,MATCH(AD$7,'Inputs (2)'!$D$2:$AL$2,0)),"")</f>
        <v>28262</v>
      </c>
      <c r="AE43" s="265">
        <f>IFERROR(INDEX('Inputs (2)'!$D$65:$AL$65,MATCH(AE$7,'Inputs (2)'!$D$2:$AL$2,0)),"")</f>
        <v>29911</v>
      </c>
      <c r="AF43" s="265">
        <f>IFERROR(INDEX('Inputs (2)'!$D$65:$AL$65,MATCH(AF$7,'Inputs (2)'!$D$2:$AL$2,0)),"")</f>
        <v>33056</v>
      </c>
      <c r="AG43" s="266">
        <f>IF(COUNT(AC43:AF43)=4,SUM(AC43:AF43),"")</f>
        <v>117152</v>
      </c>
      <c r="AH43" s="266">
        <f>IFERROR(INDEX('Inputs (2)'!$D$65:$AL$65,MATCH(AH$7,'Inputs (2)'!$D$2:$AL$2,0)),"")</f>
        <v>31468</v>
      </c>
      <c r="AI43" s="266">
        <f>IFERROR(INDEX('Inputs (2)'!$D$65:$AL$65,MATCH(AI$7,'Inputs (2)'!$D$2:$AL$2,0)),"")</f>
        <v>32501</v>
      </c>
    </row>
    <row r="44">
      <c r="C44" s="14" t="inlineStr">
        <is>
          <t xml:space="preserve">   APAC</t>
        </is>
      </c>
      <c r="D44" s="265">
        <f>IFERROR(INDEX('Inputs (2)'!$D$66:$AL$66,MATCH(D$7,'Inputs (2)'!$D$2:$AL$2,0)),"")</f>
        <v>7238</v>
      </c>
      <c r="E44" s="265">
        <f>IFERROR(INDEX('Inputs (2)'!$D$66:$AL$66,MATCH(E$7,'Inputs (2)'!$D$2:$AL$2,0)),"")</f>
        <v>6945</v>
      </c>
      <c r="F44" s="265">
        <f>IFERROR(INDEX('Inputs (2)'!$D$66:$AL$66,MATCH(F$7,'Inputs (2)'!$D$2:$AL$2,0)),"")</f>
        <v>8458</v>
      </c>
      <c r="G44" s="265">
        <f>IFERROR(INDEX('Inputs (2)'!$D$66:$AL$66,MATCH(G$7,'Inputs (2)'!$D$2:$AL$2,0)),"")</f>
        <v>9909</v>
      </c>
      <c r="H44" s="266">
        <f>IF(COUNT(D44:G44)=4,SUM(D44:G44),"")</f>
        <v>32550</v>
      </c>
      <c r="I44" s="265">
        <f>IFERROR(INDEX('Inputs (2)'!$D$66:$AL$66,MATCH(I$7,'Inputs (2)'!$D$2:$AL$2,0)),"")</f>
        <v>10455</v>
      </c>
      <c r="J44" s="265">
        <f>IFERROR(INDEX('Inputs (2)'!$D$66:$AL$66,MATCH(J$7,'Inputs (2)'!$D$2:$AL$2,0)),"")</f>
        <v>11231</v>
      </c>
      <c r="K44" s="265">
        <f>IFERROR(INDEX('Inputs (2)'!$D$66:$AL$66,MATCH(K$7,'Inputs (2)'!$D$2:$AL$2,0)),"")</f>
        <v>11705</v>
      </c>
      <c r="L44" s="265">
        <f>IFERROR(INDEX('Inputs (2)'!$D$66:$AL$66,MATCH(L$7,'Inputs (2)'!$D$2:$AL$2,0)),"")</f>
        <v>12732</v>
      </c>
      <c r="M44" s="266">
        <f>IF(COUNT(I44:L44)=4,SUM(I44:L44),"")</f>
        <v>46123</v>
      </c>
      <c r="N44" s="265">
        <f>IFERROR(INDEX('Inputs (2)'!$D$66:$AL$66,MATCH(N$7,'Inputs (2)'!$D$2:$AL$2,0)),"")</f>
        <v>11841</v>
      </c>
      <c r="O44" s="265">
        <f>IFERROR(INDEX('Inputs (2)'!$D$66:$AL$66,MATCH(O$7,'Inputs (2)'!$D$2:$AL$2,0)),"")</f>
        <v>11710</v>
      </c>
      <c r="P44" s="265">
        <f>IFERROR(INDEX('Inputs (2)'!$D$66:$AL$66,MATCH(P$7,'Inputs (2)'!$D$2:$AL$2,0)),"")</f>
        <v>11494</v>
      </c>
      <c r="Q44" s="265">
        <f>IFERROR(INDEX('Inputs (2)'!$D$66:$AL$66,MATCH(Q$7,'Inputs (2)'!$D$2:$AL$2,0)),"")</f>
        <v>11979</v>
      </c>
      <c r="R44" s="266">
        <f>IF(COUNT(N44:Q44)=4,SUM(N44:Q44),"")</f>
        <v>47024</v>
      </c>
      <c r="S44" s="265">
        <f>IFERROR(INDEX('Inputs (2)'!$D$66:$AL$66,MATCH(S$7,'Inputs (2)'!$D$2:$AL$2,0)),"")</f>
        <v>11681</v>
      </c>
      <c r="T44" s="265">
        <f>IFERROR(INDEX('Inputs (2)'!$D$66:$AL$66,MATCH(T$7,'Inputs (2)'!$D$2:$AL$2,0)),"")</f>
        <v>12728</v>
      </c>
      <c r="U44" s="265">
        <f>IFERROR(INDEX('Inputs (2)'!$D$66:$AL$66,MATCH(U$7,'Inputs (2)'!$D$2:$AL$2,0)),"")</f>
        <v>13126</v>
      </c>
      <c r="V44" s="265">
        <f>IFERROR(INDEX('Inputs (2)'!$D$66:$AL$66,MATCH(V$7,'Inputs (2)'!$D$2:$AL$2,0)),"")</f>
        <v>13979</v>
      </c>
      <c r="W44" s="266">
        <f>IF(COUNT(S44:V44)=4,SUM(S44:V44),"")</f>
        <v>51514</v>
      </c>
      <c r="X44" s="265">
        <f>IFERROR(INDEX('Inputs (2)'!$D$66:$AL$66,MATCH(X$7,'Inputs (2)'!$D$2:$AL$2,0)),"")</f>
        <v>13289</v>
      </c>
      <c r="Y44" s="265">
        <f>IFERROR(INDEX('Inputs (2)'!$D$66:$AL$66,MATCH(Y$7,'Inputs (2)'!$D$2:$AL$2,0)),"")</f>
        <v>13823</v>
      </c>
      <c r="Z44" s="265">
        <f>IFERROR(INDEX('Inputs (2)'!$D$66:$AL$66,MATCH(Z$7,'Inputs (2)'!$D$2:$AL$2,0)),"")</f>
        <v>14547</v>
      </c>
      <c r="AA44" s="265">
        <f>IFERROR(INDEX('Inputs (2)'!$D$66:$AL$66,MATCH(AA$7,'Inputs (2)'!$D$2:$AL$2,0)),"")</f>
        <v>15156</v>
      </c>
      <c r="AB44" s="266">
        <f>IF(COUNT(X44:AA44)=4,SUM(X44:AA44),"")</f>
        <v>56815</v>
      </c>
      <c r="AC44" s="265">
        <f>IFERROR(INDEX('Inputs (2)'!$D$66:$AL$66,MATCH(AC$7,'Inputs (2)'!$D$2:$AL$2,0)),"")</f>
        <v>14854</v>
      </c>
      <c r="AD44" s="265">
        <f>IFERROR(INDEX('Inputs (2)'!$D$66:$AL$66,MATCH(AD$7,'Inputs (2)'!$D$2:$AL$2,0)),"")</f>
        <v>16480</v>
      </c>
      <c r="AE44" s="265">
        <f>IFERROR(INDEX('Inputs (2)'!$D$66:$AL$66,MATCH(AE$7,'Inputs (2)'!$D$2:$AL$2,0)),"")</f>
        <v>17819</v>
      </c>
      <c r="AF44" s="265">
        <f>IFERROR(INDEX('Inputs (2)'!$D$66:$AL$66,MATCH(AF$7,'Inputs (2)'!$D$2:$AL$2,0)),"")</f>
        <v>18527</v>
      </c>
      <c r="AG44" s="266">
        <f>IF(COUNT(AC44:AF44)=4,SUM(AC44:AF44),"")</f>
        <v>67680</v>
      </c>
      <c r="AH44" s="266">
        <f>IFERROR(INDEX('Inputs (2)'!$D$66:$AL$66,MATCH(AH$7,'Inputs (2)'!$D$2:$AL$2,0)),"")</f>
        <v>18288</v>
      </c>
      <c r="AI44" s="266">
        <f>IFERROR(INDEX('Inputs (2)'!$D$66:$AL$66,MATCH(AI$7,'Inputs (2)'!$D$2:$AL$2,0)),"")</f>
        <v>19317</v>
      </c>
    </row>
    <row r="45">
      <c r="C45" s="14" t="inlineStr">
        <is>
          <t xml:space="preserve">   Outras Américas</t>
        </is>
      </c>
      <c r="D45" s="265">
        <f>IFERROR(INDEX('Inputs (2)'!$D$67:$AL$67,MATCH(D$7,'Inputs (2)'!$D$2:$AL$2,0)),"")</f>
        <v>2157</v>
      </c>
      <c r="E45" s="265">
        <f>IFERROR(INDEX('Inputs (2)'!$D$67:$AL$67,MATCH(E$7,'Inputs (2)'!$D$2:$AL$2,0)),"")</f>
        <v>1839</v>
      </c>
      <c r="F45" s="265">
        <f>IFERROR(INDEX('Inputs (2)'!$D$67:$AL$67,MATCH(F$7,'Inputs (2)'!$D$2:$AL$2,0)),"")</f>
        <v>2371</v>
      </c>
      <c r="G45" s="265">
        <f>IFERROR(INDEX('Inputs (2)'!$D$67:$AL$67,MATCH(G$7,'Inputs (2)'!$D$2:$AL$2,0)),"")</f>
        <v>3050</v>
      </c>
      <c r="H45" s="266">
        <f>IF(COUNT(D45:G45)=4,SUM(D45:G45),"")</f>
        <v>9417</v>
      </c>
      <c r="I45" s="265">
        <f>IFERROR(INDEX('Inputs (2)'!$D$67:$AL$67,MATCH(I$7,'Inputs (2)'!$D$2:$AL$2,0)),"")</f>
        <v>2905</v>
      </c>
      <c r="J45" s="265">
        <f>IFERROR(INDEX('Inputs (2)'!$D$67:$AL$67,MATCH(J$7,'Inputs (2)'!$D$2:$AL$2,0)),"")</f>
        <v>3364</v>
      </c>
      <c r="K45" s="265">
        <f>IFERROR(INDEX('Inputs (2)'!$D$67:$AL$67,MATCH(K$7,'Inputs (2)'!$D$2:$AL$2,0)),"")</f>
        <v>3688</v>
      </c>
      <c r="L45" s="265">
        <f>IFERROR(INDEX('Inputs (2)'!$D$67:$AL$67,MATCH(L$7,'Inputs (2)'!$D$2:$AL$2,0)),"")</f>
        <v>4447</v>
      </c>
      <c r="M45" s="266">
        <f>IF(COUNT(I45:L45)=4,SUM(I45:L45),"")</f>
        <v>14404</v>
      </c>
      <c r="N45" s="265">
        <f>IFERROR(INDEX('Inputs (2)'!$D$67:$AL$67,MATCH(N$7,'Inputs (2)'!$D$2:$AL$2,0)),"")</f>
        <v>3842</v>
      </c>
      <c r="O45" s="265">
        <f>IFERROR(INDEX('Inputs (2)'!$D$67:$AL$67,MATCH(O$7,'Inputs (2)'!$D$2:$AL$2,0)),"")</f>
        <v>4340</v>
      </c>
      <c r="P45" s="265">
        <f>IFERROR(INDEX('Inputs (2)'!$D$67:$AL$67,MATCH(P$7,'Inputs (2)'!$D$2:$AL$2,0)),"")</f>
        <v>4138</v>
      </c>
      <c r="Q45" s="265">
        <f>IFERROR(INDEX('Inputs (2)'!$D$67:$AL$67,MATCH(Q$7,'Inputs (2)'!$D$2:$AL$2,0)),"")</f>
        <v>4656</v>
      </c>
      <c r="R45" s="266">
        <f>IF(COUNT(N45:Q45)=4,SUM(N45:Q45),"")</f>
        <v>16976</v>
      </c>
      <c r="S45" s="265">
        <f>IFERROR(INDEX('Inputs (2)'!$D$67:$AL$67,MATCH(S$7,'Inputs (2)'!$D$2:$AL$2,0)),"")</f>
        <v>4080</v>
      </c>
      <c r="T45" s="265">
        <f>IFERROR(INDEX('Inputs (2)'!$D$67:$AL$67,MATCH(T$7,'Inputs (2)'!$D$2:$AL$2,0)),"")</f>
        <v>4511</v>
      </c>
      <c r="U45" s="265">
        <f>IFERROR(INDEX('Inputs (2)'!$D$67:$AL$67,MATCH(U$7,'Inputs (2)'!$D$2:$AL$2,0)),"")</f>
        <v>4553</v>
      </c>
      <c r="V45" s="265">
        <f>IFERROR(INDEX('Inputs (2)'!$D$67:$AL$67,MATCH(V$7,'Inputs (2)'!$D$2:$AL$2,0)),"")</f>
        <v>5176</v>
      </c>
      <c r="W45" s="266">
        <f>IF(COUNT(S45:V45)=4,SUM(S45:V45),"")</f>
        <v>18320</v>
      </c>
      <c r="X45" s="265">
        <f>IFERROR(INDEX('Inputs (2)'!$D$67:$AL$67,MATCH(X$7,'Inputs (2)'!$D$2:$AL$2,0)),"")</f>
        <v>4653</v>
      </c>
      <c r="Y45" s="265">
        <f>IFERROR(INDEX('Inputs (2)'!$D$67:$AL$67,MATCH(Y$7,'Inputs (2)'!$D$2:$AL$2,0)),"")</f>
        <v>4938</v>
      </c>
      <c r="Z45" s="265">
        <f>IFERROR(INDEX('Inputs (2)'!$D$67:$AL$67,MATCH(Z$7,'Inputs (2)'!$D$2:$AL$2,0)),"")</f>
        <v>5093</v>
      </c>
      <c r="AA45" s="265">
        <f>IFERROR(INDEX('Inputs (2)'!$D$67:$AL$67,MATCH(AA$7,'Inputs (2)'!$D$2:$AL$2,0)),"")</f>
        <v>5734</v>
      </c>
      <c r="AB45" s="266">
        <f>IF(COUNT(X45:AA45)=4,SUM(X45:AA45),"")</f>
        <v>20418</v>
      </c>
      <c r="AC45" s="265">
        <f>IFERROR(INDEX('Inputs (2)'!$D$67:$AL$67,MATCH(AC$7,'Inputs (2)'!$D$2:$AL$2,0)),"")</f>
        <v>5233</v>
      </c>
      <c r="AD45" s="265">
        <f>IFERROR(INDEX('Inputs (2)'!$D$67:$AL$67,MATCH(AD$7,'Inputs (2)'!$D$2:$AL$2,0)),"")</f>
        <v>5735</v>
      </c>
      <c r="AE45" s="265">
        <f>IFERROR(INDEX('Inputs (2)'!$D$67:$AL$67,MATCH(AE$7,'Inputs (2)'!$D$2:$AL$2,0)),"")</f>
        <v>6065</v>
      </c>
      <c r="AF45" s="265">
        <f>IFERROR(INDEX('Inputs (2)'!$D$67:$AL$67,MATCH(AF$7,'Inputs (2)'!$D$2:$AL$2,0)),"")</f>
        <v>6869</v>
      </c>
      <c r="AG45" s="266">
        <f>IF(COUNT(AC45:AF45)=4,SUM(AC45:AF45),"")</f>
        <v>23902</v>
      </c>
      <c r="AH45" s="266">
        <f>IFERROR(INDEX('Inputs (2)'!$D$67:$AL$67,MATCH(AH$7,'Inputs (2)'!$D$2:$AL$2,0)),"")</f>
        <v>6345</v>
      </c>
      <c r="AI45" s="266">
        <f>IFERROR(INDEX('Inputs (2)'!$D$67:$AL$67,MATCH(AI$7,'Inputs (2)'!$D$2:$AL$2,0)),"")</f>
        <v>7026</v>
      </c>
    </row>
    <row r="46">
      <c r="C46" s="14" t="inlineStr">
        <is>
          <t xml:space="preserve">   % EUA na receita</t>
        </is>
      </c>
      <c r="D46" s="268">
        <f>IFERROR(D42/D26,"")</f>
        <v>0.459012405740696</v>
      </c>
      <c r="E46" s="268">
        <f>IFERROR(E42/E26,"")</f>
        <v>0.471845016515493</v>
      </c>
      <c r="F46" s="268">
        <f>IFERROR(F42/F26,"")</f>
        <v>0.464162788180539</v>
      </c>
      <c r="G46" s="268">
        <f>IFERROR(G42/G26,"")</f>
        <v>0.469297012302285</v>
      </c>
      <c r="H46" s="269">
        <f>IFERROR(H42/H26,"")</f>
        <v>0.466210769340448</v>
      </c>
      <c r="I46" s="268">
        <f>IFERROR(I42/I26,"")</f>
        <v>0.451653645598398</v>
      </c>
      <c r="J46" s="268">
        <f>IFERROR(J42/J26,"")</f>
        <v>0.455798471407565</v>
      </c>
      <c r="K46" s="268">
        <f>IFERROR(K42/K26,"")</f>
        <v>0.458435809149041</v>
      </c>
      <c r="L46" s="268">
        <f>IFERROR(L42/L26,"")</f>
        <v>0.463113335640691</v>
      </c>
      <c r="M46" s="269">
        <f>IFERROR(M42/M26,"")</f>
        <v>0.457706766917293</v>
      </c>
      <c r="N46" s="268">
        <f>IFERROR(N42/N26,"")</f>
        <v>0.468501321364771</v>
      </c>
      <c r="O46" s="268">
        <f>IFERROR(O42/O26,"")</f>
        <v>0.472182946183812</v>
      </c>
      <c r="P46" s="268">
        <f>IFERROR(P42/P26,"")</f>
        <v>0.48750986063634</v>
      </c>
      <c r="Q46" s="268">
        <f>IFERROR(Q42/Q26,"")</f>
        <v>0.490614096764351</v>
      </c>
      <c r="R46" s="269">
        <f>IFERROR(R42/R26,"")</f>
        <v>0.479976929321124</v>
      </c>
      <c r="S46" s="268">
        <f>IFERROR(S42/S26,"")</f>
        <v>0.471486162718965</v>
      </c>
      <c r="T46" s="268">
        <f>IFERROR(T42/T26,"")</f>
        <v>0.47014115092291</v>
      </c>
      <c r="U46" s="268">
        <f>IFERROR(U42/U26,"")</f>
        <v>0.474013612538139</v>
      </c>
      <c r="V46" s="268">
        <f>IFERROR(V42/V26,"")</f>
        <v>0.487407149489322</v>
      </c>
      <c r="W46" s="269">
        <f>IFERROR(W42/W26,"")</f>
        <v>0.476256519446018</v>
      </c>
      <c r="X46" s="268">
        <f>IFERROR(X42/X26,"")</f>
        <v>0.481402313992071</v>
      </c>
      <c r="Y46" s="268">
        <f>IFERROR(Y42/Y26,"")</f>
        <v>0.4867202268431</v>
      </c>
      <c r="Z46" s="268">
        <f>IFERROR(Z42/Z26,"")</f>
        <v>0.488821656411825</v>
      </c>
      <c r="AA46" s="268">
        <f>IFERROR(AA42/AA26,"")</f>
        <v>0.491192236311418</v>
      </c>
      <c r="AB46" s="269">
        <f>IFERROR(AB42/AB26,"")</f>
        <v>0.487260117722058</v>
      </c>
      <c r="AC46" s="268">
        <f>IFERROR(AC42/AC26,"")</f>
        <v>0.48863004868073</v>
      </c>
      <c r="AD46" s="268">
        <f>IFERROR(AD42/AD26,"")</f>
        <v>0.477139009736897</v>
      </c>
      <c r="AE46" s="268">
        <f>IFERROR(AE42/AE26,"")</f>
        <v>0.475441966592884</v>
      </c>
      <c r="AF46" s="268">
        <f>IFERROR(AF42/AF26,"")</f>
        <v>0.486794970850601</v>
      </c>
      <c r="AG46" s="269">
        <f>IFERROR(AG42/AG26,"")</f>
        <v>0.482002069668927</v>
      </c>
      <c r="AH46" s="269">
        <f>IFERROR(AH42/AH26,"")</f>
        <v>0.490343035720775</v>
      </c>
      <c r="AI46" s="269">
        <f>IFERROR(AI42/AI26,"")</f>
        <v>0.508363271785446</v>
      </c>
    </row>
    <row r="47"/>
    <row r="48" hidden="1" outlineLevel="1" customFormat="1" s="23">
      <c r="A48" s="18" t="n"/>
      <c r="B48" s="19" t="n"/>
      <c r="C48" s="20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  <c r="CA48" s="21" t="n"/>
      <c r="CB48" s="21" t="n"/>
      <c r="CC48" s="21" t="n"/>
      <c r="CD48" s="21" t="n"/>
      <c r="CE48" s="21" t="n"/>
      <c r="CF48" s="21" t="n"/>
      <c r="CG48" s="21" t="n"/>
      <c r="CH48" s="21" t="n"/>
      <c r="CI48" s="21" t="n"/>
      <c r="CJ48" s="21" t="n"/>
      <c r="CK48" s="21" t="n"/>
      <c r="CL48" s="21" t="n"/>
      <c r="CM48" s="21" t="n"/>
      <c r="CN48" s="21" t="n"/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</row>
    <row r="49" hidden="1" outlineLevel="1" customFormat="1" s="23">
      <c r="A49" s="18" t="n"/>
      <c r="B49" s="19" t="n"/>
      <c r="C49" s="20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1" t="n"/>
      <c r="CI49" s="21" t="n"/>
      <c r="CJ49" s="21" t="n"/>
      <c r="CK49" s="21" t="n"/>
      <c r="CL49" s="21" t="n"/>
      <c r="CM49" s="21" t="n"/>
      <c r="CN49" s="21" t="n"/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</row>
    <row r="50" collapsed="1">
      <c r="C50" s="24" t="inlineStr">
        <is>
          <t>COGS (cash)</t>
        </is>
      </c>
      <c r="D50" s="25">
        <f>INDEX('Inputs (2)'!$D$5:$AL$5,MATCH(D$7,'Inputs (2)'!$D$2:$AL$2,0))</f>
        <v>-18982</v>
      </c>
      <c r="E50" s="25">
        <f>INDEX('Inputs (2)'!$D$5:$AL$5,MATCH(E$7,'Inputs (2)'!$D$2:$AL$2,0))</f>
        <v>-18553</v>
      </c>
      <c r="F50" s="25">
        <f>INDEX('Inputs (2)'!$D$5:$AL$5,MATCH(F$7,'Inputs (2)'!$D$2:$AL$2,0))</f>
        <v>-21117</v>
      </c>
      <c r="G50" s="25">
        <f>INDEX('Inputs (2)'!$D$5:$AL$5,MATCH(G$7,'Inputs (2)'!$D$2:$AL$2,0))</f>
        <v>-26080</v>
      </c>
      <c r="H50" s="3">
        <f>SUM(D50:G50)</f>
        <v>-84732</v>
      </c>
      <c r="I50" s="25">
        <f>INDEX('Inputs (2)'!$D$5:$AL$5,MATCH(I$7,'Inputs (2)'!$D$2:$AL$2,0))</f>
        <v>-24103</v>
      </c>
      <c r="J50" s="25">
        <f>INDEX('Inputs (2)'!$D$5:$AL$5,MATCH(J$7,'Inputs (2)'!$D$2:$AL$2,0))</f>
        <v>-26227</v>
      </c>
      <c r="K50" s="25">
        <f>INDEX('Inputs (2)'!$D$5:$AL$5,MATCH(K$7,'Inputs (2)'!$D$2:$AL$2,0))</f>
        <v>-27621</v>
      </c>
      <c r="L50" s="25">
        <f>INDEX('Inputs (2)'!$D$5:$AL$5,MATCH(L$7,'Inputs (2)'!$D$2:$AL$2,0))</f>
        <v>-32988</v>
      </c>
      <c r="M50" s="3">
        <f>SUM(I50:L50)</f>
        <v>-110939</v>
      </c>
      <c r="N50" s="25">
        <f>INDEX('Inputs (2)'!$D$5:$AL$5,MATCH(N$7,'Inputs (2)'!$D$2:$AL$2,0))</f>
        <v>-29599</v>
      </c>
      <c r="O50" s="25">
        <f>INDEX('Inputs (2)'!$D$5:$AL$5,MATCH(O$7,'Inputs (2)'!$D$2:$AL$2,0))</f>
        <v>-30104</v>
      </c>
      <c r="P50" s="25">
        <f>INDEX('Inputs (2)'!$D$5:$AL$5,MATCH(P$7,'Inputs (2)'!$D$2:$AL$2,0))</f>
        <v>-31158</v>
      </c>
      <c r="Q50" s="25">
        <f>INDEX('Inputs (2)'!$D$5:$AL$5,MATCH(Q$7,'Inputs (2)'!$D$2:$AL$2,0))</f>
        <v>-35342</v>
      </c>
      <c r="R50" s="3">
        <f>SUM(N50:Q50)</f>
        <v>-126203</v>
      </c>
      <c r="S50" s="25">
        <f>INDEX('Inputs (2)'!$D$5:$AL$5,MATCH(S$7,'Inputs (2)'!$D$2:$AL$2,0))</f>
        <v>-30612</v>
      </c>
      <c r="T50" s="25">
        <f>INDEX('Inputs (2)'!$D$5:$AL$5,MATCH(T$7,'Inputs (2)'!$D$2:$AL$2,0))</f>
        <v>-31916</v>
      </c>
      <c r="U50" s="25">
        <f>INDEX('Inputs (2)'!$D$5:$AL$5,MATCH(U$7,'Inputs (2)'!$D$2:$AL$2,0))</f>
        <v>-33229</v>
      </c>
      <c r="V50" s="25">
        <f>INDEX('Inputs (2)'!$D$5:$AL$5,MATCH(V$7,'Inputs (2)'!$D$2:$AL$2,0))</f>
        <v>-37575</v>
      </c>
      <c r="W50" s="3">
        <f>SUM(S50:V50)</f>
        <v>-133332</v>
      </c>
      <c r="X50" s="25">
        <f>INDEX('Inputs (2)'!$D$5:$AL$5,MATCH(X$7,'Inputs (2)'!$D$2:$AL$2,0))</f>
        <v>-33712</v>
      </c>
      <c r="Y50" s="25">
        <f>INDEX('Inputs (2)'!$D$5:$AL$5,MATCH(Y$7,'Inputs (2)'!$D$2:$AL$2,0))</f>
        <v>-35507</v>
      </c>
      <c r="Z50" s="25">
        <f>INDEX('Inputs (2)'!$D$5:$AL$5,MATCH(Z$7,'Inputs (2)'!$D$2:$AL$2,0))</f>
        <v>-36474</v>
      </c>
      <c r="AA50" s="25">
        <f>INDEX('Inputs (2)'!$D$5:$AL$5,MATCH(AA$7,'Inputs (2)'!$D$2:$AL$2,0))</f>
        <v>-40613</v>
      </c>
      <c r="AB50" s="3">
        <f>SUM(X50:AA50)</f>
        <v>-146306</v>
      </c>
      <c r="AC50" s="25">
        <f>INDEX('Inputs (2)'!$D$5:$AL$5,MATCH(AC$7,'Inputs (2)'!$D$2:$AL$2,0))</f>
        <v>-36361</v>
      </c>
      <c r="AD50" s="25">
        <f>INDEX('Inputs (2)'!$D$5:$AL$5,MATCH(AD$7,'Inputs (2)'!$D$2:$AL$2,0))</f>
        <v>-39039</v>
      </c>
      <c r="AE50" s="25">
        <f>INDEX('Inputs (2)'!$D$5:$AL$5,MATCH(AE$7,'Inputs (2)'!$D$2:$AL$2,0))</f>
        <v>-41369</v>
      </c>
      <c r="AF50" s="25">
        <f>INDEX('Inputs (2)'!$D$5:$AL$5,MATCH(AF$7,'Inputs (2)'!$D$2:$AL$2,0))</f>
        <v>-45767</v>
      </c>
      <c r="AG50" s="3">
        <f>SUM(AC50:AF50)</f>
        <v>-162536</v>
      </c>
      <c r="AH50" s="3">
        <f>INDEX('Inputs (2)'!$D$5:$AL$5,MATCH(AH$7,'Inputs (2)'!$D$2:$AL$2,0))</f>
        <v>-41271</v>
      </c>
      <c r="AI50" s="3">
        <f>INDEX('Inputs (2)'!$D$5:$AL$5,MATCH(AI$7,'Inputs (2)'!$D$2:$AL$2,0))</f>
        <v>-45943</v>
      </c>
      <c r="AJ50" s="3">
        <f>(100%-AJ51)*-AJ15</f>
        <v>-102346</v>
      </c>
      <c r="AK50" s="3">
        <f>(100%-AK51)*-AK15</f>
        <v>-113829</v>
      </c>
      <c r="AL50" s="3">
        <f>SUM(AH50:AK50)</f>
        <v>-303389</v>
      </c>
      <c r="AM50" s="3">
        <f>(100%-AM51)*-AM15</f>
        <v>-109896</v>
      </c>
      <c r="AN50" s="3">
        <f>(100%-AN51)*-AN15</f>
        <v>-119796</v>
      </c>
      <c r="AO50" s="3">
        <f>(100%-AO51)*-AO15</f>
        <v>-102346</v>
      </c>
      <c r="AP50" s="3">
        <f>(100%-AP51)*-AP15</f>
        <v>-113829</v>
      </c>
      <c r="AQ50" s="3">
        <f>SUM(AM50:AP50)</f>
        <v>-445867</v>
      </c>
      <c r="AR50" s="3">
        <f>(100%-AR51)*-AR15</f>
        <v>-109896</v>
      </c>
      <c r="AS50" s="3">
        <f>(100%-AS51)*-AS15</f>
        <v>-119796</v>
      </c>
      <c r="AT50" s="3">
        <f>(100%-AT51)*-AT15</f>
        <v>-102346</v>
      </c>
      <c r="AU50" s="3">
        <f>(100%-AU51)*-AU15</f>
        <v>-113829</v>
      </c>
      <c r="AV50" s="3">
        <f>SUM(AR50:AU50)</f>
        <v>-445867</v>
      </c>
      <c r="AW50" s="3">
        <f>(100%-AW51)*-AW15</f>
        <v>-109896</v>
      </c>
      <c r="AX50" s="3">
        <f>(100%-AX51)*-AX15</f>
        <v>-119796</v>
      </c>
      <c r="AY50" s="3">
        <f>(100%-AY51)*-AY15</f>
        <v>-102346</v>
      </c>
      <c r="AZ50" s="3">
        <f>(100%-AZ51)*-AZ15</f>
        <v>-113829</v>
      </c>
      <c r="BA50" s="3">
        <f>SUM(AW50:AZ50)</f>
        <v>-445867</v>
      </c>
      <c r="BB50" s="3">
        <f>(100%-BB51)*-BB15</f>
        <v>-109896</v>
      </c>
      <c r="BC50" s="3">
        <f>(100%-BC51)*-BC15</f>
        <v>-119796</v>
      </c>
      <c r="BD50" s="3">
        <f>(100%-BD51)*-BD15</f>
        <v>-102346</v>
      </c>
      <c r="BE50" s="3">
        <f>(100%-BE51)*-BE15</f>
        <v>-113829</v>
      </c>
      <c r="BF50" s="3">
        <f>SUM(BB50:BE50)</f>
        <v>-445867</v>
      </c>
      <c r="BG50" s="3">
        <f>(100%-BG51)*-BG15</f>
        <v>-109896</v>
      </c>
      <c r="BH50" s="3">
        <f>(100%-BH51)*-BH15</f>
        <v>-119796</v>
      </c>
      <c r="BI50" s="3">
        <f>(100%-BI51)*-BI15</f>
        <v>-102346</v>
      </c>
      <c r="BJ50" s="3">
        <f>(100%-BJ51)*-BJ15</f>
        <v>-113829</v>
      </c>
      <c r="BK50" s="3">
        <f>SUM(BG50:BJ50)</f>
        <v>-445867</v>
      </c>
      <c r="BL50" s="3">
        <f>(100%-BL51)*-BL15</f>
        <v>-109896</v>
      </c>
      <c r="BM50" s="3">
        <f>(100%-BM51)*-BM15</f>
        <v>-119796</v>
      </c>
      <c r="BN50" s="3">
        <f>(100%-BN51)*-BN15</f>
        <v>-102346</v>
      </c>
      <c r="BO50" s="3">
        <f>(100%-BO51)*-BO15</f>
        <v>-113829</v>
      </c>
      <c r="BP50" s="3">
        <f>SUM(BL50:BO50)</f>
        <v>-445867</v>
      </c>
      <c r="BQ50" s="3">
        <f>(100%-BQ51)*-BQ15</f>
        <v>-109896</v>
      </c>
      <c r="BR50" s="3">
        <f>(100%-BR51)*-BR15</f>
        <v>-119796</v>
      </c>
      <c r="BS50" s="3">
        <f>(100%-BS51)*-BS15</f>
        <v>-102346</v>
      </c>
      <c r="BT50" s="3">
        <f>(100%-BT51)*-BT15</f>
        <v>-113829</v>
      </c>
      <c r="BU50" s="3">
        <f>SUM(BQ50:BT50)</f>
        <v>-445867</v>
      </c>
      <c r="BV50" s="3">
        <f>(100%-BV51)*-BV15</f>
        <v>-109896</v>
      </c>
      <c r="BW50" s="3">
        <f>(100%-BW51)*-BW15</f>
        <v>-119796</v>
      </c>
      <c r="BX50" s="3">
        <f>(100%-BX51)*-BX15</f>
        <v>-102346</v>
      </c>
      <c r="BY50" s="3">
        <f>(100%-BY51)*-BY15</f>
        <v>-113829</v>
      </c>
      <c r="BZ50" s="3">
        <f>SUM(BV50:BY50)</f>
        <v>-445867</v>
      </c>
      <c r="CA50" s="3">
        <f>(100%-CA51)*-CA15</f>
        <v>-109896</v>
      </c>
      <c r="CB50" s="3">
        <f>(100%-CB51)*-CB15</f>
        <v>-119796</v>
      </c>
      <c r="CC50" s="3">
        <f>(100%-CC51)*-CC15</f>
        <v>-102346</v>
      </c>
      <c r="CD50" s="3">
        <f>(100%-CD51)*-CD15</f>
        <v>-113829</v>
      </c>
      <c r="CE50" s="3">
        <f>SUM(CA50:CD50)</f>
        <v>-445867</v>
      </c>
      <c r="CF50" s="3">
        <f>(100%-CF51)*-CF15</f>
        <v>-109896</v>
      </c>
      <c r="CG50" s="3">
        <f>(100%-CG51)*-CG15</f>
        <v>-119796</v>
      </c>
      <c r="CH50" s="3">
        <f>(100%-CH51)*-CH15</f>
        <v>-102346</v>
      </c>
      <c r="CI50" s="3">
        <f>(100%-CI51)*-CI15</f>
        <v>-113829</v>
      </c>
      <c r="CJ50" s="3">
        <f>SUM(CF50:CI50)</f>
        <v>-445867</v>
      </c>
      <c r="CK50" s="3">
        <f>(100%-CK51)*-CK15</f>
        <v>-109896</v>
      </c>
      <c r="CL50" s="3">
        <f>(100%-CL51)*-CL15</f>
        <v>-119796</v>
      </c>
      <c r="CM50" s="3">
        <f>(100%-CM51)*-CM15</f>
        <v>-102346</v>
      </c>
      <c r="CN50" s="3">
        <f>(100%-CN51)*-CN15</f>
        <v>-113829</v>
      </c>
      <c r="CO50" s="3">
        <f>SUM(CK50:CN50)</f>
        <v>-445867</v>
      </c>
      <c r="CP50" s="3">
        <f>(100%-CP51)*-CP15</f>
        <v>-109896</v>
      </c>
      <c r="CQ50" s="3">
        <f>(100%-CQ51)*-CQ15</f>
        <v>-119796</v>
      </c>
      <c r="CR50" s="3">
        <f>(100%-CR51)*-CR15</f>
        <v>-102346</v>
      </c>
      <c r="CS50" s="3">
        <f>(100%-CS51)*-CS15</f>
        <v>-113829</v>
      </c>
      <c r="CT50" s="3">
        <f>SUM(CP50:CS50)</f>
        <v>-445867</v>
      </c>
      <c r="CU50" s="3">
        <f>(100%-CU51)*-CU15</f>
        <v>-109896</v>
      </c>
      <c r="CV50" s="3">
        <f>(100%-CV51)*-CV15</f>
        <v>-119796</v>
      </c>
      <c r="CW50" s="3">
        <f>(100%-CW51)*-CW15</f>
        <v>-102346</v>
      </c>
      <c r="CX50" s="3">
        <f>(100%-CX51)*-CX15</f>
        <v>-113829</v>
      </c>
      <c r="CY50" s="3">
        <f>SUM(CU50:CX50)</f>
        <v>-445867</v>
      </c>
    </row>
    <row r="51" hidden="1" outlineLevel="1" customFormat="1" s="1">
      <c r="C51" s="57" t="inlineStr">
        <is>
          <t>% Gross Margin</t>
        </is>
      </c>
      <c r="D51" s="54">
        <f>(D15+D50)/D$15</f>
        <v>0.538812896328871</v>
      </c>
      <c r="E51" s="54">
        <f>(E15+E50)/E$15</f>
        <v>0.515549520850197</v>
      </c>
      <c r="F51" s="54">
        <f>(F15+F50)/F$15</f>
        <v>0.542654798258723</v>
      </c>
      <c r="G51" s="54">
        <f>(G15+G50)/G$15</f>
        <v>0.541635909873809</v>
      </c>
      <c r="H51" s="54">
        <f>(H15+H50)/H$15</f>
        <v>0.535783747062079</v>
      </c>
      <c r="I51" s="54">
        <f>(I15+I50)/I$15</f>
        <v>0.564251364934736</v>
      </c>
      <c r="J51" s="54">
        <f>(J15+J50)/J$15</f>
        <v>0.576163542340013</v>
      </c>
      <c r="K51" s="54">
        <f>(K15+K50)/K$15</f>
        <v>0.575831567308578</v>
      </c>
      <c r="L51" s="54">
        <f>(L15+L50)/L$15</f>
        <v>0.562057749751079</v>
      </c>
      <c r="M51" s="54">
        <f>(M15+M50)/M$15</f>
        <v>0.569398029009808</v>
      </c>
      <c r="N51" s="54">
        <f>(N15+N50)/N$15</f>
        <v>0.564790989692844</v>
      </c>
      <c r="O51" s="54">
        <f>(O15+O50)/O$15</f>
        <v>0.567998851976753</v>
      </c>
      <c r="P51" s="54">
        <f>(P15+P50)/P$15</f>
        <v>0.54903606785156</v>
      </c>
      <c r="Q51" s="54">
        <f>(Q15+Q50)/Q$15</f>
        <v>0.535267199663371</v>
      </c>
      <c r="R51" s="54">
        <f>(R15+R50)/R$15</f>
        <v>0.553794425037831</v>
      </c>
      <c r="S51" s="54">
        <f>(S15+S50)/S$15</f>
        <v>0.561350967945319</v>
      </c>
      <c r="T51" s="54">
        <f>(T15+T50)/T$15</f>
        <v>0.572194520401051</v>
      </c>
      <c r="U51" s="54">
        <f>(U15+U50)/U$15</f>
        <v>0.566727080698369</v>
      </c>
      <c r="V51" s="54">
        <f>(V15+V50)/V$15</f>
        <v>0.564650677789364</v>
      </c>
      <c r="W51" s="54">
        <f>(W15+W50)/W$15</f>
        <v>0.566250479840205</v>
      </c>
      <c r="X51" s="54">
        <f>(X15+X50)/X$15</f>
        <v>0.581420181526962</v>
      </c>
      <c r="Y51" s="54">
        <f>(Y15+Y50)/Y$15</f>
        <v>0.580998796346558</v>
      </c>
      <c r="Z51" s="54">
        <f>(Z15+Z50)/Z$15</f>
        <v>0.586781166447637</v>
      </c>
      <c r="AA51" s="54">
        <f>(AA15+AA50)/AA$15</f>
        <v>0.579004654344919</v>
      </c>
      <c r="AB51" s="54">
        <f>(AB15+AB50)/AB$15</f>
        <v>0.582004354061791</v>
      </c>
      <c r="AC51" s="54">
        <f>(AC15+AC50)/AC$15</f>
        <v>0.597036593745152</v>
      </c>
      <c r="AD51" s="54">
        <f>(AD15+AD50)/AD$15</f>
        <v>0.595148711992367</v>
      </c>
      <c r="AE51" s="54">
        <f>(AE15+AE50)/AE$15</f>
        <v>0.595792703183319</v>
      </c>
      <c r="AF51" s="44">
        <f>(AF15+AF50)/AF$15</f>
        <v>0.597931985697845</v>
      </c>
      <c r="AG51" s="54">
        <f>(AG15+AG50)/AG$15</f>
        <v>0.596521670055134</v>
      </c>
      <c r="AH51" s="55">
        <f>(AH15+AH50)/AH$15</f>
        <v>0.624454029264032</v>
      </c>
      <c r="AI51" s="55">
        <f>(AI15+AI50)/AI$15</f>
        <v>0.616489699155231</v>
      </c>
      <c r="AJ51" s="55" t="n"/>
      <c r="AK51" s="55" t="n"/>
      <c r="AL51" s="54">
        <f>(AL15+AL50)/AL$15</f>
        <v>0.319552691721971</v>
      </c>
      <c r="AM51" s="55" t="n"/>
      <c r="AN51" s="55" t="n"/>
      <c r="AO51" s="55" t="n"/>
      <c r="AP51" s="55" t="n"/>
      <c r="AQ51" s="54">
        <f>(AQ15+AQ50)/AQ$15</f>
        <v>0</v>
      </c>
      <c r="AR51" s="55" t="n"/>
      <c r="AS51" s="55" t="n"/>
      <c r="AT51" s="55" t="n"/>
      <c r="AU51" s="55" t="n"/>
      <c r="AV51" s="54">
        <f>(AV15+AV50)/AV$15</f>
        <v>0</v>
      </c>
      <c r="AW51" s="55" t="n"/>
      <c r="AX51" s="55" t="n"/>
      <c r="AY51" s="55" t="n"/>
      <c r="AZ51" s="55" t="n"/>
      <c r="BA51" s="54">
        <f>(BA15+BA50)/BA$15</f>
        <v>0</v>
      </c>
      <c r="BB51" s="55" t="n"/>
      <c r="BC51" s="55" t="n"/>
      <c r="BD51" s="55" t="n"/>
      <c r="BE51" s="55" t="n"/>
      <c r="BF51" s="54">
        <f>(BF15+BF50)/BF$15</f>
        <v>0</v>
      </c>
      <c r="BG51" s="55" t="n"/>
      <c r="BH51" s="55" t="n"/>
      <c r="BI51" s="55" t="n"/>
      <c r="BJ51" s="55" t="n"/>
      <c r="BK51" s="54">
        <f>(BK15+BK50)/BK$15</f>
        <v>0</v>
      </c>
      <c r="BL51" s="55" t="n"/>
      <c r="BM51" s="55" t="n"/>
      <c r="BN51" s="55" t="n"/>
      <c r="BO51" s="55" t="n"/>
      <c r="BP51" s="54">
        <f>(BP15+BP50)/BP$15</f>
        <v>0</v>
      </c>
      <c r="BQ51" s="55" t="n"/>
      <c r="BR51" s="55" t="n"/>
      <c r="BS51" s="55" t="n"/>
      <c r="BT51" s="55" t="n"/>
      <c r="BU51" s="54">
        <f>(BU15+BU50)/BU$15</f>
        <v>0</v>
      </c>
      <c r="BV51" s="55" t="n"/>
      <c r="BW51" s="55" t="n"/>
      <c r="BX51" s="55" t="n"/>
      <c r="BY51" s="55" t="n"/>
      <c r="BZ51" s="54">
        <f>(BZ15+BZ50)/BZ$15</f>
        <v>0</v>
      </c>
      <c r="CA51" s="55" t="n"/>
      <c r="CB51" s="55" t="n"/>
      <c r="CC51" s="55" t="n"/>
      <c r="CD51" s="55" t="n"/>
      <c r="CE51" s="54">
        <f>(CE15+CE50)/CE$15</f>
        <v>0</v>
      </c>
      <c r="CF51" s="55" t="n"/>
      <c r="CG51" s="55" t="n"/>
      <c r="CH51" s="55" t="n"/>
      <c r="CI51" s="55" t="n"/>
      <c r="CJ51" s="54">
        <f>(CJ15+CJ50)/CJ$15</f>
        <v>0</v>
      </c>
      <c r="CK51" s="55" t="n"/>
      <c r="CL51" s="55" t="n"/>
      <c r="CM51" s="55" t="n"/>
      <c r="CN51" s="55" t="n"/>
      <c r="CO51" s="54">
        <f>(CO15+CO50)/CO$15</f>
        <v>0</v>
      </c>
      <c r="CP51" s="55" t="n"/>
      <c r="CQ51" s="55" t="n"/>
      <c r="CR51" s="55" t="n"/>
      <c r="CS51" s="55" t="n"/>
      <c r="CT51" s="54">
        <f>(CT15+CT50)/CT$15</f>
        <v>0</v>
      </c>
      <c r="CU51" s="55" t="n"/>
      <c r="CV51" s="55" t="n"/>
      <c r="CW51" s="55" t="n"/>
      <c r="CX51" s="55" t="n"/>
      <c r="CY51" s="54">
        <f>(CY15+CY50)/CY$15</f>
        <v>0</v>
      </c>
    </row>
    <row r="52" hidden="1" outlineLevel="1"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n"/>
      <c r="BB52" s="32" t="n"/>
      <c r="BC52" s="32" t="n"/>
      <c r="BD52" s="32" t="n"/>
      <c r="BE52" s="32" t="n"/>
      <c r="BF52" s="32" t="n"/>
      <c r="BG52" s="32" t="n"/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n"/>
      <c r="BU52" s="32" t="n"/>
      <c r="BV52" s="32" t="n"/>
      <c r="BW52" s="32" t="n"/>
      <c r="BX52" s="32" t="n"/>
      <c r="BY52" s="32" t="n"/>
      <c r="BZ52" s="32" t="n"/>
      <c r="CA52" s="32" t="n"/>
      <c r="CB52" s="32" t="n"/>
      <c r="CC52" s="32" t="n"/>
      <c r="CD52" s="32" t="n"/>
      <c r="CE52" s="32" t="n"/>
      <c r="CF52" s="32" t="n"/>
      <c r="CG52" s="32" t="n"/>
      <c r="CH52" s="32" t="n"/>
      <c r="CI52" s="32" t="n"/>
      <c r="CJ52" s="32" t="n"/>
      <c r="CK52" s="32" t="n"/>
      <c r="CL52" s="32" t="n"/>
      <c r="CM52" s="32" t="n"/>
      <c r="CN52" s="32" t="n"/>
      <c r="CO52" s="32" t="n"/>
      <c r="CP52" s="32" t="n"/>
      <c r="CQ52" s="32" t="n"/>
      <c r="CR52" s="32" t="n"/>
      <c r="CS52" s="32" t="n"/>
      <c r="CT52" s="32" t="n"/>
      <c r="CU52" s="32" t="n"/>
      <c r="CV52" s="32" t="n"/>
      <c r="CW52" s="32" t="n"/>
      <c r="CX52" s="32" t="n"/>
      <c r="CY52" s="32" t="n"/>
    </row>
    <row r="53" hidden="1" outlineLevel="1"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  <c r="AV53" s="32" t="n"/>
      <c r="AW53" s="32" t="n"/>
      <c r="AX53" s="32" t="n"/>
      <c r="AY53" s="32" t="n"/>
      <c r="AZ53" s="32" t="n"/>
      <c r="BA53" s="32" t="n"/>
      <c r="BB53" s="32" t="n"/>
      <c r="BC53" s="32" t="n"/>
      <c r="BD53" s="32" t="n"/>
      <c r="BE53" s="32" t="n"/>
      <c r="BF53" s="32" t="n"/>
      <c r="BG53" s="32" t="n"/>
      <c r="BH53" s="32" t="n"/>
      <c r="BI53" s="32" t="n"/>
      <c r="BJ53" s="32" t="n"/>
      <c r="BK53" s="32" t="n"/>
      <c r="BL53" s="32" t="n"/>
      <c r="BM53" s="32" t="n"/>
      <c r="BN53" s="32" t="n"/>
      <c r="BO53" s="32" t="n"/>
      <c r="BP53" s="32" t="n"/>
      <c r="BQ53" s="32" t="n"/>
      <c r="BR53" s="32" t="n"/>
      <c r="BS53" s="32" t="n"/>
      <c r="BT53" s="32" t="n"/>
      <c r="BU53" s="32" t="n"/>
      <c r="BV53" s="32" t="n"/>
      <c r="BW53" s="32" t="n"/>
      <c r="BX53" s="32" t="n"/>
      <c r="BY53" s="32" t="n"/>
      <c r="BZ53" s="32" t="n"/>
      <c r="CA53" s="32" t="n"/>
      <c r="CB53" s="32" t="n"/>
      <c r="CC53" s="32" t="n"/>
      <c r="CD53" s="32" t="n"/>
      <c r="CE53" s="32" t="n"/>
      <c r="CF53" s="32" t="n"/>
      <c r="CG53" s="32" t="n"/>
      <c r="CH53" s="32" t="n"/>
      <c r="CI53" s="32" t="n"/>
      <c r="CJ53" s="32" t="n"/>
      <c r="CK53" s="32" t="n"/>
      <c r="CL53" s="32" t="n"/>
      <c r="CM53" s="32" t="n"/>
      <c r="CN53" s="32" t="n"/>
      <c r="CO53" s="32" t="n"/>
      <c r="CP53" s="32" t="n"/>
      <c r="CQ53" s="32" t="n"/>
      <c r="CR53" s="32" t="n"/>
      <c r="CS53" s="32" t="n"/>
      <c r="CT53" s="32" t="n"/>
      <c r="CU53" s="32" t="n"/>
      <c r="CV53" s="32" t="n"/>
      <c r="CW53" s="32" t="n"/>
      <c r="CX53" s="32" t="n"/>
      <c r="CY53" s="32" t="n"/>
    </row>
    <row r="54" collapsed="1">
      <c r="C54" s="24" t="inlineStr">
        <is>
          <t>SG&amp;A and Other (cash)</t>
        </is>
      </c>
      <c r="D54" s="25">
        <f>INDEX('Inputs (2)'!$D$6:$AL$6,MATCH(D$7,'Inputs (2)'!$D$2:$AL$2,0))</f>
        <v>-11092</v>
      </c>
      <c r="E54" s="25">
        <f>INDEX('Inputs (2)'!$D$6:$AL$6,MATCH(E$7,'Inputs (2)'!$D$2:$AL$2,0))</f>
        <v>-9975</v>
      </c>
      <c r="F54" s="25">
        <f>INDEX('Inputs (2)'!$D$6:$AL$6,MATCH(F$7,'Inputs (2)'!$D$2:$AL$2,0))</f>
        <v>-10365</v>
      </c>
      <c r="G54" s="25">
        <f>INDEX('Inputs (2)'!$D$6:$AL$6,MATCH(G$7,'Inputs (2)'!$D$2:$AL$2,0))</f>
        <v>-11628</v>
      </c>
      <c r="H54" s="3">
        <f>SUM(D54:G54)</f>
        <v>-43060</v>
      </c>
      <c r="I54" s="25">
        <f>INDEX('Inputs (2)'!$D$6:$AL$6,MATCH(I$7,'Inputs (2)'!$D$2:$AL$2,0))</f>
        <v>-12249</v>
      </c>
      <c r="J54" s="25">
        <f>INDEX('Inputs (2)'!$D$6:$AL$6,MATCH(J$7,'Inputs (2)'!$D$2:$AL$2,0))</f>
        <v>-13562</v>
      </c>
      <c r="K54" s="25">
        <f>INDEX('Inputs (2)'!$D$6:$AL$6,MATCH(K$7,'Inputs (2)'!$D$2:$AL$2,0))</f>
        <v>-13381</v>
      </c>
      <c r="L54" s="25">
        <f>INDEX('Inputs (2)'!$D$6:$AL$6,MATCH(L$7,'Inputs (2)'!$D$2:$AL$2,0))</f>
        <v>-17237</v>
      </c>
      <c r="M54" s="3">
        <f>SUM(I54:L54)</f>
        <v>-56429</v>
      </c>
      <c r="N54" s="25">
        <f>INDEX('Inputs (2)'!$D$6:$AL$6,MATCH(N$7,'Inputs (2)'!$D$2:$AL$2,0))</f>
        <v>-14727</v>
      </c>
      <c r="O54" s="25">
        <f>INDEX('Inputs (2)'!$D$6:$AL$6,MATCH(O$7,'Inputs (2)'!$D$2:$AL$2,0))</f>
        <v>-16430</v>
      </c>
      <c r="P54" s="25">
        <f>INDEX('Inputs (2)'!$D$6:$AL$6,MATCH(P$7,'Inputs (2)'!$D$2:$AL$2,0))</f>
        <v>-16866</v>
      </c>
      <c r="Q54" s="25">
        <f>INDEX('Inputs (2)'!$D$6:$AL$6,MATCH(Q$7,'Inputs (2)'!$D$2:$AL$2,0))</f>
        <v>-18481</v>
      </c>
      <c r="R54" s="3">
        <f>SUM(N54:Q54)</f>
        <v>-66504</v>
      </c>
      <c r="S54" s="25">
        <f>INDEX('Inputs (2)'!$D$6:$AL$6,MATCH(S$7,'Inputs (2)'!$D$2:$AL$2,0))</f>
        <v>-18700</v>
      </c>
      <c r="T54" s="25">
        <f>INDEX('Inputs (2)'!$D$6:$AL$6,MATCH(T$7,'Inputs (2)'!$D$2:$AL$2,0))</f>
        <v>-17571</v>
      </c>
      <c r="U54" s="25">
        <f>INDEX('Inputs (2)'!$D$6:$AL$6,MATCH(U$7,'Inputs (2)'!$D$2:$AL$2,0))</f>
        <v>-18450</v>
      </c>
      <c r="V54" s="25">
        <f>INDEX('Inputs (2)'!$D$6:$AL$6,MATCH(V$7,'Inputs (2)'!$D$2:$AL$2,0))</f>
        <v>-21722</v>
      </c>
      <c r="W54" s="3">
        <f>SUM(S54:V54)</f>
        <v>-76443</v>
      </c>
      <c r="X54" s="25">
        <f>INDEX('Inputs (2)'!$D$6:$AL$6,MATCH(X$7,'Inputs (2)'!$D$2:$AL$2,0))</f>
        <v>-17942</v>
      </c>
      <c r="Y54" s="25">
        <f>INDEX('Inputs (2)'!$D$6:$AL$6,MATCH(Y$7,'Inputs (2)'!$D$2:$AL$2,0))</f>
        <v>-18102</v>
      </c>
      <c r="Z54" s="25">
        <f>INDEX('Inputs (2)'!$D$6:$AL$6,MATCH(Z$7,'Inputs (2)'!$D$2:$AL$2,0))</f>
        <v>-19288</v>
      </c>
      <c r="AA54" s="25">
        <f>INDEX('Inputs (2)'!$D$6:$AL$6,MATCH(AA$7,'Inputs (2)'!$D$2:$AL$2,0))</f>
        <v>-20679</v>
      </c>
      <c r="AB54" s="3">
        <f>SUM(X54:AA54)</f>
        <v>-76011</v>
      </c>
      <c r="AC54" s="25">
        <f>INDEX('Inputs (2)'!$D$6:$AL$6,MATCH(AC$7,'Inputs (2)'!$D$2:$AL$2,0))</f>
        <v>-18780</v>
      </c>
      <c r="AD54" s="25">
        <f>INDEX('Inputs (2)'!$D$6:$AL$6,MATCH(AD$7,'Inputs (2)'!$D$2:$AL$2,0))</f>
        <v>-21120</v>
      </c>
      <c r="AE54" s="25">
        <f>INDEX('Inputs (2)'!$D$6:$AL$6,MATCH(AE$7,'Inputs (2)'!$D$2:$AL$2,0))</f>
        <v>-24138</v>
      </c>
      <c r="AF54" s="25">
        <f>INDEX('Inputs (2)'!$D$6:$AL$6,MATCH(AF$7,'Inputs (2)'!$D$2:$AL$2,0))</f>
        <v>-26088</v>
      </c>
      <c r="AG54" s="3">
        <f>SUM(AC54:AF54)</f>
        <v>-90126</v>
      </c>
      <c r="AH54" s="3">
        <f>INDEX('Inputs (2)'!$D$6:$AL$6,MATCH(AH$7,'Inputs (2)'!$D$2:$AL$2,0))</f>
        <v>-22447</v>
      </c>
      <c r="AI54" s="3">
        <f>INDEX('Inputs (2)'!$D$6:$AL$6,MATCH(AI$7,'Inputs (2)'!$D$2:$AL$2,0))</f>
        <v>-25979</v>
      </c>
      <c r="AJ54" s="3">
        <f>-AJ15*AJ55</f>
        <v>0</v>
      </c>
      <c r="AK54" s="3">
        <f>-AK15*AK55</f>
        <v>0</v>
      </c>
      <c r="AL54" s="3">
        <f>SUM(AH54:AK54)</f>
        <v>-48426</v>
      </c>
      <c r="AM54" s="3">
        <f>-AM15*AM55</f>
        <v>0</v>
      </c>
      <c r="AN54" s="3">
        <f>-AN15*AN55</f>
        <v>0</v>
      </c>
      <c r="AO54" s="3">
        <f>-AO15*AO55</f>
        <v>0</v>
      </c>
      <c r="AP54" s="3">
        <f>-AP15*AP55</f>
        <v>0</v>
      </c>
      <c r="AQ54" s="3">
        <f>SUM(AM54:AP54)</f>
        <v>0</v>
      </c>
      <c r="AR54" s="3">
        <f>-AR15*AR55</f>
        <v>0</v>
      </c>
      <c r="AS54" s="3">
        <f>-AS15*AS55</f>
        <v>0</v>
      </c>
      <c r="AT54" s="3">
        <f>-AT15*AT55</f>
        <v>0</v>
      </c>
      <c r="AU54" s="3">
        <f>-AU15*AU55</f>
        <v>0</v>
      </c>
      <c r="AV54" s="3">
        <f>SUM(AR54:AU54)</f>
        <v>0</v>
      </c>
      <c r="AW54" s="3">
        <f>-AW15*AW55</f>
        <v>0</v>
      </c>
      <c r="AX54" s="3">
        <f>-AX15*AX55</f>
        <v>0</v>
      </c>
      <c r="AY54" s="3">
        <f>-AY15*AY55</f>
        <v>0</v>
      </c>
      <c r="AZ54" s="3">
        <f>-AZ15*AZ55</f>
        <v>0</v>
      </c>
      <c r="BA54" s="3">
        <f>SUM(AW54:AZ54)</f>
        <v>0</v>
      </c>
      <c r="BB54" s="3">
        <f>-BB15*BB55</f>
        <v>0</v>
      </c>
      <c r="BC54" s="3">
        <f>-BC15*BC55</f>
        <v>0</v>
      </c>
      <c r="BD54" s="3">
        <f>-BD15*BD55</f>
        <v>0</v>
      </c>
      <c r="BE54" s="3">
        <f>-BE15*BE55</f>
        <v>0</v>
      </c>
      <c r="BF54" s="3">
        <f>SUM(BB54:BE54)</f>
        <v>0</v>
      </c>
      <c r="BG54" s="3">
        <f>-BG15*BG55</f>
        <v>0</v>
      </c>
      <c r="BH54" s="3">
        <f>-BH15*BH55</f>
        <v>0</v>
      </c>
      <c r="BI54" s="3">
        <f>-BI15*BI55</f>
        <v>0</v>
      </c>
      <c r="BJ54" s="3">
        <f>-BJ15*BJ55</f>
        <v>0</v>
      </c>
      <c r="BK54" s="3">
        <f>SUM(BG54:BJ54)</f>
        <v>0</v>
      </c>
      <c r="BL54" s="3">
        <f>-BL15*BL55</f>
        <v>0</v>
      </c>
      <c r="BM54" s="3">
        <f>-BM15*BM55</f>
        <v>0</v>
      </c>
      <c r="BN54" s="3">
        <f>-BN15*BN55</f>
        <v>0</v>
      </c>
      <c r="BO54" s="3">
        <f>-BO15*BO55</f>
        <v>0</v>
      </c>
      <c r="BP54" s="3">
        <f>SUM(BL54:BO54)</f>
        <v>0</v>
      </c>
      <c r="BQ54" s="3">
        <f>-BQ15*BQ55</f>
        <v>0</v>
      </c>
      <c r="BR54" s="3">
        <f>-BR15*BR55</f>
        <v>0</v>
      </c>
      <c r="BS54" s="3">
        <f>-BS15*BS55</f>
        <v>0</v>
      </c>
      <c r="BT54" s="3">
        <f>-BT15*BT55</f>
        <v>0</v>
      </c>
      <c r="BU54" s="3">
        <f>SUM(BQ54:BT54)</f>
        <v>0</v>
      </c>
      <c r="BV54" s="3">
        <f>-BV15*BV55</f>
        <v>0</v>
      </c>
      <c r="BW54" s="3">
        <f>-BW15*BW55</f>
        <v>0</v>
      </c>
      <c r="BX54" s="3">
        <f>-BX15*BX55</f>
        <v>0</v>
      </c>
      <c r="BY54" s="3">
        <f>-BY15*BY55</f>
        <v>0</v>
      </c>
      <c r="BZ54" s="3">
        <f>SUM(BV54:BY54)</f>
        <v>0</v>
      </c>
      <c r="CA54" s="3">
        <f>-CA15*CA55</f>
        <v>0</v>
      </c>
      <c r="CB54" s="3">
        <f>-CB15*CB55</f>
        <v>0</v>
      </c>
      <c r="CC54" s="3">
        <f>-CC15*CC55</f>
        <v>0</v>
      </c>
      <c r="CD54" s="3">
        <f>-CD15*CD55</f>
        <v>0</v>
      </c>
      <c r="CE54" s="3">
        <f>SUM(CA54:CD54)</f>
        <v>0</v>
      </c>
      <c r="CF54" s="3">
        <f>-CF15*CF55</f>
        <v>0</v>
      </c>
      <c r="CG54" s="3">
        <f>-CG15*CG55</f>
        <v>0</v>
      </c>
      <c r="CH54" s="3">
        <f>-CH15*CH55</f>
        <v>0</v>
      </c>
      <c r="CI54" s="3">
        <f>-CI15*CI55</f>
        <v>0</v>
      </c>
      <c r="CJ54" s="3">
        <f>SUM(CF54:CI54)</f>
        <v>0</v>
      </c>
      <c r="CK54" s="3">
        <f>-CK15*CK55</f>
        <v>0</v>
      </c>
      <c r="CL54" s="3">
        <f>-CL15*CL55</f>
        <v>0</v>
      </c>
      <c r="CM54" s="3">
        <f>-CM15*CM55</f>
        <v>0</v>
      </c>
      <c r="CN54" s="3">
        <f>-CN15*CN55</f>
        <v>0</v>
      </c>
      <c r="CO54" s="3">
        <f>SUM(CK54:CN54)</f>
        <v>0</v>
      </c>
      <c r="CP54" s="3">
        <f>-CP15*CP55</f>
        <v>0</v>
      </c>
      <c r="CQ54" s="3">
        <f>-CQ15*CQ55</f>
        <v>0</v>
      </c>
      <c r="CR54" s="3">
        <f>-CR15*CR55</f>
        <v>0</v>
      </c>
      <c r="CS54" s="3">
        <f>-CS15*CS55</f>
        <v>0</v>
      </c>
      <c r="CT54" s="3">
        <f>SUM(CP54:CS54)</f>
        <v>0</v>
      </c>
      <c r="CU54" s="3">
        <f>-CU15*CU55</f>
        <v>0</v>
      </c>
      <c r="CV54" s="3">
        <f>-CV15*CV55</f>
        <v>0</v>
      </c>
      <c r="CW54" s="3">
        <f>-CW15*CW55</f>
        <v>0</v>
      </c>
      <c r="CX54" s="3">
        <f>-CX15*CX55</f>
        <v>0</v>
      </c>
      <c r="CY54" s="3">
        <f>SUM(CU54:CX54)</f>
        <v>0</v>
      </c>
    </row>
    <row r="55" hidden="1" outlineLevel="1">
      <c r="C55" s="33" t="inlineStr">
        <is>
          <t>% SG&amp;A and Other Margin</t>
        </is>
      </c>
      <c r="D55" s="56">
        <f>-(D54/D$15)</f>
        <v>0.269491484244029</v>
      </c>
      <c r="E55" s="56">
        <f>-(E54/E$15)</f>
        <v>0.260464266130506</v>
      </c>
      <c r="F55" s="56">
        <f>-(F54/F$15)</f>
        <v>0.224481840036385</v>
      </c>
      <c r="G55" s="56">
        <f>-(G54/G$15)</f>
        <v>0.20436570705473</v>
      </c>
      <c r="H55" s="56">
        <f>-(H54/H$15)</f>
        <v>0.235910303681099</v>
      </c>
      <c r="I55" s="56">
        <f>-(I54/I$15)</f>
        <v>0.221444842173772</v>
      </c>
      <c r="J55" s="56">
        <f>-(J54/J$15)</f>
        <v>0.219166127989657</v>
      </c>
      <c r="K55" s="56">
        <f>-(K54/K$15)</f>
        <v>0.205488497803987</v>
      </c>
      <c r="L55" s="56">
        <f>-(L54/L$15)</f>
        <v>0.228835048124793</v>
      </c>
      <c r="M55" s="56">
        <f>-(M54/M$15)</f>
        <v>0.219025217651191</v>
      </c>
      <c r="N55" s="56">
        <f>-(N54/N$15)</f>
        <v>0.216538501124818</v>
      </c>
      <c r="O55" s="56">
        <f>-(O54/O$15)</f>
        <v>0.235775274449308</v>
      </c>
      <c r="P55" s="56">
        <f>-(P54/P$15)</f>
        <v>0.244109303537313</v>
      </c>
      <c r="Q55" s="56">
        <f>-(Q54/Q$15)</f>
        <v>0.243017567851883</v>
      </c>
      <c r="R55" s="56">
        <f>-(R54/R$15)</f>
        <v>0.235132727092732</v>
      </c>
      <c r="S55" s="56">
        <f>-(S54/S$15)</f>
        <v>0.267958215713528</v>
      </c>
      <c r="T55" s="56">
        <f>-(T54/T$15)</f>
        <v>0.235523564420138</v>
      </c>
      <c r="U55" s="56">
        <f>-(U54/U$15)</f>
        <v>0.240569543504622</v>
      </c>
      <c r="V55" s="56">
        <f>-(V54/V$15)</f>
        <v>0.251674197659599</v>
      </c>
      <c r="W55" s="56">
        <f>-(W54/W$15)</f>
        <v>0.248680846080275</v>
      </c>
      <c r="X55" s="56">
        <f>-(X54/X$15)</f>
        <v>0.222774059772284</v>
      </c>
      <c r="Y55" s="56">
        <f>-(Y54/Y$15)</f>
        <v>0.213613084420948</v>
      </c>
      <c r="Z55" s="56">
        <f>-(Z54/Z$15)</f>
        <v>0.218516336611229</v>
      </c>
      <c r="AA55" s="56">
        <f>-(AA54/AA$15)</f>
        <v>0.214359016886254</v>
      </c>
      <c r="AB55" s="56">
        <f>-(AB54/AB$15)</f>
        <v>0.217163117325395</v>
      </c>
      <c r="AC55" s="56">
        <f>-(AC54/AC$15)</f>
        <v>0.208125540261986</v>
      </c>
      <c r="AD55" s="56">
        <f>-(AD54/AD$15)</f>
        <v>0.219023520139379</v>
      </c>
      <c r="AE55" s="56">
        <f>-(AE54/AE$15)</f>
        <v>0.235847028706544</v>
      </c>
      <c r="AF55" s="44">
        <f>-(AF54/AF$15)</f>
        <v>0.229185884089292</v>
      </c>
      <c r="AG55" s="56">
        <f>-(AG54/AG$15)</f>
        <v>0.22372820768698</v>
      </c>
      <c r="AH55" s="45">
        <f>-(AH54/AH$15)</f>
        <v>0.204256751838102</v>
      </c>
      <c r="AI55" s="45">
        <f>-(AI54/AI$15)</f>
        <v>0.216860329226351</v>
      </c>
      <c r="AJ55" s="45" t="n"/>
      <c r="AK55" s="45" t="n"/>
      <c r="AL55" s="56">
        <f>-(AL54/AL$15)</f>
        <v>0.108610863777763</v>
      </c>
      <c r="AM55" s="45" t="n"/>
      <c r="AN55" s="45" t="n"/>
      <c r="AO55" s="45" t="n"/>
      <c r="AP55" s="45" t="n"/>
      <c r="AQ55" s="56">
        <f>-(AQ54/AQ$15)</f>
        <v>0</v>
      </c>
      <c r="AR55" s="45" t="n"/>
      <c r="AS55" s="45" t="n"/>
      <c r="AT55" s="45" t="n"/>
      <c r="AU55" s="45" t="n"/>
      <c r="AV55" s="56">
        <f>-(AV54/AV$15)</f>
        <v>0</v>
      </c>
      <c r="AW55" s="45" t="n"/>
      <c r="AX55" s="45" t="n"/>
      <c r="AY55" s="45" t="n"/>
      <c r="AZ55" s="45" t="n"/>
      <c r="BA55" s="56">
        <f>-(BA54/BA$15)</f>
        <v>0</v>
      </c>
      <c r="BB55" s="45" t="n"/>
      <c r="BC55" s="45" t="n"/>
      <c r="BD55" s="45" t="n"/>
      <c r="BE55" s="45" t="n"/>
      <c r="BF55" s="56">
        <f>-(BF54/BF$15)</f>
        <v>0</v>
      </c>
      <c r="BG55" s="45" t="n"/>
      <c r="BH55" s="45" t="n"/>
      <c r="BI55" s="45" t="n"/>
      <c r="BJ55" s="45" t="n"/>
      <c r="BK55" s="56">
        <f>-(BK54/BK$15)</f>
        <v>0</v>
      </c>
      <c r="BL55" s="45" t="n"/>
      <c r="BM55" s="45" t="n"/>
      <c r="BN55" s="45" t="n"/>
      <c r="BO55" s="45" t="n"/>
      <c r="BP55" s="56">
        <f>-(BP54/BP$15)</f>
        <v>0</v>
      </c>
      <c r="BQ55" s="45" t="n"/>
      <c r="BR55" s="45" t="n"/>
      <c r="BS55" s="45" t="n"/>
      <c r="BT55" s="45" t="n"/>
      <c r="BU55" s="56">
        <f>-(BU54/BU$15)</f>
        <v>0</v>
      </c>
      <c r="BV55" s="45" t="n"/>
      <c r="BW55" s="45" t="n"/>
      <c r="BX55" s="45" t="n"/>
      <c r="BY55" s="45" t="n"/>
      <c r="BZ55" s="56">
        <f>-(BZ54/BZ$15)</f>
        <v>0</v>
      </c>
      <c r="CA55" s="45" t="n"/>
      <c r="CB55" s="45" t="n"/>
      <c r="CC55" s="45" t="n"/>
      <c r="CD55" s="45" t="n"/>
      <c r="CE55" s="56">
        <f>-(CE54/CE$15)</f>
        <v>0</v>
      </c>
      <c r="CF55" s="45" t="n"/>
      <c r="CG55" s="45" t="n"/>
      <c r="CH55" s="45" t="n"/>
      <c r="CI55" s="45" t="n"/>
      <c r="CJ55" s="56">
        <f>-(CJ54/CJ$15)</f>
        <v>0</v>
      </c>
      <c r="CK55" s="45" t="n"/>
      <c r="CL55" s="45" t="n"/>
      <c r="CM55" s="45" t="n"/>
      <c r="CN55" s="45" t="n"/>
      <c r="CO55" s="56">
        <f>-(CO54/CO$15)</f>
        <v>0</v>
      </c>
      <c r="CP55" s="45" t="n"/>
      <c r="CQ55" s="45" t="n"/>
      <c r="CR55" s="45" t="n"/>
      <c r="CS55" s="45" t="n"/>
      <c r="CT55" s="56">
        <f>-(CT54/CT$15)</f>
        <v>0</v>
      </c>
      <c r="CU55" s="45" t="n"/>
      <c r="CV55" s="45" t="n"/>
      <c r="CW55" s="45" t="n"/>
      <c r="CX55" s="45" t="n"/>
      <c r="CY55" s="56">
        <f>-(CY54/CY$15)</f>
        <v>0</v>
      </c>
    </row>
    <row r="56" hidden="1" outlineLevel="1"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  <c r="AV56" s="32" t="n"/>
      <c r="AW56" s="32" t="n"/>
      <c r="AX56" s="32" t="n"/>
      <c r="AY56" s="32" t="n"/>
      <c r="AZ56" s="32" t="n"/>
      <c r="BA56" s="32" t="n"/>
      <c r="BB56" s="32" t="n"/>
      <c r="BC56" s="32" t="n"/>
      <c r="BD56" s="32" t="n"/>
      <c r="BE56" s="32" t="n"/>
      <c r="BF56" s="32" t="n"/>
      <c r="BG56" s="32" t="n"/>
      <c r="BH56" s="32" t="n"/>
      <c r="BI56" s="32" t="n"/>
      <c r="BJ56" s="32" t="n"/>
      <c r="BK56" s="32" t="n"/>
      <c r="BL56" s="32" t="n"/>
      <c r="BM56" s="32" t="n"/>
      <c r="BN56" s="32" t="n"/>
      <c r="BO56" s="32" t="n"/>
      <c r="BP56" s="32" t="n"/>
      <c r="BQ56" s="32" t="n"/>
      <c r="BR56" s="32" t="n"/>
      <c r="BS56" s="32" t="n"/>
      <c r="BT56" s="32" t="n"/>
      <c r="BU56" s="32" t="n"/>
      <c r="BV56" s="32" t="n"/>
      <c r="BW56" s="32" t="n"/>
      <c r="BX56" s="32" t="n"/>
      <c r="BY56" s="32" t="n"/>
      <c r="BZ56" s="32" t="n"/>
      <c r="CA56" s="32" t="n"/>
      <c r="CB56" s="32" t="n"/>
      <c r="CC56" s="32" t="n"/>
      <c r="CD56" s="32" t="n"/>
      <c r="CE56" s="32" t="n"/>
      <c r="CF56" s="32" t="n"/>
      <c r="CG56" s="32" t="n"/>
      <c r="CH56" s="32" t="n"/>
      <c r="CI56" s="32" t="n"/>
      <c r="CJ56" s="32" t="n"/>
      <c r="CK56" s="32" t="n"/>
      <c r="CL56" s="32" t="n"/>
      <c r="CM56" s="32" t="n"/>
      <c r="CN56" s="32" t="n"/>
      <c r="CO56" s="32" t="n"/>
      <c r="CP56" s="32" t="n"/>
      <c r="CQ56" s="32" t="n"/>
      <c r="CR56" s="32" t="n"/>
      <c r="CS56" s="32" t="n"/>
      <c r="CT56" s="32" t="n"/>
      <c r="CU56" s="32" t="n"/>
      <c r="CV56" s="32" t="n"/>
      <c r="CW56" s="32" t="n"/>
      <c r="CX56" s="32" t="n"/>
      <c r="CY56" s="32" t="n"/>
    </row>
    <row r="57" hidden="1" outlineLevel="1">
      <c r="C57" s="32" t="inlineStr">
        <is>
          <t>Com Vendas</t>
        </is>
      </c>
      <c r="D57" s="6" t="n"/>
      <c r="E57" s="6" t="n"/>
      <c r="F57" s="6" t="n"/>
      <c r="G57" s="6" t="n"/>
      <c r="H57" s="32" t="n"/>
      <c r="I57" s="6" t="n"/>
      <c r="J57" s="6" t="n"/>
      <c r="K57" s="6" t="n"/>
      <c r="L57" s="6" t="n"/>
      <c r="M57" s="32" t="n"/>
      <c r="N57" s="6" t="n"/>
      <c r="O57" s="6" t="n"/>
      <c r="P57" s="6" t="n"/>
      <c r="Q57" s="6" t="n"/>
      <c r="R57" s="32" t="n"/>
      <c r="S57" s="6" t="n"/>
      <c r="T57" s="6" t="n"/>
      <c r="U57" s="6" t="n"/>
      <c r="V57" s="6" t="n"/>
      <c r="W57" s="32" t="n"/>
      <c r="X57" s="6" t="n"/>
      <c r="Y57" s="6" t="n"/>
      <c r="Z57" s="6" t="n"/>
      <c r="AA57" s="6" t="n"/>
      <c r="AB57" s="32" t="n"/>
      <c r="AC57" s="6" t="n"/>
      <c r="AD57" s="6" t="n"/>
      <c r="AE57" s="6" t="n"/>
      <c r="AF57" s="6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  <c r="AV57" s="32" t="n"/>
      <c r="AW57" s="32" t="n"/>
      <c r="AX57" s="32" t="n"/>
      <c r="AY57" s="32" t="n"/>
      <c r="AZ57" s="32" t="n"/>
      <c r="BA57" s="32" t="n"/>
      <c r="BB57" s="32" t="n"/>
      <c r="BC57" s="32" t="n"/>
      <c r="BD57" s="32" t="n"/>
      <c r="BE57" s="32" t="n"/>
      <c r="BF57" s="32" t="n"/>
      <c r="BG57" s="32" t="n"/>
      <c r="BH57" s="32" t="n"/>
      <c r="BI57" s="32" t="n"/>
      <c r="BJ57" s="32" t="n"/>
      <c r="BK57" s="32" t="n"/>
      <c r="BL57" s="32" t="n"/>
      <c r="BM57" s="32" t="n"/>
      <c r="BN57" s="32" t="n"/>
      <c r="BO57" s="32" t="n"/>
      <c r="BP57" s="32" t="n"/>
      <c r="BQ57" s="32" t="n"/>
      <c r="BR57" s="32" t="n"/>
      <c r="BS57" s="32" t="n"/>
      <c r="BT57" s="32" t="n"/>
      <c r="BU57" s="32" t="n"/>
      <c r="BV57" s="32" t="n"/>
      <c r="BW57" s="32" t="n"/>
      <c r="BX57" s="32" t="n"/>
      <c r="BY57" s="32" t="n"/>
      <c r="BZ57" s="32" t="n"/>
      <c r="CA57" s="32" t="n"/>
      <c r="CB57" s="32" t="n"/>
      <c r="CC57" s="32" t="n"/>
      <c r="CD57" s="32" t="n"/>
      <c r="CE57" s="32" t="n"/>
      <c r="CF57" s="32" t="n"/>
      <c r="CG57" s="32" t="n"/>
      <c r="CH57" s="32" t="n"/>
      <c r="CI57" s="32" t="n"/>
      <c r="CJ57" s="32" t="n"/>
      <c r="CK57" s="32" t="n"/>
      <c r="CL57" s="32" t="n"/>
      <c r="CM57" s="32" t="n"/>
      <c r="CN57" s="32" t="n"/>
      <c r="CO57" s="32" t="n"/>
      <c r="CP57" s="32" t="n"/>
      <c r="CQ57" s="32" t="n"/>
      <c r="CR57" s="32" t="n"/>
      <c r="CS57" s="32" t="n"/>
      <c r="CT57" s="32" t="n"/>
      <c r="CU57" s="32" t="n"/>
      <c r="CV57" s="32" t="n"/>
      <c r="CW57" s="32" t="n"/>
      <c r="CX57" s="32" t="n"/>
      <c r="CY57" s="32" t="n"/>
    </row>
    <row r="58" hidden="1" outlineLevel="1">
      <c r="C58" s="32" t="inlineStr">
        <is>
          <t>Gerais &amp; Administrativas</t>
        </is>
      </c>
      <c r="D58" s="6" t="n"/>
      <c r="E58" s="6" t="n"/>
      <c r="F58" s="6" t="n"/>
      <c r="G58" s="6" t="n"/>
      <c r="H58" s="32" t="n"/>
      <c r="I58" s="6" t="n"/>
      <c r="J58" s="6" t="n"/>
      <c r="K58" s="6" t="n"/>
      <c r="L58" s="6" t="n"/>
      <c r="M58" s="32" t="n"/>
      <c r="N58" s="6" t="n"/>
      <c r="O58" s="6" t="n"/>
      <c r="P58" s="6" t="n"/>
      <c r="Q58" s="6" t="n"/>
      <c r="R58" s="32" t="n"/>
      <c r="S58" s="6" t="n"/>
      <c r="T58" s="6" t="n"/>
      <c r="U58" s="6" t="n"/>
      <c r="V58" s="6" t="n"/>
      <c r="W58" s="32" t="n"/>
      <c r="X58" s="6" t="n"/>
      <c r="Y58" s="6" t="n"/>
      <c r="Z58" s="6" t="n"/>
      <c r="AA58" s="6" t="n"/>
      <c r="AB58" s="32" t="n"/>
      <c r="AC58" s="6" t="n"/>
      <c r="AD58" s="6" t="n"/>
      <c r="AE58" s="6" t="n"/>
      <c r="AF58" s="6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  <c r="AV58" s="32" t="n"/>
      <c r="AW58" s="32" t="n"/>
      <c r="AX58" s="32" t="n"/>
      <c r="AY58" s="32" t="n"/>
      <c r="AZ58" s="32" t="n"/>
      <c r="BA58" s="32" t="n"/>
      <c r="BB58" s="32" t="n"/>
      <c r="BC58" s="32" t="n"/>
      <c r="BD58" s="32" t="n"/>
      <c r="BE58" s="32" t="n"/>
      <c r="BF58" s="32" t="n"/>
      <c r="BG58" s="32" t="n"/>
      <c r="BH58" s="32" t="n"/>
      <c r="BI58" s="32" t="n"/>
      <c r="BJ58" s="32" t="n"/>
      <c r="BK58" s="32" t="n"/>
      <c r="BL58" s="32" t="n"/>
      <c r="BM58" s="32" t="n"/>
      <c r="BN58" s="32" t="n"/>
      <c r="BO58" s="32" t="n"/>
      <c r="BP58" s="32" t="n"/>
      <c r="BQ58" s="32" t="n"/>
      <c r="BR58" s="32" t="n"/>
      <c r="BS58" s="32" t="n"/>
      <c r="BT58" s="32" t="n"/>
      <c r="BU58" s="32" t="n"/>
      <c r="BV58" s="32" t="n"/>
      <c r="BW58" s="32" t="n"/>
      <c r="BX58" s="32" t="n"/>
      <c r="BY58" s="32" t="n"/>
      <c r="BZ58" s="32" t="n"/>
      <c r="CA58" s="32" t="n"/>
      <c r="CB58" s="32" t="n"/>
      <c r="CC58" s="32" t="n"/>
      <c r="CD58" s="32" t="n"/>
      <c r="CE58" s="32" t="n"/>
      <c r="CF58" s="32" t="n"/>
      <c r="CG58" s="32" t="n"/>
      <c r="CH58" s="32" t="n"/>
      <c r="CI58" s="32" t="n"/>
      <c r="CJ58" s="32" t="n"/>
      <c r="CK58" s="32" t="n"/>
      <c r="CL58" s="32" t="n"/>
      <c r="CM58" s="32" t="n"/>
      <c r="CN58" s="32" t="n"/>
      <c r="CO58" s="32" t="n"/>
      <c r="CP58" s="32" t="n"/>
      <c r="CQ58" s="32" t="n"/>
      <c r="CR58" s="32" t="n"/>
      <c r="CS58" s="32" t="n"/>
      <c r="CT58" s="32" t="n"/>
      <c r="CU58" s="32" t="n"/>
      <c r="CV58" s="32" t="n"/>
      <c r="CW58" s="32" t="n"/>
      <c r="CX58" s="32" t="n"/>
      <c r="CY58" s="32" t="n"/>
    </row>
    <row r="59" hidden="1" outlineLevel="1">
      <c r="C59" s="32" t="inlineStr">
        <is>
          <t>Outras Receitas (Despesas) Operacionais, Líquidas</t>
        </is>
      </c>
      <c r="D59" s="6" t="n"/>
      <c r="E59" s="6" t="n"/>
      <c r="F59" s="6" t="n"/>
      <c r="G59" s="6" t="n"/>
      <c r="H59" s="32" t="n"/>
      <c r="I59" s="6" t="n"/>
      <c r="J59" s="6" t="n"/>
      <c r="K59" s="6" t="n"/>
      <c r="L59" s="6" t="n"/>
      <c r="M59" s="32" t="n"/>
      <c r="N59" s="6" t="n"/>
      <c r="O59" s="6" t="n"/>
      <c r="P59" s="6" t="n"/>
      <c r="Q59" s="6" t="n"/>
      <c r="R59" s="32" t="n"/>
      <c r="S59" s="6" t="n"/>
      <c r="T59" s="6" t="n"/>
      <c r="U59" s="6" t="n"/>
      <c r="V59" s="6" t="n"/>
      <c r="W59" s="32" t="n"/>
      <c r="X59" s="6" t="n"/>
      <c r="Y59" s="6" t="n"/>
      <c r="Z59" s="6" t="n"/>
      <c r="AA59" s="6" t="n"/>
      <c r="AB59" s="32" t="n"/>
      <c r="AC59" s="6" t="n"/>
      <c r="AD59" s="6" t="n"/>
      <c r="AE59" s="6" t="n"/>
      <c r="AF59" s="6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  <c r="BJ59" s="32" t="n"/>
      <c r="BK59" s="32" t="n"/>
      <c r="BL59" s="32" t="n"/>
      <c r="BM59" s="32" t="n"/>
      <c r="BN59" s="32" t="n"/>
      <c r="BO59" s="32" t="n"/>
      <c r="BP59" s="32" t="n"/>
      <c r="BQ59" s="32" t="n"/>
      <c r="BR59" s="32" t="n"/>
      <c r="BS59" s="32" t="n"/>
      <c r="BT59" s="32" t="n"/>
      <c r="BU59" s="32" t="n"/>
      <c r="BV59" s="32" t="n"/>
      <c r="BW59" s="32" t="n"/>
      <c r="BX59" s="32" t="n"/>
      <c r="BY59" s="32" t="n"/>
      <c r="BZ59" s="32" t="n"/>
      <c r="CA59" s="32" t="n"/>
      <c r="CB59" s="32" t="n"/>
      <c r="CC59" s="32" t="n"/>
      <c r="CD59" s="32" t="n"/>
      <c r="CE59" s="32" t="n"/>
      <c r="CF59" s="32" t="n"/>
      <c r="CG59" s="32" t="n"/>
      <c r="CH59" s="32" t="n"/>
      <c r="CI59" s="32" t="n"/>
      <c r="CJ59" s="32" t="n"/>
      <c r="CK59" s="32" t="n"/>
      <c r="CL59" s="32" t="n"/>
      <c r="CM59" s="32" t="n"/>
      <c r="CN59" s="32" t="n"/>
      <c r="CO59" s="32" t="n"/>
      <c r="CP59" s="32" t="n"/>
      <c r="CQ59" s="32" t="n"/>
      <c r="CR59" s="32" t="n"/>
      <c r="CS59" s="32" t="n"/>
      <c r="CT59" s="32" t="n"/>
      <c r="CU59" s="32" t="n"/>
      <c r="CV59" s="32" t="n"/>
      <c r="CW59" s="32" t="n"/>
      <c r="CX59" s="32" t="n"/>
      <c r="CY59" s="32" t="n"/>
    </row>
    <row r="60" hidden="1" outlineLevel="1"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  <c r="AV60" s="32" t="n"/>
      <c r="AW60" s="32" t="n"/>
      <c r="AX60" s="32" t="n"/>
      <c r="AY60" s="32" t="n"/>
      <c r="AZ60" s="32" t="n"/>
      <c r="BA60" s="32" t="n"/>
      <c r="BB60" s="32" t="n"/>
      <c r="BC60" s="32" t="n"/>
      <c r="BD60" s="32" t="n"/>
      <c r="BE60" s="32" t="n"/>
      <c r="BF60" s="32" t="n"/>
      <c r="BG60" s="32" t="n"/>
      <c r="BH60" s="32" t="n"/>
      <c r="BI60" s="32" t="n"/>
      <c r="BJ60" s="32" t="n"/>
      <c r="BK60" s="32" t="n"/>
      <c r="BL60" s="32" t="n"/>
      <c r="BM60" s="32" t="n"/>
      <c r="BN60" s="32" t="n"/>
      <c r="BO60" s="32" t="n"/>
      <c r="BP60" s="32" t="n"/>
      <c r="BQ60" s="32" t="n"/>
      <c r="BR60" s="32" t="n"/>
      <c r="BS60" s="32" t="n"/>
      <c r="BT60" s="32" t="n"/>
      <c r="BU60" s="32" t="n"/>
      <c r="BV60" s="32" t="n"/>
      <c r="BW60" s="32" t="n"/>
      <c r="BX60" s="32" t="n"/>
      <c r="BY60" s="32" t="n"/>
      <c r="BZ60" s="32" t="n"/>
      <c r="CA60" s="32" t="n"/>
      <c r="CB60" s="32" t="n"/>
      <c r="CC60" s="32" t="n"/>
      <c r="CD60" s="32" t="n"/>
      <c r="CE60" s="32" t="n"/>
      <c r="CF60" s="32" t="n"/>
      <c r="CG60" s="32" t="n"/>
      <c r="CH60" s="32" t="n"/>
      <c r="CI60" s="32" t="n"/>
      <c r="CJ60" s="32" t="n"/>
      <c r="CK60" s="32" t="n"/>
      <c r="CL60" s="32" t="n"/>
      <c r="CM60" s="32" t="n"/>
      <c r="CN60" s="32" t="n"/>
      <c r="CO60" s="32" t="n"/>
      <c r="CP60" s="32" t="n"/>
      <c r="CQ60" s="32" t="n"/>
      <c r="CR60" s="32" t="n"/>
      <c r="CS60" s="32" t="n"/>
      <c r="CT60" s="32" t="n"/>
      <c r="CU60" s="32" t="n"/>
      <c r="CV60" s="32" t="n"/>
      <c r="CW60" s="32" t="n"/>
      <c r="CX60" s="32" t="n"/>
      <c r="CY60" s="32" t="n"/>
    </row>
    <row r="61" hidden="1" outlineLevel="1">
      <c r="C61" s="32" t="inlineStr">
        <is>
          <t>Com Vendas (%)</t>
        </is>
      </c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  <c r="AV61" s="32" t="n"/>
      <c r="AW61" s="32" t="n"/>
      <c r="AX61" s="32" t="n"/>
      <c r="AY61" s="32" t="n"/>
      <c r="AZ61" s="32" t="n"/>
      <c r="BA61" s="32" t="n"/>
      <c r="BB61" s="32" t="n"/>
      <c r="BC61" s="32" t="n"/>
      <c r="BD61" s="32" t="n"/>
      <c r="BE61" s="32" t="n"/>
      <c r="BF61" s="32" t="n"/>
      <c r="BG61" s="32" t="n"/>
      <c r="BH61" s="32" t="n"/>
      <c r="BI61" s="32" t="n"/>
      <c r="BJ61" s="32" t="n"/>
      <c r="BK61" s="32" t="n"/>
      <c r="BL61" s="32" t="n"/>
      <c r="BM61" s="32" t="n"/>
      <c r="BN61" s="32" t="n"/>
      <c r="BO61" s="32" t="n"/>
      <c r="BP61" s="32" t="n"/>
      <c r="BQ61" s="32" t="n"/>
      <c r="BR61" s="32" t="n"/>
      <c r="BS61" s="32" t="n"/>
      <c r="BT61" s="32" t="n"/>
      <c r="BU61" s="32" t="n"/>
      <c r="BV61" s="32" t="n"/>
      <c r="BW61" s="32" t="n"/>
      <c r="BX61" s="32" t="n"/>
      <c r="BY61" s="32" t="n"/>
      <c r="BZ61" s="32" t="n"/>
      <c r="CA61" s="32" t="n"/>
      <c r="CB61" s="32" t="n"/>
      <c r="CC61" s="32" t="n"/>
      <c r="CD61" s="32" t="n"/>
      <c r="CE61" s="32" t="n"/>
      <c r="CF61" s="32" t="n"/>
      <c r="CG61" s="32" t="n"/>
      <c r="CH61" s="32" t="n"/>
      <c r="CI61" s="32" t="n"/>
      <c r="CJ61" s="32" t="n"/>
      <c r="CK61" s="32" t="n"/>
      <c r="CL61" s="32" t="n"/>
      <c r="CM61" s="32" t="n"/>
      <c r="CN61" s="32" t="n"/>
      <c r="CO61" s="32" t="n"/>
      <c r="CP61" s="32" t="n"/>
      <c r="CQ61" s="32" t="n"/>
      <c r="CR61" s="32" t="n"/>
      <c r="CS61" s="32" t="n"/>
      <c r="CT61" s="32" t="n"/>
      <c r="CU61" s="32" t="n"/>
      <c r="CV61" s="32" t="n"/>
      <c r="CW61" s="32" t="n"/>
      <c r="CX61" s="32" t="n"/>
      <c r="CY61" s="32" t="n"/>
    </row>
    <row r="62" hidden="1" outlineLevel="1">
      <c r="C62" s="32" t="inlineStr">
        <is>
          <t>Gerais &amp; Administrativas (%)</t>
        </is>
      </c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2" t="n"/>
      <c r="CK62" s="32" t="n"/>
      <c r="CL62" s="32" t="n"/>
      <c r="CM62" s="32" t="n"/>
      <c r="CN62" s="32" t="n"/>
      <c r="CO62" s="32" t="n"/>
      <c r="CP62" s="32" t="n"/>
      <c r="CQ62" s="32" t="n"/>
      <c r="CR62" s="32" t="n"/>
      <c r="CS62" s="32" t="n"/>
      <c r="CT62" s="32" t="n"/>
      <c r="CU62" s="32" t="n"/>
      <c r="CV62" s="32" t="n"/>
      <c r="CW62" s="32" t="n"/>
      <c r="CX62" s="32" t="n"/>
      <c r="CY62" s="32" t="n"/>
    </row>
    <row r="63" hidden="1" outlineLevel="1">
      <c r="C63" s="32" t="inlineStr">
        <is>
          <t>Outras Receitas (Despesas) Operacionais, Líquidas (%)</t>
        </is>
      </c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  <c r="AV63" s="32" t="n"/>
      <c r="AW63" s="32" t="n"/>
      <c r="AX63" s="32" t="n"/>
      <c r="AY63" s="32" t="n"/>
      <c r="AZ63" s="32" t="n"/>
      <c r="BA63" s="32" t="n"/>
      <c r="BB63" s="32" t="n"/>
      <c r="BC63" s="32" t="n"/>
      <c r="BD63" s="32" t="n"/>
      <c r="BE63" s="32" t="n"/>
      <c r="BF63" s="32" t="n"/>
      <c r="BG63" s="32" t="n"/>
      <c r="BH63" s="32" t="n"/>
      <c r="BI63" s="32" t="n"/>
      <c r="BJ63" s="32" t="n"/>
      <c r="BK63" s="32" t="n"/>
      <c r="BL63" s="32" t="n"/>
      <c r="BM63" s="32" t="n"/>
      <c r="BN63" s="32" t="n"/>
      <c r="BO63" s="32" t="n"/>
      <c r="BP63" s="32" t="n"/>
      <c r="BQ63" s="32" t="n"/>
      <c r="BR63" s="32" t="n"/>
      <c r="BS63" s="32" t="n"/>
      <c r="BT63" s="32" t="n"/>
      <c r="BU63" s="32" t="n"/>
      <c r="BV63" s="32" t="n"/>
      <c r="BW63" s="32" t="n"/>
      <c r="BX63" s="32" t="n"/>
      <c r="BY63" s="32" t="n"/>
      <c r="BZ63" s="32" t="n"/>
      <c r="CA63" s="32" t="n"/>
      <c r="CB63" s="32" t="n"/>
      <c r="CC63" s="32" t="n"/>
      <c r="CD63" s="32" t="n"/>
      <c r="CE63" s="32" t="n"/>
      <c r="CF63" s="32" t="n"/>
      <c r="CG63" s="32" t="n"/>
      <c r="CH63" s="32" t="n"/>
      <c r="CI63" s="32" t="n"/>
      <c r="CJ63" s="32" t="n"/>
      <c r="CK63" s="32" t="n"/>
      <c r="CL63" s="32" t="n"/>
      <c r="CM63" s="32" t="n"/>
      <c r="CN63" s="32" t="n"/>
      <c r="CO63" s="32" t="n"/>
      <c r="CP63" s="32" t="n"/>
      <c r="CQ63" s="32" t="n"/>
      <c r="CR63" s="32" t="n"/>
      <c r="CS63" s="32" t="n"/>
      <c r="CT63" s="32" t="n"/>
      <c r="CU63" s="32" t="n"/>
      <c r="CV63" s="32" t="n"/>
      <c r="CW63" s="32" t="n"/>
      <c r="CX63" s="32" t="n"/>
      <c r="CY63" s="32" t="n"/>
    </row>
    <row r="64" hidden="1" outlineLevel="1"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  <c r="AV64" s="32" t="n"/>
      <c r="AW64" s="32" t="n"/>
      <c r="AX64" s="32" t="n"/>
      <c r="AY64" s="32" t="n"/>
      <c r="AZ64" s="32" t="n"/>
      <c r="BA64" s="32" t="n"/>
      <c r="BB64" s="32" t="n"/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2" t="n"/>
      <c r="BQ64" s="32" t="n"/>
      <c r="BR64" s="32" t="n"/>
      <c r="BS64" s="32" t="n"/>
      <c r="BT64" s="32" t="n"/>
      <c r="BU64" s="32" t="n"/>
      <c r="BV64" s="32" t="n"/>
      <c r="BW64" s="32" t="n"/>
      <c r="BX64" s="32" t="n"/>
      <c r="BY64" s="32" t="n"/>
      <c r="BZ64" s="32" t="n"/>
      <c r="CA64" s="32" t="n"/>
      <c r="CB64" s="32" t="n"/>
      <c r="CC64" s="32" t="n"/>
      <c r="CD64" s="32" t="n"/>
      <c r="CE64" s="32" t="n"/>
      <c r="CF64" s="32" t="n"/>
      <c r="CG64" s="32" t="n"/>
      <c r="CH64" s="32" t="n"/>
      <c r="CI64" s="32" t="n"/>
      <c r="CJ64" s="32" t="n"/>
      <c r="CK64" s="32" t="n"/>
      <c r="CL64" s="32" t="n"/>
      <c r="CM64" s="32" t="n"/>
      <c r="CN64" s="32" t="n"/>
      <c r="CO64" s="32" t="n"/>
      <c r="CP64" s="32" t="n"/>
      <c r="CQ64" s="32" t="n"/>
      <c r="CR64" s="32" t="n"/>
      <c r="CS64" s="32" t="n"/>
      <c r="CT64" s="32" t="n"/>
      <c r="CU64" s="32" t="n"/>
      <c r="CV64" s="32" t="n"/>
      <c r="CW64" s="32" t="n"/>
      <c r="CX64" s="32" t="n"/>
      <c r="CY64" s="32" t="n"/>
    </row>
    <row r="65" collapsed="1" customFormat="1" s="17">
      <c r="A65" s="13" t="n"/>
      <c r="B65" s="1" t="n"/>
      <c r="C65" s="14" t="inlineStr">
        <is>
          <t>EBITDA</t>
        </is>
      </c>
      <c r="D65" s="16">
        <f>SUM(D15,D50,D54)</f>
        <v>11085</v>
      </c>
      <c r="E65" s="16">
        <f>SUM(E15,E50,E54)</f>
        <v>9769</v>
      </c>
      <c r="F65" s="16">
        <f>SUM(F15,F50,F54)</f>
        <v>14691</v>
      </c>
      <c r="G65" s="16">
        <f>SUM(G15,G50,G54)</f>
        <v>19190</v>
      </c>
      <c r="H65" s="16">
        <f>SUM(D65:G65)</f>
        <v>54735</v>
      </c>
      <c r="I65" s="16">
        <f>SUM(I15,I50,I54)</f>
        <v>18962</v>
      </c>
      <c r="J65" s="16">
        <f>SUM(J15,J50,J54)</f>
        <v>22091</v>
      </c>
      <c r="K65" s="16">
        <f>SUM(K15,K50,K54)</f>
        <v>24116</v>
      </c>
      <c r="L65" s="16">
        <f>SUM(L15,L50,L54)</f>
        <v>25100</v>
      </c>
      <c r="M65" s="16">
        <f>SUM(I65:L65)</f>
        <v>90269</v>
      </c>
      <c r="N65" s="16">
        <f>SUM(N15,N50,N54)</f>
        <v>23685</v>
      </c>
      <c r="O65" s="16">
        <f>SUM(O15,O50,O54)</f>
        <v>23151</v>
      </c>
      <c r="P65" s="16">
        <f>SUM(P15,P50,P54)</f>
        <v>21068</v>
      </c>
      <c r="Q65" s="16">
        <f>SUM(Q15,Q50,Q54)</f>
        <v>22225</v>
      </c>
      <c r="R65" s="16">
        <f>SUM(N65:Q65)</f>
        <v>90129</v>
      </c>
      <c r="S65" s="16">
        <f>SUM(S15,S50,S54)</f>
        <v>20475</v>
      </c>
      <c r="T65" s="16">
        <f>SUM(T15,T50,T54)</f>
        <v>25117</v>
      </c>
      <c r="U65" s="16">
        <f>SUM(U15,U50,U54)</f>
        <v>25014</v>
      </c>
      <c r="V65" s="16">
        <f>SUM(V15,V50,V54)</f>
        <v>27013</v>
      </c>
      <c r="W65" s="16">
        <f>SUM(S65:V65)</f>
        <v>97619</v>
      </c>
      <c r="X65" s="16">
        <f>SUM(X15,X50,X54)</f>
        <v>28885</v>
      </c>
      <c r="Y65" s="16">
        <f>SUM(Y15,Y50,Y54)</f>
        <v>31133</v>
      </c>
      <c r="Z65" s="16">
        <f>SUM(Z15,Z50,Z54)</f>
        <v>32506</v>
      </c>
      <c r="AA65" s="16">
        <f>SUM(AA15,AA50,AA54)</f>
        <v>35177</v>
      </c>
      <c r="AB65" s="16">
        <f>SUM(X65:AA65)</f>
        <v>127701</v>
      </c>
      <c r="AC65" s="16">
        <f>SUM(AC15,AC50,AC54)</f>
        <v>35093</v>
      </c>
      <c r="AD65" s="16">
        <f>SUM(AD15,AD50,AD54)</f>
        <v>36269</v>
      </c>
      <c r="AE65" s="16">
        <f>SUM(AE15,AE50,AE54)</f>
        <v>36839</v>
      </c>
      <c r="AF65" s="16">
        <f>SUM(AF15,AF50,AF54)</f>
        <v>41974</v>
      </c>
      <c r="AG65" s="16">
        <f>SUM(AC65:AF65)</f>
        <v>150175</v>
      </c>
      <c r="AH65" s="16">
        <f>SUM(AH15,AH50,AH54)</f>
        <v>46178</v>
      </c>
      <c r="AI65" s="16">
        <f>SUM(AI15,AI50,AI54)</f>
        <v>47874</v>
      </c>
      <c r="AJ65" s="16">
        <f>SUM(AJ15,AJ50,AJ54)</f>
        <v>0</v>
      </c>
      <c r="AK65" s="16">
        <f>SUM(AK15,AK50,AK54)</f>
        <v>0</v>
      </c>
      <c r="AL65" s="16">
        <f>SUM(AH65:AK65)</f>
        <v>94052</v>
      </c>
      <c r="AM65" s="16">
        <f>SUM(AM15,AM50,AM54)</f>
        <v>0</v>
      </c>
      <c r="AN65" s="16">
        <f>SUM(AN15,AN50,AN54)</f>
        <v>0</v>
      </c>
      <c r="AO65" s="16">
        <f>SUM(AO15,AO50,AO54)</f>
        <v>0</v>
      </c>
      <c r="AP65" s="16">
        <f>SUM(AP15,AP50,AP54)</f>
        <v>0</v>
      </c>
      <c r="AQ65" s="16">
        <f>SUM(AM65:AP65)</f>
        <v>0</v>
      </c>
      <c r="AR65" s="16">
        <f>SUM(AR15,AR50,AR54)</f>
        <v>0</v>
      </c>
      <c r="AS65" s="16">
        <f>SUM(AS15,AS50,AS54)</f>
        <v>0</v>
      </c>
      <c r="AT65" s="16">
        <f>SUM(AT15,AT50,AT54)</f>
        <v>0</v>
      </c>
      <c r="AU65" s="16">
        <f>SUM(AU15,AU50,AU54)</f>
        <v>0</v>
      </c>
      <c r="AV65" s="16">
        <f>SUM(AR65:AU65)</f>
        <v>0</v>
      </c>
      <c r="AW65" s="16">
        <f>SUM(AW15,AW50,AW54)</f>
        <v>0</v>
      </c>
      <c r="AX65" s="16">
        <f>SUM(AX15,AX50,AX54)</f>
        <v>0</v>
      </c>
      <c r="AY65" s="16">
        <f>SUM(AY15,AY50,AY54)</f>
        <v>0</v>
      </c>
      <c r="AZ65" s="16">
        <f>SUM(AZ15,AZ50,AZ54)</f>
        <v>0</v>
      </c>
      <c r="BA65" s="16">
        <f>SUM(AW65:AZ65)</f>
        <v>0</v>
      </c>
      <c r="BB65" s="16">
        <f>SUM(BB15,BB50,BB54)</f>
        <v>0</v>
      </c>
      <c r="BC65" s="16">
        <f>SUM(BC15,BC50,BC54)</f>
        <v>0</v>
      </c>
      <c r="BD65" s="16">
        <f>SUM(BD15,BD50,BD54)</f>
        <v>0</v>
      </c>
      <c r="BE65" s="16">
        <f>SUM(BE15,BE50,BE54)</f>
        <v>0</v>
      </c>
      <c r="BF65" s="16">
        <f>SUM(BB65:BE65)</f>
        <v>0</v>
      </c>
      <c r="BG65" s="16">
        <f>SUM(BG15,BG50,BG54)</f>
        <v>0</v>
      </c>
      <c r="BH65" s="16">
        <f>SUM(BH15,BH50,BH54)</f>
        <v>0</v>
      </c>
      <c r="BI65" s="16">
        <f>SUM(BI15,BI50,BI54)</f>
        <v>0</v>
      </c>
      <c r="BJ65" s="16">
        <f>SUM(BJ15,BJ50,BJ54)</f>
        <v>0</v>
      </c>
      <c r="BK65" s="16">
        <f>SUM(BG65:BJ65)</f>
        <v>0</v>
      </c>
      <c r="BL65" s="16">
        <f>SUM(BL15,BL50,BL54)</f>
        <v>0</v>
      </c>
      <c r="BM65" s="16">
        <f>SUM(BM15,BM50,BM54)</f>
        <v>0</v>
      </c>
      <c r="BN65" s="16">
        <f>SUM(BN15,BN50,BN54)</f>
        <v>0</v>
      </c>
      <c r="BO65" s="16">
        <f>SUM(BO15,BO50,BO54)</f>
        <v>0</v>
      </c>
      <c r="BP65" s="16">
        <f>SUM(BL65:BO65)</f>
        <v>0</v>
      </c>
      <c r="BQ65" s="16">
        <f>SUM(BQ15,BQ50,BQ54)</f>
        <v>0</v>
      </c>
      <c r="BR65" s="16">
        <f>SUM(BR15,BR50,BR54)</f>
        <v>0</v>
      </c>
      <c r="BS65" s="16">
        <f>SUM(BS15,BS50,BS54)</f>
        <v>0</v>
      </c>
      <c r="BT65" s="16">
        <f>SUM(BT15,BT50,BT54)</f>
        <v>0</v>
      </c>
      <c r="BU65" s="16">
        <f>SUM(BQ65:BT65)</f>
        <v>0</v>
      </c>
      <c r="BV65" s="16">
        <f>SUM(BV15,BV50,BV54)</f>
        <v>0</v>
      </c>
      <c r="BW65" s="16">
        <f>SUM(BW15,BW50,BW54)</f>
        <v>0</v>
      </c>
      <c r="BX65" s="16">
        <f>SUM(BX15,BX50,BX54)</f>
        <v>0</v>
      </c>
      <c r="BY65" s="16">
        <f>SUM(BY15,BY50,BY54)</f>
        <v>0</v>
      </c>
      <c r="BZ65" s="16">
        <f>SUM(BV65:BY65)</f>
        <v>0</v>
      </c>
      <c r="CA65" s="16">
        <f>SUM(CA15,CA50,CA54)</f>
        <v>0</v>
      </c>
      <c r="CB65" s="16">
        <f>SUM(CB15,CB50,CB54)</f>
        <v>0</v>
      </c>
      <c r="CC65" s="16">
        <f>SUM(CC15,CC50,CC54)</f>
        <v>0</v>
      </c>
      <c r="CD65" s="16">
        <f>SUM(CD15,CD50,CD54)</f>
        <v>0</v>
      </c>
      <c r="CE65" s="16">
        <f>SUM(CA65:CD65)</f>
        <v>0</v>
      </c>
      <c r="CF65" s="16">
        <f>SUM(CF15,CF50,CF54)</f>
        <v>0</v>
      </c>
      <c r="CG65" s="16">
        <f>SUM(CG15,CG50,CG54)</f>
        <v>0</v>
      </c>
      <c r="CH65" s="16">
        <f>SUM(CH15,CH50,CH54)</f>
        <v>0</v>
      </c>
      <c r="CI65" s="16">
        <f>SUM(CI15,CI50,CI54)</f>
        <v>0</v>
      </c>
      <c r="CJ65" s="16">
        <f>SUM(CF65:CI65)</f>
        <v>0</v>
      </c>
      <c r="CK65" s="16">
        <f>SUM(CK15,CK50,CK54)</f>
        <v>0</v>
      </c>
      <c r="CL65" s="16">
        <f>SUM(CL15,CL50,CL54)</f>
        <v>0</v>
      </c>
      <c r="CM65" s="16">
        <f>SUM(CM15,CM50,CM54)</f>
        <v>0</v>
      </c>
      <c r="CN65" s="16">
        <f>SUM(CN15,CN50,CN54)</f>
        <v>0</v>
      </c>
      <c r="CO65" s="16">
        <f>SUM(CK65:CN65)</f>
        <v>0</v>
      </c>
      <c r="CP65" s="16">
        <f>SUM(CP15,CP50,CP54)</f>
        <v>0</v>
      </c>
      <c r="CQ65" s="16">
        <f>SUM(CQ15,CQ50,CQ54)</f>
        <v>0</v>
      </c>
      <c r="CR65" s="16">
        <f>SUM(CR15,CR50,CR54)</f>
        <v>0</v>
      </c>
      <c r="CS65" s="16">
        <f>SUM(CS15,CS50,CS54)</f>
        <v>0</v>
      </c>
      <c r="CT65" s="16">
        <f>SUM(CP65:CS65)</f>
        <v>0</v>
      </c>
      <c r="CU65" s="16">
        <f>SUM(CU15,CU50,CU54)</f>
        <v>0</v>
      </c>
      <c r="CV65" s="16">
        <f>SUM(CV15,CV50,CV54)</f>
        <v>0</v>
      </c>
      <c r="CW65" s="16">
        <f>SUM(CW15,CW50,CW54)</f>
        <v>0</v>
      </c>
      <c r="CX65" s="16">
        <f>SUM(CX15,CX50,CX54)</f>
        <v>0</v>
      </c>
      <c r="CY65" s="16">
        <f>SUM(CU65:CX65)</f>
        <v>0</v>
      </c>
    </row>
    <row r="66" ht="13.5" customHeight="1">
      <c r="C66" s="24" t="inlineStr">
        <is>
          <t>D&amp;A</t>
        </is>
      </c>
      <c r="D66" s="25">
        <f>INDEX('Inputs (2)'!$D$7:$AL$7,MATCH(D$7,'Inputs (2)'!$D$2:$AL$2,0))</f>
        <v>-3108</v>
      </c>
      <c r="E66" s="25">
        <f>INDEX('Inputs (2)'!$D$7:$AL$7,MATCH(E$7,'Inputs (2)'!$D$2:$AL$2,0))</f>
        <v>-3386</v>
      </c>
      <c r="F66" s="25">
        <f>INDEX('Inputs (2)'!$D$7:$AL$7,MATCH(F$7,'Inputs (2)'!$D$2:$AL$2,0))</f>
        <v>-3478</v>
      </c>
      <c r="G66" s="25">
        <f>INDEX('Inputs (2)'!$D$7:$AL$7,MATCH(G$7,'Inputs (2)'!$D$2:$AL$2,0))</f>
        <v>-3539</v>
      </c>
      <c r="H66" s="3">
        <f>SUM(D66:G66)</f>
        <v>-13511</v>
      </c>
      <c r="I66" s="25">
        <f>INDEX('Inputs (2)'!$D$7:$AL$7,MATCH(I$7,'Inputs (2)'!$D$2:$AL$2,0))</f>
        <v>-2525</v>
      </c>
      <c r="J66" s="25">
        <f>INDEX('Inputs (2)'!$D$7:$AL$7,MATCH(J$7,'Inputs (2)'!$D$2:$AL$2,0))</f>
        <v>-2730</v>
      </c>
      <c r="K66" s="25">
        <f>INDEX('Inputs (2)'!$D$7:$AL$7,MATCH(K$7,'Inputs (2)'!$D$2:$AL$2,0))</f>
        <v>-3085</v>
      </c>
      <c r="L66" s="25">
        <f>INDEX('Inputs (2)'!$D$7:$AL$7,MATCH(L$7,'Inputs (2)'!$D$2:$AL$2,0))</f>
        <v>-3215</v>
      </c>
      <c r="M66" s="3">
        <f>SUM(I66:L66)</f>
        <v>-11555</v>
      </c>
      <c r="N66" s="25">
        <f>INDEX('Inputs (2)'!$D$7:$AL$7,MATCH(N$7,'Inputs (2)'!$D$2:$AL$2,0))</f>
        <v>-3591</v>
      </c>
      <c r="O66" s="25">
        <f>INDEX('Inputs (2)'!$D$7:$AL$7,MATCH(O$7,'Inputs (2)'!$D$2:$AL$2,0))</f>
        <v>-3698</v>
      </c>
      <c r="P66" s="25">
        <f>INDEX('Inputs (2)'!$D$7:$AL$7,MATCH(P$7,'Inputs (2)'!$D$2:$AL$2,0))</f>
        <v>-3933</v>
      </c>
      <c r="Q66" s="25">
        <f>INDEX('Inputs (2)'!$D$7:$AL$7,MATCH(Q$7,'Inputs (2)'!$D$2:$AL$2,0))</f>
        <v>-4065</v>
      </c>
      <c r="R66" s="3">
        <f>SUM(N66:Q66)</f>
        <v>-15287</v>
      </c>
      <c r="S66" s="25">
        <f>INDEX('Inputs (2)'!$D$7:$AL$7,MATCH(S$7,'Inputs (2)'!$D$2:$AL$2,0))</f>
        <v>-3060</v>
      </c>
      <c r="T66" s="25">
        <f>INDEX('Inputs (2)'!$D$7:$AL$7,MATCH(T$7,'Inputs (2)'!$D$2:$AL$2,0))</f>
        <v>-3279</v>
      </c>
      <c r="U66" s="25">
        <f>INDEX('Inputs (2)'!$D$7:$AL$7,MATCH(U$7,'Inputs (2)'!$D$2:$AL$2,0))</f>
        <v>-3671</v>
      </c>
      <c r="V66" s="25">
        <f>INDEX('Inputs (2)'!$D$7:$AL$7,MATCH(V$7,'Inputs (2)'!$D$2:$AL$2,0))</f>
        <v>-3316</v>
      </c>
      <c r="W66" s="3">
        <f>SUM(S66:V66)</f>
        <v>-13326</v>
      </c>
      <c r="X66" s="25">
        <f>INDEX('Inputs (2)'!$D$7:$AL$7,MATCH(X$7,'Inputs (2)'!$D$2:$AL$2,0))</f>
        <v>-3413</v>
      </c>
      <c r="Y66" s="25">
        <f>INDEX('Inputs (2)'!$D$7:$AL$7,MATCH(Y$7,'Inputs (2)'!$D$2:$AL$2,0))</f>
        <v>-3708</v>
      </c>
      <c r="Z66" s="25">
        <f>INDEX('Inputs (2)'!$D$7:$AL$7,MATCH(Z$7,'Inputs (2)'!$D$2:$AL$2,0))</f>
        <v>-3985</v>
      </c>
      <c r="AA66" s="25">
        <f>INDEX('Inputs (2)'!$D$7:$AL$7,MATCH(AA$7,'Inputs (2)'!$D$2:$AL$2,0))</f>
        <v>-4205</v>
      </c>
      <c r="AB66" s="3">
        <f>SUM(X66:AA66)</f>
        <v>-15311</v>
      </c>
      <c r="AC66" s="25">
        <f>INDEX('Inputs (2)'!$D$7:$AL$7,MATCH(AC$7,'Inputs (2)'!$D$2:$AL$2,0))</f>
        <v>-4487</v>
      </c>
      <c r="AD66" s="25">
        <f>INDEX('Inputs (2)'!$D$7:$AL$7,MATCH(AD$7,'Inputs (2)'!$D$2:$AL$2,0))</f>
        <v>-4998</v>
      </c>
      <c r="AE66" s="25">
        <f>INDEX('Inputs (2)'!$D$7:$AL$7,MATCH(AE$7,'Inputs (2)'!$D$2:$AL$2,0))</f>
        <v>-5611</v>
      </c>
      <c r="AF66" s="25">
        <f>INDEX('Inputs (2)'!$D$7:$AL$7,MATCH(AF$7,'Inputs (2)'!$D$2:$AL$2,0))</f>
        <v>-6040</v>
      </c>
      <c r="AG66" s="3">
        <f>SUM(AC66:AF66)</f>
        <v>-21136</v>
      </c>
      <c r="AH66" s="3">
        <f>INDEX('Inputs (2)'!$D$7:$AL$7,MATCH(AH$7,'Inputs (2)'!$D$2:$AL$2,0))</f>
        <v>-6482</v>
      </c>
      <c r="AI66" s="3">
        <f>INDEX('Inputs (2)'!$D$7:$AL$7,MATCH(AI$7,'Inputs (2)'!$D$2:$AL$2,0))</f>
        <v>-7104</v>
      </c>
      <c r="AJ66" s="3">
        <f>-AJ67*AJ15</f>
        <v>0</v>
      </c>
      <c r="AK66" s="3">
        <f>-AK67*AK15</f>
        <v>0</v>
      </c>
      <c r="AL66" s="3">
        <f>SUM(AH66:AK66)</f>
        <v>-13586</v>
      </c>
      <c r="AM66" s="3">
        <f>-AM67*AM15</f>
        <v>0</v>
      </c>
      <c r="AN66" s="3">
        <f>-AN67*AN15</f>
        <v>0</v>
      </c>
      <c r="AO66" s="3">
        <f>-AO67*AO15</f>
        <v>0</v>
      </c>
      <c r="AP66" s="3">
        <f>-AP67*AP15</f>
        <v>0</v>
      </c>
      <c r="AQ66" s="3">
        <f>SUM(AM66:AP66)</f>
        <v>0</v>
      </c>
      <c r="AR66" s="3">
        <f>-AR67*AR15</f>
        <v>0</v>
      </c>
      <c r="AS66" s="3">
        <f>-AS67*AS15</f>
        <v>0</v>
      </c>
      <c r="AT66" s="3">
        <f>-AT67*AT15</f>
        <v>0</v>
      </c>
      <c r="AU66" s="3">
        <f>-AU67*AU15</f>
        <v>0</v>
      </c>
      <c r="AV66" s="3">
        <f>SUM(AR66:AU66)</f>
        <v>0</v>
      </c>
      <c r="AW66" s="3">
        <f>-AW67*AW15</f>
        <v>0</v>
      </c>
      <c r="AX66" s="3">
        <f>-AX67*AX15</f>
        <v>0</v>
      </c>
      <c r="AY66" s="3">
        <f>-AY67*AY15</f>
        <v>0</v>
      </c>
      <c r="AZ66" s="3">
        <f>-AZ67*AZ15</f>
        <v>0</v>
      </c>
      <c r="BA66" s="3">
        <f>SUM(AW66:AZ66)</f>
        <v>0</v>
      </c>
      <c r="BB66" s="3">
        <f>-BB67*BB15</f>
        <v>0</v>
      </c>
      <c r="BC66" s="3">
        <f>-BC67*BC15</f>
        <v>0</v>
      </c>
      <c r="BD66" s="3">
        <f>-BD67*BD15</f>
        <v>0</v>
      </c>
      <c r="BE66" s="3">
        <f>-BE67*BE15</f>
        <v>0</v>
      </c>
      <c r="BF66" s="3">
        <f>SUM(BB66:BE66)</f>
        <v>0</v>
      </c>
      <c r="BG66" s="3">
        <f>-BG67*BG15</f>
        <v>0</v>
      </c>
      <c r="BH66" s="3">
        <f>-BH67*BH15</f>
        <v>0</v>
      </c>
      <c r="BI66" s="3">
        <f>-BI67*BI15</f>
        <v>0</v>
      </c>
      <c r="BJ66" s="3">
        <f>-BJ67*BJ15</f>
        <v>0</v>
      </c>
      <c r="BK66" s="3">
        <f>SUM(BG66:BJ66)</f>
        <v>0</v>
      </c>
      <c r="BL66" s="3">
        <f>-BL67*BL15</f>
        <v>0</v>
      </c>
      <c r="BM66" s="3">
        <f>-BM67*BM15</f>
        <v>0</v>
      </c>
      <c r="BN66" s="3">
        <f>-BN67*BN15</f>
        <v>0</v>
      </c>
      <c r="BO66" s="3">
        <f>-BO67*BO15</f>
        <v>0</v>
      </c>
      <c r="BP66" s="3">
        <f>SUM(BL66:BO66)</f>
        <v>0</v>
      </c>
      <c r="BQ66" s="3">
        <f>-BQ67*BQ15</f>
        <v>0</v>
      </c>
      <c r="BR66" s="3">
        <f>-BR67*BR15</f>
        <v>0</v>
      </c>
      <c r="BS66" s="3">
        <f>-BS67*BS15</f>
        <v>0</v>
      </c>
      <c r="BT66" s="3">
        <f>-BT67*BT15</f>
        <v>0</v>
      </c>
      <c r="BU66" s="3">
        <f>SUM(BQ66:BT66)</f>
        <v>0</v>
      </c>
      <c r="BV66" s="3">
        <f>-BV67*BV15</f>
        <v>0</v>
      </c>
      <c r="BW66" s="3">
        <f>-BW67*BW15</f>
        <v>0</v>
      </c>
      <c r="BX66" s="3">
        <f>-BX67*BX15</f>
        <v>0</v>
      </c>
      <c r="BY66" s="3">
        <f>-BY67*BY15</f>
        <v>0</v>
      </c>
      <c r="BZ66" s="3">
        <f>SUM(BV66:BY66)</f>
        <v>0</v>
      </c>
      <c r="CA66" s="3">
        <f>-CA67*CA15</f>
        <v>0</v>
      </c>
      <c r="CB66" s="3">
        <f>-CB67*CB15</f>
        <v>0</v>
      </c>
      <c r="CC66" s="3">
        <f>-CC67*CC15</f>
        <v>0</v>
      </c>
      <c r="CD66" s="3">
        <f>-CD67*CD15</f>
        <v>0</v>
      </c>
      <c r="CE66" s="3">
        <f>SUM(CA66:CD66)</f>
        <v>0</v>
      </c>
      <c r="CF66" s="3">
        <f>-CF67*CF15</f>
        <v>0</v>
      </c>
      <c r="CG66" s="3">
        <f>-CG67*CG15</f>
        <v>0</v>
      </c>
      <c r="CH66" s="3">
        <f>-CH67*CH15</f>
        <v>0</v>
      </c>
      <c r="CI66" s="3">
        <f>-CI67*CI15</f>
        <v>0</v>
      </c>
      <c r="CJ66" s="3">
        <f>SUM(CF66:CI66)</f>
        <v>0</v>
      </c>
      <c r="CK66" s="3">
        <f>-CK67*CK15</f>
        <v>0</v>
      </c>
      <c r="CL66" s="3">
        <f>-CL67*CL15</f>
        <v>0</v>
      </c>
      <c r="CM66" s="3">
        <f>-CM67*CM15</f>
        <v>0</v>
      </c>
      <c r="CN66" s="3">
        <f>-CN67*CN15</f>
        <v>0</v>
      </c>
      <c r="CO66" s="3">
        <f>SUM(CK66:CN66)</f>
        <v>0</v>
      </c>
      <c r="CP66" s="3">
        <f>-CP67*CP15</f>
        <v>0</v>
      </c>
      <c r="CQ66" s="3">
        <f>-CQ67*CQ15</f>
        <v>0</v>
      </c>
      <c r="CR66" s="3">
        <f>-CR67*CR15</f>
        <v>0</v>
      </c>
      <c r="CS66" s="3">
        <f>-CS67*CS15</f>
        <v>0</v>
      </c>
      <c r="CT66" s="3">
        <f>SUM(CP66:CS66)</f>
        <v>0</v>
      </c>
      <c r="CU66" s="3">
        <f>-CU67*CU15</f>
        <v>0</v>
      </c>
      <c r="CV66" s="3">
        <f>-CV67*CV15</f>
        <v>0</v>
      </c>
      <c r="CW66" s="3">
        <f>-CW67*CW15</f>
        <v>0</v>
      </c>
      <c r="CX66" s="3">
        <f>-CX67*CX15</f>
        <v>0</v>
      </c>
      <c r="CY66" s="3">
        <f>SUM(CU66:CX66)</f>
        <v>0</v>
      </c>
    </row>
    <row r="67" hidden="1" outlineLevel="1" customFormat="1" s="247">
      <c r="A67" s="48" t="n"/>
      <c r="B67" s="48" t="n"/>
      <c r="C67" s="246" t="inlineStr">
        <is>
          <t>% of Revenue</t>
        </is>
      </c>
      <c r="D67" s="48">
        <f>-D66/D15</f>
        <v>0.0755120386792682</v>
      </c>
      <c r="E67" s="48">
        <f>-E66/E15</f>
        <v>0.0884142361020446</v>
      </c>
      <c r="F67" s="48">
        <f>-F66/F15</f>
        <v>0.0753254066229182</v>
      </c>
      <c r="G67" s="48">
        <f>-G66/G15</f>
        <v>0.0621990228127526</v>
      </c>
      <c r="H67" s="48" t="n"/>
      <c r="I67" s="48">
        <f>-I66/I15</f>
        <v>0.0456484795892541</v>
      </c>
      <c r="J67" s="48">
        <f>-J66/J15</f>
        <v>0.0441176470588235</v>
      </c>
      <c r="K67" s="48">
        <f>-K66/K15</f>
        <v>0.0473755336466108</v>
      </c>
      <c r="L67" s="48">
        <f>-L66/L15</f>
        <v>0.0426817125788251</v>
      </c>
      <c r="M67" s="48" t="n"/>
      <c r="N67" s="48">
        <f>-N66/N15</f>
        <v>0.0528002823072738</v>
      </c>
      <c r="O67" s="48">
        <f>-O66/O15</f>
        <v>0.0530673746143359</v>
      </c>
      <c r="P67" s="48">
        <f>-P66/P15</f>
        <v>0.0569241011984021</v>
      </c>
      <c r="Q67" s="48">
        <f>-Q66/Q15</f>
        <v>0.0534530822638334</v>
      </c>
      <c r="R67" s="48" t="n"/>
      <c r="S67" s="48">
        <f>-S66/S15</f>
        <v>0.0438477080258501</v>
      </c>
      <c r="T67" s="48">
        <f>-T66/T15</f>
        <v>0.0439520669133022</v>
      </c>
      <c r="U67" s="48">
        <f>-U66/U15</f>
        <v>0.0478661677076135</v>
      </c>
      <c r="V67" s="48">
        <f>-V66/V15</f>
        <v>0.0384196500984822</v>
      </c>
      <c r="W67" s="48" t="n"/>
      <c r="X67" s="48">
        <f>-X66/X15</f>
        <v>0.0423769850631371</v>
      </c>
      <c r="Y67" s="48">
        <f>-Y66/Y15</f>
        <v>0.0437563427816195</v>
      </c>
      <c r="Z67" s="48">
        <f>-Z66/Z15</f>
        <v>0.0451465989939729</v>
      </c>
      <c r="AA67" s="48">
        <f>-AA66/AA15</f>
        <v>0.0435891322601043</v>
      </c>
      <c r="AB67" s="48" t="n"/>
      <c r="AC67" s="48">
        <f>-AC66/AC15</f>
        <v>0.0497262672606778</v>
      </c>
      <c r="AD67" s="48">
        <f>-AD66/AD15</f>
        <v>0.0518314182602564</v>
      </c>
      <c r="AE67" s="48">
        <f>-AE66/AE15</f>
        <v>0.0548238328806206</v>
      </c>
      <c r="AF67" s="218">
        <f>-AF66/AF15</f>
        <v>0.0530620492141721</v>
      </c>
      <c r="AG67" s="48" t="n"/>
      <c r="AH67" s="218">
        <f>-AH66/AH15</f>
        <v>0.0589830385091359</v>
      </c>
      <c r="AI67" s="218">
        <f>-AI66/AI15</f>
        <v>0.0593008113793449</v>
      </c>
      <c r="AJ67" s="218" t="n"/>
      <c r="AK67" s="218" t="n"/>
      <c r="AL67" s="48" t="n"/>
      <c r="AM67" s="218" t="n"/>
      <c r="AN67" s="218" t="n"/>
      <c r="AO67" s="218" t="n"/>
      <c r="AP67" s="218" t="n"/>
      <c r="AQ67" s="48" t="n"/>
      <c r="AR67" s="218" t="n"/>
      <c r="AS67" s="218" t="n"/>
      <c r="AT67" s="218" t="n"/>
      <c r="AU67" s="218" t="n"/>
      <c r="AV67" s="48" t="n"/>
      <c r="AW67" s="218" t="n"/>
      <c r="AX67" s="218" t="n"/>
      <c r="AY67" s="218" t="n"/>
      <c r="AZ67" s="218" t="n"/>
      <c r="BA67" s="48" t="n"/>
      <c r="BB67" s="218" t="n"/>
      <c r="BC67" s="218" t="n"/>
      <c r="BD67" s="218" t="n"/>
      <c r="BE67" s="218" t="n"/>
      <c r="BF67" s="48" t="n"/>
      <c r="BG67" s="218" t="n"/>
      <c r="BH67" s="218" t="n"/>
      <c r="BI67" s="218" t="n"/>
      <c r="BJ67" s="218" t="n"/>
      <c r="BK67" s="48" t="n"/>
      <c r="BL67" s="218" t="n"/>
      <c r="BM67" s="218" t="n"/>
      <c r="BN67" s="218" t="n"/>
      <c r="BO67" s="218" t="n"/>
      <c r="BP67" s="48" t="n"/>
      <c r="BQ67" s="218" t="n"/>
      <c r="BR67" s="218" t="n"/>
      <c r="BS67" s="218" t="n"/>
      <c r="BT67" s="218" t="n"/>
      <c r="BU67" s="48" t="n"/>
      <c r="BV67" s="218" t="n"/>
      <c r="BW67" s="218" t="n"/>
      <c r="BX67" s="218" t="n"/>
      <c r="BY67" s="218" t="n"/>
      <c r="BZ67" s="48" t="n"/>
      <c r="CA67" s="218" t="n"/>
      <c r="CB67" s="218" t="n"/>
      <c r="CC67" s="218" t="n"/>
      <c r="CD67" s="218" t="n"/>
      <c r="CE67" s="48" t="n"/>
      <c r="CF67" s="218" t="n"/>
      <c r="CG67" s="218" t="n"/>
      <c r="CH67" s="218" t="n"/>
      <c r="CI67" s="218" t="n"/>
      <c r="CJ67" s="48" t="n"/>
      <c r="CK67" s="218" t="n"/>
      <c r="CL67" s="218" t="n"/>
      <c r="CM67" s="218" t="n"/>
      <c r="CN67" s="218" t="n"/>
      <c r="CO67" s="48" t="n"/>
      <c r="CP67" s="218" t="n"/>
      <c r="CQ67" s="218" t="n"/>
      <c r="CR67" s="218" t="n"/>
      <c r="CS67" s="218" t="n"/>
      <c r="CT67" s="48" t="n"/>
      <c r="CU67" s="218" t="n"/>
      <c r="CV67" s="218" t="n"/>
      <c r="CW67" s="218" t="n"/>
      <c r="CX67" s="218" t="n"/>
      <c r="CY67" s="48" t="n"/>
    </row>
    <row r="68" hidden="1" outlineLevel="1">
      <c r="C68" s="32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  <c r="CU68" s="3" t="n"/>
      <c r="CV68" s="3" t="n"/>
      <c r="CW68" s="3" t="n"/>
      <c r="CX68" s="3" t="n"/>
      <c r="CY68" s="3" t="n"/>
    </row>
    <row r="69" collapsed="1" customFormat="1" s="17">
      <c r="A69" s="13" t="n"/>
      <c r="B69" s="1" t="n"/>
      <c r="C69" s="14" t="inlineStr">
        <is>
          <t>Operating Profit - EBIT</t>
        </is>
      </c>
      <c r="D69" s="16">
        <f>SUM(D65,D66)</f>
        <v>7977</v>
      </c>
      <c r="E69" s="16">
        <f>SUM(E65,E66)</f>
        <v>6383</v>
      </c>
      <c r="F69" s="16">
        <f>SUM(F65,F66)</f>
        <v>11213</v>
      </c>
      <c r="G69" s="16">
        <f>SUM(G65,G66)</f>
        <v>15651</v>
      </c>
      <c r="H69" s="16">
        <f>SUM(D69:G69)</f>
        <v>41224</v>
      </c>
      <c r="I69" s="16">
        <f>SUM(I65,I66)</f>
        <v>16437</v>
      </c>
      <c r="J69" s="16">
        <f>SUM(J65,J66)</f>
        <v>19361</v>
      </c>
      <c r="K69" s="16">
        <f>SUM(K65,K66)</f>
        <v>21031</v>
      </c>
      <c r="L69" s="16">
        <f>SUM(L65,L66)</f>
        <v>21885</v>
      </c>
      <c r="M69" s="16">
        <f>SUM(I69:L69)</f>
        <v>78714</v>
      </c>
      <c r="N69" s="16">
        <f>SUM(N65,N66)</f>
        <v>20094</v>
      </c>
      <c r="O69" s="16">
        <f>SUM(O65,O66)</f>
        <v>19453</v>
      </c>
      <c r="P69" s="16">
        <f>SUM(P65,P66)</f>
        <v>17135</v>
      </c>
      <c r="Q69" s="16">
        <f>SUM(Q65,Q66)</f>
        <v>18160</v>
      </c>
      <c r="R69" s="16">
        <f>SUM(N69:Q69)</f>
        <v>74842</v>
      </c>
      <c r="S69" s="16">
        <f>SUM(S65,S66)</f>
        <v>17415</v>
      </c>
      <c r="T69" s="16">
        <f>SUM(T65,T66)</f>
        <v>21838</v>
      </c>
      <c r="U69" s="16">
        <f>SUM(U65,U66)</f>
        <v>21343</v>
      </c>
      <c r="V69" s="16">
        <f>SUM(V65,V66)</f>
        <v>23697</v>
      </c>
      <c r="W69" s="16">
        <f>SUM(S69:V69)</f>
        <v>84293</v>
      </c>
      <c r="X69" s="16">
        <f>SUM(X65,X66)</f>
        <v>25472</v>
      </c>
      <c r="Y69" s="16">
        <f>SUM(Y65,Y66)</f>
        <v>27425</v>
      </c>
      <c r="Z69" s="16">
        <f>SUM(Z65,Z66)</f>
        <v>28521</v>
      </c>
      <c r="AA69" s="16">
        <f>SUM(AA65,AA66)</f>
        <v>30972</v>
      </c>
      <c r="AB69" s="16">
        <f>SUM(X69:AA69)</f>
        <v>112390</v>
      </c>
      <c r="AC69" s="16">
        <f>SUM(AC65,AC66)</f>
        <v>30606</v>
      </c>
      <c r="AD69" s="16">
        <f>SUM(AD65,AD66)</f>
        <v>31271</v>
      </c>
      <c r="AE69" s="16">
        <f>SUM(AE65,AE66)</f>
        <v>31228</v>
      </c>
      <c r="AF69" s="16">
        <f>SUM(AF65,AF66)</f>
        <v>35934</v>
      </c>
      <c r="AG69" s="16">
        <f>SUM(AC69:AF69)</f>
        <v>129039</v>
      </c>
      <c r="AH69" s="16">
        <f>SUM(AH65,AH66)</f>
        <v>39696</v>
      </c>
      <c r="AI69" s="16">
        <f>SUM(AI65,AI66)</f>
        <v>40770</v>
      </c>
      <c r="AJ69" s="16">
        <f>SUM(AJ65,AJ66)</f>
        <v>0</v>
      </c>
      <c r="AK69" s="16">
        <f>SUM(AK65,AK66)</f>
        <v>0</v>
      </c>
      <c r="AL69" s="16">
        <f>SUM(AL65,AL66)</f>
        <v>80466</v>
      </c>
      <c r="AM69" s="16">
        <f>SUM(AM65,AM66)</f>
        <v>0</v>
      </c>
      <c r="AN69" s="16">
        <f>SUM(AN65,AN66)</f>
        <v>0</v>
      </c>
      <c r="AO69" s="16">
        <f>SUM(AO65,AO66)</f>
        <v>0</v>
      </c>
      <c r="AP69" s="16">
        <f>SUM(AP65,AP66)</f>
        <v>0</v>
      </c>
      <c r="AQ69" s="16">
        <f>SUM(AQ65,AQ66)</f>
        <v>0</v>
      </c>
      <c r="AR69" s="16">
        <f>SUM(AR65,AR66)</f>
        <v>0</v>
      </c>
      <c r="AS69" s="16">
        <f>SUM(AS65,AS66)</f>
        <v>0</v>
      </c>
      <c r="AT69" s="16">
        <f>SUM(AT65,AT66)</f>
        <v>0</v>
      </c>
      <c r="AU69" s="16">
        <f>SUM(AU65,AU66)</f>
        <v>0</v>
      </c>
      <c r="AV69" s="16">
        <f>SUM(AV65,AV66)</f>
        <v>0</v>
      </c>
      <c r="AW69" s="16">
        <f>SUM(AW65,AW66)</f>
        <v>0</v>
      </c>
      <c r="AX69" s="16">
        <f>SUM(AX65,AX66)</f>
        <v>0</v>
      </c>
      <c r="AY69" s="16">
        <f>SUM(AY65,AY66)</f>
        <v>0</v>
      </c>
      <c r="AZ69" s="16">
        <f>SUM(AZ65,AZ66)</f>
        <v>0</v>
      </c>
      <c r="BA69" s="16">
        <f>SUM(BA65,BA66)</f>
        <v>0</v>
      </c>
      <c r="BB69" s="16">
        <f>SUM(BB65,BB66)</f>
        <v>0</v>
      </c>
      <c r="BC69" s="16">
        <f>SUM(BC65,BC66)</f>
        <v>0</v>
      </c>
      <c r="BD69" s="16">
        <f>SUM(BD65,BD66)</f>
        <v>0</v>
      </c>
      <c r="BE69" s="16">
        <f>SUM(BE65,BE66)</f>
        <v>0</v>
      </c>
      <c r="BF69" s="16">
        <f>SUM(BF65,BF66)</f>
        <v>0</v>
      </c>
      <c r="BG69" s="16">
        <f>SUM(BG65,BG66)</f>
        <v>0</v>
      </c>
      <c r="BH69" s="16">
        <f>SUM(BH65,BH66)</f>
        <v>0</v>
      </c>
      <c r="BI69" s="16">
        <f>SUM(BI65,BI66)</f>
        <v>0</v>
      </c>
      <c r="BJ69" s="16">
        <f>SUM(BJ65,BJ66)</f>
        <v>0</v>
      </c>
      <c r="BK69" s="16">
        <f>SUM(BK65,BK66)</f>
        <v>0</v>
      </c>
      <c r="BL69" s="16">
        <f>SUM(BL65,BL66)</f>
        <v>0</v>
      </c>
      <c r="BM69" s="16">
        <f>SUM(BM65,BM66)</f>
        <v>0</v>
      </c>
      <c r="BN69" s="16">
        <f>SUM(BN65,BN66)</f>
        <v>0</v>
      </c>
      <c r="BO69" s="16">
        <f>SUM(BO65,BO66)</f>
        <v>0</v>
      </c>
      <c r="BP69" s="16">
        <f>SUM(BP65,BP66)</f>
        <v>0</v>
      </c>
      <c r="BQ69" s="16">
        <f>SUM(BQ65,BQ66)</f>
        <v>0</v>
      </c>
      <c r="BR69" s="16">
        <f>SUM(BR65,BR66)</f>
        <v>0</v>
      </c>
      <c r="BS69" s="16">
        <f>SUM(BS65,BS66)</f>
        <v>0</v>
      </c>
      <c r="BT69" s="16">
        <f>SUM(BT65,BT66)</f>
        <v>0</v>
      </c>
      <c r="BU69" s="16">
        <f>SUM(BU65,BU66)</f>
        <v>0</v>
      </c>
      <c r="BV69" s="16">
        <f>SUM(BV65,BV66)</f>
        <v>0</v>
      </c>
      <c r="BW69" s="16">
        <f>SUM(BW65,BW66)</f>
        <v>0</v>
      </c>
      <c r="BX69" s="16">
        <f>SUM(BX65,BX66)</f>
        <v>0</v>
      </c>
      <c r="BY69" s="16">
        <f>SUM(BY65,BY66)</f>
        <v>0</v>
      </c>
      <c r="BZ69" s="16">
        <f>SUM(BZ65,BZ66)</f>
        <v>0</v>
      </c>
      <c r="CA69" s="16">
        <f>SUM(CA65,CA66)</f>
        <v>0</v>
      </c>
      <c r="CB69" s="16">
        <f>SUM(CB65,CB66)</f>
        <v>0</v>
      </c>
      <c r="CC69" s="16">
        <f>SUM(CC65,CC66)</f>
        <v>0</v>
      </c>
      <c r="CD69" s="16">
        <f>SUM(CD65,CD66)</f>
        <v>0</v>
      </c>
      <c r="CE69" s="16">
        <f>SUM(CE65,CE66)</f>
        <v>0</v>
      </c>
      <c r="CF69" s="16">
        <f>SUM(CF65,CF66)</f>
        <v>0</v>
      </c>
      <c r="CG69" s="16">
        <f>SUM(CG65,CG66)</f>
        <v>0</v>
      </c>
      <c r="CH69" s="16">
        <f>SUM(CH65,CH66)</f>
        <v>0</v>
      </c>
      <c r="CI69" s="16">
        <f>SUM(CI65,CI66)</f>
        <v>0</v>
      </c>
      <c r="CJ69" s="16">
        <f>SUM(CJ65,CJ66)</f>
        <v>0</v>
      </c>
      <c r="CK69" s="16">
        <f>SUM(CK65,CK66)</f>
        <v>0</v>
      </c>
      <c r="CL69" s="16">
        <f>SUM(CL65,CL66)</f>
        <v>0</v>
      </c>
      <c r="CM69" s="16">
        <f>SUM(CM65,CM66)</f>
        <v>0</v>
      </c>
      <c r="CN69" s="16">
        <f>SUM(CN65,CN66)</f>
        <v>0</v>
      </c>
      <c r="CO69" s="16">
        <f>SUM(CO65,CO66)</f>
        <v>0</v>
      </c>
      <c r="CP69" s="16">
        <f>SUM(CP65,CP66)</f>
        <v>0</v>
      </c>
      <c r="CQ69" s="16">
        <f>SUM(CQ65,CQ66)</f>
        <v>0</v>
      </c>
      <c r="CR69" s="16">
        <f>SUM(CR65,CR66)</f>
        <v>0</v>
      </c>
      <c r="CS69" s="16">
        <f>SUM(CS65,CS66)</f>
        <v>0</v>
      </c>
      <c r="CT69" s="16">
        <f>SUM(CT65,CT66)</f>
        <v>0</v>
      </c>
      <c r="CU69" s="16">
        <f>SUM(CU65,CU66)</f>
        <v>0</v>
      </c>
      <c r="CV69" s="16">
        <f>SUM(CV65,CV66)</f>
        <v>0</v>
      </c>
      <c r="CW69" s="16">
        <f>SUM(CW65,CW66)</f>
        <v>0</v>
      </c>
      <c r="CX69" s="16">
        <f>SUM(CX65,CX66)</f>
        <v>0</v>
      </c>
      <c r="CY69" s="16">
        <f>SUM(CY65,CY66)</f>
        <v>0</v>
      </c>
    </row>
    <row r="70">
      <c r="C70" s="26" t="inlineStr">
        <is>
          <t>Interest Expense</t>
        </is>
      </c>
      <c r="D70" s="25">
        <f>INDEX('Inputs (2)'!$D$8:$AL$8,MATCH(D$7,'Inputs (2)'!$D$2:$AL$2,0))</f>
        <v>-21</v>
      </c>
      <c r="E70" s="25">
        <f>INDEX('Inputs (2)'!$D$8:$AL$8,MATCH(E$7,'Inputs (2)'!$D$2:$AL$2,0))</f>
        <v>-13</v>
      </c>
      <c r="F70" s="25">
        <f>INDEX('Inputs (2)'!$D$8:$AL$8,MATCH(F$7,'Inputs (2)'!$D$2:$AL$2,0))</f>
        <v>-48</v>
      </c>
      <c r="G70" s="25">
        <f>INDEX('Inputs (2)'!$D$8:$AL$8,MATCH(G$7,'Inputs (2)'!$D$2:$AL$2,0))</f>
        <v>-53</v>
      </c>
      <c r="H70" s="3">
        <f>SUM(D70:G70)</f>
        <v>-135</v>
      </c>
      <c r="I70" s="25">
        <f>INDEX('Inputs (2)'!$D$8:$AL$8,MATCH(I$7,'Inputs (2)'!$D$2:$AL$2,0))</f>
        <v>-76</v>
      </c>
      <c r="J70" s="25">
        <f>INDEX('Inputs (2)'!$D$8:$AL$8,MATCH(J$7,'Inputs (2)'!$D$2:$AL$2,0))</f>
        <v>-76</v>
      </c>
      <c r="K70" s="25">
        <f>INDEX('Inputs (2)'!$D$8:$AL$8,MATCH(K$7,'Inputs (2)'!$D$2:$AL$2,0))</f>
        <v>-77</v>
      </c>
      <c r="L70" s="25">
        <f>INDEX('Inputs (2)'!$D$8:$AL$8,MATCH(L$7,'Inputs (2)'!$D$2:$AL$2,0))</f>
        <v>-117</v>
      </c>
      <c r="M70" s="3">
        <f>SUM(I70:L70)</f>
        <v>-346</v>
      </c>
      <c r="N70" s="25">
        <f>INDEX('Inputs (2)'!$D$8:$AL$8,MATCH(N$7,'Inputs (2)'!$D$2:$AL$2,0))</f>
        <v>-83</v>
      </c>
      <c r="O70" s="25">
        <f>INDEX('Inputs (2)'!$D$8:$AL$8,MATCH(O$7,'Inputs (2)'!$D$2:$AL$2,0))</f>
        <v>-83</v>
      </c>
      <c r="P70" s="25">
        <f>INDEX('Inputs (2)'!$D$8:$AL$8,MATCH(P$7,'Inputs (2)'!$D$2:$AL$2,0))</f>
        <v>-101</v>
      </c>
      <c r="Q70" s="25">
        <f>INDEX('Inputs (2)'!$D$8:$AL$8,MATCH(Q$7,'Inputs (2)'!$D$2:$AL$2,0))</f>
        <v>-90</v>
      </c>
      <c r="R70" s="3">
        <f>SUM(N70:Q70)</f>
        <v>-357</v>
      </c>
      <c r="S70" s="25">
        <f>INDEX('Inputs (2)'!$D$8:$AL$8,MATCH(S$7,'Inputs (2)'!$D$2:$AL$2,0))</f>
        <v>-80</v>
      </c>
      <c r="T70" s="25">
        <f>INDEX('Inputs (2)'!$D$8:$AL$8,MATCH(T$7,'Inputs (2)'!$D$2:$AL$2,0))</f>
        <v>-43</v>
      </c>
      <c r="U70" s="25">
        <f>INDEX('Inputs (2)'!$D$8:$AL$8,MATCH(U$7,'Inputs (2)'!$D$2:$AL$2,0))</f>
        <v>-116</v>
      </c>
      <c r="V70" s="25">
        <f>INDEX('Inputs (2)'!$D$8:$AL$8,MATCH(V$7,'Inputs (2)'!$D$2:$AL$2,0))</f>
        <v>-69</v>
      </c>
      <c r="W70" s="3">
        <f>SUM(S70:V70)</f>
        <v>-308</v>
      </c>
      <c r="X70" s="25">
        <f>INDEX('Inputs (2)'!$D$8:$AL$8,MATCH(X$7,'Inputs (2)'!$D$2:$AL$2,0))</f>
        <v>-94</v>
      </c>
      <c r="Y70" s="25">
        <f>INDEX('Inputs (2)'!$D$8:$AL$8,MATCH(Y$7,'Inputs (2)'!$D$2:$AL$2,0))</f>
        <v>-67</v>
      </c>
      <c r="Z70" s="25">
        <f>INDEX('Inputs (2)'!$D$8:$AL$8,MATCH(Z$7,'Inputs (2)'!$D$2:$AL$2,0))</f>
        <v>-54</v>
      </c>
      <c r="AA70" s="25">
        <f>INDEX('Inputs (2)'!$D$8:$AL$8,MATCH(AA$7,'Inputs (2)'!$D$2:$AL$2,0))</f>
        <v>-53</v>
      </c>
      <c r="AB70" s="3">
        <f>SUM(X70:AA70)</f>
        <v>-268</v>
      </c>
      <c r="AC70" s="25">
        <f>INDEX('Inputs (2)'!$D$8:$AL$8,MATCH(AC$7,'Inputs (2)'!$D$2:$AL$2,0))</f>
        <v>-34</v>
      </c>
      <c r="AD70" s="25">
        <f>INDEX('Inputs (2)'!$D$8:$AL$8,MATCH(AD$7,'Inputs (2)'!$D$2:$AL$2,0))</f>
        <v>-261</v>
      </c>
      <c r="AE70" s="25">
        <f>INDEX('Inputs (2)'!$D$8:$AL$8,MATCH(AE$7,'Inputs (2)'!$D$2:$AL$2,0))</f>
        <v>-143</v>
      </c>
      <c r="AF70" s="25">
        <f>INDEX('Inputs (2)'!$D$8:$AL$8,MATCH(AF$7,'Inputs (2)'!$D$2:$AL$2,0))</f>
        <v>-298</v>
      </c>
      <c r="AG70" s="3">
        <f>SUM(AC70:AF70)</f>
        <v>-736</v>
      </c>
      <c r="AH70" s="3">
        <f>INDEX('Inputs (2)'!$D$8:$AL$8,MATCH(AH$7,'Inputs (2)'!$D$2:$AL$2,0))</f>
        <v>-533</v>
      </c>
      <c r="AI70" s="3">
        <f>INDEX('Inputs (2)'!$D$8:$AL$8,MATCH(AI$7,'Inputs (2)'!$D$2:$AL$2,0))</f>
        <v>-1278</v>
      </c>
      <c r="AJ70" s="3" t="n"/>
      <c r="AK70" s="3" t="n"/>
      <c r="AL70" s="3">
        <f>SUM(AH70:AK70)</f>
        <v>-1811</v>
      </c>
      <c r="AM70" s="3" t="n"/>
      <c r="AN70" s="3" t="n"/>
      <c r="AO70" s="3" t="n"/>
      <c r="AP70" s="3" t="n"/>
      <c r="AQ70" s="3">
        <f>SUM(AM70:AP70)</f>
        <v>0</v>
      </c>
      <c r="AR70" s="3" t="n"/>
      <c r="AS70" s="3" t="n"/>
      <c r="AT70" s="3" t="n"/>
      <c r="AU70" s="3" t="n"/>
      <c r="AV70" s="3">
        <f>SUM(AR70:AU70)</f>
        <v>0</v>
      </c>
      <c r="AW70" s="3" t="n"/>
      <c r="AX70" s="3" t="n"/>
      <c r="AY70" s="3" t="n"/>
      <c r="AZ70" s="3" t="n"/>
      <c r="BA70" s="3">
        <f>SUM(AW70:AZ70)</f>
        <v>0</v>
      </c>
      <c r="BB70" s="3" t="n"/>
      <c r="BC70" s="3" t="n"/>
      <c r="BD70" s="3" t="n"/>
      <c r="BE70" s="3" t="n"/>
      <c r="BF70" s="3">
        <f>SUM(BB70:BE70)</f>
        <v>0</v>
      </c>
      <c r="BG70" s="3" t="n"/>
      <c r="BH70" s="3" t="n"/>
      <c r="BI70" s="3" t="n"/>
      <c r="BJ70" s="3" t="n"/>
      <c r="BK70" s="3">
        <f>SUM(BG70:BJ70)</f>
        <v>0</v>
      </c>
      <c r="BL70" s="3" t="n"/>
      <c r="BM70" s="3" t="n"/>
      <c r="BN70" s="3" t="n"/>
      <c r="BO70" s="3" t="n"/>
      <c r="BP70" s="3">
        <f>SUM(BL70:BO70)</f>
        <v>0</v>
      </c>
      <c r="BQ70" s="3" t="n"/>
      <c r="BR70" s="3" t="n"/>
      <c r="BS70" s="3" t="n"/>
      <c r="BT70" s="3" t="n"/>
      <c r="BU70" s="3">
        <f>SUM(BQ70:BT70)</f>
        <v>0</v>
      </c>
      <c r="BV70" s="3" t="n"/>
      <c r="BW70" s="3" t="n"/>
      <c r="BX70" s="3" t="n"/>
      <c r="BY70" s="3" t="n"/>
      <c r="BZ70" s="3">
        <f>SUM(BV70:BY70)</f>
        <v>0</v>
      </c>
      <c r="CA70" s="3" t="n"/>
      <c r="CB70" s="3" t="n"/>
      <c r="CC70" s="3" t="n"/>
      <c r="CD70" s="3" t="n"/>
      <c r="CE70" s="3">
        <f>SUM(CA70:CD70)</f>
        <v>0</v>
      </c>
      <c r="CF70" s="3" t="n"/>
      <c r="CG70" s="3" t="n"/>
      <c r="CH70" s="3" t="n"/>
      <c r="CI70" s="3" t="n"/>
      <c r="CJ70" s="3">
        <f>SUM(CF70:CI70)</f>
        <v>0</v>
      </c>
      <c r="CK70" s="3" t="n"/>
      <c r="CL70" s="3" t="n"/>
      <c r="CM70" s="3" t="n"/>
      <c r="CN70" s="3" t="n"/>
      <c r="CO70" s="3">
        <f>SUM(CK70:CN70)</f>
        <v>0</v>
      </c>
      <c r="CP70" s="3" t="n"/>
      <c r="CQ70" s="3" t="n"/>
      <c r="CR70" s="3" t="n"/>
      <c r="CS70" s="3" t="n"/>
      <c r="CT70" s="3">
        <f>SUM(CP70:CS70)</f>
        <v>0</v>
      </c>
      <c r="CU70" s="3" t="n"/>
      <c r="CV70" s="3" t="n"/>
      <c r="CW70" s="3" t="n"/>
      <c r="CX70" s="3" t="n"/>
      <c r="CY70" s="3">
        <f>SUM(CU70:CX70)</f>
        <v>0</v>
      </c>
    </row>
    <row r="71" hidden="1" outlineLevel="1">
      <c r="C71" s="32" t="inlineStr">
        <is>
          <t>% of Debt</t>
        </is>
      </c>
      <c r="D71" s="48">
        <f>IFERROR(-D70/SUM(D208+D213),0)</f>
        <v>0.0041866028708134</v>
      </c>
      <c r="E71" s="48">
        <f>IFERROR(-E70/SUM(E208+E213),0)</f>
        <v>0.00323544051767048</v>
      </c>
      <c r="F71" s="48">
        <f>IFERROR(-F70/SUM(F208+F213),0)</f>
        <v>0.00345274061286146</v>
      </c>
      <c r="G71" s="48">
        <f>IFERROR(-G70/SUM(G208+G213),0)</f>
        <v>0.00380419178868791</v>
      </c>
      <c r="H71" s="3" t="n"/>
      <c r="I71" s="48">
        <f>IFERROR(-I70/SUM(I208+I213),0)</f>
        <v>0.00547274429322388</v>
      </c>
      <c r="J71" s="48">
        <f>IFERROR(-J70/SUM(J208+J213),0)</f>
        <v>0.00530429927414852</v>
      </c>
      <c r="K71" s="48">
        <f>IFERROR(-K70/SUM(K208+K213),0)</f>
        <v>0.00538913773796193</v>
      </c>
      <c r="L71" s="48">
        <f>IFERROR(-L70/SUM(L208+L213),0)</f>
        <v>0.00789633529054465</v>
      </c>
      <c r="M71" s="3" t="n"/>
      <c r="N71" s="48">
        <f>IFERROR(-N70/SUM(N208+N213),0)</f>
        <v>0.00561152051923467</v>
      </c>
      <c r="O71" s="48">
        <f>IFERROR(-O70/SUM(O208+O213),0)</f>
        <v>0.00563322926564409</v>
      </c>
      <c r="P71" s="48">
        <f>IFERROR(-P70/SUM(P208+P213),0)</f>
        <v>0.00689278646011056</v>
      </c>
      <c r="Q71" s="48">
        <f>IFERROR(-Q70/SUM(Q208+Q213),0)</f>
        <v>0.00612203251479491</v>
      </c>
      <c r="R71" s="3" t="n"/>
      <c r="S71" s="48">
        <f>IFERROR(-S70/SUM(S208+S213),0)</f>
        <v>0.00584069504271008</v>
      </c>
      <c r="T71" s="48">
        <f>IFERROR(-T70/SUM(T208+T213),0)</f>
        <v>0.00313754104341481</v>
      </c>
      <c r="U71" s="48">
        <f>IFERROR(-U70/SUM(U208+U213),0)</f>
        <v>0.00841738625644003</v>
      </c>
      <c r="V71" s="48">
        <f>IFERROR(-V70/SUM(V208+V213),0)</f>
        <v>0.00520636836942579</v>
      </c>
      <c r="W71" s="3" t="n"/>
      <c r="X71" s="48">
        <f>IFERROR(-X70/SUM(X208+X213),0)</f>
        <v>0.00710613849410342</v>
      </c>
      <c r="Y71" s="48">
        <f>IFERROR(-Y70/SUM(Y208+Y213),0)</f>
        <v>0.00506118749055749</v>
      </c>
      <c r="Z71" s="48">
        <f>IFERROR(-Z70/SUM(Z208+Z213),0)</f>
        <v>0.00439131495486704</v>
      </c>
      <c r="AA71" s="48">
        <f>IFERROR(-AA70/SUM(AA208+AA213),0)</f>
        <v>0.00486998070385004</v>
      </c>
      <c r="AB71" s="3" t="n"/>
      <c r="AC71" s="48">
        <f>IFERROR(-AC70/SUM(AC208+AC213),0)</f>
        <v>0.00312327760426236</v>
      </c>
      <c r="AD71" s="48">
        <f>IFERROR(-AD70/SUM(AD208+AD213),0)</f>
        <v>0.0110560426991994</v>
      </c>
      <c r="AE71" s="48">
        <f>IFERROR(-AE70/SUM(AE208+AE213),0)</f>
        <v>0.00661822557504512</v>
      </c>
      <c r="AF71" s="231">
        <f>IFERROR(-AF70/SUM(AF208+AF213),0)</f>
        <v>0.00640213117923819</v>
      </c>
      <c r="AG71" s="3" t="n"/>
      <c r="AH71" s="6">
        <f>IFERROR(-AH70/SUM(AH208+AH213),0)</f>
        <v>0.00687733061508884</v>
      </c>
      <c r="AI71" s="6">
        <f>IFERROR(-AI70/SUM(AI208+AI213),0)</f>
        <v>0.0130188967554627</v>
      </c>
      <c r="AJ71" s="6" t="n"/>
      <c r="AK71" s="6" t="n"/>
      <c r="AL71" s="3" t="n"/>
      <c r="AM71" s="6" t="n"/>
      <c r="AN71" s="6" t="n"/>
      <c r="AO71" s="6" t="n"/>
      <c r="AP71" s="6" t="n"/>
      <c r="AQ71" s="3" t="n"/>
      <c r="AR71" s="6" t="n"/>
      <c r="AS71" s="6" t="n"/>
      <c r="AT71" s="6" t="n"/>
      <c r="AU71" s="6" t="n"/>
      <c r="AV71" s="3" t="n"/>
      <c r="AW71" s="6" t="n"/>
      <c r="AX71" s="6" t="n"/>
      <c r="AY71" s="6" t="n"/>
      <c r="AZ71" s="6" t="n"/>
      <c r="BA71" s="3" t="n"/>
      <c r="BB71" s="6" t="n"/>
      <c r="BC71" s="6" t="n"/>
      <c r="BD71" s="6" t="n"/>
      <c r="BE71" s="6" t="n"/>
      <c r="BF71" s="3" t="n"/>
      <c r="BG71" s="6" t="n"/>
      <c r="BH71" s="6" t="n"/>
      <c r="BI71" s="6" t="n"/>
      <c r="BJ71" s="6" t="n"/>
      <c r="BK71" s="3" t="n"/>
      <c r="BL71" s="6" t="n"/>
      <c r="BM71" s="6" t="n"/>
      <c r="BN71" s="6" t="n"/>
      <c r="BO71" s="6" t="n"/>
      <c r="BP71" s="3" t="n"/>
      <c r="BQ71" s="6" t="n"/>
      <c r="BR71" s="6" t="n"/>
      <c r="BS71" s="6" t="n"/>
      <c r="BT71" s="6" t="n"/>
      <c r="BU71" s="3" t="n"/>
      <c r="BV71" s="6" t="n"/>
      <c r="BW71" s="6" t="n"/>
      <c r="BX71" s="6" t="n"/>
      <c r="BY71" s="6" t="n"/>
      <c r="BZ71" s="3" t="n"/>
      <c r="CA71" s="6" t="n"/>
      <c r="CB71" s="6" t="n"/>
      <c r="CC71" s="6" t="n"/>
      <c r="CD71" s="6" t="n"/>
      <c r="CE71" s="3" t="n"/>
      <c r="CF71" s="6" t="n"/>
      <c r="CG71" s="6" t="n"/>
      <c r="CH71" s="6" t="n"/>
      <c r="CI71" s="6" t="n"/>
      <c r="CJ71" s="3" t="n"/>
      <c r="CK71" s="6" t="n"/>
      <c r="CL71" s="6" t="n"/>
      <c r="CM71" s="6" t="n"/>
      <c r="CN71" s="6" t="n"/>
      <c r="CO71" s="3" t="n"/>
      <c r="CP71" s="6" t="n"/>
      <c r="CQ71" s="6" t="n"/>
      <c r="CR71" s="6" t="n"/>
      <c r="CS71" s="6" t="n"/>
      <c r="CT71" s="3" t="n"/>
      <c r="CU71" s="6" t="n"/>
      <c r="CV71" s="6" t="n"/>
      <c r="CW71" s="6" t="n"/>
      <c r="CX71" s="6" t="n"/>
      <c r="CY71" s="3" t="n"/>
    </row>
    <row r="72" hidden="1" outlineLevel="1">
      <c r="C72" s="32" t="inlineStr">
        <is>
          <t>%CDI</t>
        </is>
      </c>
      <c r="D72" s="6" t="n"/>
      <c r="E72" s="6" t="n"/>
      <c r="F72" s="6" t="n"/>
      <c r="G72" s="6" t="n"/>
      <c r="H72" s="3" t="n"/>
      <c r="I72" s="6" t="n"/>
      <c r="J72" s="6" t="n"/>
      <c r="K72" s="6" t="n"/>
      <c r="L72" s="6" t="n"/>
      <c r="M72" s="3" t="n"/>
      <c r="N72" s="6" t="n"/>
      <c r="O72" s="6" t="n"/>
      <c r="P72" s="6" t="n"/>
      <c r="Q72" s="6" t="n"/>
      <c r="R72" s="3" t="n"/>
      <c r="S72" s="6" t="n"/>
      <c r="T72" s="6" t="n"/>
      <c r="U72" s="6" t="n"/>
      <c r="V72" s="6" t="n"/>
      <c r="W72" s="3" t="n"/>
      <c r="X72" s="6" t="n"/>
      <c r="Y72" s="6" t="n"/>
      <c r="Z72" s="6" t="n"/>
      <c r="AA72" s="6" t="n"/>
      <c r="AB72" s="3" t="n"/>
      <c r="AC72" s="6" t="n"/>
      <c r="AD72" s="6" t="n"/>
      <c r="AE72" s="6" t="n"/>
      <c r="AF72" s="6" t="n"/>
      <c r="AG72" s="3" t="n"/>
      <c r="AH72" s="6" t="n"/>
      <c r="AI72" s="6" t="n"/>
      <c r="AJ72" s="6" t="n"/>
      <c r="AK72" s="6" t="n"/>
      <c r="AL72" s="3" t="n"/>
      <c r="AM72" s="6" t="n"/>
      <c r="AN72" s="6" t="n"/>
      <c r="AO72" s="6" t="n"/>
      <c r="AP72" s="6" t="n"/>
      <c r="AQ72" s="3" t="n"/>
      <c r="AR72" s="6" t="n"/>
      <c r="AS72" s="6" t="n"/>
      <c r="AT72" s="6" t="n"/>
      <c r="AU72" s="6" t="n"/>
      <c r="AV72" s="3" t="n"/>
      <c r="AW72" s="6" t="n"/>
      <c r="AX72" s="6" t="n"/>
      <c r="AY72" s="6" t="n"/>
      <c r="AZ72" s="6" t="n"/>
      <c r="BA72" s="3" t="n"/>
      <c r="BB72" s="6" t="n"/>
      <c r="BC72" s="6" t="n"/>
      <c r="BD72" s="6" t="n"/>
      <c r="BE72" s="6" t="n"/>
      <c r="BF72" s="3" t="n"/>
      <c r="BG72" s="6" t="n"/>
      <c r="BH72" s="6" t="n"/>
      <c r="BI72" s="6" t="n"/>
      <c r="BJ72" s="6" t="n"/>
      <c r="BK72" s="3" t="n"/>
      <c r="BL72" s="6" t="n"/>
      <c r="BM72" s="6" t="n"/>
      <c r="BN72" s="6" t="n"/>
      <c r="BO72" s="6" t="n"/>
      <c r="BP72" s="3" t="n"/>
      <c r="BQ72" s="6" t="n"/>
      <c r="BR72" s="6" t="n"/>
      <c r="BS72" s="6" t="n"/>
      <c r="BT72" s="6" t="n"/>
      <c r="BU72" s="3" t="n"/>
      <c r="BV72" s="6" t="n"/>
      <c r="BW72" s="6" t="n"/>
      <c r="BX72" s="6" t="n"/>
      <c r="BY72" s="6" t="n"/>
      <c r="BZ72" s="3" t="n"/>
      <c r="CA72" s="6" t="n"/>
      <c r="CB72" s="6" t="n"/>
      <c r="CC72" s="6" t="n"/>
      <c r="CD72" s="6" t="n"/>
      <c r="CE72" s="3" t="n"/>
      <c r="CF72" s="6" t="n"/>
      <c r="CG72" s="6" t="n"/>
      <c r="CH72" s="6" t="n"/>
      <c r="CI72" s="6" t="n"/>
      <c r="CJ72" s="3" t="n"/>
      <c r="CK72" s="6" t="n"/>
      <c r="CL72" s="6" t="n"/>
      <c r="CM72" s="6" t="n"/>
      <c r="CN72" s="6" t="n"/>
      <c r="CO72" s="3" t="n"/>
      <c r="CP72" s="6" t="n"/>
      <c r="CQ72" s="6" t="n"/>
      <c r="CR72" s="6" t="n"/>
      <c r="CS72" s="6" t="n"/>
      <c r="CT72" s="3" t="n"/>
      <c r="CU72" s="6" t="n"/>
      <c r="CV72" s="6" t="n"/>
      <c r="CW72" s="6" t="n"/>
      <c r="CX72" s="6" t="n"/>
      <c r="CY72" s="3" t="n"/>
    </row>
    <row r="73" hidden="1" outlineLevel="1">
      <c r="C73" s="34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</row>
    <row r="74" hidden="1" outlineLevel="1">
      <c r="C74" s="34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hidden="1" outlineLevel="1">
      <c r="C75" s="34" t="inlineStr">
        <is>
          <t>RECEITA FINANCEIRA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  <c r="CU75" s="3" t="n"/>
      <c r="CV75" s="3" t="n"/>
      <c r="CW75" s="3" t="n"/>
      <c r="CX75" s="3" t="n"/>
      <c r="CY75" s="3" t="n"/>
    </row>
    <row r="76" hidden="1" outlineLevel="1">
      <c r="C76" s="34" t="inlineStr">
        <is>
          <t>DESPESA FINANCEIRA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</row>
    <row r="77" hidden="1" outlineLevel="1">
      <c r="C77" s="34" t="inlineStr">
        <is>
          <t>OUTROS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Cash and equivalents (inc. investment securities)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Interest on cash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Average interest rate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inlineStr">
        <is>
          <t>% CDI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Current portion of long-term debt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Short term debt (Revolving credit facility)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inlineStr">
        <is>
          <t>Long term debt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Convertible debt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Total debt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inlineStr">
        <is>
          <t>Interest expense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inlineStr">
        <is>
          <t>Average interest rate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Stake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PRE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inlineStr">
        <is>
          <t>CDI+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Spread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inlineStr">
        <is>
          <t>PRE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CDI+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RECEITAS FINANCEIRAS - Rendimentos de aplicações financeiras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inlineStr">
        <is>
          <t>RECEITAS FINANCEIRAS - Variação cambial ativa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RECEITAS FINANCEIRAS - Atualização de contas a pagar por aquisição de empresas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RECEITAS FINANCEIRAS - Resultado positivo com instrumentos derivativos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RECEITAS FINANCEIRAS - Descontos obtidos de fornecedores por antecipação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inlineStr">
        <is>
          <t>RECEITAS FINANCEIRAS - Atualização monetária sobre Exclusão ICMS da base de PIS/COFINS (nota explicativa nº 7)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RECEITAS FINANCEIRAS - Outras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DESPESAS FINANCEIRAS - Encargos sobre empréstimos, financiamentos e debêntures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inlineStr">
        <is>
          <t>DESPESAS FINANCEIRAS - Variação cambial passiva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inlineStr">
        <is>
          <t>DESPESAS FINANCEIRAS - Resultado negativo com instrumentos derivativos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inlineStr">
        <is>
          <t>DESPESAS FINANCEIRAS - Juros sobre arrendamento - IFRS16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DESPESAS FINANCEIRAS - Despesas bancárias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inlineStr">
        <is>
          <t>DESPESAS FINANCEIRAS - Despesas com obtenção de empréstimos e financiamentos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inlineStr">
        <is>
          <t>DESPESAS FINANCEIRAS - Atualização de contas a pagar por aquisição de empresas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34" t="inlineStr">
        <is>
          <t>DESPESAS FINANCEIRAS - Outras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4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4" t="inlineStr">
        <is>
          <t>CHECK [EX IFRS-16]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4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collapsed="1">
      <c r="C119" s="26" t="inlineStr">
        <is>
          <t>Nonoperating Income / (Loss)</t>
        </is>
      </c>
      <c r="D119" s="25">
        <f>INDEX('Inputs (2)'!$D$9:$AL$9,MATCH(D$7,'Inputs (2)'!$D$2:$AL$2,0))</f>
        <v>-199</v>
      </c>
      <c r="E119" s="25">
        <f>INDEX('Inputs (2)'!$D$9:$AL$9,MATCH(E$7,'Inputs (2)'!$D$2:$AL$2,0))</f>
        <v>1907</v>
      </c>
      <c r="F119" s="25">
        <f>INDEX('Inputs (2)'!$D$9:$AL$9,MATCH(F$7,'Inputs (2)'!$D$2:$AL$2,0))</f>
        <v>2194</v>
      </c>
      <c r="G119" s="25">
        <f>INDEX('Inputs (2)'!$D$9:$AL$9,MATCH(G$7,'Inputs (2)'!$D$2:$AL$2,0))</f>
        <v>3091</v>
      </c>
      <c r="H119" s="3">
        <f>SUM(D119:G119)</f>
        <v>6993</v>
      </c>
      <c r="I119" s="25">
        <f>INDEX('Inputs (2)'!$D$9:$AL$9,MATCH(I$7,'Inputs (2)'!$D$2:$AL$2,0))</f>
        <v>4922</v>
      </c>
      <c r="J119" s="25">
        <f>INDEX('Inputs (2)'!$D$9:$AL$9,MATCH(J$7,'Inputs (2)'!$D$2:$AL$2,0))</f>
        <v>2700</v>
      </c>
      <c r="K119" s="25">
        <f>INDEX('Inputs (2)'!$D$9:$AL$9,MATCH(K$7,'Inputs (2)'!$D$2:$AL$2,0))</f>
        <v>2110</v>
      </c>
      <c r="L119" s="25">
        <f>INDEX('Inputs (2)'!$D$9:$AL$9,MATCH(L$7,'Inputs (2)'!$D$2:$AL$2,0))</f>
        <v>2634</v>
      </c>
      <c r="M119" s="3">
        <f>SUM(I119:L119)</f>
        <v>12366</v>
      </c>
      <c r="N119" s="25">
        <f>INDEX('Inputs (2)'!$D$9:$AL$9,MATCH(N$7,'Inputs (2)'!$D$2:$AL$2,0))</f>
        <v>-1077</v>
      </c>
      <c r="O119" s="25">
        <f>INDEX('Inputs (2)'!$D$9:$AL$9,MATCH(O$7,'Inputs (2)'!$D$2:$AL$2,0))</f>
        <v>-356</v>
      </c>
      <c r="P119" s="25">
        <f>INDEX('Inputs (2)'!$D$9:$AL$9,MATCH(P$7,'Inputs (2)'!$D$2:$AL$2,0))</f>
        <v>-801</v>
      </c>
      <c r="Q119" s="25">
        <f>INDEX('Inputs (2)'!$D$9:$AL$9,MATCH(Q$7,'Inputs (2)'!$D$2:$AL$2,0))</f>
        <v>-923</v>
      </c>
      <c r="R119" s="3">
        <f>SUM(N119:Q119)</f>
        <v>-3157</v>
      </c>
      <c r="S119" s="25">
        <f>INDEX('Inputs (2)'!$D$9:$AL$9,MATCH(S$7,'Inputs (2)'!$D$2:$AL$2,0))</f>
        <v>870</v>
      </c>
      <c r="T119" s="25">
        <f>INDEX('Inputs (2)'!$D$9:$AL$9,MATCH(T$7,'Inputs (2)'!$D$2:$AL$2,0))</f>
        <v>108</v>
      </c>
      <c r="U119" s="25">
        <f>INDEX('Inputs (2)'!$D$9:$AL$9,MATCH(U$7,'Inputs (2)'!$D$2:$AL$2,0))</f>
        <v>-30</v>
      </c>
      <c r="V119" s="25">
        <f>INDEX('Inputs (2)'!$D$9:$AL$9,MATCH(V$7,'Inputs (2)'!$D$2:$AL$2,0))</f>
        <v>784</v>
      </c>
      <c r="W119" s="3">
        <f>SUM(S119:V119)</f>
        <v>1732</v>
      </c>
      <c r="X119" s="25">
        <f>INDEX('Inputs (2)'!$D$9:$AL$9,MATCH(X$7,'Inputs (2)'!$D$2:$AL$2,0))</f>
        <v>2937</v>
      </c>
      <c r="Y119" s="25">
        <f>INDEX('Inputs (2)'!$D$9:$AL$9,MATCH(Y$7,'Inputs (2)'!$D$2:$AL$2,0))</f>
        <v>193</v>
      </c>
      <c r="Z119" s="25">
        <f>INDEX('Inputs (2)'!$D$9:$AL$9,MATCH(Z$7,'Inputs (2)'!$D$2:$AL$2,0))</f>
        <v>3239</v>
      </c>
      <c r="AA119" s="25">
        <f>INDEX('Inputs (2)'!$D$9:$AL$9,MATCH(AA$7,'Inputs (2)'!$D$2:$AL$2,0))</f>
        <v>1324</v>
      </c>
      <c r="AB119" s="3">
        <f>SUM(X119:AA119)</f>
        <v>7693</v>
      </c>
      <c r="AC119" s="25">
        <f>INDEX('Inputs (2)'!$D$9:$AL$9,MATCH(AC$7,'Inputs (2)'!$D$2:$AL$2,0))</f>
        <v>11217</v>
      </c>
      <c r="AD119" s="25">
        <f>INDEX('Inputs (2)'!$D$9:$AL$9,MATCH(AD$7,'Inputs (2)'!$D$2:$AL$2,0))</f>
        <v>2923</v>
      </c>
      <c r="AE119" s="25">
        <f>INDEX('Inputs (2)'!$D$9:$AL$9,MATCH(AE$7,'Inputs (2)'!$D$2:$AL$2,0))</f>
        <v>12902</v>
      </c>
      <c r="AF119" s="25">
        <f>INDEX('Inputs (2)'!$D$9:$AL$9,MATCH(AF$7,'Inputs (2)'!$D$2:$AL$2,0))</f>
        <v>3481</v>
      </c>
      <c r="AG119" s="3">
        <f>SUM(AC119:AF119)</f>
        <v>30523</v>
      </c>
      <c r="AH119" s="3">
        <f>INDEX('Inputs (2)'!$D$9:$AL$9,MATCH(AH$7,'Inputs (2)'!$D$2:$AL$2,0))</f>
        <v>38249</v>
      </c>
      <c r="AI119" s="3">
        <f>INDEX('Inputs (2)'!$D$9:$AL$9,MATCH(AI$7,'Inputs (2)'!$D$2:$AL$2,0))</f>
        <v>99261</v>
      </c>
      <c r="AJ119" s="3">
        <f>AH119</f>
        <v>38249</v>
      </c>
      <c r="AK119" s="3">
        <f>AI119</f>
        <v>99261</v>
      </c>
      <c r="AL119" s="3">
        <f>SUM(AH119:AK119)</f>
        <v>275020</v>
      </c>
      <c r="AM119" s="3">
        <f>AK119</f>
        <v>99261</v>
      </c>
      <c r="AN119" s="3">
        <f>AL119</f>
        <v>275020</v>
      </c>
      <c r="AO119" s="3">
        <f>AM119</f>
        <v>99261</v>
      </c>
      <c r="AP119" s="3">
        <f>AN119</f>
        <v>275020</v>
      </c>
      <c r="AQ119" s="3">
        <f>SUM(AM119:AP119)</f>
        <v>748562</v>
      </c>
      <c r="AR119" s="3">
        <f>AP119</f>
        <v>275020</v>
      </c>
      <c r="AS119" s="3">
        <f>AQ119</f>
        <v>748562</v>
      </c>
      <c r="AT119" s="3">
        <f>AR119</f>
        <v>275020</v>
      </c>
      <c r="AU119" s="3">
        <f>AS119</f>
        <v>748562</v>
      </c>
      <c r="AV119" s="3">
        <f>SUM(AR119:AU119)</f>
        <v>2047164</v>
      </c>
      <c r="AW119" s="3">
        <f>AU119</f>
        <v>748562</v>
      </c>
      <c r="AX119" s="3">
        <f>AV119</f>
        <v>2047164</v>
      </c>
      <c r="AY119" s="3">
        <f>AW119</f>
        <v>748562</v>
      </c>
      <c r="AZ119" s="3">
        <f>AX119</f>
        <v>2047164</v>
      </c>
      <c r="BA119" s="3">
        <f>SUM(AW119:AZ119)</f>
        <v>5591452</v>
      </c>
      <c r="BB119" s="3">
        <f>AZ119</f>
        <v>2047164</v>
      </c>
      <c r="BC119" s="3">
        <f>BA119</f>
        <v>5591452</v>
      </c>
      <c r="BD119" s="3">
        <f>BB119</f>
        <v>2047164</v>
      </c>
      <c r="BE119" s="3">
        <f>BC119</f>
        <v>5591452</v>
      </c>
      <c r="BF119" s="3">
        <f>SUM(BB119:BE119)</f>
        <v>15277232</v>
      </c>
      <c r="BG119" s="3">
        <f>BE119</f>
        <v>5591452</v>
      </c>
      <c r="BH119" s="3">
        <f>BF119</f>
        <v>15277232</v>
      </c>
      <c r="BI119" s="3">
        <f>BG119</f>
        <v>5591452</v>
      </c>
      <c r="BJ119" s="3">
        <f>BH119</f>
        <v>15277232</v>
      </c>
      <c r="BK119" s="3">
        <f>SUM(BG119:BJ119)</f>
        <v>41737368</v>
      </c>
      <c r="BL119" s="3">
        <f>BJ119</f>
        <v>15277232</v>
      </c>
      <c r="BM119" s="3">
        <f>BK119</f>
        <v>41737368</v>
      </c>
      <c r="BN119" s="3">
        <f>BL119</f>
        <v>15277232</v>
      </c>
      <c r="BO119" s="3">
        <f>BM119</f>
        <v>41737368</v>
      </c>
      <c r="BP119" s="3">
        <f>SUM(BL119:BO119)</f>
        <v>114029200</v>
      </c>
      <c r="BQ119" s="3">
        <f>BO119</f>
        <v>41737368</v>
      </c>
      <c r="BR119" s="3">
        <f>BP119</f>
        <v>114029200</v>
      </c>
      <c r="BS119" s="3">
        <f>BQ119</f>
        <v>41737368</v>
      </c>
      <c r="BT119" s="3">
        <f>BR119</f>
        <v>114029200</v>
      </c>
      <c r="BU119" s="3">
        <f>SUM(BQ119:BT119)</f>
        <v>311533136</v>
      </c>
      <c r="BV119" s="3">
        <f>BT119</f>
        <v>114029200</v>
      </c>
      <c r="BW119" s="3">
        <f>BU119</f>
        <v>311533136</v>
      </c>
      <c r="BX119" s="3">
        <f>BV119</f>
        <v>114029200</v>
      </c>
      <c r="BY119" s="3">
        <f>BW119</f>
        <v>311533136</v>
      </c>
      <c r="BZ119" s="3">
        <f>SUM(BV119:BY119)</f>
        <v>851124672</v>
      </c>
      <c r="CA119" s="3">
        <f>BY119</f>
        <v>311533136</v>
      </c>
      <c r="CB119" s="3">
        <f>BZ119</f>
        <v>851124672</v>
      </c>
      <c r="CC119" s="3">
        <f>CA119</f>
        <v>311533136</v>
      </c>
      <c r="CD119" s="3">
        <f>CB119</f>
        <v>851124672</v>
      </c>
      <c r="CE119" s="3">
        <f>SUM(CA119:CD119)</f>
        <v>2325315616</v>
      </c>
      <c r="CF119" s="3">
        <f>CD119</f>
        <v>851124672</v>
      </c>
      <c r="CG119" s="3">
        <f>CE119</f>
        <v>2325315616</v>
      </c>
      <c r="CH119" s="3">
        <f>CF119</f>
        <v>851124672</v>
      </c>
      <c r="CI119" s="3">
        <f>CG119</f>
        <v>2325315616</v>
      </c>
      <c r="CJ119" s="3">
        <f>SUM(CF119:CI119)</f>
        <v>6352880576</v>
      </c>
      <c r="CK119" s="3">
        <f>CI119</f>
        <v>2325315616</v>
      </c>
      <c r="CL119" s="3">
        <f>CJ119</f>
        <v>6352880576</v>
      </c>
      <c r="CM119" s="3">
        <f>CK119</f>
        <v>2325315616</v>
      </c>
      <c r="CN119" s="3">
        <f>CL119</f>
        <v>6352880576</v>
      </c>
      <c r="CO119" s="3">
        <f>SUM(CK119:CN119)</f>
        <v>17356392384</v>
      </c>
      <c r="CP119" s="3">
        <f>CN119</f>
        <v>6352880576</v>
      </c>
      <c r="CQ119" s="3">
        <f>CO119</f>
        <v>17356392384</v>
      </c>
      <c r="CR119" s="3">
        <f>CP119</f>
        <v>6352880576</v>
      </c>
      <c r="CS119" s="3">
        <f>CQ119</f>
        <v>17356392384</v>
      </c>
      <c r="CT119" s="3">
        <f>SUM(CP119:CS119)</f>
        <v>47418545920</v>
      </c>
      <c r="CU119" s="3">
        <f>CS119</f>
        <v>17356392384</v>
      </c>
      <c r="CV119" s="3">
        <f>CT119</f>
        <v>47418545920</v>
      </c>
      <c r="CW119" s="3">
        <f>CU119</f>
        <v>17356392384</v>
      </c>
      <c r="CX119" s="3">
        <f>CV119</f>
        <v>47418545920</v>
      </c>
      <c r="CY119" s="3">
        <f>SUM(CU119:CX119)</f>
        <v>129549876608</v>
      </c>
    </row>
    <row r="120" hidden="1" outlineLevel="1">
      <c r="C120" s="34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hidden="1" outlineLevel="1">
      <c r="C121" s="32" t="inlineStr">
        <is>
          <t>Resultado Não Recorrente</t>
        </is>
      </c>
      <c r="D121" s="6" t="n"/>
      <c r="E121" s="6" t="n"/>
      <c r="F121" s="6" t="n"/>
      <c r="G121" s="6" t="n"/>
      <c r="H121" s="3" t="n"/>
      <c r="I121" s="6" t="n"/>
      <c r="J121" s="6" t="n"/>
      <c r="K121" s="6" t="n"/>
      <c r="L121" s="6" t="n"/>
      <c r="M121" s="3" t="n"/>
      <c r="N121" s="6" t="n"/>
      <c r="O121" s="6" t="n"/>
      <c r="P121" s="6" t="n"/>
      <c r="Q121" s="6" t="n"/>
      <c r="R121" s="3" t="n"/>
      <c r="S121" s="6" t="n"/>
      <c r="T121" s="6" t="n"/>
      <c r="U121" s="6" t="n"/>
      <c r="V121" s="6" t="n"/>
      <c r="W121" s="3" t="n"/>
      <c r="X121" s="6" t="n"/>
      <c r="Y121" s="6" t="n"/>
      <c r="Z121" s="6" t="n"/>
      <c r="AA121" s="6" t="n"/>
      <c r="AB121" s="3" t="n"/>
      <c r="AC121" s="6" t="n"/>
      <c r="AD121" s="6" t="n"/>
      <c r="AE121" s="6" t="n"/>
      <c r="AF121" s="6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  <c r="CU121" s="3" t="n"/>
      <c r="CV121" s="3" t="n"/>
      <c r="CW121" s="3" t="n"/>
      <c r="CX121" s="3" t="n"/>
      <c r="CY121" s="3" t="n"/>
    </row>
    <row r="122" hidden="1" outlineLevel="1">
      <c r="C122" s="32" t="inlineStr">
        <is>
          <t>Plano de Opção de Compra de Ações</t>
        </is>
      </c>
      <c r="D122" s="6" t="n"/>
      <c r="E122" s="6" t="n"/>
      <c r="F122" s="6" t="n"/>
      <c r="G122" s="6" t="n"/>
      <c r="H122" s="3" t="n"/>
      <c r="I122" s="6" t="n"/>
      <c r="J122" s="6" t="n"/>
      <c r="K122" s="6" t="n"/>
      <c r="L122" s="6" t="n"/>
      <c r="M122" s="3" t="n"/>
      <c r="N122" s="6" t="n"/>
      <c r="O122" s="6" t="n"/>
      <c r="P122" s="6" t="n"/>
      <c r="Q122" s="6" t="n"/>
      <c r="R122" s="3" t="n"/>
      <c r="S122" s="6" t="n"/>
      <c r="T122" s="6" t="n"/>
      <c r="U122" s="6" t="n"/>
      <c r="V122" s="6" t="n"/>
      <c r="W122" s="3" t="n"/>
      <c r="X122" s="6" t="n"/>
      <c r="Y122" s="6" t="n"/>
      <c r="Z122" s="6" t="n"/>
      <c r="AA122" s="6" t="n"/>
      <c r="AB122" s="3" t="n"/>
      <c r="AC122" s="6" t="n"/>
      <c r="AD122" s="6" t="n"/>
      <c r="AE122" s="6" t="n"/>
      <c r="AF122" s="6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hidden="1" outlineLevel="1">
      <c r="C123" s="32" t="inlineStr">
        <is>
          <t>Baixa Imobilizado</t>
        </is>
      </c>
      <c r="D123" s="6" t="n"/>
      <c r="E123" s="6" t="n"/>
      <c r="F123" s="6" t="n"/>
      <c r="G123" s="6" t="n"/>
      <c r="H123" s="3" t="n"/>
      <c r="I123" s="6" t="n"/>
      <c r="J123" s="6" t="n"/>
      <c r="K123" s="6" t="n"/>
      <c r="L123" s="6" t="n"/>
      <c r="M123" s="3" t="n"/>
      <c r="N123" s="6" t="n"/>
      <c r="O123" s="6" t="n"/>
      <c r="P123" s="6" t="n"/>
      <c r="Q123" s="6" t="n"/>
      <c r="R123" s="3" t="n"/>
      <c r="S123" s="6" t="n"/>
      <c r="T123" s="6" t="n"/>
      <c r="U123" s="6" t="n"/>
      <c r="V123" s="6" t="n"/>
      <c r="W123" s="3" t="n"/>
      <c r="X123" s="6" t="n"/>
      <c r="Y123" s="6" t="n"/>
      <c r="Z123" s="6" t="n"/>
      <c r="AA123" s="6" t="n"/>
      <c r="AB123" s="3" t="n"/>
      <c r="AC123" s="6" t="n"/>
      <c r="AD123" s="6" t="n"/>
      <c r="AE123" s="6" t="n"/>
      <c r="AF123" s="6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hidden="1" outlineLevel="1">
      <c r="C124" s="34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hidden="1" outlineLevel="1">
      <c r="C125" s="34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  <c r="CU125" s="3" t="n"/>
      <c r="CV125" s="3" t="n"/>
      <c r="CW125" s="3" t="n"/>
      <c r="CX125" s="3" t="n"/>
      <c r="CY125" s="3" t="n"/>
    </row>
    <row r="126" collapsed="1" customFormat="1" s="17">
      <c r="A126" s="13" t="n"/>
      <c r="B126" s="1" t="n"/>
      <c r="C126" s="14" t="inlineStr">
        <is>
          <t>Pretax Income - EBT</t>
        </is>
      </c>
      <c r="D126" s="16">
        <f>SUM(D69,D70,D119)</f>
        <v>7757</v>
      </c>
      <c r="E126" s="16">
        <f>SUM(E69,E70,E119)</f>
        <v>8277</v>
      </c>
      <c r="F126" s="16">
        <f>SUM(F69,F70,F119)</f>
        <v>13359</v>
      </c>
      <c r="G126" s="16">
        <f>SUM(G69,G70,G119)</f>
        <v>18689</v>
      </c>
      <c r="H126" s="16">
        <f>SUM(D126:G126)</f>
        <v>48082</v>
      </c>
      <c r="I126" s="16">
        <f>SUM(I69,I70,I119)</f>
        <v>21283</v>
      </c>
      <c r="J126" s="16">
        <f>SUM(J69,J70,J119)</f>
        <v>21985</v>
      </c>
      <c r="K126" s="16">
        <f>SUM(K69,K70,K119)</f>
        <v>23064</v>
      </c>
      <c r="L126" s="16">
        <f>SUM(L69,L70,L119)</f>
        <v>24402</v>
      </c>
      <c r="M126" s="16">
        <f>SUM(I126:L126)</f>
        <v>90734</v>
      </c>
      <c r="N126" s="16">
        <f>SUM(N69,N70,N119)</f>
        <v>18934</v>
      </c>
      <c r="O126" s="16">
        <f>SUM(O69,O70,O119)</f>
        <v>19014</v>
      </c>
      <c r="P126" s="16">
        <f>SUM(P69,P70,P119)</f>
        <v>16233</v>
      </c>
      <c r="Q126" s="16">
        <f>SUM(Q69,Q70,Q119)</f>
        <v>17147</v>
      </c>
      <c r="R126" s="16">
        <f>SUM(N126:Q126)</f>
        <v>71328</v>
      </c>
      <c r="S126" s="16">
        <f>SUM(S69,S70,S119)</f>
        <v>18205</v>
      </c>
      <c r="T126" s="16">
        <f>SUM(T69,T70,T119)</f>
        <v>21903</v>
      </c>
      <c r="U126" s="16">
        <f>SUM(U69,U70,U119)</f>
        <v>21197</v>
      </c>
      <c r="V126" s="16">
        <f>SUM(V69,V70,V119)</f>
        <v>24412</v>
      </c>
      <c r="W126" s="16">
        <f>SUM(S126:V126)</f>
        <v>85717</v>
      </c>
      <c r="X126" s="16">
        <f>SUM(X69,X70,X119)</f>
        <v>28315</v>
      </c>
      <c r="Y126" s="16">
        <f>SUM(Y69,Y70,Y119)</f>
        <v>27551</v>
      </c>
      <c r="Z126" s="16">
        <f>SUM(Z69,Z70,Z119)</f>
        <v>31706</v>
      </c>
      <c r="AA126" s="16">
        <f>SUM(AA69,AA70,AA119)</f>
        <v>32243</v>
      </c>
      <c r="AB126" s="16">
        <f>SUM(X126:AA126)</f>
        <v>119815</v>
      </c>
      <c r="AC126" s="16">
        <f>SUM(AC69,AC70,AC119)</f>
        <v>41789</v>
      </c>
      <c r="AD126" s="16">
        <f>SUM(AD69,AD70,AD119)</f>
        <v>33933</v>
      </c>
      <c r="AE126" s="16">
        <f>SUM(AE69,AE70,AE119)</f>
        <v>43987</v>
      </c>
      <c r="AF126" s="16">
        <f>SUM(AF69,AF70,AF119)</f>
        <v>39117</v>
      </c>
      <c r="AG126" s="16">
        <f>SUM(AC126:AF126)</f>
        <v>158826</v>
      </c>
      <c r="AH126" s="16">
        <f>SUM(AH69,AH70,AH119)</f>
        <v>77412</v>
      </c>
      <c r="AI126" s="16">
        <f>SUM(AI69,AI70,AI119)</f>
        <v>138753</v>
      </c>
      <c r="AJ126" s="16">
        <f>SUM(AJ69,AJ70,AJ119)</f>
        <v>38249</v>
      </c>
      <c r="AK126" s="16">
        <f>SUM(AK69,AK70,AK119)</f>
        <v>99261</v>
      </c>
      <c r="AL126" s="16">
        <f>SUM(AH126:AK126)</f>
        <v>353675</v>
      </c>
      <c r="AM126" s="16">
        <f>SUM(AM69,AM70,AM119)</f>
        <v>99261</v>
      </c>
      <c r="AN126" s="16">
        <f>SUM(AN69,AN70,AN119)</f>
        <v>275020</v>
      </c>
      <c r="AO126" s="16">
        <f>SUM(AO69,AO70,AO119)</f>
        <v>99261</v>
      </c>
      <c r="AP126" s="16">
        <f>SUM(AP69,AP70,AP119)</f>
        <v>275020</v>
      </c>
      <c r="AQ126" s="16">
        <f>SUM(AM126:AP126)</f>
        <v>748562</v>
      </c>
      <c r="AR126" s="16">
        <f>SUM(AR69,AR70,AR119)</f>
        <v>275020</v>
      </c>
      <c r="AS126" s="16">
        <f>SUM(AS69,AS70,AS119)</f>
        <v>748562</v>
      </c>
      <c r="AT126" s="16">
        <f>SUM(AT69,AT70,AT119)</f>
        <v>275020</v>
      </c>
      <c r="AU126" s="16">
        <f>SUM(AU69,AU70,AU119)</f>
        <v>748562</v>
      </c>
      <c r="AV126" s="16">
        <f>SUM(AR126:AU126)</f>
        <v>2047164</v>
      </c>
      <c r="AW126" s="16">
        <f>SUM(AW69,AW70,AW119)</f>
        <v>748562</v>
      </c>
      <c r="AX126" s="16">
        <f>SUM(AX69,AX70,AX119)</f>
        <v>2047164</v>
      </c>
      <c r="AY126" s="16">
        <f>SUM(AY69,AY70,AY119)</f>
        <v>748562</v>
      </c>
      <c r="AZ126" s="16">
        <f>SUM(AZ69,AZ70,AZ119)</f>
        <v>2047164</v>
      </c>
      <c r="BA126" s="16">
        <f>SUM(AW126:AZ126)</f>
        <v>5591452</v>
      </c>
      <c r="BB126" s="16">
        <f>SUM(BB69,BB70,BB119)</f>
        <v>2047164</v>
      </c>
      <c r="BC126" s="16">
        <f>SUM(BC69,BC70,BC119)</f>
        <v>5591452</v>
      </c>
      <c r="BD126" s="16">
        <f>SUM(BD69,BD70,BD119)</f>
        <v>2047164</v>
      </c>
      <c r="BE126" s="16">
        <f>SUM(BE69,BE70,BE119)</f>
        <v>5591452</v>
      </c>
      <c r="BF126" s="16">
        <f>SUM(BB126:BE126)</f>
        <v>15277232</v>
      </c>
      <c r="BG126" s="16">
        <f>SUM(BG69,BG70,BG119)</f>
        <v>5591452</v>
      </c>
      <c r="BH126" s="16">
        <f>SUM(BH69,BH70,BH119)</f>
        <v>15277232</v>
      </c>
      <c r="BI126" s="16">
        <f>SUM(BI69,BI70,BI119)</f>
        <v>5591452</v>
      </c>
      <c r="BJ126" s="16">
        <f>SUM(BJ69,BJ70,BJ119)</f>
        <v>15277232</v>
      </c>
      <c r="BK126" s="16">
        <f>SUM(BG126:BJ126)</f>
        <v>41737368</v>
      </c>
      <c r="BL126" s="16">
        <f>SUM(BL69,BL70,BL119)</f>
        <v>15277232</v>
      </c>
      <c r="BM126" s="16">
        <f>SUM(BM69,BM70,BM119)</f>
        <v>41737368</v>
      </c>
      <c r="BN126" s="16">
        <f>SUM(BN69,BN70,BN119)</f>
        <v>15277232</v>
      </c>
      <c r="BO126" s="16">
        <f>SUM(BO69,BO70,BO119)</f>
        <v>41737368</v>
      </c>
      <c r="BP126" s="16">
        <f>SUM(BL126:BO126)</f>
        <v>114029200</v>
      </c>
      <c r="BQ126" s="16">
        <f>SUM(BQ69,BQ70,BQ119)</f>
        <v>41737368</v>
      </c>
      <c r="BR126" s="16">
        <f>SUM(BR69,BR70,BR119)</f>
        <v>114029200</v>
      </c>
      <c r="BS126" s="16">
        <f>SUM(BS69,BS70,BS119)</f>
        <v>41737368</v>
      </c>
      <c r="BT126" s="16">
        <f>SUM(BT69,BT70,BT119)</f>
        <v>114029200</v>
      </c>
      <c r="BU126" s="16">
        <f>SUM(BQ126:BT126)</f>
        <v>311533136</v>
      </c>
      <c r="BV126" s="16">
        <f>SUM(BV69,BV70,BV119)</f>
        <v>114029200</v>
      </c>
      <c r="BW126" s="16">
        <f>SUM(BW69,BW70,BW119)</f>
        <v>311533136</v>
      </c>
      <c r="BX126" s="16">
        <f>SUM(BX69,BX70,BX119)</f>
        <v>114029200</v>
      </c>
      <c r="BY126" s="16">
        <f>SUM(BY69,BY70,BY119)</f>
        <v>311533136</v>
      </c>
      <c r="BZ126" s="16">
        <f>SUM(BV126:BY126)</f>
        <v>851124672</v>
      </c>
      <c r="CA126" s="16">
        <f>SUM(CA69,CA70,CA119)</f>
        <v>311533136</v>
      </c>
      <c r="CB126" s="16">
        <f>SUM(CB69,CB70,CB119)</f>
        <v>851124672</v>
      </c>
      <c r="CC126" s="16">
        <f>SUM(CC69,CC70,CC119)</f>
        <v>311533136</v>
      </c>
      <c r="CD126" s="16">
        <f>SUM(CD69,CD70,CD119)</f>
        <v>851124672</v>
      </c>
      <c r="CE126" s="16">
        <f>SUM(CA126:CD126)</f>
        <v>2325315616</v>
      </c>
      <c r="CF126" s="16">
        <f>SUM(CF69,CF70,CF119)</f>
        <v>851124672</v>
      </c>
      <c r="CG126" s="16">
        <f>SUM(CG69,CG70,CG119)</f>
        <v>2325315616</v>
      </c>
      <c r="CH126" s="16">
        <f>SUM(CH69,CH70,CH119)</f>
        <v>851124672</v>
      </c>
      <c r="CI126" s="16">
        <f>SUM(CI69,CI70,CI119)</f>
        <v>2325315616</v>
      </c>
      <c r="CJ126" s="16">
        <f>SUM(CF126:CI126)</f>
        <v>6352880576</v>
      </c>
      <c r="CK126" s="16">
        <f>SUM(CK69,CK70,CK119)</f>
        <v>2325315616</v>
      </c>
      <c r="CL126" s="16">
        <f>SUM(CL69,CL70,CL119)</f>
        <v>6352880576</v>
      </c>
      <c r="CM126" s="16">
        <f>SUM(CM69,CM70,CM119)</f>
        <v>2325315616</v>
      </c>
      <c r="CN126" s="16">
        <f>SUM(CN69,CN70,CN119)</f>
        <v>6352880576</v>
      </c>
      <c r="CO126" s="16">
        <f>SUM(CK126:CN126)</f>
        <v>17356392384</v>
      </c>
      <c r="CP126" s="16">
        <f>SUM(CP69,CP70,CP119)</f>
        <v>6352880576</v>
      </c>
      <c r="CQ126" s="16">
        <f>SUM(CQ69,CQ70,CQ119)</f>
        <v>17356392384</v>
      </c>
      <c r="CR126" s="16">
        <f>SUM(CR69,CR70,CR119)</f>
        <v>6352880576</v>
      </c>
      <c r="CS126" s="16">
        <f>SUM(CS69,CS70,CS119)</f>
        <v>17356392384</v>
      </c>
      <c r="CT126" s="16">
        <f>SUM(CP126:CS126)</f>
        <v>47418545920</v>
      </c>
      <c r="CU126" s="16">
        <f>SUM(CU69,CU70,CU119)</f>
        <v>17356392384</v>
      </c>
      <c r="CV126" s="16">
        <f>SUM(CV69,CV70,CV119)</f>
        <v>47418545920</v>
      </c>
      <c r="CW126" s="16">
        <f>SUM(CW69,CW70,CW119)</f>
        <v>17356392384</v>
      </c>
      <c r="CX126" s="16">
        <f>SUM(CX69,CX70,CX119)</f>
        <v>47418545920</v>
      </c>
      <c r="CY126" s="16">
        <f>SUM(CU126:CX126)</f>
        <v>129549876608</v>
      </c>
    </row>
    <row r="127">
      <c r="C127" s="26" t="inlineStr">
        <is>
          <t>Taxes</t>
        </is>
      </c>
      <c r="D127" s="25">
        <f>INDEX('Inputs (2)'!$D$10:$AL$10,MATCH(D$7,'Inputs (2)'!$D$2:$AL$2,0))</f>
        <v>-921</v>
      </c>
      <c r="E127" s="25">
        <f>INDEX('Inputs (2)'!$D$10:$AL$10,MATCH(E$7,'Inputs (2)'!$D$2:$AL$2,0))</f>
        <v>-1318</v>
      </c>
      <c r="F127" s="25">
        <f>INDEX('Inputs (2)'!$D$10:$AL$10,MATCH(F$7,'Inputs (2)'!$D$2:$AL$2,0))</f>
        <v>-2112</v>
      </c>
      <c r="G127" s="25">
        <f>INDEX('Inputs (2)'!$D$10:$AL$10,MATCH(G$7,'Inputs (2)'!$D$2:$AL$2,0))</f>
        <v>-3462</v>
      </c>
      <c r="H127" s="3">
        <f>SUM(D127:G127)</f>
        <v>-7813</v>
      </c>
      <c r="I127" s="25">
        <f>INDEX('Inputs (2)'!$D$10:$AL$10,MATCH(I$7,'Inputs (2)'!$D$2:$AL$2,0))</f>
        <v>-3353</v>
      </c>
      <c r="J127" s="25">
        <f>INDEX('Inputs (2)'!$D$10:$AL$10,MATCH(J$7,'Inputs (2)'!$D$2:$AL$2,0))</f>
        <v>-3460</v>
      </c>
      <c r="K127" s="25">
        <f>INDEX('Inputs (2)'!$D$10:$AL$10,MATCH(K$7,'Inputs (2)'!$D$2:$AL$2,0))</f>
        <v>-4128</v>
      </c>
      <c r="L127" s="25">
        <f>INDEX('Inputs (2)'!$D$10:$AL$10,MATCH(L$7,'Inputs (2)'!$D$2:$AL$2,0))</f>
        <v>-3760</v>
      </c>
      <c r="M127" s="3">
        <f>SUM(I127:L127)</f>
        <v>-14701</v>
      </c>
      <c r="N127" s="25">
        <f>INDEX('Inputs (2)'!$D$10:$AL$10,MATCH(N$7,'Inputs (2)'!$D$2:$AL$2,0))</f>
        <v>-2498</v>
      </c>
      <c r="O127" s="25">
        <f>INDEX('Inputs (2)'!$D$10:$AL$10,MATCH(O$7,'Inputs (2)'!$D$2:$AL$2,0))</f>
        <v>-3012</v>
      </c>
      <c r="P127" s="25">
        <f>INDEX('Inputs (2)'!$D$10:$AL$10,MATCH(P$7,'Inputs (2)'!$D$2:$AL$2,0))</f>
        <v>-2323</v>
      </c>
      <c r="Q127" s="25">
        <f>INDEX('Inputs (2)'!$D$10:$AL$10,MATCH(Q$7,'Inputs (2)'!$D$2:$AL$2,0))</f>
        <v>-3523</v>
      </c>
      <c r="R127" s="3">
        <f>SUM(N127:Q127)</f>
        <v>-11356</v>
      </c>
      <c r="S127" s="25">
        <f>INDEX('Inputs (2)'!$D$10:$AL$10,MATCH(S$7,'Inputs (2)'!$D$2:$AL$2,0))</f>
        <v>-3154</v>
      </c>
      <c r="T127" s="25">
        <f>INDEX('Inputs (2)'!$D$10:$AL$10,MATCH(T$7,'Inputs (2)'!$D$2:$AL$2,0))</f>
        <v>-3535</v>
      </c>
      <c r="U127" s="25">
        <f>INDEX('Inputs (2)'!$D$10:$AL$10,MATCH(U$7,'Inputs (2)'!$D$2:$AL$2,0))</f>
        <v>-1508</v>
      </c>
      <c r="V127" s="25">
        <f>INDEX('Inputs (2)'!$D$10:$AL$10,MATCH(V$7,'Inputs (2)'!$D$2:$AL$2,0))</f>
        <v>-3725</v>
      </c>
      <c r="W127" s="3">
        <f>SUM(S127:V127)</f>
        <v>-11922</v>
      </c>
      <c r="X127" s="25">
        <f>INDEX('Inputs (2)'!$D$10:$AL$10,MATCH(X$7,'Inputs (2)'!$D$2:$AL$2,0))</f>
        <v>-4653</v>
      </c>
      <c r="Y127" s="25">
        <f>INDEX('Inputs (2)'!$D$10:$AL$10,MATCH(Y$7,'Inputs (2)'!$D$2:$AL$2,0))</f>
        <v>-3932</v>
      </c>
      <c r="Z127" s="25">
        <f>INDEX('Inputs (2)'!$D$10:$AL$10,MATCH(Z$7,'Inputs (2)'!$D$2:$AL$2,0))</f>
        <v>-5405</v>
      </c>
      <c r="AA127" s="25">
        <f>INDEX('Inputs (2)'!$D$10:$AL$10,MATCH(AA$7,'Inputs (2)'!$D$2:$AL$2,0))</f>
        <v>-5707</v>
      </c>
      <c r="AB127" s="3">
        <f>SUM(X127:AA127)</f>
        <v>-19697</v>
      </c>
      <c r="AC127" s="25">
        <f>INDEX('Inputs (2)'!$D$10:$AL$10,MATCH(AC$7,'Inputs (2)'!$D$2:$AL$2,0))</f>
        <v>-7249</v>
      </c>
      <c r="AD127" s="25">
        <f>INDEX('Inputs (2)'!$D$10:$AL$10,MATCH(AD$7,'Inputs (2)'!$D$2:$AL$2,0))</f>
        <v>-5737</v>
      </c>
      <c r="AE127" s="25">
        <f>INDEX('Inputs (2)'!$D$10:$AL$10,MATCH(AE$7,'Inputs (2)'!$D$2:$AL$2,0))</f>
        <v>-9008</v>
      </c>
      <c r="AF127" s="25">
        <f>INDEX('Inputs (2)'!$D$10:$AL$10,MATCH(AF$7,'Inputs (2)'!$D$2:$AL$2,0))</f>
        <v>-4662</v>
      </c>
      <c r="AG127" s="3">
        <f>SUM(AC127:AF127)</f>
        <v>-26656</v>
      </c>
      <c r="AH127" s="3">
        <f>INDEX('Inputs (2)'!$D$10:$AL$10,MATCH(AH$7,'Inputs (2)'!$D$2:$AL$2,0))</f>
        <v>-14834</v>
      </c>
      <c r="AI127" s="3">
        <f>INDEX('Inputs (2)'!$D$10:$AL$10,MATCH(AI$7,'Inputs (2)'!$D$2:$AL$2,0))</f>
        <v>-26560</v>
      </c>
      <c r="AJ127" s="3">
        <f>AJ128*-AJ126</f>
        <v>0</v>
      </c>
      <c r="AK127" s="3">
        <f>AK128*-AK126</f>
        <v>0</v>
      </c>
      <c r="AL127" s="3">
        <f>SUM(AH127:AK127)</f>
        <v>-41394</v>
      </c>
      <c r="AM127" s="3">
        <f>AM128*-AM126</f>
        <v>0</v>
      </c>
      <c r="AN127" s="3">
        <f>AN128*-AN126</f>
        <v>0</v>
      </c>
      <c r="AO127" s="3">
        <f>AO128*-AO126</f>
        <v>0</v>
      </c>
      <c r="AP127" s="3">
        <f>AP128*-AP126</f>
        <v>0</v>
      </c>
      <c r="AQ127" s="3">
        <f>SUM(AM127:AP127)</f>
        <v>0</v>
      </c>
      <c r="AR127" s="3">
        <f>AR128*-AR126</f>
        <v>0</v>
      </c>
      <c r="AS127" s="3">
        <f>AS128*-AS126</f>
        <v>0</v>
      </c>
      <c r="AT127" s="3">
        <f>AT128*-AT126</f>
        <v>0</v>
      </c>
      <c r="AU127" s="3">
        <f>AU128*-AU126</f>
        <v>0</v>
      </c>
      <c r="AV127" s="3">
        <f>SUM(AR127:AU127)</f>
        <v>0</v>
      </c>
      <c r="AW127" s="3">
        <f>AW128*-AW126</f>
        <v>0</v>
      </c>
      <c r="AX127" s="3">
        <f>AX128*-AX126</f>
        <v>0</v>
      </c>
      <c r="AY127" s="3">
        <f>AY128*-AY126</f>
        <v>0</v>
      </c>
      <c r="AZ127" s="3">
        <f>AZ128*-AZ126</f>
        <v>0</v>
      </c>
      <c r="BA127" s="3">
        <f>SUM(AW127:AZ127)</f>
        <v>0</v>
      </c>
      <c r="BB127" s="3">
        <f>BB128*-BB126</f>
        <v>0</v>
      </c>
      <c r="BC127" s="3">
        <f>BC128*-BC126</f>
        <v>0</v>
      </c>
      <c r="BD127" s="3">
        <f>BD128*-BD126</f>
        <v>0</v>
      </c>
      <c r="BE127" s="3">
        <f>BE128*-BE126</f>
        <v>0</v>
      </c>
      <c r="BF127" s="3">
        <f>SUM(BB127:BE127)</f>
        <v>0</v>
      </c>
      <c r="BG127" s="3">
        <f>BG128*-BG126</f>
        <v>0</v>
      </c>
      <c r="BH127" s="3">
        <f>BH128*-BH126</f>
        <v>0</v>
      </c>
      <c r="BI127" s="3">
        <f>BI128*-BI126</f>
        <v>0</v>
      </c>
      <c r="BJ127" s="3">
        <f>BJ128*-BJ126</f>
        <v>0</v>
      </c>
      <c r="BK127" s="3">
        <f>SUM(BG127:BJ127)</f>
        <v>0</v>
      </c>
      <c r="BL127" s="3">
        <f>BL128*-BL126</f>
        <v>0</v>
      </c>
      <c r="BM127" s="3">
        <f>BM128*-BM126</f>
        <v>0</v>
      </c>
      <c r="BN127" s="3">
        <f>BN128*-BN126</f>
        <v>0</v>
      </c>
      <c r="BO127" s="3">
        <f>BO128*-BO126</f>
        <v>0</v>
      </c>
      <c r="BP127" s="3">
        <f>SUM(BL127:BO127)</f>
        <v>0</v>
      </c>
      <c r="BQ127" s="3">
        <f>BQ128*-BQ126</f>
        <v>0</v>
      </c>
      <c r="BR127" s="3">
        <f>BR128*-BR126</f>
        <v>0</v>
      </c>
      <c r="BS127" s="3">
        <f>BS128*-BS126</f>
        <v>0</v>
      </c>
      <c r="BT127" s="3">
        <f>BT128*-BT126</f>
        <v>0</v>
      </c>
      <c r="BU127" s="3">
        <f>SUM(BQ127:BT127)</f>
        <v>0</v>
      </c>
      <c r="BV127" s="3">
        <f>BV128*-BV126</f>
        <v>0</v>
      </c>
      <c r="BW127" s="3">
        <f>BW128*-BW126</f>
        <v>0</v>
      </c>
      <c r="BX127" s="3">
        <f>BX128*-BX126</f>
        <v>0</v>
      </c>
      <c r="BY127" s="3">
        <f>BY128*-BY126</f>
        <v>0</v>
      </c>
      <c r="BZ127" s="3">
        <f>SUM(BV127:BY127)</f>
        <v>0</v>
      </c>
      <c r="CA127" s="3">
        <f>CA128*-CA126</f>
        <v>0</v>
      </c>
      <c r="CB127" s="3">
        <f>CB128*-CB126</f>
        <v>0</v>
      </c>
      <c r="CC127" s="3">
        <f>CC128*-CC126</f>
        <v>0</v>
      </c>
      <c r="CD127" s="3">
        <f>CD128*-CD126</f>
        <v>0</v>
      </c>
      <c r="CE127" s="3">
        <f>SUM(CA127:CD127)</f>
        <v>0</v>
      </c>
      <c r="CF127" s="3">
        <f>CF128*-CF126</f>
        <v>0</v>
      </c>
      <c r="CG127" s="3">
        <f>CG128*-CG126</f>
        <v>0</v>
      </c>
      <c r="CH127" s="3">
        <f>CH128*-CH126</f>
        <v>0</v>
      </c>
      <c r="CI127" s="3">
        <f>CI128*-CI126</f>
        <v>0</v>
      </c>
      <c r="CJ127" s="3">
        <f>SUM(CF127:CI127)</f>
        <v>0</v>
      </c>
      <c r="CK127" s="3">
        <f>CK128*-CK126</f>
        <v>0</v>
      </c>
      <c r="CL127" s="3">
        <f>CL128*-CL126</f>
        <v>0</v>
      </c>
      <c r="CM127" s="3">
        <f>CM128*-CM126</f>
        <v>0</v>
      </c>
      <c r="CN127" s="3">
        <f>CN128*-CN126</f>
        <v>0</v>
      </c>
      <c r="CO127" s="3">
        <f>SUM(CK127:CN127)</f>
        <v>0</v>
      </c>
      <c r="CP127" s="3">
        <f>CP128*-CP126</f>
        <v>0</v>
      </c>
      <c r="CQ127" s="3">
        <f>CQ128*-CQ126</f>
        <v>0</v>
      </c>
      <c r="CR127" s="3">
        <f>CR128*-CR126</f>
        <v>0</v>
      </c>
      <c r="CS127" s="3">
        <f>CS128*-CS126</f>
        <v>0</v>
      </c>
      <c r="CT127" s="3">
        <f>SUM(CP127:CS127)</f>
        <v>0</v>
      </c>
      <c r="CU127" s="3">
        <f>CU128*-CU126</f>
        <v>0</v>
      </c>
      <c r="CV127" s="3">
        <f>CV128*-CV126</f>
        <v>0</v>
      </c>
      <c r="CW127" s="3">
        <f>CW128*-CW126</f>
        <v>0</v>
      </c>
      <c r="CX127" s="3">
        <f>CX128*-CX126</f>
        <v>0</v>
      </c>
      <c r="CY127" s="3">
        <f>SUM(CU127:CX127)</f>
        <v>0</v>
      </c>
    </row>
    <row r="128" hidden="1" outlineLevel="1">
      <c r="C128" s="34" t="inlineStr">
        <is>
          <t>% ETR</t>
        </is>
      </c>
      <c r="D128" s="48">
        <f>-D127/D126</f>
        <v>0.118731468351167</v>
      </c>
      <c r="E128" s="48">
        <f>-E127/E126</f>
        <v>0.159236438323064</v>
      </c>
      <c r="F128" s="48">
        <f>-F127/F126</f>
        <v>0.158095665843252</v>
      </c>
      <c r="G128" s="48">
        <f>-G127/G126</f>
        <v>0.185242656107871</v>
      </c>
      <c r="H128" s="48">
        <f>-H127/H126</f>
        <v>0.162493240713781</v>
      </c>
      <c r="I128" s="48">
        <f>-I127/I126</f>
        <v>0.157543579382606</v>
      </c>
      <c r="J128" s="48">
        <f>-J127/J126</f>
        <v>0.157380031839891</v>
      </c>
      <c r="K128" s="48">
        <f>-K127/K126</f>
        <v>0.1789802289282</v>
      </c>
      <c r="L128" s="48">
        <f>-L127/L126</f>
        <v>0.154085730677813</v>
      </c>
      <c r="M128" s="48">
        <f>-M127/M126</f>
        <v>0.162023056406639</v>
      </c>
      <c r="N128" s="48">
        <f>-N127/N126</f>
        <v>0.13193197422626</v>
      </c>
      <c r="O128" s="48">
        <f>-O127/O126</f>
        <v>0.158409592931524</v>
      </c>
      <c r="P128" s="48">
        <f>-P127/P126</f>
        <v>0.143103554487772</v>
      </c>
      <c r="Q128" s="48">
        <f>-Q127/Q126</f>
        <v>0.205458680818802</v>
      </c>
      <c r="R128" s="48">
        <f>-R127/R126</f>
        <v>0.159208165096456</v>
      </c>
      <c r="S128" s="48">
        <f>-S127/S126</f>
        <v>0.17324910738808</v>
      </c>
      <c r="T128" s="48">
        <f>-T127/T126</f>
        <v>0.161393416426973</v>
      </c>
      <c r="U128" s="48">
        <f>-U127/U126</f>
        <v>0.0711421427560504</v>
      </c>
      <c r="V128" s="48">
        <f>-V127/V126</f>
        <v>0.152588890709487</v>
      </c>
      <c r="W128" s="48">
        <f>-W127/W126</f>
        <v>0.139085595622805</v>
      </c>
      <c r="X128" s="48">
        <f>-X127/X126</f>
        <v>0.164329860497969</v>
      </c>
      <c r="Y128" s="48">
        <f>-Y127/Y126</f>
        <v>0.142717142753439</v>
      </c>
      <c r="Z128" s="48">
        <f>-Z127/Z126</f>
        <v>0.170472465779348</v>
      </c>
      <c r="AA128" s="48">
        <f>-AA127/AA126</f>
        <v>0.176999658840679</v>
      </c>
      <c r="AB128" s="48">
        <f>-AB127/AB126</f>
        <v>0.16439510912657</v>
      </c>
      <c r="AC128" s="48">
        <f>-AC127/AC126</f>
        <v>0.173466701763622</v>
      </c>
      <c r="AD128" s="48">
        <f>-AD127/AD126</f>
        <v>0.169068458432794</v>
      </c>
      <c r="AE128" s="48">
        <f>-AE127/AE126</f>
        <v>0.204787778207198</v>
      </c>
      <c r="AF128" s="44">
        <f>-AF127/AF126</f>
        <v>0.119180918782115</v>
      </c>
      <c r="AG128" s="48">
        <f>-AG127/AG126</f>
        <v>0.167831463362422</v>
      </c>
      <c r="AH128" s="44">
        <f>-AH127/AH126</f>
        <v>0.191624037616907</v>
      </c>
      <c r="AI128" s="44">
        <f>-AI127/AI126</f>
        <v>0.19141928462808</v>
      </c>
      <c r="AJ128" s="44" t="n"/>
      <c r="AK128" s="44" t="n"/>
      <c r="AL128" s="48">
        <f>-AL127/AL126</f>
        <v>0.117039655050541</v>
      </c>
      <c r="AM128" s="44" t="n"/>
      <c r="AN128" s="44" t="n"/>
      <c r="AO128" s="44" t="n"/>
      <c r="AP128" s="44" t="n"/>
      <c r="AQ128" s="48">
        <f>-AQ127/AQ126</f>
        <v>0</v>
      </c>
      <c r="AR128" s="44" t="n"/>
      <c r="AS128" s="44" t="n"/>
      <c r="AT128" s="44" t="n"/>
      <c r="AU128" s="44" t="n"/>
      <c r="AV128" s="48">
        <f>-AV127/AV126</f>
        <v>0</v>
      </c>
      <c r="AW128" s="44" t="n"/>
      <c r="AX128" s="44" t="n"/>
      <c r="AY128" s="44" t="n"/>
      <c r="AZ128" s="44" t="n"/>
      <c r="BA128" s="48">
        <f>-BA127/BA126</f>
        <v>0</v>
      </c>
      <c r="BB128" s="44" t="n"/>
      <c r="BC128" s="44" t="n"/>
      <c r="BD128" s="44" t="n"/>
      <c r="BE128" s="44" t="n"/>
      <c r="BF128" s="48">
        <f>-BF127/BF126</f>
        <v>0</v>
      </c>
      <c r="BG128" s="44" t="n"/>
      <c r="BH128" s="44" t="n"/>
      <c r="BI128" s="44" t="n"/>
      <c r="BJ128" s="44" t="n"/>
      <c r="BK128" s="48">
        <f>-BK127/BK126</f>
        <v>0</v>
      </c>
      <c r="BL128" s="44" t="n"/>
      <c r="BM128" s="44" t="n"/>
      <c r="BN128" s="44" t="n"/>
      <c r="BO128" s="44" t="n"/>
      <c r="BP128" s="48">
        <f>-BP127/BP126</f>
        <v>0</v>
      </c>
      <c r="BQ128" s="44" t="n"/>
      <c r="BR128" s="44" t="n"/>
      <c r="BS128" s="44" t="n"/>
      <c r="BT128" s="44" t="n"/>
      <c r="BU128" s="48">
        <f>-BU127/BU126</f>
        <v>0</v>
      </c>
      <c r="BV128" s="44" t="n"/>
      <c r="BW128" s="44" t="n"/>
      <c r="BX128" s="44" t="n"/>
      <c r="BY128" s="44" t="n"/>
      <c r="BZ128" s="48">
        <f>-BZ127/BZ126</f>
        <v>0</v>
      </c>
      <c r="CA128" s="44" t="n"/>
      <c r="CB128" s="44" t="n"/>
      <c r="CC128" s="44" t="n"/>
      <c r="CD128" s="44" t="n"/>
      <c r="CE128" s="48">
        <f>-CE127/CE126</f>
        <v>0</v>
      </c>
      <c r="CF128" s="44" t="n"/>
      <c r="CG128" s="44" t="n"/>
      <c r="CH128" s="44" t="n"/>
      <c r="CI128" s="44" t="n"/>
      <c r="CJ128" s="48">
        <f>-CJ127/CJ126</f>
        <v>0</v>
      </c>
      <c r="CK128" s="44" t="n"/>
      <c r="CL128" s="44" t="n"/>
      <c r="CM128" s="44" t="n"/>
      <c r="CN128" s="44" t="n"/>
      <c r="CO128" s="48">
        <f>-CO127/CO126</f>
        <v>0</v>
      </c>
      <c r="CP128" s="44" t="n"/>
      <c r="CQ128" s="44" t="n"/>
      <c r="CR128" s="44" t="n"/>
      <c r="CS128" s="44" t="n"/>
      <c r="CT128" s="48">
        <f>-CT127/CT126</f>
        <v>0</v>
      </c>
      <c r="CU128" s="44" t="n"/>
      <c r="CV128" s="44" t="n"/>
      <c r="CW128" s="44" t="n"/>
      <c r="CX128" s="44" t="n"/>
      <c r="CY128" s="48">
        <f>-CY127/CY126</f>
        <v>0</v>
      </c>
    </row>
    <row r="129" hidden="1" outlineLevel="1">
      <c r="C129" s="34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  <c r="CU129" s="3" t="n"/>
      <c r="CV129" s="3" t="n"/>
      <c r="CW129" s="3" t="n"/>
      <c r="CX129" s="3" t="n"/>
      <c r="CY129" s="3" t="n"/>
    </row>
    <row r="130" hidden="1" outlineLevel="1">
      <c r="C130" s="34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  <c r="CI130" s="3" t="n"/>
      <c r="CJ130" s="3" t="n"/>
      <c r="CK130" s="3" t="n"/>
      <c r="CL130" s="3" t="n"/>
      <c r="CM130" s="3" t="n"/>
      <c r="CN130" s="3" t="n"/>
      <c r="CO130" s="3" t="n"/>
      <c r="CP130" s="3" t="n"/>
      <c r="CQ130" s="3" t="n"/>
      <c r="CR130" s="3" t="n"/>
      <c r="CS130" s="3" t="n"/>
      <c r="CT130" s="3" t="n"/>
      <c r="CU130" s="3" t="n"/>
      <c r="CV130" s="3" t="n"/>
      <c r="CW130" s="3" t="n"/>
      <c r="CX130" s="3" t="n"/>
      <c r="CY130" s="3" t="n"/>
    </row>
    <row r="131" collapsed="1">
      <c r="C131" s="26" t="inlineStr">
        <is>
          <t>Equity in Income of Affiliates, after tax (enter as +)</t>
        </is>
      </c>
      <c r="D131" s="25">
        <f>INDEX('Inputs (2)'!$D$11:$AL$11,MATCH(D$7,'Inputs (2)'!$D$2:$AL$2,0))</f>
        <v>0</v>
      </c>
      <c r="E131" s="25">
        <f>INDEX('Inputs (2)'!$D$11:$AL$11,MATCH(E$7,'Inputs (2)'!$D$2:$AL$2,0))</f>
        <v>0</v>
      </c>
      <c r="F131" s="25">
        <f>INDEX('Inputs (2)'!$D$11:$AL$11,MATCH(F$7,'Inputs (2)'!$D$2:$AL$2,0))</f>
        <v>0</v>
      </c>
      <c r="G131" s="25">
        <f>INDEX('Inputs (2)'!$D$11:$AL$11,MATCH(G$7,'Inputs (2)'!$D$2:$AL$2,0))</f>
        <v>0</v>
      </c>
      <c r="H131" s="3">
        <f>SUM(D131:G131)</f>
        <v>0</v>
      </c>
      <c r="I131" s="25">
        <f>INDEX('Inputs (2)'!$D$11:$AL$11,MATCH(I$7,'Inputs (2)'!$D$2:$AL$2,0))</f>
        <v>0</v>
      </c>
      <c r="J131" s="25">
        <f>INDEX('Inputs (2)'!$D$11:$AL$11,MATCH(J$7,'Inputs (2)'!$D$2:$AL$2,0))</f>
        <v>0</v>
      </c>
      <c r="K131" s="25">
        <f>INDEX('Inputs (2)'!$D$11:$AL$11,MATCH(K$7,'Inputs (2)'!$D$2:$AL$2,0))</f>
        <v>0</v>
      </c>
      <c r="L131" s="25">
        <f>INDEX('Inputs (2)'!$D$11:$AL$11,MATCH(L$7,'Inputs (2)'!$D$2:$AL$2,0))</f>
        <v>0</v>
      </c>
      <c r="M131" s="3">
        <f>SUM(I131:L131)</f>
        <v>0</v>
      </c>
      <c r="N131" s="25">
        <f>INDEX('Inputs (2)'!$D$11:$AL$11,MATCH(N$7,'Inputs (2)'!$D$2:$AL$2,0))</f>
        <v>0</v>
      </c>
      <c r="O131" s="25">
        <f>INDEX('Inputs (2)'!$D$11:$AL$11,MATCH(O$7,'Inputs (2)'!$D$2:$AL$2,0))</f>
        <v>0</v>
      </c>
      <c r="P131" s="25">
        <f>INDEX('Inputs (2)'!$D$11:$AL$11,MATCH(P$7,'Inputs (2)'!$D$2:$AL$2,0))</f>
        <v>0</v>
      </c>
      <c r="Q131" s="25">
        <f>INDEX('Inputs (2)'!$D$11:$AL$11,MATCH(Q$7,'Inputs (2)'!$D$2:$AL$2,0))</f>
        <v>0</v>
      </c>
      <c r="R131" s="3">
        <f>SUM(N131:Q131)</f>
        <v>0</v>
      </c>
      <c r="S131" s="25">
        <f>INDEX('Inputs (2)'!$D$11:$AL$11,MATCH(S$7,'Inputs (2)'!$D$2:$AL$2,0))</f>
        <v>0</v>
      </c>
      <c r="T131" s="25">
        <f>INDEX('Inputs (2)'!$D$11:$AL$11,MATCH(T$7,'Inputs (2)'!$D$2:$AL$2,0))</f>
        <v>0</v>
      </c>
      <c r="U131" s="25">
        <f>INDEX('Inputs (2)'!$D$11:$AL$11,MATCH(U$7,'Inputs (2)'!$D$2:$AL$2,0))</f>
        <v>0</v>
      </c>
      <c r="V131" s="25">
        <f>INDEX('Inputs (2)'!$D$11:$AL$11,MATCH(V$7,'Inputs (2)'!$D$2:$AL$2,0))</f>
        <v>0</v>
      </c>
      <c r="W131" s="3">
        <f>SUM(S131:V131)</f>
        <v>0</v>
      </c>
      <c r="X131" s="25">
        <f>INDEX('Inputs (2)'!$D$11:$AL$11,MATCH(X$7,'Inputs (2)'!$D$2:$AL$2,0))</f>
        <v>0</v>
      </c>
      <c r="Y131" s="25">
        <f>INDEX('Inputs (2)'!$D$11:$AL$11,MATCH(Y$7,'Inputs (2)'!$D$2:$AL$2,0))</f>
        <v>0</v>
      </c>
      <c r="Z131" s="25">
        <f>INDEX('Inputs (2)'!$D$11:$AL$11,MATCH(Z$7,'Inputs (2)'!$D$2:$AL$2,0))</f>
        <v>0</v>
      </c>
      <c r="AA131" s="25">
        <f>INDEX('Inputs (2)'!$D$11:$AL$11,MATCH(AA$7,'Inputs (2)'!$D$2:$AL$2,0))</f>
        <v>0</v>
      </c>
      <c r="AB131" s="3">
        <f>SUM(X131:AA131)</f>
        <v>0</v>
      </c>
      <c r="AC131" s="25">
        <f>INDEX('Inputs (2)'!$D$11:$AL$11,MATCH(AC$7,'Inputs (2)'!$D$2:$AL$2,0))</f>
        <v>0</v>
      </c>
      <c r="AD131" s="25">
        <f>INDEX('Inputs (2)'!$D$11:$AL$11,MATCH(AD$7,'Inputs (2)'!$D$2:$AL$2,0))</f>
        <v>0</v>
      </c>
      <c r="AE131" s="25">
        <f>INDEX('Inputs (2)'!$D$11:$AL$11,MATCH(AE$7,'Inputs (2)'!$D$2:$AL$2,0))</f>
        <v>0</v>
      </c>
      <c r="AF131" s="25">
        <f>INDEX('Inputs (2)'!$D$11:$AL$11,MATCH(AF$7,'Inputs (2)'!$D$2:$AL$2,0))</f>
        <v>0</v>
      </c>
      <c r="AG131" s="3">
        <f>SUM(AC131:AF131)</f>
        <v>0</v>
      </c>
      <c r="AH131" s="3">
        <f>INDEX('Inputs (2)'!$D$11:$AL$11,MATCH(AH$7,'Inputs (2)'!$D$2:$AL$2,0))</f>
        <v>0</v>
      </c>
      <c r="AI131" s="3">
        <f>INDEX('Inputs (2)'!$D$11:$AL$11,MATCH(AI$7,'Inputs (2)'!$D$2:$AL$2,0))</f>
        <v>0</v>
      </c>
      <c r="AJ131" s="3">
        <f>AE131*(1+AJ159)</f>
        <v>0</v>
      </c>
      <c r="AK131" s="3">
        <f>AF131*(1+AK159)</f>
        <v>0</v>
      </c>
      <c r="AL131" s="3">
        <f>SUM(AH131:AK131)</f>
        <v>0</v>
      </c>
      <c r="AM131" s="3">
        <f>AH131*(1+AM159)</f>
        <v>0</v>
      </c>
      <c r="AN131" s="3">
        <f>AI131*(1+AN159)</f>
        <v>0</v>
      </c>
      <c r="AO131" s="3">
        <f>AJ131*(1+AO159)</f>
        <v>0</v>
      </c>
      <c r="AP131" s="3">
        <f>AK131*(1+AP159)</f>
        <v>0</v>
      </c>
      <c r="AQ131" s="3">
        <f>SUM(AM131:AP131)</f>
        <v>0</v>
      </c>
      <c r="AR131" s="3">
        <f>AM131*(1+AR159)</f>
        <v>0</v>
      </c>
      <c r="AS131" s="3">
        <f>AN131*(1+AS159)</f>
        <v>0</v>
      </c>
      <c r="AT131" s="3">
        <f>AO131*(1+AT159)</f>
        <v>0</v>
      </c>
      <c r="AU131" s="3">
        <f>AP131*(1+AU159)</f>
        <v>0</v>
      </c>
      <c r="AV131" s="3">
        <f>SUM(AR131:AU131)</f>
        <v>0</v>
      </c>
      <c r="AW131" s="3">
        <f>AR131*(1+AW159)</f>
        <v>0</v>
      </c>
      <c r="AX131" s="3">
        <f>AS131*(1+AX159)</f>
        <v>0</v>
      </c>
      <c r="AY131" s="3">
        <f>AT131*(1+AY159)</f>
        <v>0</v>
      </c>
      <c r="AZ131" s="3">
        <f>AU131*(1+AZ159)</f>
        <v>0</v>
      </c>
      <c r="BA131" s="3">
        <f>SUM(AW131:AZ131)</f>
        <v>0</v>
      </c>
      <c r="BB131" s="3">
        <f>AW131*(1+BB159)</f>
        <v>0</v>
      </c>
      <c r="BC131" s="3">
        <f>AX131*(1+BC159)</f>
        <v>0</v>
      </c>
      <c r="BD131" s="3">
        <f>AY131*(1+BD159)</f>
        <v>0</v>
      </c>
      <c r="BE131" s="3">
        <f>AZ131*(1+BE159)</f>
        <v>0</v>
      </c>
      <c r="BF131" s="3">
        <f>SUM(BB131:BE131)</f>
        <v>0</v>
      </c>
      <c r="BG131" s="3">
        <f>BB131*(1+BG159)</f>
        <v>0</v>
      </c>
      <c r="BH131" s="3">
        <f>BC131*(1+BH159)</f>
        <v>0</v>
      </c>
      <c r="BI131" s="3">
        <f>BD131*(1+BI159)</f>
        <v>0</v>
      </c>
      <c r="BJ131" s="3">
        <f>BE131*(1+BJ159)</f>
        <v>0</v>
      </c>
      <c r="BK131" s="3">
        <f>SUM(BG131:BJ131)</f>
        <v>0</v>
      </c>
      <c r="BL131" s="3">
        <f>BG131*(1+BL159)</f>
        <v>0</v>
      </c>
      <c r="BM131" s="3">
        <f>BH131*(1+BM159)</f>
        <v>0</v>
      </c>
      <c r="BN131" s="3">
        <f>BI131*(1+BN159)</f>
        <v>0</v>
      </c>
      <c r="BO131" s="3">
        <f>BJ131*(1+BO159)</f>
        <v>0</v>
      </c>
      <c r="BP131" s="3">
        <f>SUM(BL131:BO131)</f>
        <v>0</v>
      </c>
      <c r="BQ131" s="3">
        <f>BL131*(1+BQ159)</f>
        <v>0</v>
      </c>
      <c r="BR131" s="3">
        <f>BM131*(1+BR159)</f>
        <v>0</v>
      </c>
      <c r="BS131" s="3">
        <f>BN131*(1+BS159)</f>
        <v>0</v>
      </c>
      <c r="BT131" s="3">
        <f>BO131*(1+BT159)</f>
        <v>0</v>
      </c>
      <c r="BU131" s="3">
        <f>SUM(BQ131:BT131)</f>
        <v>0</v>
      </c>
      <c r="BV131" s="3">
        <f>BQ131*(1+BV159)</f>
        <v>0</v>
      </c>
      <c r="BW131" s="3">
        <f>BR131*(1+BW159)</f>
        <v>0</v>
      </c>
      <c r="BX131" s="3">
        <f>BS131*(1+BX159)</f>
        <v>0</v>
      </c>
      <c r="BY131" s="3">
        <f>BT131*(1+BY159)</f>
        <v>0</v>
      </c>
      <c r="BZ131" s="3">
        <f>SUM(BV131:BY131)</f>
        <v>0</v>
      </c>
      <c r="CA131" s="3">
        <f>BV131*(1+CA159)</f>
        <v>0</v>
      </c>
      <c r="CB131" s="3">
        <f>BW131*(1+CB159)</f>
        <v>0</v>
      </c>
      <c r="CC131" s="3">
        <f>BX131*(1+CC159)</f>
        <v>0</v>
      </c>
      <c r="CD131" s="3">
        <f>BY131*(1+CD159)</f>
        <v>0</v>
      </c>
      <c r="CE131" s="3">
        <f>SUM(CA131:CD131)</f>
        <v>0</v>
      </c>
      <c r="CF131" s="3">
        <f>CA131*(1+CF159)</f>
        <v>0</v>
      </c>
      <c r="CG131" s="3">
        <f>CB131*(1+CG159)</f>
        <v>0</v>
      </c>
      <c r="CH131" s="3">
        <f>CC131*(1+CH159)</f>
        <v>0</v>
      </c>
      <c r="CI131" s="3">
        <f>CD131*(1+CI159)</f>
        <v>0</v>
      </c>
      <c r="CJ131" s="3">
        <f>SUM(CF131:CI131)</f>
        <v>0</v>
      </c>
      <c r="CK131" s="3">
        <f>CF131*(1+CK159)</f>
        <v>0</v>
      </c>
      <c r="CL131" s="3">
        <f>CG131*(1+CL159)</f>
        <v>0</v>
      </c>
      <c r="CM131" s="3">
        <f>CH131*(1+CM159)</f>
        <v>0</v>
      </c>
      <c r="CN131" s="3">
        <f>CI131*(1+CN159)</f>
        <v>0</v>
      </c>
      <c r="CO131" s="3">
        <f>SUM(CK131:CN131)</f>
        <v>0</v>
      </c>
      <c r="CP131" s="3">
        <f>CK131*(1+CP159)</f>
        <v>0</v>
      </c>
      <c r="CQ131" s="3">
        <f>CL131*(1+CQ159)</f>
        <v>0</v>
      </c>
      <c r="CR131" s="3">
        <f>CM131*(1+CR159)</f>
        <v>0</v>
      </c>
      <c r="CS131" s="3">
        <f>CN131*(1+CS159)</f>
        <v>0</v>
      </c>
      <c r="CT131" s="3">
        <f>SUM(CP131:CS131)</f>
        <v>0</v>
      </c>
      <c r="CU131" s="3">
        <f>CP131*(1+CU159)</f>
        <v>0</v>
      </c>
      <c r="CV131" s="3">
        <f>CQ131*(1+CV159)</f>
        <v>0</v>
      </c>
      <c r="CW131" s="3">
        <f>CR131*(1+CW159)</f>
        <v>0</v>
      </c>
      <c r="CX131" s="3">
        <f>CS131*(1+CX159)</f>
        <v>0</v>
      </c>
      <c r="CY131" s="3">
        <f>SUM(CU131:CX131)</f>
        <v>0</v>
      </c>
    </row>
    <row r="132">
      <c r="C132" s="26" t="inlineStr">
        <is>
          <t>Minority Interest Expense, after tax (enter as - )</t>
        </is>
      </c>
      <c r="D132" s="25" t="n"/>
      <c r="E132" s="25" t="n"/>
      <c r="F132" s="25" t="n"/>
      <c r="G132" s="25" t="n"/>
      <c r="H132" s="3">
        <f>SUM(D132:G132)</f>
        <v>0</v>
      </c>
      <c r="I132" s="25" t="n"/>
      <c r="J132" s="25" t="n"/>
      <c r="K132" s="25" t="n"/>
      <c r="L132" s="25" t="n"/>
      <c r="M132" s="3">
        <f>SUM(I132:L132)</f>
        <v>0</v>
      </c>
      <c r="N132" s="25" t="n"/>
      <c r="O132" s="25" t="n"/>
      <c r="P132" s="25" t="n"/>
      <c r="Q132" s="25" t="n"/>
      <c r="R132" s="3">
        <f>SUM(N132:Q132)</f>
        <v>0</v>
      </c>
      <c r="S132" s="25" t="n"/>
      <c r="T132" s="25" t="n"/>
      <c r="U132" s="25" t="n"/>
      <c r="V132" s="25" t="n"/>
      <c r="W132" s="3">
        <f>SUM(S132:V132)</f>
        <v>0</v>
      </c>
      <c r="X132" s="25" t="n"/>
      <c r="Y132" s="25" t="n"/>
      <c r="Z132" s="25" t="n"/>
      <c r="AA132" s="25" t="n"/>
      <c r="AB132" s="3">
        <f>SUM(X132:AA132)</f>
        <v>0</v>
      </c>
      <c r="AC132" s="25" t="n"/>
      <c r="AD132" s="25" t="n"/>
      <c r="AE132" s="25" t="n"/>
      <c r="AF132" s="25" t="n"/>
      <c r="AG132" s="3">
        <f>SUM(AC132:AF132)</f>
        <v>0</v>
      </c>
      <c r="AH132" s="3">
        <f>AC132*(1+AH246)</f>
        <v>0</v>
      </c>
      <c r="AI132" s="3">
        <f>AD132*(1+AI246)</f>
        <v>0</v>
      </c>
      <c r="AJ132" s="3">
        <f>AE132*(1+AJ246)</f>
        <v>0</v>
      </c>
      <c r="AK132" s="3">
        <f>AF132*(1+AK246)</f>
        <v>0</v>
      </c>
      <c r="AL132" s="3">
        <f>SUM(AH132:AK132)</f>
        <v>0</v>
      </c>
      <c r="AM132" s="3">
        <f>AH132*(1+AM246)</f>
        <v>0</v>
      </c>
      <c r="AN132" s="3">
        <f>AI132*(1+AN246)</f>
        <v>0</v>
      </c>
      <c r="AO132" s="3">
        <f>AJ132*(1+AO246)</f>
        <v>0</v>
      </c>
      <c r="AP132" s="3">
        <f>AK132*(1+AP246)</f>
        <v>0</v>
      </c>
      <c r="AQ132" s="3">
        <f>SUM(AM132:AP132)</f>
        <v>0</v>
      </c>
      <c r="AR132" s="3">
        <f>AM132*(1+AR246)</f>
        <v>0</v>
      </c>
      <c r="AS132" s="3">
        <f>AN132*(1+AS246)</f>
        <v>0</v>
      </c>
      <c r="AT132" s="3">
        <f>AO132*(1+AT246)</f>
        <v>0</v>
      </c>
      <c r="AU132" s="3">
        <f>AP132*(1+AU246)</f>
        <v>0</v>
      </c>
      <c r="AV132" s="3">
        <f>SUM(AR132:AU132)</f>
        <v>0</v>
      </c>
      <c r="AW132" s="3">
        <f>AR132*(1+AW246)</f>
        <v>0</v>
      </c>
      <c r="AX132" s="3">
        <f>AS132*(1+AX246)</f>
        <v>0</v>
      </c>
      <c r="AY132" s="3">
        <f>AT132*(1+AY246)</f>
        <v>0</v>
      </c>
      <c r="AZ132" s="3">
        <f>AU132*(1+AZ246)</f>
        <v>0</v>
      </c>
      <c r="BA132" s="3">
        <f>SUM(AW132:AZ132)</f>
        <v>0</v>
      </c>
      <c r="BB132" s="3">
        <f>AW132*(1+BB246)</f>
        <v>0</v>
      </c>
      <c r="BC132" s="3">
        <f>AX132*(1+BC246)</f>
        <v>0</v>
      </c>
      <c r="BD132" s="3">
        <f>AY132*(1+BD246)</f>
        <v>0</v>
      </c>
      <c r="BE132" s="3">
        <f>AZ132*(1+BE246)</f>
        <v>0</v>
      </c>
      <c r="BF132" s="3">
        <f>SUM(BB132:BE132)</f>
        <v>0</v>
      </c>
      <c r="BG132" s="3">
        <f>BB132*(1+BG246)</f>
        <v>0</v>
      </c>
      <c r="BH132" s="3">
        <f>BC132*(1+BH246)</f>
        <v>0</v>
      </c>
      <c r="BI132" s="3">
        <f>BD132*(1+BI246)</f>
        <v>0</v>
      </c>
      <c r="BJ132" s="3">
        <f>BE132*(1+BJ246)</f>
        <v>0</v>
      </c>
      <c r="BK132" s="3">
        <f>SUM(BG132:BJ132)</f>
        <v>0</v>
      </c>
      <c r="BL132" s="3">
        <f>BG132*(1+BL246)</f>
        <v>0</v>
      </c>
      <c r="BM132" s="3">
        <f>BH132*(1+BM246)</f>
        <v>0</v>
      </c>
      <c r="BN132" s="3">
        <f>BI132*(1+BN246)</f>
        <v>0</v>
      </c>
      <c r="BO132" s="3">
        <f>BJ132*(1+BO246)</f>
        <v>0</v>
      </c>
      <c r="BP132" s="3">
        <f>SUM(BL132:BO132)</f>
        <v>0</v>
      </c>
      <c r="BQ132" s="3">
        <f>BL132*(1+BQ246)</f>
        <v>0</v>
      </c>
      <c r="BR132" s="3">
        <f>BM132*(1+BR246)</f>
        <v>0</v>
      </c>
      <c r="BS132" s="3">
        <f>BN132*(1+BS246)</f>
        <v>0</v>
      </c>
      <c r="BT132" s="3">
        <f>BO132*(1+BT246)</f>
        <v>0</v>
      </c>
      <c r="BU132" s="3">
        <f>SUM(BQ132:BT132)</f>
        <v>0</v>
      </c>
      <c r="BV132" s="3">
        <f>BQ132*(1+BV246)</f>
        <v>0</v>
      </c>
      <c r="BW132" s="3">
        <f>BR132*(1+BW246)</f>
        <v>0</v>
      </c>
      <c r="BX132" s="3">
        <f>BS132*(1+BX246)</f>
        <v>0</v>
      </c>
      <c r="BY132" s="3">
        <f>BT132*(1+BY246)</f>
        <v>0</v>
      </c>
      <c r="BZ132" s="3">
        <f>SUM(BV132:BY132)</f>
        <v>0</v>
      </c>
      <c r="CA132" s="3">
        <f>BV132*(1+CA246)</f>
        <v>0</v>
      </c>
      <c r="CB132" s="3">
        <f>BW132*(1+CB246)</f>
        <v>0</v>
      </c>
      <c r="CC132" s="3">
        <f>BX132*(1+CC246)</f>
        <v>0</v>
      </c>
      <c r="CD132" s="3">
        <f>BY132*(1+CD246)</f>
        <v>0</v>
      </c>
      <c r="CE132" s="3">
        <f>SUM(CA132:CD132)</f>
        <v>0</v>
      </c>
      <c r="CF132" s="3">
        <f>CA132*(1+CF246)</f>
        <v>0</v>
      </c>
      <c r="CG132" s="3">
        <f>CB132*(1+CG246)</f>
        <v>0</v>
      </c>
      <c r="CH132" s="3">
        <f>CC132*(1+CH246)</f>
        <v>0</v>
      </c>
      <c r="CI132" s="3">
        <f>CD132*(1+CI246)</f>
        <v>0</v>
      </c>
      <c r="CJ132" s="3">
        <f>SUM(CF132:CI132)</f>
        <v>0</v>
      </c>
      <c r="CK132" s="3">
        <f>CF132*(1+CK246)</f>
        <v>0</v>
      </c>
      <c r="CL132" s="3">
        <f>CG132*(1+CL246)</f>
        <v>0</v>
      </c>
      <c r="CM132" s="3">
        <f>CH132*(1+CM246)</f>
        <v>0</v>
      </c>
      <c r="CN132" s="3">
        <f>CI132*(1+CN246)</f>
        <v>0</v>
      </c>
      <c r="CO132" s="3">
        <f>SUM(CK132:CN132)</f>
        <v>0</v>
      </c>
      <c r="CP132" s="3">
        <f>CK132*(1+CP246)</f>
        <v>0</v>
      </c>
      <c r="CQ132" s="3">
        <f>CL132*(1+CQ246)</f>
        <v>0</v>
      </c>
      <c r="CR132" s="3">
        <f>CM132*(1+CR246)</f>
        <v>0</v>
      </c>
      <c r="CS132" s="3">
        <f>CN132*(1+CS246)</f>
        <v>0</v>
      </c>
      <c r="CT132" s="3">
        <f>SUM(CP132:CS132)</f>
        <v>0</v>
      </c>
      <c r="CU132" s="3">
        <f>CP132*(1+CU246)</f>
        <v>0</v>
      </c>
      <c r="CV132" s="3">
        <f>CQ132*(1+CV246)</f>
        <v>0</v>
      </c>
      <c r="CW132" s="3">
        <f>CR132*(1+CW246)</f>
        <v>0</v>
      </c>
      <c r="CX132" s="3">
        <f>CS132*(1+CX246)</f>
        <v>0</v>
      </c>
      <c r="CY132" s="3">
        <f>SUM(CU132:CX132)</f>
        <v>0</v>
      </c>
    </row>
    <row r="133" customFormat="1" s="17">
      <c r="A133" s="13" t="n"/>
      <c r="B133" s="1" t="n"/>
      <c r="C133" s="14" t="inlineStr">
        <is>
          <t>Net Income</t>
        </is>
      </c>
      <c r="D133" s="16">
        <f>SUM(D126,D127,D131,D132)</f>
        <v>6836</v>
      </c>
      <c r="E133" s="16">
        <f>SUM(E126,E127,E131,E132)</f>
        <v>6959</v>
      </c>
      <c r="F133" s="16">
        <f>SUM(F126,F127,F131,F132)</f>
        <v>11247</v>
      </c>
      <c r="G133" s="16">
        <f>SUM(G126,G127,G131,G132)</f>
        <v>15227</v>
      </c>
      <c r="H133" s="16">
        <f>SUM(D133:G133)</f>
        <v>40269</v>
      </c>
      <c r="I133" s="16">
        <f>SUM(I126,I127,I131,I132)</f>
        <v>17930</v>
      </c>
      <c r="J133" s="16">
        <f>SUM(J126,J127,J131,J132)</f>
        <v>18525</v>
      </c>
      <c r="K133" s="16">
        <f>SUM(K126,K127,K131,K132)</f>
        <v>18936</v>
      </c>
      <c r="L133" s="16">
        <f>SUM(L126,L127,L131,L132)</f>
        <v>20642</v>
      </c>
      <c r="M133" s="16">
        <f>SUM(I133:L133)</f>
        <v>76033</v>
      </c>
      <c r="N133" s="16">
        <f>SUM(N126,N127,N131,N132)</f>
        <v>16436</v>
      </c>
      <c r="O133" s="16">
        <f>SUM(O126,O127,O131,O132)</f>
        <v>16002</v>
      </c>
      <c r="P133" s="16">
        <f>SUM(P126,P127,P131,P132)</f>
        <v>13910</v>
      </c>
      <c r="Q133" s="16">
        <f>SUM(Q126,Q127,Q131,Q132)</f>
        <v>13624</v>
      </c>
      <c r="R133" s="16">
        <f>SUM(N133:Q133)</f>
        <v>59972</v>
      </c>
      <c r="S133" s="16">
        <f>SUM(S126,S127,S131,S132)</f>
        <v>15051</v>
      </c>
      <c r="T133" s="16">
        <f>SUM(T126,T127,T131,T132)</f>
        <v>18368</v>
      </c>
      <c r="U133" s="16">
        <f>SUM(U126,U127,U131,U132)</f>
        <v>19689</v>
      </c>
      <c r="V133" s="16">
        <f>SUM(V126,V127,V131,V132)</f>
        <v>20687</v>
      </c>
      <c r="W133" s="16">
        <f>SUM(S133:V133)</f>
        <v>73795</v>
      </c>
      <c r="X133" s="16">
        <f>SUM(X126,X127,X131,X132)</f>
        <v>23662</v>
      </c>
      <c r="Y133" s="16">
        <f>SUM(Y126,Y127,Y131,Y132)</f>
        <v>23619</v>
      </c>
      <c r="Z133" s="16">
        <f>SUM(Z126,Z127,Z131,Z132)</f>
        <v>26301</v>
      </c>
      <c r="AA133" s="16">
        <f>SUM(AA126,AA127,AA131,AA132)</f>
        <v>26536</v>
      </c>
      <c r="AB133" s="16">
        <f>SUM(X133:AA133)</f>
        <v>100118</v>
      </c>
      <c r="AC133" s="16">
        <f>SUM(AC126,AC127,AC131,AC132)</f>
        <v>34540</v>
      </c>
      <c r="AD133" s="16">
        <f>SUM(AD126,AD127,AD131,AD132)</f>
        <v>28196</v>
      </c>
      <c r="AE133" s="16">
        <f>SUM(AE126,AE127,AE131,AE132)</f>
        <v>34979</v>
      </c>
      <c r="AF133" s="16">
        <f>SUM(AF126,AF127,AF131,AF132)</f>
        <v>34455</v>
      </c>
      <c r="AG133" s="16">
        <f>SUM(AC133:AF133)</f>
        <v>132170</v>
      </c>
      <c r="AH133" s="16">
        <f>SUM(AH126,AH127,AH131,AH132)</f>
        <v>62578</v>
      </c>
      <c r="AI133" s="16">
        <f>SUM(AI126,AI127,AI131,AI132)</f>
        <v>112193</v>
      </c>
      <c r="AJ133" s="16">
        <f>SUM(AJ126,AJ127,AJ131,AJ132)</f>
        <v>38249</v>
      </c>
      <c r="AK133" s="16">
        <f>SUM(AK126,AK127,AK131,AK132)</f>
        <v>99261</v>
      </c>
      <c r="AL133" s="16">
        <f>SUM(AH133:AK133)</f>
        <v>312281</v>
      </c>
      <c r="AM133" s="16">
        <f>SUM(AM126,AM127,AM131,AM132)</f>
        <v>99261</v>
      </c>
      <c r="AN133" s="16">
        <f>SUM(AN126,AN127,AN131,AN132)</f>
        <v>275020</v>
      </c>
      <c r="AO133" s="16">
        <f>SUM(AO126,AO127,AO131,AO132)</f>
        <v>99261</v>
      </c>
      <c r="AP133" s="16">
        <f>SUM(AP126,AP127,AP131,AP132)</f>
        <v>275020</v>
      </c>
      <c r="AQ133" s="16">
        <f>SUM(AM133:AP133)</f>
        <v>748562</v>
      </c>
      <c r="AR133" s="16">
        <f>SUM(AR126,AR127,AR131,AR132)</f>
        <v>275020</v>
      </c>
      <c r="AS133" s="16">
        <f>SUM(AS126,AS127,AS131,AS132)</f>
        <v>748562</v>
      </c>
      <c r="AT133" s="16">
        <f>SUM(AT126,AT127,AT131,AT132)</f>
        <v>275020</v>
      </c>
      <c r="AU133" s="16">
        <f>SUM(AU126,AU127,AU131,AU132)</f>
        <v>748562</v>
      </c>
      <c r="AV133" s="16">
        <f>SUM(AR133:AU133)</f>
        <v>2047164</v>
      </c>
      <c r="AW133" s="16">
        <f>SUM(AW126,AW127,AW131,AW132)</f>
        <v>748562</v>
      </c>
      <c r="AX133" s="16">
        <f>SUM(AX126,AX127,AX131,AX132)</f>
        <v>2047164</v>
      </c>
      <c r="AY133" s="16">
        <f>SUM(AY126,AY127,AY131,AY132)</f>
        <v>748562</v>
      </c>
      <c r="AZ133" s="16">
        <f>SUM(AZ126,AZ127,AZ131,AZ132)</f>
        <v>2047164</v>
      </c>
      <c r="BA133" s="16">
        <f>SUM(AW133:AZ133)</f>
        <v>5591452</v>
      </c>
      <c r="BB133" s="16">
        <f>SUM(BB126,BB127,BB131,BB132)</f>
        <v>2047164</v>
      </c>
      <c r="BC133" s="16">
        <f>SUM(BC126,BC127,BC131,BC132)</f>
        <v>5591452</v>
      </c>
      <c r="BD133" s="16">
        <f>SUM(BD126,BD127,BD131,BD132)</f>
        <v>2047164</v>
      </c>
      <c r="BE133" s="16">
        <f>SUM(BE126,BE127,BE131,BE132)</f>
        <v>5591452</v>
      </c>
      <c r="BF133" s="16">
        <f>SUM(BB133:BE133)</f>
        <v>15277232</v>
      </c>
      <c r="BG133" s="16">
        <f>SUM(BG126,BG127,BG131,BG132)</f>
        <v>5591452</v>
      </c>
      <c r="BH133" s="16">
        <f>SUM(BH126,BH127,BH131,BH132)</f>
        <v>15277232</v>
      </c>
      <c r="BI133" s="16">
        <f>SUM(BI126,BI127,BI131,BI132)</f>
        <v>5591452</v>
      </c>
      <c r="BJ133" s="16">
        <f>SUM(BJ126,BJ127,BJ131,BJ132)</f>
        <v>15277232</v>
      </c>
      <c r="BK133" s="16">
        <f>SUM(BG133:BJ133)</f>
        <v>41737368</v>
      </c>
      <c r="BL133" s="16">
        <f>SUM(BL126,BL127,BL131,BL132)</f>
        <v>15277232</v>
      </c>
      <c r="BM133" s="16">
        <f>SUM(BM126,BM127,BM131,BM132)</f>
        <v>41737368</v>
      </c>
      <c r="BN133" s="16">
        <f>SUM(BN126,BN127,BN131,BN132)</f>
        <v>15277232</v>
      </c>
      <c r="BO133" s="16">
        <f>SUM(BO126,BO127,BO131,BO132)</f>
        <v>41737368</v>
      </c>
      <c r="BP133" s="16">
        <f>SUM(BL133:BO133)</f>
        <v>114029200</v>
      </c>
      <c r="BQ133" s="16">
        <f>SUM(BQ126,BQ127,BQ131,BQ132)</f>
        <v>41737368</v>
      </c>
      <c r="BR133" s="16">
        <f>SUM(BR126,BR127,BR131,BR132)</f>
        <v>114029200</v>
      </c>
      <c r="BS133" s="16">
        <f>SUM(BS126,BS127,BS131,BS132)</f>
        <v>41737368</v>
      </c>
      <c r="BT133" s="16">
        <f>SUM(BT126,BT127,BT131,BT132)</f>
        <v>114029200</v>
      </c>
      <c r="BU133" s="16">
        <f>SUM(BQ133:BT133)</f>
        <v>311533136</v>
      </c>
      <c r="BV133" s="16">
        <f>SUM(BV126,BV127,BV131,BV132)</f>
        <v>114029200</v>
      </c>
      <c r="BW133" s="16">
        <f>SUM(BW126,BW127,BW131,BW132)</f>
        <v>311533136</v>
      </c>
      <c r="BX133" s="16">
        <f>SUM(BX126,BX127,BX131,BX132)</f>
        <v>114029200</v>
      </c>
      <c r="BY133" s="16">
        <f>SUM(BY126,BY127,BY131,BY132)</f>
        <v>311533136</v>
      </c>
      <c r="BZ133" s="16">
        <f>SUM(BV133:BY133)</f>
        <v>851124672</v>
      </c>
      <c r="CA133" s="16">
        <f>SUM(CA126,CA127,CA131,CA132)</f>
        <v>311533136</v>
      </c>
      <c r="CB133" s="16">
        <f>SUM(CB126,CB127,CB131,CB132)</f>
        <v>851124672</v>
      </c>
      <c r="CC133" s="16">
        <f>SUM(CC126,CC127,CC131,CC132)</f>
        <v>311533136</v>
      </c>
      <c r="CD133" s="16">
        <f>SUM(CD126,CD127,CD131,CD132)</f>
        <v>851124672</v>
      </c>
      <c r="CE133" s="16">
        <f>SUM(CA133:CD133)</f>
        <v>2325315616</v>
      </c>
      <c r="CF133" s="16">
        <f>SUM(CF126,CF127,CF131,CF132)</f>
        <v>851124672</v>
      </c>
      <c r="CG133" s="16">
        <f>SUM(CG126,CG127,CG131,CG132)</f>
        <v>2325315616</v>
      </c>
      <c r="CH133" s="16">
        <f>SUM(CH126,CH127,CH131,CH132)</f>
        <v>851124672</v>
      </c>
      <c r="CI133" s="16">
        <f>SUM(CI126,CI127,CI131,CI132)</f>
        <v>2325315616</v>
      </c>
      <c r="CJ133" s="16">
        <f>SUM(CF133:CI133)</f>
        <v>6352880576</v>
      </c>
      <c r="CK133" s="16">
        <f>SUM(CK126,CK127,CK131,CK132)</f>
        <v>2325315616</v>
      </c>
      <c r="CL133" s="16">
        <f>SUM(CL126,CL127,CL131,CL132)</f>
        <v>6352880576</v>
      </c>
      <c r="CM133" s="16">
        <f>SUM(CM126,CM127,CM131,CM132)</f>
        <v>2325315616</v>
      </c>
      <c r="CN133" s="16">
        <f>SUM(CN126,CN127,CN131,CN132)</f>
        <v>6352880576</v>
      </c>
      <c r="CO133" s="16">
        <f>SUM(CK133:CN133)</f>
        <v>17356392384</v>
      </c>
      <c r="CP133" s="16">
        <f>SUM(CP126,CP127,CP131,CP132)</f>
        <v>6352880576</v>
      </c>
      <c r="CQ133" s="16">
        <f>SUM(CQ126,CQ127,CQ131,CQ132)</f>
        <v>17356392384</v>
      </c>
      <c r="CR133" s="16">
        <f>SUM(CR126,CR127,CR131,CR132)</f>
        <v>6352880576</v>
      </c>
      <c r="CS133" s="16">
        <f>SUM(CS126,CS127,CS131,CS132)</f>
        <v>17356392384</v>
      </c>
      <c r="CT133" s="16">
        <f>SUM(CP133:CS133)</f>
        <v>47418545920</v>
      </c>
      <c r="CU133" s="16">
        <f>SUM(CU126,CU127,CU131,CU132)</f>
        <v>17356392384</v>
      </c>
      <c r="CV133" s="16">
        <f>SUM(CV126,CV127,CV131,CV132)</f>
        <v>47418545920</v>
      </c>
      <c r="CW133" s="16">
        <f>SUM(CW126,CW127,CW131,CW132)</f>
        <v>17356392384</v>
      </c>
      <c r="CX133" s="16">
        <f>SUM(CX126,CX127,CX131,CX132)</f>
        <v>47418545920</v>
      </c>
      <c r="CY133" s="16">
        <f>SUM(CU133:CX133)</f>
        <v>129549876608</v>
      </c>
    </row>
    <row r="134">
      <c r="C134" s="24" t="inlineStr">
        <is>
          <t>Common Dividends</t>
        </is>
      </c>
      <c r="D134" s="25">
        <f>INDEX('Inputs (2)'!$D$13:$AL$13,MATCH(D$7,'Inputs (2)'!$D$2:$AL$2,0))</f>
        <v>0</v>
      </c>
      <c r="E134" s="25">
        <f>INDEX('Inputs (2)'!$D$13:$AL$13,MATCH(E$7,'Inputs (2)'!$D$2:$AL$2,0))</f>
        <v>0</v>
      </c>
      <c r="F134" s="25">
        <f>INDEX('Inputs (2)'!$D$13:$AL$13,MATCH(F$7,'Inputs (2)'!$D$2:$AL$2,0))</f>
        <v>0</v>
      </c>
      <c r="G134" s="25">
        <f>INDEX('Inputs (2)'!$D$13:$AL$13,MATCH(G$7,'Inputs (2)'!$D$2:$AL$2,0))</f>
        <v>0</v>
      </c>
      <c r="H134" s="3">
        <f>SUM(D134:G134)</f>
        <v>0</v>
      </c>
      <c r="I134" s="25">
        <f>INDEX('Inputs (2)'!$D$13:$AL$13,MATCH(I$7,'Inputs (2)'!$D$2:$AL$2,0))</f>
        <v>0</v>
      </c>
      <c r="J134" s="25">
        <f>INDEX('Inputs (2)'!$D$13:$AL$13,MATCH(J$7,'Inputs (2)'!$D$2:$AL$2,0))</f>
        <v>0</v>
      </c>
      <c r="K134" s="25">
        <f>INDEX('Inputs (2)'!$D$13:$AL$13,MATCH(K$7,'Inputs (2)'!$D$2:$AL$2,0))</f>
        <v>0</v>
      </c>
      <c r="L134" s="25">
        <f>INDEX('Inputs (2)'!$D$13:$AL$13,MATCH(L$7,'Inputs (2)'!$D$2:$AL$2,0))</f>
        <v>0</v>
      </c>
      <c r="M134" s="3">
        <f>SUM(I134:L134)</f>
        <v>0</v>
      </c>
      <c r="N134" s="25">
        <f>INDEX('Inputs (2)'!$D$13:$AL$13,MATCH(N$7,'Inputs (2)'!$D$2:$AL$2,0))</f>
        <v>0</v>
      </c>
      <c r="O134" s="25">
        <f>INDEX('Inputs (2)'!$D$13:$AL$13,MATCH(O$7,'Inputs (2)'!$D$2:$AL$2,0))</f>
        <v>0</v>
      </c>
      <c r="P134" s="25">
        <f>INDEX('Inputs (2)'!$D$13:$AL$13,MATCH(P$7,'Inputs (2)'!$D$2:$AL$2,0))</f>
        <v>0</v>
      </c>
      <c r="Q134" s="25">
        <f>INDEX('Inputs (2)'!$D$13:$AL$13,MATCH(Q$7,'Inputs (2)'!$D$2:$AL$2,0))</f>
        <v>0</v>
      </c>
      <c r="R134" s="3">
        <f>SUM(N134:Q134)</f>
        <v>0</v>
      </c>
      <c r="S134" s="25">
        <f>INDEX('Inputs (2)'!$D$13:$AL$13,MATCH(S$7,'Inputs (2)'!$D$2:$AL$2,0))</f>
        <v>0</v>
      </c>
      <c r="T134" s="25">
        <f>INDEX('Inputs (2)'!$D$13:$AL$13,MATCH(T$7,'Inputs (2)'!$D$2:$AL$2,0))</f>
        <v>0</v>
      </c>
      <c r="U134" s="25">
        <f>INDEX('Inputs (2)'!$D$13:$AL$13,MATCH(U$7,'Inputs (2)'!$D$2:$AL$2,0))</f>
        <v>0</v>
      </c>
      <c r="V134" s="25">
        <f>INDEX('Inputs (2)'!$D$13:$AL$13,MATCH(V$7,'Inputs (2)'!$D$2:$AL$2,0))</f>
        <v>0</v>
      </c>
      <c r="W134" s="3">
        <f>SUM(S134:V134)</f>
        <v>0</v>
      </c>
      <c r="X134" s="25">
        <f>INDEX('Inputs (2)'!$D$13:$AL$13,MATCH(X$7,'Inputs (2)'!$D$2:$AL$2,0))</f>
        <v>0</v>
      </c>
      <c r="Y134" s="25">
        <f>INDEX('Inputs (2)'!$D$13:$AL$13,MATCH(Y$7,'Inputs (2)'!$D$2:$AL$2,0))</f>
        <v>-2466</v>
      </c>
      <c r="Z134" s="25">
        <f>INDEX('Inputs (2)'!$D$13:$AL$13,MATCH(Z$7,'Inputs (2)'!$D$2:$AL$2,0))</f>
        <v>-2455</v>
      </c>
      <c r="AA134" s="25">
        <f>INDEX('Inputs (2)'!$D$13:$AL$13,MATCH(AA$7,'Inputs (2)'!$D$2:$AL$2,0))</f>
        <v>-2442</v>
      </c>
      <c r="AB134" s="3">
        <f>SUM(X134:AA134)</f>
        <v>-7363</v>
      </c>
      <c r="AC134" s="25">
        <f>INDEX('Inputs (2)'!$D$13:$AL$13,MATCH(AC$7,'Inputs (2)'!$D$2:$AL$2,0))</f>
        <v>-2434</v>
      </c>
      <c r="AD134" s="25">
        <f>INDEX('Inputs (2)'!$D$13:$AL$13,MATCH(AD$7,'Inputs (2)'!$D$2:$AL$2,0))</f>
        <v>-2543</v>
      </c>
      <c r="AE134" s="25">
        <f>INDEX('Inputs (2)'!$D$13:$AL$13,MATCH(AE$7,'Inputs (2)'!$D$2:$AL$2,0))</f>
        <v>-2536</v>
      </c>
      <c r="AF134" s="25">
        <f>INDEX('Inputs (2)'!$D$13:$AL$13,MATCH(AF$7,'Inputs (2)'!$D$2:$AL$2,0))</f>
        <v>-2536</v>
      </c>
      <c r="AG134" s="3">
        <f>SUM(AC134:AF134)</f>
        <v>-10049</v>
      </c>
      <c r="AH134" s="3">
        <f>INDEX('Inputs (2)'!$D$13:$AL$13,MATCH(AH$7,'Inputs (2)'!$D$2:$AL$2,0))</f>
        <v>-2542</v>
      </c>
      <c r="AI134" s="3">
        <f>INDEX('Inputs (2)'!$D$13:$AL$13,MATCH(AI$7,'Inputs (2)'!$D$2:$AL$2,0))</f>
        <v>0</v>
      </c>
      <c r="AJ134" s="3" t="n"/>
      <c r="AK134" s="3" t="n"/>
      <c r="AL134" s="3">
        <f>SUM(AH134:AK134)</f>
        <v>-2542</v>
      </c>
      <c r="AM134" s="3" t="n"/>
      <c r="AN134" s="3" t="n"/>
      <c r="AO134" s="3" t="n"/>
      <c r="AP134" s="3" t="n"/>
      <c r="AQ134" s="3">
        <f>SUM(AM134:AP134)</f>
        <v>0</v>
      </c>
      <c r="AR134" s="3" t="n"/>
      <c r="AS134" s="3" t="n"/>
      <c r="AT134" s="3" t="n"/>
      <c r="AU134" s="3" t="n"/>
      <c r="AV134" s="3">
        <f>SUM(AR134:AU134)</f>
        <v>0</v>
      </c>
      <c r="AW134" s="3" t="n"/>
      <c r="AX134" s="3" t="n"/>
      <c r="AY134" s="3" t="n"/>
      <c r="AZ134" s="3" t="n"/>
      <c r="BA134" s="3">
        <f>SUM(AW134:AZ134)</f>
        <v>0</v>
      </c>
      <c r="BB134" s="3" t="n"/>
      <c r="BC134" s="3" t="n"/>
      <c r="BD134" s="3" t="n"/>
      <c r="BE134" s="3" t="n"/>
      <c r="BF134" s="3">
        <f>SUM(BB134:BE134)</f>
        <v>0</v>
      </c>
      <c r="BG134" s="3" t="n"/>
      <c r="BH134" s="3" t="n"/>
      <c r="BI134" s="3" t="n"/>
      <c r="BJ134" s="3" t="n"/>
      <c r="BK134" s="3">
        <f>SUM(BG134:BJ134)</f>
        <v>0</v>
      </c>
      <c r="BL134" s="3" t="n"/>
      <c r="BM134" s="3" t="n"/>
      <c r="BN134" s="3" t="n"/>
      <c r="BO134" s="3" t="n"/>
      <c r="BP134" s="3">
        <f>SUM(BL134:BO134)</f>
        <v>0</v>
      </c>
      <c r="BQ134" s="3" t="n"/>
      <c r="BR134" s="3" t="n"/>
      <c r="BS134" s="3" t="n"/>
      <c r="BT134" s="3" t="n"/>
      <c r="BU134" s="3">
        <f>SUM(BQ134:BT134)</f>
        <v>0</v>
      </c>
      <c r="BV134" s="3" t="n"/>
      <c r="BW134" s="3" t="n"/>
      <c r="BX134" s="3" t="n"/>
      <c r="BY134" s="3" t="n"/>
      <c r="BZ134" s="3">
        <f>SUM(BV134:BY134)</f>
        <v>0</v>
      </c>
      <c r="CA134" s="3" t="n"/>
      <c r="CB134" s="3" t="n"/>
      <c r="CC134" s="3" t="n"/>
      <c r="CD134" s="3" t="n"/>
      <c r="CE134" s="3">
        <f>SUM(CA134:CD134)</f>
        <v>0</v>
      </c>
      <c r="CF134" s="3" t="n"/>
      <c r="CG134" s="3" t="n"/>
      <c r="CH134" s="3" t="n"/>
      <c r="CI134" s="3" t="n"/>
      <c r="CJ134" s="3">
        <f>SUM(CF134:CI134)</f>
        <v>0</v>
      </c>
      <c r="CK134" s="3" t="n"/>
      <c r="CL134" s="3" t="n"/>
      <c r="CM134" s="3" t="n"/>
      <c r="CN134" s="3" t="n"/>
      <c r="CO134" s="3">
        <f>SUM(CK134:CN134)</f>
        <v>0</v>
      </c>
      <c r="CP134" s="3" t="n"/>
      <c r="CQ134" s="3" t="n"/>
      <c r="CR134" s="3" t="n"/>
      <c r="CS134" s="3" t="n"/>
      <c r="CT134" s="3">
        <f>SUM(CP134:CS134)</f>
        <v>0</v>
      </c>
      <c r="CU134" s="3" t="n"/>
      <c r="CV134" s="3" t="n"/>
      <c r="CW134" s="3" t="n"/>
      <c r="CX134" s="3" t="n"/>
      <c r="CY134" s="3">
        <f>SUM(CU134:CX134)</f>
        <v>0</v>
      </c>
    </row>
    <row r="135" hidden="1" outlineLevel="1">
      <c r="C135" s="32" t="inlineStr">
        <is>
          <t>% DVD Payout</t>
        </is>
      </c>
      <c r="D135" s="40">
        <f>-D134/D133</f>
        <v>0</v>
      </c>
      <c r="E135" s="40">
        <f>-E134/E133</f>
        <v>0</v>
      </c>
      <c r="F135" s="40">
        <f>-F134/F133</f>
        <v>0</v>
      </c>
      <c r="G135" s="40">
        <f>-G134/G133</f>
        <v>0</v>
      </c>
      <c r="H135" s="40">
        <f>-H134/H133</f>
        <v>0</v>
      </c>
      <c r="I135" s="40">
        <f>-I134/I133</f>
        <v>0</v>
      </c>
      <c r="J135" s="40">
        <f>-J134/J133</f>
        <v>0</v>
      </c>
      <c r="K135" s="40">
        <f>-K134/K133</f>
        <v>0</v>
      </c>
      <c r="L135" s="40">
        <f>-L134/L133</f>
        <v>0</v>
      </c>
      <c r="M135" s="40">
        <f>-M134/M133</f>
        <v>0</v>
      </c>
      <c r="N135" s="40">
        <f>-N134/N133</f>
        <v>0</v>
      </c>
      <c r="O135" s="40">
        <f>-O134/O133</f>
        <v>0</v>
      </c>
      <c r="P135" s="40">
        <f>-P134/P133</f>
        <v>0</v>
      </c>
      <c r="Q135" s="40">
        <f>-Q134/Q133</f>
        <v>0</v>
      </c>
      <c r="R135" s="40">
        <f>-R134/R133</f>
        <v>0</v>
      </c>
      <c r="S135" s="40">
        <f>-S134/S133</f>
        <v>0</v>
      </c>
      <c r="T135" s="40">
        <f>-T134/T133</f>
        <v>0</v>
      </c>
      <c r="U135" s="40">
        <f>-U134/U133</f>
        <v>0</v>
      </c>
      <c r="V135" s="40">
        <f>-V134/V133</f>
        <v>0</v>
      </c>
      <c r="W135" s="40">
        <f>-W134/W133</f>
        <v>0</v>
      </c>
      <c r="X135" s="40">
        <f>-X134/X133</f>
        <v>0</v>
      </c>
      <c r="Y135" s="40">
        <f>-Y134/Y133</f>
        <v>0.104407468563445</v>
      </c>
      <c r="Z135" s="40">
        <f>-Z134/Z133</f>
        <v>0.0933424584616555</v>
      </c>
      <c r="AA135" s="40">
        <f>-AA134/AA133</f>
        <v>0.0920259270425083</v>
      </c>
      <c r="AB135" s="40">
        <f>-AB134/AB133</f>
        <v>0.0735432190015781</v>
      </c>
      <c r="AC135" s="40">
        <f>-AC134/AC133</f>
        <v>0.0704690214244354</v>
      </c>
      <c r="AD135" s="40">
        <f>-AD134/AD133</f>
        <v>0.090190097886225</v>
      </c>
      <c r="AE135" s="40">
        <f>-AE134/AE133</f>
        <v>0.0725006432430887</v>
      </c>
      <c r="AF135" s="44">
        <f>-AF134/AF133</f>
        <v>0.0736032506167465</v>
      </c>
      <c r="AG135" s="3" t="n"/>
      <c r="AH135" s="44">
        <f>-AH134/AH133</f>
        <v>0.0406213046118444</v>
      </c>
      <c r="AI135" s="44">
        <f>-AI134/AI133</f>
        <v>0</v>
      </c>
      <c r="AJ135" s="44" t="n"/>
      <c r="AK135" s="44" t="n"/>
      <c r="AL135" s="3">
        <f>-AL134/AL133</f>
        <v>0.00814010458529337</v>
      </c>
      <c r="AM135" s="44" t="n"/>
      <c r="AN135" s="44" t="n"/>
      <c r="AO135" s="44" t="n"/>
      <c r="AP135" s="44" t="n"/>
      <c r="AQ135" s="3">
        <f>-AQ134/AQ133</f>
        <v>0</v>
      </c>
      <c r="AR135" s="44" t="n"/>
      <c r="AS135" s="44" t="n"/>
      <c r="AT135" s="44" t="n"/>
      <c r="AU135" s="44" t="n"/>
      <c r="AV135" s="3">
        <f>-AV134/AV133</f>
        <v>0</v>
      </c>
      <c r="AW135" s="44" t="n"/>
      <c r="AX135" s="44" t="n"/>
      <c r="AY135" s="44" t="n"/>
      <c r="AZ135" s="44" t="n"/>
      <c r="BA135" s="3">
        <f>-BA134/BA133</f>
        <v>0</v>
      </c>
      <c r="BB135" s="44" t="n"/>
      <c r="BC135" s="44" t="n"/>
      <c r="BD135" s="44" t="n"/>
      <c r="BE135" s="44" t="n"/>
      <c r="BF135" s="3">
        <f>-BF134/BF133</f>
        <v>0</v>
      </c>
      <c r="BG135" s="44" t="n"/>
      <c r="BH135" s="44" t="n"/>
      <c r="BI135" s="44" t="n"/>
      <c r="BJ135" s="44" t="n"/>
      <c r="BK135" s="3">
        <f>-BK134/BK133</f>
        <v>0</v>
      </c>
      <c r="BL135" s="44" t="n"/>
      <c r="BM135" s="44" t="n"/>
      <c r="BN135" s="44" t="n"/>
      <c r="BO135" s="44" t="n"/>
      <c r="BP135" s="3">
        <f>-BP134/BP133</f>
        <v>0</v>
      </c>
      <c r="BQ135" s="44" t="n"/>
      <c r="BR135" s="44" t="n"/>
      <c r="BS135" s="44" t="n"/>
      <c r="BT135" s="44" t="n"/>
      <c r="BU135" s="3">
        <f>-BU134/BU133</f>
        <v>0</v>
      </c>
      <c r="BV135" s="44" t="n"/>
      <c r="BW135" s="44" t="n"/>
      <c r="BX135" s="44" t="n"/>
      <c r="BY135" s="44" t="n"/>
      <c r="BZ135" s="3">
        <f>-BZ134/BZ133</f>
        <v>0</v>
      </c>
      <c r="CA135" s="44" t="n"/>
      <c r="CB135" s="44" t="n"/>
      <c r="CC135" s="44" t="n"/>
      <c r="CD135" s="44" t="n"/>
      <c r="CE135" s="3">
        <f>-CE134/CE133</f>
        <v>0</v>
      </c>
      <c r="CF135" s="44" t="n"/>
      <c r="CG135" s="44" t="n"/>
      <c r="CH135" s="44" t="n"/>
      <c r="CI135" s="44" t="n"/>
      <c r="CJ135" s="3">
        <f>-CJ134/CJ133</f>
        <v>0</v>
      </c>
      <c r="CK135" s="44" t="n"/>
      <c r="CL135" s="44" t="n"/>
      <c r="CM135" s="44" t="n"/>
      <c r="CN135" s="44" t="n"/>
      <c r="CO135" s="3">
        <f>-CO134/CO133</f>
        <v>0</v>
      </c>
      <c r="CP135" s="44" t="n"/>
      <c r="CQ135" s="44" t="n"/>
      <c r="CR135" s="44" t="n"/>
      <c r="CS135" s="44" t="n"/>
      <c r="CT135" s="3">
        <f>-CT134/CT133</f>
        <v>0</v>
      </c>
      <c r="CU135" s="44" t="n"/>
      <c r="CV135" s="44" t="n"/>
      <c r="CW135" s="44" t="n"/>
      <c r="CX135" s="44" t="n"/>
      <c r="CY135" s="3">
        <f>-CY134/CY133</f>
        <v>0</v>
      </c>
    </row>
    <row r="136" hidden="1" outlineLevel="1">
      <c r="C136" s="5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1" t="n"/>
      <c r="BO136" s="1" t="n"/>
      <c r="BP136" s="1" t="n"/>
      <c r="BQ136" s="1" t="n"/>
      <c r="BR136" s="1" t="n"/>
      <c r="BS136" s="1" t="n"/>
      <c r="BT136" s="1" t="n"/>
      <c r="BU136" s="1" t="n"/>
      <c r="BV136" s="1" t="n"/>
      <c r="BW136" s="1" t="n"/>
      <c r="BX136" s="1" t="n"/>
      <c r="BY136" s="1" t="n"/>
      <c r="BZ136" s="1" t="n"/>
      <c r="CA136" s="1" t="n"/>
      <c r="CB136" s="1" t="n"/>
      <c r="CC136" s="1" t="n"/>
      <c r="CD136" s="1" t="n"/>
      <c r="CE136" s="1" t="n"/>
      <c r="CF136" s="1" t="n"/>
      <c r="CG136" s="1" t="n"/>
      <c r="CH136" s="1" t="n"/>
      <c r="CI136" s="1" t="n"/>
      <c r="CJ136" s="1" t="n"/>
      <c r="CK136" s="1" t="n"/>
      <c r="CL136" s="1" t="n"/>
      <c r="CM136" s="1" t="n"/>
      <c r="CN136" s="1" t="n"/>
      <c r="CO136" s="1" t="n"/>
      <c r="CP136" s="1" t="n"/>
      <c r="CQ136" s="1" t="n"/>
      <c r="CR136" s="1" t="n"/>
      <c r="CS136" s="1" t="n"/>
      <c r="CT136" s="1" t="n"/>
      <c r="CU136" s="1" t="n"/>
      <c r="CV136" s="1" t="n"/>
      <c r="CW136" s="1" t="n"/>
      <c r="CX136" s="1" t="n"/>
      <c r="CY136" s="1" t="n"/>
    </row>
    <row r="137" hidden="1" outlineLevel="1">
      <c r="C137" s="5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  <c r="BO137" s="1" t="n"/>
      <c r="BP137" s="1" t="n"/>
      <c r="BQ137" s="1" t="n"/>
      <c r="BR137" s="1" t="n"/>
      <c r="BS137" s="1" t="n"/>
      <c r="BT137" s="1" t="n"/>
      <c r="BU137" s="1" t="n"/>
      <c r="BV137" s="1" t="n"/>
      <c r="BW137" s="1" t="n"/>
      <c r="BX137" s="1" t="n"/>
      <c r="BY137" s="1" t="n"/>
      <c r="BZ137" s="1" t="n"/>
      <c r="CA137" s="1" t="n"/>
      <c r="CB137" s="1" t="n"/>
      <c r="CC137" s="1" t="n"/>
      <c r="CD137" s="1" t="n"/>
      <c r="CE137" s="1" t="n"/>
      <c r="CF137" s="1" t="n"/>
      <c r="CG137" s="1" t="n"/>
      <c r="CH137" s="1" t="n"/>
      <c r="CI137" s="1" t="n"/>
      <c r="CJ137" s="1" t="n"/>
      <c r="CK137" s="1" t="n"/>
      <c r="CL137" s="1" t="n"/>
      <c r="CM137" s="1" t="n"/>
      <c r="CN137" s="1" t="n"/>
      <c r="CO137" s="1" t="n"/>
      <c r="CP137" s="1" t="n"/>
      <c r="CQ137" s="1" t="n"/>
      <c r="CR137" s="1" t="n"/>
      <c r="CS137" s="1" t="n"/>
      <c r="CT137" s="1" t="n"/>
      <c r="CU137" s="1" t="n"/>
      <c r="CV137" s="1" t="n"/>
      <c r="CW137" s="1" t="n"/>
      <c r="CX137" s="1" t="n"/>
      <c r="CY137" s="1" t="n"/>
    </row>
    <row r="138" collapsed="1" ht="11.25" customHeight="1">
      <c r="C138" s="12" t="inlineStr">
        <is>
          <t>Balance Sheet</t>
        </is>
      </c>
      <c r="D138" s="12" t="str">
        <f>D13</f>
        <v>1Q20</v>
      </c>
      <c r="E138" s="12" t="str">
        <f>E13</f>
        <v>2Q20</v>
      </c>
      <c r="F138" s="12" t="str">
        <f>F13</f>
        <v>3Q20</v>
      </c>
      <c r="G138" s="12" t="str">
        <f>G13</f>
        <v>4Q20</v>
      </c>
      <c r="H138" s="12">
        <f>H13</f>
        <v>2020</v>
      </c>
      <c r="I138" s="12" t="str">
        <f>I13</f>
        <v>1Q21</v>
      </c>
      <c r="J138" s="12" t="str">
        <f>J13</f>
        <v>2Q21</v>
      </c>
      <c r="K138" s="12" t="str">
        <f>K13</f>
        <v>3Q21</v>
      </c>
      <c r="L138" s="12" t="str">
        <f>L13</f>
        <v>4Q21</v>
      </c>
      <c r="M138" s="12">
        <f>M13</f>
        <v>2021</v>
      </c>
      <c r="N138" s="12" t="str">
        <f>N13</f>
        <v>1Q22</v>
      </c>
      <c r="O138" s="12" t="str">
        <f>O13</f>
        <v>2Q22</v>
      </c>
      <c r="P138" s="12" t="str">
        <f>P13</f>
        <v>3Q22</v>
      </c>
      <c r="Q138" s="12" t="str">
        <f>Q13</f>
        <v>4Q22</v>
      </c>
      <c r="R138" s="12">
        <f>R13</f>
        <v>2022</v>
      </c>
      <c r="S138" s="12" t="str">
        <f>S13</f>
        <v>1Q23</v>
      </c>
      <c r="T138" s="12" t="str">
        <f>T13</f>
        <v>2Q23</v>
      </c>
      <c r="U138" s="12" t="str">
        <f>U13</f>
        <v>3Q23</v>
      </c>
      <c r="V138" s="12" t="str">
        <f>V13</f>
        <v>4Q23</v>
      </c>
      <c r="W138" s="12">
        <f>W13</f>
        <v>2023</v>
      </c>
      <c r="X138" s="12" t="str">
        <f>X13</f>
        <v>1Q24</v>
      </c>
      <c r="Y138" s="12" t="str">
        <f>Y13</f>
        <v>2Q24</v>
      </c>
      <c r="Z138" s="12" t="str">
        <f>Z13</f>
        <v>3Q24</v>
      </c>
      <c r="AA138" s="12" t="str">
        <f>AA13</f>
        <v>4Q24</v>
      </c>
      <c r="AB138" s="12">
        <f>AB13</f>
        <v>2024</v>
      </c>
      <c r="AC138" s="12" t="str">
        <f>AC13</f>
        <v>1Q25</v>
      </c>
      <c r="AD138" s="12" t="str">
        <f>AD13</f>
        <v>2Q25</v>
      </c>
      <c r="AE138" s="12" t="str">
        <f>AE13</f>
        <v>3Q25</v>
      </c>
      <c r="AF138" s="12" t="str">
        <f>AF13</f>
        <v>4Q25</v>
      </c>
      <c r="AG138" s="12">
        <f>AG13</f>
        <v>2025</v>
      </c>
      <c r="AH138" s="12" t="str">
        <f>AH13</f>
        <v>1Q26</v>
      </c>
      <c r="AI138" s="12" t="str">
        <f>AI13</f>
        <v>2Q26</v>
      </c>
      <c r="AJ138" s="12" t="str">
        <f>AJ13</f>
        <v>3Q26</v>
      </c>
      <c r="AK138" s="12" t="str">
        <f>AK13</f>
        <v>4Q26</v>
      </c>
      <c r="AL138" s="12">
        <f>AL13</f>
        <v>2026</v>
      </c>
      <c r="AM138" s="12" t="str">
        <f>AM13</f>
        <v>1Q27</v>
      </c>
      <c r="AN138" s="12" t="str">
        <f>AN13</f>
        <v>2Q27</v>
      </c>
      <c r="AO138" s="12" t="str">
        <f>AO13</f>
        <v>3Q27</v>
      </c>
      <c r="AP138" s="12" t="str">
        <f>AP13</f>
        <v>4Q27</v>
      </c>
      <c r="AQ138" s="12">
        <f>AQ13</f>
        <v>2027</v>
      </c>
      <c r="AR138" s="12" t="str">
        <f>AR13</f>
        <v>1Q28</v>
      </c>
      <c r="AS138" s="12" t="str">
        <f>AS13</f>
        <v>2Q28</v>
      </c>
      <c r="AT138" s="12" t="str">
        <f>AT13</f>
        <v>3Q28</v>
      </c>
      <c r="AU138" s="12" t="str">
        <f>AU13</f>
        <v>4Q28</v>
      </c>
      <c r="AV138" s="12">
        <f>AV13</f>
        <v>2028</v>
      </c>
      <c r="AW138" s="12" t="str">
        <f>AW13</f>
        <v>1Q29</v>
      </c>
      <c r="AX138" s="12" t="str">
        <f>AX13</f>
        <v>2Q29</v>
      </c>
      <c r="AY138" s="12" t="str">
        <f>AY13</f>
        <v>3Q29</v>
      </c>
      <c r="AZ138" s="12" t="str">
        <f>AZ13</f>
        <v>4Q29</v>
      </c>
      <c r="BA138" s="12">
        <f>BA13</f>
        <v>2029</v>
      </c>
      <c r="BB138" s="12" t="str">
        <f>BB13</f>
        <v>1Q30</v>
      </c>
      <c r="BC138" s="12" t="str">
        <f>BC13</f>
        <v>2Q30</v>
      </c>
      <c r="BD138" s="12" t="str">
        <f>BD13</f>
        <v>3Q30</v>
      </c>
      <c r="BE138" s="12" t="str">
        <f>BE13</f>
        <v>4Q30</v>
      </c>
      <c r="BF138" s="12">
        <f>BF13</f>
        <v>2030</v>
      </c>
      <c r="BG138" s="12" t="str">
        <f>BG13</f>
        <v>1Q31</v>
      </c>
      <c r="BH138" s="12" t="str">
        <f>BH13</f>
        <v>2Q31</v>
      </c>
      <c r="BI138" s="12" t="str">
        <f>BI13</f>
        <v>3Q31</v>
      </c>
      <c r="BJ138" s="12" t="str">
        <f>BJ13</f>
        <v>4Q31</v>
      </c>
      <c r="BK138" s="12">
        <f>BK13</f>
        <v>2031</v>
      </c>
      <c r="BL138" s="12" t="str">
        <f>BL13</f>
        <v>1Q32</v>
      </c>
      <c r="BM138" s="12" t="str">
        <f>BM13</f>
        <v>2Q32</v>
      </c>
      <c r="BN138" s="12" t="str">
        <f>BN13</f>
        <v>3Q32</v>
      </c>
      <c r="BO138" s="12" t="str">
        <f>BO13</f>
        <v>4Q32</v>
      </c>
      <c r="BP138" s="12">
        <f>BP13</f>
        <v>2032</v>
      </c>
      <c r="BQ138" s="12" t="str">
        <f>BQ13</f>
        <v>1Q33</v>
      </c>
      <c r="BR138" s="12" t="str">
        <f>BR13</f>
        <v>2Q33</v>
      </c>
      <c r="BS138" s="12" t="str">
        <f>BS13</f>
        <v>3Q33</v>
      </c>
      <c r="BT138" s="12" t="str">
        <f>BT13</f>
        <v>4Q33</v>
      </c>
      <c r="BU138" s="12">
        <f>BU13</f>
        <v>2033</v>
      </c>
      <c r="BV138" s="12" t="str">
        <f>BV13</f>
        <v>1Q34</v>
      </c>
      <c r="BW138" s="12" t="str">
        <f>BW13</f>
        <v>2Q34</v>
      </c>
      <c r="BX138" s="12" t="str">
        <f>BX13</f>
        <v>3Q34</v>
      </c>
      <c r="BY138" s="12" t="str">
        <f>BY13</f>
        <v>4Q34</v>
      </c>
      <c r="BZ138" s="12">
        <f>BZ13</f>
        <v>2034</v>
      </c>
      <c r="CA138" s="12" t="str">
        <f>CA13</f>
        <v>1Q35</v>
      </c>
      <c r="CB138" s="12" t="str">
        <f>CB13</f>
        <v>2Q35</v>
      </c>
      <c r="CC138" s="12" t="str">
        <f>CC13</f>
        <v>3Q35</v>
      </c>
      <c r="CD138" s="12" t="str">
        <f>CD13</f>
        <v>4Q35</v>
      </c>
      <c r="CE138" s="12">
        <f>CE13</f>
        <v>2035</v>
      </c>
      <c r="CF138" s="12" t="str">
        <f>CF13</f>
        <v>1Q36</v>
      </c>
      <c r="CG138" s="12" t="str">
        <f>CG13</f>
        <v>2Q36</v>
      </c>
      <c r="CH138" s="12" t="str">
        <f>CH13</f>
        <v>3Q36</v>
      </c>
      <c r="CI138" s="12" t="str">
        <f>CI13</f>
        <v>4Q36</v>
      </c>
      <c r="CJ138" s="12">
        <f>CJ13</f>
        <v>2036</v>
      </c>
      <c r="CK138" s="12" t="str">
        <f>CK13</f>
        <v>1Q37</v>
      </c>
      <c r="CL138" s="12" t="str">
        <f>CL13</f>
        <v>2Q37</v>
      </c>
      <c r="CM138" s="12" t="str">
        <f>CM13</f>
        <v>3Q37</v>
      </c>
      <c r="CN138" s="12" t="str">
        <f>CN13</f>
        <v>4Q37</v>
      </c>
      <c r="CO138" s="12">
        <f>CO13</f>
        <v>2037</v>
      </c>
      <c r="CP138" s="12" t="str">
        <f>CP13</f>
        <v>1Q38</v>
      </c>
      <c r="CQ138" s="12" t="str">
        <f>CQ13</f>
        <v>2Q38</v>
      </c>
      <c r="CR138" s="12" t="str">
        <f>CR13</f>
        <v>3Q38</v>
      </c>
      <c r="CS138" s="12" t="str">
        <f>CS13</f>
        <v>4Q38</v>
      </c>
      <c r="CT138" s="12">
        <f>CT13</f>
        <v>2038</v>
      </c>
      <c r="CU138" s="12" t="str">
        <f>CU13</f>
        <v>1Q39</v>
      </c>
      <c r="CV138" s="12" t="str">
        <f>CV13</f>
        <v>2Q39</v>
      </c>
      <c r="CW138" s="12" t="str">
        <f>CW13</f>
        <v>3Q39</v>
      </c>
      <c r="CX138" s="12" t="str">
        <f>CX13</f>
        <v>4Q39</v>
      </c>
      <c r="CY138" s="12">
        <f>CY13</f>
        <v>2039</v>
      </c>
    </row>
    <row r="139">
      <c r="C139" s="5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1" t="n"/>
      <c r="BO139" s="1" t="n"/>
      <c r="BP139" s="1" t="n"/>
      <c r="BQ139" s="1" t="n"/>
      <c r="BR139" s="1" t="n"/>
      <c r="BS139" s="1" t="n"/>
      <c r="BT139" s="1" t="n"/>
      <c r="BU139" s="1" t="n"/>
      <c r="BV139" s="1" t="n"/>
      <c r="BW139" s="1" t="n"/>
      <c r="BX139" s="1" t="n"/>
      <c r="BY139" s="1" t="n"/>
      <c r="BZ139" s="1" t="n"/>
      <c r="CA139" s="1" t="n"/>
      <c r="CB139" s="1" t="n"/>
      <c r="CC139" s="1" t="n"/>
      <c r="CD139" s="1" t="n"/>
      <c r="CE139" s="1" t="n"/>
      <c r="CF139" s="1" t="n"/>
      <c r="CG139" s="1" t="n"/>
      <c r="CH139" s="1" t="n"/>
      <c r="CI139" s="1" t="n"/>
      <c r="CJ139" s="1" t="n"/>
      <c r="CK139" s="1" t="n"/>
      <c r="CL139" s="1" t="n"/>
      <c r="CM139" s="1" t="n"/>
      <c r="CN139" s="1" t="n"/>
      <c r="CO139" s="1" t="n"/>
      <c r="CP139" s="1" t="n"/>
      <c r="CQ139" s="1" t="n"/>
      <c r="CR139" s="1" t="n"/>
      <c r="CS139" s="1" t="n"/>
      <c r="CT139" s="1" t="n"/>
      <c r="CU139" s="1" t="n"/>
      <c r="CV139" s="1" t="n"/>
      <c r="CW139" s="1" t="n"/>
      <c r="CX139" s="1" t="n"/>
      <c r="CY139" s="1" t="n"/>
    </row>
    <row r="140">
      <c r="C140" s="24" t="inlineStr">
        <is>
          <t>Cash and equivalents (inc. investment securities)</t>
        </is>
      </c>
      <c r="D140" s="25">
        <f>INDEX('Inputs (2)'!$D$15:$AL$15,MATCH(D$7,'Inputs (2)'!$D$2:$AL$2,0))</f>
        <v>117229</v>
      </c>
      <c r="E140" s="25">
        <f>INDEX('Inputs (2)'!$D$15:$AL$15,MATCH(E$7,'Inputs (2)'!$D$2:$AL$2,0))</f>
        <v>121080</v>
      </c>
      <c r="F140" s="25">
        <f>INDEX('Inputs (2)'!$D$15:$AL$15,MATCH(F$7,'Inputs (2)'!$D$2:$AL$2,0))</f>
        <v>132596</v>
      </c>
      <c r="G140" s="25">
        <f>INDEX('Inputs (2)'!$D$15:$AL$15,MATCH(G$7,'Inputs (2)'!$D$2:$AL$2,0))</f>
        <v>136694</v>
      </c>
      <c r="H140" s="3">
        <f>G140</f>
        <v>136694</v>
      </c>
      <c r="I140" s="25">
        <f>INDEX('Inputs (2)'!$D$15:$AL$15,MATCH(I$7,'Inputs (2)'!$D$2:$AL$2,0))</f>
        <v>135104</v>
      </c>
      <c r="J140" s="25">
        <f>INDEX('Inputs (2)'!$D$15:$AL$15,MATCH(J$7,'Inputs (2)'!$D$2:$AL$2,0))</f>
        <v>135863</v>
      </c>
      <c r="K140" s="25">
        <f>INDEX('Inputs (2)'!$D$15:$AL$15,MATCH(K$7,'Inputs (2)'!$D$2:$AL$2,0))</f>
        <v>142003</v>
      </c>
      <c r="L140" s="25">
        <f>INDEX('Inputs (2)'!$D$15:$AL$15,MATCH(L$7,'Inputs (2)'!$D$2:$AL$2,0))</f>
        <v>139649</v>
      </c>
      <c r="M140" s="3">
        <f>L140</f>
        <v>139649</v>
      </c>
      <c r="N140" s="25">
        <f>INDEX('Inputs (2)'!$D$15:$AL$15,MATCH(N$7,'Inputs (2)'!$D$2:$AL$2,0))</f>
        <v>133970</v>
      </c>
      <c r="O140" s="25">
        <f>INDEX('Inputs (2)'!$D$15:$AL$15,MATCH(O$7,'Inputs (2)'!$D$2:$AL$2,0))</f>
        <v>124997</v>
      </c>
      <c r="P140" s="25">
        <f>INDEX('Inputs (2)'!$D$15:$AL$15,MATCH(P$7,'Inputs (2)'!$D$2:$AL$2,0))</f>
        <v>116259</v>
      </c>
      <c r="Q140" s="25">
        <f>INDEX('Inputs (2)'!$D$15:$AL$15,MATCH(Q$7,'Inputs (2)'!$D$2:$AL$2,0))</f>
        <v>113762</v>
      </c>
      <c r="R140" s="3">
        <f>Q140</f>
        <v>113762</v>
      </c>
      <c r="S140" s="25">
        <f>INDEX('Inputs (2)'!$D$15:$AL$15,MATCH(S$7,'Inputs (2)'!$D$2:$AL$2,0))</f>
        <v>115102</v>
      </c>
      <c r="T140" s="25">
        <f>INDEX('Inputs (2)'!$D$15:$AL$15,MATCH(T$7,'Inputs (2)'!$D$2:$AL$2,0))</f>
        <v>118332</v>
      </c>
      <c r="U140" s="25">
        <f>INDEX('Inputs (2)'!$D$15:$AL$15,MATCH(U$7,'Inputs (2)'!$D$2:$AL$2,0))</f>
        <v>119935</v>
      </c>
      <c r="V140" s="25">
        <f>INDEX('Inputs (2)'!$D$15:$AL$15,MATCH(V$7,'Inputs (2)'!$D$2:$AL$2,0))</f>
        <v>110916</v>
      </c>
      <c r="W140" s="3">
        <f>V140</f>
        <v>110916</v>
      </c>
      <c r="X140" s="25">
        <f>INDEX('Inputs (2)'!$D$15:$AL$15,MATCH(X$7,'Inputs (2)'!$D$2:$AL$2,0))</f>
        <v>108090</v>
      </c>
      <c r="Y140" s="25">
        <f>INDEX('Inputs (2)'!$D$15:$AL$15,MATCH(Y$7,'Inputs (2)'!$D$2:$AL$2,0))</f>
        <v>100725</v>
      </c>
      <c r="Z140" s="25">
        <f>INDEX('Inputs (2)'!$D$15:$AL$15,MATCH(Z$7,'Inputs (2)'!$D$2:$AL$2,0))</f>
        <v>93230</v>
      </c>
      <c r="AA140" s="25">
        <f>INDEX('Inputs (2)'!$D$15:$AL$15,MATCH(AA$7,'Inputs (2)'!$D$2:$AL$2,0))</f>
        <v>95657</v>
      </c>
      <c r="AB140" s="3">
        <f>AA140</f>
        <v>95657</v>
      </c>
      <c r="AC140" s="25">
        <f>INDEX('Inputs (2)'!$D$15:$AL$15,MATCH(AC$7,'Inputs (2)'!$D$2:$AL$2,0))</f>
        <v>95328</v>
      </c>
      <c r="AD140" s="25">
        <f>INDEX('Inputs (2)'!$D$15:$AL$15,MATCH(AD$7,'Inputs (2)'!$D$2:$AL$2,0))</f>
        <v>95148</v>
      </c>
      <c r="AE140" s="25">
        <f>INDEX('Inputs (2)'!$D$15:$AL$15,MATCH(AE$7,'Inputs (2)'!$D$2:$AL$2,0))</f>
        <v>98496</v>
      </c>
      <c r="AF140" s="25">
        <f>INDEX('Inputs (2)'!$D$15:$AL$15,MATCH(AF$7,'Inputs (2)'!$D$2:$AL$2,0))</f>
        <v>126843</v>
      </c>
      <c r="AG140" s="3">
        <f>AF140</f>
        <v>126843</v>
      </c>
      <c r="AH140" s="3">
        <f>INDEX('Inputs (2)'!$D$15:$AL$15,MATCH(AH$7,'Inputs (2)'!$D$2:$AL$2,0))</f>
        <v>126840</v>
      </c>
      <c r="AI140" s="3">
        <f>INDEX('Inputs (2)'!$D$15:$AL$15,MATCH(AI$7,'Inputs (2)'!$D$2:$AL$2,0))</f>
        <v>242474</v>
      </c>
      <c r="AJ140" s="3">
        <f>AI140+AJ310</f>
        <v>250037</v>
      </c>
      <c r="AK140" s="3">
        <f>AJ140+AK310</f>
        <v>349298</v>
      </c>
      <c r="AL140" s="3">
        <f>AK140</f>
        <v>349298</v>
      </c>
      <c r="AM140" s="3" t="e">
        <f>AL140+AM310</f>
        <v>#DIV/0!</v>
      </c>
      <c r="AN140" s="3" t="e">
        <f>AM140+AN310</f>
        <v>#DIV/0!</v>
      </c>
      <c r="AO140" s="3" t="e">
        <f>AN140+AO310</f>
        <v>#DIV/0!</v>
      </c>
      <c r="AP140" s="3" t="e">
        <f>AO140+AP310</f>
        <v>#DIV/0!</v>
      </c>
      <c r="AQ140" s="3" t="e">
        <f>AP140</f>
        <v>#DIV/0!</v>
      </c>
      <c r="AR140" s="3" t="e">
        <f>AQ140+AR310</f>
        <v>#DIV/0!</v>
      </c>
      <c r="AS140" s="3" t="e">
        <f>AR140+AS310</f>
        <v>#DIV/0!</v>
      </c>
      <c r="AT140" s="3" t="e">
        <f>AS140+AT310</f>
        <v>#DIV/0!</v>
      </c>
      <c r="AU140" s="3" t="e">
        <f>AT140+AU310</f>
        <v>#DIV/0!</v>
      </c>
      <c r="AV140" s="3" t="e">
        <f>AU140</f>
        <v>#DIV/0!</v>
      </c>
      <c r="AW140" s="3" t="e">
        <f>AV140+AW310</f>
        <v>#DIV/0!</v>
      </c>
      <c r="AX140" s="3" t="e">
        <f>AW140+AX310</f>
        <v>#DIV/0!</v>
      </c>
      <c r="AY140" s="3" t="e">
        <f>AX140+AY310</f>
        <v>#DIV/0!</v>
      </c>
      <c r="AZ140" s="3" t="e">
        <f>AY140+AZ310</f>
        <v>#DIV/0!</v>
      </c>
      <c r="BA140" s="3" t="e">
        <f>AZ140</f>
        <v>#DIV/0!</v>
      </c>
      <c r="BB140" s="3" t="e">
        <f>BA140+BB310</f>
        <v>#DIV/0!</v>
      </c>
      <c r="BC140" s="3" t="e">
        <f>BB140+BC310</f>
        <v>#DIV/0!</v>
      </c>
      <c r="BD140" s="3" t="e">
        <f>BC140+BD310</f>
        <v>#DIV/0!</v>
      </c>
      <c r="BE140" s="3" t="e">
        <f>BD140+BE310</f>
        <v>#DIV/0!</v>
      </c>
      <c r="BF140" s="3" t="e">
        <f>BE140</f>
        <v>#DIV/0!</v>
      </c>
      <c r="BG140" s="3" t="e">
        <f>BF140+BG310</f>
        <v>#DIV/0!</v>
      </c>
      <c r="BH140" s="3" t="e">
        <f>BG140+BH310</f>
        <v>#DIV/0!</v>
      </c>
      <c r="BI140" s="3" t="e">
        <f>BH140+BI310</f>
        <v>#DIV/0!</v>
      </c>
      <c r="BJ140" s="3" t="e">
        <f>BI140+BJ310</f>
        <v>#DIV/0!</v>
      </c>
      <c r="BK140" s="3" t="e">
        <f>BJ140</f>
        <v>#DIV/0!</v>
      </c>
      <c r="BL140" s="3" t="e">
        <f>BK140+BL310</f>
        <v>#DIV/0!</v>
      </c>
      <c r="BM140" s="3" t="e">
        <f>BL140+BM310</f>
        <v>#DIV/0!</v>
      </c>
      <c r="BN140" s="3" t="e">
        <f>BM140+BN310</f>
        <v>#DIV/0!</v>
      </c>
      <c r="BO140" s="3" t="e">
        <f>BN140+BO310</f>
        <v>#DIV/0!</v>
      </c>
      <c r="BP140" s="3" t="e">
        <f>BO140</f>
        <v>#DIV/0!</v>
      </c>
      <c r="BQ140" s="3" t="e">
        <f>BP140+BQ310</f>
        <v>#DIV/0!</v>
      </c>
      <c r="BR140" s="3" t="e">
        <f>BQ140+BR310</f>
        <v>#DIV/0!</v>
      </c>
      <c r="BS140" s="3" t="e">
        <f>BR140+BS310</f>
        <v>#DIV/0!</v>
      </c>
      <c r="BT140" s="3" t="e">
        <f>BS140+BT310</f>
        <v>#DIV/0!</v>
      </c>
      <c r="BU140" s="3" t="e">
        <f>BT140</f>
        <v>#DIV/0!</v>
      </c>
      <c r="BV140" s="3" t="e">
        <f>BU140+BV310</f>
        <v>#DIV/0!</v>
      </c>
      <c r="BW140" s="3" t="e">
        <f>BV140+BW310</f>
        <v>#DIV/0!</v>
      </c>
      <c r="BX140" s="3" t="e">
        <f>BW140+BX310</f>
        <v>#DIV/0!</v>
      </c>
      <c r="BY140" s="3" t="e">
        <f>BX140+BY310</f>
        <v>#DIV/0!</v>
      </c>
      <c r="BZ140" s="3" t="e">
        <f>BY140</f>
        <v>#DIV/0!</v>
      </c>
      <c r="CA140" s="3" t="e">
        <f>BZ140+CA310</f>
        <v>#DIV/0!</v>
      </c>
      <c r="CB140" s="3" t="e">
        <f>CA140+CB310</f>
        <v>#DIV/0!</v>
      </c>
      <c r="CC140" s="3" t="e">
        <f>CB140+CC310</f>
        <v>#DIV/0!</v>
      </c>
      <c r="CD140" s="3" t="e">
        <f>CC140+CD310</f>
        <v>#DIV/0!</v>
      </c>
      <c r="CE140" s="3" t="e">
        <f>CD140</f>
        <v>#DIV/0!</v>
      </c>
      <c r="CF140" s="3" t="e">
        <f>CE140+CF310</f>
        <v>#DIV/0!</v>
      </c>
      <c r="CG140" s="3" t="e">
        <f>CF140+CG310</f>
        <v>#DIV/0!</v>
      </c>
      <c r="CH140" s="3" t="e">
        <f>CG140+CH310</f>
        <v>#DIV/0!</v>
      </c>
      <c r="CI140" s="3" t="e">
        <f>CH140+CI310</f>
        <v>#DIV/0!</v>
      </c>
      <c r="CJ140" s="3" t="e">
        <f>CI140</f>
        <v>#DIV/0!</v>
      </c>
      <c r="CK140" s="3" t="e">
        <f>CJ140+CK310</f>
        <v>#DIV/0!</v>
      </c>
      <c r="CL140" s="3" t="e">
        <f>CK140+CL310</f>
        <v>#DIV/0!</v>
      </c>
      <c r="CM140" s="3" t="e">
        <f>CL140+CM310</f>
        <v>#DIV/0!</v>
      </c>
      <c r="CN140" s="3" t="e">
        <f>CM140+CN310</f>
        <v>#DIV/0!</v>
      </c>
      <c r="CO140" s="3" t="e">
        <f>CN140</f>
        <v>#DIV/0!</v>
      </c>
      <c r="CP140" s="3" t="e">
        <f>CO140+CP310</f>
        <v>#DIV/0!</v>
      </c>
      <c r="CQ140" s="3" t="e">
        <f>CP140+CQ310</f>
        <v>#DIV/0!</v>
      </c>
      <c r="CR140" s="3" t="e">
        <f>CQ140+CR310</f>
        <v>#DIV/0!</v>
      </c>
      <c r="CS140" s="3" t="e">
        <f>CR140+CS310</f>
        <v>#DIV/0!</v>
      </c>
      <c r="CT140" s="3" t="e">
        <f>CS140</f>
        <v>#DIV/0!</v>
      </c>
      <c r="CU140" s="3" t="e">
        <f>CT140+CU310</f>
        <v>#DIV/0!</v>
      </c>
      <c r="CV140" s="3" t="e">
        <f>CU140+CV310</f>
        <v>#DIV/0!</v>
      </c>
      <c r="CW140" s="3" t="e">
        <f>CV140+CW310</f>
        <v>#DIV/0!</v>
      </c>
      <c r="CX140" s="3" t="e">
        <f>CW140+CX310</f>
        <v>#DIV/0!</v>
      </c>
      <c r="CY140" s="3" t="e">
        <f>CX140</f>
        <v>#DIV/0!</v>
      </c>
    </row>
    <row r="141">
      <c r="C141" s="26" t="inlineStr">
        <is>
          <t>Accounts receivable</t>
        </is>
      </c>
      <c r="D141" s="25">
        <f>INDEX('Inputs (2)'!$D$16:$AL$16,MATCH(D$7,'Inputs (2)'!$D$2:$AL$2,0))</f>
        <v>21825</v>
      </c>
      <c r="E141" s="25">
        <f>INDEX('Inputs (2)'!$D$16:$AL$16,MATCH(E$7,'Inputs (2)'!$D$2:$AL$2,0))</f>
        <v>21201</v>
      </c>
      <c r="F141" s="25">
        <f>INDEX('Inputs (2)'!$D$16:$AL$16,MATCH(F$7,'Inputs (2)'!$D$2:$AL$2,0))</f>
        <v>24925</v>
      </c>
      <c r="G141" s="25">
        <f>INDEX('Inputs (2)'!$D$16:$AL$16,MATCH(G$7,'Inputs (2)'!$D$2:$AL$2,0))</f>
        <v>30930</v>
      </c>
      <c r="H141" s="3">
        <f>G141</f>
        <v>30930</v>
      </c>
      <c r="I141" s="25">
        <f>INDEX('Inputs (2)'!$D$16:$AL$16,MATCH(I$7,'Inputs (2)'!$D$2:$AL$2,0))</f>
        <v>28006</v>
      </c>
      <c r="J141" s="25">
        <f>INDEX('Inputs (2)'!$D$16:$AL$16,MATCH(J$7,'Inputs (2)'!$D$2:$AL$2,0))</f>
        <v>31967</v>
      </c>
      <c r="K141" s="25">
        <f>INDEX('Inputs (2)'!$D$16:$AL$16,MATCH(K$7,'Inputs (2)'!$D$2:$AL$2,0))</f>
        <v>34047</v>
      </c>
      <c r="L141" s="25">
        <f>INDEX('Inputs (2)'!$D$16:$AL$16,MATCH(L$7,'Inputs (2)'!$D$2:$AL$2,0))</f>
        <v>39304</v>
      </c>
      <c r="M141" s="3">
        <f>L141</f>
        <v>39304</v>
      </c>
      <c r="N141" s="25">
        <f>INDEX('Inputs (2)'!$D$16:$AL$16,MATCH(N$7,'Inputs (2)'!$D$2:$AL$2,0))</f>
        <v>34703</v>
      </c>
      <c r="O141" s="25">
        <f>INDEX('Inputs (2)'!$D$16:$AL$16,MATCH(O$7,'Inputs (2)'!$D$2:$AL$2,0))</f>
        <v>35707</v>
      </c>
      <c r="P141" s="25">
        <f>INDEX('Inputs (2)'!$D$16:$AL$16,MATCH(P$7,'Inputs (2)'!$D$2:$AL$2,0))</f>
        <v>34697</v>
      </c>
      <c r="Q141" s="25">
        <f>INDEX('Inputs (2)'!$D$16:$AL$16,MATCH(Q$7,'Inputs (2)'!$D$2:$AL$2,0))</f>
        <v>40258</v>
      </c>
      <c r="R141" s="3">
        <f>Q141</f>
        <v>40258</v>
      </c>
      <c r="S141" s="25">
        <f>INDEX('Inputs (2)'!$D$16:$AL$16,MATCH(S$7,'Inputs (2)'!$D$2:$AL$2,0))</f>
        <v>36036</v>
      </c>
      <c r="T141" s="25">
        <f>INDEX('Inputs (2)'!$D$16:$AL$16,MATCH(T$7,'Inputs (2)'!$D$2:$AL$2,0))</f>
        <v>38804</v>
      </c>
      <c r="U141" s="25">
        <f>INDEX('Inputs (2)'!$D$16:$AL$16,MATCH(U$7,'Inputs (2)'!$D$2:$AL$2,0))</f>
        <v>41020</v>
      </c>
      <c r="V141" s="25">
        <f>INDEX('Inputs (2)'!$D$16:$AL$16,MATCH(V$7,'Inputs (2)'!$D$2:$AL$2,0))</f>
        <v>47964</v>
      </c>
      <c r="W141" s="3">
        <f>V141</f>
        <v>47964</v>
      </c>
      <c r="X141" s="25">
        <f>INDEX('Inputs (2)'!$D$16:$AL$16,MATCH(X$7,'Inputs (2)'!$D$2:$AL$2,0))</f>
        <v>44552</v>
      </c>
      <c r="Y141" s="25">
        <f>INDEX('Inputs (2)'!$D$16:$AL$16,MATCH(Y$7,'Inputs (2)'!$D$2:$AL$2,0))</f>
        <v>47087</v>
      </c>
      <c r="Z141" s="25">
        <f>INDEX('Inputs (2)'!$D$16:$AL$16,MATCH(Z$7,'Inputs (2)'!$D$2:$AL$2,0))</f>
        <v>49104</v>
      </c>
      <c r="AA141" s="25">
        <f>INDEX('Inputs (2)'!$D$16:$AL$16,MATCH(AA$7,'Inputs (2)'!$D$2:$AL$2,0))</f>
        <v>52340</v>
      </c>
      <c r="AB141" s="3">
        <f>AA141</f>
        <v>52340</v>
      </c>
      <c r="AC141" s="25">
        <f>INDEX('Inputs (2)'!$D$16:$AL$16,MATCH(AC$7,'Inputs (2)'!$D$2:$AL$2,0))</f>
        <v>51000</v>
      </c>
      <c r="AD141" s="25">
        <f>INDEX('Inputs (2)'!$D$16:$AL$16,MATCH(AD$7,'Inputs (2)'!$D$2:$AL$2,0))</f>
        <v>55048</v>
      </c>
      <c r="AE141" s="25">
        <f>INDEX('Inputs (2)'!$D$16:$AL$16,MATCH(AE$7,'Inputs (2)'!$D$2:$AL$2,0))</f>
        <v>57148</v>
      </c>
      <c r="AF141" s="25">
        <f>INDEX('Inputs (2)'!$D$16:$AL$16,MATCH(AF$7,'Inputs (2)'!$D$2:$AL$2,0))</f>
        <v>62886</v>
      </c>
      <c r="AG141" s="3">
        <f>AF141</f>
        <v>62886</v>
      </c>
      <c r="AH141" s="3">
        <f>INDEX('Inputs (2)'!$D$16:$AL$16,MATCH(AH$7,'Inputs (2)'!$D$2:$AL$2,0))</f>
        <v>62999</v>
      </c>
      <c r="AI141" s="3">
        <f>INDEX('Inputs (2)'!$D$16:$AL$16,MATCH(AI$7,'Inputs (2)'!$D$2:$AL$2,0))</f>
        <v>69175</v>
      </c>
      <c r="AJ141" s="3">
        <f>(AJ142/(AJ$5-AI$5))*AJ$15</f>
        <v>0</v>
      </c>
      <c r="AK141" s="3">
        <f>(AK142/(AK$5-AJ$5))*AK$15</f>
        <v>0</v>
      </c>
      <c r="AL141" s="3">
        <f>AK141</f>
        <v>0</v>
      </c>
      <c r="AM141" s="3">
        <f>(AM142/(AM$5-AL$5))*AM$15</f>
        <v>0</v>
      </c>
      <c r="AN141" s="3">
        <f>(AN142/(AN$5-AM$5))*AN$15</f>
        <v>0</v>
      </c>
      <c r="AO141" s="3">
        <f>(AO142/(AO$5-AN$5))*AO$15</f>
        <v>0</v>
      </c>
      <c r="AP141" s="3">
        <f>(AP142/(AP$5-AO$5))*AP$15</f>
        <v>0</v>
      </c>
      <c r="AQ141" s="3">
        <f>AP141</f>
        <v>0</v>
      </c>
      <c r="AR141" s="3">
        <f>(AR142/(AR$5-AQ$5))*AR$15</f>
        <v>0</v>
      </c>
      <c r="AS141" s="3">
        <f>(AS142/(AS$5-AR$5))*AS$15</f>
        <v>0</v>
      </c>
      <c r="AT141" s="3">
        <f>(AT142/(AT$5-AS$5))*AT$15</f>
        <v>0</v>
      </c>
      <c r="AU141" s="3">
        <f>(AU142/(AU$5-AT$5))*AU$15</f>
        <v>0</v>
      </c>
      <c r="AV141" s="3">
        <f>AU141</f>
        <v>0</v>
      </c>
      <c r="AW141" s="3">
        <f>(AW142/(AW$5-AV$5))*AW$15</f>
        <v>0</v>
      </c>
      <c r="AX141" s="3">
        <f>(AX142/(AX$5-AW$5))*AX$15</f>
        <v>0</v>
      </c>
      <c r="AY141" s="3">
        <f>(AY142/(AY$5-AX$5))*AY$15</f>
        <v>0</v>
      </c>
      <c r="AZ141" s="3">
        <f>(AZ142/(AZ$5-AY$5))*AZ$15</f>
        <v>0</v>
      </c>
      <c r="BA141" s="3">
        <f>AZ141</f>
        <v>0</v>
      </c>
      <c r="BB141" s="3">
        <f>(BB142/(BB$5-BA$5))*BB$15</f>
        <v>0</v>
      </c>
      <c r="BC141" s="3">
        <f>(BC142/(BC$5-BB$5))*BC$15</f>
        <v>0</v>
      </c>
      <c r="BD141" s="3">
        <f>(BD142/(BD$5-BC$5))*BD$15</f>
        <v>0</v>
      </c>
      <c r="BE141" s="3">
        <f>(BE142/(BE$5-BD$5))*BE$15</f>
        <v>0</v>
      </c>
      <c r="BF141" s="3">
        <f>BE141</f>
        <v>0</v>
      </c>
      <c r="BG141" s="3">
        <f>(BG142/(BG$5-BF$5))*BG$15</f>
        <v>0</v>
      </c>
      <c r="BH141" s="3">
        <f>(BH142/(BH$5-BG$5))*BH$15</f>
        <v>0</v>
      </c>
      <c r="BI141" s="3">
        <f>(BI142/(BI$5-BH$5))*BI$15</f>
        <v>0</v>
      </c>
      <c r="BJ141" s="3">
        <f>(BJ142/(BJ$5-BI$5))*BJ$15</f>
        <v>0</v>
      </c>
      <c r="BK141" s="3">
        <f>BJ141</f>
        <v>0</v>
      </c>
      <c r="BL141" s="3">
        <f>(BL142/(BL$5-BK$5))*BL$15</f>
        <v>0</v>
      </c>
      <c r="BM141" s="3">
        <f>(BM142/(BM$5-BL$5))*BM$15</f>
        <v>0</v>
      </c>
      <c r="BN141" s="3">
        <f>(BN142/(BN$5-BM$5))*BN$15</f>
        <v>0</v>
      </c>
      <c r="BO141" s="3">
        <f>(BO142/(BO$5-BN$5))*BO$15</f>
        <v>0</v>
      </c>
      <c r="BP141" s="3">
        <f>BO141</f>
        <v>0</v>
      </c>
      <c r="BQ141" s="3">
        <f>(BQ142/(BQ$5-BP$5))*BQ$15</f>
        <v>0</v>
      </c>
      <c r="BR141" s="3">
        <f>(BR142/(BR$5-BQ$5))*BR$15</f>
        <v>0</v>
      </c>
      <c r="BS141" s="3">
        <f>(BS142/(BS$5-BR$5))*BS$15</f>
        <v>0</v>
      </c>
      <c r="BT141" s="3">
        <f>(BT142/(BT$5-BS$5))*BT$15</f>
        <v>0</v>
      </c>
      <c r="BU141" s="3">
        <f>BT141</f>
        <v>0</v>
      </c>
      <c r="BV141" s="3">
        <f>(BV142/(BV$5-BU$5))*BV$15</f>
        <v>0</v>
      </c>
      <c r="BW141" s="3">
        <f>(BW142/(BW$5-BV$5))*BW$15</f>
        <v>0</v>
      </c>
      <c r="BX141" s="3">
        <f>(BX142/(BX$5-BW$5))*BX$15</f>
        <v>0</v>
      </c>
      <c r="BY141" s="3">
        <f>(BY142/(BY$5-BX$5))*BY$15</f>
        <v>0</v>
      </c>
      <c r="BZ141" s="3">
        <f>BY141</f>
        <v>0</v>
      </c>
      <c r="CA141" s="3">
        <f>(CA142/(CA$5-BZ$5))*CA$15</f>
        <v>0</v>
      </c>
      <c r="CB141" s="3">
        <f>(CB142/(CB$5-CA$5))*CB$15</f>
        <v>0</v>
      </c>
      <c r="CC141" s="3">
        <f>(CC142/(CC$5-CB$5))*CC$15</f>
        <v>0</v>
      </c>
      <c r="CD141" s="3">
        <f>(CD142/(CD$5-CC$5))*CD$15</f>
        <v>0</v>
      </c>
      <c r="CE141" s="3">
        <f>CD141</f>
        <v>0</v>
      </c>
      <c r="CF141" s="3">
        <f>(CF142/(CF$5-CE$5))*CF$15</f>
        <v>0</v>
      </c>
      <c r="CG141" s="3">
        <f>(CG142/(CG$5-CF$5))*CG$15</f>
        <v>0</v>
      </c>
      <c r="CH141" s="3">
        <f>(CH142/(CH$5-CG$5))*CH$15</f>
        <v>0</v>
      </c>
      <c r="CI141" s="3">
        <f>(CI142/(CI$5-CH$5))*CI$15</f>
        <v>0</v>
      </c>
      <c r="CJ141" s="3">
        <f>CI141</f>
        <v>0</v>
      </c>
      <c r="CK141" s="3">
        <f>(CK142/(CK$5-CJ$5))*CK$15</f>
        <v>0</v>
      </c>
      <c r="CL141" s="3">
        <f>(CL142/(CL$5-CK$5))*CL$15</f>
        <v>0</v>
      </c>
      <c r="CM141" s="3">
        <f>(CM142/(CM$5-CL$5))*CM$15</f>
        <v>0</v>
      </c>
      <c r="CN141" s="3">
        <f>(CN142/(CN$5-CM$5))*CN$15</f>
        <v>0</v>
      </c>
      <c r="CO141" s="3">
        <f>CN141</f>
        <v>0</v>
      </c>
      <c r="CP141" s="3">
        <f>(CP142/(CP$5-CO$5))*CP$15</f>
        <v>0</v>
      </c>
      <c r="CQ141" s="3">
        <f>(CQ142/(CQ$5-CP$5))*CQ$15</f>
        <v>0</v>
      </c>
      <c r="CR141" s="3">
        <f>(CR142/(CR$5-CQ$5))*CR$15</f>
        <v>0</v>
      </c>
      <c r="CS141" s="3">
        <f>(CS142/(CS$5-CR$5))*CS$15</f>
        <v>0</v>
      </c>
      <c r="CT141" s="3">
        <f>CS141</f>
        <v>0</v>
      </c>
      <c r="CU141" s="3">
        <f>(CU142/(CU$5-CT$5))*CU$15</f>
        <v>0</v>
      </c>
      <c r="CV141" s="3">
        <f>(CV142/(CV$5-CU$5))*CV$15</f>
        <v>0</v>
      </c>
      <c r="CW141" s="3">
        <f>(CW142/(CW$5-CV$5))*CW$15</f>
        <v>0</v>
      </c>
      <c r="CX141" s="3">
        <f>(CX142/(CX$5-CW$5))*CX$15</f>
        <v>0</v>
      </c>
      <c r="CY141" s="3">
        <f>CX141</f>
        <v>0</v>
      </c>
    </row>
    <row r="142" hidden="1" outlineLevel="1">
      <c r="C142" s="34" t="inlineStr">
        <is>
          <t>DSO</t>
        </is>
      </c>
      <c r="D142" s="3" t="n"/>
      <c r="E142" s="3">
        <f>(E141/E$15)*(E$5-D$5)</f>
        <v>50.3770791445805</v>
      </c>
      <c r="F142" s="3">
        <f>(F141/F$15)*(F$5-E$5)</f>
        <v>49.6632230957486</v>
      </c>
      <c r="G142" s="3">
        <f>(G141/G$15)*(G$5-F$5)</f>
        <v>50.0115997047348</v>
      </c>
      <c r="H142" s="3" t="n"/>
      <c r="I142" s="3">
        <f>(I141/I$15)*(I$5-H$5)</f>
        <v>45.5678490074845</v>
      </c>
      <c r="J142" s="3">
        <f>(J141/J$15)*(J$5-I$5)</f>
        <v>47.0102941176471</v>
      </c>
      <c r="K142" s="3">
        <f>(K141/K$15)*(K$5-J$5)</f>
        <v>48.1022758684235</v>
      </c>
      <c r="L142" s="3">
        <f>(L141/L$15)*(L$5-K$5)</f>
        <v>48.0048854961832</v>
      </c>
      <c r="M142" s="3" t="n"/>
      <c r="N142" s="3">
        <f>(N141/N$15)*(N$5-M$5)</f>
        <v>45.9230124538678</v>
      </c>
      <c r="O142" s="3">
        <f>(O141/O$15)*(O$5-N$5)</f>
        <v>46.6289301858363</v>
      </c>
      <c r="P142" s="3">
        <f>(P141/P$15)*(P$5-O$5)</f>
        <v>46.2010652463382</v>
      </c>
      <c r="Q142" s="3">
        <f>(Q141/Q$15)*(Q$5-P$5)</f>
        <v>48.702608878603</v>
      </c>
      <c r="R142" s="3" t="n"/>
      <c r="S142" s="3">
        <f>(S141/S$15)*(S$5-R$5)</f>
        <v>46.4734119535157</v>
      </c>
      <c r="T142" s="3">
        <f>(T141/T$15)*(T$5-S$5)</f>
        <v>47.3321001554876</v>
      </c>
      <c r="U142" s="3">
        <f>(U141/U$15)*(U$5-T$5)</f>
        <v>49.2070984314083</v>
      </c>
      <c r="V142" s="3">
        <f>(V141/V$15)*(V$5-U$5)</f>
        <v>51.1260340632604</v>
      </c>
      <c r="W142" s="3" t="n"/>
      <c r="X142" s="3">
        <f>(X141/X$15)*(X$5-W$5)</f>
        <v>50.3387427209178</v>
      </c>
      <c r="Y142" s="3">
        <f>(Y141/Y$15)*(Y$5-X$5)</f>
        <v>50.564265653395</v>
      </c>
      <c r="Z142" s="3">
        <f>(Z141/Z$15)*(Z$5-Y$5)</f>
        <v>51.1801332306159</v>
      </c>
      <c r="AA142" s="3">
        <f>(AA141/AA$15)*(AA$5-Z$5)</f>
        <v>49.9153095813163</v>
      </c>
      <c r="AB142" s="3" t="n"/>
      <c r="AC142" s="3">
        <f>(AC141/AC$15)*(AC$5-AB$5)</f>
        <v>50.8677438659485</v>
      </c>
      <c r="AD142" s="3">
        <f>(AD141/AD$15)*(AD$5-AC$5)</f>
        <v>51.9493093292405</v>
      </c>
      <c r="AE142" s="3">
        <f>(AE141/AE$15)*(AE$5-AD$5)</f>
        <v>51.3709964238954</v>
      </c>
      <c r="AF142" s="6">
        <f>(AF141/AF$15)*(AF$5-AE$5)</f>
        <v>50.8263447803284</v>
      </c>
      <c r="AG142" s="3" t="n"/>
      <c r="AH142" s="6">
        <f>(AH141/AH$15)*(AH$5-AG$5)</f>
        <v>51.5934155929242</v>
      </c>
      <c r="AI142" s="6">
        <f>(AI141/AI$15)*(AI$5-AH$5)</f>
        <v>52.5470382984407</v>
      </c>
      <c r="AJ142" s="6" t="n"/>
      <c r="AK142" s="6" t="n"/>
      <c r="AL142" s="3" t="n"/>
      <c r="AM142" s="6" t="n"/>
      <c r="AN142" s="6" t="n"/>
      <c r="AO142" s="6" t="n"/>
      <c r="AP142" s="6" t="n"/>
      <c r="AQ142" s="3" t="n"/>
      <c r="AR142" s="6" t="n"/>
      <c r="AS142" s="6" t="n"/>
      <c r="AT142" s="6" t="n"/>
      <c r="AU142" s="6" t="n"/>
      <c r="AV142" s="3" t="n"/>
      <c r="AW142" s="6" t="n"/>
      <c r="AX142" s="6" t="n"/>
      <c r="AY142" s="6" t="n"/>
      <c r="AZ142" s="6" t="n"/>
      <c r="BA142" s="3" t="n"/>
      <c r="BB142" s="6" t="n"/>
      <c r="BC142" s="6" t="n"/>
      <c r="BD142" s="6" t="n"/>
      <c r="BE142" s="6" t="n"/>
      <c r="BF142" s="3" t="n"/>
      <c r="BG142" s="6" t="n"/>
      <c r="BH142" s="6" t="n"/>
      <c r="BI142" s="6" t="n"/>
      <c r="BJ142" s="6" t="n"/>
      <c r="BK142" s="3" t="n"/>
      <c r="BL142" s="6" t="n"/>
      <c r="BM142" s="6" t="n"/>
      <c r="BN142" s="6" t="n"/>
      <c r="BO142" s="6" t="n"/>
      <c r="BP142" s="3" t="n"/>
      <c r="BQ142" s="6" t="n"/>
      <c r="BR142" s="6" t="n"/>
      <c r="BS142" s="6" t="n"/>
      <c r="BT142" s="6" t="n"/>
      <c r="BU142" s="3" t="n"/>
      <c r="BV142" s="6" t="n"/>
      <c r="BW142" s="6" t="n"/>
      <c r="BX142" s="6" t="n"/>
      <c r="BY142" s="6" t="n"/>
      <c r="BZ142" s="3" t="n"/>
      <c r="CA142" s="6" t="n"/>
      <c r="CB142" s="6" t="n"/>
      <c r="CC142" s="6" t="n"/>
      <c r="CD142" s="6" t="n"/>
      <c r="CE142" s="3" t="n"/>
      <c r="CF142" s="6" t="n"/>
      <c r="CG142" s="6" t="n"/>
      <c r="CH142" s="6" t="n"/>
      <c r="CI142" s="6" t="n"/>
      <c r="CJ142" s="3" t="n"/>
      <c r="CK142" s="6" t="n"/>
      <c r="CL142" s="6" t="n"/>
      <c r="CM142" s="6" t="n"/>
      <c r="CN142" s="6" t="n"/>
      <c r="CO142" s="3" t="n"/>
      <c r="CP142" s="6" t="n"/>
      <c r="CQ142" s="6" t="n"/>
      <c r="CR142" s="6" t="n"/>
      <c r="CS142" s="6" t="n"/>
      <c r="CT142" s="3" t="n"/>
      <c r="CU142" s="6" t="n"/>
      <c r="CV142" s="6" t="n"/>
      <c r="CW142" s="6" t="n"/>
      <c r="CX142" s="6" t="n"/>
      <c r="CY142" s="3" t="n"/>
    </row>
    <row r="143" hidden="1" outlineLevel="1">
      <c r="C143" s="34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 hidden="1" outlineLevel="1">
      <c r="C144" s="34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  <c r="CU144" s="3" t="n"/>
      <c r="CV144" s="3" t="n"/>
      <c r="CW144" s="3" t="n"/>
      <c r="CX144" s="3" t="n"/>
      <c r="CY144" s="3" t="n"/>
    </row>
    <row r="145" collapsed="1">
      <c r="C145" s="26" t="inlineStr">
        <is>
          <t>Inventories</t>
        </is>
      </c>
      <c r="D145" s="25">
        <f>INDEX('Inputs (2)'!$D$17:$AL$17,MATCH(D$7,'Inputs (2)'!$D$2:$AL$2,0))</f>
        <v>889</v>
      </c>
      <c r="E145" s="25">
        <f>INDEX('Inputs (2)'!$D$17:$AL$17,MATCH(E$7,'Inputs (2)'!$D$2:$AL$2,0))</f>
        <v>815</v>
      </c>
      <c r="F145" s="25">
        <f>INDEX('Inputs (2)'!$D$17:$AL$17,MATCH(F$7,'Inputs (2)'!$D$2:$AL$2,0))</f>
        <v>835</v>
      </c>
      <c r="G145" s="25">
        <f>INDEX('Inputs (2)'!$D$17:$AL$17,MATCH(G$7,'Inputs (2)'!$D$2:$AL$2,0))</f>
        <v>728</v>
      </c>
      <c r="H145" s="3">
        <f>G145</f>
        <v>728</v>
      </c>
      <c r="I145" s="25">
        <f>INDEX('Inputs (2)'!$D$17:$AL$17,MATCH(I$7,'Inputs (2)'!$D$2:$AL$2,0))</f>
        <v>888</v>
      </c>
      <c r="J145" s="25">
        <f>INDEX('Inputs (2)'!$D$17:$AL$17,MATCH(J$7,'Inputs (2)'!$D$2:$AL$2,0))</f>
        <v>907</v>
      </c>
      <c r="K145" s="25">
        <f>INDEX('Inputs (2)'!$D$17:$AL$17,MATCH(K$7,'Inputs (2)'!$D$2:$AL$2,0))</f>
        <v>1278</v>
      </c>
      <c r="L145" s="25">
        <f>INDEX('Inputs (2)'!$D$17:$AL$17,MATCH(L$7,'Inputs (2)'!$D$2:$AL$2,0))</f>
        <v>1170</v>
      </c>
      <c r="M145" s="3">
        <f>L145</f>
        <v>1170</v>
      </c>
      <c r="N145" s="25">
        <f>INDEX('Inputs (2)'!$D$17:$AL$17,MATCH(N$7,'Inputs (2)'!$D$2:$AL$2,0))</f>
        <v>1369</v>
      </c>
      <c r="O145" s="25">
        <f>INDEX('Inputs (2)'!$D$17:$AL$17,MATCH(O$7,'Inputs (2)'!$D$2:$AL$2,0))</f>
        <v>1980</v>
      </c>
      <c r="P145" s="25">
        <f>INDEX('Inputs (2)'!$D$17:$AL$17,MATCH(P$7,'Inputs (2)'!$D$2:$AL$2,0))</f>
        <v>3156</v>
      </c>
      <c r="Q145" s="25">
        <f>INDEX('Inputs (2)'!$D$17:$AL$17,MATCH(Q$7,'Inputs (2)'!$D$2:$AL$2,0))</f>
        <v>2670</v>
      </c>
      <c r="R145" s="3">
        <f>Q145</f>
        <v>2670</v>
      </c>
      <c r="S145" s="25">
        <f>INDEX('Inputs (2)'!$D$17:$AL$17,MATCH(S$7,'Inputs (2)'!$D$2:$AL$2,0))</f>
        <v>2315</v>
      </c>
      <c r="T145" s="25">
        <f>INDEX('Inputs (2)'!$D$17:$AL$17,MATCH(T$7,'Inputs (2)'!$D$2:$AL$2,0))</f>
        <v>2231</v>
      </c>
      <c r="U145" s="25">
        <f>INDEX('Inputs (2)'!$D$17:$AL$17,MATCH(U$7,'Inputs (2)'!$D$2:$AL$2,0))</f>
        <v>2957</v>
      </c>
      <c r="V145" s="25">
        <f>INDEX('Inputs (2)'!$D$17:$AL$17,MATCH(V$7,'Inputs (2)'!$D$2:$AL$2,0))</f>
        <v>0</v>
      </c>
      <c r="W145" s="3">
        <f>V145</f>
        <v>0</v>
      </c>
      <c r="X145" s="25">
        <f>INDEX('Inputs (2)'!$D$17:$AL$17,MATCH(X$7,'Inputs (2)'!$D$2:$AL$2,0))</f>
        <v>0</v>
      </c>
      <c r="Y145" s="25">
        <f>INDEX('Inputs (2)'!$D$17:$AL$17,MATCH(Y$7,'Inputs (2)'!$D$2:$AL$2,0))</f>
        <v>0</v>
      </c>
      <c r="Z145" s="25">
        <f>INDEX('Inputs (2)'!$D$17:$AL$17,MATCH(Z$7,'Inputs (2)'!$D$2:$AL$2,0))</f>
        <v>0</v>
      </c>
      <c r="AA145" s="25">
        <f>INDEX('Inputs (2)'!$D$17:$AL$17,MATCH(AA$7,'Inputs (2)'!$D$2:$AL$2,0))</f>
        <v>0</v>
      </c>
      <c r="AB145" s="3">
        <f>AA145</f>
        <v>0</v>
      </c>
      <c r="AC145" s="25">
        <f>INDEX('Inputs (2)'!$D$17:$AL$17,MATCH(AC$7,'Inputs (2)'!$D$2:$AL$2,0))</f>
        <v>0</v>
      </c>
      <c r="AD145" s="25">
        <f>INDEX('Inputs (2)'!$D$17:$AL$17,MATCH(AD$7,'Inputs (2)'!$D$2:$AL$2,0))</f>
        <v>0</v>
      </c>
      <c r="AE145" s="25">
        <f>INDEX('Inputs (2)'!$D$17:$AL$17,MATCH(AE$7,'Inputs (2)'!$D$2:$AL$2,0))</f>
        <v>0</v>
      </c>
      <c r="AF145" s="25">
        <f>INDEX('Inputs (2)'!$D$17:$AL$17,MATCH(AF$7,'Inputs (2)'!$D$2:$AL$2,0))</f>
        <v>0</v>
      </c>
      <c r="AG145" s="3">
        <f>AF145</f>
        <v>0</v>
      </c>
      <c r="AH145" s="3">
        <f>INDEX('Inputs (2)'!$D$17:$AL$17,MATCH(AH$7,'Inputs (2)'!$D$2:$AL$2,0))</f>
        <v>0</v>
      </c>
      <c r="AI145" s="3">
        <f>INDEX('Inputs (2)'!$D$17:$AL$17,MATCH(AI$7,'Inputs (2)'!$D$2:$AL$2,0))</f>
        <v>9991</v>
      </c>
      <c r="AJ145" s="3">
        <f>(AJ146/(AJ$5-AI$5))*-AJ$50</f>
        <v>0</v>
      </c>
      <c r="AK145" s="3">
        <f>(AK146/(AK$5-AJ$5))*-AK$50</f>
        <v>0</v>
      </c>
      <c r="AL145" s="3">
        <f>AK145</f>
        <v>0</v>
      </c>
      <c r="AM145" s="3">
        <f>(AM146/(AM$5-AL$5))*-AM$50</f>
        <v>0</v>
      </c>
      <c r="AN145" s="3">
        <f>(AN146/(AN$5-AM$5))*-AN$50</f>
        <v>0</v>
      </c>
      <c r="AO145" s="3">
        <f>(AO146/(AO$5-AN$5))*-AO$50</f>
        <v>0</v>
      </c>
      <c r="AP145" s="3">
        <f>(AP146/(AP$5-AO$5))*-AP$50</f>
        <v>0</v>
      </c>
      <c r="AQ145" s="3">
        <f>AP145</f>
        <v>0</v>
      </c>
      <c r="AR145" s="3">
        <f>(AR146/(AR$5-AQ$5))*-AR$50</f>
        <v>0</v>
      </c>
      <c r="AS145" s="3">
        <f>(AS146/(AS$5-AR$5))*-AS$50</f>
        <v>0</v>
      </c>
      <c r="AT145" s="3">
        <f>(AT146/(AT$5-AS$5))*-AT$50</f>
        <v>0</v>
      </c>
      <c r="AU145" s="3">
        <f>(AU146/(AU$5-AT$5))*-AU$50</f>
        <v>0</v>
      </c>
      <c r="AV145" s="3">
        <f>AU145</f>
        <v>0</v>
      </c>
      <c r="AW145" s="3">
        <f>(AW146/(AW$5-AV$5))*-AW$50</f>
        <v>0</v>
      </c>
      <c r="AX145" s="3">
        <f>(AX146/(AX$5-AW$5))*-AX$50</f>
        <v>0</v>
      </c>
      <c r="AY145" s="3">
        <f>(AY146/(AY$5-AX$5))*-AY$50</f>
        <v>0</v>
      </c>
      <c r="AZ145" s="3">
        <f>(AZ146/(AZ$5-AY$5))*-AZ$50</f>
        <v>0</v>
      </c>
      <c r="BA145" s="3">
        <f>AZ145</f>
        <v>0</v>
      </c>
      <c r="BB145" s="3">
        <f>(BB146/(BB$5-BA$5))*-BB$50</f>
        <v>0</v>
      </c>
      <c r="BC145" s="3">
        <f>(BC146/(BC$5-BB$5))*-BC$50</f>
        <v>0</v>
      </c>
      <c r="BD145" s="3">
        <f>(BD146/(BD$5-BC$5))*-BD$50</f>
        <v>0</v>
      </c>
      <c r="BE145" s="3">
        <f>(BE146/(BE$5-BD$5))*-BE$50</f>
        <v>0</v>
      </c>
      <c r="BF145" s="3">
        <f>BE145</f>
        <v>0</v>
      </c>
      <c r="BG145" s="3">
        <f>(BG146/(BG$5-BF$5))*-BG$50</f>
        <v>0</v>
      </c>
      <c r="BH145" s="3">
        <f>(BH146/(BH$5-BG$5))*-BH$50</f>
        <v>0</v>
      </c>
      <c r="BI145" s="3">
        <f>(BI146/(BI$5-BH$5))*-BI$50</f>
        <v>0</v>
      </c>
      <c r="BJ145" s="3">
        <f>(BJ146/(BJ$5-BI$5))*-BJ$50</f>
        <v>0</v>
      </c>
      <c r="BK145" s="3">
        <f>BJ145</f>
        <v>0</v>
      </c>
      <c r="BL145" s="3">
        <f>(BL146/(BL$5-BK$5))*-BL$50</f>
        <v>0</v>
      </c>
      <c r="BM145" s="3">
        <f>(BM146/(BM$5-BL$5))*-BM$50</f>
        <v>0</v>
      </c>
      <c r="BN145" s="3">
        <f>(BN146/(BN$5-BM$5))*-BN$50</f>
        <v>0</v>
      </c>
      <c r="BO145" s="3">
        <f>(BO146/(BO$5-BN$5))*-BO$50</f>
        <v>0</v>
      </c>
      <c r="BP145" s="3">
        <f>BO145</f>
        <v>0</v>
      </c>
      <c r="BQ145" s="3">
        <f>(BQ146/(BQ$5-BP$5))*-BQ$50</f>
        <v>0</v>
      </c>
      <c r="BR145" s="3">
        <f>(BR146/(BR$5-BQ$5))*-BR$50</f>
        <v>0</v>
      </c>
      <c r="BS145" s="3">
        <f>(BS146/(BS$5-BR$5))*-BS$50</f>
        <v>0</v>
      </c>
      <c r="BT145" s="3">
        <f>(BT146/(BT$5-BS$5))*-BT$50</f>
        <v>0</v>
      </c>
      <c r="BU145" s="3">
        <f>BT145</f>
        <v>0</v>
      </c>
      <c r="BV145" s="3">
        <f>(BV146/(BV$5-BU$5))*-BV$50</f>
        <v>0</v>
      </c>
      <c r="BW145" s="3">
        <f>(BW146/(BW$5-BV$5))*-BW$50</f>
        <v>0</v>
      </c>
      <c r="BX145" s="3">
        <f>(BX146/(BX$5-BW$5))*-BX$50</f>
        <v>0</v>
      </c>
      <c r="BY145" s="3">
        <f>(BY146/(BY$5-BX$5))*-BY$50</f>
        <v>0</v>
      </c>
      <c r="BZ145" s="3">
        <f>BY145</f>
        <v>0</v>
      </c>
      <c r="CA145" s="3">
        <f>(CA146/(CA$5-BZ$5))*-CA$50</f>
        <v>0</v>
      </c>
      <c r="CB145" s="3">
        <f>(CB146/(CB$5-CA$5))*-CB$50</f>
        <v>0</v>
      </c>
      <c r="CC145" s="3">
        <f>(CC146/(CC$5-CB$5))*-CC$50</f>
        <v>0</v>
      </c>
      <c r="CD145" s="3">
        <f>(CD146/(CD$5-CC$5))*-CD$50</f>
        <v>0</v>
      </c>
      <c r="CE145" s="3">
        <f>CD145</f>
        <v>0</v>
      </c>
      <c r="CF145" s="3">
        <f>(CF146/(CF$5-CE$5))*-CF$50</f>
        <v>0</v>
      </c>
      <c r="CG145" s="3">
        <f>(CG146/(CG$5-CF$5))*-CG$50</f>
        <v>0</v>
      </c>
      <c r="CH145" s="3">
        <f>(CH146/(CH$5-CG$5))*-CH$50</f>
        <v>0</v>
      </c>
      <c r="CI145" s="3">
        <f>(CI146/(CI$5-CH$5))*-CI$50</f>
        <v>0</v>
      </c>
      <c r="CJ145" s="3">
        <f>CI145</f>
        <v>0</v>
      </c>
      <c r="CK145" s="3">
        <f>(CK146/(CK$5-CJ$5))*-CK$50</f>
        <v>0</v>
      </c>
      <c r="CL145" s="3">
        <f>(CL146/(CL$5-CK$5))*-CL$50</f>
        <v>0</v>
      </c>
      <c r="CM145" s="3">
        <f>(CM146/(CM$5-CL$5))*-CM$50</f>
        <v>0</v>
      </c>
      <c r="CN145" s="3">
        <f>(CN146/(CN$5-CM$5))*-CN$50</f>
        <v>0</v>
      </c>
      <c r="CO145" s="3">
        <f>CN145</f>
        <v>0</v>
      </c>
      <c r="CP145" s="3">
        <f>(CP146/(CP$5-CO$5))*-CP$50</f>
        <v>0</v>
      </c>
      <c r="CQ145" s="3">
        <f>(CQ146/(CQ$5-CP$5))*-CQ$50</f>
        <v>0</v>
      </c>
      <c r="CR145" s="3">
        <f>(CR146/(CR$5-CQ$5))*-CR$50</f>
        <v>0</v>
      </c>
      <c r="CS145" s="3">
        <f>(CS146/(CS$5-CR$5))*-CS$50</f>
        <v>0</v>
      </c>
      <c r="CT145" s="3">
        <f>CS145</f>
        <v>0</v>
      </c>
      <c r="CU145" s="3">
        <f>(CU146/(CU$5-CT$5))*-CU$50</f>
        <v>0</v>
      </c>
      <c r="CV145" s="3">
        <f>(CV146/(CV$5-CU$5))*-CV$50</f>
        <v>0</v>
      </c>
      <c r="CW145" s="3">
        <f>(CW146/(CW$5-CV$5))*-CW$50</f>
        <v>0</v>
      </c>
      <c r="CX145" s="3">
        <f>(CX146/(CX$5-CW$5))*-CX$50</f>
        <v>0</v>
      </c>
      <c r="CY145" s="3">
        <f>CX145</f>
        <v>0</v>
      </c>
    </row>
    <row r="146" hidden="1" outlineLevel="1">
      <c r="C146" s="34" t="inlineStr">
        <is>
          <t>DIO</t>
        </is>
      </c>
      <c r="D146" s="3" t="n"/>
      <c r="E146" s="3">
        <f>((E145/E$50)*(E$5-D$5))*-1</f>
        <v>3.997466716973</v>
      </c>
      <c r="F146" s="3">
        <f>((F145/F$50)*(F$5-E$5))*-1</f>
        <v>3.63782734289909</v>
      </c>
      <c r="G146" s="3">
        <f>((G145/G$50)*(G$5-F$5))*-1</f>
        <v>2.5680981595092</v>
      </c>
      <c r="H146" s="3" t="n"/>
      <c r="I146" s="3">
        <f>((I145/I$50)*(I$5-H$5))*-1</f>
        <v>3.31576982118408</v>
      </c>
      <c r="J146" s="3">
        <f>((J145/J$50)*(J$5-I$5))*-1</f>
        <v>3.14702405917566</v>
      </c>
      <c r="K146" s="3">
        <f>((K145/K$50)*(K$5-J$5))*-1</f>
        <v>4.25676115998697</v>
      </c>
      <c r="L146" s="3">
        <f>((L145/L$50)*(L$5-K$5))*-1</f>
        <v>3.26300472899236</v>
      </c>
      <c r="M146" s="3" t="n"/>
      <c r="N146" s="3">
        <f>((N145/N$50)*(N$5-M$5))*-1</f>
        <v>4.16264062975101</v>
      </c>
      <c r="O146" s="3">
        <f>((O145/O$50)*(O$5-N$5))*-1</f>
        <v>5.98525112941802</v>
      </c>
      <c r="P146" s="3">
        <f>((P145/P$50)*(P$5-O$5))*-1</f>
        <v>9.31869824764106</v>
      </c>
      <c r="Q146" s="3">
        <f>((Q145/Q$50)*(Q$5-P$5))*-1</f>
        <v>6.95037066379945</v>
      </c>
      <c r="R146" s="3" t="n"/>
      <c r="S146" s="3">
        <f>((S145/S$50)*(S$5-R$5))*-1</f>
        <v>6.80615444923559</v>
      </c>
      <c r="T146" s="3">
        <f>((T145/T$50)*(T$5-S$5))*-1</f>
        <v>6.36110414838952</v>
      </c>
      <c r="U146" s="3">
        <f>((U145/U$50)*(U$5-T$5))*-1</f>
        <v>8.18694513828283</v>
      </c>
      <c r="V146" s="3">
        <f>((V145/V$50)*(V$5-U$5))*-1</f>
        <v>0</v>
      </c>
      <c r="W146" s="3" t="n"/>
      <c r="X146" s="3">
        <f>((X145/X$50)*(X$5-W$5))*-1</f>
        <v>0</v>
      </c>
      <c r="Y146" s="3">
        <f>((Y145/Y$50)*(Y$5-X$5))*-1</f>
        <v>0</v>
      </c>
      <c r="Z146" s="3">
        <f>((Z145/Z$50)*(Z$5-Y$5))*-1</f>
        <v>0</v>
      </c>
      <c r="AA146" s="3">
        <f>((AA145/AA$50)*(AA$5-Z$5))*-1</f>
        <v>0</v>
      </c>
      <c r="AB146" s="3" t="n"/>
      <c r="AC146" s="3">
        <f>((AC145/AC$50)*(AC$5-AB$5))*-1</f>
        <v>0</v>
      </c>
      <c r="AD146" s="3">
        <f>((AD145/AD$50)*(AD$5-AC$5))*-1</f>
        <v>0</v>
      </c>
      <c r="AE146" s="3">
        <f>((AE145/AE$50)*(AE$5-AD$5))*-1</f>
        <v>0</v>
      </c>
      <c r="AF146" s="6">
        <f>((AF145/AF$50)*(AF$5-AE$5))*-1</f>
        <v>0</v>
      </c>
      <c r="AG146" s="3" t="n"/>
      <c r="AH146" s="6">
        <f>((AH145/AH$50)*(AH$5-AG$5))*-1</f>
        <v>0</v>
      </c>
      <c r="AI146" s="6">
        <f>((AI145/AI$50)*(AI$5-AH$5))*-1</f>
        <v>19.7893259038374</v>
      </c>
      <c r="AJ146" s="6" t="n"/>
      <c r="AK146" s="6" t="n"/>
      <c r="AL146" s="3" t="n"/>
      <c r="AM146" s="6" t="n"/>
      <c r="AN146" s="6" t="n"/>
      <c r="AO146" s="6" t="n"/>
      <c r="AP146" s="6" t="n"/>
      <c r="AQ146" s="3" t="n"/>
      <c r="AR146" s="6" t="n"/>
      <c r="AS146" s="6" t="n"/>
      <c r="AT146" s="6" t="n"/>
      <c r="AU146" s="6" t="n"/>
      <c r="AV146" s="3" t="n"/>
      <c r="AW146" s="6" t="n"/>
      <c r="AX146" s="6" t="n"/>
      <c r="AY146" s="6" t="n"/>
      <c r="AZ146" s="6" t="n"/>
      <c r="BA146" s="3" t="n"/>
      <c r="BB146" s="6" t="n"/>
      <c r="BC146" s="6" t="n"/>
      <c r="BD146" s="6" t="n"/>
      <c r="BE146" s="6" t="n"/>
      <c r="BF146" s="3" t="n"/>
      <c r="BG146" s="6" t="n"/>
      <c r="BH146" s="6" t="n"/>
      <c r="BI146" s="6" t="n"/>
      <c r="BJ146" s="6" t="n"/>
      <c r="BK146" s="3" t="n"/>
      <c r="BL146" s="6" t="n"/>
      <c r="BM146" s="6" t="n"/>
      <c r="BN146" s="6" t="n"/>
      <c r="BO146" s="6" t="n"/>
      <c r="BP146" s="3" t="n"/>
      <c r="BQ146" s="6" t="n"/>
      <c r="BR146" s="6" t="n"/>
      <c r="BS146" s="6" t="n"/>
      <c r="BT146" s="6" t="n"/>
      <c r="BU146" s="3" t="n"/>
      <c r="BV146" s="6" t="n"/>
      <c r="BW146" s="6" t="n"/>
      <c r="BX146" s="6" t="n"/>
      <c r="BY146" s="6" t="n"/>
      <c r="BZ146" s="3" t="n"/>
      <c r="CA146" s="6" t="n"/>
      <c r="CB146" s="6" t="n"/>
      <c r="CC146" s="6" t="n"/>
      <c r="CD146" s="6" t="n"/>
      <c r="CE146" s="3" t="n"/>
      <c r="CF146" s="6" t="n"/>
      <c r="CG146" s="6" t="n"/>
      <c r="CH146" s="6" t="n"/>
      <c r="CI146" s="6" t="n"/>
      <c r="CJ146" s="3" t="n"/>
      <c r="CK146" s="6" t="n"/>
      <c r="CL146" s="6" t="n"/>
      <c r="CM146" s="6" t="n"/>
      <c r="CN146" s="6" t="n"/>
      <c r="CO146" s="3" t="n"/>
      <c r="CP146" s="6" t="n"/>
      <c r="CQ146" s="6" t="n"/>
      <c r="CR146" s="6" t="n"/>
      <c r="CS146" s="6" t="n"/>
      <c r="CT146" s="3" t="n"/>
      <c r="CU146" s="6" t="n"/>
      <c r="CV146" s="6" t="n"/>
      <c r="CW146" s="6" t="n"/>
      <c r="CX146" s="6" t="n"/>
      <c r="CY146" s="3" t="n"/>
    </row>
    <row r="147" hidden="1" outlineLevel="1">
      <c r="C147" s="34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</row>
    <row r="148" hidden="1" outlineLevel="1">
      <c r="C148" s="34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  <c r="CU148" s="3" t="n"/>
      <c r="CV148" s="3" t="n"/>
      <c r="CW148" s="3" t="n"/>
      <c r="CX148" s="3" t="n"/>
      <c r="CY148" s="3" t="n"/>
    </row>
    <row r="149" collapsed="1">
      <c r="C149" s="26" t="inlineStr">
        <is>
          <t>Deferred income taxes</t>
        </is>
      </c>
      <c r="D149" s="25">
        <f>INDEX('Inputs (2)'!$D$18:$AL$18,MATCH(D$7,'Inputs (2)'!$D$2:$AL$2,0))</f>
        <v>730</v>
      </c>
      <c r="E149" s="25">
        <f>INDEX('Inputs (2)'!$D$18:$AL$18,MATCH(E$7,'Inputs (2)'!$D$2:$AL$2,0))</f>
        <v>895</v>
      </c>
      <c r="F149" s="25">
        <f>INDEX('Inputs (2)'!$D$18:$AL$18,MATCH(F$7,'Inputs (2)'!$D$2:$AL$2,0))</f>
        <v>972</v>
      </c>
      <c r="G149" s="25">
        <f>INDEX('Inputs (2)'!$D$18:$AL$18,MATCH(G$7,'Inputs (2)'!$D$2:$AL$2,0))</f>
        <v>1084</v>
      </c>
      <c r="H149" s="3">
        <f>G149</f>
        <v>1084</v>
      </c>
      <c r="I149" s="25">
        <f>INDEX('Inputs (2)'!$D$18:$AL$18,MATCH(I$7,'Inputs (2)'!$D$2:$AL$2,0))</f>
        <v>1129</v>
      </c>
      <c r="J149" s="25">
        <f>INDEX('Inputs (2)'!$D$18:$AL$18,MATCH(J$7,'Inputs (2)'!$D$2:$AL$2,0))</f>
        <v>1153</v>
      </c>
      <c r="K149" s="25">
        <f>INDEX('Inputs (2)'!$D$18:$AL$18,MATCH(K$7,'Inputs (2)'!$D$2:$AL$2,0))</f>
        <v>1195</v>
      </c>
      <c r="L149" s="25">
        <f>INDEX('Inputs (2)'!$D$18:$AL$18,MATCH(L$7,'Inputs (2)'!$D$2:$AL$2,0))</f>
        <v>1284</v>
      </c>
      <c r="M149" s="3">
        <f>L149</f>
        <v>1284</v>
      </c>
      <c r="N149" s="25">
        <f>INDEX('Inputs (2)'!$D$18:$AL$18,MATCH(N$7,'Inputs (2)'!$D$2:$AL$2,0))</f>
        <v>1388</v>
      </c>
      <c r="O149" s="25">
        <f>INDEX('Inputs (2)'!$D$18:$AL$18,MATCH(O$7,'Inputs (2)'!$D$2:$AL$2,0))</f>
        <v>1490</v>
      </c>
      <c r="P149" s="25">
        <f>INDEX('Inputs (2)'!$D$18:$AL$18,MATCH(P$7,'Inputs (2)'!$D$2:$AL$2,0))</f>
        <v>2991</v>
      </c>
      <c r="Q149" s="25">
        <f>INDEX('Inputs (2)'!$D$18:$AL$18,MATCH(Q$7,'Inputs (2)'!$D$2:$AL$2,0))</f>
        <v>5261</v>
      </c>
      <c r="R149" s="3">
        <f>Q149</f>
        <v>5261</v>
      </c>
      <c r="S149" s="25">
        <f>INDEX('Inputs (2)'!$D$18:$AL$18,MATCH(S$7,'Inputs (2)'!$D$2:$AL$2,0))</f>
        <v>6885</v>
      </c>
      <c r="T149" s="25">
        <f>INDEX('Inputs (2)'!$D$18:$AL$18,MATCH(T$7,'Inputs (2)'!$D$2:$AL$2,0))</f>
        <v>9357</v>
      </c>
      <c r="U149" s="25">
        <f>INDEX('Inputs (2)'!$D$18:$AL$18,MATCH(U$7,'Inputs (2)'!$D$2:$AL$2,0))</f>
        <v>10983</v>
      </c>
      <c r="V149" s="25">
        <f>INDEX('Inputs (2)'!$D$18:$AL$18,MATCH(V$7,'Inputs (2)'!$D$2:$AL$2,0))</f>
        <v>12169</v>
      </c>
      <c r="W149" s="3">
        <f>V149</f>
        <v>12169</v>
      </c>
      <c r="X149" s="25">
        <f>INDEX('Inputs (2)'!$D$18:$AL$18,MATCH(X$7,'Inputs (2)'!$D$2:$AL$2,0))</f>
        <v>11687</v>
      </c>
      <c r="Y149" s="25">
        <f>INDEX('Inputs (2)'!$D$18:$AL$18,MATCH(Y$7,'Inputs (2)'!$D$2:$AL$2,0))</f>
        <v>14958</v>
      </c>
      <c r="Z149" s="25">
        <f>INDEX('Inputs (2)'!$D$18:$AL$18,MATCH(Z$7,'Inputs (2)'!$D$2:$AL$2,0))</f>
        <v>15915</v>
      </c>
      <c r="AA149" s="25">
        <f>INDEX('Inputs (2)'!$D$18:$AL$18,MATCH(AA$7,'Inputs (2)'!$D$2:$AL$2,0))</f>
        <v>17180</v>
      </c>
      <c r="AB149" s="3">
        <f>AA149</f>
        <v>17180</v>
      </c>
      <c r="AC149" s="25">
        <f>INDEX('Inputs (2)'!$D$18:$AL$18,MATCH(AC$7,'Inputs (2)'!$D$2:$AL$2,0))</f>
        <v>18386</v>
      </c>
      <c r="AD149" s="25">
        <f>INDEX('Inputs (2)'!$D$18:$AL$18,MATCH(AD$7,'Inputs (2)'!$D$2:$AL$2,0))</f>
        <v>19289</v>
      </c>
      <c r="AE149" s="25">
        <f>INDEX('Inputs (2)'!$D$18:$AL$18,MATCH(AE$7,'Inputs (2)'!$D$2:$AL$2,0))</f>
        <v>10331</v>
      </c>
      <c r="AF149" s="25">
        <f>INDEX('Inputs (2)'!$D$18:$AL$18,MATCH(AF$7,'Inputs (2)'!$D$2:$AL$2,0))</f>
        <v>9113</v>
      </c>
      <c r="AG149" s="3">
        <f>AF149</f>
        <v>9113</v>
      </c>
      <c r="AH149" s="3">
        <f>INDEX('Inputs (2)'!$D$18:$AL$18,MATCH(AH$7,'Inputs (2)'!$D$2:$AL$2,0))</f>
        <v>1995</v>
      </c>
      <c r="AI149" s="3">
        <f>INDEX('Inputs (2)'!$D$18:$AL$18,MATCH(AI$7,'Inputs (2)'!$D$2:$AL$2,0))</f>
        <v>1448</v>
      </c>
      <c r="AJ149" s="3">
        <f>AI149</f>
        <v>1448</v>
      </c>
      <c r="AK149" s="3">
        <f>AJ149</f>
        <v>1448</v>
      </c>
      <c r="AL149" s="3">
        <f>AK149</f>
        <v>1448</v>
      </c>
      <c r="AM149" s="3">
        <f>AL149</f>
        <v>1448</v>
      </c>
      <c r="AN149" s="3">
        <f>AM149</f>
        <v>1448</v>
      </c>
      <c r="AO149" s="3">
        <f>AN149</f>
        <v>1448</v>
      </c>
      <c r="AP149" s="3">
        <f>AO149</f>
        <v>1448</v>
      </c>
      <c r="AQ149" s="3">
        <f>AP149</f>
        <v>1448</v>
      </c>
      <c r="AR149" s="3">
        <f>AQ149</f>
        <v>1448</v>
      </c>
      <c r="AS149" s="3">
        <f>AR149</f>
        <v>1448</v>
      </c>
      <c r="AT149" s="3">
        <f>AS149</f>
        <v>1448</v>
      </c>
      <c r="AU149" s="3">
        <f>AT149</f>
        <v>1448</v>
      </c>
      <c r="AV149" s="3">
        <f>AU149</f>
        <v>1448</v>
      </c>
      <c r="AW149" s="3">
        <f>AV149</f>
        <v>1448</v>
      </c>
      <c r="AX149" s="3">
        <f>AW149</f>
        <v>1448</v>
      </c>
      <c r="AY149" s="3">
        <f>AX149</f>
        <v>1448</v>
      </c>
      <c r="AZ149" s="3">
        <f>AY149</f>
        <v>1448</v>
      </c>
      <c r="BA149" s="3">
        <f>AZ149</f>
        <v>1448</v>
      </c>
      <c r="BB149" s="3">
        <f>BA149</f>
        <v>1448</v>
      </c>
      <c r="BC149" s="3">
        <f>BB149</f>
        <v>1448</v>
      </c>
      <c r="BD149" s="3">
        <f>BC149</f>
        <v>1448</v>
      </c>
      <c r="BE149" s="3">
        <f>BD149</f>
        <v>1448</v>
      </c>
      <c r="BF149" s="3">
        <f>BE149</f>
        <v>1448</v>
      </c>
      <c r="BG149" s="3">
        <f>BF149</f>
        <v>1448</v>
      </c>
      <c r="BH149" s="3">
        <f>BG149</f>
        <v>1448</v>
      </c>
      <c r="BI149" s="3">
        <f>BH149</f>
        <v>1448</v>
      </c>
      <c r="BJ149" s="3">
        <f>BI149</f>
        <v>1448</v>
      </c>
      <c r="BK149" s="3">
        <f>BJ149</f>
        <v>1448</v>
      </c>
      <c r="BL149" s="3">
        <f>BK149</f>
        <v>1448</v>
      </c>
      <c r="BM149" s="3">
        <f>BL149</f>
        <v>1448</v>
      </c>
      <c r="BN149" s="3">
        <f>BM149</f>
        <v>1448</v>
      </c>
      <c r="BO149" s="3">
        <f>BN149</f>
        <v>1448</v>
      </c>
      <c r="BP149" s="3">
        <f>BO149</f>
        <v>1448</v>
      </c>
      <c r="BQ149" s="3">
        <f>BP149</f>
        <v>1448</v>
      </c>
      <c r="BR149" s="3">
        <f>BQ149</f>
        <v>1448</v>
      </c>
      <c r="BS149" s="3">
        <f>BR149</f>
        <v>1448</v>
      </c>
      <c r="BT149" s="3">
        <f>BS149</f>
        <v>1448</v>
      </c>
      <c r="BU149" s="3">
        <f>BT149</f>
        <v>1448</v>
      </c>
      <c r="BV149" s="3">
        <f>BU149</f>
        <v>1448</v>
      </c>
      <c r="BW149" s="3">
        <f>BV149</f>
        <v>1448</v>
      </c>
      <c r="BX149" s="3">
        <f>BW149</f>
        <v>1448</v>
      </c>
      <c r="BY149" s="3">
        <f>BX149</f>
        <v>1448</v>
      </c>
      <c r="BZ149" s="3">
        <f>BY149</f>
        <v>1448</v>
      </c>
      <c r="CA149" s="3">
        <f>BZ149</f>
        <v>1448</v>
      </c>
      <c r="CB149" s="3">
        <f>CA149</f>
        <v>1448</v>
      </c>
      <c r="CC149" s="3">
        <f>CB149</f>
        <v>1448</v>
      </c>
      <c r="CD149" s="3">
        <f>CC149</f>
        <v>1448</v>
      </c>
      <c r="CE149" s="3">
        <f>CD149</f>
        <v>1448</v>
      </c>
      <c r="CF149" s="3">
        <f>CE149</f>
        <v>1448</v>
      </c>
      <c r="CG149" s="3">
        <f>CF149</f>
        <v>1448</v>
      </c>
      <c r="CH149" s="3">
        <f>CG149</f>
        <v>1448</v>
      </c>
      <c r="CI149" s="3">
        <f>CH149</f>
        <v>1448</v>
      </c>
      <c r="CJ149" s="3">
        <f>CI149</f>
        <v>1448</v>
      </c>
      <c r="CK149" s="3">
        <f>CJ149</f>
        <v>1448</v>
      </c>
      <c r="CL149" s="3">
        <f>CK149</f>
        <v>1448</v>
      </c>
      <c r="CM149" s="3">
        <f>CL149</f>
        <v>1448</v>
      </c>
      <c r="CN149" s="3">
        <f>CM149</f>
        <v>1448</v>
      </c>
      <c r="CO149" s="3">
        <f>CN149</f>
        <v>1448</v>
      </c>
      <c r="CP149" s="3">
        <f>CO149</f>
        <v>1448</v>
      </c>
      <c r="CQ149" s="3">
        <f>CP149</f>
        <v>1448</v>
      </c>
      <c r="CR149" s="3">
        <f>CQ149</f>
        <v>1448</v>
      </c>
      <c r="CS149" s="3">
        <f>CR149</f>
        <v>1448</v>
      </c>
      <c r="CT149" s="3">
        <f>CS149</f>
        <v>1448</v>
      </c>
      <c r="CU149" s="3">
        <f>CT149</f>
        <v>1448</v>
      </c>
      <c r="CV149" s="3">
        <f>CU149</f>
        <v>1448</v>
      </c>
      <c r="CW149" s="3">
        <f>CV149</f>
        <v>1448</v>
      </c>
      <c r="CX149" s="3">
        <f>CW149</f>
        <v>1448</v>
      </c>
      <c r="CY149" s="3">
        <f>CX149</f>
        <v>1448</v>
      </c>
    </row>
    <row r="150">
      <c r="C150" s="26" t="inlineStr">
        <is>
          <t>Prepaid expenses</t>
        </is>
      </c>
      <c r="D150" s="25" t="n"/>
      <c r="E150" s="25" t="n"/>
      <c r="F150" s="25" t="n"/>
      <c r="G150" s="25" t="n"/>
      <c r="H150" s="3">
        <f>G150</f>
        <v>0</v>
      </c>
      <c r="I150" s="25" t="n"/>
      <c r="J150" s="25" t="n"/>
      <c r="K150" s="25" t="n"/>
      <c r="L150" s="25" t="n"/>
      <c r="M150" s="3">
        <f>L150</f>
        <v>0</v>
      </c>
      <c r="N150" s="25" t="n"/>
      <c r="O150" s="25" t="n"/>
      <c r="P150" s="25" t="n"/>
      <c r="Q150" s="25" t="n"/>
      <c r="R150" s="3">
        <f>Q150</f>
        <v>0</v>
      </c>
      <c r="S150" s="25" t="n"/>
      <c r="T150" s="25" t="n"/>
      <c r="U150" s="25" t="n"/>
      <c r="V150" s="25" t="n"/>
      <c r="W150" s="3">
        <f>V150</f>
        <v>0</v>
      </c>
      <c r="X150" s="25" t="n"/>
      <c r="Y150" s="25" t="n"/>
      <c r="Z150" s="25" t="n"/>
      <c r="AA150" s="25" t="n"/>
      <c r="AB150" s="3">
        <f>AA150</f>
        <v>0</v>
      </c>
      <c r="AC150" s="25" t="n"/>
      <c r="AD150" s="25" t="n"/>
      <c r="AE150" s="25" t="n"/>
      <c r="AF150" s="25" t="n"/>
      <c r="AG150" s="3">
        <f>AF150</f>
        <v>0</v>
      </c>
      <c r="AH150" s="3">
        <f>AG150</f>
        <v>0</v>
      </c>
      <c r="AI150" s="3">
        <f>AH150</f>
        <v>0</v>
      </c>
      <c r="AJ150" s="3">
        <f>AI150</f>
        <v>0</v>
      </c>
      <c r="AK150" s="3">
        <f>AJ150</f>
        <v>0</v>
      </c>
      <c r="AL150" s="3">
        <f>AK150</f>
        <v>0</v>
      </c>
      <c r="AM150" s="3">
        <f>AL150</f>
        <v>0</v>
      </c>
      <c r="AN150" s="3">
        <f>AM150</f>
        <v>0</v>
      </c>
      <c r="AO150" s="3">
        <f>AN150</f>
        <v>0</v>
      </c>
      <c r="AP150" s="3">
        <f>AO150</f>
        <v>0</v>
      </c>
      <c r="AQ150" s="3">
        <f>AP150</f>
        <v>0</v>
      </c>
      <c r="AR150" s="3">
        <f>AQ150</f>
        <v>0</v>
      </c>
      <c r="AS150" s="3">
        <f>AR150</f>
        <v>0</v>
      </c>
      <c r="AT150" s="3">
        <f>AS150</f>
        <v>0</v>
      </c>
      <c r="AU150" s="3">
        <f>AT150</f>
        <v>0</v>
      </c>
      <c r="AV150" s="3">
        <f>AU150</f>
        <v>0</v>
      </c>
      <c r="AW150" s="3">
        <f>AV150</f>
        <v>0</v>
      </c>
      <c r="AX150" s="3">
        <f>AW150</f>
        <v>0</v>
      </c>
      <c r="AY150" s="3">
        <f>AX150</f>
        <v>0</v>
      </c>
      <c r="AZ150" s="3">
        <f>AY150</f>
        <v>0</v>
      </c>
      <c r="BA150" s="3">
        <f>AZ150</f>
        <v>0</v>
      </c>
      <c r="BB150" s="3">
        <f>BA150</f>
        <v>0</v>
      </c>
      <c r="BC150" s="3">
        <f>BB150</f>
        <v>0</v>
      </c>
      <c r="BD150" s="3">
        <f>BC150</f>
        <v>0</v>
      </c>
      <c r="BE150" s="3">
        <f>BD150</f>
        <v>0</v>
      </c>
      <c r="BF150" s="3">
        <f>BE150</f>
        <v>0</v>
      </c>
      <c r="BG150" s="3">
        <f>BF150</f>
        <v>0</v>
      </c>
      <c r="BH150" s="3">
        <f>BG150</f>
        <v>0</v>
      </c>
      <c r="BI150" s="3">
        <f>BH150</f>
        <v>0</v>
      </c>
      <c r="BJ150" s="3">
        <f>BI150</f>
        <v>0</v>
      </c>
      <c r="BK150" s="3">
        <f>BJ150</f>
        <v>0</v>
      </c>
      <c r="BL150" s="3">
        <f>BK150</f>
        <v>0</v>
      </c>
      <c r="BM150" s="3">
        <f>BL150</f>
        <v>0</v>
      </c>
      <c r="BN150" s="3">
        <f>BM150</f>
        <v>0</v>
      </c>
      <c r="BO150" s="3">
        <f>BN150</f>
        <v>0</v>
      </c>
      <c r="BP150" s="3">
        <f>BO150</f>
        <v>0</v>
      </c>
      <c r="BQ150" s="3">
        <f>BP150</f>
        <v>0</v>
      </c>
      <c r="BR150" s="3">
        <f>BQ150</f>
        <v>0</v>
      </c>
      <c r="BS150" s="3">
        <f>BR150</f>
        <v>0</v>
      </c>
      <c r="BT150" s="3">
        <f>BS150</f>
        <v>0</v>
      </c>
      <c r="BU150" s="3">
        <f>BT150</f>
        <v>0</v>
      </c>
      <c r="BV150" s="3">
        <f>BU150</f>
        <v>0</v>
      </c>
      <c r="BW150" s="3">
        <f>BV150</f>
        <v>0</v>
      </c>
      <c r="BX150" s="3">
        <f>BW150</f>
        <v>0</v>
      </c>
      <c r="BY150" s="3">
        <f>BX150</f>
        <v>0</v>
      </c>
      <c r="BZ150" s="3">
        <f>BY150</f>
        <v>0</v>
      </c>
      <c r="CA150" s="3">
        <f>BZ150</f>
        <v>0</v>
      </c>
      <c r="CB150" s="3">
        <f>CA150</f>
        <v>0</v>
      </c>
      <c r="CC150" s="3">
        <f>CB150</f>
        <v>0</v>
      </c>
      <c r="CD150" s="3">
        <f>CC150</f>
        <v>0</v>
      </c>
      <c r="CE150" s="3">
        <f>CD150</f>
        <v>0</v>
      </c>
      <c r="CF150" s="3">
        <f>CE150</f>
        <v>0</v>
      </c>
      <c r="CG150" s="3">
        <f>CF150</f>
        <v>0</v>
      </c>
      <c r="CH150" s="3">
        <f>CG150</f>
        <v>0</v>
      </c>
      <c r="CI150" s="3">
        <f>CH150</f>
        <v>0</v>
      </c>
      <c r="CJ150" s="3">
        <f>CI150</f>
        <v>0</v>
      </c>
      <c r="CK150" s="3">
        <f>CJ150</f>
        <v>0</v>
      </c>
      <c r="CL150" s="3">
        <f>CK150</f>
        <v>0</v>
      </c>
      <c r="CM150" s="3">
        <f>CL150</f>
        <v>0</v>
      </c>
      <c r="CN150" s="3">
        <f>CM150</f>
        <v>0</v>
      </c>
      <c r="CO150" s="3">
        <f>CN150</f>
        <v>0</v>
      </c>
      <c r="CP150" s="3">
        <f>CO150</f>
        <v>0</v>
      </c>
      <c r="CQ150" s="3">
        <f>CP150</f>
        <v>0</v>
      </c>
      <c r="CR150" s="3">
        <f>CQ150</f>
        <v>0</v>
      </c>
      <c r="CS150" s="3">
        <f>CR150</f>
        <v>0</v>
      </c>
      <c r="CT150" s="3">
        <f>CS150</f>
        <v>0</v>
      </c>
      <c r="CU150" s="3">
        <f>CT150</f>
        <v>0</v>
      </c>
      <c r="CV150" s="3">
        <f>CU150</f>
        <v>0</v>
      </c>
      <c r="CW150" s="3">
        <f>CV150</f>
        <v>0</v>
      </c>
      <c r="CX150" s="3">
        <f>CW150</f>
        <v>0</v>
      </c>
      <c r="CY150" s="3">
        <f>CX150</f>
        <v>0</v>
      </c>
    </row>
    <row r="151">
      <c r="C151" s="26" t="inlineStr">
        <is>
          <t>Other current assets</t>
        </is>
      </c>
      <c r="D151" s="25">
        <f>INDEX('Inputs (2)'!$D$20:$AL$20,MATCH(D$7,'Inputs (2)'!$D$2:$AL$2,0))</f>
        <v>7075</v>
      </c>
      <c r="E151" s="25">
        <f>INDEX('Inputs (2)'!$D$20:$AL$20,MATCH(E$7,'Inputs (2)'!$D$2:$AL$2,0))</f>
        <v>5973</v>
      </c>
      <c r="F151" s="25">
        <f>INDEX('Inputs (2)'!$D$20:$AL$20,MATCH(F$7,'Inputs (2)'!$D$2:$AL$2,0))</f>
        <v>6013</v>
      </c>
      <c r="G151" s="25">
        <f>INDEX('Inputs (2)'!$D$20:$AL$20,MATCH(G$7,'Inputs (2)'!$D$2:$AL$2,0))</f>
        <v>5944</v>
      </c>
      <c r="H151" s="3">
        <f>G151</f>
        <v>5944</v>
      </c>
      <c r="I151" s="25">
        <f>INDEX('Inputs (2)'!$D$20:$AL$20,MATCH(I$7,'Inputs (2)'!$D$2:$AL$2,0))</f>
        <v>8139</v>
      </c>
      <c r="J151" s="25">
        <f>INDEX('Inputs (2)'!$D$20:$AL$20,MATCH(J$7,'Inputs (2)'!$D$2:$AL$2,0))</f>
        <v>6960</v>
      </c>
      <c r="K151" s="25">
        <f>INDEX('Inputs (2)'!$D$20:$AL$20,MATCH(K$7,'Inputs (2)'!$D$2:$AL$2,0))</f>
        <v>6782</v>
      </c>
      <c r="L151" s="25">
        <f>INDEX('Inputs (2)'!$D$20:$AL$20,MATCH(L$7,'Inputs (2)'!$D$2:$AL$2,0))</f>
        <v>8020</v>
      </c>
      <c r="M151" s="3">
        <f>L151</f>
        <v>8020</v>
      </c>
      <c r="N151" s="25">
        <f>INDEX('Inputs (2)'!$D$20:$AL$20,MATCH(N$7,'Inputs (2)'!$D$2:$AL$2,0))</f>
        <v>7811</v>
      </c>
      <c r="O151" s="25">
        <f>INDEX('Inputs (2)'!$D$20:$AL$20,MATCH(O$7,'Inputs (2)'!$D$2:$AL$2,0))</f>
        <v>9687</v>
      </c>
      <c r="P151" s="25">
        <f>INDEX('Inputs (2)'!$D$20:$AL$20,MATCH(P$7,'Inputs (2)'!$D$2:$AL$2,0))</f>
        <v>11997</v>
      </c>
      <c r="Q151" s="25">
        <f>INDEX('Inputs (2)'!$D$20:$AL$20,MATCH(Q$7,'Inputs (2)'!$D$2:$AL$2,0))</f>
        <v>8105</v>
      </c>
      <c r="R151" s="3">
        <f>Q151</f>
        <v>8105</v>
      </c>
      <c r="S151" s="25">
        <f>INDEX('Inputs (2)'!$D$20:$AL$20,MATCH(S$7,'Inputs (2)'!$D$2:$AL$2,0))</f>
        <v>8532</v>
      </c>
      <c r="T151" s="25">
        <f>INDEX('Inputs (2)'!$D$20:$AL$20,MATCH(T$7,'Inputs (2)'!$D$2:$AL$2,0))</f>
        <v>9421</v>
      </c>
      <c r="U151" s="25">
        <f>INDEX('Inputs (2)'!$D$20:$AL$20,MATCH(U$7,'Inputs (2)'!$D$2:$AL$2,0))</f>
        <v>12398</v>
      </c>
      <c r="V151" s="25">
        <f>INDEX('Inputs (2)'!$D$20:$AL$20,MATCH(V$7,'Inputs (2)'!$D$2:$AL$2,0))</f>
        <v>12650</v>
      </c>
      <c r="W151" s="3">
        <f>V151</f>
        <v>12650</v>
      </c>
      <c r="X151" s="25">
        <f>INDEX('Inputs (2)'!$D$20:$AL$20,MATCH(X$7,'Inputs (2)'!$D$2:$AL$2,0))</f>
        <v>12829</v>
      </c>
      <c r="Y151" s="25">
        <f>INDEX('Inputs (2)'!$D$20:$AL$20,MATCH(Y$7,'Inputs (2)'!$D$2:$AL$2,0))</f>
        <v>14183</v>
      </c>
      <c r="Z151" s="25">
        <f>INDEX('Inputs (2)'!$D$20:$AL$20,MATCH(Z$7,'Inputs (2)'!$D$2:$AL$2,0))</f>
        <v>15207</v>
      </c>
      <c r="AA151" s="25">
        <f>INDEX('Inputs (2)'!$D$20:$AL$20,MATCH(AA$7,'Inputs (2)'!$D$2:$AL$2,0))</f>
        <v>15714</v>
      </c>
      <c r="AB151" s="3">
        <f>AA151</f>
        <v>15714</v>
      </c>
      <c r="AC151" s="25">
        <f>INDEX('Inputs (2)'!$D$20:$AL$20,MATCH(AC$7,'Inputs (2)'!$D$2:$AL$2,0))</f>
        <v>15724</v>
      </c>
      <c r="AD151" s="25">
        <f>INDEX('Inputs (2)'!$D$20:$AL$20,MATCH(AD$7,'Inputs (2)'!$D$2:$AL$2,0))</f>
        <v>16020</v>
      </c>
      <c r="AE151" s="25">
        <f>INDEX('Inputs (2)'!$D$20:$AL$20,MATCH(AE$7,'Inputs (2)'!$D$2:$AL$2,0))</f>
        <v>18303</v>
      </c>
      <c r="AF151" s="25">
        <f>INDEX('Inputs (2)'!$D$20:$AL$20,MATCH(AF$7,'Inputs (2)'!$D$2:$AL$2,0))</f>
        <v>16309</v>
      </c>
      <c r="AG151" s="3">
        <f>AF151</f>
        <v>16309</v>
      </c>
      <c r="AH151" s="3">
        <f>INDEX('Inputs (2)'!$D$20:$AL$20,MATCH(AH$7,'Inputs (2)'!$D$2:$AL$2,0))</f>
        <v>23914</v>
      </c>
      <c r="AI151" s="3">
        <f>INDEX('Inputs (2)'!$D$20:$AL$20,MATCH(AI$7,'Inputs (2)'!$D$2:$AL$2,0))</f>
        <v>21884</v>
      </c>
      <c r="AJ151" s="3">
        <f>AI151</f>
        <v>21884</v>
      </c>
      <c r="AK151" s="3">
        <f>AJ151</f>
        <v>21884</v>
      </c>
      <c r="AL151" s="3">
        <f>AK151</f>
        <v>21884</v>
      </c>
      <c r="AM151" s="3">
        <f>AL151</f>
        <v>21884</v>
      </c>
      <c r="AN151" s="3">
        <f>AM151</f>
        <v>21884</v>
      </c>
      <c r="AO151" s="3">
        <f>AN151</f>
        <v>21884</v>
      </c>
      <c r="AP151" s="3">
        <f>AO151</f>
        <v>21884</v>
      </c>
      <c r="AQ151" s="3">
        <f>AP151</f>
        <v>21884</v>
      </c>
      <c r="AR151" s="3">
        <f>AQ151</f>
        <v>21884</v>
      </c>
      <c r="AS151" s="3">
        <f>AR151</f>
        <v>21884</v>
      </c>
      <c r="AT151" s="3">
        <f>AS151</f>
        <v>21884</v>
      </c>
      <c r="AU151" s="3">
        <f>AT151</f>
        <v>21884</v>
      </c>
      <c r="AV151" s="3">
        <f>AU151</f>
        <v>21884</v>
      </c>
      <c r="AW151" s="3">
        <f>AV151</f>
        <v>21884</v>
      </c>
      <c r="AX151" s="3">
        <f>AW151</f>
        <v>21884</v>
      </c>
      <c r="AY151" s="3">
        <f>AX151</f>
        <v>21884</v>
      </c>
      <c r="AZ151" s="3">
        <f>AY151</f>
        <v>21884</v>
      </c>
      <c r="BA151" s="3">
        <f>AZ151</f>
        <v>21884</v>
      </c>
      <c r="BB151" s="3">
        <f>BA151</f>
        <v>21884</v>
      </c>
      <c r="BC151" s="3">
        <f>BB151</f>
        <v>21884</v>
      </c>
      <c r="BD151" s="3">
        <f>BC151</f>
        <v>21884</v>
      </c>
      <c r="BE151" s="3">
        <f>BD151</f>
        <v>21884</v>
      </c>
      <c r="BF151" s="3">
        <f>BE151</f>
        <v>21884</v>
      </c>
      <c r="BG151" s="3">
        <f>BF151</f>
        <v>21884</v>
      </c>
      <c r="BH151" s="3">
        <f>BG151</f>
        <v>21884</v>
      </c>
      <c r="BI151" s="3">
        <f>BH151</f>
        <v>21884</v>
      </c>
      <c r="BJ151" s="3">
        <f>BI151</f>
        <v>21884</v>
      </c>
      <c r="BK151" s="3">
        <f>BJ151</f>
        <v>21884</v>
      </c>
      <c r="BL151" s="3">
        <f>BK151</f>
        <v>21884</v>
      </c>
      <c r="BM151" s="3">
        <f>BL151</f>
        <v>21884</v>
      </c>
      <c r="BN151" s="3">
        <f>BM151</f>
        <v>21884</v>
      </c>
      <c r="BO151" s="3">
        <f>BN151</f>
        <v>21884</v>
      </c>
      <c r="BP151" s="3">
        <f>BO151</f>
        <v>21884</v>
      </c>
      <c r="BQ151" s="3">
        <f>BP151</f>
        <v>21884</v>
      </c>
      <c r="BR151" s="3">
        <f>BQ151</f>
        <v>21884</v>
      </c>
      <c r="BS151" s="3">
        <f>BR151</f>
        <v>21884</v>
      </c>
      <c r="BT151" s="3">
        <f>BS151</f>
        <v>21884</v>
      </c>
      <c r="BU151" s="3">
        <f>BT151</f>
        <v>21884</v>
      </c>
      <c r="BV151" s="3">
        <f>BU151</f>
        <v>21884</v>
      </c>
      <c r="BW151" s="3">
        <f>BV151</f>
        <v>21884</v>
      </c>
      <c r="BX151" s="3">
        <f>BW151</f>
        <v>21884</v>
      </c>
      <c r="BY151" s="3">
        <f>BX151</f>
        <v>21884</v>
      </c>
      <c r="BZ151" s="3">
        <f>BY151</f>
        <v>21884</v>
      </c>
      <c r="CA151" s="3">
        <f>BZ151</f>
        <v>21884</v>
      </c>
      <c r="CB151" s="3">
        <f>CA151</f>
        <v>21884</v>
      </c>
      <c r="CC151" s="3">
        <f>CB151</f>
        <v>21884</v>
      </c>
      <c r="CD151" s="3">
        <f>CC151</f>
        <v>21884</v>
      </c>
      <c r="CE151" s="3">
        <f>CD151</f>
        <v>21884</v>
      </c>
      <c r="CF151" s="3">
        <f>CE151</f>
        <v>21884</v>
      </c>
      <c r="CG151" s="3">
        <f>CF151</f>
        <v>21884</v>
      </c>
      <c r="CH151" s="3">
        <f>CG151</f>
        <v>21884</v>
      </c>
      <c r="CI151" s="3">
        <f>CH151</f>
        <v>21884</v>
      </c>
      <c r="CJ151" s="3">
        <f>CI151</f>
        <v>21884</v>
      </c>
      <c r="CK151" s="3">
        <f>CJ151</f>
        <v>21884</v>
      </c>
      <c r="CL151" s="3">
        <f>CK151</f>
        <v>21884</v>
      </c>
      <c r="CM151" s="3">
        <f>CL151</f>
        <v>21884</v>
      </c>
      <c r="CN151" s="3">
        <f>CM151</f>
        <v>21884</v>
      </c>
      <c r="CO151" s="3">
        <f>CN151</f>
        <v>21884</v>
      </c>
      <c r="CP151" s="3">
        <f>CO151</f>
        <v>21884</v>
      </c>
      <c r="CQ151" s="3">
        <f>CP151</f>
        <v>21884</v>
      </c>
      <c r="CR151" s="3">
        <f>CQ151</f>
        <v>21884</v>
      </c>
      <c r="CS151" s="3">
        <f>CR151</f>
        <v>21884</v>
      </c>
      <c r="CT151" s="3">
        <f>CS151</f>
        <v>21884</v>
      </c>
      <c r="CU151" s="3">
        <f>CT151</f>
        <v>21884</v>
      </c>
      <c r="CV151" s="3">
        <f>CU151</f>
        <v>21884</v>
      </c>
      <c r="CW151" s="3">
        <f>CV151</f>
        <v>21884</v>
      </c>
      <c r="CX151" s="3">
        <f>CW151</f>
        <v>21884</v>
      </c>
      <c r="CY151" s="3">
        <f>CX151</f>
        <v>21884</v>
      </c>
    </row>
    <row r="152" hidden="1" outlineLevel="1">
      <c r="C152" s="38" t="inlineStr">
        <is>
          <t>%(Var.)</t>
        </is>
      </c>
      <c r="D152" s="3" t="n"/>
      <c r="E152" s="47">
        <f>(E151-D151)/D151</f>
        <v>-0.155759717314488</v>
      </c>
      <c r="F152" s="47">
        <f>(F151-E151)/E151</f>
        <v>0.00669680227691277</v>
      </c>
      <c r="G152" s="47">
        <f>(G151-F151)/F151</f>
        <v>-0.0114751372027274</v>
      </c>
      <c r="H152" s="3" t="n"/>
      <c r="I152" s="47">
        <f>(I151-H151)/H151</f>
        <v>0.369279946164199</v>
      </c>
      <c r="J152" s="47">
        <f>(J151-I151)/I151</f>
        <v>-0.14485809067453</v>
      </c>
      <c r="K152" s="47">
        <f>(K151-J151)/J151</f>
        <v>-0.0255747126436782</v>
      </c>
      <c r="L152" s="47">
        <f>(L151-K151)/K151</f>
        <v>0.182542023002064</v>
      </c>
      <c r="M152" s="3" t="n"/>
      <c r="N152" s="47">
        <f>(N151-M151)/M151</f>
        <v>-0.0260598503740648</v>
      </c>
      <c r="O152" s="47">
        <f>(O151-N151)/N151</f>
        <v>0.240174113429779</v>
      </c>
      <c r="P152" s="47">
        <f>(P151-O151)/O151</f>
        <v>0.238463920718489</v>
      </c>
      <c r="Q152" s="47">
        <f>(Q151-P151)/P151</f>
        <v>-0.324414436942569</v>
      </c>
      <c r="R152" s="3" t="n"/>
      <c r="S152" s="47">
        <f>(S151-R151)/R151</f>
        <v>0.0526835286859963</v>
      </c>
      <c r="T152" s="47">
        <f>(T151-S151)/S151</f>
        <v>0.104195968120019</v>
      </c>
      <c r="U152" s="47">
        <f>(U151-T151)/T151</f>
        <v>0.315996178749602</v>
      </c>
      <c r="V152" s="47">
        <f>(V151-U151)/U151</f>
        <v>0.0203258590095177</v>
      </c>
      <c r="W152" s="3" t="n"/>
      <c r="X152" s="47">
        <f>(X151-W151)/W151</f>
        <v>0.0141501976284585</v>
      </c>
      <c r="Y152" s="47">
        <f>(Y151-X151)/X151</f>
        <v>0.105542131109206</v>
      </c>
      <c r="Z152" s="47">
        <f>(Z151-Y151)/Y151</f>
        <v>0.0721991116124938</v>
      </c>
      <c r="AA152" s="47">
        <f>(AA151-Z151)/Z151</f>
        <v>0.033339909252318</v>
      </c>
      <c r="AB152" s="3" t="n"/>
      <c r="AC152" s="47">
        <f>(AC151-AB151)/AB151</f>
        <v>0.000636375206821942</v>
      </c>
      <c r="AD152" s="47">
        <f>(AD151-AC151)/AC151</f>
        <v>0.0188247265326889</v>
      </c>
      <c r="AE152" s="47">
        <f>(AE151-AD151)/AD151</f>
        <v>0.14250936329588</v>
      </c>
      <c r="AF152" s="218">
        <f>(AF151-AE151)/AE151</f>
        <v>-0.108943888979949</v>
      </c>
      <c r="AG152" s="3" t="n"/>
      <c r="AH152" s="3">
        <f>(AH151-AG151)/AG151</f>
        <v>0.466306947084432</v>
      </c>
      <c r="AI152" s="3">
        <f>(AI151-AH151)/AH151</f>
        <v>-0.0848875135903655</v>
      </c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  <c r="CU152" s="3" t="n"/>
      <c r="CV152" s="3" t="n"/>
      <c r="CW152" s="3" t="n"/>
      <c r="CX152" s="3" t="n"/>
      <c r="CY152" s="3" t="n"/>
    </row>
    <row r="153" hidden="1" outlineLevel="1">
      <c r="C153" s="34" t="n"/>
      <c r="D153" s="3" t="n"/>
      <c r="E153" s="47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hidden="1" outlineLevel="1">
      <c r="C154" s="52" t="inlineStr">
        <is>
          <t xml:space="preserve">Impostos e Contribuições a Recuperar </t>
        </is>
      </c>
      <c r="D154" s="6" t="n"/>
      <c r="E154" s="6" t="n"/>
      <c r="F154" s="6" t="n"/>
      <c r="G154" s="6" t="n"/>
      <c r="H154" s="3" t="n"/>
      <c r="I154" s="6" t="n"/>
      <c r="J154" s="6" t="n"/>
      <c r="K154" s="6" t="n"/>
      <c r="L154" s="6" t="n"/>
      <c r="M154" s="3" t="n"/>
      <c r="N154" s="6" t="n"/>
      <c r="O154" s="6" t="n"/>
      <c r="P154" s="6" t="n"/>
      <c r="Q154" s="6" t="n"/>
      <c r="R154" s="3" t="n"/>
      <c r="S154" s="6" t="n"/>
      <c r="T154" s="6" t="n"/>
      <c r="U154" s="6" t="n"/>
      <c r="V154" s="6" t="n"/>
      <c r="W154" s="3" t="n"/>
      <c r="X154" s="6" t="n"/>
      <c r="Y154" s="6" t="n"/>
      <c r="Z154" s="6" t="n"/>
      <c r="AA154" s="6" t="n"/>
      <c r="AB154" s="3" t="n"/>
      <c r="AC154" s="6" t="n"/>
      <c r="AD154" s="6" t="n"/>
      <c r="AE154" s="6" t="n"/>
      <c r="AF154" s="6" t="n"/>
      <c r="AG154" s="3">
        <f>AF154</f>
        <v>0</v>
      </c>
      <c r="AH154" s="216">
        <f>AG154*AH15/AG15</f>
        <v>0</v>
      </c>
      <c r="AI154" s="216">
        <f>AH154*AI15/AH15</f>
        <v>0</v>
      </c>
      <c r="AJ154" s="216">
        <f>AI154*AJ15/AI15</f>
        <v>0</v>
      </c>
      <c r="AK154" s="216">
        <f>AJ154*AK15/AJ15</f>
        <v>0</v>
      </c>
      <c r="AL154" s="3">
        <f>AK154</f>
        <v>0</v>
      </c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</row>
    <row r="155" hidden="1" outlineLevel="1">
      <c r="C155" s="52" t="inlineStr">
        <is>
          <t>Outros Créditos</t>
        </is>
      </c>
      <c r="D155" s="6" t="n"/>
      <c r="E155" s="6" t="n"/>
      <c r="F155" s="6" t="n"/>
      <c r="G155" s="6" t="n"/>
      <c r="H155" s="3" t="n"/>
      <c r="I155" s="6" t="n"/>
      <c r="J155" s="6" t="n"/>
      <c r="K155" s="6" t="n"/>
      <c r="L155" s="6" t="n"/>
      <c r="M155" s="3" t="n"/>
      <c r="N155" s="6" t="n"/>
      <c r="O155" s="6" t="n"/>
      <c r="P155" s="6" t="n"/>
      <c r="Q155" s="6" t="n"/>
      <c r="R155" s="3" t="n"/>
      <c r="S155" s="6" t="n"/>
      <c r="T155" s="6" t="n"/>
      <c r="U155" s="6" t="n"/>
      <c r="V155" s="6" t="n"/>
      <c r="W155" s="3" t="n"/>
      <c r="X155" s="6" t="n"/>
      <c r="Y155" s="6" t="n"/>
      <c r="Z155" s="6" t="n"/>
      <c r="AA155" s="6" t="n"/>
      <c r="AB155" s="3" t="n"/>
      <c r="AC155" s="6" t="n"/>
      <c r="AD155" s="6" t="n"/>
      <c r="AE155" s="6" t="n"/>
      <c r="AF155" s="6" t="n"/>
      <c r="AG155" s="3">
        <f>AF155</f>
        <v>0</v>
      </c>
      <c r="AH155" s="3">
        <f>AG155</f>
        <v>0</v>
      </c>
      <c r="AI155" s="3">
        <f>AH155</f>
        <v>0</v>
      </c>
      <c r="AJ155" s="3">
        <f>AI155</f>
        <v>0</v>
      </c>
      <c r="AK155" s="3">
        <f>AJ155</f>
        <v>0</v>
      </c>
      <c r="AL155" s="3">
        <f>AK155</f>
        <v>0</v>
      </c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  <c r="CU155" s="3" t="n"/>
      <c r="CV155" s="3" t="n"/>
      <c r="CW155" s="3" t="n"/>
      <c r="CX155" s="3" t="n"/>
      <c r="CY155" s="3" t="n"/>
    </row>
    <row r="156" hidden="1" outlineLevel="1">
      <c r="C156" s="34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/>
      <c r="CF156" s="3" t="n"/>
      <c r="CG156" s="3" t="n"/>
      <c r="CH156" s="3" t="n"/>
      <c r="CI156" s="3" t="n"/>
      <c r="CJ156" s="3" t="n"/>
      <c r="CK156" s="3" t="n"/>
      <c r="CL156" s="3" t="n"/>
      <c r="CM156" s="3" t="n"/>
      <c r="CN156" s="3" t="n"/>
      <c r="CO156" s="3" t="n"/>
      <c r="CP156" s="3" t="n"/>
      <c r="CQ156" s="3" t="n"/>
      <c r="CR156" s="3" t="n"/>
      <c r="CS156" s="3" t="n"/>
      <c r="CT156" s="3" t="n"/>
      <c r="CU156" s="3" t="n"/>
      <c r="CV156" s="3" t="n"/>
      <c r="CW156" s="3" t="n"/>
      <c r="CX156" s="3" t="n"/>
      <c r="CY156" s="3" t="n"/>
    </row>
    <row r="157" collapsed="1">
      <c r="C157" s="26" t="inlineStr">
        <is>
          <t>Equity in affiliates</t>
        </is>
      </c>
      <c r="D157" s="25" t="n"/>
      <c r="E157" s="25" t="n"/>
      <c r="F157" s="25" t="n"/>
      <c r="G157" s="25" t="n"/>
      <c r="H157" s="3">
        <f>G157</f>
        <v>0</v>
      </c>
      <c r="I157" s="25" t="n">
        <v>0</v>
      </c>
      <c r="J157" s="25" t="n">
        <v>0</v>
      </c>
      <c r="K157" s="25" t="n">
        <v>0</v>
      </c>
      <c r="L157" s="25" t="n">
        <v>0</v>
      </c>
      <c r="M157" s="3">
        <f>L157</f>
        <v>0</v>
      </c>
      <c r="N157" s="25" t="n"/>
      <c r="O157" s="25" t="n"/>
      <c r="P157" s="25" t="n"/>
      <c r="Q157" s="25" t="n"/>
      <c r="R157" s="3">
        <f>Q157</f>
        <v>0</v>
      </c>
      <c r="S157" s="25" t="n"/>
      <c r="T157" s="25" t="n"/>
      <c r="U157" s="25" t="n"/>
      <c r="V157" s="25" t="n"/>
      <c r="W157" s="3">
        <f>V157</f>
        <v>0</v>
      </c>
      <c r="X157" s="25" t="n"/>
      <c r="Y157" s="25" t="n"/>
      <c r="Z157" s="25" t="n"/>
      <c r="AA157" s="25" t="n"/>
      <c r="AB157" s="3">
        <f>AA157</f>
        <v>0</v>
      </c>
      <c r="AC157" s="25" t="n"/>
      <c r="AD157" s="25" t="n"/>
      <c r="AE157" s="25" t="n"/>
      <c r="AF157" s="25" t="n"/>
      <c r="AG157" s="3">
        <f>AF157</f>
        <v>0</v>
      </c>
      <c r="AH157" s="3">
        <f>AG157+AH131+AH160</f>
        <v>0</v>
      </c>
      <c r="AI157" s="3">
        <f>AH157+AI131+AI160</f>
        <v>0</v>
      </c>
      <c r="AJ157" s="3">
        <f>AI157+AJ131+AJ160</f>
        <v>0</v>
      </c>
      <c r="AK157" s="3">
        <f>AJ157+AK131+AK160</f>
        <v>0</v>
      </c>
      <c r="AL157" s="3">
        <f>AK157</f>
        <v>0</v>
      </c>
      <c r="AM157" s="3">
        <f>AL157+AM131+AM160</f>
        <v>0</v>
      </c>
      <c r="AN157" s="3">
        <f>AM157+AN131+AN160</f>
        <v>0</v>
      </c>
      <c r="AO157" s="3">
        <f>AN157+AO131+AO160</f>
        <v>0</v>
      </c>
      <c r="AP157" s="3">
        <f>AO157+AP131+AP160</f>
        <v>0</v>
      </c>
      <c r="AQ157" s="3">
        <f>AP157</f>
        <v>0</v>
      </c>
      <c r="AR157" s="3">
        <f>AQ157+AR131+AR160</f>
        <v>0</v>
      </c>
      <c r="AS157" s="3">
        <f>AR157+AS131+AS160</f>
        <v>0</v>
      </c>
      <c r="AT157" s="3">
        <f>AS157+AT131+AT160</f>
        <v>0</v>
      </c>
      <c r="AU157" s="3">
        <f>AT157+AU131+AU160</f>
        <v>0</v>
      </c>
      <c r="AV157" s="3">
        <f>AU157</f>
        <v>0</v>
      </c>
      <c r="AW157" s="3">
        <f>AV157+AW131+AW160</f>
        <v>0</v>
      </c>
      <c r="AX157" s="3">
        <f>AW157+AX131+AX160</f>
        <v>0</v>
      </c>
      <c r="AY157" s="3">
        <f>AX157+AY131+AY160</f>
        <v>0</v>
      </c>
      <c r="AZ157" s="3">
        <f>AY157+AZ131+AZ160</f>
        <v>0</v>
      </c>
      <c r="BA157" s="3">
        <f>AZ157</f>
        <v>0</v>
      </c>
      <c r="BB157" s="3">
        <f>BA157+BB131+BB160</f>
        <v>0</v>
      </c>
      <c r="BC157" s="3">
        <f>BB157+BC131+BC160</f>
        <v>0</v>
      </c>
      <c r="BD157" s="3">
        <f>BC157+BD131+BD160</f>
        <v>0</v>
      </c>
      <c r="BE157" s="3">
        <f>BD157+BE131+BE160</f>
        <v>0</v>
      </c>
      <c r="BF157" s="3">
        <f>BE157</f>
        <v>0</v>
      </c>
      <c r="BG157" s="3">
        <f>BF157+BG131+BG160</f>
        <v>0</v>
      </c>
      <c r="BH157" s="3">
        <f>BG157+BH131+BH160</f>
        <v>0</v>
      </c>
      <c r="BI157" s="3">
        <f>BH157+BI131+BI160</f>
        <v>0</v>
      </c>
      <c r="BJ157" s="3">
        <f>BI157+BJ131+BJ160</f>
        <v>0</v>
      </c>
      <c r="BK157" s="3">
        <f>BJ157</f>
        <v>0</v>
      </c>
      <c r="BL157" s="3">
        <f>BK157+BL131+BL160</f>
        <v>0</v>
      </c>
      <c r="BM157" s="3">
        <f>BL157+BM131+BM160</f>
        <v>0</v>
      </c>
      <c r="BN157" s="3">
        <f>BM157+BN131+BN160</f>
        <v>0</v>
      </c>
      <c r="BO157" s="3">
        <f>BN157+BO131+BO160</f>
        <v>0</v>
      </c>
      <c r="BP157" s="3">
        <f>BO157</f>
        <v>0</v>
      </c>
      <c r="BQ157" s="3">
        <f>BP157+BQ131+BQ160</f>
        <v>0</v>
      </c>
      <c r="BR157" s="3">
        <f>BQ157+BR131+BR160</f>
        <v>0</v>
      </c>
      <c r="BS157" s="3">
        <f>BR157+BS131+BS160</f>
        <v>0</v>
      </c>
      <c r="BT157" s="3">
        <f>BS157+BT131+BT160</f>
        <v>0</v>
      </c>
      <c r="BU157" s="3">
        <f>BT157</f>
        <v>0</v>
      </c>
      <c r="BV157" s="3">
        <f>BU157+BV131+BV160</f>
        <v>0</v>
      </c>
      <c r="BW157" s="3">
        <f>BV157+BW131+BW160</f>
        <v>0</v>
      </c>
      <c r="BX157" s="3">
        <f>BW157+BX131+BX160</f>
        <v>0</v>
      </c>
      <c r="BY157" s="3">
        <f>BX157+BY131+BY160</f>
        <v>0</v>
      </c>
      <c r="BZ157" s="3">
        <f>BY157</f>
        <v>0</v>
      </c>
      <c r="CA157" s="3">
        <f>BZ157+CA131+CA160</f>
        <v>0</v>
      </c>
      <c r="CB157" s="3">
        <f>CA157+CB131+CB160</f>
        <v>0</v>
      </c>
      <c r="CC157" s="3">
        <f>CB157+CC131+CC160</f>
        <v>0</v>
      </c>
      <c r="CD157" s="3">
        <f>CC157+CD131+CD160</f>
        <v>0</v>
      </c>
      <c r="CE157" s="3">
        <f>CD157</f>
        <v>0</v>
      </c>
      <c r="CF157" s="3">
        <f>CE157+CF131+CF160</f>
        <v>0</v>
      </c>
      <c r="CG157" s="3">
        <f>CF157+CG131+CG160</f>
        <v>0</v>
      </c>
      <c r="CH157" s="3">
        <f>CG157+CH131+CH160</f>
        <v>0</v>
      </c>
      <c r="CI157" s="3">
        <f>CH157+CI131+CI160</f>
        <v>0</v>
      </c>
      <c r="CJ157" s="3">
        <f>CI157</f>
        <v>0</v>
      </c>
      <c r="CK157" s="3">
        <f>CJ157+CK131+CK160</f>
        <v>0</v>
      </c>
      <c r="CL157" s="3">
        <f>CK157+CL131+CL160</f>
        <v>0</v>
      </c>
      <c r="CM157" s="3">
        <f>CL157+CM131+CM160</f>
        <v>0</v>
      </c>
      <c r="CN157" s="3">
        <f>CM157+CN131+CN160</f>
        <v>0</v>
      </c>
      <c r="CO157" s="3">
        <f>CN157</f>
        <v>0</v>
      </c>
      <c r="CP157" s="3">
        <f>CO157+CP131+CP160</f>
        <v>0</v>
      </c>
      <c r="CQ157" s="3">
        <f>CP157+CQ131+CQ160</f>
        <v>0</v>
      </c>
      <c r="CR157" s="3">
        <f>CQ157+CR131+CR160</f>
        <v>0</v>
      </c>
      <c r="CS157" s="3">
        <f>CR157+CS131+CS160</f>
        <v>0</v>
      </c>
      <c r="CT157" s="3">
        <f>CS157</f>
        <v>0</v>
      </c>
      <c r="CU157" s="3">
        <f>CT157+CU131+CU160</f>
        <v>0</v>
      </c>
      <c r="CV157" s="3">
        <f>CU157+CV131+CV160</f>
        <v>0</v>
      </c>
      <c r="CW157" s="3">
        <f>CV157+CW131+CW160</f>
        <v>0</v>
      </c>
      <c r="CX157" s="3">
        <f>CW157+CX131+CX160</f>
        <v>0</v>
      </c>
      <c r="CY157" s="3">
        <f>CX157</f>
        <v>0</v>
      </c>
    </row>
    <row r="158" hidden="1" outlineLevel="1">
      <c r="C158" s="34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hidden="1" outlineLevel="1">
      <c r="C159" s="34" t="inlineStr">
        <is>
          <t>Equity in Income - % YoY</t>
        </is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>
        <f>IF(I131=0,0,N131/I131-1)</f>
        <v>0</v>
      </c>
      <c r="O159" s="3">
        <f>IF(J131=0,0,O131/J131-1)</f>
        <v>0</v>
      </c>
      <c r="P159" s="3">
        <f>IF(K131=0,0,P131/K131-1)</f>
        <v>0</v>
      </c>
      <c r="Q159" s="3">
        <f>IF(L131=0,0,Q131/L131-1)</f>
        <v>0</v>
      </c>
      <c r="R159" s="3" t="n"/>
      <c r="S159" s="3">
        <f>IF(N131=0,0,S131/N131-1)</f>
        <v>0</v>
      </c>
      <c r="T159" s="3">
        <f>IF(O131=0,0,T131/O131-1)</f>
        <v>0</v>
      </c>
      <c r="U159" s="3">
        <f>IF(P131=0,0,U131/P131-1)</f>
        <v>0</v>
      </c>
      <c r="V159" s="3">
        <f>IF(Q131=0,0,V131/Q131-1)</f>
        <v>0</v>
      </c>
      <c r="W159" s="3" t="n"/>
      <c r="X159" s="3">
        <f>IF(S131=0,0,X131/S131-1)</f>
        <v>0</v>
      </c>
      <c r="Y159" s="3">
        <f>IF(T131=0,0,Y131/T131-1)</f>
        <v>0</v>
      </c>
      <c r="Z159" s="3">
        <f>IF(U131=0,0,Z131/U131-1)</f>
        <v>0</v>
      </c>
      <c r="AA159" s="3">
        <f>IF(V131=0,0,AA131/V131-1)</f>
        <v>0</v>
      </c>
      <c r="AB159" s="3" t="n"/>
      <c r="AC159" s="3">
        <f>IF(X131=0,0,AC131/X131-1)</f>
        <v>0</v>
      </c>
      <c r="AD159" s="3">
        <f>IF(Y131=0,0,AD131/Y131-1)</f>
        <v>0</v>
      </c>
      <c r="AE159" s="3">
        <f>IF(Z131=0,0,AE131/Z131-1)</f>
        <v>0</v>
      </c>
      <c r="AF159" s="3">
        <f>IF(AA131=0,0,AF131/AA131-1)</f>
        <v>0</v>
      </c>
      <c r="AG159" s="3" t="n"/>
      <c r="AH159" s="6">
        <f>IF(AC131=0,0,AH131/AC131-1)</f>
        <v>0</v>
      </c>
      <c r="AI159" s="6">
        <f>IF(AD131=0,0,AI131/AD131-1)</f>
        <v>0</v>
      </c>
      <c r="AJ159" s="6" t="n"/>
      <c r="AK159" s="6" t="n"/>
      <c r="AL159" s="3" t="n"/>
      <c r="AM159" s="6" t="n"/>
      <c r="AN159" s="6" t="n"/>
      <c r="AO159" s="6" t="n"/>
      <c r="AP159" s="6" t="n"/>
      <c r="AQ159" s="3" t="n"/>
      <c r="AR159" s="6" t="n"/>
      <c r="AS159" s="6" t="n"/>
      <c r="AT159" s="6" t="n"/>
      <c r="AU159" s="6" t="n"/>
      <c r="AV159" s="3" t="n"/>
      <c r="AW159" s="6" t="n"/>
      <c r="AX159" s="6" t="n"/>
      <c r="AY159" s="6" t="n"/>
      <c r="AZ159" s="6" t="n"/>
      <c r="BA159" s="3" t="n"/>
      <c r="BB159" s="6" t="n"/>
      <c r="BC159" s="6" t="n"/>
      <c r="BD159" s="6" t="n"/>
      <c r="BE159" s="6" t="n"/>
      <c r="BF159" s="3" t="n"/>
      <c r="BG159" s="6" t="n"/>
      <c r="BH159" s="6" t="n"/>
      <c r="BI159" s="6" t="n"/>
      <c r="BJ159" s="6" t="n"/>
      <c r="BK159" s="3" t="n"/>
      <c r="BL159" s="6" t="n"/>
      <c r="BM159" s="6" t="n"/>
      <c r="BN159" s="6" t="n"/>
      <c r="BO159" s="6" t="n"/>
      <c r="BP159" s="3" t="n"/>
      <c r="BQ159" s="6" t="n"/>
      <c r="BR159" s="6" t="n"/>
      <c r="BS159" s="6" t="n"/>
      <c r="BT159" s="6" t="n"/>
      <c r="BU159" s="3" t="n"/>
      <c r="BV159" s="6" t="n"/>
      <c r="BW159" s="6" t="n"/>
      <c r="BX159" s="6" t="n"/>
      <c r="BY159" s="6" t="n"/>
      <c r="BZ159" s="3" t="n"/>
      <c r="CA159" s="6" t="n"/>
      <c r="CB159" s="6" t="n"/>
      <c r="CC159" s="6" t="n"/>
      <c r="CD159" s="6" t="n"/>
      <c r="CE159" s="3" t="n"/>
      <c r="CF159" s="6" t="n"/>
      <c r="CG159" s="6" t="n"/>
      <c r="CH159" s="6" t="n"/>
      <c r="CI159" s="6" t="n"/>
      <c r="CJ159" s="3" t="n"/>
      <c r="CK159" s="6" t="n"/>
      <c r="CL159" s="6" t="n"/>
      <c r="CM159" s="6" t="n"/>
      <c r="CN159" s="6" t="n"/>
      <c r="CO159" s="3" t="n"/>
      <c r="CP159" s="6" t="n"/>
      <c r="CQ159" s="6" t="n"/>
      <c r="CR159" s="6" t="n"/>
      <c r="CS159" s="6" t="n"/>
      <c r="CT159" s="3" t="n"/>
      <c r="CU159" s="6" t="n"/>
      <c r="CV159" s="6" t="n"/>
      <c r="CW159" s="6" t="n"/>
      <c r="CX159" s="6" t="n"/>
      <c r="CY159" s="3" t="n"/>
    </row>
    <row r="160" hidden="1" outlineLevel="1">
      <c r="C160" s="34" t="inlineStr">
        <is>
          <t>Dividends (enter as -)</t>
        </is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6" t="n"/>
      <c r="AI160" s="6" t="n"/>
      <c r="AJ160" s="6" t="n"/>
      <c r="AK160" s="6" t="n"/>
      <c r="AL160" s="3" t="n"/>
      <c r="AM160" s="6" t="n"/>
      <c r="AN160" s="6" t="n"/>
      <c r="AO160" s="6" t="n"/>
      <c r="AP160" s="6" t="n"/>
      <c r="AQ160" s="3" t="n"/>
      <c r="AR160" s="6" t="n"/>
      <c r="AS160" s="6" t="n"/>
      <c r="AT160" s="6" t="n"/>
      <c r="AU160" s="6" t="n"/>
      <c r="AV160" s="3" t="n"/>
      <c r="AW160" s="6" t="n"/>
      <c r="AX160" s="6" t="n"/>
      <c r="AY160" s="6" t="n"/>
      <c r="AZ160" s="6" t="n"/>
      <c r="BA160" s="3" t="n"/>
      <c r="BB160" s="6" t="n"/>
      <c r="BC160" s="6" t="n"/>
      <c r="BD160" s="6" t="n"/>
      <c r="BE160" s="6" t="n"/>
      <c r="BF160" s="3" t="n"/>
      <c r="BG160" s="6" t="n"/>
      <c r="BH160" s="6" t="n"/>
      <c r="BI160" s="6" t="n"/>
      <c r="BJ160" s="6" t="n"/>
      <c r="BK160" s="3" t="n"/>
      <c r="BL160" s="6" t="n"/>
      <c r="BM160" s="6" t="n"/>
      <c r="BN160" s="6" t="n"/>
      <c r="BO160" s="6" t="n"/>
      <c r="BP160" s="3" t="n"/>
      <c r="BQ160" s="6" t="n"/>
      <c r="BR160" s="6" t="n"/>
      <c r="BS160" s="6" t="n"/>
      <c r="BT160" s="6" t="n"/>
      <c r="BU160" s="3" t="n"/>
      <c r="BV160" s="6" t="n"/>
      <c r="BW160" s="6" t="n"/>
      <c r="BX160" s="6" t="n"/>
      <c r="BY160" s="6" t="n"/>
      <c r="BZ160" s="3" t="n"/>
      <c r="CA160" s="6" t="n"/>
      <c r="CB160" s="6" t="n"/>
      <c r="CC160" s="6" t="n"/>
      <c r="CD160" s="6" t="n"/>
      <c r="CE160" s="3" t="n"/>
      <c r="CF160" s="6" t="n"/>
      <c r="CG160" s="6" t="n"/>
      <c r="CH160" s="6" t="n"/>
      <c r="CI160" s="6" t="n"/>
      <c r="CJ160" s="3" t="n"/>
      <c r="CK160" s="6" t="n"/>
      <c r="CL160" s="6" t="n"/>
      <c r="CM160" s="6" t="n"/>
      <c r="CN160" s="6" t="n"/>
      <c r="CO160" s="3" t="n"/>
      <c r="CP160" s="6" t="n"/>
      <c r="CQ160" s="6" t="n"/>
      <c r="CR160" s="6" t="n"/>
      <c r="CS160" s="6" t="n"/>
      <c r="CT160" s="3" t="n"/>
      <c r="CU160" s="6" t="n"/>
      <c r="CV160" s="6" t="n"/>
      <c r="CW160" s="6" t="n"/>
      <c r="CX160" s="6" t="n"/>
      <c r="CY160" s="3" t="n"/>
    </row>
    <row r="161" hidden="1" outlineLevel="1">
      <c r="C161" s="34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collapsed="1">
      <c r="C162" s="26" t="inlineStr">
        <is>
          <t>PP&amp;E</t>
        </is>
      </c>
      <c r="D162" s="25">
        <f>INDEX('Inputs (2)'!$D$22:$AL$22,MATCH(D$7,'Inputs (2)'!$D$2:$AL$2,0))</f>
        <v>76747</v>
      </c>
      <c r="E162" s="25">
        <f>INDEX('Inputs (2)'!$D$22:$AL$22,MATCH(E$7,'Inputs (2)'!$D$2:$AL$2,0))</f>
        <v>78748</v>
      </c>
      <c r="F162" s="25">
        <f>INDEX('Inputs (2)'!$D$22:$AL$22,MATCH(F$7,'Inputs (2)'!$D$2:$AL$2,0))</f>
        <v>81636</v>
      </c>
      <c r="G162" s="25">
        <f>INDEX('Inputs (2)'!$D$22:$AL$22,MATCH(G$7,'Inputs (2)'!$D$2:$AL$2,0))</f>
        <v>84749</v>
      </c>
      <c r="H162" s="3">
        <f>G162</f>
        <v>84749</v>
      </c>
      <c r="I162" s="25">
        <f>INDEX('Inputs (2)'!$D$22:$AL$22,MATCH(I$7,'Inputs (2)'!$D$2:$AL$2,0))</f>
        <v>87606</v>
      </c>
      <c r="J162" s="25">
        <f>INDEX('Inputs (2)'!$D$22:$AL$22,MATCH(J$7,'Inputs (2)'!$D$2:$AL$2,0))</f>
        <v>91697</v>
      </c>
      <c r="K162" s="25">
        <f>INDEX('Inputs (2)'!$D$22:$AL$22,MATCH(K$7,'Inputs (2)'!$D$2:$AL$2,0))</f>
        <v>94631</v>
      </c>
      <c r="L162" s="25">
        <f>INDEX('Inputs (2)'!$D$22:$AL$22,MATCH(L$7,'Inputs (2)'!$D$2:$AL$2,0))</f>
        <v>97599</v>
      </c>
      <c r="M162" s="3">
        <f>L162</f>
        <v>97599</v>
      </c>
      <c r="N162" s="25">
        <f>INDEX('Inputs (2)'!$D$22:$AL$22,MATCH(N$7,'Inputs (2)'!$D$2:$AL$2,0))</f>
        <v>104218</v>
      </c>
      <c r="O162" s="25">
        <f>INDEX('Inputs (2)'!$D$22:$AL$22,MATCH(O$7,'Inputs (2)'!$D$2:$AL$2,0))</f>
        <v>106223</v>
      </c>
      <c r="P162" s="25">
        <f>INDEX('Inputs (2)'!$D$22:$AL$22,MATCH(P$7,'Inputs (2)'!$D$2:$AL$2,0))</f>
        <v>108363</v>
      </c>
      <c r="Q162" s="25">
        <f>INDEX('Inputs (2)'!$D$22:$AL$22,MATCH(Q$7,'Inputs (2)'!$D$2:$AL$2,0))</f>
        <v>112668</v>
      </c>
      <c r="R162" s="3">
        <f>Q162</f>
        <v>112668</v>
      </c>
      <c r="S162" s="25">
        <f>INDEX('Inputs (2)'!$D$22:$AL$22,MATCH(S$7,'Inputs (2)'!$D$2:$AL$2,0))</f>
        <v>117560</v>
      </c>
      <c r="T162" s="25">
        <f>INDEX('Inputs (2)'!$D$22:$AL$22,MATCH(T$7,'Inputs (2)'!$D$2:$AL$2,0))</f>
        <v>121208</v>
      </c>
      <c r="U162" s="25">
        <f>INDEX('Inputs (2)'!$D$22:$AL$22,MATCH(U$7,'Inputs (2)'!$D$2:$AL$2,0))</f>
        <v>125705</v>
      </c>
      <c r="V162" s="25">
        <f>INDEX('Inputs (2)'!$D$22:$AL$22,MATCH(V$7,'Inputs (2)'!$D$2:$AL$2,0))</f>
        <v>134345</v>
      </c>
      <c r="W162" s="3">
        <f>V162</f>
        <v>134345</v>
      </c>
      <c r="X162" s="25">
        <f>INDEX('Inputs (2)'!$D$22:$AL$22,MATCH(X$7,'Inputs (2)'!$D$2:$AL$2,0))</f>
        <v>143182</v>
      </c>
      <c r="Y162" s="25">
        <f>INDEX('Inputs (2)'!$D$22:$AL$22,MATCH(Y$7,'Inputs (2)'!$D$2:$AL$2,0))</f>
        <v>151155</v>
      </c>
      <c r="Z162" s="25">
        <f>INDEX('Inputs (2)'!$D$22:$AL$22,MATCH(Z$7,'Inputs (2)'!$D$2:$AL$2,0))</f>
        <v>161270</v>
      </c>
      <c r="AA162" s="25">
        <f>INDEX('Inputs (2)'!$D$22:$AL$22,MATCH(AA$7,'Inputs (2)'!$D$2:$AL$2,0))</f>
        <v>171036</v>
      </c>
      <c r="AB162" s="3">
        <f>AA162</f>
        <v>171036</v>
      </c>
      <c r="AC162" s="25">
        <f>INDEX('Inputs (2)'!$D$22:$AL$22,MATCH(AC$7,'Inputs (2)'!$D$2:$AL$2,0))</f>
        <v>185062</v>
      </c>
      <c r="AD162" s="25">
        <f>INDEX('Inputs (2)'!$D$22:$AL$22,MATCH(AD$7,'Inputs (2)'!$D$2:$AL$2,0))</f>
        <v>203231</v>
      </c>
      <c r="AE162" s="25">
        <f>INDEX('Inputs (2)'!$D$22:$AL$22,MATCH(AE$7,'Inputs (2)'!$D$2:$AL$2,0))</f>
        <v>223787</v>
      </c>
      <c r="AF162" s="25">
        <f>INDEX('Inputs (2)'!$D$22:$AL$22,MATCH(AF$7,'Inputs (2)'!$D$2:$AL$2,0))</f>
        <v>246597</v>
      </c>
      <c r="AG162" s="3">
        <f>AF162</f>
        <v>246597</v>
      </c>
      <c r="AH162" s="3">
        <f>INDEX('Inputs (2)'!$D$22:$AL$22,MATCH(AH$7,'Inputs (2)'!$D$2:$AL$2,0))</f>
        <v>281020</v>
      </c>
      <c r="AI162" s="3">
        <f>INDEX('Inputs (2)'!$D$22:$AL$22,MATCH(AI$7,'Inputs (2)'!$D$2:$AL$2,0))</f>
        <v>321212</v>
      </c>
      <c r="AJ162" s="3">
        <f>AJ167</f>
        <v>321212</v>
      </c>
      <c r="AK162" s="3">
        <f>AK167</f>
        <v>321212</v>
      </c>
      <c r="AL162" s="3">
        <f>AK162</f>
        <v>321212</v>
      </c>
      <c r="AM162" s="3">
        <f>AM167</f>
        <v>321212</v>
      </c>
      <c r="AN162" s="3">
        <f>AN167</f>
        <v>321212</v>
      </c>
      <c r="AO162" s="3">
        <f>AO167</f>
        <v>321212</v>
      </c>
      <c r="AP162" s="3">
        <f>AP167</f>
        <v>321212</v>
      </c>
      <c r="AQ162" s="3">
        <f>AP162</f>
        <v>321212</v>
      </c>
      <c r="AR162" s="3">
        <f>AR167</f>
        <v>321212</v>
      </c>
      <c r="AS162" s="3">
        <f>AS167</f>
        <v>321212</v>
      </c>
      <c r="AT162" s="3">
        <f>AT167</f>
        <v>321212</v>
      </c>
      <c r="AU162" s="3">
        <f>AU167</f>
        <v>321212</v>
      </c>
      <c r="AV162" s="3">
        <f>AU162</f>
        <v>321212</v>
      </c>
      <c r="AW162" s="3">
        <f>AW167</f>
        <v>321212</v>
      </c>
      <c r="AX162" s="3">
        <f>AX167</f>
        <v>321212</v>
      </c>
      <c r="AY162" s="3">
        <f>AY167</f>
        <v>321212</v>
      </c>
      <c r="AZ162" s="3">
        <f>AZ167</f>
        <v>321212</v>
      </c>
      <c r="BA162" s="3">
        <f>AZ162</f>
        <v>321212</v>
      </c>
      <c r="BB162" s="3">
        <f>BB167</f>
        <v>321212</v>
      </c>
      <c r="BC162" s="3">
        <f>BC167</f>
        <v>321212</v>
      </c>
      <c r="BD162" s="3">
        <f>BD167</f>
        <v>321212</v>
      </c>
      <c r="BE162" s="3">
        <f>BE167</f>
        <v>321212</v>
      </c>
      <c r="BF162" s="3">
        <f>BE162</f>
        <v>321212</v>
      </c>
      <c r="BG162" s="3">
        <f>BG167</f>
        <v>321212</v>
      </c>
      <c r="BH162" s="3">
        <f>BH167</f>
        <v>321212</v>
      </c>
      <c r="BI162" s="3">
        <f>BI167</f>
        <v>321212</v>
      </c>
      <c r="BJ162" s="3">
        <f>BJ167</f>
        <v>321212</v>
      </c>
      <c r="BK162" s="3">
        <f>BJ162</f>
        <v>321212</v>
      </c>
      <c r="BL162" s="3">
        <f>BL167</f>
        <v>321212</v>
      </c>
      <c r="BM162" s="3">
        <f>BM167</f>
        <v>321212</v>
      </c>
      <c r="BN162" s="3">
        <f>BN167</f>
        <v>321212</v>
      </c>
      <c r="BO162" s="3">
        <f>BO167</f>
        <v>321212</v>
      </c>
      <c r="BP162" s="3">
        <f>BO162</f>
        <v>321212</v>
      </c>
      <c r="BQ162" s="3">
        <f>BQ167</f>
        <v>321212</v>
      </c>
      <c r="BR162" s="3">
        <f>BR167</f>
        <v>321212</v>
      </c>
      <c r="BS162" s="3">
        <f>BS167</f>
        <v>321212</v>
      </c>
      <c r="BT162" s="3">
        <f>BT167</f>
        <v>321212</v>
      </c>
      <c r="BU162" s="3">
        <f>BT162</f>
        <v>321212</v>
      </c>
      <c r="BV162" s="3">
        <f>BV167</f>
        <v>321212</v>
      </c>
      <c r="BW162" s="3">
        <f>BW167</f>
        <v>321212</v>
      </c>
      <c r="BX162" s="3">
        <f>BX167</f>
        <v>321212</v>
      </c>
      <c r="BY162" s="3">
        <f>BY167</f>
        <v>321212</v>
      </c>
      <c r="BZ162" s="3">
        <f>BY162</f>
        <v>321212</v>
      </c>
      <c r="CA162" s="3">
        <f>CA167</f>
        <v>321212</v>
      </c>
      <c r="CB162" s="3">
        <f>CB167</f>
        <v>321212</v>
      </c>
      <c r="CC162" s="3">
        <f>CC167</f>
        <v>321212</v>
      </c>
      <c r="CD162" s="3">
        <f>CD167</f>
        <v>321212</v>
      </c>
      <c r="CE162" s="3">
        <f>CD162</f>
        <v>321212</v>
      </c>
      <c r="CF162" s="3">
        <f>CF167</f>
        <v>321212</v>
      </c>
      <c r="CG162" s="3">
        <f>CG167</f>
        <v>321212</v>
      </c>
      <c r="CH162" s="3">
        <f>CH167</f>
        <v>321212</v>
      </c>
      <c r="CI162" s="3">
        <f>CI167</f>
        <v>321212</v>
      </c>
      <c r="CJ162" s="3">
        <f>CI162</f>
        <v>321212</v>
      </c>
      <c r="CK162" s="3">
        <f>CK167</f>
        <v>321212</v>
      </c>
      <c r="CL162" s="3">
        <f>CL167</f>
        <v>321212</v>
      </c>
      <c r="CM162" s="3">
        <f>CM167</f>
        <v>321212</v>
      </c>
      <c r="CN162" s="3">
        <f>CN167</f>
        <v>321212</v>
      </c>
      <c r="CO162" s="3">
        <f>CN162</f>
        <v>321212</v>
      </c>
      <c r="CP162" s="3">
        <f>CP167</f>
        <v>321212</v>
      </c>
      <c r="CQ162" s="3">
        <f>CQ167</f>
        <v>321212</v>
      </c>
      <c r="CR162" s="3">
        <f>CR167</f>
        <v>321212</v>
      </c>
      <c r="CS162" s="3">
        <f>CS167</f>
        <v>321212</v>
      </c>
      <c r="CT162" s="3">
        <f>CS162</f>
        <v>321212</v>
      </c>
      <c r="CU162" s="3">
        <f>CU167</f>
        <v>321212</v>
      </c>
      <c r="CV162" s="3">
        <f>CV167</f>
        <v>321212</v>
      </c>
      <c r="CW162" s="3">
        <f>CW167</f>
        <v>321212</v>
      </c>
      <c r="CX162" s="3">
        <f>CX167</f>
        <v>321212</v>
      </c>
      <c r="CY162" s="3">
        <f>CX162</f>
        <v>321212</v>
      </c>
    </row>
    <row r="163" hidden="1" outlineLevel="1">
      <c r="C163" s="34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  <c r="CU163" s="3" t="n"/>
      <c r="CV163" s="3" t="n"/>
      <c r="CW163" s="3" t="n"/>
      <c r="CX163" s="3" t="n"/>
      <c r="CY163" s="3" t="n"/>
    </row>
    <row r="164" hidden="1" outlineLevel="1">
      <c r="C164" s="34" t="inlineStr">
        <is>
          <t>Capital expenditures</t>
        </is>
      </c>
      <c r="D164" s="3" t="n"/>
      <c r="E164" s="3">
        <f>E162-D162-E66</f>
        <v>5387</v>
      </c>
      <c r="F164" s="3">
        <f>F162-E162-F66</f>
        <v>6366</v>
      </c>
      <c r="G164" s="3">
        <f>G162-F162-G66</f>
        <v>6652</v>
      </c>
      <c r="H164" s="3" t="n"/>
      <c r="I164" s="3">
        <f>I162-H162-I66</f>
        <v>5382</v>
      </c>
      <c r="J164" s="3">
        <f>J162-I162-J66</f>
        <v>6821</v>
      </c>
      <c r="K164" s="3">
        <f>K162-J162-K66</f>
        <v>6019</v>
      </c>
      <c r="L164" s="3">
        <f>L162-K162-L66</f>
        <v>6183</v>
      </c>
      <c r="M164" s="3" t="n"/>
      <c r="N164" s="3">
        <f>N162-M162-N66</f>
        <v>10210</v>
      </c>
      <c r="O164" s="3">
        <f>O162-N162-O66</f>
        <v>5703</v>
      </c>
      <c r="P164" s="3">
        <f>P162-O162-P66</f>
        <v>6073</v>
      </c>
      <c r="Q164" s="3">
        <f>Q162-P162-Q66</f>
        <v>8370</v>
      </c>
      <c r="R164" s="3" t="n"/>
      <c r="S164" s="3">
        <f>S162-R162-S66</f>
        <v>7952</v>
      </c>
      <c r="T164" s="3">
        <f>T162-S162-T66</f>
        <v>6927</v>
      </c>
      <c r="U164" s="3">
        <f>U162-T162-U66</f>
        <v>8168</v>
      </c>
      <c r="V164" s="3">
        <f>V162-U162-V66</f>
        <v>11956</v>
      </c>
      <c r="W164" s="3" t="n"/>
      <c r="X164" s="3">
        <f>X162-W162-X66</f>
        <v>12250</v>
      </c>
      <c r="Y164" s="3">
        <f>Y162-X162-Y66</f>
        <v>11681</v>
      </c>
      <c r="Z164" s="3">
        <f>Z162-Y162-Z66</f>
        <v>14100</v>
      </c>
      <c r="AA164" s="3">
        <f>AA162-Z162-AA66</f>
        <v>13971</v>
      </c>
      <c r="AB164" s="3" t="n"/>
      <c r="AC164" s="3">
        <f>AC162-AB162-AC66</f>
        <v>18513</v>
      </c>
      <c r="AD164" s="3">
        <f>AD162-AC162-AD66</f>
        <v>23167</v>
      </c>
      <c r="AE164" s="3">
        <f>AE162-AD162-AE66</f>
        <v>26167</v>
      </c>
      <c r="AF164" s="6">
        <f>AF162-AE162-AF66</f>
        <v>28850</v>
      </c>
      <c r="AG164" s="3">
        <f>SUM(AC164:AF164)</f>
        <v>96697</v>
      </c>
      <c r="AH164" s="6">
        <f>AH162-AG162-AH66</f>
        <v>40905</v>
      </c>
      <c r="AI164" s="6">
        <f>AI162-AH162-AI66</f>
        <v>47296</v>
      </c>
      <c r="AJ164" s="6" t="n"/>
      <c r="AK164" s="6" t="n"/>
      <c r="AL164" s="3" t="n"/>
      <c r="AM164" s="6" t="n"/>
      <c r="AN164" s="6" t="n"/>
      <c r="AO164" s="6" t="n"/>
      <c r="AP164" s="6" t="n"/>
      <c r="AQ164" s="3" t="n"/>
      <c r="AR164" s="6" t="n"/>
      <c r="AS164" s="6" t="n"/>
      <c r="AT164" s="6" t="n"/>
      <c r="AU164" s="6" t="n"/>
      <c r="AV164" s="3" t="n"/>
      <c r="AW164" s="6" t="n"/>
      <c r="AX164" s="6" t="n"/>
      <c r="AY164" s="6" t="n"/>
      <c r="AZ164" s="6" t="n"/>
      <c r="BA164" s="3" t="n"/>
      <c r="BB164" s="6" t="n"/>
      <c r="BC164" s="6" t="n"/>
      <c r="BD164" s="6" t="n"/>
      <c r="BE164" s="6" t="n"/>
      <c r="BF164" s="3" t="n"/>
      <c r="BG164" s="6" t="n"/>
      <c r="BH164" s="6" t="n"/>
      <c r="BI164" s="6" t="n"/>
      <c r="BJ164" s="6" t="n"/>
      <c r="BK164" s="3" t="n"/>
      <c r="BL164" s="6" t="n"/>
      <c r="BM164" s="6" t="n"/>
      <c r="BN164" s="6" t="n"/>
      <c r="BO164" s="6" t="n"/>
      <c r="BP164" s="3" t="n"/>
      <c r="BQ164" s="6" t="n"/>
      <c r="BR164" s="6" t="n"/>
      <c r="BS164" s="6" t="n"/>
      <c r="BT164" s="6" t="n"/>
      <c r="BU164" s="3" t="n"/>
      <c r="BV164" s="6" t="n"/>
      <c r="BW164" s="6" t="n"/>
      <c r="BX164" s="6" t="n"/>
      <c r="BY164" s="6" t="n"/>
      <c r="BZ164" s="3" t="n"/>
      <c r="CA164" s="6" t="n"/>
      <c r="CB164" s="6" t="n"/>
      <c r="CC164" s="6" t="n"/>
      <c r="CD164" s="6" t="n"/>
      <c r="CE164" s="3" t="n"/>
      <c r="CF164" s="6" t="n"/>
      <c r="CG164" s="6" t="n"/>
      <c r="CH164" s="6" t="n"/>
      <c r="CI164" s="6" t="n"/>
      <c r="CJ164" s="3" t="n"/>
      <c r="CK164" s="6" t="n"/>
      <c r="CL164" s="6" t="n"/>
      <c r="CM164" s="6" t="n"/>
      <c r="CN164" s="6" t="n"/>
      <c r="CO164" s="3" t="n"/>
      <c r="CP164" s="6" t="n"/>
      <c r="CQ164" s="6" t="n"/>
      <c r="CR164" s="6" t="n"/>
      <c r="CS164" s="6" t="n"/>
      <c r="CT164" s="3" t="n"/>
      <c r="CU164" s="6" t="n"/>
      <c r="CV164" s="6" t="n"/>
      <c r="CW164" s="6" t="n"/>
      <c r="CX164" s="6" t="n"/>
      <c r="CY164" s="3" t="n"/>
    </row>
    <row r="165" hidden="1" outlineLevel="1">
      <c r="C165" s="34" t="inlineStr">
        <is>
          <t>Recurring asset sales (enter as -)</t>
        </is>
      </c>
      <c r="D165" s="3" t="n"/>
      <c r="E165" s="3" t="n"/>
      <c r="F165" s="3" t="n"/>
      <c r="G165" s="3" t="n"/>
      <c r="H165" s="3">
        <f>SUM(D165:G165)</f>
        <v>0</v>
      </c>
      <c r="I165" s="3" t="n"/>
      <c r="J165" s="3" t="n"/>
      <c r="K165" s="3" t="n"/>
      <c r="L165" s="3" t="n"/>
      <c r="M165" s="3">
        <f>SUM(I165:L165)</f>
        <v>0</v>
      </c>
      <c r="N165" s="3" t="n"/>
      <c r="O165" s="3" t="n"/>
      <c r="P165" s="3" t="n"/>
      <c r="Q165" s="3" t="n"/>
      <c r="R165" s="3">
        <f>SUM(N165:Q165)</f>
        <v>0</v>
      </c>
      <c r="S165" s="3" t="n"/>
      <c r="T165" s="3" t="n"/>
      <c r="U165" s="3" t="n"/>
      <c r="V165" s="3" t="n"/>
      <c r="W165" s="3">
        <f>SUM(S165:V165)</f>
        <v>0</v>
      </c>
      <c r="X165" s="3" t="n"/>
      <c r="Y165" s="3" t="n"/>
      <c r="Z165" s="3" t="n"/>
      <c r="AA165" s="3" t="n"/>
      <c r="AB165" s="3">
        <f>SUM(X165:AA165)</f>
        <v>0</v>
      </c>
      <c r="AC165" s="3" t="n"/>
      <c r="AD165" s="3" t="n"/>
      <c r="AE165" s="3" t="n"/>
      <c r="AF165" s="6" t="n"/>
      <c r="AG165" s="3" t="n"/>
      <c r="AH165" s="6" t="n"/>
      <c r="AI165" s="6" t="n"/>
      <c r="AJ165" s="6" t="n"/>
      <c r="AK165" s="6" t="n"/>
      <c r="AL165" s="3" t="n"/>
      <c r="AM165" s="6" t="n"/>
      <c r="AN165" s="6" t="n"/>
      <c r="AO165" s="6" t="n"/>
      <c r="AP165" s="6" t="n"/>
      <c r="AQ165" s="3" t="n"/>
      <c r="AR165" s="6" t="n"/>
      <c r="AS165" s="6" t="n"/>
      <c r="AT165" s="6" t="n"/>
      <c r="AU165" s="6" t="n"/>
      <c r="AV165" s="3" t="n"/>
      <c r="AW165" s="6" t="n"/>
      <c r="AX165" s="6" t="n"/>
      <c r="AY165" s="6" t="n"/>
      <c r="AZ165" s="6" t="n"/>
      <c r="BA165" s="3" t="n"/>
      <c r="BB165" s="6" t="n"/>
      <c r="BC165" s="6" t="n"/>
      <c r="BD165" s="6" t="n"/>
      <c r="BE165" s="6" t="n"/>
      <c r="BF165" s="3" t="n"/>
      <c r="BG165" s="6" t="n"/>
      <c r="BH165" s="6" t="n"/>
      <c r="BI165" s="6" t="n"/>
      <c r="BJ165" s="6" t="n"/>
      <c r="BK165" s="3" t="n"/>
      <c r="BL165" s="6" t="n"/>
      <c r="BM165" s="6" t="n"/>
      <c r="BN165" s="6" t="n"/>
      <c r="BO165" s="6" t="n"/>
      <c r="BP165" s="3" t="n"/>
      <c r="BQ165" s="6" t="n"/>
      <c r="BR165" s="6" t="n"/>
      <c r="BS165" s="6" t="n"/>
      <c r="BT165" s="6" t="n"/>
      <c r="BU165" s="3" t="n"/>
      <c r="BV165" s="6" t="n"/>
      <c r="BW165" s="6" t="n"/>
      <c r="BX165" s="6" t="n"/>
      <c r="BY165" s="6" t="n"/>
      <c r="BZ165" s="3" t="n"/>
      <c r="CA165" s="6" t="n"/>
      <c r="CB165" s="6" t="n"/>
      <c r="CC165" s="6" t="n"/>
      <c r="CD165" s="6" t="n"/>
      <c r="CE165" s="3" t="n"/>
      <c r="CF165" s="6" t="n"/>
      <c r="CG165" s="6" t="n"/>
      <c r="CH165" s="6" t="n"/>
      <c r="CI165" s="6" t="n"/>
      <c r="CJ165" s="3" t="n"/>
      <c r="CK165" s="6" t="n"/>
      <c r="CL165" s="6" t="n"/>
      <c r="CM165" s="6" t="n"/>
      <c r="CN165" s="6" t="n"/>
      <c r="CO165" s="3" t="n"/>
      <c r="CP165" s="6" t="n"/>
      <c r="CQ165" s="6" t="n"/>
      <c r="CR165" s="6" t="n"/>
      <c r="CS165" s="6" t="n"/>
      <c r="CT165" s="3" t="n"/>
      <c r="CU165" s="6" t="n"/>
      <c r="CV165" s="6" t="n"/>
      <c r="CW165" s="6" t="n"/>
      <c r="CX165" s="6" t="n"/>
      <c r="CY165" s="3" t="n"/>
    </row>
    <row r="166" hidden="1" outlineLevel="1">
      <c r="C166" s="34" t="inlineStr">
        <is>
          <t>Depreciation</t>
        </is>
      </c>
      <c r="D166" s="3">
        <f>D66</f>
        <v>-3108</v>
      </c>
      <c r="E166" s="3">
        <f>E66</f>
        <v>-3386</v>
      </c>
      <c r="F166" s="3">
        <f>F66</f>
        <v>-3478</v>
      </c>
      <c r="G166" s="3">
        <f>G66</f>
        <v>-3539</v>
      </c>
      <c r="H166" s="3" t="n"/>
      <c r="I166" s="3">
        <f>I66</f>
        <v>-2525</v>
      </c>
      <c r="J166" s="3">
        <f>J66</f>
        <v>-2730</v>
      </c>
      <c r="K166" s="3">
        <f>K66</f>
        <v>-3085</v>
      </c>
      <c r="L166" s="3">
        <f>L66</f>
        <v>-3215</v>
      </c>
      <c r="M166" s="3" t="n"/>
      <c r="N166" s="3">
        <f>N66</f>
        <v>-3591</v>
      </c>
      <c r="O166" s="3">
        <f>O66</f>
        <v>-3698</v>
      </c>
      <c r="P166" s="3">
        <f>P66</f>
        <v>-3933</v>
      </c>
      <c r="Q166" s="3">
        <f>Q66</f>
        <v>-4065</v>
      </c>
      <c r="R166" s="3" t="n"/>
      <c r="S166" s="3">
        <f>S66</f>
        <v>-3060</v>
      </c>
      <c r="T166" s="3">
        <f>T66</f>
        <v>-3279</v>
      </c>
      <c r="U166" s="3">
        <f>U66</f>
        <v>-3671</v>
      </c>
      <c r="V166" s="3">
        <f>V66</f>
        <v>-3316</v>
      </c>
      <c r="W166" s="3" t="n"/>
      <c r="X166" s="3">
        <f>X66</f>
        <v>-3413</v>
      </c>
      <c r="Y166" s="3">
        <f>Y66</f>
        <v>-3708</v>
      </c>
      <c r="Z166" s="3">
        <f>Z66</f>
        <v>-3985</v>
      </c>
      <c r="AA166" s="3">
        <f>AA66</f>
        <v>-4205</v>
      </c>
      <c r="AB166" s="3" t="n"/>
      <c r="AC166" s="3">
        <f>AC66</f>
        <v>-4487</v>
      </c>
      <c r="AD166" s="3">
        <f>AD66</f>
        <v>-4998</v>
      </c>
      <c r="AE166" s="3">
        <f>AE66</f>
        <v>-5611</v>
      </c>
      <c r="AF166" s="3">
        <f>AF66</f>
        <v>-6040</v>
      </c>
      <c r="AG166" s="3" t="n"/>
      <c r="AH166" s="3">
        <f>AH66</f>
        <v>-6482</v>
      </c>
      <c r="AI166" s="3">
        <f>AI66</f>
        <v>-7104</v>
      </c>
      <c r="AJ166" s="3">
        <f>AJ66</f>
        <v>0</v>
      </c>
      <c r="AK166" s="3">
        <f>AK66</f>
        <v>0</v>
      </c>
      <c r="AL166" s="3" t="n"/>
      <c r="AM166" s="3">
        <f>AM66</f>
        <v>0</v>
      </c>
      <c r="AN166" s="3">
        <f>AN66</f>
        <v>0</v>
      </c>
      <c r="AO166" s="3">
        <f>AO66</f>
        <v>0</v>
      </c>
      <c r="AP166" s="3">
        <f>AP66</f>
        <v>0</v>
      </c>
      <c r="AQ166" s="3" t="n"/>
      <c r="AR166" s="3">
        <f>AR66</f>
        <v>0</v>
      </c>
      <c r="AS166" s="3">
        <f>AS66</f>
        <v>0</v>
      </c>
      <c r="AT166" s="3">
        <f>AT66</f>
        <v>0</v>
      </c>
      <c r="AU166" s="3">
        <f>AU66</f>
        <v>0</v>
      </c>
      <c r="AV166" s="3" t="n"/>
      <c r="AW166" s="3">
        <f>AW66</f>
        <v>0</v>
      </c>
      <c r="AX166" s="3">
        <f>AX66</f>
        <v>0</v>
      </c>
      <c r="AY166" s="3">
        <f>AY66</f>
        <v>0</v>
      </c>
      <c r="AZ166" s="3">
        <f>AZ66</f>
        <v>0</v>
      </c>
      <c r="BA166" s="3" t="n"/>
      <c r="BB166" s="3">
        <f>BB66</f>
        <v>0</v>
      </c>
      <c r="BC166" s="3">
        <f>BC66</f>
        <v>0</v>
      </c>
      <c r="BD166" s="3">
        <f>BD66</f>
        <v>0</v>
      </c>
      <c r="BE166" s="3">
        <f>BE66</f>
        <v>0</v>
      </c>
      <c r="BF166" s="3" t="n"/>
      <c r="BG166" s="3">
        <f>BG66</f>
        <v>0</v>
      </c>
      <c r="BH166" s="3">
        <f>BH66</f>
        <v>0</v>
      </c>
      <c r="BI166" s="3">
        <f>BI66</f>
        <v>0</v>
      </c>
      <c r="BJ166" s="3">
        <f>BJ66</f>
        <v>0</v>
      </c>
      <c r="BK166" s="3" t="n"/>
      <c r="BL166" s="3">
        <f>BL66</f>
        <v>0</v>
      </c>
      <c r="BM166" s="3">
        <f>BM66</f>
        <v>0</v>
      </c>
      <c r="BN166" s="3">
        <f>BN66</f>
        <v>0</v>
      </c>
      <c r="BO166" s="3">
        <f>BO66</f>
        <v>0</v>
      </c>
      <c r="BP166" s="3" t="n"/>
      <c r="BQ166" s="3">
        <f>BQ66</f>
        <v>0</v>
      </c>
      <c r="BR166" s="3">
        <f>BR66</f>
        <v>0</v>
      </c>
      <c r="BS166" s="3">
        <f>BS66</f>
        <v>0</v>
      </c>
      <c r="BT166" s="3">
        <f>BT66</f>
        <v>0</v>
      </c>
      <c r="BU166" s="3" t="n"/>
      <c r="BV166" s="3">
        <f>BV66</f>
        <v>0</v>
      </c>
      <c r="BW166" s="3">
        <f>BW66</f>
        <v>0</v>
      </c>
      <c r="BX166" s="3">
        <f>BX66</f>
        <v>0</v>
      </c>
      <c r="BY166" s="3">
        <f>BY66</f>
        <v>0</v>
      </c>
      <c r="BZ166" s="3" t="n"/>
      <c r="CA166" s="3">
        <f>CA66</f>
        <v>0</v>
      </c>
      <c r="CB166" s="3">
        <f>CB66</f>
        <v>0</v>
      </c>
      <c r="CC166" s="3">
        <f>CC66</f>
        <v>0</v>
      </c>
      <c r="CD166" s="3">
        <f>CD66</f>
        <v>0</v>
      </c>
      <c r="CE166" s="3" t="n"/>
      <c r="CF166" s="3">
        <f>CF66</f>
        <v>0</v>
      </c>
      <c r="CG166" s="3">
        <f>CG66</f>
        <v>0</v>
      </c>
      <c r="CH166" s="3">
        <f>CH66</f>
        <v>0</v>
      </c>
      <c r="CI166" s="3">
        <f>CI66</f>
        <v>0</v>
      </c>
      <c r="CJ166" s="3" t="n"/>
      <c r="CK166" s="3">
        <f>CK66</f>
        <v>0</v>
      </c>
      <c r="CL166" s="3">
        <f>CL66</f>
        <v>0</v>
      </c>
      <c r="CM166" s="3">
        <f>CM66</f>
        <v>0</v>
      </c>
      <c r="CN166" s="3">
        <f>CN66</f>
        <v>0</v>
      </c>
      <c r="CO166" s="3" t="n"/>
      <c r="CP166" s="3">
        <f>CP66</f>
        <v>0</v>
      </c>
      <c r="CQ166" s="3">
        <f>CQ66</f>
        <v>0</v>
      </c>
      <c r="CR166" s="3">
        <f>CR66</f>
        <v>0</v>
      </c>
      <c r="CS166" s="3">
        <f>CS66</f>
        <v>0</v>
      </c>
      <c r="CT166" s="3" t="n"/>
      <c r="CU166" s="3">
        <f>CU66</f>
        <v>0</v>
      </c>
      <c r="CV166" s="3">
        <f>CV66</f>
        <v>0</v>
      </c>
      <c r="CW166" s="3">
        <f>CW66</f>
        <v>0</v>
      </c>
      <c r="CX166" s="3">
        <f>CX66</f>
        <v>0</v>
      </c>
      <c r="CY166" s="3" t="n"/>
    </row>
    <row r="167" hidden="1" outlineLevel="1">
      <c r="C167" s="34" t="inlineStr">
        <is>
          <t>PP&amp;E</t>
        </is>
      </c>
      <c r="D167" s="3">
        <f>D162</f>
        <v>76747</v>
      </c>
      <c r="E167" s="3">
        <f>E162</f>
        <v>78748</v>
      </c>
      <c r="F167" s="3">
        <f>F162</f>
        <v>81636</v>
      </c>
      <c r="G167" s="3">
        <f>G162</f>
        <v>84749</v>
      </c>
      <c r="H167" s="3" t="n"/>
      <c r="I167" s="3">
        <f>I162</f>
        <v>87606</v>
      </c>
      <c r="J167" s="3">
        <f>J162</f>
        <v>91697</v>
      </c>
      <c r="K167" s="3">
        <f>K162</f>
        <v>94631</v>
      </c>
      <c r="L167" s="3">
        <f>L162</f>
        <v>97599</v>
      </c>
      <c r="M167" s="3" t="n"/>
      <c r="N167" s="3">
        <f>N162</f>
        <v>104218</v>
      </c>
      <c r="O167" s="3">
        <f>O162</f>
        <v>106223</v>
      </c>
      <c r="P167" s="3">
        <f>P162</f>
        <v>108363</v>
      </c>
      <c r="Q167" s="3">
        <f>Q162</f>
        <v>112668</v>
      </c>
      <c r="R167" s="3" t="n"/>
      <c r="S167" s="3">
        <f>S162</f>
        <v>117560</v>
      </c>
      <c r="T167" s="3">
        <f>T162</f>
        <v>121208</v>
      </c>
      <c r="U167" s="3">
        <f>U162</f>
        <v>125705</v>
      </c>
      <c r="V167" s="3">
        <f>V162</f>
        <v>134345</v>
      </c>
      <c r="W167" s="3" t="n"/>
      <c r="X167" s="3">
        <f>X162</f>
        <v>143182</v>
      </c>
      <c r="Y167" s="3">
        <f>Y162</f>
        <v>151155</v>
      </c>
      <c r="Z167" s="3">
        <f>Z162</f>
        <v>161270</v>
      </c>
      <c r="AA167" s="3">
        <f>Y167+SUM(AA164:AA166)</f>
        <v>160921</v>
      </c>
      <c r="AB167" s="3" t="n"/>
      <c r="AC167" s="3">
        <f>AC162</f>
        <v>185062</v>
      </c>
      <c r="AD167" s="3">
        <f>AD162</f>
        <v>203231</v>
      </c>
      <c r="AE167" s="3">
        <f>AE162</f>
        <v>223787</v>
      </c>
      <c r="AF167" s="3">
        <f>AE167+SUM(AF164:AF166)</f>
        <v>246597</v>
      </c>
      <c r="AG167" s="3" t="n"/>
      <c r="AH167" s="3">
        <f>AH162</f>
        <v>281020</v>
      </c>
      <c r="AI167" s="3">
        <f>AI162</f>
        <v>321212</v>
      </c>
      <c r="AJ167" s="3">
        <f>AI167+SUM(AJ164:AJ166)</f>
        <v>321212</v>
      </c>
      <c r="AK167" s="3">
        <f>AJ167+SUM(AK164:AK166)</f>
        <v>321212</v>
      </c>
      <c r="AL167" s="3" t="n"/>
      <c r="AM167" s="3">
        <f>AK167+SUM(AM164:AM166)</f>
        <v>321212</v>
      </c>
      <c r="AN167" s="3">
        <f>AM167+SUM(AN164:AN166)</f>
        <v>321212</v>
      </c>
      <c r="AO167" s="3">
        <f>AN167+SUM(AO164:AO166)</f>
        <v>321212</v>
      </c>
      <c r="AP167" s="3">
        <f>AO167+SUM(AP164:AP166)</f>
        <v>321212</v>
      </c>
      <c r="AQ167" s="3" t="n"/>
      <c r="AR167" s="3">
        <f>AP167+SUM(AR164:AR166)</f>
        <v>321212</v>
      </c>
      <c r="AS167" s="3">
        <f>AR167+SUM(AS164:AS166)</f>
        <v>321212</v>
      </c>
      <c r="AT167" s="3">
        <f>AS167+SUM(AT164:AT166)</f>
        <v>321212</v>
      </c>
      <c r="AU167" s="3">
        <f>AT167+SUM(AU164:AU166)</f>
        <v>321212</v>
      </c>
      <c r="AV167" s="3" t="n"/>
      <c r="AW167" s="3">
        <f>AU167+SUM(AW164:AW166)</f>
        <v>321212</v>
      </c>
      <c r="AX167" s="3">
        <f>AW167+SUM(AX164:AX166)</f>
        <v>321212</v>
      </c>
      <c r="AY167" s="3">
        <f>AX167+SUM(AY164:AY166)</f>
        <v>321212</v>
      </c>
      <c r="AZ167" s="3">
        <f>AY167+SUM(AZ164:AZ166)</f>
        <v>321212</v>
      </c>
      <c r="BA167" s="3" t="n"/>
      <c r="BB167" s="3">
        <f>AZ167+SUM(BB164:BB166)</f>
        <v>321212</v>
      </c>
      <c r="BC167" s="3">
        <f>BB167+SUM(BC164:BC166)</f>
        <v>321212</v>
      </c>
      <c r="BD167" s="3">
        <f>BC167+SUM(BD164:BD166)</f>
        <v>321212</v>
      </c>
      <c r="BE167" s="3">
        <f>BD167+SUM(BE164:BE166)</f>
        <v>321212</v>
      </c>
      <c r="BF167" s="3" t="n"/>
      <c r="BG167" s="3">
        <f>BE167+SUM(BG164:BG166)</f>
        <v>321212</v>
      </c>
      <c r="BH167" s="3">
        <f>BG167+SUM(BH164:BH166)</f>
        <v>321212</v>
      </c>
      <c r="BI167" s="3">
        <f>BH167+SUM(BI164:BI166)</f>
        <v>321212</v>
      </c>
      <c r="BJ167" s="3">
        <f>BI167+SUM(BJ164:BJ166)</f>
        <v>321212</v>
      </c>
      <c r="BK167" s="3" t="n"/>
      <c r="BL167" s="3">
        <f>BJ167+SUM(BL164:BL166)</f>
        <v>321212</v>
      </c>
      <c r="BM167" s="3">
        <f>BL167+SUM(BM164:BM166)</f>
        <v>321212</v>
      </c>
      <c r="BN167" s="3">
        <f>BM167+SUM(BN164:BN166)</f>
        <v>321212</v>
      </c>
      <c r="BO167" s="3">
        <f>BN167+SUM(BO164:BO166)</f>
        <v>321212</v>
      </c>
      <c r="BP167" s="3" t="n"/>
      <c r="BQ167" s="3">
        <f>BO167+SUM(BQ164:BQ166)</f>
        <v>321212</v>
      </c>
      <c r="BR167" s="3">
        <f>BQ167+SUM(BR164:BR166)</f>
        <v>321212</v>
      </c>
      <c r="BS167" s="3">
        <f>BR167+SUM(BS164:BS166)</f>
        <v>321212</v>
      </c>
      <c r="BT167" s="3">
        <f>BS167+SUM(BT164:BT166)</f>
        <v>321212</v>
      </c>
      <c r="BU167" s="3" t="n"/>
      <c r="BV167" s="3">
        <f>BT167+SUM(BV164:BV166)</f>
        <v>321212</v>
      </c>
      <c r="BW167" s="3">
        <f>BV167+SUM(BW164:BW166)</f>
        <v>321212</v>
      </c>
      <c r="BX167" s="3">
        <f>BW167+SUM(BX164:BX166)</f>
        <v>321212</v>
      </c>
      <c r="BY167" s="3">
        <f>BX167+SUM(BY164:BY166)</f>
        <v>321212</v>
      </c>
      <c r="BZ167" s="3" t="n"/>
      <c r="CA167" s="3">
        <f>BY167+SUM(CA164:CA166)</f>
        <v>321212</v>
      </c>
      <c r="CB167" s="3">
        <f>CA167+SUM(CB164:CB166)</f>
        <v>321212</v>
      </c>
      <c r="CC167" s="3">
        <f>CB167+SUM(CC164:CC166)</f>
        <v>321212</v>
      </c>
      <c r="CD167" s="3">
        <f>CC167+SUM(CD164:CD166)</f>
        <v>321212</v>
      </c>
      <c r="CE167" s="3" t="n"/>
      <c r="CF167" s="3">
        <f>CD167+SUM(CF164:CF166)</f>
        <v>321212</v>
      </c>
      <c r="CG167" s="3">
        <f>CF167+SUM(CG164:CG166)</f>
        <v>321212</v>
      </c>
      <c r="CH167" s="3">
        <f>CG167+SUM(CH164:CH166)</f>
        <v>321212</v>
      </c>
      <c r="CI167" s="3">
        <f>CH167+SUM(CI164:CI166)</f>
        <v>321212</v>
      </c>
      <c r="CJ167" s="3" t="n"/>
      <c r="CK167" s="3">
        <f>CI167+SUM(CK164:CK166)</f>
        <v>321212</v>
      </c>
      <c r="CL167" s="3">
        <f>CK167+SUM(CL164:CL166)</f>
        <v>321212</v>
      </c>
      <c r="CM167" s="3">
        <f>CL167+SUM(CM164:CM166)</f>
        <v>321212</v>
      </c>
      <c r="CN167" s="3">
        <f>CM167+SUM(CN164:CN166)</f>
        <v>321212</v>
      </c>
      <c r="CO167" s="3" t="n"/>
      <c r="CP167" s="3">
        <f>CN167+SUM(CP164:CP166)</f>
        <v>321212</v>
      </c>
      <c r="CQ167" s="3">
        <f>CP167+SUM(CQ164:CQ166)</f>
        <v>321212</v>
      </c>
      <c r="CR167" s="3">
        <f>CQ167+SUM(CR164:CR166)</f>
        <v>321212</v>
      </c>
      <c r="CS167" s="3">
        <f>CR167+SUM(CS164:CS166)</f>
        <v>321212</v>
      </c>
      <c r="CT167" s="3" t="n"/>
      <c r="CU167" s="3">
        <f>CS167+SUM(CU164:CU166)</f>
        <v>321212</v>
      </c>
      <c r="CV167" s="3">
        <f>CU167+SUM(CV164:CV166)</f>
        <v>321212</v>
      </c>
      <c r="CW167" s="3">
        <f>CV167+SUM(CW164:CW166)</f>
        <v>321212</v>
      </c>
      <c r="CX167" s="3">
        <f>CW167+SUM(CX164:CX166)</f>
        <v>321212</v>
      </c>
      <c r="CY167" s="3" t="n"/>
      <c r="CZ167">
        <f>CX167+SUM(CZ164:CZ166)</f>
        <v>321212</v>
      </c>
      <c r="DA167">
        <f>CZ167+SUM(DA164:DA166)</f>
        <v>321212</v>
      </c>
      <c r="DB167">
        <f>DA167+SUM(DB164:DB166)</f>
        <v>321212</v>
      </c>
      <c r="DC167">
        <f>DB167+SUM(DC164:DC166)</f>
        <v>321212</v>
      </c>
    </row>
    <row r="168" hidden="1" outlineLevel="1">
      <c r="C168" s="34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  <c r="CU168" s="3" t="n"/>
      <c r="CV168" s="3" t="n"/>
      <c r="CW168" s="3" t="n"/>
      <c r="CX168" s="3" t="n"/>
      <c r="CY168" s="3" t="n"/>
    </row>
    <row r="169" hidden="1" outlineLevel="1">
      <c r="C169" s="34" t="inlineStr">
        <is>
          <t>Capital expenditures (% Net Revenues)</t>
        </is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40">
        <f>AF164/AF15</f>
        <v>0.253450350965044</v>
      </c>
      <c r="AG169" s="40">
        <f>AG164/AG15</f>
        <v>0.240040016185206</v>
      </c>
      <c r="AH169" s="40">
        <f>AH164/AH15</f>
        <v>0.37221554924656</v>
      </c>
      <c r="AI169" s="40">
        <f>AI164/AI15</f>
        <v>0.394804500985008</v>
      </c>
      <c r="AJ169" s="40">
        <f>AJ164/AJ15</f>
        <v>0</v>
      </c>
      <c r="AK169" s="40">
        <f>AK164/AK15</f>
        <v>0</v>
      </c>
      <c r="AL169" s="40">
        <f>AL164/AL15</f>
        <v>0</v>
      </c>
      <c r="AM169" s="40">
        <f>AM164/AM15</f>
        <v>0</v>
      </c>
      <c r="AN169" s="40">
        <f>AN164/AN15</f>
        <v>0</v>
      </c>
      <c r="AO169" s="40">
        <f>AO164/AO15</f>
        <v>0</v>
      </c>
      <c r="AP169" s="40">
        <f>AP164/AP15</f>
        <v>0</v>
      </c>
      <c r="AQ169" s="40">
        <f>AQ164/AQ15</f>
        <v>0</v>
      </c>
      <c r="AR169" s="40">
        <f>AR164/AR15</f>
        <v>0</v>
      </c>
      <c r="AS169" s="40">
        <f>AS164/AS15</f>
        <v>0</v>
      </c>
      <c r="AT169" s="40">
        <f>AT164/AT15</f>
        <v>0</v>
      </c>
      <c r="AU169" s="40">
        <f>AU164/AU15</f>
        <v>0</v>
      </c>
      <c r="AV169" s="40">
        <f>AV164/AV15</f>
        <v>0</v>
      </c>
      <c r="AW169" s="40">
        <f>AW164/AW15</f>
        <v>0</v>
      </c>
      <c r="AX169" s="40">
        <f>AX164/AX15</f>
        <v>0</v>
      </c>
      <c r="AY169" s="40">
        <f>AY164/AY15</f>
        <v>0</v>
      </c>
      <c r="AZ169" s="40">
        <f>AZ164/AZ15</f>
        <v>0</v>
      </c>
      <c r="BA169" s="40">
        <f>BA164/BA15</f>
        <v>0</v>
      </c>
      <c r="BB169" s="40">
        <f>BB164/BB15</f>
        <v>0</v>
      </c>
      <c r="BC169" s="40">
        <f>BC164/BC15</f>
        <v>0</v>
      </c>
      <c r="BD169" s="40">
        <f>BD164/BD15</f>
        <v>0</v>
      </c>
      <c r="BE169" s="40">
        <f>BE164/BE15</f>
        <v>0</v>
      </c>
      <c r="BF169" s="40">
        <f>BF164/BF15</f>
        <v>0</v>
      </c>
      <c r="BG169" s="40">
        <f>BG164/BG15</f>
        <v>0</v>
      </c>
      <c r="BH169" s="40">
        <f>BH164/BH15</f>
        <v>0</v>
      </c>
      <c r="BI169" s="40">
        <f>BI164/BI15</f>
        <v>0</v>
      </c>
      <c r="BJ169" s="40">
        <f>BJ164/BJ15</f>
        <v>0</v>
      </c>
      <c r="BK169" s="40">
        <f>BK164/BK15</f>
        <v>0</v>
      </c>
      <c r="BL169" s="40">
        <f>BL164/BL15</f>
        <v>0</v>
      </c>
      <c r="BM169" s="40">
        <f>BM164/BM15</f>
        <v>0</v>
      </c>
      <c r="BN169" s="40">
        <f>BN164/BN15</f>
        <v>0</v>
      </c>
      <c r="BO169" s="40">
        <f>BO164/BO15</f>
        <v>0</v>
      </c>
      <c r="BP169" s="40">
        <f>BP164/BP15</f>
        <v>0</v>
      </c>
      <c r="BQ169" s="40">
        <f>BQ164/BQ15</f>
        <v>0</v>
      </c>
      <c r="BR169" s="40">
        <f>BR164/BR15</f>
        <v>0</v>
      </c>
      <c r="BS169" s="40">
        <f>BS164/BS15</f>
        <v>0</v>
      </c>
      <c r="BT169" s="40">
        <f>BT164/BT15</f>
        <v>0</v>
      </c>
      <c r="BU169" s="40">
        <f>BU164/BU15</f>
        <v>0</v>
      </c>
      <c r="BV169" s="40">
        <f>BV164/BV15</f>
        <v>0</v>
      </c>
      <c r="BW169" s="40">
        <f>BW164/BW15</f>
        <v>0</v>
      </c>
      <c r="BX169" s="40">
        <f>BX164/BX15</f>
        <v>0</v>
      </c>
      <c r="BY169" s="40">
        <f>BY164/BY15</f>
        <v>0</v>
      </c>
      <c r="BZ169" s="40">
        <f>BZ164/BZ15</f>
        <v>0</v>
      </c>
      <c r="CA169" s="40">
        <f>CA164/CA15</f>
        <v>0</v>
      </c>
      <c r="CB169" s="40">
        <f>CB164/CB15</f>
        <v>0</v>
      </c>
      <c r="CC169" s="40">
        <f>CC164/CC15</f>
        <v>0</v>
      </c>
      <c r="CD169" s="40">
        <f>CD164/CD15</f>
        <v>0</v>
      </c>
      <c r="CE169" s="40">
        <f>CE164/CE15</f>
        <v>0</v>
      </c>
      <c r="CF169" s="40">
        <f>CF164/CF15</f>
        <v>0</v>
      </c>
      <c r="CG169" s="40">
        <f>CG164/CG15</f>
        <v>0</v>
      </c>
      <c r="CH169" s="40">
        <f>CH164/CH15</f>
        <v>0</v>
      </c>
      <c r="CI169" s="40">
        <f>CI164/CI15</f>
        <v>0</v>
      </c>
      <c r="CJ169" s="40">
        <f>CJ164/CJ15</f>
        <v>0</v>
      </c>
      <c r="CK169" s="40">
        <f>CK164/CK15</f>
        <v>0</v>
      </c>
      <c r="CL169" s="40">
        <f>CL164/CL15</f>
        <v>0</v>
      </c>
      <c r="CM169" s="40">
        <f>CM164/CM15</f>
        <v>0</v>
      </c>
      <c r="CN169" s="40">
        <f>CN164/CN15</f>
        <v>0</v>
      </c>
      <c r="CO169" s="40">
        <f>CO164/CO15</f>
        <v>0</v>
      </c>
      <c r="CP169" s="40">
        <f>CP164/CP15</f>
        <v>0</v>
      </c>
      <c r="CQ169" s="40">
        <f>CQ164/CQ15</f>
        <v>0</v>
      </c>
      <c r="CR169" s="40">
        <f>CR164/CR15</f>
        <v>0</v>
      </c>
      <c r="CS169" s="40">
        <f>CS164/CS15</f>
        <v>0</v>
      </c>
      <c r="CT169" s="40">
        <f>CT164/CT15</f>
        <v>0</v>
      </c>
      <c r="CU169" s="40">
        <f>CU164/CU15</f>
        <v>0</v>
      </c>
      <c r="CV169" s="40">
        <f>CV164/CV15</f>
        <v>0</v>
      </c>
      <c r="CW169" s="40">
        <f>CW164/CW15</f>
        <v>0</v>
      </c>
      <c r="CX169" s="40">
        <f>CX164/CX15</f>
        <v>0</v>
      </c>
      <c r="CY169" s="40">
        <f>CY164/CY15</f>
        <v>0</v>
      </c>
    </row>
    <row r="170" hidden="1" outlineLevel="1">
      <c r="C170" s="34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  <c r="CU170" s="3" t="n"/>
      <c r="CV170" s="3" t="n"/>
      <c r="CW170" s="3" t="n"/>
      <c r="CX170" s="3" t="n"/>
      <c r="CY170" s="3" t="n"/>
    </row>
    <row r="171" hidden="1" outlineLevel="1">
      <c r="C171" s="34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  <c r="CU171" s="3" t="n"/>
      <c r="CV171" s="3" t="n"/>
      <c r="CW171" s="3" t="n"/>
      <c r="CX171" s="3" t="n"/>
      <c r="CY171" s="3" t="n"/>
    </row>
    <row r="172" collapsed="1">
      <c r="C172" s="26" t="inlineStr">
        <is>
          <t>Right-of-use-assets</t>
        </is>
      </c>
      <c r="D172" s="25">
        <f>INDEX('Inputs (2)'!$D$23:$AL$23,MATCH(D$7,'Inputs (2)'!$D$2:$AL$2,0))</f>
        <v>11219</v>
      </c>
      <c r="E172" s="25">
        <f>INDEX('Inputs (2)'!$D$23:$AL$23,MATCH(E$7,'Inputs (2)'!$D$2:$AL$2,0))</f>
        <v>11567</v>
      </c>
      <c r="F172" s="25">
        <f>INDEX('Inputs (2)'!$D$23:$AL$23,MATCH(F$7,'Inputs (2)'!$D$2:$AL$2,0))</f>
        <v>11946</v>
      </c>
      <c r="G172" s="25">
        <f>INDEX('Inputs (2)'!$D$23:$AL$23,MATCH(G$7,'Inputs (2)'!$D$2:$AL$2,0))</f>
        <v>12211</v>
      </c>
      <c r="H172" s="3">
        <f>G172</f>
        <v>12211</v>
      </c>
      <c r="I172" s="25">
        <f>INDEX('Inputs (2)'!$D$23:$AL$23,MATCH(I$7,'Inputs (2)'!$D$2:$AL$2,0))</f>
        <v>12598</v>
      </c>
      <c r="J172" s="25">
        <f>INDEX('Inputs (2)'!$D$23:$AL$23,MATCH(J$7,'Inputs (2)'!$D$2:$AL$2,0))</f>
        <v>12978</v>
      </c>
      <c r="K172" s="25">
        <f>INDEX('Inputs (2)'!$D$23:$AL$23,MATCH(K$7,'Inputs (2)'!$D$2:$AL$2,0))</f>
        <v>12918</v>
      </c>
      <c r="L172" s="25">
        <f>INDEX('Inputs (2)'!$D$23:$AL$23,MATCH(L$7,'Inputs (2)'!$D$2:$AL$2,0))</f>
        <v>12959</v>
      </c>
      <c r="M172" s="3">
        <f>L172</f>
        <v>12959</v>
      </c>
      <c r="N172" s="25">
        <f>INDEX('Inputs (2)'!$D$23:$AL$23,MATCH(N$7,'Inputs (2)'!$D$2:$AL$2,0))</f>
        <v>12992</v>
      </c>
      <c r="O172" s="25">
        <f>INDEX('Inputs (2)'!$D$23:$AL$23,MATCH(O$7,'Inputs (2)'!$D$2:$AL$2,0))</f>
        <v>13398</v>
      </c>
      <c r="P172" s="25">
        <f>INDEX('Inputs (2)'!$D$23:$AL$23,MATCH(P$7,'Inputs (2)'!$D$2:$AL$2,0))</f>
        <v>13677</v>
      </c>
      <c r="Q172" s="25">
        <f>INDEX('Inputs (2)'!$D$23:$AL$23,MATCH(Q$7,'Inputs (2)'!$D$2:$AL$2,0))</f>
        <v>14381</v>
      </c>
      <c r="R172" s="3">
        <f>Q172</f>
        <v>14381</v>
      </c>
      <c r="S172" s="25">
        <f>INDEX('Inputs (2)'!$D$23:$AL$23,MATCH(S$7,'Inputs (2)'!$D$2:$AL$2,0))</f>
        <v>14447</v>
      </c>
      <c r="T172" s="25">
        <f>INDEX('Inputs (2)'!$D$23:$AL$23,MATCH(T$7,'Inputs (2)'!$D$2:$AL$2,0))</f>
        <v>14469</v>
      </c>
      <c r="U172" s="25">
        <f>INDEX('Inputs (2)'!$D$23:$AL$23,MATCH(U$7,'Inputs (2)'!$D$2:$AL$2,0))</f>
        <v>14199</v>
      </c>
      <c r="V172" s="25">
        <f>INDEX('Inputs (2)'!$D$23:$AL$23,MATCH(V$7,'Inputs (2)'!$D$2:$AL$2,0))</f>
        <v>14091</v>
      </c>
      <c r="W172" s="3">
        <f>V172</f>
        <v>14091</v>
      </c>
      <c r="X172" s="25">
        <f>INDEX('Inputs (2)'!$D$23:$AL$23,MATCH(X$7,'Inputs (2)'!$D$2:$AL$2,0))</f>
        <v>13768</v>
      </c>
      <c r="Y172" s="25">
        <f>INDEX('Inputs (2)'!$D$23:$AL$23,MATCH(Y$7,'Inputs (2)'!$D$2:$AL$2,0))</f>
        <v>13606</v>
      </c>
      <c r="Z172" s="25">
        <f>INDEX('Inputs (2)'!$D$23:$AL$23,MATCH(Z$7,'Inputs (2)'!$D$2:$AL$2,0))</f>
        <v>13561</v>
      </c>
      <c r="AA172" s="25">
        <f>INDEX('Inputs (2)'!$D$23:$AL$23,MATCH(AA$7,'Inputs (2)'!$D$2:$AL$2,0))</f>
        <v>13588</v>
      </c>
      <c r="AB172" s="3">
        <f>AA172</f>
        <v>13588</v>
      </c>
      <c r="AC172" s="25">
        <f>INDEX('Inputs (2)'!$D$23:$AL$23,MATCH(AC$7,'Inputs (2)'!$D$2:$AL$2,0))</f>
        <v>13722</v>
      </c>
      <c r="AD172" s="25">
        <f>INDEX('Inputs (2)'!$D$23:$AL$23,MATCH(AD$7,'Inputs (2)'!$D$2:$AL$2,0))</f>
        <v>14255</v>
      </c>
      <c r="AE172" s="25">
        <f>INDEX('Inputs (2)'!$D$23:$AL$23,MATCH(AE$7,'Inputs (2)'!$D$2:$AL$2,0))</f>
        <v>14524</v>
      </c>
      <c r="AF172" s="25">
        <f>INDEX('Inputs (2)'!$D$23:$AL$23,MATCH(AF$7,'Inputs (2)'!$D$2:$AL$2,0))</f>
        <v>15221</v>
      </c>
      <c r="AG172" s="3">
        <f>AF172</f>
        <v>15221</v>
      </c>
      <c r="AH172" s="3">
        <f>INDEX('Inputs (2)'!$D$23:$AL$23,MATCH(AH$7,'Inputs (2)'!$D$2:$AL$2,0))</f>
        <v>15509</v>
      </c>
      <c r="AI172" s="3">
        <f>INDEX('Inputs (2)'!$D$23:$AL$23,MATCH(AI$7,'Inputs (2)'!$D$2:$AL$2,0))</f>
        <v>17694</v>
      </c>
      <c r="AJ172" s="3">
        <f>AI172</f>
        <v>17694</v>
      </c>
      <c r="AK172" s="3">
        <f>AJ172</f>
        <v>17694</v>
      </c>
      <c r="AL172" s="3">
        <f>AK172</f>
        <v>17694</v>
      </c>
      <c r="AM172" s="3">
        <f>AL172</f>
        <v>17694</v>
      </c>
      <c r="AN172" s="3">
        <f>AM172</f>
        <v>17694</v>
      </c>
      <c r="AO172" s="3">
        <f>AN172</f>
        <v>17694</v>
      </c>
      <c r="AP172" s="3">
        <f>AO172</f>
        <v>17694</v>
      </c>
      <c r="AQ172" s="3">
        <f>AP172</f>
        <v>17694</v>
      </c>
      <c r="AR172" s="3">
        <f>AQ172</f>
        <v>17694</v>
      </c>
      <c r="AS172" s="3">
        <f>AR172</f>
        <v>17694</v>
      </c>
      <c r="AT172" s="3">
        <f>AS172</f>
        <v>17694</v>
      </c>
      <c r="AU172" s="3">
        <f>AT172</f>
        <v>17694</v>
      </c>
      <c r="AV172" s="3">
        <f>AU172</f>
        <v>17694</v>
      </c>
      <c r="AW172" s="3">
        <f>AV172</f>
        <v>17694</v>
      </c>
      <c r="AX172" s="3">
        <f>AW172</f>
        <v>17694</v>
      </c>
      <c r="AY172" s="3">
        <f>AX172</f>
        <v>17694</v>
      </c>
      <c r="AZ172" s="3">
        <f>AY172</f>
        <v>17694</v>
      </c>
      <c r="BA172" s="3">
        <f>AZ172</f>
        <v>17694</v>
      </c>
      <c r="BB172" s="3">
        <f>BA172</f>
        <v>17694</v>
      </c>
      <c r="BC172" s="3">
        <f>BB172</f>
        <v>17694</v>
      </c>
      <c r="BD172" s="3">
        <f>BC172</f>
        <v>17694</v>
      </c>
      <c r="BE172" s="3">
        <f>BD172</f>
        <v>17694</v>
      </c>
      <c r="BF172" s="3">
        <f>BE172</f>
        <v>17694</v>
      </c>
      <c r="BG172" s="3">
        <f>BF172</f>
        <v>17694</v>
      </c>
      <c r="BH172" s="3">
        <f>BG172</f>
        <v>17694</v>
      </c>
      <c r="BI172" s="3">
        <f>BH172</f>
        <v>17694</v>
      </c>
      <c r="BJ172" s="3">
        <f>BI172</f>
        <v>17694</v>
      </c>
      <c r="BK172" s="3">
        <f>BJ172</f>
        <v>17694</v>
      </c>
      <c r="BL172" s="3">
        <f>BK172</f>
        <v>17694</v>
      </c>
      <c r="BM172" s="3">
        <f>BL172</f>
        <v>17694</v>
      </c>
      <c r="BN172" s="3">
        <f>BM172</f>
        <v>17694</v>
      </c>
      <c r="BO172" s="3">
        <f>BN172</f>
        <v>17694</v>
      </c>
      <c r="BP172" s="3">
        <f>BO172</f>
        <v>17694</v>
      </c>
      <c r="BQ172" s="3">
        <f>BP172</f>
        <v>17694</v>
      </c>
      <c r="BR172" s="3">
        <f>BQ172</f>
        <v>17694</v>
      </c>
      <c r="BS172" s="3">
        <f>BR172</f>
        <v>17694</v>
      </c>
      <c r="BT172" s="3">
        <f>BS172</f>
        <v>17694</v>
      </c>
      <c r="BU172" s="3">
        <f>BT172</f>
        <v>17694</v>
      </c>
      <c r="BV172" s="3">
        <f>BU172</f>
        <v>17694</v>
      </c>
      <c r="BW172" s="3">
        <f>BV172</f>
        <v>17694</v>
      </c>
      <c r="BX172" s="3">
        <f>BW172</f>
        <v>17694</v>
      </c>
      <c r="BY172" s="3">
        <f>BX172</f>
        <v>17694</v>
      </c>
      <c r="BZ172" s="3">
        <f>BY172</f>
        <v>17694</v>
      </c>
      <c r="CA172" s="3">
        <f>BZ172</f>
        <v>17694</v>
      </c>
      <c r="CB172" s="3">
        <f>CA172</f>
        <v>17694</v>
      </c>
      <c r="CC172" s="3">
        <f>CB172</f>
        <v>17694</v>
      </c>
      <c r="CD172" s="3">
        <f>CC172</f>
        <v>17694</v>
      </c>
      <c r="CE172" s="3">
        <f>CD172</f>
        <v>17694</v>
      </c>
      <c r="CF172" s="3">
        <f>CE172</f>
        <v>17694</v>
      </c>
      <c r="CG172" s="3">
        <f>CF172</f>
        <v>17694</v>
      </c>
      <c r="CH172" s="3">
        <f>CG172</f>
        <v>17694</v>
      </c>
      <c r="CI172" s="3">
        <f>CH172</f>
        <v>17694</v>
      </c>
      <c r="CJ172" s="3">
        <f>CI172</f>
        <v>17694</v>
      </c>
      <c r="CK172" s="3">
        <f>CJ172</f>
        <v>17694</v>
      </c>
      <c r="CL172" s="3">
        <f>CK172</f>
        <v>17694</v>
      </c>
      <c r="CM172" s="3">
        <f>CL172</f>
        <v>17694</v>
      </c>
      <c r="CN172" s="3">
        <f>CM172</f>
        <v>17694</v>
      </c>
      <c r="CO172" s="3">
        <f>CN172</f>
        <v>17694</v>
      </c>
      <c r="CP172" s="3">
        <f>CO172</f>
        <v>17694</v>
      </c>
      <c r="CQ172" s="3">
        <f>CP172</f>
        <v>17694</v>
      </c>
      <c r="CR172" s="3">
        <f>CQ172</f>
        <v>17694</v>
      </c>
      <c r="CS172" s="3">
        <f>CR172</f>
        <v>17694</v>
      </c>
      <c r="CT172" s="3">
        <f>CS172</f>
        <v>17694</v>
      </c>
      <c r="CU172" s="3">
        <f>CT172</f>
        <v>17694</v>
      </c>
      <c r="CV172" s="3">
        <f>CU172</f>
        <v>17694</v>
      </c>
      <c r="CW172" s="3">
        <f>CV172</f>
        <v>17694</v>
      </c>
      <c r="CX172" s="3">
        <f>CW172</f>
        <v>17694</v>
      </c>
      <c r="CY172" s="3">
        <f>CX172</f>
        <v>17694</v>
      </c>
    </row>
    <row r="173" hidden="1" outlineLevel="1">
      <c r="C173" s="38" t="inlineStr">
        <is>
          <t>%(Var.)</t>
        </is>
      </c>
      <c r="D173" s="3" t="n"/>
      <c r="E173" s="47">
        <f>IFERROR((E172-D172)/D172,0)</f>
        <v>0.0310188073803369</v>
      </c>
      <c r="F173" s="47">
        <f>IFERROR((F172-E172)/E172,0)</f>
        <v>0.0327656263508256</v>
      </c>
      <c r="G173" s="47">
        <f>IFERROR((G172-F172)/F172,0)</f>
        <v>0.0221831575422736</v>
      </c>
      <c r="H173" s="3" t="n"/>
      <c r="I173" s="47">
        <f>IFERROR((I172-H172)/H172,0)</f>
        <v>0.0316927360576529</v>
      </c>
      <c r="J173" s="47">
        <f>IFERROR((J172-I172)/I172,0)</f>
        <v>0.0301635180187331</v>
      </c>
      <c r="K173" s="47">
        <f>IFERROR((K172-J172)/J172,0)</f>
        <v>-0.00462320850670365</v>
      </c>
      <c r="L173" s="47">
        <f>IFERROR((L172-K172)/K172,0)</f>
        <v>0.00317386592351757</v>
      </c>
      <c r="M173" s="3" t="n"/>
      <c r="N173" s="47">
        <f>IFERROR((N172-M172)/M172,0)</f>
        <v>0.00254649278493711</v>
      </c>
      <c r="O173" s="47">
        <f>IFERROR((O172-N172)/N172,0)</f>
        <v>0.03125</v>
      </c>
      <c r="P173" s="47">
        <f>IFERROR((P172-O172)/O172,0)</f>
        <v>0.0208240035826243</v>
      </c>
      <c r="Q173" s="47">
        <f>IFERROR((Q172-P172)/P172,0)</f>
        <v>0.0514732763032829</v>
      </c>
      <c r="R173" s="3" t="n"/>
      <c r="S173" s="47">
        <f>IFERROR((S172-R172)/R172,0)</f>
        <v>0.00458938877685835</v>
      </c>
      <c r="T173" s="47">
        <f>IFERROR((T172-S172)/S172,0)</f>
        <v>0.00152280750328788</v>
      </c>
      <c r="U173" s="47">
        <f>IFERROR((U172-T172)/T172,0)</f>
        <v>-0.0186605846983205</v>
      </c>
      <c r="V173" s="47">
        <f>IFERROR((V172-U172)/U172,0)</f>
        <v>-0.00760616944855272</v>
      </c>
      <c r="W173" s="3" t="n"/>
      <c r="X173" s="47">
        <f>IFERROR((X172-W172)/W172,0)</f>
        <v>-0.0229224327584983</v>
      </c>
      <c r="Y173" s="47">
        <f>IFERROR((Y172-X172)/X172,0)</f>
        <v>-0.0117664148750726</v>
      </c>
      <c r="Z173" s="47">
        <f>IFERROR((Z172-Y172)/Y172,0)</f>
        <v>-0.00330736439805968</v>
      </c>
      <c r="AA173" s="47">
        <f>IFERROR((AA172-Z172)/Z172,0)</f>
        <v>0.00199100361330285</v>
      </c>
      <c r="AB173" s="3" t="n"/>
      <c r="AC173" s="47">
        <f>IFERROR((AC172-AB172)/AB172,0)</f>
        <v>0.00986164262584634</v>
      </c>
      <c r="AD173" s="47">
        <f>IFERROR((AD172-AC172)/AC172,0)</f>
        <v>0.0388427342952922</v>
      </c>
      <c r="AE173" s="47">
        <f>IFERROR((AE172-AD172)/AD172,0)</f>
        <v>0.0188705717292178</v>
      </c>
      <c r="AF173" s="218">
        <f>IFERROR((AF172-AE172)/AE172,0)</f>
        <v>0.0479895345634811</v>
      </c>
      <c r="AG173" s="3" t="n"/>
      <c r="AH173" s="218">
        <f>IFERROR((AH172-AG172)/AG172,0)</f>
        <v>0.0189212272518231</v>
      </c>
      <c r="AI173" s="218">
        <f>IFERROR((AI172-AH172)/AH172,0)</f>
        <v>0.140885937197756</v>
      </c>
      <c r="AJ173" s="218" t="n"/>
      <c r="AK173" s="218" t="n"/>
      <c r="AL173" s="3" t="n"/>
      <c r="AM173" s="218" t="n"/>
      <c r="AN173" s="218" t="n"/>
      <c r="AO173" s="218" t="n"/>
      <c r="AP173" s="218" t="n"/>
      <c r="AQ173" s="3" t="n"/>
      <c r="AR173" s="218" t="n"/>
      <c r="AS173" s="218" t="n"/>
      <c r="AT173" s="218" t="n"/>
      <c r="AU173" s="218" t="n"/>
      <c r="AV173" s="3" t="n"/>
      <c r="AW173" s="218" t="n"/>
      <c r="AX173" s="218" t="n"/>
      <c r="AY173" s="218" t="n"/>
      <c r="AZ173" s="218" t="n"/>
      <c r="BA173" s="3" t="n"/>
      <c r="BB173" s="218" t="n"/>
      <c r="BC173" s="218" t="n"/>
      <c r="BD173" s="218" t="n"/>
      <c r="BE173" s="218" t="n"/>
      <c r="BF173" s="3" t="n"/>
      <c r="BG173" s="218" t="n"/>
      <c r="BH173" s="218" t="n"/>
      <c r="BI173" s="218" t="n"/>
      <c r="BJ173" s="218" t="n"/>
      <c r="BK173" s="3" t="n"/>
      <c r="BL173" s="218" t="n"/>
      <c r="BM173" s="218" t="n"/>
      <c r="BN173" s="218" t="n"/>
      <c r="BO173" s="218" t="n"/>
      <c r="BP173" s="3" t="n"/>
      <c r="BQ173" s="218" t="n"/>
      <c r="BR173" s="218" t="n"/>
      <c r="BS173" s="218" t="n"/>
      <c r="BT173" s="218" t="n"/>
      <c r="BU173" s="3" t="n"/>
      <c r="BV173" s="218" t="n"/>
      <c r="BW173" s="218" t="n"/>
      <c r="BX173" s="218" t="n"/>
      <c r="BY173" s="218" t="n"/>
      <c r="BZ173" s="3" t="n"/>
      <c r="CA173" s="218" t="n"/>
      <c r="CB173" s="218" t="n"/>
      <c r="CC173" s="218" t="n"/>
      <c r="CD173" s="218" t="n"/>
      <c r="CE173" s="3" t="n"/>
      <c r="CF173" s="218" t="n"/>
      <c r="CG173" s="218" t="n"/>
      <c r="CH173" s="218" t="n"/>
      <c r="CI173" s="218" t="n"/>
      <c r="CJ173" s="3" t="n"/>
      <c r="CK173" s="218" t="n"/>
      <c r="CL173" s="218" t="n"/>
      <c r="CM173" s="218" t="n"/>
      <c r="CN173" s="218" t="n"/>
      <c r="CO173" s="3" t="n"/>
      <c r="CP173" s="218" t="n"/>
      <c r="CQ173" s="218" t="n"/>
      <c r="CR173" s="218" t="n"/>
      <c r="CS173" s="218" t="n"/>
      <c r="CT173" s="3" t="n"/>
      <c r="CU173" s="218" t="n"/>
      <c r="CV173" s="218" t="n"/>
      <c r="CW173" s="218" t="n"/>
      <c r="CX173" s="218" t="n"/>
      <c r="CY173" s="3" t="n"/>
    </row>
    <row r="174" hidden="1" outlineLevel="1">
      <c r="C174" s="34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  <c r="CU174" s="3" t="n"/>
      <c r="CV174" s="3" t="n"/>
      <c r="CW174" s="3" t="n"/>
      <c r="CX174" s="3" t="n"/>
      <c r="CY174" s="3" t="n"/>
    </row>
    <row r="175" collapsed="1">
      <c r="C175" s="26" t="inlineStr">
        <is>
          <t>Goodwill</t>
        </is>
      </c>
      <c r="D175" s="25">
        <f>INDEX('Inputs (2)'!$D$24:$AL$24,MATCH(D$7,'Inputs (2)'!$D$2:$AL$2,0))</f>
        <v>20734</v>
      </c>
      <c r="E175" s="25">
        <f>INDEX('Inputs (2)'!$D$24:$AL$24,MATCH(E$7,'Inputs (2)'!$D$2:$AL$2,0))</f>
        <v>20824</v>
      </c>
      <c r="F175" s="25">
        <f>INDEX('Inputs (2)'!$D$24:$AL$24,MATCH(F$7,'Inputs (2)'!$D$2:$AL$2,0))</f>
        <v>20870</v>
      </c>
      <c r="G175" s="25">
        <f>INDEX('Inputs (2)'!$D$24:$AL$24,MATCH(G$7,'Inputs (2)'!$D$2:$AL$2,0))</f>
        <v>21175</v>
      </c>
      <c r="H175" s="3">
        <f>G175</f>
        <v>21175</v>
      </c>
      <c r="I175" s="25">
        <f>INDEX('Inputs (2)'!$D$24:$AL$24,MATCH(I$7,'Inputs (2)'!$D$2:$AL$2,0))</f>
        <v>22341</v>
      </c>
      <c r="J175" s="25">
        <f>INDEX('Inputs (2)'!$D$24:$AL$24,MATCH(J$7,'Inputs (2)'!$D$2:$AL$2,0))</f>
        <v>22406</v>
      </c>
      <c r="K175" s="25">
        <f>INDEX('Inputs (2)'!$D$24:$AL$24,MATCH(K$7,'Inputs (2)'!$D$2:$AL$2,0))</f>
        <v>22623</v>
      </c>
      <c r="L175" s="25">
        <f>INDEX('Inputs (2)'!$D$24:$AL$24,MATCH(L$7,'Inputs (2)'!$D$2:$AL$2,0))</f>
        <v>22956</v>
      </c>
      <c r="M175" s="3">
        <f>L175</f>
        <v>22956</v>
      </c>
      <c r="N175" s="25">
        <f>INDEX('Inputs (2)'!$D$24:$AL$24,MATCH(N$7,'Inputs (2)'!$D$2:$AL$2,0))</f>
        <v>23010</v>
      </c>
      <c r="O175" s="25">
        <f>INDEX('Inputs (2)'!$D$24:$AL$24,MATCH(O$7,'Inputs (2)'!$D$2:$AL$2,0))</f>
        <v>23949</v>
      </c>
      <c r="P175" s="25">
        <f>INDEX('Inputs (2)'!$D$24:$AL$24,MATCH(P$7,'Inputs (2)'!$D$2:$AL$2,0))</f>
        <v>28834</v>
      </c>
      <c r="Q175" s="25">
        <f>INDEX('Inputs (2)'!$D$24:$AL$24,MATCH(Q$7,'Inputs (2)'!$D$2:$AL$2,0))</f>
        <v>28960</v>
      </c>
      <c r="R175" s="3">
        <f>Q175</f>
        <v>28960</v>
      </c>
      <c r="S175" s="25">
        <f>INDEX('Inputs (2)'!$D$24:$AL$24,MATCH(S$7,'Inputs (2)'!$D$2:$AL$2,0))</f>
        <v>28994</v>
      </c>
      <c r="T175" s="25">
        <f>INDEX('Inputs (2)'!$D$24:$AL$24,MATCH(T$7,'Inputs (2)'!$D$2:$AL$2,0))</f>
        <v>29210</v>
      </c>
      <c r="U175" s="25">
        <f>INDEX('Inputs (2)'!$D$24:$AL$24,MATCH(U$7,'Inputs (2)'!$D$2:$AL$2,0))</f>
        <v>29146</v>
      </c>
      <c r="V175" s="25">
        <f>INDEX('Inputs (2)'!$D$24:$AL$24,MATCH(V$7,'Inputs (2)'!$D$2:$AL$2,0))</f>
        <v>29198</v>
      </c>
      <c r="W175" s="3">
        <f>V175</f>
        <v>29198</v>
      </c>
      <c r="X175" s="25">
        <f>INDEX('Inputs (2)'!$D$24:$AL$24,MATCH(X$7,'Inputs (2)'!$D$2:$AL$2,0))</f>
        <v>29183</v>
      </c>
      <c r="Y175" s="25">
        <f>INDEX('Inputs (2)'!$D$24:$AL$24,MATCH(Y$7,'Inputs (2)'!$D$2:$AL$2,0))</f>
        <v>29185</v>
      </c>
      <c r="Z175" s="25">
        <f>INDEX('Inputs (2)'!$D$24:$AL$24,MATCH(Z$7,'Inputs (2)'!$D$2:$AL$2,0))</f>
        <v>31935</v>
      </c>
      <c r="AA175" s="25">
        <f>INDEX('Inputs (2)'!$D$24:$AL$24,MATCH(AA$7,'Inputs (2)'!$D$2:$AL$2,0))</f>
        <v>31885</v>
      </c>
      <c r="AB175" s="3">
        <f>AA175</f>
        <v>31885</v>
      </c>
      <c r="AC175" s="25">
        <f>INDEX('Inputs (2)'!$D$24:$AL$24,MATCH(AC$7,'Inputs (2)'!$D$2:$AL$2,0))</f>
        <v>32173</v>
      </c>
      <c r="AD175" s="25">
        <f>INDEX('Inputs (2)'!$D$24:$AL$24,MATCH(AD$7,'Inputs (2)'!$D$2:$AL$2,0))</f>
        <v>32335</v>
      </c>
      <c r="AE175" s="25">
        <f>INDEX('Inputs (2)'!$D$24:$AL$24,MATCH(AE$7,'Inputs (2)'!$D$2:$AL$2,0))</f>
        <v>33269</v>
      </c>
      <c r="AF175" s="25">
        <f>INDEX('Inputs (2)'!$D$24:$AL$24,MATCH(AF$7,'Inputs (2)'!$D$2:$AL$2,0))</f>
        <v>33380</v>
      </c>
      <c r="AG175" s="3">
        <f>AF175</f>
        <v>33380</v>
      </c>
      <c r="AH175" s="3">
        <f>INDEX('Inputs (2)'!$D$24:$AL$24,MATCH(AH$7,'Inputs (2)'!$D$2:$AL$2,0))</f>
        <v>57774</v>
      </c>
      <c r="AI175" s="3">
        <f>INDEX('Inputs (2)'!$D$24:$AL$24,MATCH(AI$7,'Inputs (2)'!$D$2:$AL$2,0))</f>
        <v>57828</v>
      </c>
      <c r="AJ175" s="3">
        <f>AI175</f>
        <v>57828</v>
      </c>
      <c r="AK175" s="3">
        <f>AJ175</f>
        <v>57828</v>
      </c>
      <c r="AL175" s="3">
        <f>AK175</f>
        <v>57828</v>
      </c>
      <c r="AM175" s="3">
        <f>AL175</f>
        <v>57828</v>
      </c>
      <c r="AN175" s="3">
        <f>AM175</f>
        <v>57828</v>
      </c>
      <c r="AO175" s="3">
        <f>AN175</f>
        <v>57828</v>
      </c>
      <c r="AP175" s="3">
        <f>AO175</f>
        <v>57828</v>
      </c>
      <c r="AQ175" s="3">
        <f>AP175</f>
        <v>57828</v>
      </c>
      <c r="AR175" s="3">
        <f>AQ175</f>
        <v>57828</v>
      </c>
      <c r="AS175" s="3">
        <f>AR175</f>
        <v>57828</v>
      </c>
      <c r="AT175" s="3">
        <f>AS175</f>
        <v>57828</v>
      </c>
      <c r="AU175" s="3">
        <f>AT175</f>
        <v>57828</v>
      </c>
      <c r="AV175" s="3">
        <f>AU175</f>
        <v>57828</v>
      </c>
      <c r="AW175" s="3">
        <f>AV175</f>
        <v>57828</v>
      </c>
      <c r="AX175" s="3">
        <f>AW175</f>
        <v>57828</v>
      </c>
      <c r="AY175" s="3">
        <f>AX175</f>
        <v>57828</v>
      </c>
      <c r="AZ175" s="3">
        <f>AY175</f>
        <v>57828</v>
      </c>
      <c r="BA175" s="3">
        <f>AZ175</f>
        <v>57828</v>
      </c>
      <c r="BB175" s="3">
        <f>BA175</f>
        <v>57828</v>
      </c>
      <c r="BC175" s="3">
        <f>BB175</f>
        <v>57828</v>
      </c>
      <c r="BD175" s="3">
        <f>BC175</f>
        <v>57828</v>
      </c>
      <c r="BE175" s="3">
        <f>BD175</f>
        <v>57828</v>
      </c>
      <c r="BF175" s="3">
        <f>BE175</f>
        <v>57828</v>
      </c>
      <c r="BG175" s="3">
        <f>BF175</f>
        <v>57828</v>
      </c>
      <c r="BH175" s="3">
        <f>BG175</f>
        <v>57828</v>
      </c>
      <c r="BI175" s="3">
        <f>BH175</f>
        <v>57828</v>
      </c>
      <c r="BJ175" s="3">
        <f>BI175</f>
        <v>57828</v>
      </c>
      <c r="BK175" s="3">
        <f>BJ175</f>
        <v>57828</v>
      </c>
      <c r="BL175" s="3">
        <f>BK175</f>
        <v>57828</v>
      </c>
      <c r="BM175" s="3">
        <f>BL175</f>
        <v>57828</v>
      </c>
      <c r="BN175" s="3">
        <f>BM175</f>
        <v>57828</v>
      </c>
      <c r="BO175" s="3">
        <f>BN175</f>
        <v>57828</v>
      </c>
      <c r="BP175" s="3">
        <f>BO175</f>
        <v>57828</v>
      </c>
      <c r="BQ175" s="3">
        <f>BP175</f>
        <v>57828</v>
      </c>
      <c r="BR175" s="3">
        <f>BQ175</f>
        <v>57828</v>
      </c>
      <c r="BS175" s="3">
        <f>BR175</f>
        <v>57828</v>
      </c>
      <c r="BT175" s="3">
        <f>BS175</f>
        <v>57828</v>
      </c>
      <c r="BU175" s="3">
        <f>BT175</f>
        <v>57828</v>
      </c>
      <c r="BV175" s="3">
        <f>BU175</f>
        <v>57828</v>
      </c>
      <c r="BW175" s="3">
        <f>BV175</f>
        <v>57828</v>
      </c>
      <c r="BX175" s="3">
        <f>BW175</f>
        <v>57828</v>
      </c>
      <c r="BY175" s="3">
        <f>BX175</f>
        <v>57828</v>
      </c>
      <c r="BZ175" s="3">
        <f>BY175</f>
        <v>57828</v>
      </c>
      <c r="CA175" s="3">
        <f>BZ175</f>
        <v>57828</v>
      </c>
      <c r="CB175" s="3">
        <f>CA175</f>
        <v>57828</v>
      </c>
      <c r="CC175" s="3">
        <f>CB175</f>
        <v>57828</v>
      </c>
      <c r="CD175" s="3">
        <f>CC175</f>
        <v>57828</v>
      </c>
      <c r="CE175" s="3">
        <f>CD175</f>
        <v>57828</v>
      </c>
      <c r="CF175" s="3">
        <f>CE175</f>
        <v>57828</v>
      </c>
      <c r="CG175" s="3">
        <f>CF175</f>
        <v>57828</v>
      </c>
      <c r="CH175" s="3">
        <f>CG175</f>
        <v>57828</v>
      </c>
      <c r="CI175" s="3">
        <f>CH175</f>
        <v>57828</v>
      </c>
      <c r="CJ175" s="3">
        <f>CI175</f>
        <v>57828</v>
      </c>
      <c r="CK175" s="3">
        <f>CJ175</f>
        <v>57828</v>
      </c>
      <c r="CL175" s="3">
        <f>CK175</f>
        <v>57828</v>
      </c>
      <c r="CM175" s="3">
        <f>CL175</f>
        <v>57828</v>
      </c>
      <c r="CN175" s="3">
        <f>CM175</f>
        <v>57828</v>
      </c>
      <c r="CO175" s="3">
        <f>CN175</f>
        <v>57828</v>
      </c>
      <c r="CP175" s="3">
        <f>CO175</f>
        <v>57828</v>
      </c>
      <c r="CQ175" s="3">
        <f>CP175</f>
        <v>57828</v>
      </c>
      <c r="CR175" s="3">
        <f>CQ175</f>
        <v>57828</v>
      </c>
      <c r="CS175" s="3">
        <f>CR175</f>
        <v>57828</v>
      </c>
      <c r="CT175" s="3">
        <f>CS175</f>
        <v>57828</v>
      </c>
      <c r="CU175" s="3">
        <f>CT175</f>
        <v>57828</v>
      </c>
      <c r="CV175" s="3">
        <f>CU175</f>
        <v>57828</v>
      </c>
      <c r="CW175" s="3">
        <f>CV175</f>
        <v>57828</v>
      </c>
      <c r="CX175" s="3">
        <f>CW175</f>
        <v>57828</v>
      </c>
      <c r="CY175" s="3">
        <f>CX175</f>
        <v>57828</v>
      </c>
    </row>
    <row r="176">
      <c r="C176" s="26" t="inlineStr">
        <is>
          <t>Intangibles</t>
        </is>
      </c>
      <c r="D176" s="25">
        <f>INDEX('Inputs (2)'!$D$25:$AL$25,MATCH(D$7,'Inputs (2)'!$D$2:$AL$2,0))</f>
        <v>1840</v>
      </c>
      <c r="E176" s="25">
        <f>INDEX('Inputs (2)'!$D$25:$AL$25,MATCH(E$7,'Inputs (2)'!$D$2:$AL$2,0))</f>
        <v>1697</v>
      </c>
      <c r="F176" s="25">
        <f>INDEX('Inputs (2)'!$D$25:$AL$25,MATCH(F$7,'Inputs (2)'!$D$2:$AL$2,0))</f>
        <v>1520</v>
      </c>
      <c r="G176" s="25">
        <f>INDEX('Inputs (2)'!$D$25:$AL$25,MATCH(G$7,'Inputs (2)'!$D$2:$AL$2,0))</f>
        <v>1445</v>
      </c>
      <c r="H176" s="3">
        <f>G176</f>
        <v>1445</v>
      </c>
      <c r="I176" s="25">
        <f>INDEX('Inputs (2)'!$D$25:$AL$25,MATCH(I$7,'Inputs (2)'!$D$2:$AL$2,0))</f>
        <v>1823</v>
      </c>
      <c r="J176" s="25">
        <f>INDEX('Inputs (2)'!$D$25:$AL$25,MATCH(J$7,'Inputs (2)'!$D$2:$AL$2,0))</f>
        <v>1626</v>
      </c>
      <c r="K176" s="25">
        <f>INDEX('Inputs (2)'!$D$25:$AL$25,MATCH(K$7,'Inputs (2)'!$D$2:$AL$2,0))</f>
        <v>1549</v>
      </c>
      <c r="L176" s="25">
        <f>INDEX('Inputs (2)'!$D$25:$AL$25,MATCH(L$7,'Inputs (2)'!$D$2:$AL$2,0))</f>
        <v>1417</v>
      </c>
      <c r="M176" s="3">
        <f>L176</f>
        <v>1417</v>
      </c>
      <c r="N176" s="25">
        <f>INDEX('Inputs (2)'!$D$25:$AL$25,MATCH(N$7,'Inputs (2)'!$D$2:$AL$2,0))</f>
        <v>1313</v>
      </c>
      <c r="O176" s="25">
        <f>INDEX('Inputs (2)'!$D$25:$AL$25,MATCH(O$7,'Inputs (2)'!$D$2:$AL$2,0))</f>
        <v>1377</v>
      </c>
      <c r="P176" s="25">
        <f>INDEX('Inputs (2)'!$D$25:$AL$25,MATCH(P$7,'Inputs (2)'!$D$2:$AL$2,0))</f>
        <v>2192</v>
      </c>
      <c r="Q176" s="25">
        <f>INDEX('Inputs (2)'!$D$25:$AL$25,MATCH(Q$7,'Inputs (2)'!$D$2:$AL$2,0))</f>
        <v>2084</v>
      </c>
      <c r="R176" s="3">
        <f>Q176</f>
        <v>2084</v>
      </c>
      <c r="S176" s="25">
        <f>INDEX('Inputs (2)'!$D$25:$AL$25,MATCH(S$7,'Inputs (2)'!$D$2:$AL$2,0))</f>
        <v>1968</v>
      </c>
      <c r="T176" s="25">
        <f>INDEX('Inputs (2)'!$D$25:$AL$25,MATCH(T$7,'Inputs (2)'!$D$2:$AL$2,0))</f>
        <v>1966</v>
      </c>
      <c r="U176" s="25">
        <f>INDEX('Inputs (2)'!$D$25:$AL$25,MATCH(U$7,'Inputs (2)'!$D$2:$AL$2,0))</f>
        <v>1833</v>
      </c>
      <c r="V176" s="25">
        <f>INDEX('Inputs (2)'!$D$25:$AL$25,MATCH(V$7,'Inputs (2)'!$D$2:$AL$2,0))</f>
        <v>0</v>
      </c>
      <c r="W176" s="3">
        <f>V176</f>
        <v>0</v>
      </c>
      <c r="X176" s="25">
        <f>INDEX('Inputs (2)'!$D$25:$AL$25,MATCH(X$7,'Inputs (2)'!$D$2:$AL$2,0))</f>
        <v>0</v>
      </c>
      <c r="Y176" s="25">
        <f>INDEX('Inputs (2)'!$D$25:$AL$25,MATCH(Y$7,'Inputs (2)'!$D$2:$AL$2,0))</f>
        <v>0</v>
      </c>
      <c r="Z176" s="25">
        <f>INDEX('Inputs (2)'!$D$25:$AL$25,MATCH(Z$7,'Inputs (2)'!$D$2:$AL$2,0))</f>
        <v>0</v>
      </c>
      <c r="AA176" s="25">
        <f>INDEX('Inputs (2)'!$D$25:$AL$25,MATCH(AA$7,'Inputs (2)'!$D$2:$AL$2,0))</f>
        <v>0</v>
      </c>
      <c r="AB176" s="3">
        <f>AA176</f>
        <v>0</v>
      </c>
      <c r="AC176" s="25">
        <f>INDEX('Inputs (2)'!$D$25:$AL$25,MATCH(AC$7,'Inputs (2)'!$D$2:$AL$2,0))</f>
        <v>0</v>
      </c>
      <c r="AD176" s="25">
        <f>INDEX('Inputs (2)'!$D$25:$AL$25,MATCH(AD$7,'Inputs (2)'!$D$2:$AL$2,0))</f>
        <v>0</v>
      </c>
      <c r="AE176" s="25">
        <f>INDEX('Inputs (2)'!$D$25:$AL$25,MATCH(AE$7,'Inputs (2)'!$D$2:$AL$2,0))</f>
        <v>0</v>
      </c>
      <c r="AF176" s="25">
        <f>INDEX('Inputs (2)'!$D$25:$AL$25,MATCH(AF$7,'Inputs (2)'!$D$2:$AL$2,0))</f>
        <v>0</v>
      </c>
      <c r="AG176" s="3">
        <f>AF176</f>
        <v>0</v>
      </c>
      <c r="AH176" s="3">
        <f>INDEX('Inputs (2)'!$D$25:$AL$25,MATCH(AH$7,'Inputs (2)'!$D$2:$AL$2,0))</f>
        <v>9444</v>
      </c>
      <c r="AI176" s="3">
        <f>INDEX('Inputs (2)'!$D$25:$AL$25,MATCH(AI$7,'Inputs (2)'!$D$2:$AL$2,0))</f>
        <v>9105</v>
      </c>
      <c r="AJ176" s="3" t="n"/>
      <c r="AK176" s="3" t="n"/>
      <c r="AL176" s="3">
        <f>AK176</f>
        <v>0</v>
      </c>
      <c r="AN176" s="3" t="n"/>
      <c r="AO176" s="3" t="n"/>
      <c r="AP176" s="3" t="n"/>
      <c r="AQ176" s="3">
        <f>AP176</f>
        <v>0</v>
      </c>
      <c r="AS176" s="3" t="n"/>
      <c r="AT176" s="3" t="n"/>
      <c r="AU176" s="3" t="n"/>
      <c r="AV176" s="3">
        <f>AU176</f>
        <v>0</v>
      </c>
      <c r="AX176" s="3" t="n"/>
      <c r="AY176" s="3" t="n"/>
      <c r="AZ176" s="3" t="n"/>
      <c r="BA176" s="3">
        <f>AZ176</f>
        <v>0</v>
      </c>
      <c r="BC176" s="3" t="n"/>
      <c r="BD176" s="3" t="n"/>
      <c r="BE176" s="3" t="n"/>
      <c r="BF176" s="3">
        <f>BE176</f>
        <v>0</v>
      </c>
      <c r="BH176" s="3" t="n"/>
      <c r="BI176" s="3" t="n"/>
      <c r="BJ176" s="3" t="n"/>
      <c r="BK176" s="3">
        <f>BJ176</f>
        <v>0</v>
      </c>
      <c r="BM176" s="3" t="n"/>
      <c r="BN176" s="3" t="n"/>
      <c r="BO176" s="3" t="n"/>
      <c r="BP176" s="3">
        <f>BO176</f>
        <v>0</v>
      </c>
      <c r="BR176" s="3" t="n"/>
      <c r="BS176" s="3" t="n"/>
      <c r="BT176" s="3" t="n"/>
      <c r="BU176" s="3">
        <f>BT176</f>
        <v>0</v>
      </c>
      <c r="BW176" s="3" t="n"/>
      <c r="BX176" s="3" t="n"/>
      <c r="BY176" s="3" t="n"/>
      <c r="BZ176" s="3">
        <f>BY176</f>
        <v>0</v>
      </c>
      <c r="CB176" s="3" t="n"/>
      <c r="CC176" s="3" t="n"/>
      <c r="CD176" s="3" t="n"/>
      <c r="CE176" s="3">
        <f>CD176</f>
        <v>0</v>
      </c>
      <c r="CG176" s="3" t="n"/>
      <c r="CH176" s="3" t="n"/>
      <c r="CI176" s="3" t="n"/>
      <c r="CJ176" s="3">
        <f>CI176</f>
        <v>0</v>
      </c>
      <c r="CL176" s="3" t="n"/>
      <c r="CM176" s="3" t="n"/>
      <c r="CN176" s="3" t="n"/>
      <c r="CO176" s="3">
        <f>CN176</f>
        <v>0</v>
      </c>
      <c r="CQ176" s="3" t="n"/>
      <c r="CR176" s="3" t="n"/>
      <c r="CS176" s="3" t="n"/>
      <c r="CT176" s="3">
        <f>CS176</f>
        <v>0</v>
      </c>
      <c r="CV176" s="3" t="n"/>
      <c r="CW176" s="3" t="n"/>
      <c r="CX176" s="3" t="n"/>
      <c r="CY176" s="3">
        <f>CX176</f>
        <v>0</v>
      </c>
    </row>
    <row r="177" hidden="1" outlineLevel="1">
      <c r="C177" s="34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hidden="1" outlineLevel="1">
      <c r="C178" s="34" t="inlineStr">
        <is>
          <t>Purchase of intangible assets</t>
        </is>
      </c>
      <c r="D178" s="3" t="n"/>
      <c r="E178" s="3">
        <f>E176-D176-E80</f>
        <v>-143</v>
      </c>
      <c r="F178" s="3">
        <f>F176-E176-F80</f>
        <v>-177</v>
      </c>
      <c r="G178" s="3">
        <f>G176-F176-G80</f>
        <v>-75</v>
      </c>
      <c r="H178" s="3" t="n"/>
      <c r="I178" s="3">
        <f>I176-H176-I80</f>
        <v>378</v>
      </c>
      <c r="J178" s="3">
        <f>J176-I176-J80</f>
        <v>-197</v>
      </c>
      <c r="K178" s="3">
        <f>K176-J176-K80</f>
        <v>-77</v>
      </c>
      <c r="L178" s="3">
        <f>L176-K176-L80</f>
        <v>-132</v>
      </c>
      <c r="M178" s="3" t="n"/>
      <c r="N178" s="3">
        <f>N176-M176-N80</f>
        <v>-104</v>
      </c>
      <c r="O178" s="3">
        <f>O176-N176-O80</f>
        <v>64</v>
      </c>
      <c r="P178" s="3">
        <f>P176-O176-P80</f>
        <v>815</v>
      </c>
      <c r="Q178" s="3">
        <f>Q176-P176-Q80</f>
        <v>-108</v>
      </c>
      <c r="R178" s="3" t="n"/>
      <c r="S178" s="3">
        <f>S176-R176-S80</f>
        <v>-116</v>
      </c>
      <c r="T178" s="3">
        <f>T176-S176-T80</f>
        <v>-2</v>
      </c>
      <c r="U178" s="3">
        <f>U176-T176-U80</f>
        <v>-133</v>
      </c>
      <c r="V178" s="3">
        <f>V176-U176-V80</f>
        <v>-1833</v>
      </c>
      <c r="W178" s="3" t="n"/>
      <c r="X178" s="3">
        <f>X176-W176-X80</f>
        <v>0</v>
      </c>
      <c r="Y178" s="3">
        <f>Y176-X176-Y80</f>
        <v>0</v>
      </c>
      <c r="Z178" s="3">
        <f>Z176-Y176-Z80</f>
        <v>0</v>
      </c>
      <c r="AA178" s="3">
        <f>AA176-Z176-AA80</f>
        <v>0</v>
      </c>
      <c r="AB178" s="3" t="n"/>
      <c r="AC178" s="3">
        <f>AC176-AB176-AC80</f>
        <v>0</v>
      </c>
      <c r="AD178" s="3">
        <f>AD176-AC176-AD80</f>
        <v>0</v>
      </c>
      <c r="AE178" s="3">
        <f>AE176-AD176-AE80</f>
        <v>0</v>
      </c>
      <c r="AF178" s="3" t="n"/>
      <c r="AG178" s="3" t="n"/>
      <c r="AH178" s="6">
        <f>AH176-AG176-AH80</f>
        <v>9444</v>
      </c>
      <c r="AI178" s="6">
        <f>AI176-AH176-AI80</f>
        <v>-339</v>
      </c>
      <c r="AJ178" s="6" t="n"/>
      <c r="AK178" s="6" t="n"/>
      <c r="AL178" s="3" t="n"/>
      <c r="AM178" s="6" t="n"/>
      <c r="AN178" s="6" t="n"/>
      <c r="AO178" s="6" t="n"/>
      <c r="AP178" s="6" t="n"/>
      <c r="AQ178" s="3" t="n"/>
      <c r="AR178" s="6" t="n"/>
      <c r="AS178" s="6" t="n"/>
      <c r="AT178" s="6" t="n"/>
      <c r="AU178" s="6" t="n"/>
      <c r="AV178" s="3" t="n"/>
      <c r="AW178" s="6" t="n"/>
      <c r="AX178" s="6" t="n"/>
      <c r="AY178" s="6" t="n"/>
      <c r="AZ178" s="6" t="n"/>
      <c r="BA178" s="3" t="n"/>
      <c r="BB178" s="6" t="n"/>
      <c r="BC178" s="6" t="n"/>
      <c r="BD178" s="6" t="n"/>
      <c r="BE178" s="6" t="n"/>
      <c r="BF178" s="3" t="n"/>
      <c r="BG178" s="6" t="n"/>
      <c r="BH178" s="6" t="n"/>
      <c r="BI178" s="6" t="n"/>
      <c r="BJ178" s="6" t="n"/>
      <c r="BK178" s="3" t="n"/>
      <c r="BL178" s="6" t="n"/>
      <c r="BM178" s="6" t="n"/>
      <c r="BN178" s="6" t="n"/>
      <c r="BO178" s="6" t="n"/>
      <c r="BP178" s="3" t="n"/>
      <c r="BQ178" s="6" t="n"/>
      <c r="BR178" s="6" t="n"/>
      <c r="BS178" s="6" t="n"/>
      <c r="BT178" s="6" t="n"/>
      <c r="BU178" s="3" t="n"/>
      <c r="BV178" s="6" t="n"/>
      <c r="BW178" s="6" t="n"/>
      <c r="BX178" s="6" t="n"/>
      <c r="BY178" s="6" t="n"/>
      <c r="BZ178" s="3" t="n"/>
      <c r="CA178" s="6" t="n"/>
      <c r="CB178" s="6" t="n"/>
      <c r="CC178" s="6" t="n"/>
      <c r="CD178" s="6" t="n"/>
      <c r="CE178" s="3" t="n"/>
      <c r="CF178" s="6" t="n"/>
      <c r="CG178" s="6" t="n"/>
      <c r="CH178" s="6" t="n"/>
      <c r="CI178" s="6" t="n"/>
      <c r="CJ178" s="3" t="n"/>
      <c r="CK178" s="6" t="n"/>
      <c r="CL178" s="6" t="n"/>
      <c r="CM178" s="6" t="n"/>
      <c r="CN178" s="6" t="n"/>
      <c r="CO178" s="3" t="n"/>
      <c r="CP178" s="6" t="n"/>
      <c r="CQ178" s="6" t="n"/>
      <c r="CR178" s="6" t="n"/>
      <c r="CS178" s="6" t="n"/>
      <c r="CT178" s="3" t="n"/>
      <c r="CU178" s="6" t="n"/>
      <c r="CV178" s="6" t="n"/>
      <c r="CW178" s="6" t="n"/>
      <c r="CX178" s="6" t="n"/>
      <c r="CY178" s="3" t="n"/>
    </row>
    <row r="179" hidden="1" outlineLevel="1">
      <c r="C179" s="34" t="inlineStr">
        <is>
          <t>Amortization (enter as -)</t>
        </is>
      </c>
      <c r="D179" s="3" t="n"/>
      <c r="E179" s="3">
        <f>E79</f>
        <v>0</v>
      </c>
      <c r="F179" s="3">
        <f>F79</f>
        <v>0</v>
      </c>
      <c r="G179" s="3">
        <f>G79</f>
        <v>0</v>
      </c>
      <c r="H179" s="3" t="n"/>
      <c r="I179" s="3">
        <f>I79</f>
        <v>0</v>
      </c>
      <c r="J179" s="3">
        <f>J79</f>
        <v>0</v>
      </c>
      <c r="K179" s="3">
        <f>K79</f>
        <v>0</v>
      </c>
      <c r="L179" s="3">
        <f>L79</f>
        <v>0</v>
      </c>
      <c r="M179" s="3" t="n"/>
      <c r="N179" s="3">
        <f>N79</f>
        <v>0</v>
      </c>
      <c r="O179" s="3">
        <f>O79</f>
        <v>0</v>
      </c>
      <c r="P179" s="3">
        <f>P79</f>
        <v>0</v>
      </c>
      <c r="Q179" s="3">
        <f>Q79</f>
        <v>0</v>
      </c>
      <c r="R179" s="3" t="n"/>
      <c r="S179" s="3">
        <f>S79</f>
        <v>0</v>
      </c>
      <c r="T179" s="3">
        <f>T79</f>
        <v>0</v>
      </c>
      <c r="U179" s="3">
        <f>U79</f>
        <v>0</v>
      </c>
      <c r="V179" s="3">
        <f>V79</f>
        <v>0</v>
      </c>
      <c r="W179" s="3" t="n"/>
      <c r="X179" s="3">
        <f>X79</f>
        <v>0</v>
      </c>
      <c r="Y179" s="3">
        <f>Y79</f>
        <v>0</v>
      </c>
      <c r="Z179" s="3">
        <f>Z79</f>
        <v>0</v>
      </c>
      <c r="AA179" s="3">
        <f>AA79</f>
        <v>0</v>
      </c>
      <c r="AB179" s="3" t="n"/>
      <c r="AC179" s="3">
        <f>AC79</f>
        <v>0</v>
      </c>
      <c r="AD179" s="3">
        <f>AD79</f>
        <v>0</v>
      </c>
      <c r="AE179" s="3">
        <f>AE79</f>
        <v>0</v>
      </c>
      <c r="AF179" s="3" t="n"/>
      <c r="AG179" s="3" t="n"/>
      <c r="AH179" s="3">
        <f>AH79</f>
        <v>0</v>
      </c>
      <c r="AI179" s="6">
        <f>AI79</f>
        <v>0</v>
      </c>
      <c r="AJ179" s="6" t="n"/>
      <c r="AK179" s="6" t="n"/>
      <c r="AL179" s="3" t="n"/>
      <c r="AM179" s="6" t="n"/>
      <c r="AN179" s="6" t="n"/>
      <c r="AO179" s="6" t="n"/>
      <c r="AP179" s="6" t="n"/>
      <c r="AQ179" s="3" t="n"/>
      <c r="AR179" s="6" t="n"/>
      <c r="AS179" s="6" t="n"/>
      <c r="AT179" s="6" t="n"/>
      <c r="AU179" s="6" t="n"/>
      <c r="AV179" s="3" t="n"/>
      <c r="AW179" s="6" t="n"/>
      <c r="AX179" s="6" t="n"/>
      <c r="AY179" s="6" t="n"/>
      <c r="AZ179" s="6" t="n"/>
      <c r="BA179" s="3" t="n"/>
      <c r="BB179" s="6" t="n"/>
      <c r="BC179" s="6" t="n"/>
      <c r="BD179" s="6" t="n"/>
      <c r="BE179" s="6" t="n"/>
      <c r="BF179" s="3" t="n"/>
      <c r="BG179" s="6" t="n"/>
      <c r="BH179" s="6" t="n"/>
      <c r="BI179" s="6" t="n"/>
      <c r="BJ179" s="6" t="n"/>
      <c r="BK179" s="3" t="n"/>
      <c r="BL179" s="6" t="n"/>
      <c r="BM179" s="6" t="n"/>
      <c r="BN179" s="6" t="n"/>
      <c r="BO179" s="6" t="n"/>
      <c r="BP179" s="3" t="n"/>
      <c r="BQ179" s="6" t="n"/>
      <c r="BR179" s="6" t="n"/>
      <c r="BS179" s="6" t="n"/>
      <c r="BT179" s="6" t="n"/>
      <c r="BU179" s="3" t="n"/>
      <c r="BV179" s="6" t="n"/>
      <c r="BW179" s="6" t="n"/>
      <c r="BX179" s="6" t="n"/>
      <c r="BY179" s="6" t="n"/>
      <c r="BZ179" s="3" t="n"/>
      <c r="CA179" s="6" t="n"/>
      <c r="CB179" s="6" t="n"/>
      <c r="CC179" s="6" t="n"/>
      <c r="CD179" s="6" t="n"/>
      <c r="CE179" s="3" t="n"/>
      <c r="CF179" s="6" t="n"/>
      <c r="CG179" s="6" t="n"/>
      <c r="CH179" s="6" t="n"/>
      <c r="CI179" s="6" t="n"/>
      <c r="CJ179" s="3" t="n"/>
      <c r="CK179" s="6" t="n"/>
      <c r="CL179" s="6" t="n"/>
      <c r="CM179" s="6" t="n"/>
      <c r="CN179" s="6" t="n"/>
      <c r="CO179" s="3" t="n"/>
      <c r="CP179" s="6" t="n"/>
      <c r="CQ179" s="6" t="n"/>
      <c r="CR179" s="6" t="n"/>
      <c r="CS179" s="6" t="n"/>
      <c r="CT179" s="3" t="n"/>
      <c r="CU179" s="6" t="n"/>
      <c r="CV179" s="6" t="n"/>
      <c r="CW179" s="6" t="n"/>
      <c r="CX179" s="6" t="n"/>
      <c r="CY179" s="3" t="n"/>
    </row>
    <row r="180" hidden="1" outlineLevel="1">
      <c r="C180" s="34" t="inlineStr">
        <is>
          <t>Intangibles</t>
        </is>
      </c>
      <c r="D180" s="3" t="n"/>
      <c r="E180" s="3">
        <f>E176</f>
        <v>1697</v>
      </c>
      <c r="F180" s="3">
        <f>F176</f>
        <v>1520</v>
      </c>
      <c r="G180" s="3">
        <f>G176</f>
        <v>1445</v>
      </c>
      <c r="H180" s="3" t="n"/>
      <c r="I180" s="3">
        <f>I176</f>
        <v>1823</v>
      </c>
      <c r="J180" s="3">
        <f>J176</f>
        <v>1626</v>
      </c>
      <c r="K180" s="3">
        <f>K176</f>
        <v>1549</v>
      </c>
      <c r="L180" s="3">
        <f>L176</f>
        <v>1417</v>
      </c>
      <c r="M180" s="3" t="n"/>
      <c r="N180" s="3">
        <f>N176</f>
        <v>1313</v>
      </c>
      <c r="O180" s="3">
        <f>O176</f>
        <v>1377</v>
      </c>
      <c r="P180" s="3">
        <f>P176</f>
        <v>2192</v>
      </c>
      <c r="Q180" s="3">
        <f>Q176</f>
        <v>2084</v>
      </c>
      <c r="R180" s="3" t="n"/>
      <c r="S180" s="3">
        <f>S176</f>
        <v>1968</v>
      </c>
      <c r="T180" s="3">
        <f>T176</f>
        <v>1966</v>
      </c>
      <c r="U180" s="3">
        <f>U176</f>
        <v>1833</v>
      </c>
      <c r="V180" s="3">
        <f>V176</f>
        <v>0</v>
      </c>
      <c r="W180" s="3" t="n"/>
      <c r="X180" s="3">
        <f>X176</f>
        <v>0</v>
      </c>
      <c r="Y180" s="3">
        <f>Y176</f>
        <v>0</v>
      </c>
      <c r="Z180" s="3">
        <f>Z176</f>
        <v>0</v>
      </c>
      <c r="AA180" s="3">
        <f>AA176</f>
        <v>0</v>
      </c>
      <c r="AB180" s="3" t="n"/>
      <c r="AC180" s="3">
        <f>AC176</f>
        <v>0</v>
      </c>
      <c r="AD180" s="3">
        <f>AD176</f>
        <v>0</v>
      </c>
      <c r="AE180" s="3">
        <f>AE176</f>
        <v>0</v>
      </c>
      <c r="AF180" s="3">
        <f>AF176</f>
        <v>0</v>
      </c>
      <c r="AG180" s="3" t="n"/>
      <c r="AH180" s="3">
        <f>AH176</f>
        <v>9444</v>
      </c>
      <c r="AI180" s="3">
        <f>AI176</f>
        <v>9105</v>
      </c>
      <c r="AJ180" s="3">
        <f>AI180+SUM(AJ178:AJ179)</f>
        <v>9105</v>
      </c>
      <c r="AK180" s="3">
        <f>AJ180+SUM(AK178:AK179)</f>
        <v>9105</v>
      </c>
      <c r="AL180" s="3" t="n"/>
      <c r="AM180" s="3">
        <f>AK180+SUM(AM178:AM179)</f>
        <v>9105</v>
      </c>
      <c r="AN180" s="3">
        <f>AM180+SUM(AN178:AN179)</f>
        <v>9105</v>
      </c>
      <c r="AO180" s="3">
        <f>AN180+SUM(AO178:AO179)</f>
        <v>9105</v>
      </c>
      <c r="AP180" s="3">
        <f>AO180+SUM(AP178:AP179)</f>
        <v>9105</v>
      </c>
      <c r="AQ180" s="3" t="n"/>
      <c r="AR180" s="3">
        <f>AP180+SUM(AR178:AR179)</f>
        <v>9105</v>
      </c>
      <c r="AS180" s="3">
        <f>AR180+SUM(AS178:AS179)</f>
        <v>9105</v>
      </c>
      <c r="AT180" s="3">
        <f>AS180+SUM(AT178:AT179)</f>
        <v>9105</v>
      </c>
      <c r="AU180" s="3">
        <f>AT180+SUM(AU178:AU179)</f>
        <v>9105</v>
      </c>
      <c r="AV180" s="3" t="n"/>
      <c r="AW180" s="3">
        <f>AU180+SUM(AW178:AW179)</f>
        <v>9105</v>
      </c>
      <c r="AX180" s="3">
        <f>AW180+SUM(AX178:AX179)</f>
        <v>9105</v>
      </c>
      <c r="AY180" s="3">
        <f>AX180+SUM(AY178:AY179)</f>
        <v>9105</v>
      </c>
      <c r="AZ180" s="3">
        <f>AY180+SUM(AZ178:AZ179)</f>
        <v>9105</v>
      </c>
      <c r="BA180" s="3" t="n"/>
      <c r="BB180" s="3">
        <f>AZ180+SUM(BB178:BB179)</f>
        <v>9105</v>
      </c>
      <c r="BC180" s="3">
        <f>BB180+SUM(BC178:BC179)</f>
        <v>9105</v>
      </c>
      <c r="BD180" s="3">
        <f>BC180+SUM(BD178:BD179)</f>
        <v>9105</v>
      </c>
      <c r="BE180" s="3">
        <f>BD180+SUM(BE178:BE179)</f>
        <v>9105</v>
      </c>
      <c r="BF180" s="3" t="n"/>
      <c r="BG180" s="3">
        <f>BE180+SUM(BG178:BG179)</f>
        <v>9105</v>
      </c>
      <c r="BH180" s="3">
        <f>BG180+SUM(BH178:BH179)</f>
        <v>9105</v>
      </c>
      <c r="BI180" s="3">
        <f>BH180+SUM(BI178:BI179)</f>
        <v>9105</v>
      </c>
      <c r="BJ180" s="3">
        <f>BI180+SUM(BJ178:BJ179)</f>
        <v>9105</v>
      </c>
      <c r="BK180" s="3" t="n"/>
      <c r="BL180" s="3">
        <f>BJ180+SUM(BL178:BL179)</f>
        <v>9105</v>
      </c>
      <c r="BM180" s="3">
        <f>BL180+SUM(BM178:BM179)</f>
        <v>9105</v>
      </c>
      <c r="BN180" s="3">
        <f>BM180+SUM(BN178:BN179)</f>
        <v>9105</v>
      </c>
      <c r="BO180" s="3">
        <f>BN180+SUM(BO178:BO179)</f>
        <v>9105</v>
      </c>
      <c r="BP180" s="3" t="n"/>
      <c r="BQ180" s="3">
        <f>BO180+SUM(BQ178:BQ179)</f>
        <v>9105</v>
      </c>
      <c r="BR180" s="3">
        <f>BQ180+SUM(BR178:BR179)</f>
        <v>9105</v>
      </c>
      <c r="BS180" s="3">
        <f>BR180+SUM(BS178:BS179)</f>
        <v>9105</v>
      </c>
      <c r="BT180" s="3">
        <f>BS180+SUM(BT178:BT179)</f>
        <v>9105</v>
      </c>
      <c r="BU180" s="3" t="n"/>
      <c r="BV180" s="3">
        <f>BT180+SUM(BV178:BV179)</f>
        <v>9105</v>
      </c>
      <c r="BW180" s="3">
        <f>BV180+SUM(BW178:BW179)</f>
        <v>9105</v>
      </c>
      <c r="BX180" s="3">
        <f>BW180+SUM(BX178:BX179)</f>
        <v>9105</v>
      </c>
      <c r="BY180" s="3">
        <f>BX180+SUM(BY178:BY179)</f>
        <v>9105</v>
      </c>
      <c r="BZ180" s="3" t="n"/>
      <c r="CA180" s="3">
        <f>BY180+SUM(CA178:CA179)</f>
        <v>9105</v>
      </c>
      <c r="CB180" s="3">
        <f>CA180+SUM(CB178:CB179)</f>
        <v>9105</v>
      </c>
      <c r="CC180" s="3">
        <f>CB180+SUM(CC178:CC179)</f>
        <v>9105</v>
      </c>
      <c r="CD180" s="3">
        <f>CC180+SUM(CD178:CD179)</f>
        <v>9105</v>
      </c>
      <c r="CE180" s="3" t="n"/>
      <c r="CF180" s="3">
        <f>CD180+SUM(CF178:CF179)</f>
        <v>9105</v>
      </c>
      <c r="CG180" s="3">
        <f>CF180+SUM(CG178:CG179)</f>
        <v>9105</v>
      </c>
      <c r="CH180" s="3">
        <f>CG180+SUM(CH178:CH179)</f>
        <v>9105</v>
      </c>
      <c r="CI180" s="3">
        <f>CH180+SUM(CI178:CI179)</f>
        <v>9105</v>
      </c>
      <c r="CJ180" s="3" t="n"/>
      <c r="CK180" s="3">
        <f>CI180+SUM(CK178:CK179)</f>
        <v>9105</v>
      </c>
      <c r="CL180" s="3">
        <f>CK180+SUM(CL178:CL179)</f>
        <v>9105</v>
      </c>
      <c r="CM180" s="3">
        <f>CL180+SUM(CM178:CM179)</f>
        <v>9105</v>
      </c>
      <c r="CN180" s="3">
        <f>CM180+SUM(CN178:CN179)</f>
        <v>9105</v>
      </c>
      <c r="CO180" s="3" t="n"/>
      <c r="CP180" s="3">
        <f>CN180+SUM(CP178:CP179)</f>
        <v>9105</v>
      </c>
      <c r="CQ180" s="3">
        <f>CP180+SUM(CQ178:CQ179)</f>
        <v>9105</v>
      </c>
      <c r="CR180" s="3">
        <f>CQ180+SUM(CR178:CR179)</f>
        <v>9105</v>
      </c>
      <c r="CS180" s="3">
        <f>CR180+SUM(CS178:CS179)</f>
        <v>9105</v>
      </c>
      <c r="CT180" s="3" t="n"/>
      <c r="CU180" s="3">
        <f>CS180+SUM(CU178:CU179)</f>
        <v>9105</v>
      </c>
      <c r="CV180" s="3">
        <f>CU180+SUM(CV178:CV179)</f>
        <v>9105</v>
      </c>
      <c r="CW180" s="3">
        <f>CV180+SUM(CW178:CW179)</f>
        <v>9105</v>
      </c>
      <c r="CX180" s="3">
        <f>CW180+SUM(CX178:CX179)</f>
        <v>9105</v>
      </c>
      <c r="CY180" s="3" t="n"/>
      <c r="CZ180">
        <f>CX180+SUM(CZ178:CZ179)</f>
        <v>9105</v>
      </c>
      <c r="DA180">
        <f>CZ180+SUM(DA178:DA179)</f>
        <v>9105</v>
      </c>
      <c r="DB180">
        <f>DA180+SUM(DB178:DB179)</f>
        <v>9105</v>
      </c>
      <c r="DC180">
        <f>DB180+SUM(DC178:DC179)</f>
        <v>9105</v>
      </c>
    </row>
    <row r="181" hidden="1" outlineLevel="1">
      <c r="C181" s="34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  <c r="CU181" s="3" t="n"/>
      <c r="CV181" s="3" t="n"/>
      <c r="CW181" s="3" t="n"/>
      <c r="CX181" s="3" t="n"/>
      <c r="CY181" s="3" t="n"/>
    </row>
    <row r="182" hidden="1" outlineLevel="1">
      <c r="C182" s="34" t="inlineStr">
        <is>
          <t>Definir % do D&amp;A No PPE and Intagibles</t>
        </is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  <c r="CI182" s="3" t="n"/>
      <c r="CJ182" s="3" t="n"/>
      <c r="CK182" s="3" t="n"/>
      <c r="CL182" s="3" t="n"/>
      <c r="CM182" s="3" t="n"/>
      <c r="CN182" s="3" t="n"/>
      <c r="CO182" s="3" t="n"/>
      <c r="CP182" s="3" t="n"/>
      <c r="CQ182" s="3" t="n"/>
      <c r="CR182" s="3" t="n"/>
      <c r="CS182" s="3" t="n"/>
      <c r="CT182" s="3" t="n"/>
      <c r="CU182" s="3" t="n"/>
      <c r="CV182" s="3" t="n"/>
      <c r="CW182" s="3" t="n"/>
      <c r="CX182" s="3" t="n"/>
      <c r="CY182" s="3" t="n"/>
    </row>
    <row r="183" hidden="1" outlineLevel="1">
      <c r="C183" s="34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  <c r="CI183" s="3" t="n"/>
      <c r="CJ183" s="3" t="n"/>
      <c r="CK183" s="3" t="n"/>
      <c r="CL183" s="3" t="n"/>
      <c r="CM183" s="3" t="n"/>
      <c r="CN183" s="3" t="n"/>
      <c r="CO183" s="3" t="n"/>
      <c r="CP183" s="3" t="n"/>
      <c r="CQ183" s="3" t="n"/>
      <c r="CR183" s="3" t="n"/>
      <c r="CS183" s="3" t="n"/>
      <c r="CT183" s="3" t="n"/>
      <c r="CU183" s="3" t="n"/>
      <c r="CV183" s="3" t="n"/>
      <c r="CW183" s="3" t="n"/>
      <c r="CX183" s="3" t="n"/>
      <c r="CY183" s="3" t="n"/>
    </row>
    <row r="184" hidden="1" outlineLevel="1">
      <c r="C184" s="34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  <c r="CU184" s="3" t="n"/>
      <c r="CV184" s="3" t="n"/>
      <c r="CW184" s="3" t="n"/>
      <c r="CX184" s="3" t="n"/>
      <c r="CY184" s="3" t="n"/>
    </row>
    <row r="185" collapsed="1">
      <c r="C185" s="26" t="inlineStr">
        <is>
          <t>Other non-current assets</t>
        </is>
      </c>
      <c r="D185" s="25">
        <f>INDEX('Inputs (2)'!$D$26:$AL$26,MATCH(D$7,'Inputs (2)'!$D$2:$AL$2,0))</f>
        <v>15115</v>
      </c>
      <c r="E185" s="25">
        <f>INDEX('Inputs (2)'!$D$26:$AL$26,MATCH(E$7,'Inputs (2)'!$D$2:$AL$2,0))</f>
        <v>15692</v>
      </c>
      <c r="F185" s="25">
        <f>INDEX('Inputs (2)'!$D$26:$AL$26,MATCH(F$7,'Inputs (2)'!$D$2:$AL$2,0))</f>
        <v>17930</v>
      </c>
      <c r="G185" s="25">
        <f>INDEX('Inputs (2)'!$D$26:$AL$26,MATCH(G$7,'Inputs (2)'!$D$2:$AL$2,0))</f>
        <v>24656</v>
      </c>
      <c r="H185" s="3">
        <f>G185</f>
        <v>24656</v>
      </c>
      <c r="I185" s="25">
        <f>INDEX('Inputs (2)'!$D$26:$AL$26,MATCH(I$7,'Inputs (2)'!$D$2:$AL$2,0))</f>
        <v>29461</v>
      </c>
      <c r="J185" s="25">
        <f>INDEX('Inputs (2)'!$D$26:$AL$26,MATCH(J$7,'Inputs (2)'!$D$2:$AL$2,0))</f>
        <v>29830</v>
      </c>
      <c r="K185" s="25">
        <f>INDEX('Inputs (2)'!$D$26:$AL$26,MATCH(K$7,'Inputs (2)'!$D$2:$AL$2,0))</f>
        <v>30377</v>
      </c>
      <c r="L185" s="25">
        <f>INDEX('Inputs (2)'!$D$26:$AL$26,MATCH(L$7,'Inputs (2)'!$D$2:$AL$2,0))</f>
        <v>34910</v>
      </c>
      <c r="M185" s="3">
        <f>L185</f>
        <v>34910</v>
      </c>
      <c r="N185" s="25">
        <f>INDEX('Inputs (2)'!$D$26:$AL$26,MATCH(N$7,'Inputs (2)'!$D$2:$AL$2,0))</f>
        <v>36322</v>
      </c>
      <c r="O185" s="25">
        <f>INDEX('Inputs (2)'!$D$26:$AL$26,MATCH(O$7,'Inputs (2)'!$D$2:$AL$2,0))</f>
        <v>36377</v>
      </c>
      <c r="P185" s="25">
        <f>INDEX('Inputs (2)'!$D$26:$AL$26,MATCH(P$7,'Inputs (2)'!$D$2:$AL$2,0))</f>
        <v>36089</v>
      </c>
      <c r="Q185" s="25">
        <f>INDEX('Inputs (2)'!$D$26:$AL$26,MATCH(Q$7,'Inputs (2)'!$D$2:$AL$2,0))</f>
        <v>37115</v>
      </c>
      <c r="R185" s="3">
        <f>Q185</f>
        <v>37115</v>
      </c>
      <c r="S185" s="25">
        <f>INDEX('Inputs (2)'!$D$26:$AL$26,MATCH(S$7,'Inputs (2)'!$D$2:$AL$2,0))</f>
        <v>37652</v>
      </c>
      <c r="T185" s="25">
        <f>INDEX('Inputs (2)'!$D$26:$AL$26,MATCH(T$7,'Inputs (2)'!$D$2:$AL$2,0))</f>
        <v>38046</v>
      </c>
      <c r="U185" s="25">
        <f>INDEX('Inputs (2)'!$D$26:$AL$26,MATCH(U$7,'Inputs (2)'!$D$2:$AL$2,0))</f>
        <v>38535</v>
      </c>
      <c r="V185" s="25">
        <f>INDEX('Inputs (2)'!$D$26:$AL$26,MATCH(V$7,'Inputs (2)'!$D$2:$AL$2,0))</f>
        <v>41059</v>
      </c>
      <c r="W185" s="3">
        <f>V185</f>
        <v>41059</v>
      </c>
      <c r="X185" s="25">
        <f>INDEX('Inputs (2)'!$D$26:$AL$26,MATCH(X$7,'Inputs (2)'!$D$2:$AL$2,0))</f>
        <v>44059</v>
      </c>
      <c r="Y185" s="25">
        <f>INDEX('Inputs (2)'!$D$26:$AL$26,MATCH(Y$7,'Inputs (2)'!$D$2:$AL$2,0))</f>
        <v>43871</v>
      </c>
      <c r="Z185" s="25">
        <f>INDEX('Inputs (2)'!$D$26:$AL$26,MATCH(Z$7,'Inputs (2)'!$D$2:$AL$2,0))</f>
        <v>50044</v>
      </c>
      <c r="AA185" s="25">
        <f>INDEX('Inputs (2)'!$D$26:$AL$26,MATCH(AA$7,'Inputs (2)'!$D$2:$AL$2,0))</f>
        <v>52856</v>
      </c>
      <c r="AB185" s="3">
        <f>AA185</f>
        <v>52856</v>
      </c>
      <c r="AC185" s="25">
        <f>INDEX('Inputs (2)'!$D$26:$AL$26,MATCH(AC$7,'Inputs (2)'!$D$2:$AL$2,0))</f>
        <v>63979</v>
      </c>
      <c r="AD185" s="25">
        <f>INDEX('Inputs (2)'!$D$26:$AL$26,MATCH(AD$7,'Inputs (2)'!$D$2:$AL$2,0))</f>
        <v>66727</v>
      </c>
      <c r="AE185" s="25">
        <f>INDEX('Inputs (2)'!$D$26:$AL$26,MATCH(AE$7,'Inputs (2)'!$D$2:$AL$2,0))</f>
        <v>80611</v>
      </c>
      <c r="AF185" s="25">
        <f>INDEX('Inputs (2)'!$D$26:$AL$26,MATCH(AF$7,'Inputs (2)'!$D$2:$AL$2,0))</f>
        <v>84932</v>
      </c>
      <c r="AG185" s="3">
        <f>AF185</f>
        <v>84932</v>
      </c>
      <c r="AH185" s="3">
        <f>INDEX('Inputs (2)'!$D$26:$AL$26,MATCH(AH$7,'Inputs (2)'!$D$2:$AL$2,0))</f>
        <v>124424</v>
      </c>
      <c r="AI185" s="3">
        <f>INDEX('Inputs (2)'!$D$26:$AL$26,MATCH(AI$7,'Inputs (2)'!$D$2:$AL$2,0))</f>
        <v>171172</v>
      </c>
      <c r="AJ185" s="3">
        <f>AI185</f>
        <v>171172</v>
      </c>
      <c r="AK185" s="3">
        <f>AJ185</f>
        <v>171172</v>
      </c>
      <c r="AL185" s="3">
        <f>AK185</f>
        <v>171172</v>
      </c>
      <c r="AM185" s="3">
        <f>AL185</f>
        <v>171172</v>
      </c>
      <c r="AN185" s="3">
        <f>AM185</f>
        <v>171172</v>
      </c>
      <c r="AO185" s="3">
        <f>AN185</f>
        <v>171172</v>
      </c>
      <c r="AP185" s="3">
        <f>AO185</f>
        <v>171172</v>
      </c>
      <c r="AQ185" s="3">
        <f>AP185</f>
        <v>171172</v>
      </c>
      <c r="AR185" s="3">
        <f>AQ185</f>
        <v>171172</v>
      </c>
      <c r="AS185" s="3">
        <f>AR185</f>
        <v>171172</v>
      </c>
      <c r="AT185" s="3">
        <f>AS185</f>
        <v>171172</v>
      </c>
      <c r="AU185" s="3">
        <f>AT185</f>
        <v>171172</v>
      </c>
      <c r="AV185" s="3">
        <f>AU185</f>
        <v>171172</v>
      </c>
      <c r="AW185" s="3">
        <f>AV185</f>
        <v>171172</v>
      </c>
      <c r="AX185" s="3">
        <f>AW185</f>
        <v>171172</v>
      </c>
      <c r="AY185" s="3">
        <f>AX185</f>
        <v>171172</v>
      </c>
      <c r="AZ185" s="3">
        <f>AY185</f>
        <v>171172</v>
      </c>
      <c r="BA185" s="3">
        <f>AZ185</f>
        <v>171172</v>
      </c>
      <c r="BB185" s="3">
        <f>BA185</f>
        <v>171172</v>
      </c>
      <c r="BC185" s="3">
        <f>BB185</f>
        <v>171172</v>
      </c>
      <c r="BD185" s="3">
        <f>BC185</f>
        <v>171172</v>
      </c>
      <c r="BE185" s="3">
        <f>BD185</f>
        <v>171172</v>
      </c>
      <c r="BF185" s="3">
        <f>BE185</f>
        <v>171172</v>
      </c>
      <c r="BG185" s="3">
        <f>BF185</f>
        <v>171172</v>
      </c>
      <c r="BH185" s="3">
        <f>BG185</f>
        <v>171172</v>
      </c>
      <c r="BI185" s="3">
        <f>BH185</f>
        <v>171172</v>
      </c>
      <c r="BJ185" s="3">
        <f>BI185</f>
        <v>171172</v>
      </c>
      <c r="BK185" s="3">
        <f>BJ185</f>
        <v>171172</v>
      </c>
      <c r="BL185" s="3">
        <f>BK185</f>
        <v>171172</v>
      </c>
      <c r="BM185" s="3">
        <f>BL185</f>
        <v>171172</v>
      </c>
      <c r="BN185" s="3">
        <f>BM185</f>
        <v>171172</v>
      </c>
      <c r="BO185" s="3">
        <f>BN185</f>
        <v>171172</v>
      </c>
      <c r="BP185" s="3">
        <f>BO185</f>
        <v>171172</v>
      </c>
      <c r="BQ185" s="3">
        <f>BP185</f>
        <v>171172</v>
      </c>
      <c r="BR185" s="3">
        <f>BQ185</f>
        <v>171172</v>
      </c>
      <c r="BS185" s="3">
        <f>BR185</f>
        <v>171172</v>
      </c>
      <c r="BT185" s="3">
        <f>BS185</f>
        <v>171172</v>
      </c>
      <c r="BU185" s="3">
        <f>BT185</f>
        <v>171172</v>
      </c>
      <c r="BV185" s="3">
        <f>BU185</f>
        <v>171172</v>
      </c>
      <c r="BW185" s="3">
        <f>BV185</f>
        <v>171172</v>
      </c>
      <c r="BX185" s="3">
        <f>BW185</f>
        <v>171172</v>
      </c>
      <c r="BY185" s="3">
        <f>BX185</f>
        <v>171172</v>
      </c>
      <c r="BZ185" s="3">
        <f>BY185</f>
        <v>171172</v>
      </c>
      <c r="CA185" s="3">
        <f>BZ185</f>
        <v>171172</v>
      </c>
      <c r="CB185" s="3">
        <f>CA185</f>
        <v>171172</v>
      </c>
      <c r="CC185" s="3">
        <f>CB185</f>
        <v>171172</v>
      </c>
      <c r="CD185" s="3">
        <f>CC185</f>
        <v>171172</v>
      </c>
      <c r="CE185" s="3">
        <f>CD185</f>
        <v>171172</v>
      </c>
      <c r="CF185" s="3">
        <f>CE185</f>
        <v>171172</v>
      </c>
      <c r="CG185" s="3">
        <f>CF185</f>
        <v>171172</v>
      </c>
      <c r="CH185" s="3">
        <f>CG185</f>
        <v>171172</v>
      </c>
      <c r="CI185" s="3">
        <f>CH185</f>
        <v>171172</v>
      </c>
      <c r="CJ185" s="3">
        <f>CI185</f>
        <v>171172</v>
      </c>
      <c r="CK185" s="3">
        <f>CJ185</f>
        <v>171172</v>
      </c>
      <c r="CL185" s="3">
        <f>CK185</f>
        <v>171172</v>
      </c>
      <c r="CM185" s="3">
        <f>CL185</f>
        <v>171172</v>
      </c>
      <c r="CN185" s="3">
        <f>CM185</f>
        <v>171172</v>
      </c>
      <c r="CO185" s="3">
        <f>CN185</f>
        <v>171172</v>
      </c>
      <c r="CP185" s="3">
        <f>CO185</f>
        <v>171172</v>
      </c>
      <c r="CQ185" s="3">
        <f>CP185</f>
        <v>171172</v>
      </c>
      <c r="CR185" s="3">
        <f>CQ185</f>
        <v>171172</v>
      </c>
      <c r="CS185" s="3">
        <f>CR185</f>
        <v>171172</v>
      </c>
      <c r="CT185" s="3">
        <f>CS185</f>
        <v>171172</v>
      </c>
      <c r="CU185" s="3">
        <f>CT185</f>
        <v>171172</v>
      </c>
      <c r="CV185" s="3">
        <f>CU185</f>
        <v>171172</v>
      </c>
      <c r="CW185" s="3">
        <f>CV185</f>
        <v>171172</v>
      </c>
      <c r="CX185" s="3">
        <f>CW185</f>
        <v>171172</v>
      </c>
      <c r="CY185" s="3">
        <f>CX185</f>
        <v>171172</v>
      </c>
    </row>
    <row r="186" hidden="1" outlineLevel="1">
      <c r="C186" s="38" t="inlineStr">
        <is>
          <t>%(Var.)</t>
        </is>
      </c>
      <c r="D186" s="3" t="n"/>
      <c r="E186" s="47">
        <f>(E185-D185)/D185</f>
        <v>0.0381739993384056</v>
      </c>
      <c r="F186" s="47">
        <f>(F185-E185)/E185</f>
        <v>0.142620443538109</v>
      </c>
      <c r="G186" s="47">
        <f>(G185-F185)/F185</f>
        <v>0.375125488008924</v>
      </c>
      <c r="H186" s="3" t="n"/>
      <c r="I186" s="47">
        <f>(I185-H185)/H185</f>
        <v>0.194881570408825</v>
      </c>
      <c r="J186" s="47">
        <f>(J185-I185)/I185</f>
        <v>0.0125250330945996</v>
      </c>
      <c r="K186" s="47">
        <f>(K185-J185)/J185</f>
        <v>0.0183372443848475</v>
      </c>
      <c r="L186" s="47">
        <f>(L185-K185)/K185</f>
        <v>0.149224742403792</v>
      </c>
      <c r="M186" s="3" t="n"/>
      <c r="N186" s="47">
        <f>(N185-M185)/M185</f>
        <v>0.0404468633629333</v>
      </c>
      <c r="O186" s="47">
        <f>(O185-N185)/N185</f>
        <v>0.00151423379769836</v>
      </c>
      <c r="P186" s="47">
        <f>(P185-O185)/O185</f>
        <v>-0.00791709046925255</v>
      </c>
      <c r="Q186" s="47">
        <f>(Q185-P185)/P185</f>
        <v>0.028429715425753</v>
      </c>
      <c r="R186" s="3" t="n"/>
      <c r="S186" s="47">
        <f>(S185-R185)/R185</f>
        <v>0.0144685437154789</v>
      </c>
      <c r="T186" s="47">
        <f>(T185-S185)/S185</f>
        <v>0.0104642515669818</v>
      </c>
      <c r="U186" s="47">
        <f>(U185-T185)/T185</f>
        <v>0.0128528623245545</v>
      </c>
      <c r="V186" s="47">
        <f>(V185-U185)/U185</f>
        <v>0.0654988971065265</v>
      </c>
      <c r="W186" s="3" t="n"/>
      <c r="X186" s="47">
        <f>(X185-W185)/W185</f>
        <v>0.0730655885433157</v>
      </c>
      <c r="Y186" s="47">
        <f>(Y185-X185)/X185</f>
        <v>-0.00426700560611907</v>
      </c>
      <c r="Z186" s="47">
        <f>(Z185-Y185)/Y185</f>
        <v>0.140707984773541</v>
      </c>
      <c r="AA186" s="47">
        <f>(AA185-Z185)/Z185</f>
        <v>0.0561905523139637</v>
      </c>
      <c r="AB186" s="3" t="n"/>
      <c r="AC186" s="47">
        <f>(AC185-AB185)/AB185</f>
        <v>0.210439685182382</v>
      </c>
      <c r="AD186" s="47">
        <f>(AD185-AC185)/AC185</f>
        <v>0.0429515934916144</v>
      </c>
      <c r="AE186" s="47">
        <f>(AE185-AD185)/AD185</f>
        <v>0.20807169511592</v>
      </c>
      <c r="AF186" s="218">
        <f>(AF185-AE185)/AE185</f>
        <v>0.0536031062758184</v>
      </c>
      <c r="AG186" s="3" t="n"/>
      <c r="AH186" s="218">
        <f>(AH185-AG185)/AG185</f>
        <v>0.464983751707248</v>
      </c>
      <c r="AI186" s="218">
        <f>(AI185-AH185)/AH185</f>
        <v>0.375715296084357</v>
      </c>
      <c r="AJ186" s="218" t="n"/>
      <c r="AK186" s="218" t="n"/>
      <c r="AL186" s="3" t="n"/>
      <c r="AM186" s="218" t="n"/>
      <c r="AN186" s="218" t="n"/>
      <c r="AO186" s="218" t="n"/>
      <c r="AP186" s="218" t="n"/>
      <c r="AQ186" s="3" t="n"/>
      <c r="AR186" s="218" t="n"/>
      <c r="AS186" s="218" t="n"/>
      <c r="AT186" s="218" t="n"/>
      <c r="AU186" s="218" t="n"/>
      <c r="AV186" s="3" t="n"/>
      <c r="AW186" s="218" t="n"/>
      <c r="AX186" s="218" t="n"/>
      <c r="AY186" s="218" t="n"/>
      <c r="AZ186" s="218" t="n"/>
      <c r="BA186" s="3" t="n"/>
      <c r="BB186" s="218" t="n"/>
      <c r="BC186" s="218" t="n"/>
      <c r="BD186" s="218" t="n"/>
      <c r="BE186" s="218" t="n"/>
      <c r="BF186" s="3" t="n"/>
      <c r="BG186" s="218" t="n"/>
      <c r="BH186" s="218" t="n"/>
      <c r="BI186" s="218" t="n"/>
      <c r="BJ186" s="218" t="n"/>
      <c r="BK186" s="3" t="n"/>
      <c r="BL186" s="218" t="n"/>
      <c r="BM186" s="218" t="n"/>
      <c r="BN186" s="218" t="n"/>
      <c r="BO186" s="218" t="n"/>
      <c r="BP186" s="3" t="n"/>
      <c r="BQ186" s="218" t="n"/>
      <c r="BR186" s="218" t="n"/>
      <c r="BS186" s="218" t="n"/>
      <c r="BT186" s="218" t="n"/>
      <c r="BU186" s="3" t="n"/>
      <c r="BV186" s="218" t="n"/>
      <c r="BW186" s="218" t="n"/>
      <c r="BX186" s="218" t="n"/>
      <c r="BY186" s="218" t="n"/>
      <c r="BZ186" s="3" t="n"/>
      <c r="CA186" s="218" t="n"/>
      <c r="CB186" s="218" t="n"/>
      <c r="CC186" s="218" t="n"/>
      <c r="CD186" s="218" t="n"/>
      <c r="CE186" s="3" t="n"/>
      <c r="CF186" s="218" t="n"/>
      <c r="CG186" s="218" t="n"/>
      <c r="CH186" s="218" t="n"/>
      <c r="CI186" s="218" t="n"/>
      <c r="CJ186" s="3" t="n"/>
      <c r="CK186" s="218" t="n"/>
      <c r="CL186" s="218" t="n"/>
      <c r="CM186" s="218" t="n"/>
      <c r="CN186" s="218" t="n"/>
      <c r="CO186" s="3" t="n"/>
      <c r="CP186" s="218" t="n"/>
      <c r="CQ186" s="218" t="n"/>
      <c r="CR186" s="218" t="n"/>
      <c r="CS186" s="218" t="n"/>
      <c r="CT186" s="3" t="n"/>
      <c r="CU186" s="218" t="n"/>
      <c r="CV186" s="218" t="n"/>
      <c r="CW186" s="218" t="n"/>
      <c r="CX186" s="218" t="n"/>
      <c r="CY186" s="3" t="n"/>
    </row>
    <row r="187" hidden="1" outlineLevel="1">
      <c r="C187" s="34" t="n"/>
      <c r="D187" s="3" t="n"/>
      <c r="E187" s="47" t="n"/>
      <c r="F187" s="47" t="n"/>
      <c r="G187" s="47" t="n"/>
      <c r="H187" s="3" t="n"/>
      <c r="I187" s="47" t="n"/>
      <c r="J187" s="47" t="n"/>
      <c r="K187" s="47" t="n"/>
      <c r="L187" s="47" t="n"/>
      <c r="M187" s="3" t="n"/>
      <c r="N187" s="47" t="n"/>
      <c r="O187" s="47" t="n"/>
      <c r="P187" s="47" t="n"/>
      <c r="Q187" s="47" t="n"/>
      <c r="R187" s="3" t="n"/>
      <c r="S187" s="47" t="n"/>
      <c r="T187" s="47" t="n"/>
      <c r="U187" s="47" t="n"/>
      <c r="V187" s="47" t="n"/>
      <c r="W187" s="3" t="n"/>
      <c r="X187" s="47" t="n"/>
      <c r="Y187" s="47" t="n"/>
      <c r="Z187" s="47" t="n"/>
      <c r="AA187" s="47" t="n"/>
      <c r="AB187" s="3" t="n"/>
      <c r="AC187" s="47" t="n"/>
      <c r="AD187" s="47" t="n"/>
      <c r="AE187" s="47" t="n"/>
      <c r="AF187" s="218" t="n"/>
      <c r="AG187" s="3" t="n"/>
      <c r="AH187" s="218" t="n"/>
      <c r="AI187" s="218" t="n"/>
      <c r="AJ187" s="218" t="n"/>
      <c r="AK187" s="218" t="n"/>
      <c r="AL187" s="3" t="n"/>
      <c r="AM187" s="218" t="n"/>
      <c r="AN187" s="218" t="n"/>
      <c r="AO187" s="218" t="n"/>
      <c r="AP187" s="218" t="n"/>
      <c r="AQ187" s="3" t="n"/>
      <c r="AR187" s="218" t="n"/>
      <c r="AS187" s="218" t="n"/>
      <c r="AT187" s="218" t="n"/>
      <c r="AU187" s="218" t="n"/>
      <c r="AV187" s="3" t="n"/>
      <c r="AW187" s="218" t="n"/>
      <c r="AX187" s="218" t="n"/>
      <c r="AY187" s="218" t="n"/>
      <c r="AZ187" s="218" t="n"/>
      <c r="BA187" s="3" t="n"/>
      <c r="BB187" s="218" t="n"/>
      <c r="BC187" s="218" t="n"/>
      <c r="BD187" s="218" t="n"/>
      <c r="BE187" s="218" t="n"/>
      <c r="BF187" s="3" t="n"/>
      <c r="BG187" s="218" t="n"/>
      <c r="BH187" s="218" t="n"/>
      <c r="BI187" s="218" t="n"/>
      <c r="BJ187" s="218" t="n"/>
      <c r="BK187" s="3" t="n"/>
      <c r="BL187" s="218" t="n"/>
      <c r="BM187" s="218" t="n"/>
      <c r="BN187" s="218" t="n"/>
      <c r="BO187" s="218" t="n"/>
      <c r="BP187" s="3" t="n"/>
      <c r="BQ187" s="218" t="n"/>
      <c r="BR187" s="218" t="n"/>
      <c r="BS187" s="218" t="n"/>
      <c r="BT187" s="218" t="n"/>
      <c r="BU187" s="3" t="n"/>
      <c r="BV187" s="218" t="n"/>
      <c r="BW187" s="218" t="n"/>
      <c r="BX187" s="218" t="n"/>
      <c r="BY187" s="218" t="n"/>
      <c r="BZ187" s="3" t="n"/>
      <c r="CA187" s="218" t="n"/>
      <c r="CB187" s="218" t="n"/>
      <c r="CC187" s="218" t="n"/>
      <c r="CD187" s="218" t="n"/>
      <c r="CE187" s="3" t="n"/>
      <c r="CF187" s="218" t="n"/>
      <c r="CG187" s="218" t="n"/>
      <c r="CH187" s="218" t="n"/>
      <c r="CI187" s="218" t="n"/>
      <c r="CJ187" s="3" t="n"/>
      <c r="CK187" s="218" t="n"/>
      <c r="CL187" s="218" t="n"/>
      <c r="CM187" s="218" t="n"/>
      <c r="CN187" s="218" t="n"/>
      <c r="CO187" s="3" t="n"/>
      <c r="CP187" s="218" t="n"/>
      <c r="CQ187" s="218" t="n"/>
      <c r="CR187" s="218" t="n"/>
      <c r="CS187" s="218" t="n"/>
      <c r="CT187" s="3" t="n"/>
      <c r="CU187" s="218" t="n"/>
      <c r="CV187" s="218" t="n"/>
      <c r="CW187" s="218" t="n"/>
      <c r="CX187" s="218" t="n"/>
      <c r="CY187" s="3" t="n"/>
    </row>
    <row r="188" hidden="1" outlineLevel="1">
      <c r="C188" s="52" t="inlineStr">
        <is>
          <t>Outros Créditos - LP</t>
        </is>
      </c>
      <c r="D188" s="6" t="n"/>
      <c r="E188" s="6" t="n"/>
      <c r="F188" s="6" t="n"/>
      <c r="G188" s="6" t="n"/>
      <c r="H188" s="3" t="n"/>
      <c r="I188" s="6" t="n"/>
      <c r="J188" s="6" t="n"/>
      <c r="K188" s="6" t="n"/>
      <c r="L188" s="6" t="n"/>
      <c r="M188" s="3" t="n"/>
      <c r="N188" s="6" t="n"/>
      <c r="O188" s="6" t="n"/>
      <c r="P188" s="6" t="n"/>
      <c r="Q188" s="6" t="n"/>
      <c r="R188" s="3" t="n"/>
      <c r="S188" s="6" t="n"/>
      <c r="T188" s="6" t="n"/>
      <c r="U188" s="6" t="n"/>
      <c r="V188" s="6" t="n"/>
      <c r="W188" s="3" t="n"/>
      <c r="X188" s="6" t="n"/>
      <c r="Y188" s="6" t="n"/>
      <c r="Z188" s="6" t="n"/>
      <c r="AA188" s="6" t="n"/>
      <c r="AB188" s="3" t="n"/>
      <c r="AC188" s="6" t="n"/>
      <c r="AD188" s="6" t="n"/>
      <c r="AE188" s="6" t="n"/>
      <c r="AF188" s="6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  <c r="CU188" s="3" t="n"/>
      <c r="CV188" s="3" t="n"/>
      <c r="CW188" s="3" t="n"/>
      <c r="CX188" s="3" t="n"/>
      <c r="CY188" s="3" t="n"/>
    </row>
    <row r="189" hidden="1" outlineLevel="1">
      <c r="C189" s="52" t="inlineStr">
        <is>
          <t xml:space="preserve">Impostos e Contribuições a Recuperar </t>
        </is>
      </c>
      <c r="D189" s="6" t="n"/>
      <c r="E189" s="6" t="n"/>
      <c r="F189" s="6" t="n"/>
      <c r="G189" s="6" t="n"/>
      <c r="H189" s="3" t="n"/>
      <c r="I189" s="6" t="n"/>
      <c r="J189" s="6" t="n"/>
      <c r="K189" s="6" t="n"/>
      <c r="L189" s="6" t="n"/>
      <c r="M189" s="3" t="n"/>
      <c r="N189" s="6" t="n"/>
      <c r="O189" s="6" t="n"/>
      <c r="P189" s="6" t="n"/>
      <c r="Q189" s="6" t="n"/>
      <c r="R189" s="3" t="n"/>
      <c r="S189" s="6" t="n"/>
      <c r="T189" s="6" t="n"/>
      <c r="U189" s="6" t="n"/>
      <c r="V189" s="6" t="n"/>
      <c r="W189" s="3" t="n"/>
      <c r="X189" s="6" t="n"/>
      <c r="Y189" s="6" t="n"/>
      <c r="Z189" s="6" t="n"/>
      <c r="AA189" s="6" t="n"/>
      <c r="AB189" s="3" t="n"/>
      <c r="AC189" s="6" t="n"/>
      <c r="AD189" s="6" t="n"/>
      <c r="AE189" s="6" t="n"/>
      <c r="AF189" s="6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  <c r="CU189" s="3" t="n"/>
      <c r="CV189" s="3" t="n"/>
      <c r="CW189" s="3" t="n"/>
      <c r="CX189" s="3" t="n"/>
      <c r="CY189" s="3" t="n"/>
    </row>
    <row r="190" hidden="1" outlineLevel="1">
      <c r="C190" s="52" t="inlineStr">
        <is>
          <t xml:space="preserve">Imposto de Renda e Contribuição Social Diferidos </t>
        </is>
      </c>
      <c r="D190" s="6" t="n"/>
      <c r="E190" s="6" t="n"/>
      <c r="F190" s="6" t="n"/>
      <c r="G190" s="6" t="n"/>
      <c r="H190" s="3" t="n"/>
      <c r="I190" s="6" t="n"/>
      <c r="J190" s="6" t="n"/>
      <c r="K190" s="6" t="n"/>
      <c r="L190" s="6" t="n"/>
      <c r="M190" s="3" t="n"/>
      <c r="N190" s="6" t="n"/>
      <c r="O190" s="6" t="n"/>
      <c r="P190" s="6" t="n"/>
      <c r="Q190" s="6" t="n"/>
      <c r="R190" s="3" t="n"/>
      <c r="S190" s="6" t="n"/>
      <c r="T190" s="6" t="n"/>
      <c r="U190" s="6" t="n"/>
      <c r="V190" s="6" t="n"/>
      <c r="W190" s="3" t="n"/>
      <c r="X190" s="6" t="n"/>
      <c r="Y190" s="6" t="n"/>
      <c r="Z190" s="6" t="n"/>
      <c r="AA190" s="6" t="n"/>
      <c r="AB190" s="3" t="n"/>
      <c r="AC190" s="6" t="n"/>
      <c r="AD190" s="6" t="n"/>
      <c r="AE190" s="6" t="n"/>
      <c r="AF190" s="6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</row>
    <row r="191" hidden="1" outlineLevel="1">
      <c r="C191" s="52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  <c r="CU191" s="3" t="n"/>
      <c r="CV191" s="3" t="n"/>
      <c r="CW191" s="3" t="n"/>
      <c r="CX191" s="3" t="n"/>
      <c r="CY191" s="3" t="n"/>
    </row>
    <row r="192" hidden="1" outlineLevel="1">
      <c r="C192" s="34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  <c r="CU192" s="3" t="n"/>
      <c r="CV192" s="3" t="n"/>
      <c r="CW192" s="3" t="n"/>
      <c r="CX192" s="3" t="n"/>
      <c r="CY192" s="3" t="n"/>
    </row>
    <row r="193" collapsed="1" customFormat="1" s="17">
      <c r="A193" s="13" t="n"/>
      <c r="B193" s="1" t="n"/>
      <c r="C193" s="14" t="inlineStr">
        <is>
          <t>Total Assets</t>
        </is>
      </c>
      <c r="D193" s="16">
        <f>(D140+D141+D145+D149+D150+D151+D157+D162+D172+D175+D176+D185)</f>
        <v>273403</v>
      </c>
      <c r="E193" s="16">
        <f>(E140+E141+E145+E149+E150+E151+E157+E162+E172+E175+E176+E185)</f>
        <v>278492</v>
      </c>
      <c r="F193" s="16">
        <f>(F140+F141+F145+F149+F150+F151+F157+F162+F172+F175+F176+F185)</f>
        <v>299243</v>
      </c>
      <c r="G193" s="16">
        <f>(G140+G141+G145+G149+G150+G151+G157+G162+G172+G175+G176+G185)</f>
        <v>319616</v>
      </c>
      <c r="H193" s="16">
        <f>SUM(H140,H141,H145,H149,H150,H151,H157,H172,H175,H176,H185,H162)</f>
        <v>319616</v>
      </c>
      <c r="I193" s="16">
        <f>(I140+I141+I145+I149+I150+I151+I157+I162+I172+I175+I176+I185)</f>
        <v>327095</v>
      </c>
      <c r="J193" s="16">
        <f>(J140+J141+J145+J149+J150+J151+J157+J162+J172+J175+J176+J185)</f>
        <v>335387</v>
      </c>
      <c r="K193" s="16">
        <f>(K140+K141+K145+K149+K150+K151+K157+K162+K172+K175+K176+K185)</f>
        <v>347403</v>
      </c>
      <c r="L193" s="16">
        <f>(L140+L141+L145+L149+L150+L151+L157+L162+L172+L175+L176+L185)</f>
        <v>359268</v>
      </c>
      <c r="M193" s="16">
        <f>SUM(M140,M141,M145,M149,M150,M151,M157,M172,M175,M176,M185,M162)</f>
        <v>359268</v>
      </c>
      <c r="N193" s="16">
        <f>(N140+N141+N145+N149+N150+N151+N157+N162+N172+N175+N176+N185)</f>
        <v>357096</v>
      </c>
      <c r="O193" s="16">
        <f>(O140+O141+O145+O149+O150+O151+O157+O162+O172+O175+O176+O185)</f>
        <v>355185</v>
      </c>
      <c r="P193" s="16">
        <f>(P140+P141+P145+P149+P150+P151+P157+P162+P172+P175+P176+P185)</f>
        <v>358255</v>
      </c>
      <c r="Q193" s="16">
        <f>(Q140+Q141+Q145+Q149+Q150+Q151+Q157+Q162+Q172+Q175+Q176+Q185)</f>
        <v>365264</v>
      </c>
      <c r="R193" s="16">
        <f>SUM(R140,R141,R145,R149,R150,R151,R157,R172,R175,R176,R185,R162)</f>
        <v>365264</v>
      </c>
      <c r="S193" s="16">
        <f>(S140+S141+S145+S149+S150+S151+S157+S162+S172+S175+S176+S185)</f>
        <v>369491</v>
      </c>
      <c r="T193" s="16">
        <f>(T140+T141+T145+T149+T150+T151+T157+T162+T172+T175+T176+T185)</f>
        <v>383044</v>
      </c>
      <c r="U193" s="16">
        <f>(U140+U141+U145+U149+U150+U151+U157+U162+U172+U175+U176+U185)</f>
        <v>396711</v>
      </c>
      <c r="V193" s="16">
        <f>(V140+V141+V145+V149+V150+V151+V157+V162+V172+V175+V176+V185)</f>
        <v>402392</v>
      </c>
      <c r="W193" s="16">
        <f>SUM(W140,W141,W145,W149,W150,W151,W157,W172,W175,W176,W185,W162)</f>
        <v>402392</v>
      </c>
      <c r="X193" s="16">
        <f>(X140+X141+X145+X149+X150+X151+X157+X162+X172+X175+X176+X185)</f>
        <v>407350</v>
      </c>
      <c r="Y193" s="16">
        <f>(Y140+Y141+Y145+Y149+Y150+Y151+Y157+Y162+Y172+Y175+Y176+Y185)</f>
        <v>414770</v>
      </c>
      <c r="Z193" s="16">
        <f>(Z140+Z141+Z145+Z149+Z150+Z151+Z157+Z162+Z172+Z175+Z176+Z185)</f>
        <v>430266</v>
      </c>
      <c r="AA193" s="16">
        <f>(AA140+AA141+AA145+AA149+AA150+AA151+AA157+AA162+AA172+AA175+AA176+AA185)</f>
        <v>450256</v>
      </c>
      <c r="AB193" s="16">
        <f>SUM(AB140,AB141,AB145,AB149,AB150,AB151,AB157,AB172,AB175,AB176,AB185,AB162)</f>
        <v>450256</v>
      </c>
      <c r="AC193" s="16">
        <f>(AC140+AC141+AC145+AC149+AC150+AC151+AC157+AC162+AC172+AC175+AC176+AC185)</f>
        <v>475374</v>
      </c>
      <c r="AD193" s="16">
        <f>(AD140+AD141+AD145+AD149+AD150+AD151+AD157+AD162+AD172+AD175+AD176+AD185)</f>
        <v>502053</v>
      </c>
      <c r="AE193" s="16">
        <f>(AE140+AE141+AE145+AE149+AE150+AE151+AE157+AE162+AE172+AE175+AE176+AE185)</f>
        <v>536469</v>
      </c>
      <c r="AF193" s="16">
        <f>(AF140+AF141+AF145+AF149+AF150+AF151+AF157+AF162+AF172+AF175+AF176+AF185)</f>
        <v>595281</v>
      </c>
      <c r="AG193" s="16">
        <f>SUM(AG140,AG141,AG145,AG149,AG150,AG151,AG157,AG172,AG175,AG176,AG185,AG162)</f>
        <v>595281</v>
      </c>
      <c r="AH193" s="16">
        <f>(AH140+AH141+AH145+AH149+AH150+AH151+AH157+AH162+AH172+AH175+AH176+AH185)</f>
        <v>703919</v>
      </c>
      <c r="AI193" s="16">
        <f>(AI140+AI141+AI145+AI149+AI150+AI151+AI157+AI162+AI172+AI175+AI176+AI185)</f>
        <v>921983</v>
      </c>
      <c r="AJ193" s="16">
        <f>(AJ140+AJ141+AJ145+AJ149+AJ150+AJ151+AJ157+AJ162+AJ172+AJ175+AJ176+AJ185)</f>
        <v>841275</v>
      </c>
      <c r="AK193" s="16">
        <f>(AK140+AK141+AK145+AK149+AK150+AK151+AK157+AK162+AK172+AK175+AK176+AK185)</f>
        <v>940536</v>
      </c>
      <c r="AL193" s="16">
        <f>SUM(AL140,AL141,AL145,AL149,AL150,AL151,AL157,AL172,AL175,AL176,AL185,AL162)</f>
        <v>940536</v>
      </c>
      <c r="AM193" s="16" t="e">
        <f>(AM140+AM141+AM145+AM149+AM150+AM151+AM157+AM162+AM172+AM175+AM176+AM185)</f>
        <v>#DIV/0!</v>
      </c>
      <c r="AN193" s="16" t="e">
        <f>(AN140+AN141+AN145+AN149+AN150+AN151+AN157+AN162+AN172+AN175+AN176+AN185)</f>
        <v>#DIV/0!</v>
      </c>
      <c r="AO193" s="16" t="e">
        <f>(AO140+AO141+AO145+AO149+AO150+AO151+AO157+AO162+AO172+AO175+AO176+AO185)</f>
        <v>#DIV/0!</v>
      </c>
      <c r="AP193" s="16" t="e">
        <f>(AP140+AP141+AP145+AP149+AP150+AP151+AP157+AP162+AP172+AP175+AP176+AP185)</f>
        <v>#DIV/0!</v>
      </c>
      <c r="AQ193" s="16" t="e">
        <f>SUM(AQ140,AQ141,AQ145,AQ149,AQ150,AQ151,AQ157,AQ172,AQ175,AQ176,AQ185,AQ162)</f>
        <v>#DIV/0!</v>
      </c>
      <c r="AR193" s="16" t="e">
        <f>(AR140+AR141+AR145+AR149+AR150+AR151+AR157+AR162+AR172+AR175+AR176+AR185)</f>
        <v>#DIV/0!</v>
      </c>
      <c r="AS193" s="16" t="e">
        <f>(AS140+AS141+AS145+AS149+AS150+AS151+AS157+AS162+AS172+AS175+AS176+AS185)</f>
        <v>#DIV/0!</v>
      </c>
      <c r="AT193" s="16" t="e">
        <f>(AT140+AT141+AT145+AT149+AT150+AT151+AT157+AT162+AT172+AT175+AT176+AT185)</f>
        <v>#DIV/0!</v>
      </c>
      <c r="AU193" s="16" t="e">
        <f>(AU140+AU141+AU145+AU149+AU150+AU151+AU157+AU162+AU172+AU175+AU176+AU185)</f>
        <v>#DIV/0!</v>
      </c>
      <c r="AV193" s="16" t="e">
        <f>SUM(AV140,AV141,AV145,AV149,AV150,AV151,AV157,AV172,AV175,AV176,AV185,AV162)</f>
        <v>#DIV/0!</v>
      </c>
      <c r="AW193" s="16" t="e">
        <f>(AW140+AW141+AW145+AW149+AW150+AW151+AW157+AW162+AW172+AW175+AW176+AW185)</f>
        <v>#DIV/0!</v>
      </c>
      <c r="AX193" s="16" t="e">
        <f>(AX140+AX141+AX145+AX149+AX150+AX151+AX157+AX162+AX172+AX175+AX176+AX185)</f>
        <v>#DIV/0!</v>
      </c>
      <c r="AY193" s="16" t="e">
        <f>(AY140+AY141+AY145+AY149+AY150+AY151+AY157+AY162+AY172+AY175+AY176+AY185)</f>
        <v>#DIV/0!</v>
      </c>
      <c r="AZ193" s="16" t="e">
        <f>(AZ140+AZ141+AZ145+AZ149+AZ150+AZ151+AZ157+AZ162+AZ172+AZ175+AZ176+AZ185)</f>
        <v>#DIV/0!</v>
      </c>
      <c r="BA193" s="16" t="e">
        <f>SUM(BA140,BA141,BA145,BA149,BA150,BA151,BA157,BA172,BA175,BA176,BA185,BA162)</f>
        <v>#DIV/0!</v>
      </c>
      <c r="BB193" s="16" t="e">
        <f>(BB140+BB141+BB145+BB149+BB150+BB151+BB157+BB162+BB172+BB175+BB176+BB185)</f>
        <v>#DIV/0!</v>
      </c>
      <c r="BC193" s="16" t="e">
        <f>(BC140+BC141+BC145+BC149+BC150+BC151+BC157+BC162+BC172+BC175+BC176+BC185)</f>
        <v>#DIV/0!</v>
      </c>
      <c r="BD193" s="16" t="e">
        <f>(BD140+BD141+BD145+BD149+BD150+BD151+BD157+BD162+BD172+BD175+BD176+BD185)</f>
        <v>#DIV/0!</v>
      </c>
      <c r="BE193" s="16" t="e">
        <f>(BE140+BE141+BE145+BE149+BE150+BE151+BE157+BE162+BE172+BE175+BE176+BE185)</f>
        <v>#DIV/0!</v>
      </c>
      <c r="BF193" s="16" t="e">
        <f>SUM(BF140,BF141,BF145,BF149,BF150,BF151,BF157,BF172,BF175,BF176,BF185,BF162)</f>
        <v>#DIV/0!</v>
      </c>
      <c r="BG193" s="16" t="e">
        <f>(BG140+BG141+BG145+BG149+BG150+BG151+BG157+BG162+BG172+BG175+BG176+BG185)</f>
        <v>#DIV/0!</v>
      </c>
      <c r="BH193" s="16" t="e">
        <f>(BH140+BH141+BH145+BH149+BH150+BH151+BH157+BH162+BH172+BH175+BH176+BH185)</f>
        <v>#DIV/0!</v>
      </c>
      <c r="BI193" s="16" t="e">
        <f>(BI140+BI141+BI145+BI149+BI150+BI151+BI157+BI162+BI172+BI175+BI176+BI185)</f>
        <v>#DIV/0!</v>
      </c>
      <c r="BJ193" s="16" t="e">
        <f>(BJ140+BJ141+BJ145+BJ149+BJ150+BJ151+BJ157+BJ162+BJ172+BJ175+BJ176+BJ185)</f>
        <v>#DIV/0!</v>
      </c>
      <c r="BK193" s="16" t="e">
        <f>SUM(BK140,BK141,BK145,BK149,BK150,BK151,BK157,BK172,BK175,BK176,BK185,BK162)</f>
        <v>#DIV/0!</v>
      </c>
      <c r="BL193" s="16" t="e">
        <f>(BL140+BL141+BL145+BL149+BL150+BL151+BL157+BL162+BL172+BL175+BL176+BL185)</f>
        <v>#DIV/0!</v>
      </c>
      <c r="BM193" s="16" t="e">
        <f>(BM140+BM141+BM145+BM149+BM150+BM151+BM157+BM162+BM172+BM175+BM176+BM185)</f>
        <v>#DIV/0!</v>
      </c>
      <c r="BN193" s="16" t="e">
        <f>(BN140+BN141+BN145+BN149+BN150+BN151+BN157+BN162+BN172+BN175+BN176+BN185)</f>
        <v>#DIV/0!</v>
      </c>
      <c r="BO193" s="16" t="e">
        <f>(BO140+BO141+BO145+BO149+BO150+BO151+BO157+BO162+BO172+BO175+BO176+BO185)</f>
        <v>#DIV/0!</v>
      </c>
      <c r="BP193" s="16" t="e">
        <f>SUM(BP140,BP141,BP145,BP149,BP150,BP151,BP157,BP172,BP175,BP176,BP185,BP162)</f>
        <v>#DIV/0!</v>
      </c>
      <c r="BQ193" s="16" t="e">
        <f>(BQ140+BQ141+BQ145+BQ149+BQ150+BQ151+BQ157+BQ162+BQ172+BQ175+BQ176+BQ185)</f>
        <v>#DIV/0!</v>
      </c>
      <c r="BR193" s="16" t="e">
        <f>(BR140+BR141+BR145+BR149+BR150+BR151+BR157+BR162+BR172+BR175+BR176+BR185)</f>
        <v>#DIV/0!</v>
      </c>
      <c r="BS193" s="16" t="e">
        <f>(BS140+BS141+BS145+BS149+BS150+BS151+BS157+BS162+BS172+BS175+BS176+BS185)</f>
        <v>#DIV/0!</v>
      </c>
      <c r="BT193" s="16" t="e">
        <f>(BT140+BT141+BT145+BT149+BT150+BT151+BT157+BT162+BT172+BT175+BT176+BT185)</f>
        <v>#DIV/0!</v>
      </c>
      <c r="BU193" s="16" t="e">
        <f>SUM(BU140,BU141,BU145,BU149,BU150,BU151,BU157,BU172,BU175,BU176,BU185,BU162)</f>
        <v>#DIV/0!</v>
      </c>
      <c r="BV193" s="16" t="e">
        <f>(BV140+BV141+BV145+BV149+BV150+BV151+BV157+BV162+BV172+BV175+BV176+BV185)</f>
        <v>#DIV/0!</v>
      </c>
      <c r="BW193" s="16" t="e">
        <f>(BW140+BW141+BW145+BW149+BW150+BW151+BW157+BW162+BW172+BW175+BW176+BW185)</f>
        <v>#DIV/0!</v>
      </c>
      <c r="BX193" s="16" t="e">
        <f>(BX140+BX141+BX145+BX149+BX150+BX151+BX157+BX162+BX172+BX175+BX176+BX185)</f>
        <v>#DIV/0!</v>
      </c>
      <c r="BY193" s="16" t="e">
        <f>(BY140+BY141+BY145+BY149+BY150+BY151+BY157+BY162+BY172+BY175+BY176+BY185)</f>
        <v>#DIV/0!</v>
      </c>
      <c r="BZ193" s="16" t="e">
        <f>SUM(BZ140,BZ141,BZ145,BZ149,BZ150,BZ151,BZ157,BZ172,BZ175,BZ176,BZ185,BZ162)</f>
        <v>#DIV/0!</v>
      </c>
      <c r="CA193" s="16" t="e">
        <f>(CA140+CA141+CA145+CA149+CA150+CA151+CA157+CA162+CA172+CA175+CA176+CA185)</f>
        <v>#DIV/0!</v>
      </c>
      <c r="CB193" s="16" t="e">
        <f>(CB140+CB141+CB145+CB149+CB150+CB151+CB157+CB162+CB172+CB175+CB176+CB185)</f>
        <v>#DIV/0!</v>
      </c>
      <c r="CC193" s="16" t="e">
        <f>(CC140+CC141+CC145+CC149+CC150+CC151+CC157+CC162+CC172+CC175+CC176+CC185)</f>
        <v>#DIV/0!</v>
      </c>
      <c r="CD193" s="16" t="e">
        <f>(CD140+CD141+CD145+CD149+CD150+CD151+CD157+CD162+CD172+CD175+CD176+CD185)</f>
        <v>#DIV/0!</v>
      </c>
      <c r="CE193" s="16" t="e">
        <f>SUM(CE140,CE141,CE145,CE149,CE150,CE151,CE157,CE172,CE175,CE176,CE185,CE162)</f>
        <v>#DIV/0!</v>
      </c>
      <c r="CF193" s="16" t="e">
        <f>(CF140+CF141+CF145+CF149+CF150+CF151+CF157+CF162+CF172+CF175+CF176+CF185)</f>
        <v>#DIV/0!</v>
      </c>
      <c r="CG193" s="16" t="e">
        <f>(CG140+CG141+CG145+CG149+CG150+CG151+CG157+CG162+CG172+CG175+CG176+CG185)</f>
        <v>#DIV/0!</v>
      </c>
      <c r="CH193" s="16" t="e">
        <f>(CH140+CH141+CH145+CH149+CH150+CH151+CH157+CH162+CH172+CH175+CH176+CH185)</f>
        <v>#DIV/0!</v>
      </c>
      <c r="CI193" s="16" t="e">
        <f>(CI140+CI141+CI145+CI149+CI150+CI151+CI157+CI162+CI172+CI175+CI176+CI185)</f>
        <v>#DIV/0!</v>
      </c>
      <c r="CJ193" s="16" t="e">
        <f>SUM(CJ140,CJ141,CJ145,CJ149,CJ150,CJ151,CJ157,CJ172,CJ175,CJ176,CJ185,CJ162)</f>
        <v>#DIV/0!</v>
      </c>
      <c r="CK193" s="16" t="e">
        <f>(CK140+CK141+CK145+CK149+CK150+CK151+CK157+CK162+CK172+CK175+CK176+CK185)</f>
        <v>#DIV/0!</v>
      </c>
      <c r="CL193" s="16" t="e">
        <f>(CL140+CL141+CL145+CL149+CL150+CL151+CL157+CL162+CL172+CL175+CL176+CL185)</f>
        <v>#DIV/0!</v>
      </c>
      <c r="CM193" s="16" t="e">
        <f>(CM140+CM141+CM145+CM149+CM150+CM151+CM157+CM162+CM172+CM175+CM176+CM185)</f>
        <v>#DIV/0!</v>
      </c>
      <c r="CN193" s="16" t="e">
        <f>(CN140+CN141+CN145+CN149+CN150+CN151+CN157+CN162+CN172+CN175+CN176+CN185)</f>
        <v>#DIV/0!</v>
      </c>
      <c r="CO193" s="16" t="e">
        <f>SUM(CO140,CO141,CO145,CO149,CO150,CO151,CO157,CO172,CO175,CO176,CO185,CO162)</f>
        <v>#DIV/0!</v>
      </c>
      <c r="CP193" s="16" t="e">
        <f>(CP140+CP141+CP145+CP149+CP150+CP151+CP157+CP162+CP172+CP175+CP176+CP185)</f>
        <v>#DIV/0!</v>
      </c>
      <c r="CQ193" s="16" t="e">
        <f>(CQ140+CQ141+CQ145+CQ149+CQ150+CQ151+CQ157+CQ162+CQ172+CQ175+CQ176+CQ185)</f>
        <v>#DIV/0!</v>
      </c>
      <c r="CR193" s="16" t="e">
        <f>(CR140+CR141+CR145+CR149+CR150+CR151+CR157+CR162+CR172+CR175+CR176+CR185)</f>
        <v>#DIV/0!</v>
      </c>
      <c r="CS193" s="16" t="e">
        <f>(CS140+CS141+CS145+CS149+CS150+CS151+CS157+CS162+CS172+CS175+CS176+CS185)</f>
        <v>#DIV/0!</v>
      </c>
      <c r="CT193" s="16" t="e">
        <f>SUM(CT140,CT141,CT145,CT149,CT150,CT151,CT157,CT172,CT175,CT176,CT185,CT162)</f>
        <v>#DIV/0!</v>
      </c>
      <c r="CU193" s="16" t="e">
        <f>(CU140+CU141+CU145+CU149+CU150+CU151+CU157+CU162+CU172+CU175+CU176+CU185)</f>
        <v>#DIV/0!</v>
      </c>
      <c r="CV193" s="16" t="e">
        <f>(CV140+CV141+CV145+CV149+CV150+CV151+CV157+CV162+CV172+CV175+CV176+CV185)</f>
        <v>#DIV/0!</v>
      </c>
      <c r="CW193" s="16" t="e">
        <f>(CW140+CW141+CW145+CW149+CW150+CW151+CW157+CW162+CW172+CW175+CW176+CW185)</f>
        <v>#DIV/0!</v>
      </c>
      <c r="CX193" s="16" t="e">
        <f>(CX140+CX141+CX145+CX149+CX150+CX151+CX157+CX162+CX172+CX175+CX176+CX185)</f>
        <v>#DIV/0!</v>
      </c>
      <c r="CY193" s="16" t="e">
        <f>SUM(CY140,CY141,CY145,CY149,CY150,CY151,CY157,CY172,CY175,CY176,CY185,CY162)</f>
        <v>#DIV/0!</v>
      </c>
    </row>
    <row r="194">
      <c r="C194" s="26" t="inlineStr">
        <is>
          <t>Accounts payable</t>
        </is>
      </c>
      <c r="D194" s="25">
        <f>INDEX('Inputs (2)'!$D$28:$AL$28,MATCH(D$7,'Inputs (2)'!$D$2:$AL$2,0))</f>
        <v>4099</v>
      </c>
      <c r="E194" s="25">
        <f>INDEX('Inputs (2)'!$D$28:$AL$28,MATCH(E$7,'Inputs (2)'!$D$2:$AL$2,0))</f>
        <v>4064</v>
      </c>
      <c r="F194" s="25">
        <f>INDEX('Inputs (2)'!$D$28:$AL$28,MATCH(F$7,'Inputs (2)'!$D$2:$AL$2,0))</f>
        <v>4391</v>
      </c>
      <c r="G194" s="25">
        <f>INDEX('Inputs (2)'!$D$28:$AL$28,MATCH(G$7,'Inputs (2)'!$D$2:$AL$2,0))</f>
        <v>5589</v>
      </c>
      <c r="H194" s="3">
        <f>G194</f>
        <v>5589</v>
      </c>
      <c r="I194" s="25">
        <f>INDEX('Inputs (2)'!$D$28:$AL$28,MATCH(I$7,'Inputs (2)'!$D$2:$AL$2,0))</f>
        <v>4801</v>
      </c>
      <c r="J194" s="25">
        <f>INDEX('Inputs (2)'!$D$28:$AL$28,MATCH(J$7,'Inputs (2)'!$D$2:$AL$2,0))</f>
        <v>4708</v>
      </c>
      <c r="K194" s="25">
        <f>INDEX('Inputs (2)'!$D$28:$AL$28,MATCH(K$7,'Inputs (2)'!$D$2:$AL$2,0))</f>
        <v>4616</v>
      </c>
      <c r="L194" s="25">
        <f>INDEX('Inputs (2)'!$D$28:$AL$28,MATCH(L$7,'Inputs (2)'!$D$2:$AL$2,0))</f>
        <v>6037</v>
      </c>
      <c r="M194" s="3">
        <f>L194</f>
        <v>6037</v>
      </c>
      <c r="N194" s="25">
        <f>INDEX('Inputs (2)'!$D$28:$AL$28,MATCH(N$7,'Inputs (2)'!$D$2:$AL$2,0))</f>
        <v>3436</v>
      </c>
      <c r="O194" s="25">
        <f>INDEX('Inputs (2)'!$D$28:$AL$28,MATCH(O$7,'Inputs (2)'!$D$2:$AL$2,0))</f>
        <v>4409</v>
      </c>
      <c r="P194" s="25">
        <f>INDEX('Inputs (2)'!$D$28:$AL$28,MATCH(P$7,'Inputs (2)'!$D$2:$AL$2,0))</f>
        <v>6303</v>
      </c>
      <c r="Q194" s="25">
        <f>INDEX('Inputs (2)'!$D$28:$AL$28,MATCH(Q$7,'Inputs (2)'!$D$2:$AL$2,0))</f>
        <v>5128</v>
      </c>
      <c r="R194" s="3">
        <f>Q194</f>
        <v>5128</v>
      </c>
      <c r="S194" s="25">
        <f>INDEX('Inputs (2)'!$D$28:$AL$28,MATCH(S$7,'Inputs (2)'!$D$2:$AL$2,0))</f>
        <v>4184</v>
      </c>
      <c r="T194" s="25">
        <f>INDEX('Inputs (2)'!$D$28:$AL$28,MATCH(T$7,'Inputs (2)'!$D$2:$AL$2,0))</f>
        <v>5313</v>
      </c>
      <c r="U194" s="25">
        <f>INDEX('Inputs (2)'!$D$28:$AL$28,MATCH(U$7,'Inputs (2)'!$D$2:$AL$2,0))</f>
        <v>5803</v>
      </c>
      <c r="V194" s="25">
        <f>INDEX('Inputs (2)'!$D$28:$AL$28,MATCH(V$7,'Inputs (2)'!$D$2:$AL$2,0))</f>
        <v>7493</v>
      </c>
      <c r="W194" s="3">
        <f>V194</f>
        <v>7493</v>
      </c>
      <c r="X194" s="25">
        <f>INDEX('Inputs (2)'!$D$28:$AL$28,MATCH(X$7,'Inputs (2)'!$D$2:$AL$2,0))</f>
        <v>6198</v>
      </c>
      <c r="Y194" s="25">
        <f>INDEX('Inputs (2)'!$D$28:$AL$28,MATCH(Y$7,'Inputs (2)'!$D$2:$AL$2,0))</f>
        <v>6092</v>
      </c>
      <c r="Z194" s="25">
        <f>INDEX('Inputs (2)'!$D$28:$AL$28,MATCH(Z$7,'Inputs (2)'!$D$2:$AL$2,0))</f>
        <v>7049</v>
      </c>
      <c r="AA194" s="25">
        <f>INDEX('Inputs (2)'!$D$28:$AL$28,MATCH(AA$7,'Inputs (2)'!$D$2:$AL$2,0))</f>
        <v>7987</v>
      </c>
      <c r="AB194" s="3">
        <f>AA194</f>
        <v>7987</v>
      </c>
      <c r="AC194" s="25">
        <f>INDEX('Inputs (2)'!$D$28:$AL$28,MATCH(AC$7,'Inputs (2)'!$D$2:$AL$2,0))</f>
        <v>8497</v>
      </c>
      <c r="AD194" s="25">
        <f>INDEX('Inputs (2)'!$D$28:$AL$28,MATCH(AD$7,'Inputs (2)'!$D$2:$AL$2,0))</f>
        <v>8347</v>
      </c>
      <c r="AE194" s="25">
        <f>INDEX('Inputs (2)'!$D$28:$AL$28,MATCH(AE$7,'Inputs (2)'!$D$2:$AL$2,0))</f>
        <v>10546</v>
      </c>
      <c r="AF194" s="25">
        <f>INDEX('Inputs (2)'!$D$28:$AL$28,MATCH(AF$7,'Inputs (2)'!$D$2:$AL$2,0))</f>
        <v>12200</v>
      </c>
      <c r="AG194" s="3">
        <f>AF194</f>
        <v>12200</v>
      </c>
      <c r="AH194" s="3">
        <f>INDEX('Inputs (2)'!$D$28:$AL$28,MATCH(AH$7,'Inputs (2)'!$D$2:$AL$2,0))</f>
        <v>16852</v>
      </c>
      <c r="AI194" s="3">
        <f>INDEX('Inputs (2)'!$D$28:$AL$28,MATCH(AI$7,'Inputs (2)'!$D$2:$AL$2,0))</f>
        <v>20258</v>
      </c>
      <c r="AJ194" s="3">
        <f>(AJ195/(AJ$5-AI$5))*-AJ50</f>
        <v>0</v>
      </c>
      <c r="AK194" s="3">
        <f>(AK195/(AK$5-AJ$5))*-AK50</f>
        <v>0</v>
      </c>
      <c r="AL194" s="3">
        <f>AK194</f>
        <v>0</v>
      </c>
      <c r="AM194" s="3">
        <f>(AM195/(AM$5-AL$5))*-AM50</f>
        <v>0</v>
      </c>
      <c r="AN194" s="3">
        <f>(AN195/(AN$5-AM$5))*-AN50</f>
        <v>0</v>
      </c>
      <c r="AO194" s="3">
        <f>(AO195/(AO$5-AN$5))*-AO50</f>
        <v>0</v>
      </c>
      <c r="AP194" s="3">
        <f>(AP195/(AP$5-AO$5))*-AP50</f>
        <v>0</v>
      </c>
      <c r="AQ194" s="3">
        <f>AP194</f>
        <v>0</v>
      </c>
      <c r="AR194" s="3">
        <f>(AR195/(AR$5-AQ$5))*-AR50</f>
        <v>0</v>
      </c>
      <c r="AS194" s="3">
        <f>(AS195/(AS$5-AR$5))*-AS50</f>
        <v>0</v>
      </c>
      <c r="AT194" s="3">
        <f>(AT195/(AT$5-AS$5))*-AT50</f>
        <v>0</v>
      </c>
      <c r="AU194" s="3">
        <f>(AU195/(AU$5-AT$5))*-AU50</f>
        <v>0</v>
      </c>
      <c r="AV194" s="3">
        <f>AU194</f>
        <v>0</v>
      </c>
      <c r="AW194" s="3">
        <f>(AW195/(AW$5-AV$5))*-AW50</f>
        <v>0</v>
      </c>
      <c r="AX194" s="3">
        <f>(AX195/(AX$5-AW$5))*-AX50</f>
        <v>0</v>
      </c>
      <c r="AY194" s="3">
        <f>(AY195/(AY$5-AX$5))*-AY50</f>
        <v>0</v>
      </c>
      <c r="AZ194" s="3">
        <f>(AZ195/(AZ$5-AY$5))*-AZ50</f>
        <v>0</v>
      </c>
      <c r="BA194" s="3">
        <f>AZ194</f>
        <v>0</v>
      </c>
      <c r="BB194" s="3">
        <f>(BB195/(BB$5-BA$5))*-BB50</f>
        <v>0</v>
      </c>
      <c r="BC194" s="3">
        <f>(BC195/(BC$5-BB$5))*-BC50</f>
        <v>0</v>
      </c>
      <c r="BD194" s="3">
        <f>(BD195/(BD$5-BC$5))*-BD50</f>
        <v>0</v>
      </c>
      <c r="BE194" s="3">
        <f>(BE195/(BE$5-BD$5))*-BE50</f>
        <v>0</v>
      </c>
      <c r="BF194" s="3">
        <f>BE194</f>
        <v>0</v>
      </c>
      <c r="BG194" s="3">
        <f>(BG195/(BG$5-BF$5))*-BG50</f>
        <v>0</v>
      </c>
      <c r="BH194" s="3">
        <f>(BH195/(BH$5-BG$5))*-BH50</f>
        <v>0</v>
      </c>
      <c r="BI194" s="3">
        <f>(BI195/(BI$5-BH$5))*-BI50</f>
        <v>0</v>
      </c>
      <c r="BJ194" s="3">
        <f>(BJ195/(BJ$5-BI$5))*-BJ50</f>
        <v>0</v>
      </c>
      <c r="BK194" s="3">
        <f>BJ194</f>
        <v>0</v>
      </c>
      <c r="BL194" s="3">
        <f>(BL195/(BL$5-BK$5))*-BL50</f>
        <v>0</v>
      </c>
      <c r="BM194" s="3">
        <f>(BM195/(BM$5-BL$5))*-BM50</f>
        <v>0</v>
      </c>
      <c r="BN194" s="3">
        <f>(BN195/(BN$5-BM$5))*-BN50</f>
        <v>0</v>
      </c>
      <c r="BO194" s="3">
        <f>(BO195/(BO$5-BN$5))*-BO50</f>
        <v>0</v>
      </c>
      <c r="BP194" s="3">
        <f>BO194</f>
        <v>0</v>
      </c>
      <c r="BQ194" s="3">
        <f>(BQ195/(BQ$5-BP$5))*-BQ50</f>
        <v>0</v>
      </c>
      <c r="BR194" s="3">
        <f>(BR195/(BR$5-BQ$5))*-BR50</f>
        <v>0</v>
      </c>
      <c r="BS194" s="3">
        <f>(BS195/(BS$5-BR$5))*-BS50</f>
        <v>0</v>
      </c>
      <c r="BT194" s="3">
        <f>(BT195/(BT$5-BS$5))*-BT50</f>
        <v>0</v>
      </c>
      <c r="BU194" s="3">
        <f>BT194</f>
        <v>0</v>
      </c>
      <c r="BV194" s="3">
        <f>(BV195/(BV$5-BU$5))*-BV50</f>
        <v>0</v>
      </c>
      <c r="BW194" s="3">
        <f>(BW195/(BW$5-BV$5))*-BW50</f>
        <v>0</v>
      </c>
      <c r="BX194" s="3">
        <f>(BX195/(BX$5-BW$5))*-BX50</f>
        <v>0</v>
      </c>
      <c r="BY194" s="3">
        <f>(BY195/(BY$5-BX$5))*-BY50</f>
        <v>0</v>
      </c>
      <c r="BZ194" s="3">
        <f>BY194</f>
        <v>0</v>
      </c>
      <c r="CA194" s="3">
        <f>(CA195/(CA$5-BZ$5))*-CA50</f>
        <v>0</v>
      </c>
      <c r="CB194" s="3">
        <f>(CB195/(CB$5-CA$5))*-CB50</f>
        <v>0</v>
      </c>
      <c r="CC194" s="3">
        <f>(CC195/(CC$5-CB$5))*-CC50</f>
        <v>0</v>
      </c>
      <c r="CD194" s="3">
        <f>(CD195/(CD$5-CC$5))*-CD50</f>
        <v>0</v>
      </c>
      <c r="CE194" s="3">
        <f>CD194</f>
        <v>0</v>
      </c>
      <c r="CF194" s="3">
        <f>(CF195/(CF$5-CE$5))*-CF50</f>
        <v>0</v>
      </c>
      <c r="CG194" s="3">
        <f>(CG195/(CG$5-CF$5))*-CG50</f>
        <v>0</v>
      </c>
      <c r="CH194" s="3">
        <f>(CH195/(CH$5-CG$5))*-CH50</f>
        <v>0</v>
      </c>
      <c r="CI194" s="3">
        <f>(CI195/(CI$5-CH$5))*-CI50</f>
        <v>0</v>
      </c>
      <c r="CJ194" s="3">
        <f>CI194</f>
        <v>0</v>
      </c>
      <c r="CK194" s="3">
        <f>(CK195/(CK$5-CJ$5))*-CK50</f>
        <v>0</v>
      </c>
      <c r="CL194" s="3">
        <f>(CL195/(CL$5-CK$5))*-CL50</f>
        <v>0</v>
      </c>
      <c r="CM194" s="3">
        <f>(CM195/(CM$5-CL$5))*-CM50</f>
        <v>0</v>
      </c>
      <c r="CN194" s="3">
        <f>(CN195/(CN$5-CM$5))*-CN50</f>
        <v>0</v>
      </c>
      <c r="CO194" s="3">
        <f>CN194</f>
        <v>0</v>
      </c>
      <c r="CP194" s="3">
        <f>(CP195/(CP$5-CO$5))*-CP50</f>
        <v>0</v>
      </c>
      <c r="CQ194" s="3">
        <f>(CQ195/(CQ$5-CP$5))*-CQ50</f>
        <v>0</v>
      </c>
      <c r="CR194" s="3">
        <f>(CR195/(CR$5-CQ$5))*-CR50</f>
        <v>0</v>
      </c>
      <c r="CS194" s="3">
        <f>(CS195/(CS$5-CR$5))*-CS50</f>
        <v>0</v>
      </c>
      <c r="CT194" s="3">
        <f>CS194</f>
        <v>0</v>
      </c>
      <c r="CU194" s="3">
        <f>(CU195/(CU$5-CT$5))*-CU50</f>
        <v>0</v>
      </c>
      <c r="CV194" s="3">
        <f>(CV195/(CV$5-CU$5))*-CV50</f>
        <v>0</v>
      </c>
      <c r="CW194" s="3">
        <f>(CW195/(CW$5-CV$5))*-CW50</f>
        <v>0</v>
      </c>
      <c r="CX194" s="3">
        <f>(CX195/(CX$5-CW$5))*-CX50</f>
        <v>0</v>
      </c>
      <c r="CY194" s="3">
        <f>CX194</f>
        <v>0</v>
      </c>
    </row>
    <row r="195" hidden="1" outlineLevel="1">
      <c r="C195" s="34" t="inlineStr">
        <is>
          <t>DPO</t>
        </is>
      </c>
      <c r="D195" s="3" t="n"/>
      <c r="E195" s="3">
        <f>-(E194/E$50)*(E$5-D$5)</f>
        <v>19.9333800463537</v>
      </c>
      <c r="F195" s="3">
        <f>-(F194/F$50)*(F$5-E$5)</f>
        <v>19.1301794762514</v>
      </c>
      <c r="G195" s="3">
        <f>-(G194/G$50)*(G$5-F$5)</f>
        <v>19.7157975460123</v>
      </c>
      <c r="H195" s="3" t="n"/>
      <c r="I195" s="3">
        <f>-(I194/I$50)*(I$5-H$5)</f>
        <v>17.9268140895324</v>
      </c>
      <c r="J195" s="3">
        <f>-(J194/J$50)*(J$5-I$5)</f>
        <v>16.3353795706714</v>
      </c>
      <c r="K195" s="3">
        <f>-(K194/K$50)*(K$5-J$5)</f>
        <v>15.3749683212049</v>
      </c>
      <c r="L195" s="3">
        <f>-(L194/L$50)*(L$5-K$5)</f>
        <v>16.8365466230144</v>
      </c>
      <c r="M195" s="3" t="n"/>
      <c r="N195" s="3">
        <f>-(N194/N$50)*(N$5-M$5)</f>
        <v>10.4476502584547</v>
      </c>
      <c r="O195" s="3">
        <f>-(O194/O$50)*(O$5-N$5)</f>
        <v>13.3277637523253</v>
      </c>
      <c r="P195" s="3">
        <f>-(P194/P$50)*(P$5-O$5)</f>
        <v>18.6108222607356</v>
      </c>
      <c r="Q195" s="3">
        <f>-(Q194/Q$50)*(Q$5-P$5)</f>
        <v>13.3488766906231</v>
      </c>
      <c r="R195" s="3" t="n"/>
      <c r="S195" s="3">
        <f>-(S194/S$50)*(S$5-R$5)</f>
        <v>12.3010584084673</v>
      </c>
      <c r="T195" s="3">
        <f>-(T194/T$50)*(T$5-S$5)</f>
        <v>15.1486088482266</v>
      </c>
      <c r="U195" s="3">
        <f>-(U194/U$50)*(U$5-T$5)</f>
        <v>16.0665683589636</v>
      </c>
      <c r="V195" s="3">
        <f>-(V194/V$50)*(V$5-U$5)</f>
        <v>18.3461343978709</v>
      </c>
      <c r="W195" s="3" t="n"/>
      <c r="X195" s="3">
        <f>-(X194/X$50)*(X$5-W$5)</f>
        <v>16.7304817275748</v>
      </c>
      <c r="Y195" s="3">
        <f>-(Y194/Y$50)*(Y$5-X$5)</f>
        <v>15.613034049624</v>
      </c>
      <c r="Z195" s="3">
        <f>-(Z194/Z$50)*(Z$5-Y$5)</f>
        <v>17.7800076767012</v>
      </c>
      <c r="AA195" s="3">
        <f>-(AA194/AA$50)*(AA$5-Z$5)</f>
        <v>18.0928274197917</v>
      </c>
      <c r="AB195" s="3" t="n"/>
      <c r="AC195" s="3">
        <f>-(AC194/AC$50)*(AC$5-AB$5)</f>
        <v>21.0315997909849</v>
      </c>
      <c r="AD195" s="3">
        <f>-(AD194/AD$50)*(AD$5-AC$5)</f>
        <v>19.4568764568765</v>
      </c>
      <c r="AE195" s="3">
        <f>-(AE194/AE$50)*(AE$5-AD$5)</f>
        <v>23.4531170683362</v>
      </c>
      <c r="AF195" s="6">
        <f>-(AF194/AF$50)*(AF$5-AE$5)</f>
        <v>24.5242205082265</v>
      </c>
      <c r="AG195" s="3" t="n"/>
      <c r="AH195" s="6">
        <f>-(AH194/AH$50)*(AH$5-AG$5)</f>
        <v>36.749291269899</v>
      </c>
      <c r="AI195" s="6">
        <f>-(AI194/AI$50)*(AI$5-AH$5)</f>
        <v>40.1253292122848</v>
      </c>
      <c r="AJ195" s="6" t="n"/>
      <c r="AK195" s="6" t="n"/>
      <c r="AL195" s="3" t="n"/>
      <c r="AM195" s="6" t="n"/>
      <c r="AN195" s="6" t="n"/>
      <c r="AO195" s="6" t="n"/>
      <c r="AP195" s="6" t="n"/>
      <c r="AQ195" s="3" t="n"/>
      <c r="AR195" s="6" t="n"/>
      <c r="AS195" s="6" t="n"/>
      <c r="AT195" s="6" t="n"/>
      <c r="AU195" s="6" t="n"/>
      <c r="AV195" s="3" t="n"/>
      <c r="AW195" s="6" t="n"/>
      <c r="AX195" s="6" t="n"/>
      <c r="AY195" s="6" t="n"/>
      <c r="AZ195" s="6" t="n"/>
      <c r="BA195" s="3" t="n"/>
      <c r="BB195" s="6" t="n"/>
      <c r="BC195" s="6" t="n"/>
      <c r="BD195" s="6" t="n"/>
      <c r="BE195" s="6" t="n"/>
      <c r="BF195" s="3" t="n"/>
      <c r="BG195" s="6" t="n"/>
      <c r="BH195" s="6" t="n"/>
      <c r="BI195" s="6" t="n"/>
      <c r="BJ195" s="6" t="n"/>
      <c r="BK195" s="3" t="n"/>
      <c r="BL195" s="6" t="n"/>
      <c r="BM195" s="6" t="n"/>
      <c r="BN195" s="6" t="n"/>
      <c r="BO195" s="6" t="n"/>
      <c r="BP195" s="3" t="n"/>
      <c r="BQ195" s="6" t="n"/>
      <c r="BR195" s="6" t="n"/>
      <c r="BS195" s="6" t="n"/>
      <c r="BT195" s="6" t="n"/>
      <c r="BU195" s="3" t="n"/>
      <c r="BV195" s="6" t="n"/>
      <c r="BW195" s="6" t="n"/>
      <c r="BX195" s="6" t="n"/>
      <c r="BY195" s="6" t="n"/>
      <c r="BZ195" s="3" t="n"/>
      <c r="CA195" s="6" t="n"/>
      <c r="CB195" s="6" t="n"/>
      <c r="CC195" s="6" t="n"/>
      <c r="CD195" s="6" t="n"/>
      <c r="CE195" s="3" t="n"/>
      <c r="CF195" s="6" t="n"/>
      <c r="CG195" s="6" t="n"/>
      <c r="CH195" s="6" t="n"/>
      <c r="CI195" s="6" t="n"/>
      <c r="CJ195" s="3" t="n"/>
      <c r="CK195" s="6" t="n"/>
      <c r="CL195" s="6" t="n"/>
      <c r="CM195" s="6" t="n"/>
      <c r="CN195" s="6" t="n"/>
      <c r="CO195" s="3" t="n"/>
      <c r="CP195" s="6" t="n"/>
      <c r="CQ195" s="6" t="n"/>
      <c r="CR195" s="6" t="n"/>
      <c r="CS195" s="6" t="n"/>
      <c r="CT195" s="3" t="n"/>
      <c r="CU195" s="6" t="n"/>
      <c r="CV195" s="6" t="n"/>
      <c r="CW195" s="6" t="n"/>
      <c r="CX195" s="6" t="n"/>
      <c r="CY195" s="3" t="n"/>
    </row>
    <row r="196" hidden="1" outlineLevel="1">
      <c r="C196" s="34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  <c r="CU196" s="3" t="n"/>
      <c r="CV196" s="3" t="n"/>
      <c r="CW196" s="3" t="n"/>
      <c r="CX196" s="3" t="n"/>
      <c r="CY196" s="3" t="n"/>
    </row>
    <row r="197" hidden="1" outlineLevel="1">
      <c r="C197" s="34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  <c r="CU197" s="3" t="n"/>
      <c r="CV197" s="3" t="n"/>
      <c r="CW197" s="3" t="n"/>
      <c r="CX197" s="3" t="n"/>
      <c r="CY197" s="3" t="n"/>
    </row>
    <row r="198" collapsed="1">
      <c r="C198" s="26" t="inlineStr">
        <is>
          <t>Accrued expenses</t>
        </is>
      </c>
      <c r="D198" s="25">
        <f>INDEX('Inputs (2)'!$D$29:$AL$29,MATCH(D$7,'Inputs (2)'!$D$2:$AL$2,0))</f>
        <v>33239</v>
      </c>
      <c r="E198" s="25">
        <f>INDEX('Inputs (2)'!$D$29:$AL$29,MATCH(E$7,'Inputs (2)'!$D$2:$AL$2,0))</f>
        <v>36558</v>
      </c>
      <c r="F198" s="25">
        <f>INDEX('Inputs (2)'!$D$29:$AL$29,MATCH(F$7,'Inputs (2)'!$D$2:$AL$2,0))</f>
        <v>40408</v>
      </c>
      <c r="G198" s="25">
        <f>INDEX('Inputs (2)'!$D$29:$AL$29,MATCH(G$7,'Inputs (2)'!$D$2:$AL$2,0))</f>
        <v>47217</v>
      </c>
      <c r="H198" s="3">
        <f>G198</f>
        <v>47217</v>
      </c>
      <c r="I198" s="25">
        <f>INDEX('Inputs (2)'!$D$29:$AL$29,MATCH(I$7,'Inputs (2)'!$D$2:$AL$2,0))</f>
        <v>46069</v>
      </c>
      <c r="J198" s="25">
        <f>INDEX('Inputs (2)'!$D$29:$AL$29,MATCH(J$7,'Inputs (2)'!$D$2:$AL$2,0))</f>
        <v>46507</v>
      </c>
      <c r="K198" s="25">
        <f>INDEX('Inputs (2)'!$D$29:$AL$29,MATCH(K$7,'Inputs (2)'!$D$2:$AL$2,0))</f>
        <v>50028</v>
      </c>
      <c r="L198" s="25">
        <f>INDEX('Inputs (2)'!$D$29:$AL$29,MATCH(L$7,'Inputs (2)'!$D$2:$AL$2,0))</f>
        <v>54121</v>
      </c>
      <c r="M198" s="3">
        <f>L198</f>
        <v>54121</v>
      </c>
      <c r="N198" s="25">
        <f>INDEX('Inputs (2)'!$D$29:$AL$29,MATCH(N$7,'Inputs (2)'!$D$2:$AL$2,0))</f>
        <v>50970</v>
      </c>
      <c r="O198" s="25">
        <f>INDEX('Inputs (2)'!$D$29:$AL$29,MATCH(O$7,'Inputs (2)'!$D$2:$AL$2,0))</f>
        <v>51717</v>
      </c>
      <c r="P198" s="25">
        <f>INDEX('Inputs (2)'!$D$29:$AL$29,MATCH(P$7,'Inputs (2)'!$D$2:$AL$2,0))</f>
        <v>55066</v>
      </c>
      <c r="Q198" s="25">
        <f>INDEX('Inputs (2)'!$D$29:$AL$29,MATCH(Q$7,'Inputs (2)'!$D$2:$AL$2,0))</f>
        <v>60264</v>
      </c>
      <c r="R198" s="3">
        <f>Q198</f>
        <v>60264</v>
      </c>
      <c r="S198" s="25">
        <f>INDEX('Inputs (2)'!$D$29:$AL$29,MATCH(S$7,'Inputs (2)'!$D$2:$AL$2,0))</f>
        <v>60955</v>
      </c>
      <c r="T198" s="25">
        <f>INDEX('Inputs (2)'!$D$29:$AL$29,MATCH(T$7,'Inputs (2)'!$D$2:$AL$2,0))</f>
        <v>68550</v>
      </c>
      <c r="U198" s="25">
        <f>INDEX('Inputs (2)'!$D$29:$AL$29,MATCH(U$7,'Inputs (2)'!$D$2:$AL$2,0))</f>
        <v>76189</v>
      </c>
      <c r="V198" s="25">
        <f>INDEX('Inputs (2)'!$D$29:$AL$29,MATCH(V$7,'Inputs (2)'!$D$2:$AL$2,0))</f>
        <v>70184</v>
      </c>
      <c r="W198" s="3">
        <f>V198</f>
        <v>70184</v>
      </c>
      <c r="X198" s="25">
        <f>INDEX('Inputs (2)'!$D$29:$AL$29,MATCH(X$7,'Inputs (2)'!$D$2:$AL$2,0))</f>
        <v>66826</v>
      </c>
      <c r="Y198" s="25">
        <f>INDEX('Inputs (2)'!$D$29:$AL$29,MATCH(Y$7,'Inputs (2)'!$D$2:$AL$2,0))</f>
        <v>67570</v>
      </c>
      <c r="Z198" s="25">
        <f>INDEX('Inputs (2)'!$D$29:$AL$29,MATCH(Z$7,'Inputs (2)'!$D$2:$AL$2,0))</f>
        <v>68858</v>
      </c>
      <c r="AA198" s="25">
        <f>INDEX('Inputs (2)'!$D$29:$AL$29,MATCH(AA$7,'Inputs (2)'!$D$2:$AL$2,0))</f>
        <v>76099</v>
      </c>
      <c r="AB198" s="3">
        <f>AA198</f>
        <v>76099</v>
      </c>
      <c r="AC198" s="25">
        <f>INDEX('Inputs (2)'!$D$29:$AL$29,MATCH(AC$7,'Inputs (2)'!$D$2:$AL$2,0))</f>
        <v>78249</v>
      </c>
      <c r="AD198" s="25">
        <f>INDEX('Inputs (2)'!$D$29:$AL$29,MATCH(AD$7,'Inputs (2)'!$D$2:$AL$2,0))</f>
        <v>73994</v>
      </c>
      <c r="AE198" s="25">
        <f>INDEX('Inputs (2)'!$D$29:$AL$29,MATCH(AE$7,'Inputs (2)'!$D$2:$AL$2,0))</f>
        <v>83462</v>
      </c>
      <c r="AF198" s="25">
        <f>INDEX('Inputs (2)'!$D$29:$AL$29,MATCH(AF$7,'Inputs (2)'!$D$2:$AL$2,0))</f>
        <v>83967</v>
      </c>
      <c r="AG198" s="3">
        <f>AF198</f>
        <v>83967</v>
      </c>
      <c r="AH198" s="3">
        <f>INDEX('Inputs (2)'!$D$29:$AL$29,MATCH(AH$7,'Inputs (2)'!$D$2:$AL$2,0))</f>
        <v>87174</v>
      </c>
      <c r="AI198" s="3">
        <f>INDEX('Inputs (2)'!$D$29:$AL$29,MATCH(AI$7,'Inputs (2)'!$D$2:$AL$2,0))</f>
        <v>98699</v>
      </c>
      <c r="AJ198" s="3">
        <f>AH198*AJ54/AH54</f>
        <v>0</v>
      </c>
      <c r="AK198" s="3">
        <f>AI198*AK54/AI54</f>
        <v>0</v>
      </c>
      <c r="AL198" s="3">
        <f>AK198</f>
        <v>0</v>
      </c>
      <c r="AM198" s="3" t="e">
        <f>AK198*AM54/AK54</f>
        <v>#DIV/0!</v>
      </c>
      <c r="AN198" s="3">
        <f>AL198*AN54/AL54</f>
        <v>0</v>
      </c>
      <c r="AO198" s="3" t="e">
        <f>AM198*AO54/AM54</f>
        <v>#DIV/0!</v>
      </c>
      <c r="AP198" s="3" t="e">
        <f>AN198*AP54/AN54</f>
        <v>#DIV/0!</v>
      </c>
      <c r="AQ198" s="3" t="e">
        <f>AP198</f>
        <v>#DIV/0!</v>
      </c>
      <c r="AR198" s="3" t="e">
        <f>AP198*AR54/AP54</f>
        <v>#DIV/0!</v>
      </c>
      <c r="AS198" s="3" t="e">
        <f>AQ198*AS54/AQ54</f>
        <v>#DIV/0!</v>
      </c>
      <c r="AT198" s="3" t="e">
        <f>AR198*AT54/AR54</f>
        <v>#DIV/0!</v>
      </c>
      <c r="AU198" s="3" t="e">
        <f>AS198*AU54/AS54</f>
        <v>#DIV/0!</v>
      </c>
      <c r="AV198" s="3" t="e">
        <f>AU198</f>
        <v>#DIV/0!</v>
      </c>
      <c r="AW198" s="3" t="e">
        <f>AU198*AW54/AU54</f>
        <v>#DIV/0!</v>
      </c>
      <c r="AX198" s="3" t="e">
        <f>AV198*AX54/AV54</f>
        <v>#DIV/0!</v>
      </c>
      <c r="AY198" s="3" t="e">
        <f>AW198*AY54/AW54</f>
        <v>#DIV/0!</v>
      </c>
      <c r="AZ198" s="3" t="e">
        <f>AX198*AZ54/AX54</f>
        <v>#DIV/0!</v>
      </c>
      <c r="BA198" s="3" t="e">
        <f>AZ198</f>
        <v>#DIV/0!</v>
      </c>
      <c r="BB198" s="3" t="e">
        <f>AZ198*BB54/AZ54</f>
        <v>#DIV/0!</v>
      </c>
      <c r="BC198" s="3" t="e">
        <f>BA198*BC54/BA54</f>
        <v>#DIV/0!</v>
      </c>
      <c r="BD198" s="3" t="e">
        <f>BB198*BD54/BB54</f>
        <v>#DIV/0!</v>
      </c>
      <c r="BE198" s="3" t="e">
        <f>BC198*BE54/BC54</f>
        <v>#DIV/0!</v>
      </c>
      <c r="BF198" s="3" t="e">
        <f>BE198</f>
        <v>#DIV/0!</v>
      </c>
      <c r="BG198" s="3" t="e">
        <f>BE198*BG54/BE54</f>
        <v>#DIV/0!</v>
      </c>
      <c r="BH198" s="3" t="e">
        <f>BF198*BH54/BF54</f>
        <v>#DIV/0!</v>
      </c>
      <c r="BI198" s="3" t="e">
        <f>BG198*BI54/BG54</f>
        <v>#DIV/0!</v>
      </c>
      <c r="BJ198" s="3" t="e">
        <f>BH198*BJ54/BH54</f>
        <v>#DIV/0!</v>
      </c>
      <c r="BK198" s="3" t="e">
        <f>BJ198</f>
        <v>#DIV/0!</v>
      </c>
      <c r="BL198" s="3" t="e">
        <f>BJ198*BL54/BJ54</f>
        <v>#DIV/0!</v>
      </c>
      <c r="BM198" s="3" t="e">
        <f>BK198*BM54/BK54</f>
        <v>#DIV/0!</v>
      </c>
      <c r="BN198" s="3" t="e">
        <f>BL198*BN54/BL54</f>
        <v>#DIV/0!</v>
      </c>
      <c r="BO198" s="3" t="e">
        <f>BM198*BO54/BM54</f>
        <v>#DIV/0!</v>
      </c>
      <c r="BP198" s="3" t="e">
        <f>BO198</f>
        <v>#DIV/0!</v>
      </c>
      <c r="BQ198" s="3" t="e">
        <f>BO198*BQ54/BO54</f>
        <v>#DIV/0!</v>
      </c>
      <c r="BR198" s="3" t="e">
        <f>BP198*BR54/BP54</f>
        <v>#DIV/0!</v>
      </c>
      <c r="BS198" s="3" t="e">
        <f>BQ198*BS54/BQ54</f>
        <v>#DIV/0!</v>
      </c>
      <c r="BT198" s="3" t="e">
        <f>BR198*BT54/BR54</f>
        <v>#DIV/0!</v>
      </c>
      <c r="BU198" s="3" t="e">
        <f>BT198</f>
        <v>#DIV/0!</v>
      </c>
      <c r="BV198" s="3" t="e">
        <f>BT198*BV54/BT54</f>
        <v>#DIV/0!</v>
      </c>
      <c r="BW198" s="3" t="e">
        <f>BU198*BW54/BU54</f>
        <v>#DIV/0!</v>
      </c>
      <c r="BX198" s="3" t="e">
        <f>BV198*BX54/BV54</f>
        <v>#DIV/0!</v>
      </c>
      <c r="BY198" s="3" t="e">
        <f>BW198*BY54/BW54</f>
        <v>#DIV/0!</v>
      </c>
      <c r="BZ198" s="3" t="e">
        <f>BY198</f>
        <v>#DIV/0!</v>
      </c>
      <c r="CA198" s="3" t="e">
        <f>BY198*CA54/BY54</f>
        <v>#DIV/0!</v>
      </c>
      <c r="CB198" s="3" t="e">
        <f>BZ198*CB54/BZ54</f>
        <v>#DIV/0!</v>
      </c>
      <c r="CC198" s="3" t="e">
        <f>CA198*CC54/CA54</f>
        <v>#DIV/0!</v>
      </c>
      <c r="CD198" s="3" t="e">
        <f>CB198*CD54/CB54</f>
        <v>#DIV/0!</v>
      </c>
      <c r="CE198" s="3" t="e">
        <f>CD198</f>
        <v>#DIV/0!</v>
      </c>
      <c r="CF198" s="3" t="e">
        <f>CD198*CF54/CD54</f>
        <v>#DIV/0!</v>
      </c>
      <c r="CG198" s="3" t="e">
        <f>CE198*CG54/CE54</f>
        <v>#DIV/0!</v>
      </c>
      <c r="CH198" s="3" t="e">
        <f>CF198*CH54/CF54</f>
        <v>#DIV/0!</v>
      </c>
      <c r="CI198" s="3" t="e">
        <f>CG198*CI54/CG54</f>
        <v>#DIV/0!</v>
      </c>
      <c r="CJ198" s="3" t="e">
        <f>CI198</f>
        <v>#DIV/0!</v>
      </c>
      <c r="CK198" s="3" t="e">
        <f>CI198*CK54/CI54</f>
        <v>#DIV/0!</v>
      </c>
      <c r="CL198" s="3" t="e">
        <f>CJ198*CL54/CJ54</f>
        <v>#DIV/0!</v>
      </c>
      <c r="CM198" s="3" t="e">
        <f>CK198*CM54/CK54</f>
        <v>#DIV/0!</v>
      </c>
      <c r="CN198" s="3" t="e">
        <f>CL198*CN54/CL54</f>
        <v>#DIV/0!</v>
      </c>
      <c r="CO198" s="3" t="e">
        <f>CN198</f>
        <v>#DIV/0!</v>
      </c>
      <c r="CP198" s="3" t="e">
        <f>CN198*CP54/CN54</f>
        <v>#DIV/0!</v>
      </c>
      <c r="CQ198" s="3" t="e">
        <f>CO198*CQ54/CO54</f>
        <v>#DIV/0!</v>
      </c>
      <c r="CR198" s="3" t="e">
        <f>CP198*CR54/CP54</f>
        <v>#DIV/0!</v>
      </c>
      <c r="CS198" s="3" t="e">
        <f>CQ198*CS54/CQ54</f>
        <v>#DIV/0!</v>
      </c>
      <c r="CT198" s="3" t="e">
        <f>CS198</f>
        <v>#DIV/0!</v>
      </c>
      <c r="CU198" s="3" t="e">
        <f>CS198*CU54/CS54</f>
        <v>#DIV/0!</v>
      </c>
      <c r="CV198" s="3" t="e">
        <f>CT198*CV54/CT54</f>
        <v>#DIV/0!</v>
      </c>
      <c r="CW198" s="3" t="e">
        <f>CU198*CW54/CU54</f>
        <v>#DIV/0!</v>
      </c>
      <c r="CX198" s="3" t="e">
        <f>CV198*CX54/CV54</f>
        <v>#DIV/0!</v>
      </c>
      <c r="CY198" s="3" t="e">
        <f>CX198</f>
        <v>#DIV/0!</v>
      </c>
    </row>
    <row r="199" hidden="1" outlineLevel="1">
      <c r="C199" s="38" t="inlineStr">
        <is>
          <t>%(Var.)</t>
        </is>
      </c>
      <c r="D199" s="3" t="n"/>
      <c r="E199" s="47">
        <f>(E198-D198)/D198</f>
        <v>0.0998525828093505</v>
      </c>
      <c r="F199" s="47">
        <f>(F198-E198)/E198</f>
        <v>0.105312106789212</v>
      </c>
      <c r="G199" s="47">
        <f>(G198-F198)/F198</f>
        <v>0.168506236388834</v>
      </c>
      <c r="H199" s="3" t="n"/>
      <c r="I199" s="47">
        <f>(I198-H198)/H198</f>
        <v>-0.0243132769976915</v>
      </c>
      <c r="J199" s="47">
        <f>(J198-I198)/I198</f>
        <v>0.00950747791356444</v>
      </c>
      <c r="K199" s="47">
        <f>(K198-J198)/J198</f>
        <v>0.0757090330487884</v>
      </c>
      <c r="L199" s="47">
        <f>(L198-K198)/K198</f>
        <v>0.0818141840569281</v>
      </c>
      <c r="M199" s="3" t="n"/>
      <c r="N199" s="47">
        <f>(N198-M198)/M198</f>
        <v>-0.058221392805011</v>
      </c>
      <c r="O199" s="47">
        <f>(O198-N198)/N198</f>
        <v>0.0146556798116539</v>
      </c>
      <c r="P199" s="47">
        <f>(P198-O198)/O198</f>
        <v>0.0647562696985517</v>
      </c>
      <c r="Q199" s="47">
        <f>(Q198-P198)/P198</f>
        <v>0.0943958159299749</v>
      </c>
      <c r="R199" s="3" t="n"/>
      <c r="S199" s="47">
        <f>(S198-R198)/R198</f>
        <v>0.0114662153192619</v>
      </c>
      <c r="T199" s="47">
        <f>(T198-S198)/S198</f>
        <v>0.124600114838816</v>
      </c>
      <c r="U199" s="47">
        <f>(U198-T198)/T198</f>
        <v>0.111436907366885</v>
      </c>
      <c r="V199" s="47">
        <f>(V198-U198)/U198</f>
        <v>-0.0788171520823216</v>
      </c>
      <c r="W199" s="3" t="n"/>
      <c r="X199" s="47">
        <f>(X198-W198)/W198</f>
        <v>-0.0478456628291349</v>
      </c>
      <c r="Y199" s="47">
        <f>(Y198-X198)/X198</f>
        <v>0.0111333911950438</v>
      </c>
      <c r="Z199" s="47">
        <f>(Z198-Y198)/Y198</f>
        <v>0.019061713778304</v>
      </c>
      <c r="AA199" s="47">
        <f>(AA198-Z198)/Z198</f>
        <v>0.105158442011095</v>
      </c>
      <c r="AB199" s="3" t="n"/>
      <c r="AC199" s="47">
        <f>(AC198-AB198)/AB198</f>
        <v>0.0282526708629548</v>
      </c>
      <c r="AD199" s="47">
        <f>(AD198-AC198)/AC198</f>
        <v>-0.0543776917276898</v>
      </c>
      <c r="AE199" s="47">
        <f>(AE198-AD198)/AD198</f>
        <v>0.127956320782766</v>
      </c>
      <c r="AF199" s="218">
        <f>(AF198-AE198)/AE198</f>
        <v>0.00605065778438092</v>
      </c>
      <c r="AG199" s="3" t="n"/>
      <c r="AH199" s="218">
        <f>(AH198-AG198)/AG198</f>
        <v>0.038193576047733</v>
      </c>
      <c r="AI199" s="218">
        <f>(AI198-AH198)/AH198</f>
        <v>0.132206850666483</v>
      </c>
      <c r="AJ199" s="218" t="n"/>
      <c r="AK199" s="218" t="n"/>
      <c r="AL199" s="3" t="n"/>
      <c r="AM199" s="218" t="n"/>
      <c r="AN199" s="218" t="n"/>
      <c r="AO199" s="218" t="n"/>
      <c r="AP199" s="218" t="n"/>
      <c r="AQ199" s="3" t="n"/>
      <c r="AR199" s="218" t="n"/>
      <c r="AS199" s="218" t="n"/>
      <c r="AT199" s="218" t="n"/>
      <c r="AU199" s="218" t="n"/>
      <c r="AV199" s="3" t="n"/>
      <c r="AW199" s="218" t="n"/>
      <c r="AX199" s="218" t="n"/>
      <c r="AY199" s="218" t="n"/>
      <c r="AZ199" s="218" t="n"/>
      <c r="BA199" s="3" t="n"/>
      <c r="BB199" s="218" t="n"/>
      <c r="BC199" s="218" t="n"/>
      <c r="BD199" s="218" t="n"/>
      <c r="BE199" s="218" t="n"/>
      <c r="BF199" s="3" t="n"/>
      <c r="BG199" s="218" t="n"/>
      <c r="BH199" s="218" t="n"/>
      <c r="BI199" s="218" t="n"/>
      <c r="BJ199" s="218" t="n"/>
      <c r="BK199" s="3" t="n"/>
      <c r="BL199" s="218" t="n"/>
      <c r="BM199" s="218" t="n"/>
      <c r="BN199" s="218" t="n"/>
      <c r="BO199" s="218" t="n"/>
      <c r="BP199" s="3" t="n"/>
      <c r="BQ199" s="218" t="n"/>
      <c r="BR199" s="218" t="n"/>
      <c r="BS199" s="218" t="n"/>
      <c r="BT199" s="218" t="n"/>
      <c r="BU199" s="3" t="n"/>
      <c r="BV199" s="218" t="n"/>
      <c r="BW199" s="218" t="n"/>
      <c r="BX199" s="218" t="n"/>
      <c r="BY199" s="218" t="n"/>
      <c r="BZ199" s="3" t="n"/>
      <c r="CA199" s="218" t="n"/>
      <c r="CB199" s="218" t="n"/>
      <c r="CC199" s="218" t="n"/>
      <c r="CD199" s="218" t="n"/>
      <c r="CE199" s="3" t="n"/>
      <c r="CF199" s="218" t="n"/>
      <c r="CG199" s="218" t="n"/>
      <c r="CH199" s="218" t="n"/>
      <c r="CI199" s="218" t="n"/>
      <c r="CJ199" s="3" t="n"/>
      <c r="CK199" s="218" t="n"/>
      <c r="CL199" s="218" t="n"/>
      <c r="CM199" s="218" t="n"/>
      <c r="CN199" s="218" t="n"/>
      <c r="CO199" s="3" t="n"/>
      <c r="CP199" s="218" t="n"/>
      <c r="CQ199" s="218" t="n"/>
      <c r="CR199" s="218" t="n"/>
      <c r="CS199" s="218" t="n"/>
      <c r="CT199" s="3" t="n"/>
      <c r="CU199" s="218" t="n"/>
      <c r="CV199" s="218" t="n"/>
      <c r="CW199" s="218" t="n"/>
      <c r="CX199" s="218" t="n"/>
      <c r="CY199" s="3" t="n"/>
    </row>
    <row r="200" collapsed="1">
      <c r="C200" s="26" t="inlineStr">
        <is>
          <t>Taxes payable</t>
        </is>
      </c>
      <c r="D200" s="25">
        <f>INDEX('Inputs (2)'!$D$30:$AL$30,MATCH(D$7,'Inputs (2)'!$D$2:$AL$2,0))</f>
        <v>913</v>
      </c>
      <c r="E200" s="25">
        <f>INDEX('Inputs (2)'!$D$30:$AL$30,MATCH(E$7,'Inputs (2)'!$D$2:$AL$2,0))</f>
        <v>975</v>
      </c>
      <c r="F200" s="25">
        <f>INDEX('Inputs (2)'!$D$30:$AL$30,MATCH(F$7,'Inputs (2)'!$D$2:$AL$2,0))</f>
        <v>1099</v>
      </c>
      <c r="G200" s="25">
        <f>INDEX('Inputs (2)'!$D$30:$AL$30,MATCH(G$7,'Inputs (2)'!$D$2:$AL$2,0))</f>
        <v>1485</v>
      </c>
      <c r="H200" s="3">
        <f>G200</f>
        <v>1485</v>
      </c>
      <c r="I200" s="25">
        <f>INDEX('Inputs (2)'!$D$30:$AL$30,MATCH(I$7,'Inputs (2)'!$D$2:$AL$2,0))</f>
        <v>1893</v>
      </c>
      <c r="J200" s="25">
        <f>INDEX('Inputs (2)'!$D$30:$AL$30,MATCH(J$7,'Inputs (2)'!$D$2:$AL$2,0))</f>
        <v>1811</v>
      </c>
      <c r="K200" s="25">
        <f>INDEX('Inputs (2)'!$D$30:$AL$30,MATCH(K$7,'Inputs (2)'!$D$2:$AL$2,0))</f>
        <v>4170</v>
      </c>
      <c r="L200" s="25">
        <f>INDEX('Inputs (2)'!$D$30:$AL$30,MATCH(L$7,'Inputs (2)'!$D$2:$AL$2,0))</f>
        <v>808</v>
      </c>
      <c r="M200" s="3">
        <f>L200</f>
        <v>808</v>
      </c>
      <c r="N200" s="25">
        <f>INDEX('Inputs (2)'!$D$30:$AL$30,MATCH(N$7,'Inputs (2)'!$D$2:$AL$2,0))</f>
        <v>4344</v>
      </c>
      <c r="O200" s="25">
        <f>INDEX('Inputs (2)'!$D$30:$AL$30,MATCH(O$7,'Inputs (2)'!$D$2:$AL$2,0))</f>
        <v>1956</v>
      </c>
      <c r="P200" s="25">
        <f>INDEX('Inputs (2)'!$D$30:$AL$30,MATCH(P$7,'Inputs (2)'!$D$2:$AL$2,0))</f>
        <v>1025</v>
      </c>
      <c r="Q200" s="25">
        <f>INDEX('Inputs (2)'!$D$30:$AL$30,MATCH(Q$7,'Inputs (2)'!$D$2:$AL$2,0))</f>
        <v>0</v>
      </c>
      <c r="R200" s="3">
        <f>Q200</f>
        <v>0</v>
      </c>
      <c r="S200" s="25">
        <f>INDEX('Inputs (2)'!$D$30:$AL$30,MATCH(S$7,'Inputs (2)'!$D$2:$AL$2,0))</f>
        <v>0</v>
      </c>
      <c r="T200" s="25">
        <f>INDEX('Inputs (2)'!$D$30:$AL$30,MATCH(T$7,'Inputs (2)'!$D$2:$AL$2,0))</f>
        <v>0</v>
      </c>
      <c r="U200" s="25">
        <f>INDEX('Inputs (2)'!$D$30:$AL$30,MATCH(U$7,'Inputs (2)'!$D$2:$AL$2,0))</f>
        <v>0</v>
      </c>
      <c r="V200" s="25">
        <f>INDEX('Inputs (2)'!$D$30:$AL$30,MATCH(V$7,'Inputs (2)'!$D$2:$AL$2,0))</f>
        <v>0</v>
      </c>
      <c r="W200" s="3">
        <f>V200</f>
        <v>0</v>
      </c>
      <c r="X200" s="25">
        <f>INDEX('Inputs (2)'!$D$30:$AL$30,MATCH(X$7,'Inputs (2)'!$D$2:$AL$2,0))</f>
        <v>0</v>
      </c>
      <c r="Y200" s="25">
        <f>INDEX('Inputs (2)'!$D$30:$AL$30,MATCH(Y$7,'Inputs (2)'!$D$2:$AL$2,0))</f>
        <v>0</v>
      </c>
      <c r="Z200" s="25">
        <f>INDEX('Inputs (2)'!$D$30:$AL$30,MATCH(Z$7,'Inputs (2)'!$D$2:$AL$2,0))</f>
        <v>0</v>
      </c>
      <c r="AA200" s="25">
        <f>INDEX('Inputs (2)'!$D$30:$AL$30,MATCH(AA$7,'Inputs (2)'!$D$2:$AL$2,0))</f>
        <v>0</v>
      </c>
      <c r="AB200" s="3">
        <f>AA200</f>
        <v>0</v>
      </c>
      <c r="AC200" s="25">
        <f>INDEX('Inputs (2)'!$D$30:$AL$30,MATCH(AC$7,'Inputs (2)'!$D$2:$AL$2,0))</f>
        <v>0</v>
      </c>
      <c r="AD200" s="25">
        <f>INDEX('Inputs (2)'!$D$30:$AL$30,MATCH(AD$7,'Inputs (2)'!$D$2:$AL$2,0))</f>
        <v>0</v>
      </c>
      <c r="AE200" s="25">
        <f>INDEX('Inputs (2)'!$D$30:$AL$30,MATCH(AE$7,'Inputs (2)'!$D$2:$AL$2,0))</f>
        <v>0</v>
      </c>
      <c r="AF200" s="25">
        <f>INDEX('Inputs (2)'!$D$30:$AL$30,MATCH(AF$7,'Inputs (2)'!$D$2:$AL$2,0))</f>
        <v>0</v>
      </c>
      <c r="AG200" s="3">
        <f>AF200</f>
        <v>0</v>
      </c>
      <c r="AH200" s="3">
        <f>INDEX('Inputs (2)'!$D$30:$AL$30,MATCH(AH$7,'Inputs (2)'!$D$2:$AL$2,0))</f>
        <v>0</v>
      </c>
      <c r="AI200" s="3">
        <f>INDEX('Inputs (2)'!$D$30:$AL$30,MATCH(AI$7,'Inputs (2)'!$D$2:$AL$2,0))</f>
        <v>0</v>
      </c>
      <c r="AJ200" s="3">
        <f>AH200*AJ127/AH127</f>
        <v>0</v>
      </c>
      <c r="AK200" s="3">
        <f>AI200*AK127/AI127</f>
        <v>0</v>
      </c>
      <c r="AL200" s="3">
        <f>AK200</f>
        <v>0</v>
      </c>
      <c r="AM200" s="3" t="e">
        <f>AK200*AM127/AK127</f>
        <v>#DIV/0!</v>
      </c>
      <c r="AN200" s="3">
        <f>AL200*AN127/AL127</f>
        <v>0</v>
      </c>
      <c r="AO200" s="3" t="e">
        <f>AM200*AO127/AM127</f>
        <v>#DIV/0!</v>
      </c>
      <c r="AP200" s="3" t="e">
        <f>AN200*AP127/AN127</f>
        <v>#DIV/0!</v>
      </c>
      <c r="AQ200" s="3" t="e">
        <f>AP200</f>
        <v>#DIV/0!</v>
      </c>
      <c r="AR200" s="3" t="e">
        <f>AP200*AR127/AP127</f>
        <v>#DIV/0!</v>
      </c>
      <c r="AS200" s="3" t="e">
        <f>AQ200*AS127/AQ127</f>
        <v>#DIV/0!</v>
      </c>
      <c r="AT200" s="3" t="e">
        <f>AR200*AT127/AR127</f>
        <v>#DIV/0!</v>
      </c>
      <c r="AU200" s="3" t="e">
        <f>AS200*AU127/AS127</f>
        <v>#DIV/0!</v>
      </c>
      <c r="AV200" s="3" t="e">
        <f>AU200</f>
        <v>#DIV/0!</v>
      </c>
      <c r="AW200" s="3" t="e">
        <f>AU200*AW127/AU127</f>
        <v>#DIV/0!</v>
      </c>
      <c r="AX200" s="3" t="e">
        <f>AV200*AX127/AV127</f>
        <v>#DIV/0!</v>
      </c>
      <c r="AY200" s="3" t="e">
        <f>AW200*AY127/AW127</f>
        <v>#DIV/0!</v>
      </c>
      <c r="AZ200" s="3" t="e">
        <f>AX200*AZ127/AX127</f>
        <v>#DIV/0!</v>
      </c>
      <c r="BA200" s="3" t="e">
        <f>AZ200</f>
        <v>#DIV/0!</v>
      </c>
      <c r="BB200" s="3" t="e">
        <f>AZ200*BB127/AZ127</f>
        <v>#DIV/0!</v>
      </c>
      <c r="BC200" s="3" t="e">
        <f>BA200*BC127/BA127</f>
        <v>#DIV/0!</v>
      </c>
      <c r="BD200" s="3" t="e">
        <f>BB200*BD127/BB127</f>
        <v>#DIV/0!</v>
      </c>
      <c r="BE200" s="3" t="e">
        <f>BC200*BE127/BC127</f>
        <v>#DIV/0!</v>
      </c>
      <c r="BF200" s="3" t="e">
        <f>BE200</f>
        <v>#DIV/0!</v>
      </c>
      <c r="BG200" s="3" t="e">
        <f>BE200*BG127/BE127</f>
        <v>#DIV/0!</v>
      </c>
      <c r="BH200" s="3" t="e">
        <f>BF200*BH127/BF127</f>
        <v>#DIV/0!</v>
      </c>
      <c r="BI200" s="3" t="e">
        <f>BG200*BI127/BG127</f>
        <v>#DIV/0!</v>
      </c>
      <c r="BJ200" s="3" t="e">
        <f>BH200*BJ127/BH127</f>
        <v>#DIV/0!</v>
      </c>
      <c r="BK200" s="3" t="e">
        <f>BJ200</f>
        <v>#DIV/0!</v>
      </c>
      <c r="BL200" s="3" t="e">
        <f>BJ200*BL127/BJ127</f>
        <v>#DIV/0!</v>
      </c>
      <c r="BM200" s="3" t="e">
        <f>BK200*BM127/BK127</f>
        <v>#DIV/0!</v>
      </c>
      <c r="BN200" s="3" t="e">
        <f>BL200*BN127/BL127</f>
        <v>#DIV/0!</v>
      </c>
      <c r="BO200" s="3" t="e">
        <f>BM200*BO127/BM127</f>
        <v>#DIV/0!</v>
      </c>
      <c r="BP200" s="3" t="e">
        <f>BO200</f>
        <v>#DIV/0!</v>
      </c>
      <c r="BQ200" s="3" t="e">
        <f>BO200*BQ127/BO127</f>
        <v>#DIV/0!</v>
      </c>
      <c r="BR200" s="3" t="e">
        <f>BP200*BR127/BP127</f>
        <v>#DIV/0!</v>
      </c>
      <c r="BS200" s="3" t="e">
        <f>BQ200*BS127/BQ127</f>
        <v>#DIV/0!</v>
      </c>
      <c r="BT200" s="3" t="e">
        <f>BR200*BT127/BR127</f>
        <v>#DIV/0!</v>
      </c>
      <c r="BU200" s="3" t="e">
        <f>BT200</f>
        <v>#DIV/0!</v>
      </c>
      <c r="BV200" s="3" t="e">
        <f>BT200*BV127/BT127</f>
        <v>#DIV/0!</v>
      </c>
      <c r="BW200" s="3" t="e">
        <f>BU200*BW127/BU127</f>
        <v>#DIV/0!</v>
      </c>
      <c r="BX200" s="3" t="e">
        <f>BV200*BX127/BV127</f>
        <v>#DIV/0!</v>
      </c>
      <c r="BY200" s="3" t="e">
        <f>BW200*BY127/BW127</f>
        <v>#DIV/0!</v>
      </c>
      <c r="BZ200" s="3" t="e">
        <f>BY200</f>
        <v>#DIV/0!</v>
      </c>
      <c r="CA200" s="3" t="e">
        <f>BY200*CA127/BY127</f>
        <v>#DIV/0!</v>
      </c>
      <c r="CB200" s="3" t="e">
        <f>BZ200*CB127/BZ127</f>
        <v>#DIV/0!</v>
      </c>
      <c r="CC200" s="3" t="e">
        <f>CA200*CC127/CA127</f>
        <v>#DIV/0!</v>
      </c>
      <c r="CD200" s="3" t="e">
        <f>CB200*CD127/CB127</f>
        <v>#DIV/0!</v>
      </c>
      <c r="CE200" s="3" t="e">
        <f>CD200</f>
        <v>#DIV/0!</v>
      </c>
      <c r="CF200" s="3" t="e">
        <f>CD200*CF127/CD127</f>
        <v>#DIV/0!</v>
      </c>
      <c r="CG200" s="3" t="e">
        <f>CE200*CG127/CE127</f>
        <v>#DIV/0!</v>
      </c>
      <c r="CH200" s="3" t="e">
        <f>CF200*CH127/CF127</f>
        <v>#DIV/0!</v>
      </c>
      <c r="CI200" s="3" t="e">
        <f>CG200*CI127/CG127</f>
        <v>#DIV/0!</v>
      </c>
      <c r="CJ200" s="3" t="e">
        <f>CI200</f>
        <v>#DIV/0!</v>
      </c>
      <c r="CK200" s="3" t="e">
        <f>CI200*CK127/CI127</f>
        <v>#DIV/0!</v>
      </c>
      <c r="CL200" s="3" t="e">
        <f>CJ200*CL127/CJ127</f>
        <v>#DIV/0!</v>
      </c>
      <c r="CM200" s="3" t="e">
        <f>CK200*CM127/CK127</f>
        <v>#DIV/0!</v>
      </c>
      <c r="CN200" s="3" t="e">
        <f>CL200*CN127/CL127</f>
        <v>#DIV/0!</v>
      </c>
      <c r="CO200" s="3" t="e">
        <f>CN200</f>
        <v>#DIV/0!</v>
      </c>
      <c r="CP200" s="3" t="e">
        <f>CN200*CP127/CN127</f>
        <v>#DIV/0!</v>
      </c>
      <c r="CQ200" s="3" t="e">
        <f>CO200*CQ127/CO127</f>
        <v>#DIV/0!</v>
      </c>
      <c r="CR200" s="3" t="e">
        <f>CP200*CR127/CP127</f>
        <v>#DIV/0!</v>
      </c>
      <c r="CS200" s="3" t="e">
        <f>CQ200*CS127/CQ127</f>
        <v>#DIV/0!</v>
      </c>
      <c r="CT200" s="3" t="e">
        <f>CS200</f>
        <v>#DIV/0!</v>
      </c>
      <c r="CU200" s="3" t="e">
        <f>CS200*CU127/CS127</f>
        <v>#DIV/0!</v>
      </c>
      <c r="CV200" s="3" t="e">
        <f>CT200*CV127/CT127</f>
        <v>#DIV/0!</v>
      </c>
      <c r="CW200" s="3" t="e">
        <f>CU200*CW127/CU127</f>
        <v>#DIV/0!</v>
      </c>
      <c r="CX200" s="3" t="e">
        <f>CV200*CX127/CV127</f>
        <v>#DIV/0!</v>
      </c>
      <c r="CY200" s="3" t="e">
        <f>CX200</f>
        <v>#DIV/0!</v>
      </c>
    </row>
    <row r="201">
      <c r="C201" s="26" t="inlineStr">
        <is>
          <t>Other current liabilities (non-debt)</t>
        </is>
      </c>
      <c r="D201" s="25">
        <f>INDEX('Inputs (2)'!$D$31:$AL$31,MATCH(D$7,'Inputs (2)'!$D$2:$AL$2,0))</f>
        <v>1938</v>
      </c>
      <c r="E201" s="25">
        <f>INDEX('Inputs (2)'!$D$31:$AL$31,MATCH(E$7,'Inputs (2)'!$D$2:$AL$2,0))</f>
        <v>2061</v>
      </c>
      <c r="F201" s="25">
        <f>INDEX('Inputs (2)'!$D$31:$AL$31,MATCH(F$7,'Inputs (2)'!$D$2:$AL$2,0))</f>
        <v>2302</v>
      </c>
      <c r="G201" s="25">
        <f>INDEX('Inputs (2)'!$D$31:$AL$31,MATCH(G$7,'Inputs (2)'!$D$2:$AL$2,0))</f>
        <v>2543</v>
      </c>
      <c r="H201" s="3">
        <f>G201</f>
        <v>2543</v>
      </c>
      <c r="I201" s="25">
        <f>INDEX('Inputs (2)'!$D$31:$AL$31,MATCH(I$7,'Inputs (2)'!$D$2:$AL$2,0))</f>
        <v>2690</v>
      </c>
      <c r="J201" s="25">
        <f>INDEX('Inputs (2)'!$D$31:$AL$31,MATCH(J$7,'Inputs (2)'!$D$2:$AL$2,0))</f>
        <v>2715</v>
      </c>
      <c r="K201" s="25">
        <f>INDEX('Inputs (2)'!$D$31:$AL$31,MATCH(K$7,'Inputs (2)'!$D$2:$AL$2,0))</f>
        <v>2968</v>
      </c>
      <c r="L201" s="25">
        <f>INDEX('Inputs (2)'!$D$31:$AL$31,MATCH(L$7,'Inputs (2)'!$D$2:$AL$2,0))</f>
        <v>3288</v>
      </c>
      <c r="M201" s="3">
        <f>L201</f>
        <v>3288</v>
      </c>
      <c r="N201" s="25">
        <f>INDEX('Inputs (2)'!$D$31:$AL$31,MATCH(N$7,'Inputs (2)'!$D$2:$AL$2,0))</f>
        <v>3198</v>
      </c>
      <c r="O201" s="25">
        <f>INDEX('Inputs (2)'!$D$31:$AL$31,MATCH(O$7,'Inputs (2)'!$D$2:$AL$2,0))</f>
        <v>3272</v>
      </c>
      <c r="P201" s="25">
        <f>INDEX('Inputs (2)'!$D$31:$AL$31,MATCH(P$7,'Inputs (2)'!$D$2:$AL$2,0))</f>
        <v>3585</v>
      </c>
      <c r="Q201" s="25">
        <f>INDEX('Inputs (2)'!$D$31:$AL$31,MATCH(Q$7,'Inputs (2)'!$D$2:$AL$2,0))</f>
        <v>3908</v>
      </c>
      <c r="R201" s="3">
        <f>Q201</f>
        <v>3908</v>
      </c>
      <c r="S201" s="25">
        <f>INDEX('Inputs (2)'!$D$31:$AL$31,MATCH(S$7,'Inputs (2)'!$D$2:$AL$2,0))</f>
        <v>3715</v>
      </c>
      <c r="T201" s="25">
        <f>INDEX('Inputs (2)'!$D$31:$AL$31,MATCH(T$7,'Inputs (2)'!$D$2:$AL$2,0))</f>
        <v>3846</v>
      </c>
      <c r="U201" s="25">
        <f>INDEX('Inputs (2)'!$D$31:$AL$31,MATCH(U$7,'Inputs (2)'!$D$2:$AL$2,0))</f>
        <v>4303</v>
      </c>
      <c r="V201" s="25">
        <f>INDEX('Inputs (2)'!$D$31:$AL$31,MATCH(V$7,'Inputs (2)'!$D$2:$AL$2,0))</f>
        <v>4137</v>
      </c>
      <c r="W201" s="3">
        <f>V201</f>
        <v>4137</v>
      </c>
      <c r="X201" s="25">
        <f>INDEX('Inputs (2)'!$D$31:$AL$31,MATCH(X$7,'Inputs (2)'!$D$2:$AL$2,0))</f>
        <v>3973</v>
      </c>
      <c r="Y201" s="25">
        <f>INDEX('Inputs (2)'!$D$31:$AL$31,MATCH(Y$7,'Inputs (2)'!$D$2:$AL$2,0))</f>
        <v>4251</v>
      </c>
      <c r="Z201" s="25">
        <f>INDEX('Inputs (2)'!$D$31:$AL$31,MATCH(Z$7,'Inputs (2)'!$D$2:$AL$2,0))</f>
        <v>4896</v>
      </c>
      <c r="AA201" s="25">
        <f>INDEX('Inputs (2)'!$D$31:$AL$31,MATCH(AA$7,'Inputs (2)'!$D$2:$AL$2,0))</f>
        <v>5036</v>
      </c>
      <c r="AB201" s="3">
        <f>AA201</f>
        <v>5036</v>
      </c>
      <c r="AC201" s="25">
        <f>INDEX('Inputs (2)'!$D$31:$AL$31,MATCH(AC$7,'Inputs (2)'!$D$2:$AL$2,0))</f>
        <v>4908</v>
      </c>
      <c r="AD201" s="25">
        <f>INDEX('Inputs (2)'!$D$31:$AL$31,MATCH(AD$7,'Inputs (2)'!$D$2:$AL$2,0))</f>
        <v>4969</v>
      </c>
      <c r="AE201" s="25">
        <f>INDEX('Inputs (2)'!$D$31:$AL$31,MATCH(AE$7,'Inputs (2)'!$D$2:$AL$2,0))</f>
        <v>5542</v>
      </c>
      <c r="AF201" s="25">
        <f>INDEX('Inputs (2)'!$D$31:$AL$31,MATCH(AF$7,'Inputs (2)'!$D$2:$AL$2,0))</f>
        <v>6578</v>
      </c>
      <c r="AG201" s="3">
        <f>AF201</f>
        <v>6578</v>
      </c>
      <c r="AH201" s="3">
        <f>INDEX('Inputs (2)'!$D$31:$AL$31,MATCH(AH$7,'Inputs (2)'!$D$2:$AL$2,0))</f>
        <v>7162</v>
      </c>
      <c r="AI201" s="3">
        <f>INDEX('Inputs (2)'!$D$31:$AL$31,MATCH(AI$7,'Inputs (2)'!$D$2:$AL$2,0))</f>
        <v>7154</v>
      </c>
      <c r="AJ201" s="3">
        <f>AI201</f>
        <v>7154</v>
      </c>
      <c r="AK201" s="3">
        <f>AJ201</f>
        <v>7154</v>
      </c>
      <c r="AL201" s="3">
        <f>AK201</f>
        <v>7154</v>
      </c>
      <c r="AM201" s="3">
        <f>AL201</f>
        <v>7154</v>
      </c>
      <c r="AN201" s="3">
        <f>AM201</f>
        <v>7154</v>
      </c>
      <c r="AO201" s="3">
        <f>AN201</f>
        <v>7154</v>
      </c>
      <c r="AP201" s="3">
        <f>AO201</f>
        <v>7154</v>
      </c>
      <c r="AQ201" s="3">
        <f>AP201</f>
        <v>7154</v>
      </c>
      <c r="AR201" s="3">
        <f>AQ201</f>
        <v>7154</v>
      </c>
      <c r="AS201" s="3">
        <f>AR201</f>
        <v>7154</v>
      </c>
      <c r="AT201" s="3">
        <f>AS201</f>
        <v>7154</v>
      </c>
      <c r="AU201" s="3">
        <f>AT201</f>
        <v>7154</v>
      </c>
      <c r="AV201" s="3">
        <f>AU201</f>
        <v>7154</v>
      </c>
      <c r="AW201" s="3">
        <f>AV201</f>
        <v>7154</v>
      </c>
      <c r="AX201" s="3">
        <f>AW201</f>
        <v>7154</v>
      </c>
      <c r="AY201" s="3">
        <f>AX201</f>
        <v>7154</v>
      </c>
      <c r="AZ201" s="3">
        <f>AY201</f>
        <v>7154</v>
      </c>
      <c r="BA201" s="3">
        <f>AZ201</f>
        <v>7154</v>
      </c>
      <c r="BB201" s="3">
        <f>BA201</f>
        <v>7154</v>
      </c>
      <c r="BC201" s="3">
        <f>BB201</f>
        <v>7154</v>
      </c>
      <c r="BD201" s="3">
        <f>BC201</f>
        <v>7154</v>
      </c>
      <c r="BE201" s="3">
        <f>BD201</f>
        <v>7154</v>
      </c>
      <c r="BF201" s="3">
        <f>BE201</f>
        <v>7154</v>
      </c>
      <c r="BG201" s="3">
        <f>BF201</f>
        <v>7154</v>
      </c>
      <c r="BH201" s="3">
        <f>BG201</f>
        <v>7154</v>
      </c>
      <c r="BI201" s="3">
        <f>BH201</f>
        <v>7154</v>
      </c>
      <c r="BJ201" s="3">
        <f>BI201</f>
        <v>7154</v>
      </c>
      <c r="BK201" s="3">
        <f>BJ201</f>
        <v>7154</v>
      </c>
      <c r="BL201" s="3">
        <f>BK201</f>
        <v>7154</v>
      </c>
      <c r="BM201" s="3">
        <f>BL201</f>
        <v>7154</v>
      </c>
      <c r="BN201" s="3">
        <f>BM201</f>
        <v>7154</v>
      </c>
      <c r="BO201" s="3">
        <f>BN201</f>
        <v>7154</v>
      </c>
      <c r="BP201" s="3">
        <f>BO201</f>
        <v>7154</v>
      </c>
      <c r="BQ201" s="3">
        <f>BP201</f>
        <v>7154</v>
      </c>
      <c r="BR201" s="3">
        <f>BQ201</f>
        <v>7154</v>
      </c>
      <c r="BS201" s="3">
        <f>BR201</f>
        <v>7154</v>
      </c>
      <c r="BT201" s="3">
        <f>BS201</f>
        <v>7154</v>
      </c>
      <c r="BU201" s="3">
        <f>BT201</f>
        <v>7154</v>
      </c>
      <c r="BV201" s="3">
        <f>BU201</f>
        <v>7154</v>
      </c>
      <c r="BW201" s="3">
        <f>BV201</f>
        <v>7154</v>
      </c>
      <c r="BX201" s="3">
        <f>BW201</f>
        <v>7154</v>
      </c>
      <c r="BY201" s="3">
        <f>BX201</f>
        <v>7154</v>
      </c>
      <c r="BZ201" s="3">
        <f>BY201</f>
        <v>7154</v>
      </c>
      <c r="CA201" s="3">
        <f>BZ201</f>
        <v>7154</v>
      </c>
      <c r="CB201" s="3">
        <f>CA201</f>
        <v>7154</v>
      </c>
      <c r="CC201" s="3">
        <f>CB201</f>
        <v>7154</v>
      </c>
      <c r="CD201" s="3">
        <f>CC201</f>
        <v>7154</v>
      </c>
      <c r="CE201" s="3">
        <f>CD201</f>
        <v>7154</v>
      </c>
      <c r="CF201" s="3">
        <f>CE201</f>
        <v>7154</v>
      </c>
      <c r="CG201" s="3">
        <f>CF201</f>
        <v>7154</v>
      </c>
      <c r="CH201" s="3">
        <f>CG201</f>
        <v>7154</v>
      </c>
      <c r="CI201" s="3">
        <f>CH201</f>
        <v>7154</v>
      </c>
      <c r="CJ201" s="3">
        <f>CI201</f>
        <v>7154</v>
      </c>
      <c r="CK201" s="3">
        <f>CJ201</f>
        <v>7154</v>
      </c>
      <c r="CL201" s="3">
        <f>CK201</f>
        <v>7154</v>
      </c>
      <c r="CM201" s="3">
        <f>CL201</f>
        <v>7154</v>
      </c>
      <c r="CN201" s="3">
        <f>CM201</f>
        <v>7154</v>
      </c>
      <c r="CO201" s="3">
        <f>CN201</f>
        <v>7154</v>
      </c>
      <c r="CP201" s="3">
        <f>CO201</f>
        <v>7154</v>
      </c>
      <c r="CQ201" s="3">
        <f>CP201</f>
        <v>7154</v>
      </c>
      <c r="CR201" s="3">
        <f>CQ201</f>
        <v>7154</v>
      </c>
      <c r="CS201" s="3">
        <f>CR201</f>
        <v>7154</v>
      </c>
      <c r="CT201" s="3">
        <f>CS201</f>
        <v>7154</v>
      </c>
      <c r="CU201" s="3">
        <f>CT201</f>
        <v>7154</v>
      </c>
      <c r="CV201" s="3">
        <f>CU201</f>
        <v>7154</v>
      </c>
      <c r="CW201" s="3">
        <f>CV201</f>
        <v>7154</v>
      </c>
      <c r="CX201" s="3">
        <f>CW201</f>
        <v>7154</v>
      </c>
      <c r="CY201" s="3">
        <f>CX201</f>
        <v>7154</v>
      </c>
    </row>
    <row r="202" hidden="1" outlineLevel="1">
      <c r="C202" s="38" t="inlineStr">
        <is>
          <t>%(Var.)</t>
        </is>
      </c>
      <c r="D202" s="3" t="n"/>
      <c r="E202" s="47">
        <f>(E201-D201)/D201</f>
        <v>0.0634674922600619</v>
      </c>
      <c r="F202" s="47">
        <f>(F201-E201)/E201</f>
        <v>0.116933527413877</v>
      </c>
      <c r="G202" s="47">
        <f>(G201-F201)/F201</f>
        <v>0.104691572545613</v>
      </c>
      <c r="H202" s="3" t="n"/>
      <c r="I202" s="47">
        <f>(I201-H201)/H201</f>
        <v>0.0578057412504915</v>
      </c>
      <c r="J202" s="47">
        <f>(J201-I201)/I201</f>
        <v>0.00929368029739777</v>
      </c>
      <c r="K202" s="47">
        <f>(K201-J201)/J201</f>
        <v>0.0931860036832413</v>
      </c>
      <c r="L202" s="47">
        <f>(L201-K201)/K201</f>
        <v>0.107816711590297</v>
      </c>
      <c r="M202" s="3" t="n"/>
      <c r="N202" s="47">
        <f>(N201-M201)/M201</f>
        <v>-0.0273722627737226</v>
      </c>
      <c r="O202" s="47">
        <f>(O201-N201)/N201</f>
        <v>0.0231394621638524</v>
      </c>
      <c r="P202" s="47">
        <f>(P201-O201)/O201</f>
        <v>0.0956601466992665</v>
      </c>
      <c r="Q202" s="47">
        <f>(Q201-P201)/P201</f>
        <v>0.0900976290097629</v>
      </c>
      <c r="R202" s="3" t="n"/>
      <c r="S202" s="47">
        <f>(S201-R201)/R201</f>
        <v>-0.0493858751279427</v>
      </c>
      <c r="T202" s="47">
        <f>(T201-S201)/S201</f>
        <v>0.0352624495289367</v>
      </c>
      <c r="U202" s="47">
        <f>(U201-T201)/T201</f>
        <v>0.11882475299012</v>
      </c>
      <c r="V202" s="47">
        <f>(V201-U201)/U201</f>
        <v>-0.0385777364629328</v>
      </c>
      <c r="W202" s="3" t="n"/>
      <c r="X202" s="47">
        <f>(X201-W201)/W201</f>
        <v>-0.0396422528402224</v>
      </c>
      <c r="Y202" s="47">
        <f>(Y201-X201)/X201</f>
        <v>0.0699723131135162</v>
      </c>
      <c r="Z202" s="47">
        <f>(Z201-Y201)/Y201</f>
        <v>0.151729004940014</v>
      </c>
      <c r="AA202" s="47">
        <f>(AA201-Z201)/Z201</f>
        <v>0.0285947712418301</v>
      </c>
      <c r="AB202" s="3" t="n"/>
      <c r="AC202" s="47">
        <f>(AC201-AB201)/AB201</f>
        <v>-0.0254169976171565</v>
      </c>
      <c r="AD202" s="47">
        <f>(AD201-AC201)/AC201</f>
        <v>0.0124286878565607</v>
      </c>
      <c r="AE202" s="47">
        <f>(AE201-AD201)/AD201</f>
        <v>0.115314952706782</v>
      </c>
      <c r="AF202" s="218">
        <f>(AF201-AE201)/AE201</f>
        <v>0.186936124142909</v>
      </c>
      <c r="AG202" s="3" t="n"/>
      <c r="AH202" s="218">
        <f>(AH201-AG201)/AG201</f>
        <v>0.0887807844329584</v>
      </c>
      <c r="AI202" s="218">
        <f>(AI201-AH201)/AH201</f>
        <v>-0.00111700642278693</v>
      </c>
      <c r="AJ202" s="218" t="n"/>
      <c r="AK202" s="218" t="n"/>
      <c r="AL202" s="3" t="n"/>
      <c r="AM202" s="218" t="n"/>
      <c r="AN202" s="218" t="n"/>
      <c r="AO202" s="218" t="n"/>
      <c r="AP202" s="218" t="n"/>
      <c r="AQ202" s="3" t="n"/>
      <c r="AR202" s="218" t="n"/>
      <c r="AS202" s="218" t="n"/>
      <c r="AT202" s="218" t="n"/>
      <c r="AU202" s="218" t="n"/>
      <c r="AV202" s="3" t="n"/>
      <c r="AW202" s="218" t="n"/>
      <c r="AX202" s="218" t="n"/>
      <c r="AY202" s="218" t="n"/>
      <c r="AZ202" s="218" t="n"/>
      <c r="BA202" s="3" t="n"/>
      <c r="BB202" s="218" t="n"/>
      <c r="BC202" s="218" t="n"/>
      <c r="BD202" s="218" t="n"/>
      <c r="BE202" s="218" t="n"/>
      <c r="BF202" s="3" t="n"/>
      <c r="BG202" s="218" t="n"/>
      <c r="BH202" s="218" t="n"/>
      <c r="BI202" s="218" t="n"/>
      <c r="BJ202" s="218" t="n"/>
      <c r="BK202" s="3" t="n"/>
      <c r="BL202" s="218" t="n"/>
      <c r="BM202" s="218" t="n"/>
      <c r="BN202" s="218" t="n"/>
      <c r="BO202" s="218" t="n"/>
      <c r="BP202" s="3" t="n"/>
      <c r="BQ202" s="218" t="n"/>
      <c r="BR202" s="218" t="n"/>
      <c r="BS202" s="218" t="n"/>
      <c r="BT202" s="218" t="n"/>
      <c r="BU202" s="3" t="n"/>
      <c r="BV202" s="218" t="n"/>
      <c r="BW202" s="218" t="n"/>
      <c r="BX202" s="218" t="n"/>
      <c r="BY202" s="218" t="n"/>
      <c r="BZ202" s="3" t="n"/>
      <c r="CA202" s="218" t="n"/>
      <c r="CB202" s="218" t="n"/>
      <c r="CC202" s="218" t="n"/>
      <c r="CD202" s="218" t="n"/>
      <c r="CE202" s="3" t="n"/>
      <c r="CF202" s="218" t="n"/>
      <c r="CG202" s="218" t="n"/>
      <c r="CH202" s="218" t="n"/>
      <c r="CI202" s="218" t="n"/>
      <c r="CJ202" s="3" t="n"/>
      <c r="CK202" s="218" t="n"/>
      <c r="CL202" s="218" t="n"/>
      <c r="CM202" s="218" t="n"/>
      <c r="CN202" s="218" t="n"/>
      <c r="CO202" s="3" t="n"/>
      <c r="CP202" s="218" t="n"/>
      <c r="CQ202" s="218" t="n"/>
      <c r="CR202" s="218" t="n"/>
      <c r="CS202" s="218" t="n"/>
      <c r="CT202" s="3" t="n"/>
      <c r="CU202" s="218" t="n"/>
      <c r="CV202" s="218" t="n"/>
      <c r="CW202" s="218" t="n"/>
      <c r="CX202" s="218" t="n"/>
      <c r="CY202" s="3" t="n"/>
    </row>
    <row r="203" hidden="1" outlineLevel="1">
      <c r="C203" s="34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  <c r="CU203" s="3" t="n"/>
      <c r="CV203" s="3" t="n"/>
      <c r="CW203" s="3" t="n"/>
      <c r="CX203" s="3" t="n"/>
      <c r="CY203" s="3" t="n"/>
    </row>
    <row r="204" hidden="1" outlineLevel="1">
      <c r="C204" s="34" t="inlineStr">
        <is>
          <t xml:space="preserve">Dividendos a Pagar </t>
        </is>
      </c>
      <c r="D204" s="6" t="n"/>
      <c r="E204" s="6" t="n"/>
      <c r="F204" s="6" t="n"/>
      <c r="G204" s="6" t="n"/>
      <c r="H204" s="3" t="n"/>
      <c r="I204" s="6" t="n"/>
      <c r="J204" s="6" t="n"/>
      <c r="K204" s="6" t="n"/>
      <c r="L204" s="6" t="n"/>
      <c r="M204" s="3" t="n"/>
      <c r="N204" s="6" t="n"/>
      <c r="O204" s="6" t="n"/>
      <c r="P204" s="6" t="n"/>
      <c r="Q204" s="6" t="n"/>
      <c r="R204" s="3" t="n"/>
      <c r="S204" s="6" t="n"/>
      <c r="T204" s="6" t="n"/>
      <c r="U204" s="6" t="n"/>
      <c r="V204" s="6" t="n"/>
      <c r="W204" s="3" t="n"/>
      <c r="X204" s="6" t="n"/>
      <c r="Y204" s="6" t="n"/>
      <c r="Z204" s="6" t="n"/>
      <c r="AA204" s="6" t="n"/>
      <c r="AB204" s="3" t="n"/>
      <c r="AC204" s="6" t="n"/>
      <c r="AD204" s="6" t="n"/>
      <c r="AE204" s="6" t="n"/>
      <c r="AF204" s="6" t="n"/>
      <c r="AG204" s="3" t="n"/>
      <c r="AH204" s="6" t="n"/>
      <c r="AI204" s="6" t="n"/>
      <c r="AJ204" s="6" t="n"/>
      <c r="AK204" s="6" t="n"/>
      <c r="AL204" s="3" t="n"/>
      <c r="AM204" s="6" t="n"/>
      <c r="AN204" s="6" t="n"/>
      <c r="AO204" s="6" t="n"/>
      <c r="AP204" s="6" t="n"/>
      <c r="AQ204" s="3" t="n"/>
      <c r="AR204" s="6" t="n"/>
      <c r="AS204" s="6" t="n"/>
      <c r="AT204" s="6" t="n"/>
      <c r="AU204" s="6" t="n"/>
      <c r="AV204" s="3" t="n"/>
      <c r="AW204" s="6" t="n"/>
      <c r="AX204" s="6" t="n"/>
      <c r="AY204" s="6" t="n"/>
      <c r="AZ204" s="6" t="n"/>
      <c r="BA204" s="3" t="n"/>
      <c r="BB204" s="6" t="n"/>
      <c r="BC204" s="6" t="n"/>
      <c r="BD204" s="6" t="n"/>
      <c r="BE204" s="6" t="n"/>
      <c r="BF204" s="3" t="n"/>
      <c r="BG204" s="6" t="n"/>
      <c r="BH204" s="6" t="n"/>
      <c r="BI204" s="6" t="n"/>
      <c r="BJ204" s="6" t="n"/>
      <c r="BK204" s="3" t="n"/>
      <c r="BL204" s="6" t="n"/>
      <c r="BM204" s="6" t="n"/>
      <c r="BN204" s="6" t="n"/>
      <c r="BO204" s="6" t="n"/>
      <c r="BP204" s="3" t="n"/>
      <c r="BQ204" s="6" t="n"/>
      <c r="BR204" s="6" t="n"/>
      <c r="BS204" s="6" t="n"/>
      <c r="BT204" s="6" t="n"/>
      <c r="BU204" s="3" t="n"/>
      <c r="BV204" s="6" t="n"/>
      <c r="BW204" s="6" t="n"/>
      <c r="BX204" s="6" t="n"/>
      <c r="BY204" s="6" t="n"/>
      <c r="BZ204" s="3" t="n"/>
      <c r="CA204" s="6" t="n"/>
      <c r="CB204" s="6" t="n"/>
      <c r="CC204" s="6" t="n"/>
      <c r="CD204" s="6" t="n"/>
      <c r="CE204" s="3" t="n"/>
      <c r="CF204" s="6" t="n"/>
      <c r="CG204" s="6" t="n"/>
      <c r="CH204" s="6" t="n"/>
      <c r="CI204" s="6" t="n"/>
      <c r="CJ204" s="3" t="n"/>
      <c r="CK204" s="6" t="n"/>
      <c r="CL204" s="6" t="n"/>
      <c r="CM204" s="6" t="n"/>
      <c r="CN204" s="6" t="n"/>
      <c r="CO204" s="3" t="n"/>
      <c r="CP204" s="6" t="n"/>
      <c r="CQ204" s="6" t="n"/>
      <c r="CR204" s="6" t="n"/>
      <c r="CS204" s="6" t="n"/>
      <c r="CT204" s="3" t="n"/>
      <c r="CU204" s="6" t="n"/>
      <c r="CV204" s="6" t="n"/>
      <c r="CW204" s="6" t="n"/>
      <c r="CX204" s="6" t="n"/>
      <c r="CY204" s="3" t="n"/>
    </row>
    <row r="205" hidden="1" outlineLevel="1">
      <c r="C205" s="34" t="inlineStr">
        <is>
          <t>Contas a pagar pela aquisição de controladas</t>
        </is>
      </c>
      <c r="D205" s="6" t="n"/>
      <c r="E205" s="6" t="n"/>
      <c r="F205" s="6" t="n"/>
      <c r="G205" s="6" t="n"/>
      <c r="H205" s="3" t="n"/>
      <c r="I205" s="6" t="n"/>
      <c r="J205" s="6" t="n"/>
      <c r="K205" s="6" t="n"/>
      <c r="L205" s="6" t="n"/>
      <c r="M205" s="3" t="n"/>
      <c r="N205" s="6" t="n"/>
      <c r="O205" s="6" t="n"/>
      <c r="P205" s="6" t="n"/>
      <c r="Q205" s="6" t="n"/>
      <c r="R205" s="3" t="n"/>
      <c r="S205" s="6" t="n"/>
      <c r="T205" s="6" t="n"/>
      <c r="U205" s="6" t="n"/>
      <c r="V205" s="6" t="n"/>
      <c r="W205" s="3" t="n"/>
      <c r="X205" s="6" t="n"/>
      <c r="Y205" s="6" t="n"/>
      <c r="Z205" s="6" t="n"/>
      <c r="AA205" s="6" t="n"/>
      <c r="AB205" s="3" t="n"/>
      <c r="AC205" s="6" t="n"/>
      <c r="AD205" s="6" t="n"/>
      <c r="AE205" s="6" t="n"/>
      <c r="AF205" s="6" t="n"/>
      <c r="AG205" s="3" t="n"/>
      <c r="AH205" s="6" t="n"/>
      <c r="AI205" s="6" t="n"/>
      <c r="AJ205" s="6" t="n"/>
      <c r="AK205" s="6" t="n"/>
      <c r="AL205" s="3" t="n"/>
      <c r="AM205" s="6" t="n"/>
      <c r="AN205" s="6" t="n"/>
      <c r="AO205" s="6" t="n"/>
      <c r="AP205" s="6" t="n"/>
      <c r="AQ205" s="3" t="n"/>
      <c r="AR205" s="6" t="n"/>
      <c r="AS205" s="6" t="n"/>
      <c r="AT205" s="6" t="n"/>
      <c r="AU205" s="6" t="n"/>
      <c r="AV205" s="3" t="n"/>
      <c r="AW205" s="6" t="n"/>
      <c r="AX205" s="6" t="n"/>
      <c r="AY205" s="6" t="n"/>
      <c r="AZ205" s="6" t="n"/>
      <c r="BA205" s="3" t="n"/>
      <c r="BB205" s="6" t="n"/>
      <c r="BC205" s="6" t="n"/>
      <c r="BD205" s="6" t="n"/>
      <c r="BE205" s="6" t="n"/>
      <c r="BF205" s="3" t="n"/>
      <c r="BG205" s="6" t="n"/>
      <c r="BH205" s="6" t="n"/>
      <c r="BI205" s="6" t="n"/>
      <c r="BJ205" s="6" t="n"/>
      <c r="BK205" s="3" t="n"/>
      <c r="BL205" s="6" t="n"/>
      <c r="BM205" s="6" t="n"/>
      <c r="BN205" s="6" t="n"/>
      <c r="BO205" s="6" t="n"/>
      <c r="BP205" s="3" t="n"/>
      <c r="BQ205" s="6" t="n"/>
      <c r="BR205" s="6" t="n"/>
      <c r="BS205" s="6" t="n"/>
      <c r="BT205" s="6" t="n"/>
      <c r="BU205" s="3" t="n"/>
      <c r="BV205" s="6" t="n"/>
      <c r="BW205" s="6" t="n"/>
      <c r="BX205" s="6" t="n"/>
      <c r="BY205" s="6" t="n"/>
      <c r="BZ205" s="3" t="n"/>
      <c r="CA205" s="6" t="n"/>
      <c r="CB205" s="6" t="n"/>
      <c r="CC205" s="6" t="n"/>
      <c r="CD205" s="6" t="n"/>
      <c r="CE205" s="3" t="n"/>
      <c r="CF205" s="6" t="n"/>
      <c r="CG205" s="6" t="n"/>
      <c r="CH205" s="6" t="n"/>
      <c r="CI205" s="6" t="n"/>
      <c r="CJ205" s="3" t="n"/>
      <c r="CK205" s="6" t="n"/>
      <c r="CL205" s="6" t="n"/>
      <c r="CM205" s="6" t="n"/>
      <c r="CN205" s="6" t="n"/>
      <c r="CO205" s="3" t="n"/>
      <c r="CP205" s="6" t="n"/>
      <c r="CQ205" s="6" t="n"/>
      <c r="CR205" s="6" t="n"/>
      <c r="CS205" s="6" t="n"/>
      <c r="CT205" s="3" t="n"/>
      <c r="CU205" s="6" t="n"/>
      <c r="CV205" s="6" t="n"/>
      <c r="CW205" s="6" t="n"/>
      <c r="CX205" s="6" t="n"/>
      <c r="CY205" s="3" t="n"/>
    </row>
    <row r="206" hidden="1" outlineLevel="1">
      <c r="C206" s="34" t="inlineStr">
        <is>
          <t>Outros</t>
        </is>
      </c>
      <c r="D206" s="6" t="n"/>
      <c r="E206" s="6" t="n"/>
      <c r="F206" s="6" t="n"/>
      <c r="G206" s="6" t="n"/>
      <c r="H206" s="3" t="n"/>
      <c r="I206" s="6" t="n"/>
      <c r="J206" s="6" t="n"/>
      <c r="K206" s="6" t="n"/>
      <c r="L206" s="6" t="n"/>
      <c r="M206" s="3" t="n"/>
      <c r="N206" s="6" t="n"/>
      <c r="O206" s="6" t="n"/>
      <c r="P206" s="6" t="n"/>
      <c r="Q206" s="6" t="n"/>
      <c r="R206" s="3" t="n"/>
      <c r="S206" s="6" t="n"/>
      <c r="T206" s="6" t="n"/>
      <c r="U206" s="6" t="n"/>
      <c r="V206" s="6" t="n"/>
      <c r="W206" s="3" t="n"/>
      <c r="X206" s="6" t="n"/>
      <c r="Y206" s="6" t="n"/>
      <c r="Z206" s="6" t="n"/>
      <c r="AA206" s="6" t="n"/>
      <c r="AB206" s="3" t="n"/>
      <c r="AC206" s="6" t="n"/>
      <c r="AD206" s="6" t="n"/>
      <c r="AE206" s="6" t="n"/>
      <c r="AF206" s="6" t="n"/>
      <c r="AG206" s="3" t="n"/>
      <c r="AH206" s="6" t="n"/>
      <c r="AI206" s="6" t="n"/>
      <c r="AJ206" s="6" t="n"/>
      <c r="AK206" s="6" t="n"/>
      <c r="AL206" s="3" t="n"/>
      <c r="AM206" s="6" t="n"/>
      <c r="AN206" s="6" t="n"/>
      <c r="AO206" s="6" t="n"/>
      <c r="AP206" s="6" t="n"/>
      <c r="AQ206" s="3" t="n"/>
      <c r="AR206" s="6" t="n"/>
      <c r="AS206" s="6" t="n"/>
      <c r="AT206" s="6" t="n"/>
      <c r="AU206" s="6" t="n"/>
      <c r="AV206" s="3" t="n"/>
      <c r="AW206" s="6" t="n"/>
      <c r="AX206" s="6" t="n"/>
      <c r="AY206" s="6" t="n"/>
      <c r="AZ206" s="6" t="n"/>
      <c r="BA206" s="3" t="n"/>
      <c r="BB206" s="6" t="n"/>
      <c r="BC206" s="6" t="n"/>
      <c r="BD206" s="6" t="n"/>
      <c r="BE206" s="6" t="n"/>
      <c r="BF206" s="3" t="n"/>
      <c r="BG206" s="6" t="n"/>
      <c r="BH206" s="6" t="n"/>
      <c r="BI206" s="6" t="n"/>
      <c r="BJ206" s="6" t="n"/>
      <c r="BK206" s="3" t="n"/>
      <c r="BL206" s="6" t="n"/>
      <c r="BM206" s="6" t="n"/>
      <c r="BN206" s="6" t="n"/>
      <c r="BO206" s="6" t="n"/>
      <c r="BP206" s="3" t="n"/>
      <c r="BQ206" s="6" t="n"/>
      <c r="BR206" s="6" t="n"/>
      <c r="BS206" s="6" t="n"/>
      <c r="BT206" s="6" t="n"/>
      <c r="BU206" s="3" t="n"/>
      <c r="BV206" s="6" t="n"/>
      <c r="BW206" s="6" t="n"/>
      <c r="BX206" s="6" t="n"/>
      <c r="BY206" s="6" t="n"/>
      <c r="BZ206" s="3" t="n"/>
      <c r="CA206" s="6" t="n"/>
      <c r="CB206" s="6" t="n"/>
      <c r="CC206" s="6" t="n"/>
      <c r="CD206" s="6" t="n"/>
      <c r="CE206" s="3" t="n"/>
      <c r="CF206" s="6" t="n"/>
      <c r="CG206" s="6" t="n"/>
      <c r="CH206" s="6" t="n"/>
      <c r="CI206" s="6" t="n"/>
      <c r="CJ206" s="3" t="n"/>
      <c r="CK206" s="6" t="n"/>
      <c r="CL206" s="6" t="n"/>
      <c r="CM206" s="6" t="n"/>
      <c r="CN206" s="6" t="n"/>
      <c r="CO206" s="3" t="n"/>
      <c r="CP206" s="6" t="n"/>
      <c r="CQ206" s="6" t="n"/>
      <c r="CR206" s="6" t="n"/>
      <c r="CS206" s="6" t="n"/>
      <c r="CT206" s="3" t="n"/>
      <c r="CU206" s="6" t="n"/>
      <c r="CV206" s="6" t="n"/>
      <c r="CW206" s="6" t="n"/>
      <c r="CX206" s="6" t="n"/>
      <c r="CY206" s="3" t="n"/>
    </row>
    <row r="207" hidden="1" outlineLevel="1">
      <c r="C207" s="34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</row>
    <row r="208" collapsed="1">
      <c r="C208" s="26" t="inlineStr">
        <is>
          <t>Current portion of long-term debt</t>
        </is>
      </c>
      <c r="D208" s="25" t="n"/>
      <c r="E208" s="25" t="n"/>
      <c r="F208" s="25" t="n"/>
      <c r="G208" s="25" t="n"/>
      <c r="H208" s="3">
        <f>G208</f>
        <v>0</v>
      </c>
      <c r="I208" s="25" t="n"/>
      <c r="J208" s="25" t="n"/>
      <c r="K208" s="25" t="n"/>
      <c r="L208" s="25" t="n"/>
      <c r="M208" s="3">
        <f>L208</f>
        <v>0</v>
      </c>
      <c r="N208" s="25" t="n"/>
      <c r="O208" s="25" t="n"/>
      <c r="P208" s="25" t="n"/>
      <c r="Q208" s="25" t="n"/>
      <c r="R208" s="3">
        <f>Q208</f>
        <v>0</v>
      </c>
      <c r="S208" s="25" t="n"/>
      <c r="T208" s="25" t="n"/>
      <c r="U208" s="25" t="n"/>
      <c r="V208" s="25" t="n"/>
      <c r="W208" s="3">
        <f>V208</f>
        <v>0</v>
      </c>
      <c r="X208" s="25" t="n"/>
      <c r="Y208" s="25" t="n"/>
      <c r="Z208" s="25" t="n"/>
      <c r="AA208" s="25" t="n"/>
      <c r="AB208" s="3">
        <f>AA208</f>
        <v>0</v>
      </c>
      <c r="AC208" s="25" t="n"/>
      <c r="AD208" s="25" t="n"/>
      <c r="AE208" s="25" t="n"/>
      <c r="AF208" s="25" t="n"/>
      <c r="AG208" s="3">
        <f>AF208</f>
        <v>0</v>
      </c>
      <c r="AH208" s="3">
        <f>AG208</f>
        <v>0</v>
      </c>
      <c r="AI208" s="3">
        <f>AH208</f>
        <v>0</v>
      </c>
      <c r="AJ208" s="3">
        <f>AI208</f>
        <v>0</v>
      </c>
      <c r="AK208" s="3">
        <f>AJ208</f>
        <v>0</v>
      </c>
      <c r="AL208" s="3">
        <f>AK208</f>
        <v>0</v>
      </c>
      <c r="AM208" s="3">
        <f>AL208</f>
        <v>0</v>
      </c>
      <c r="AN208" s="3">
        <f>AM208</f>
        <v>0</v>
      </c>
      <c r="AO208" s="3">
        <f>AN208</f>
        <v>0</v>
      </c>
      <c r="AP208" s="3">
        <f>AO208</f>
        <v>0</v>
      </c>
      <c r="AQ208" s="3">
        <f>AP208</f>
        <v>0</v>
      </c>
      <c r="AR208" s="3">
        <f>AQ208</f>
        <v>0</v>
      </c>
      <c r="AS208" s="3">
        <f>AR208</f>
        <v>0</v>
      </c>
      <c r="AT208" s="3">
        <f>AS208</f>
        <v>0</v>
      </c>
      <c r="AU208" s="3">
        <f>AT208</f>
        <v>0</v>
      </c>
      <c r="AV208" s="3">
        <f>AU208</f>
        <v>0</v>
      </c>
      <c r="AW208" s="3">
        <f>AV208</f>
        <v>0</v>
      </c>
      <c r="AX208" s="3">
        <f>AW208</f>
        <v>0</v>
      </c>
      <c r="AY208" s="3">
        <f>AX208</f>
        <v>0</v>
      </c>
      <c r="AZ208" s="3">
        <f>AY208</f>
        <v>0</v>
      </c>
      <c r="BA208" s="3">
        <f>AZ208</f>
        <v>0</v>
      </c>
      <c r="BB208" s="3">
        <f>BA208</f>
        <v>0</v>
      </c>
      <c r="BC208" s="3">
        <f>BB208</f>
        <v>0</v>
      </c>
      <c r="BD208" s="3">
        <f>BC208</f>
        <v>0</v>
      </c>
      <c r="BE208" s="3">
        <f>BD208</f>
        <v>0</v>
      </c>
      <c r="BF208" s="3">
        <f>BE208</f>
        <v>0</v>
      </c>
      <c r="BG208" s="3">
        <f>BF208</f>
        <v>0</v>
      </c>
      <c r="BH208" s="3">
        <f>BG208</f>
        <v>0</v>
      </c>
      <c r="BI208" s="3">
        <f>BH208</f>
        <v>0</v>
      </c>
      <c r="BJ208" s="3">
        <f>BI208</f>
        <v>0</v>
      </c>
      <c r="BK208" s="3">
        <f>BJ208</f>
        <v>0</v>
      </c>
      <c r="BL208" s="3">
        <f>BK208</f>
        <v>0</v>
      </c>
      <c r="BM208" s="3">
        <f>BL208</f>
        <v>0</v>
      </c>
      <c r="BN208" s="3">
        <f>BM208</f>
        <v>0</v>
      </c>
      <c r="BO208" s="3">
        <f>BN208</f>
        <v>0</v>
      </c>
      <c r="BP208" s="3">
        <f>BO208</f>
        <v>0</v>
      </c>
      <c r="BQ208" s="3">
        <f>BP208</f>
        <v>0</v>
      </c>
      <c r="BR208" s="3">
        <f>BQ208</f>
        <v>0</v>
      </c>
      <c r="BS208" s="3">
        <f>BR208</f>
        <v>0</v>
      </c>
      <c r="BT208" s="3">
        <f>BS208</f>
        <v>0</v>
      </c>
      <c r="BU208" s="3">
        <f>BT208</f>
        <v>0</v>
      </c>
      <c r="BV208" s="3">
        <f>BU208</f>
        <v>0</v>
      </c>
      <c r="BW208" s="3">
        <f>BV208</f>
        <v>0</v>
      </c>
      <c r="BX208" s="3">
        <f>BW208</f>
        <v>0</v>
      </c>
      <c r="BY208" s="3">
        <f>BX208</f>
        <v>0</v>
      </c>
      <c r="BZ208" s="3">
        <f>BY208</f>
        <v>0</v>
      </c>
      <c r="CA208" s="3">
        <f>BZ208</f>
        <v>0</v>
      </c>
      <c r="CB208" s="3">
        <f>CA208</f>
        <v>0</v>
      </c>
      <c r="CC208" s="3">
        <f>CB208</f>
        <v>0</v>
      </c>
      <c r="CD208" s="3">
        <f>CC208</f>
        <v>0</v>
      </c>
      <c r="CE208" s="3">
        <f>CD208</f>
        <v>0</v>
      </c>
      <c r="CF208" s="3">
        <f>CE208</f>
        <v>0</v>
      </c>
      <c r="CG208" s="3">
        <f>CF208</f>
        <v>0</v>
      </c>
      <c r="CH208" s="3">
        <f>CG208</f>
        <v>0</v>
      </c>
      <c r="CI208" s="3">
        <f>CH208</f>
        <v>0</v>
      </c>
      <c r="CJ208" s="3">
        <f>CI208</f>
        <v>0</v>
      </c>
      <c r="CK208" s="3">
        <f>CJ208</f>
        <v>0</v>
      </c>
      <c r="CL208" s="3">
        <f>CK208</f>
        <v>0</v>
      </c>
      <c r="CM208" s="3">
        <f>CL208</f>
        <v>0</v>
      </c>
      <c r="CN208" s="3">
        <f>CM208</f>
        <v>0</v>
      </c>
      <c r="CO208" s="3">
        <f>CN208</f>
        <v>0</v>
      </c>
      <c r="CP208" s="3">
        <f>CO208</f>
        <v>0</v>
      </c>
      <c r="CQ208" s="3">
        <f>CP208</f>
        <v>0</v>
      </c>
      <c r="CR208" s="3">
        <f>CQ208</f>
        <v>0</v>
      </c>
      <c r="CS208" s="3">
        <f>CR208</f>
        <v>0</v>
      </c>
      <c r="CT208" s="3">
        <f>CS208</f>
        <v>0</v>
      </c>
      <c r="CU208" s="3">
        <f>CT208</f>
        <v>0</v>
      </c>
      <c r="CV208" s="3">
        <f>CU208</f>
        <v>0</v>
      </c>
      <c r="CW208" s="3">
        <f>CV208</f>
        <v>0</v>
      </c>
      <c r="CX208" s="3">
        <f>CW208</f>
        <v>0</v>
      </c>
      <c r="CY208" s="3">
        <f>CX208</f>
        <v>0</v>
      </c>
    </row>
    <row r="209">
      <c r="C209" s="26" t="inlineStr">
        <is>
          <t>Short term debt (Revolving credit facility)</t>
        </is>
      </c>
      <c r="D209" s="25" t="n"/>
      <c r="E209" s="25" t="n"/>
      <c r="F209" s="25" t="n"/>
      <c r="G209" s="25" t="n"/>
      <c r="H209" s="3">
        <f>G209</f>
        <v>0</v>
      </c>
      <c r="I209" s="25" t="n"/>
      <c r="J209" s="25" t="n"/>
      <c r="K209" s="25" t="n"/>
      <c r="L209" s="25" t="n"/>
      <c r="M209" s="3">
        <f>L209</f>
        <v>0</v>
      </c>
      <c r="N209" s="25" t="n"/>
      <c r="O209" s="25" t="n"/>
      <c r="P209" s="25" t="n"/>
      <c r="Q209" s="25" t="n"/>
      <c r="R209" s="3">
        <f>Q209</f>
        <v>0</v>
      </c>
      <c r="S209" s="25" t="n"/>
      <c r="T209" s="25" t="n"/>
      <c r="U209" s="25" t="n"/>
      <c r="V209" s="25" t="n"/>
      <c r="W209" s="3">
        <f>V209</f>
        <v>0</v>
      </c>
      <c r="X209" s="25" t="n"/>
      <c r="Y209" s="25" t="n"/>
      <c r="Z209" s="25" t="n"/>
      <c r="AA209" s="25" t="n"/>
      <c r="AB209" s="3">
        <f>AA209</f>
        <v>0</v>
      </c>
      <c r="AC209" s="25" t="n"/>
      <c r="AD209" s="25" t="n"/>
      <c r="AE209" s="25" t="n"/>
      <c r="AF209" s="25" t="n"/>
      <c r="AG209" s="3">
        <f>AF209</f>
        <v>0</v>
      </c>
      <c r="AH209" s="3">
        <f>AG209</f>
        <v>0</v>
      </c>
      <c r="AI209" s="3">
        <f>AH209</f>
        <v>0</v>
      </c>
      <c r="AJ209" s="3">
        <f>AI209</f>
        <v>0</v>
      </c>
      <c r="AK209" s="3">
        <f>AJ209</f>
        <v>0</v>
      </c>
      <c r="AL209" s="3">
        <f>AK209</f>
        <v>0</v>
      </c>
      <c r="AM209" s="3">
        <f>AL209</f>
        <v>0</v>
      </c>
      <c r="AN209" s="3">
        <f>AM209</f>
        <v>0</v>
      </c>
      <c r="AO209" s="3">
        <f>AN209</f>
        <v>0</v>
      </c>
      <c r="AP209" s="3">
        <f>AO209</f>
        <v>0</v>
      </c>
      <c r="AQ209" s="3">
        <f>AP209</f>
        <v>0</v>
      </c>
      <c r="AR209" s="3">
        <f>AQ209</f>
        <v>0</v>
      </c>
      <c r="AS209" s="3">
        <f>AR209</f>
        <v>0</v>
      </c>
      <c r="AT209" s="3">
        <f>AS209</f>
        <v>0</v>
      </c>
      <c r="AU209" s="3">
        <f>AT209</f>
        <v>0</v>
      </c>
      <c r="AV209" s="3">
        <f>AU209</f>
        <v>0</v>
      </c>
      <c r="AW209" s="3">
        <f>AV209</f>
        <v>0</v>
      </c>
      <c r="AX209" s="3">
        <f>AW209</f>
        <v>0</v>
      </c>
      <c r="AY209" s="3">
        <f>AX209</f>
        <v>0</v>
      </c>
      <c r="AZ209" s="3">
        <f>AY209</f>
        <v>0</v>
      </c>
      <c r="BA209" s="3">
        <f>AZ209</f>
        <v>0</v>
      </c>
      <c r="BB209" s="3">
        <f>BA209</f>
        <v>0</v>
      </c>
      <c r="BC209" s="3">
        <f>BB209</f>
        <v>0</v>
      </c>
      <c r="BD209" s="3">
        <f>BC209</f>
        <v>0</v>
      </c>
      <c r="BE209" s="3">
        <f>BD209</f>
        <v>0</v>
      </c>
      <c r="BF209" s="3">
        <f>BE209</f>
        <v>0</v>
      </c>
      <c r="BG209" s="3">
        <f>BF209</f>
        <v>0</v>
      </c>
      <c r="BH209" s="3">
        <f>BG209</f>
        <v>0</v>
      </c>
      <c r="BI209" s="3">
        <f>BH209</f>
        <v>0</v>
      </c>
      <c r="BJ209" s="3">
        <f>BI209</f>
        <v>0</v>
      </c>
      <c r="BK209" s="3">
        <f>BJ209</f>
        <v>0</v>
      </c>
      <c r="BL209" s="3">
        <f>BK209</f>
        <v>0</v>
      </c>
      <c r="BM209" s="3">
        <f>BL209</f>
        <v>0</v>
      </c>
      <c r="BN209" s="3">
        <f>BM209</f>
        <v>0</v>
      </c>
      <c r="BO209" s="3">
        <f>BN209</f>
        <v>0</v>
      </c>
      <c r="BP209" s="3">
        <f>BO209</f>
        <v>0</v>
      </c>
      <c r="BQ209" s="3">
        <f>BP209</f>
        <v>0</v>
      </c>
      <c r="BR209" s="3">
        <f>BQ209</f>
        <v>0</v>
      </c>
      <c r="BS209" s="3">
        <f>BR209</f>
        <v>0</v>
      </c>
      <c r="BT209" s="3">
        <f>BS209</f>
        <v>0</v>
      </c>
      <c r="BU209" s="3">
        <f>BT209</f>
        <v>0</v>
      </c>
      <c r="BV209" s="3">
        <f>BU209</f>
        <v>0</v>
      </c>
      <c r="BW209" s="3">
        <f>BV209</f>
        <v>0</v>
      </c>
      <c r="BX209" s="3">
        <f>BW209</f>
        <v>0</v>
      </c>
      <c r="BY209" s="3">
        <f>BX209</f>
        <v>0</v>
      </c>
      <c r="BZ209" s="3">
        <f>BY209</f>
        <v>0</v>
      </c>
      <c r="CA209" s="3">
        <f>BZ209</f>
        <v>0</v>
      </c>
      <c r="CB209" s="3">
        <f>CA209</f>
        <v>0</v>
      </c>
      <c r="CC209" s="3">
        <f>CB209</f>
        <v>0</v>
      </c>
      <c r="CD209" s="3">
        <f>CC209</f>
        <v>0</v>
      </c>
      <c r="CE209" s="3">
        <f>CD209</f>
        <v>0</v>
      </c>
      <c r="CF209" s="3">
        <f>CE209</f>
        <v>0</v>
      </c>
      <c r="CG209" s="3">
        <f>CF209</f>
        <v>0</v>
      </c>
      <c r="CH209" s="3">
        <f>CG209</f>
        <v>0</v>
      </c>
      <c r="CI209" s="3">
        <f>CH209</f>
        <v>0</v>
      </c>
      <c r="CJ209" s="3">
        <f>CI209</f>
        <v>0</v>
      </c>
      <c r="CK209" s="3">
        <f>CJ209</f>
        <v>0</v>
      </c>
      <c r="CL209" s="3">
        <f>CK209</f>
        <v>0</v>
      </c>
      <c r="CM209" s="3">
        <f>CL209</f>
        <v>0</v>
      </c>
      <c r="CN209" s="3">
        <f>CM209</f>
        <v>0</v>
      </c>
      <c r="CO209" s="3">
        <f>CN209</f>
        <v>0</v>
      </c>
      <c r="CP209" s="3">
        <f>CO209</f>
        <v>0</v>
      </c>
      <c r="CQ209" s="3">
        <f>CP209</f>
        <v>0</v>
      </c>
      <c r="CR209" s="3">
        <f>CQ209</f>
        <v>0</v>
      </c>
      <c r="CS209" s="3">
        <f>CR209</f>
        <v>0</v>
      </c>
      <c r="CT209" s="3">
        <f>CS209</f>
        <v>0</v>
      </c>
      <c r="CU209" s="3">
        <f>CT209</f>
        <v>0</v>
      </c>
      <c r="CV209" s="3">
        <f>CU209</f>
        <v>0</v>
      </c>
      <c r="CW209" s="3">
        <f>CV209</f>
        <v>0</v>
      </c>
      <c r="CX209" s="3">
        <f>CW209</f>
        <v>0</v>
      </c>
      <c r="CY209" s="3">
        <f>CX209</f>
        <v>0</v>
      </c>
    </row>
    <row r="210">
      <c r="C210" s="26" t="inlineStr">
        <is>
          <t>Short term operating leases</t>
        </is>
      </c>
      <c r="D210" s="25" t="n"/>
      <c r="E210" s="25" t="n"/>
      <c r="F210" s="25" t="n"/>
      <c r="G210" s="25" t="n"/>
      <c r="H210" s="3">
        <f>G210</f>
        <v>0</v>
      </c>
      <c r="I210" s="25" t="n"/>
      <c r="J210" s="25" t="n"/>
      <c r="K210" s="25" t="n"/>
      <c r="L210" s="25" t="n"/>
      <c r="M210" s="3">
        <f>L210</f>
        <v>0</v>
      </c>
      <c r="N210" s="25" t="n"/>
      <c r="O210" s="25" t="n"/>
      <c r="P210" s="25" t="n"/>
      <c r="Q210" s="25" t="n"/>
      <c r="R210" s="3">
        <f>Q210</f>
        <v>0</v>
      </c>
      <c r="S210" s="25" t="n"/>
      <c r="T210" s="25" t="n"/>
      <c r="U210" s="25" t="n"/>
      <c r="V210" s="25" t="n"/>
      <c r="W210" s="3">
        <f>V210</f>
        <v>0</v>
      </c>
      <c r="X210" s="25" t="n"/>
      <c r="Y210" s="25" t="n"/>
      <c r="Z210" s="25" t="n"/>
      <c r="AA210" s="25" t="n"/>
      <c r="AB210" s="3">
        <f>AA210</f>
        <v>0</v>
      </c>
      <c r="AC210" s="25" t="n"/>
      <c r="AD210" s="25" t="n"/>
      <c r="AE210" s="25" t="n"/>
      <c r="AF210" s="25" t="n"/>
      <c r="AG210" s="3">
        <f>AF210</f>
        <v>0</v>
      </c>
      <c r="AH210" s="3">
        <f>AG210</f>
        <v>0</v>
      </c>
      <c r="AI210" s="3">
        <f>AH210</f>
        <v>0</v>
      </c>
      <c r="AJ210" s="3">
        <f>AI210</f>
        <v>0</v>
      </c>
      <c r="AK210" s="3">
        <f>AJ210</f>
        <v>0</v>
      </c>
      <c r="AL210" s="3">
        <f>AK210</f>
        <v>0</v>
      </c>
      <c r="AM210" s="3">
        <f>AL210</f>
        <v>0</v>
      </c>
      <c r="AN210" s="3">
        <f>AM210</f>
        <v>0</v>
      </c>
      <c r="AO210" s="3">
        <f>AN210</f>
        <v>0</v>
      </c>
      <c r="AP210" s="3">
        <f>AO210</f>
        <v>0</v>
      </c>
      <c r="AQ210" s="3">
        <f>AP210</f>
        <v>0</v>
      </c>
      <c r="AR210" s="3">
        <f>AQ210</f>
        <v>0</v>
      </c>
      <c r="AS210" s="3">
        <f>AR210</f>
        <v>0</v>
      </c>
      <c r="AT210" s="3">
        <f>AS210</f>
        <v>0</v>
      </c>
      <c r="AU210" s="3">
        <f>AT210</f>
        <v>0</v>
      </c>
      <c r="AV210" s="3">
        <f>AU210</f>
        <v>0</v>
      </c>
      <c r="AW210" s="3">
        <f>AV210</f>
        <v>0</v>
      </c>
      <c r="AX210" s="3">
        <f>AW210</f>
        <v>0</v>
      </c>
      <c r="AY210" s="3">
        <f>AX210</f>
        <v>0</v>
      </c>
      <c r="AZ210" s="3">
        <f>AY210</f>
        <v>0</v>
      </c>
      <c r="BA210" s="3">
        <f>AZ210</f>
        <v>0</v>
      </c>
      <c r="BB210" s="3">
        <f>BA210</f>
        <v>0</v>
      </c>
      <c r="BC210" s="3">
        <f>BB210</f>
        <v>0</v>
      </c>
      <c r="BD210" s="3">
        <f>BC210</f>
        <v>0</v>
      </c>
      <c r="BE210" s="3">
        <f>BD210</f>
        <v>0</v>
      </c>
      <c r="BF210" s="3">
        <f>BE210</f>
        <v>0</v>
      </c>
      <c r="BG210" s="3">
        <f>BF210</f>
        <v>0</v>
      </c>
      <c r="BH210" s="3">
        <f>BG210</f>
        <v>0</v>
      </c>
      <c r="BI210" s="3">
        <f>BH210</f>
        <v>0</v>
      </c>
      <c r="BJ210" s="3">
        <f>BI210</f>
        <v>0</v>
      </c>
      <c r="BK210" s="3">
        <f>BJ210</f>
        <v>0</v>
      </c>
      <c r="BL210" s="3">
        <f>BK210</f>
        <v>0</v>
      </c>
      <c r="BM210" s="3">
        <f>BL210</f>
        <v>0</v>
      </c>
      <c r="BN210" s="3">
        <f>BM210</f>
        <v>0</v>
      </c>
      <c r="BO210" s="3">
        <f>BN210</f>
        <v>0</v>
      </c>
      <c r="BP210" s="3">
        <f>BO210</f>
        <v>0</v>
      </c>
      <c r="BQ210" s="3">
        <f>BP210</f>
        <v>0</v>
      </c>
      <c r="BR210" s="3">
        <f>BQ210</f>
        <v>0</v>
      </c>
      <c r="BS210" s="3">
        <f>BR210</f>
        <v>0</v>
      </c>
      <c r="BT210" s="3">
        <f>BS210</f>
        <v>0</v>
      </c>
      <c r="BU210" s="3">
        <f>BT210</f>
        <v>0</v>
      </c>
      <c r="BV210" s="3">
        <f>BU210</f>
        <v>0</v>
      </c>
      <c r="BW210" s="3">
        <f>BV210</f>
        <v>0</v>
      </c>
      <c r="BX210" s="3">
        <f>BW210</f>
        <v>0</v>
      </c>
      <c r="BY210" s="3">
        <f>BX210</f>
        <v>0</v>
      </c>
      <c r="BZ210" s="3">
        <f>BY210</f>
        <v>0</v>
      </c>
      <c r="CA210" s="3">
        <f>BZ210</f>
        <v>0</v>
      </c>
      <c r="CB210" s="3">
        <f>CA210</f>
        <v>0</v>
      </c>
      <c r="CC210" s="3">
        <f>CB210</f>
        <v>0</v>
      </c>
      <c r="CD210" s="3">
        <f>CC210</f>
        <v>0</v>
      </c>
      <c r="CE210" s="3">
        <f>CD210</f>
        <v>0</v>
      </c>
      <c r="CF210" s="3">
        <f>CE210</f>
        <v>0</v>
      </c>
      <c r="CG210" s="3">
        <f>CF210</f>
        <v>0</v>
      </c>
      <c r="CH210" s="3">
        <f>CG210</f>
        <v>0</v>
      </c>
      <c r="CI210" s="3">
        <f>CH210</f>
        <v>0</v>
      </c>
      <c r="CJ210" s="3">
        <f>CI210</f>
        <v>0</v>
      </c>
      <c r="CK210" s="3">
        <f>CJ210</f>
        <v>0</v>
      </c>
      <c r="CL210" s="3">
        <f>CK210</f>
        <v>0</v>
      </c>
      <c r="CM210" s="3">
        <f>CL210</f>
        <v>0</v>
      </c>
      <c r="CN210" s="3">
        <f>CM210</f>
        <v>0</v>
      </c>
      <c r="CO210" s="3">
        <f>CN210</f>
        <v>0</v>
      </c>
      <c r="CP210" s="3">
        <f>CO210</f>
        <v>0</v>
      </c>
      <c r="CQ210" s="3">
        <f>CP210</f>
        <v>0</v>
      </c>
      <c r="CR210" s="3">
        <f>CQ210</f>
        <v>0</v>
      </c>
      <c r="CS210" s="3">
        <f>CR210</f>
        <v>0</v>
      </c>
      <c r="CT210" s="3">
        <f>CS210</f>
        <v>0</v>
      </c>
      <c r="CU210" s="3">
        <f>CT210</f>
        <v>0</v>
      </c>
      <c r="CV210" s="3">
        <f>CU210</f>
        <v>0</v>
      </c>
      <c r="CW210" s="3">
        <f>CV210</f>
        <v>0</v>
      </c>
      <c r="CX210" s="3">
        <f>CW210</f>
        <v>0</v>
      </c>
      <c r="CY210" s="3">
        <f>CX210</f>
        <v>0</v>
      </c>
    </row>
    <row r="211" hidden="1" outlineLevel="1">
      <c r="C211" s="38" t="inlineStr">
        <is>
          <t>%(Var.)</t>
        </is>
      </c>
      <c r="D211" s="3" t="n"/>
      <c r="E211" s="47">
        <f>IFERROR((E210-D210)/D210,0)</f>
        <v>0</v>
      </c>
      <c r="F211" s="47">
        <f>IFERROR((F210-E210)/E210,0)</f>
        <v>0</v>
      </c>
      <c r="G211" s="47">
        <f>IFERROR((G210-F210)/F210,0)</f>
        <v>0</v>
      </c>
      <c r="H211" s="3" t="n"/>
      <c r="I211" s="47">
        <f>IFERROR((I210-H210)/H210,0)</f>
        <v>0</v>
      </c>
      <c r="J211" s="47">
        <f>IFERROR((J210-I210)/I210,0)</f>
        <v>0</v>
      </c>
      <c r="K211" s="47">
        <f>IFERROR((K210-J210)/J210,0)</f>
        <v>0</v>
      </c>
      <c r="L211" s="47">
        <f>IFERROR((L210-K210)/K210,0)</f>
        <v>0</v>
      </c>
      <c r="M211" s="3" t="n"/>
      <c r="N211" s="47">
        <f>IFERROR((N210-M210)/M210,0)</f>
        <v>0</v>
      </c>
      <c r="O211" s="47">
        <f>IFERROR((O210-N210)/N210,0)</f>
        <v>0</v>
      </c>
      <c r="P211" s="47">
        <f>IFERROR((P210-O210)/O210,0)</f>
        <v>0</v>
      </c>
      <c r="Q211" s="47">
        <f>IFERROR((Q210-P210)/P210,0)</f>
        <v>0</v>
      </c>
      <c r="R211" s="3" t="n"/>
      <c r="S211" s="47">
        <f>IFERROR((S210-R210)/R210,0)</f>
        <v>0</v>
      </c>
      <c r="T211" s="47">
        <f>IFERROR((T210-S210)/S210,0)</f>
        <v>0</v>
      </c>
      <c r="U211" s="47">
        <f>IFERROR((U210-T210)/T210,0)</f>
        <v>0</v>
      </c>
      <c r="V211" s="47">
        <f>IFERROR((V210-U210)/U210,0)</f>
        <v>0</v>
      </c>
      <c r="W211" s="3" t="n"/>
      <c r="X211" s="47">
        <f>IFERROR((X210-W210)/W210,0)</f>
        <v>0</v>
      </c>
      <c r="Y211" s="47">
        <f>IFERROR((Y210-X210)/X210,0)</f>
        <v>0</v>
      </c>
      <c r="Z211" s="47">
        <f>IFERROR((Z210-Y210)/Y210,0)</f>
        <v>0</v>
      </c>
      <c r="AA211" s="47">
        <f>IFERROR((AA210-Z210)/Z210,0)</f>
        <v>0</v>
      </c>
      <c r="AB211" s="3" t="n"/>
      <c r="AC211" s="47">
        <f>IFERROR((AC210-AB210)/AB210,0)</f>
        <v>0</v>
      </c>
      <c r="AD211" s="47">
        <f>IFERROR((AD210-AC210)/AC210,0)</f>
        <v>0</v>
      </c>
      <c r="AE211" s="47">
        <f>IFERROR((AE210-AD210)/AD210,0)</f>
        <v>0</v>
      </c>
      <c r="AF211" s="6">
        <f>IFERROR((AF210-AE210)/AE210,0)</f>
        <v>0</v>
      </c>
      <c r="AG211" s="3" t="n"/>
      <c r="AH211" s="6">
        <f>IFERROR((AH210-AG210)/AG210,0)</f>
        <v>0</v>
      </c>
      <c r="AI211" s="6">
        <f>IFERROR((AI210-AH210)/AH210,0)</f>
        <v>0</v>
      </c>
      <c r="AJ211" s="6" t="n"/>
      <c r="AK211" s="6" t="n"/>
      <c r="AL211" s="3" t="n"/>
      <c r="AM211" s="6" t="n"/>
      <c r="AN211" s="6" t="n"/>
      <c r="AO211" s="6" t="n"/>
      <c r="AP211" s="6" t="n"/>
      <c r="AQ211" s="3" t="n"/>
      <c r="AR211" s="6" t="n"/>
      <c r="AS211" s="6" t="n"/>
      <c r="AT211" s="6" t="n"/>
      <c r="AU211" s="6" t="n"/>
      <c r="AV211" s="3" t="n"/>
      <c r="AW211" s="6" t="n"/>
      <c r="AX211" s="6" t="n"/>
      <c r="AY211" s="6" t="n"/>
      <c r="AZ211" s="6" t="n"/>
      <c r="BA211" s="3" t="n"/>
      <c r="BB211" s="6" t="n"/>
      <c r="BC211" s="6" t="n"/>
      <c r="BD211" s="6" t="n"/>
      <c r="BE211" s="6" t="n"/>
      <c r="BF211" s="3" t="n"/>
      <c r="BG211" s="6" t="n"/>
      <c r="BH211" s="6" t="n"/>
      <c r="BI211" s="6" t="n"/>
      <c r="BJ211" s="6" t="n"/>
      <c r="BK211" s="3" t="n"/>
      <c r="BL211" s="6" t="n"/>
      <c r="BM211" s="6" t="n"/>
      <c r="BN211" s="6" t="n"/>
      <c r="BO211" s="6" t="n"/>
      <c r="BP211" s="3" t="n"/>
      <c r="BQ211" s="6" t="n"/>
      <c r="BR211" s="6" t="n"/>
      <c r="BS211" s="6" t="n"/>
      <c r="BT211" s="6" t="n"/>
      <c r="BU211" s="3" t="n"/>
      <c r="BV211" s="6" t="n"/>
      <c r="BW211" s="6" t="n"/>
      <c r="BX211" s="6" t="n"/>
      <c r="BY211" s="6" t="n"/>
      <c r="BZ211" s="3" t="n"/>
      <c r="CA211" s="6" t="n"/>
      <c r="CB211" s="6" t="n"/>
      <c r="CC211" s="6" t="n"/>
      <c r="CD211" s="6" t="n"/>
      <c r="CE211" s="3" t="n"/>
      <c r="CF211" s="6" t="n"/>
      <c r="CG211" s="6" t="n"/>
      <c r="CH211" s="6" t="n"/>
      <c r="CI211" s="6" t="n"/>
      <c r="CJ211" s="3" t="n"/>
      <c r="CK211" s="6" t="n"/>
      <c r="CL211" s="6" t="n"/>
      <c r="CM211" s="6" t="n"/>
      <c r="CN211" s="6" t="n"/>
      <c r="CO211" s="3" t="n"/>
      <c r="CP211" s="6" t="n"/>
      <c r="CQ211" s="6" t="n"/>
      <c r="CR211" s="6" t="n"/>
      <c r="CS211" s="6" t="n"/>
      <c r="CT211" s="3" t="n"/>
      <c r="CU211" s="6" t="n"/>
      <c r="CV211" s="6" t="n"/>
      <c r="CW211" s="6" t="n"/>
      <c r="CX211" s="6" t="n"/>
      <c r="CY211" s="3" t="n"/>
    </row>
    <row r="212" hidden="1" outlineLevel="1">
      <c r="C212" s="34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  <c r="CU212" s="3" t="n"/>
      <c r="CV212" s="3" t="n"/>
      <c r="CW212" s="3" t="n"/>
      <c r="CX212" s="3" t="n"/>
      <c r="CY212" s="3" t="n"/>
    </row>
    <row r="213" collapsed="1">
      <c r="C213" s="26" t="inlineStr">
        <is>
          <t>Long term debt</t>
        </is>
      </c>
      <c r="D213" s="25">
        <f>INDEX('Inputs (2)'!$D$35:$AL$35,MATCH(D$7,'Inputs (2)'!$D$2:$AL$2,0))</f>
        <v>5016</v>
      </c>
      <c r="E213" s="25">
        <f>INDEX('Inputs (2)'!$D$35:$AL$35,MATCH(E$7,'Inputs (2)'!$D$2:$AL$2,0))</f>
        <v>4018</v>
      </c>
      <c r="F213" s="25">
        <f>INDEX('Inputs (2)'!$D$35:$AL$35,MATCH(F$7,'Inputs (2)'!$D$2:$AL$2,0))</f>
        <v>13902</v>
      </c>
      <c r="G213" s="25">
        <f>INDEX('Inputs (2)'!$D$35:$AL$35,MATCH(G$7,'Inputs (2)'!$D$2:$AL$2,0))</f>
        <v>13932</v>
      </c>
      <c r="H213" s="3">
        <f>G213</f>
        <v>13932</v>
      </c>
      <c r="I213" s="25">
        <f>INDEX('Inputs (2)'!$D$35:$AL$35,MATCH(I$7,'Inputs (2)'!$D$2:$AL$2,0))</f>
        <v>13887</v>
      </c>
      <c r="J213" s="25">
        <f>INDEX('Inputs (2)'!$D$35:$AL$35,MATCH(J$7,'Inputs (2)'!$D$2:$AL$2,0))</f>
        <v>14328</v>
      </c>
      <c r="K213" s="25">
        <f>INDEX('Inputs (2)'!$D$35:$AL$35,MATCH(K$7,'Inputs (2)'!$D$2:$AL$2,0))</f>
        <v>14288</v>
      </c>
      <c r="L213" s="25">
        <f>INDEX('Inputs (2)'!$D$35:$AL$35,MATCH(L$7,'Inputs (2)'!$D$2:$AL$2,0))</f>
        <v>14817</v>
      </c>
      <c r="M213" s="3">
        <f>L213</f>
        <v>14817</v>
      </c>
      <c r="N213" s="25">
        <f>INDEX('Inputs (2)'!$D$35:$AL$35,MATCH(N$7,'Inputs (2)'!$D$2:$AL$2,0))</f>
        <v>14791</v>
      </c>
      <c r="O213" s="25">
        <f>INDEX('Inputs (2)'!$D$35:$AL$35,MATCH(O$7,'Inputs (2)'!$D$2:$AL$2,0))</f>
        <v>14734</v>
      </c>
      <c r="P213" s="25">
        <f>INDEX('Inputs (2)'!$D$35:$AL$35,MATCH(P$7,'Inputs (2)'!$D$2:$AL$2,0))</f>
        <v>14653</v>
      </c>
      <c r="Q213" s="25">
        <f>INDEX('Inputs (2)'!$D$35:$AL$35,MATCH(Q$7,'Inputs (2)'!$D$2:$AL$2,0))</f>
        <v>14701</v>
      </c>
      <c r="R213" s="3">
        <f>Q213</f>
        <v>14701</v>
      </c>
      <c r="S213" s="25">
        <f>INDEX('Inputs (2)'!$D$35:$AL$35,MATCH(S$7,'Inputs (2)'!$D$2:$AL$2,0))</f>
        <v>13697</v>
      </c>
      <c r="T213" s="25">
        <f>INDEX('Inputs (2)'!$D$35:$AL$35,MATCH(T$7,'Inputs (2)'!$D$2:$AL$2,0))</f>
        <v>13705</v>
      </c>
      <c r="U213" s="25">
        <f>INDEX('Inputs (2)'!$D$35:$AL$35,MATCH(U$7,'Inputs (2)'!$D$2:$AL$2,0))</f>
        <v>13781</v>
      </c>
      <c r="V213" s="25">
        <f>INDEX('Inputs (2)'!$D$35:$AL$35,MATCH(V$7,'Inputs (2)'!$D$2:$AL$2,0))</f>
        <v>13253</v>
      </c>
      <c r="W213" s="3">
        <f>V213</f>
        <v>13253</v>
      </c>
      <c r="X213" s="25">
        <f>INDEX('Inputs (2)'!$D$35:$AL$35,MATCH(X$7,'Inputs (2)'!$D$2:$AL$2,0))</f>
        <v>13228</v>
      </c>
      <c r="Y213" s="25">
        <f>INDEX('Inputs (2)'!$D$35:$AL$35,MATCH(Y$7,'Inputs (2)'!$D$2:$AL$2,0))</f>
        <v>13238</v>
      </c>
      <c r="Z213" s="25">
        <f>INDEX('Inputs (2)'!$D$35:$AL$35,MATCH(Z$7,'Inputs (2)'!$D$2:$AL$2,0))</f>
        <v>12297</v>
      </c>
      <c r="AA213" s="25">
        <f>INDEX('Inputs (2)'!$D$35:$AL$35,MATCH(AA$7,'Inputs (2)'!$D$2:$AL$2,0))</f>
        <v>10883</v>
      </c>
      <c r="AB213" s="3">
        <f>AA213</f>
        <v>10883</v>
      </c>
      <c r="AC213" s="25">
        <f>INDEX('Inputs (2)'!$D$35:$AL$35,MATCH(AC$7,'Inputs (2)'!$D$2:$AL$2,0))</f>
        <v>10886</v>
      </c>
      <c r="AD213" s="25">
        <f>INDEX('Inputs (2)'!$D$35:$AL$35,MATCH(AD$7,'Inputs (2)'!$D$2:$AL$2,0))</f>
        <v>23607</v>
      </c>
      <c r="AE213" s="25">
        <f>INDEX('Inputs (2)'!$D$35:$AL$35,MATCH(AE$7,'Inputs (2)'!$D$2:$AL$2,0))</f>
        <v>21607</v>
      </c>
      <c r="AF213" s="25">
        <f>INDEX('Inputs (2)'!$D$35:$AL$35,MATCH(AF$7,'Inputs (2)'!$D$2:$AL$2,0))</f>
        <v>46547</v>
      </c>
      <c r="AG213" s="3">
        <f>AF213</f>
        <v>46547</v>
      </c>
      <c r="AH213" s="3">
        <f>INDEX('Inputs (2)'!$D$35:$AL$35,MATCH(AH$7,'Inputs (2)'!$D$2:$AL$2,0))</f>
        <v>77501</v>
      </c>
      <c r="AI213" s="3">
        <f>INDEX('Inputs (2)'!$D$35:$AL$35,MATCH(AI$7,'Inputs (2)'!$D$2:$AL$2,0))</f>
        <v>98165</v>
      </c>
      <c r="AJ213" s="3">
        <f>AJ219</f>
        <v>98165</v>
      </c>
      <c r="AK213" s="3">
        <f>AK219</f>
        <v>98165</v>
      </c>
      <c r="AL213" s="3">
        <f>AK213</f>
        <v>98165</v>
      </c>
      <c r="AM213" s="3">
        <f>AM219</f>
        <v>98165</v>
      </c>
      <c r="AN213" s="3">
        <f>AN219</f>
        <v>98165</v>
      </c>
      <c r="AO213" s="3">
        <f>AO219</f>
        <v>98165</v>
      </c>
      <c r="AP213" s="3">
        <f>AP219</f>
        <v>98165</v>
      </c>
      <c r="AQ213" s="3">
        <f>AP213</f>
        <v>98165</v>
      </c>
      <c r="AR213" s="3">
        <f>AR219</f>
        <v>98165</v>
      </c>
      <c r="AS213" s="3">
        <f>AS219</f>
        <v>98165</v>
      </c>
      <c r="AT213" s="3">
        <f>AT219</f>
        <v>98165</v>
      </c>
      <c r="AU213" s="3">
        <f>AU219</f>
        <v>98165</v>
      </c>
      <c r="AV213" s="3">
        <f>AU213</f>
        <v>98165</v>
      </c>
      <c r="AW213" s="3">
        <f>AW219</f>
        <v>98165</v>
      </c>
      <c r="AX213" s="3">
        <f>AX219</f>
        <v>98165</v>
      </c>
      <c r="AY213" s="3">
        <f>AY219</f>
        <v>98165</v>
      </c>
      <c r="AZ213" s="3">
        <f>AZ219</f>
        <v>98165</v>
      </c>
      <c r="BA213" s="3">
        <f>AZ213</f>
        <v>98165</v>
      </c>
      <c r="BB213" s="3">
        <f>BB219</f>
        <v>98165</v>
      </c>
      <c r="BC213" s="3">
        <f>BC219</f>
        <v>98165</v>
      </c>
      <c r="BD213" s="3">
        <f>BD219</f>
        <v>98165</v>
      </c>
      <c r="BE213" s="3">
        <f>BE219</f>
        <v>98165</v>
      </c>
      <c r="BF213" s="3">
        <f>BE213</f>
        <v>98165</v>
      </c>
      <c r="BG213" s="3">
        <f>BG219</f>
        <v>98165</v>
      </c>
      <c r="BH213" s="3">
        <f>BH219</f>
        <v>98165</v>
      </c>
      <c r="BI213" s="3">
        <f>BI219</f>
        <v>98165</v>
      </c>
      <c r="BJ213" s="3">
        <f>BJ219</f>
        <v>98165</v>
      </c>
      <c r="BK213" s="3">
        <f>BJ213</f>
        <v>98165</v>
      </c>
      <c r="BL213" s="3">
        <f>BL219</f>
        <v>98165</v>
      </c>
      <c r="BM213" s="3">
        <f>BM219</f>
        <v>98165</v>
      </c>
      <c r="BN213" s="3">
        <f>BN219</f>
        <v>98165</v>
      </c>
      <c r="BO213" s="3">
        <f>BO219</f>
        <v>98165</v>
      </c>
      <c r="BP213" s="3">
        <f>BO213</f>
        <v>98165</v>
      </c>
      <c r="BQ213" s="3">
        <f>BQ219</f>
        <v>98165</v>
      </c>
      <c r="BR213" s="3">
        <f>BR219</f>
        <v>98165</v>
      </c>
      <c r="BS213" s="3">
        <f>BS219</f>
        <v>98165</v>
      </c>
      <c r="BT213" s="3">
        <f>BT219</f>
        <v>98165</v>
      </c>
      <c r="BU213" s="3">
        <f>BT213</f>
        <v>98165</v>
      </c>
      <c r="BV213" s="3">
        <f>BV219</f>
        <v>98165</v>
      </c>
      <c r="BW213" s="3">
        <f>BW219</f>
        <v>98165</v>
      </c>
      <c r="BX213" s="3">
        <f>BX219</f>
        <v>98165</v>
      </c>
      <c r="BY213" s="3">
        <f>BY219</f>
        <v>98165</v>
      </c>
      <c r="BZ213" s="3">
        <f>BY213</f>
        <v>98165</v>
      </c>
      <c r="CA213" s="3">
        <f>CA219</f>
        <v>98165</v>
      </c>
      <c r="CB213" s="3">
        <f>CB219</f>
        <v>98165</v>
      </c>
      <c r="CC213" s="3">
        <f>CC219</f>
        <v>98165</v>
      </c>
      <c r="CD213" s="3">
        <f>CD219</f>
        <v>98165</v>
      </c>
      <c r="CE213" s="3">
        <f>CD213</f>
        <v>98165</v>
      </c>
      <c r="CF213" s="3">
        <f>CF219</f>
        <v>98165</v>
      </c>
      <c r="CG213" s="3">
        <f>CG219</f>
        <v>98165</v>
      </c>
      <c r="CH213" s="3">
        <f>CH219</f>
        <v>98165</v>
      </c>
      <c r="CI213" s="3">
        <f>CI219</f>
        <v>98165</v>
      </c>
      <c r="CJ213" s="3">
        <f>CI213</f>
        <v>98165</v>
      </c>
      <c r="CK213" s="3">
        <f>CK219</f>
        <v>98165</v>
      </c>
      <c r="CL213" s="3">
        <f>CL219</f>
        <v>98165</v>
      </c>
      <c r="CM213" s="3">
        <f>CM219</f>
        <v>98165</v>
      </c>
      <c r="CN213" s="3">
        <f>CN219</f>
        <v>98165</v>
      </c>
      <c r="CO213" s="3">
        <f>CN213</f>
        <v>98165</v>
      </c>
      <c r="CP213" s="3">
        <f>CP219</f>
        <v>98165</v>
      </c>
      <c r="CQ213" s="3">
        <f>CQ219</f>
        <v>98165</v>
      </c>
      <c r="CR213" s="3">
        <f>CR219</f>
        <v>98165</v>
      </c>
      <c r="CS213" s="3">
        <f>CS219</f>
        <v>98165</v>
      </c>
      <c r="CT213" s="3">
        <f>CS213</f>
        <v>98165</v>
      </c>
      <c r="CU213" s="3">
        <f>CU219</f>
        <v>98165</v>
      </c>
      <c r="CV213" s="3">
        <f>CV219</f>
        <v>98165</v>
      </c>
      <c r="CW213" s="3">
        <f>CW219</f>
        <v>98165</v>
      </c>
      <c r="CX213" s="3">
        <f>CX219</f>
        <v>98165</v>
      </c>
      <c r="CY213" s="3">
        <f>CX213</f>
        <v>98165</v>
      </c>
    </row>
    <row r="214" hidden="1" outlineLevel="1">
      <c r="C214" s="34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  <c r="CU214" s="3" t="n"/>
      <c r="CV214" s="3" t="n"/>
      <c r="CW214" s="3" t="n"/>
      <c r="CX214" s="3" t="n"/>
      <c r="CY214" s="3" t="n"/>
    </row>
    <row r="215" hidden="1" outlineLevel="1">
      <c r="C215" s="34" t="inlineStr">
        <is>
          <t>Current portion of LTD</t>
        </is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>
        <f>AF208</f>
        <v>0</v>
      </c>
      <c r="AI215" s="35" t="n"/>
      <c r="AJ215" s="35" t="n"/>
      <c r="AK215" s="35" t="n"/>
      <c r="AL215" s="3" t="n"/>
      <c r="AM215" s="3">
        <f>AK208</f>
        <v>0</v>
      </c>
      <c r="AN215" s="35" t="n"/>
      <c r="AO215" s="35" t="n"/>
      <c r="AP215" s="35" t="n"/>
      <c r="AQ215" s="3" t="n"/>
      <c r="AR215" s="3">
        <f>AP208</f>
        <v>0</v>
      </c>
      <c r="AS215" s="35" t="n"/>
      <c r="AT215" s="35" t="n"/>
      <c r="AU215" s="35" t="n"/>
      <c r="AV215" s="3" t="n"/>
      <c r="AW215" s="3">
        <f>AU208</f>
        <v>0</v>
      </c>
      <c r="AX215" s="35" t="n"/>
      <c r="AY215" s="35" t="n"/>
      <c r="AZ215" s="35" t="n"/>
      <c r="BA215" s="3" t="n"/>
      <c r="BB215" s="3">
        <f>AZ208</f>
        <v>0</v>
      </c>
      <c r="BC215" s="35" t="n"/>
      <c r="BD215" s="35" t="n"/>
      <c r="BE215" s="35" t="n"/>
      <c r="BF215" s="3" t="n"/>
      <c r="BG215" s="3">
        <f>BE208</f>
        <v>0</v>
      </c>
      <c r="BH215" s="35" t="n"/>
      <c r="BI215" s="35" t="n"/>
      <c r="BJ215" s="35" t="n"/>
      <c r="BK215" s="3" t="n"/>
      <c r="BL215" s="3">
        <f>BJ208</f>
        <v>0</v>
      </c>
      <c r="BM215" s="35" t="n"/>
      <c r="BN215" s="35" t="n"/>
      <c r="BO215" s="35" t="n"/>
      <c r="BP215" s="3" t="n"/>
      <c r="BQ215" s="3">
        <f>BO208</f>
        <v>0</v>
      </c>
      <c r="BR215" s="35" t="n"/>
      <c r="BS215" s="35" t="n"/>
      <c r="BT215" s="35" t="n"/>
      <c r="BU215" s="3" t="n"/>
      <c r="BV215" s="3">
        <f>BT208</f>
        <v>0</v>
      </c>
      <c r="BW215" s="35" t="n"/>
      <c r="BX215" s="35" t="n"/>
      <c r="BY215" s="35" t="n"/>
      <c r="BZ215" s="3" t="n"/>
      <c r="CA215" s="3">
        <f>BY208</f>
        <v>0</v>
      </c>
      <c r="CB215" s="35" t="n"/>
      <c r="CC215" s="35" t="n"/>
      <c r="CD215" s="35" t="n"/>
      <c r="CE215" s="3" t="n"/>
      <c r="CF215" s="3">
        <f>CD208</f>
        <v>0</v>
      </c>
      <c r="CG215" s="35" t="n"/>
      <c r="CH215" s="35" t="n"/>
      <c r="CI215" s="35" t="n"/>
      <c r="CJ215" s="3" t="n"/>
      <c r="CK215" s="3">
        <f>CI208</f>
        <v>0</v>
      </c>
      <c r="CL215" s="35" t="n"/>
      <c r="CM215" s="35" t="n"/>
      <c r="CN215" s="35" t="n"/>
      <c r="CO215" s="3" t="n"/>
      <c r="CP215" s="3">
        <f>CN208</f>
        <v>0</v>
      </c>
      <c r="CQ215" s="35" t="n"/>
      <c r="CR215" s="35" t="n"/>
      <c r="CS215" s="35" t="n"/>
      <c r="CT215" s="3" t="n"/>
      <c r="CU215" s="3">
        <f>CS208</f>
        <v>0</v>
      </c>
      <c r="CV215" s="35" t="n"/>
      <c r="CW215" s="35" t="n"/>
      <c r="CX215" s="35" t="n"/>
      <c r="CY215" s="3" t="n"/>
    </row>
    <row r="216" hidden="1" outlineLevel="1">
      <c r="C216" s="34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3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  <c r="CU216" s="3" t="n"/>
      <c r="CV216" s="3" t="n"/>
      <c r="CW216" s="3" t="n"/>
      <c r="CX216" s="3" t="n"/>
      <c r="CY216" s="3" t="n"/>
    </row>
    <row r="217" hidden="1" outlineLevel="1">
      <c r="C217" s="34" t="inlineStr">
        <is>
          <t>Reclassification of LTD to CP of LTD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>
        <f>-AI215</f>
        <v>0</v>
      </c>
      <c r="AJ217" s="3">
        <f>-AJ215</f>
        <v>0</v>
      </c>
      <c r="AK217" s="3">
        <f>-AK215</f>
        <v>0</v>
      </c>
      <c r="AL217" s="3" t="n"/>
      <c r="AM217" s="3" t="n"/>
      <c r="AN217" s="3">
        <f>-AN215</f>
        <v>0</v>
      </c>
      <c r="AO217" s="3">
        <f>-AO215</f>
        <v>0</v>
      </c>
      <c r="AP217" s="3">
        <f>-AP215</f>
        <v>0</v>
      </c>
      <c r="AQ217" s="3" t="n"/>
      <c r="AR217" s="3" t="n"/>
      <c r="AS217" s="3">
        <f>-AS215</f>
        <v>0</v>
      </c>
      <c r="AT217" s="3">
        <f>-AT215</f>
        <v>0</v>
      </c>
      <c r="AU217" s="3">
        <f>-AU215</f>
        <v>0</v>
      </c>
      <c r="AV217" s="3" t="n"/>
      <c r="AW217" s="3" t="n"/>
      <c r="AX217" s="3">
        <f>-AX215</f>
        <v>0</v>
      </c>
      <c r="AY217" s="3">
        <f>-AY215</f>
        <v>0</v>
      </c>
      <c r="AZ217" s="3">
        <f>-AZ215</f>
        <v>0</v>
      </c>
      <c r="BA217" s="3" t="n"/>
      <c r="BB217" s="3" t="n"/>
      <c r="BC217" s="3">
        <f>-BC215</f>
        <v>0</v>
      </c>
      <c r="BD217" s="3">
        <f>-BD215</f>
        <v>0</v>
      </c>
      <c r="BE217" s="3">
        <f>-BE215</f>
        <v>0</v>
      </c>
      <c r="BF217" s="3" t="n"/>
      <c r="BG217" s="3" t="n"/>
      <c r="BH217" s="3">
        <f>-BH215</f>
        <v>0</v>
      </c>
      <c r="BI217" s="3">
        <f>-BI215</f>
        <v>0</v>
      </c>
      <c r="BJ217" s="3">
        <f>-BJ215</f>
        <v>0</v>
      </c>
      <c r="BK217" s="3" t="n"/>
      <c r="BL217" s="3" t="n"/>
      <c r="BM217" s="3">
        <f>-BM215</f>
        <v>0</v>
      </c>
      <c r="BN217" s="3">
        <f>-BN215</f>
        <v>0</v>
      </c>
      <c r="BO217" s="3">
        <f>-BO215</f>
        <v>0</v>
      </c>
      <c r="BP217" s="3" t="n"/>
      <c r="BQ217" s="3" t="n"/>
      <c r="BR217" s="3">
        <f>-BR215</f>
        <v>0</v>
      </c>
      <c r="BS217" s="3">
        <f>-BS215</f>
        <v>0</v>
      </c>
      <c r="BT217" s="3">
        <f>-BT215</f>
        <v>0</v>
      </c>
      <c r="BU217" s="3" t="n"/>
      <c r="BV217" s="3" t="n"/>
      <c r="BW217" s="3">
        <f>-BW215</f>
        <v>0</v>
      </c>
      <c r="BX217" s="3">
        <f>-BX215</f>
        <v>0</v>
      </c>
      <c r="BY217" s="3">
        <f>-BY215</f>
        <v>0</v>
      </c>
      <c r="BZ217" s="3" t="n"/>
      <c r="CA217" s="3" t="n"/>
      <c r="CB217" s="3">
        <f>-CB215</f>
        <v>0</v>
      </c>
      <c r="CC217" s="3">
        <f>-CC215</f>
        <v>0</v>
      </c>
      <c r="CD217" s="3">
        <f>-CD215</f>
        <v>0</v>
      </c>
      <c r="CE217" s="3" t="n"/>
      <c r="CF217" s="3" t="n"/>
      <c r="CG217" s="3">
        <f>-CG215</f>
        <v>0</v>
      </c>
      <c r="CH217" s="3">
        <f>-CH215</f>
        <v>0</v>
      </c>
      <c r="CI217" s="3">
        <f>-CI215</f>
        <v>0</v>
      </c>
      <c r="CJ217" s="3" t="n"/>
      <c r="CK217" s="3" t="n"/>
      <c r="CL217" s="3">
        <f>-CL215</f>
        <v>0</v>
      </c>
      <c r="CM217" s="3">
        <f>-CM215</f>
        <v>0</v>
      </c>
      <c r="CN217" s="3">
        <f>-CN215</f>
        <v>0</v>
      </c>
      <c r="CO217" s="3" t="n"/>
      <c r="CP217" s="3" t="n"/>
      <c r="CQ217" s="3">
        <f>-CQ215</f>
        <v>0</v>
      </c>
      <c r="CR217" s="3">
        <f>-CR215</f>
        <v>0</v>
      </c>
      <c r="CS217" s="3">
        <f>-CS215</f>
        <v>0</v>
      </c>
      <c r="CT217" s="3" t="n"/>
      <c r="CU217" s="3" t="n"/>
      <c r="CV217" s="3">
        <f>-CV215</f>
        <v>0</v>
      </c>
      <c r="CW217" s="3">
        <f>-CW215</f>
        <v>0</v>
      </c>
      <c r="CX217" s="3">
        <f>-CX215</f>
        <v>0</v>
      </c>
      <c r="CY217" s="3" t="n"/>
    </row>
    <row r="218" hidden="1" outlineLevel="1">
      <c r="C218" s="34" t="inlineStr">
        <is>
          <t>Discretionary (paydown)/borrowing of long term debt</t>
        </is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5" t="n"/>
      <c r="AI218" s="35" t="n"/>
      <c r="AJ218" s="35" t="n"/>
      <c r="AK218" s="35" t="n"/>
      <c r="AL218" s="3" t="n"/>
      <c r="AM218" s="35" t="n"/>
      <c r="AN218" s="35" t="n"/>
      <c r="AO218" s="35" t="n"/>
      <c r="AP218" s="35" t="n"/>
      <c r="AQ218" s="3" t="n"/>
      <c r="AR218" s="35" t="n"/>
      <c r="AS218" s="35" t="n"/>
      <c r="AT218" s="35" t="n"/>
      <c r="AU218" s="35" t="n"/>
      <c r="AV218" s="3" t="n"/>
      <c r="AW218" s="35" t="n"/>
      <c r="AX218" s="35" t="n"/>
      <c r="AY218" s="35" t="n"/>
      <c r="AZ218" s="35" t="n"/>
      <c r="BA218" s="3" t="n"/>
      <c r="BB218" s="35" t="n"/>
      <c r="BC218" s="35" t="n"/>
      <c r="BD218" s="35" t="n"/>
      <c r="BE218" s="35" t="n"/>
      <c r="BF218" s="3" t="n"/>
      <c r="BG218" s="35" t="n"/>
      <c r="BH218" s="35" t="n"/>
      <c r="BI218" s="35" t="n"/>
      <c r="BJ218" s="35" t="n"/>
      <c r="BK218" s="3" t="n"/>
      <c r="BL218" s="35" t="n"/>
      <c r="BM218" s="35" t="n"/>
      <c r="BN218" s="35" t="n"/>
      <c r="BO218" s="35" t="n"/>
      <c r="BP218" s="3" t="n"/>
      <c r="BQ218" s="35" t="n"/>
      <c r="BR218" s="35" t="n"/>
      <c r="BS218" s="35" t="n"/>
      <c r="BT218" s="35" t="n"/>
      <c r="BU218" s="3" t="n"/>
      <c r="BV218" s="35" t="n"/>
      <c r="BW218" s="35" t="n"/>
      <c r="BX218" s="35" t="n"/>
      <c r="BY218" s="35" t="n"/>
      <c r="BZ218" s="3" t="n"/>
      <c r="CA218" s="35" t="n"/>
      <c r="CB218" s="35" t="n"/>
      <c r="CC218" s="35" t="n"/>
      <c r="CD218" s="35" t="n"/>
      <c r="CE218" s="3" t="n"/>
      <c r="CF218" s="35" t="n"/>
      <c r="CG218" s="35" t="n"/>
      <c r="CH218" s="35" t="n"/>
      <c r="CI218" s="35" t="n"/>
      <c r="CJ218" s="3" t="n"/>
      <c r="CK218" s="35" t="n"/>
      <c r="CL218" s="35" t="n"/>
      <c r="CM218" s="35" t="n"/>
      <c r="CN218" s="35" t="n"/>
      <c r="CO218" s="3" t="n"/>
      <c r="CP218" s="35" t="n"/>
      <c r="CQ218" s="35" t="n"/>
      <c r="CR218" s="35" t="n"/>
      <c r="CS218" s="35" t="n"/>
      <c r="CT218" s="3" t="n"/>
      <c r="CU218" s="35" t="n"/>
      <c r="CV218" s="35" t="n"/>
      <c r="CW218" s="35" t="n"/>
      <c r="CX218" s="35" t="n"/>
      <c r="CY218" s="3" t="n"/>
    </row>
    <row r="219" hidden="1" outlineLevel="1">
      <c r="C219" s="34" t="inlineStr">
        <is>
          <t>Long term debt</t>
        </is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>
        <f>AF213+SUM(AH217:AH218)</f>
        <v>46547</v>
      </c>
      <c r="AI219" s="3">
        <f>AH219+SUM(AI217:AI218)</f>
        <v>46547</v>
      </c>
      <c r="AJ219" s="3">
        <f>AI213+SUM(AJ217:AJ218)</f>
        <v>98165</v>
      </c>
      <c r="AK219" s="3">
        <f>AJ219+SUM(AK217:AK218)</f>
        <v>98165</v>
      </c>
      <c r="AL219" s="3" t="n"/>
      <c r="AM219" s="3">
        <f>AK219+SUM(AM217:AM218)</f>
        <v>98165</v>
      </c>
      <c r="AN219" s="3">
        <f>AM219+SUM(AN217:AN218)</f>
        <v>98165</v>
      </c>
      <c r="AO219" s="3">
        <f>AN219+SUM(AO217:AO218)</f>
        <v>98165</v>
      </c>
      <c r="AP219" s="3">
        <f>AO219+SUM(AP217:AP218)</f>
        <v>98165</v>
      </c>
      <c r="AQ219" s="3" t="n"/>
      <c r="AR219" s="3">
        <f>AP219+SUM(AR217:AR218)</f>
        <v>98165</v>
      </c>
      <c r="AS219" s="3">
        <f>AR219+SUM(AS217:AS218)</f>
        <v>98165</v>
      </c>
      <c r="AT219" s="3">
        <f>AS219+SUM(AT217:AT218)</f>
        <v>98165</v>
      </c>
      <c r="AU219" s="3">
        <f>AT219+SUM(AU217:AU218)</f>
        <v>98165</v>
      </c>
      <c r="AV219" s="3" t="n"/>
      <c r="AW219" s="3">
        <f>AU219+SUM(AW217:AW218)</f>
        <v>98165</v>
      </c>
      <c r="AX219" s="3">
        <f>AW219+SUM(AX217:AX218)</f>
        <v>98165</v>
      </c>
      <c r="AY219" s="3">
        <f>AX219+SUM(AY217:AY218)</f>
        <v>98165</v>
      </c>
      <c r="AZ219" s="3">
        <f>AY219+SUM(AZ217:AZ218)</f>
        <v>98165</v>
      </c>
      <c r="BA219" s="3" t="n"/>
      <c r="BB219" s="3">
        <f>AZ219+SUM(BB217:BB218)</f>
        <v>98165</v>
      </c>
      <c r="BC219" s="3">
        <f>BB219+SUM(BC217:BC218)</f>
        <v>98165</v>
      </c>
      <c r="BD219" s="3">
        <f>BC219+SUM(BD217:BD218)</f>
        <v>98165</v>
      </c>
      <c r="BE219" s="3">
        <f>BD219+SUM(BE217:BE218)</f>
        <v>98165</v>
      </c>
      <c r="BF219" s="3" t="n"/>
      <c r="BG219" s="3">
        <f>BE219+SUM(BG217:BG218)</f>
        <v>98165</v>
      </c>
      <c r="BH219" s="3">
        <f>BG219+SUM(BH217:BH218)</f>
        <v>98165</v>
      </c>
      <c r="BI219" s="3">
        <f>BH219+SUM(BI217:BI218)</f>
        <v>98165</v>
      </c>
      <c r="BJ219" s="3">
        <f>BI219+SUM(BJ217:BJ218)</f>
        <v>98165</v>
      </c>
      <c r="BK219" s="3" t="n"/>
      <c r="BL219" s="3">
        <f>BJ219+SUM(BL217:BL218)</f>
        <v>98165</v>
      </c>
      <c r="BM219" s="3">
        <f>BL219+SUM(BM217:BM218)</f>
        <v>98165</v>
      </c>
      <c r="BN219" s="3">
        <f>BM219+SUM(BN217:BN218)</f>
        <v>98165</v>
      </c>
      <c r="BO219" s="3">
        <f>BN219+SUM(BO217:BO218)</f>
        <v>98165</v>
      </c>
      <c r="BP219" s="3" t="n"/>
      <c r="BQ219" s="3">
        <f>BO219+SUM(BQ217:BQ218)</f>
        <v>98165</v>
      </c>
      <c r="BR219" s="3">
        <f>BQ219+SUM(BR217:BR218)</f>
        <v>98165</v>
      </c>
      <c r="BS219" s="3">
        <f>BR219+SUM(BS217:BS218)</f>
        <v>98165</v>
      </c>
      <c r="BT219" s="3">
        <f>BS219+SUM(BT217:BT218)</f>
        <v>98165</v>
      </c>
      <c r="BU219" s="3" t="n"/>
      <c r="BV219" s="3">
        <f>BT219+SUM(BV217:BV218)</f>
        <v>98165</v>
      </c>
      <c r="BW219" s="3">
        <f>BV219+SUM(BW217:BW218)</f>
        <v>98165</v>
      </c>
      <c r="BX219" s="3">
        <f>BW219+SUM(BX217:BX218)</f>
        <v>98165</v>
      </c>
      <c r="BY219" s="3">
        <f>BX219+SUM(BY217:BY218)</f>
        <v>98165</v>
      </c>
      <c r="BZ219" s="3" t="n"/>
      <c r="CA219" s="3">
        <f>BY219+SUM(CA217:CA218)</f>
        <v>98165</v>
      </c>
      <c r="CB219" s="3">
        <f>CA219+SUM(CB217:CB218)</f>
        <v>98165</v>
      </c>
      <c r="CC219" s="3">
        <f>CB219+SUM(CC217:CC218)</f>
        <v>98165</v>
      </c>
      <c r="CD219" s="3">
        <f>CC219+SUM(CD217:CD218)</f>
        <v>98165</v>
      </c>
      <c r="CE219" s="3" t="n"/>
      <c r="CF219" s="3">
        <f>CD219+SUM(CF217:CF218)</f>
        <v>98165</v>
      </c>
      <c r="CG219" s="3">
        <f>CF219+SUM(CG217:CG218)</f>
        <v>98165</v>
      </c>
      <c r="CH219" s="3">
        <f>CG219+SUM(CH217:CH218)</f>
        <v>98165</v>
      </c>
      <c r="CI219" s="3">
        <f>CH219+SUM(CI217:CI218)</f>
        <v>98165</v>
      </c>
      <c r="CJ219" s="3" t="n"/>
      <c r="CK219" s="3">
        <f>CI219+SUM(CK217:CK218)</f>
        <v>98165</v>
      </c>
      <c r="CL219" s="3">
        <f>CK219+SUM(CL217:CL218)</f>
        <v>98165</v>
      </c>
      <c r="CM219" s="3">
        <f>CL219+SUM(CM217:CM218)</f>
        <v>98165</v>
      </c>
      <c r="CN219" s="3">
        <f>CM219+SUM(CN217:CN218)</f>
        <v>98165</v>
      </c>
      <c r="CO219" s="3" t="n"/>
      <c r="CP219" s="3">
        <f>CN219+SUM(CP217:CP218)</f>
        <v>98165</v>
      </c>
      <c r="CQ219" s="3">
        <f>CP219+SUM(CQ217:CQ218)</f>
        <v>98165</v>
      </c>
      <c r="CR219" s="3">
        <f>CQ219+SUM(CR217:CR218)</f>
        <v>98165</v>
      </c>
      <c r="CS219" s="3">
        <f>CR219+SUM(CS217:CS218)</f>
        <v>98165</v>
      </c>
      <c r="CT219" s="3" t="n"/>
      <c r="CU219" s="3">
        <f>CS219+SUM(CU217:CU218)</f>
        <v>98165</v>
      </c>
      <c r="CV219" s="3">
        <f>CU219+SUM(CV217:CV218)</f>
        <v>98165</v>
      </c>
      <c r="CW219" s="3">
        <f>CV219+SUM(CW217:CW218)</f>
        <v>98165</v>
      </c>
      <c r="CX219" s="3">
        <f>CW219+SUM(CX217:CX218)</f>
        <v>98165</v>
      </c>
      <c r="CY219" s="3" t="n"/>
      <c r="CZ219">
        <f>CX219+SUM(CZ217:CZ218)</f>
        <v>98165</v>
      </c>
      <c r="DA219">
        <f>CZ219+SUM(DA217:DA218)</f>
        <v>98165</v>
      </c>
      <c r="DB219">
        <f>DA219+SUM(DB217:DB218)</f>
        <v>98165</v>
      </c>
      <c r="DC219">
        <f>DB219+SUM(DC217:DC218)</f>
        <v>98165</v>
      </c>
    </row>
    <row r="220" hidden="1" outlineLevel="1">
      <c r="C220" s="34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  <c r="CU220" s="3" t="n"/>
      <c r="CV220" s="3" t="n"/>
      <c r="CW220" s="3" t="n"/>
      <c r="CX220" s="3" t="n"/>
      <c r="CY220" s="3" t="n"/>
    </row>
    <row r="221" hidden="1" outlineLevel="1">
      <c r="C221" s="34" t="inlineStr">
        <is>
          <t>Discretionary (paydown)/borrowing of convertible debt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5" t="n"/>
      <c r="AI221" s="35" t="n"/>
      <c r="AJ221" s="35" t="n"/>
      <c r="AK221" s="35" t="n"/>
      <c r="AL221" s="3" t="n"/>
      <c r="AM221" s="35" t="n"/>
      <c r="AN221" s="35" t="n"/>
      <c r="AO221" s="35" t="n"/>
      <c r="AP221" s="35" t="n"/>
      <c r="AQ221" s="3" t="n"/>
      <c r="AR221" s="35" t="n"/>
      <c r="AS221" s="35" t="n"/>
      <c r="AT221" s="35" t="n"/>
      <c r="AU221" s="35" t="n"/>
      <c r="AV221" s="3" t="n"/>
      <c r="AW221" s="35" t="n"/>
      <c r="AX221" s="35" t="n"/>
      <c r="AY221" s="35" t="n"/>
      <c r="AZ221" s="35" t="n"/>
      <c r="BA221" s="3" t="n"/>
      <c r="BB221" s="35" t="n"/>
      <c r="BC221" s="35" t="n"/>
      <c r="BD221" s="35" t="n"/>
      <c r="BE221" s="35" t="n"/>
      <c r="BF221" s="3" t="n"/>
      <c r="BG221" s="35" t="n"/>
      <c r="BH221" s="35" t="n"/>
      <c r="BI221" s="35" t="n"/>
      <c r="BJ221" s="35" t="n"/>
      <c r="BK221" s="3" t="n"/>
      <c r="BL221" s="35" t="n"/>
      <c r="BM221" s="35" t="n"/>
      <c r="BN221" s="35" t="n"/>
      <c r="BO221" s="35" t="n"/>
      <c r="BP221" s="3" t="n"/>
      <c r="BQ221" s="35" t="n"/>
      <c r="BR221" s="35" t="n"/>
      <c r="BS221" s="35" t="n"/>
      <c r="BT221" s="35" t="n"/>
      <c r="BU221" s="3" t="n"/>
      <c r="BV221" s="35" t="n"/>
      <c r="BW221" s="35" t="n"/>
      <c r="BX221" s="35" t="n"/>
      <c r="BY221" s="35" t="n"/>
      <c r="BZ221" s="3" t="n"/>
      <c r="CA221" s="35" t="n"/>
      <c r="CB221" s="35" t="n"/>
      <c r="CC221" s="35" t="n"/>
      <c r="CD221" s="35" t="n"/>
      <c r="CE221" s="3" t="n"/>
      <c r="CF221" s="35" t="n"/>
      <c r="CG221" s="35" t="n"/>
      <c r="CH221" s="35" t="n"/>
      <c r="CI221" s="35" t="n"/>
      <c r="CJ221" s="3" t="n"/>
      <c r="CK221" s="35" t="n"/>
      <c r="CL221" s="35" t="n"/>
      <c r="CM221" s="35" t="n"/>
      <c r="CN221" s="35" t="n"/>
      <c r="CO221" s="3" t="n"/>
      <c r="CP221" s="35" t="n"/>
      <c r="CQ221" s="35" t="n"/>
      <c r="CR221" s="35" t="n"/>
      <c r="CS221" s="35" t="n"/>
      <c r="CT221" s="3" t="n"/>
      <c r="CU221" s="35" t="n"/>
      <c r="CV221" s="35" t="n"/>
      <c r="CW221" s="35" t="n"/>
      <c r="CX221" s="35" t="n"/>
      <c r="CY221" s="3" t="n"/>
    </row>
    <row r="222" hidden="1" outlineLevel="1">
      <c r="C222" s="34" t="inlineStr">
        <is>
          <t>Convertible debt</t>
        </is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>
        <f>AH234</f>
        <v>0</v>
      </c>
      <c r="AI222" s="3">
        <f>AH222+SUM(AI221)</f>
        <v>0</v>
      </c>
      <c r="AJ222" s="3">
        <f>AI222+SUM(AJ221)</f>
        <v>0</v>
      </c>
      <c r="AK222" s="3">
        <f>AJ222+SUM(AK221)</f>
        <v>0</v>
      </c>
      <c r="AL222" s="3" t="n"/>
      <c r="AM222" s="3">
        <f>AM234</f>
        <v>0</v>
      </c>
      <c r="AN222" s="3">
        <f>AM222+SUM(AN221)</f>
        <v>0</v>
      </c>
      <c r="AO222" s="3">
        <f>AN222+SUM(AO221)</f>
        <v>0</v>
      </c>
      <c r="AP222" s="3">
        <f>AO222+SUM(AP221)</f>
        <v>0</v>
      </c>
      <c r="AQ222" s="3" t="n"/>
      <c r="AR222" s="3">
        <f>AR234</f>
        <v>0</v>
      </c>
      <c r="AS222" s="3">
        <f>AR222+SUM(AS221)</f>
        <v>0</v>
      </c>
      <c r="AT222" s="3">
        <f>AS222+SUM(AT221)</f>
        <v>0</v>
      </c>
      <c r="AU222" s="3">
        <f>AT222+SUM(AU221)</f>
        <v>0</v>
      </c>
      <c r="AV222" s="3" t="n"/>
      <c r="AW222" s="3">
        <f>AW234</f>
        <v>0</v>
      </c>
      <c r="AX222" s="3">
        <f>AW222+SUM(AX221)</f>
        <v>0</v>
      </c>
      <c r="AY222" s="3">
        <f>AX222+SUM(AY221)</f>
        <v>0</v>
      </c>
      <c r="AZ222" s="3">
        <f>AY222+SUM(AZ221)</f>
        <v>0</v>
      </c>
      <c r="BA222" s="3" t="n"/>
      <c r="BB222" s="3">
        <f>BB234</f>
        <v>0</v>
      </c>
      <c r="BC222" s="3">
        <f>BB222+SUM(BC221)</f>
        <v>0</v>
      </c>
      <c r="BD222" s="3">
        <f>BC222+SUM(BD221)</f>
        <v>0</v>
      </c>
      <c r="BE222" s="3">
        <f>BD222+SUM(BE221)</f>
        <v>0</v>
      </c>
      <c r="BF222" s="3" t="n"/>
      <c r="BG222" s="3">
        <f>BG234</f>
        <v>0</v>
      </c>
      <c r="BH222" s="3">
        <f>BG222+SUM(BH221)</f>
        <v>0</v>
      </c>
      <c r="BI222" s="3">
        <f>BH222+SUM(BI221)</f>
        <v>0</v>
      </c>
      <c r="BJ222" s="3">
        <f>BI222+SUM(BJ221)</f>
        <v>0</v>
      </c>
      <c r="BK222" s="3" t="n"/>
      <c r="BL222" s="3">
        <f>BL234</f>
        <v>0</v>
      </c>
      <c r="BM222" s="3">
        <f>BL222+SUM(BM221)</f>
        <v>0</v>
      </c>
      <c r="BN222" s="3">
        <f>BM222+SUM(BN221)</f>
        <v>0</v>
      </c>
      <c r="BO222" s="3">
        <f>BN222+SUM(BO221)</f>
        <v>0</v>
      </c>
      <c r="BP222" s="3" t="n"/>
      <c r="BQ222" s="3">
        <f>BQ234</f>
        <v>0</v>
      </c>
      <c r="BR222" s="3">
        <f>BQ222+SUM(BR221)</f>
        <v>0</v>
      </c>
      <c r="BS222" s="3">
        <f>BR222+SUM(BS221)</f>
        <v>0</v>
      </c>
      <c r="BT222" s="3">
        <f>BS222+SUM(BT221)</f>
        <v>0</v>
      </c>
      <c r="BU222" s="3" t="n"/>
      <c r="BV222" s="3">
        <f>BV234</f>
        <v>0</v>
      </c>
      <c r="BW222" s="3">
        <f>BV222+SUM(BW221)</f>
        <v>0</v>
      </c>
      <c r="BX222" s="3">
        <f>BW222+SUM(BX221)</f>
        <v>0</v>
      </c>
      <c r="BY222" s="3">
        <f>BX222+SUM(BY221)</f>
        <v>0</v>
      </c>
      <c r="BZ222" s="3" t="n"/>
      <c r="CA222" s="3">
        <f>CA234</f>
        <v>0</v>
      </c>
      <c r="CB222" s="3">
        <f>CA222+SUM(CB221)</f>
        <v>0</v>
      </c>
      <c r="CC222" s="3">
        <f>CB222+SUM(CC221)</f>
        <v>0</v>
      </c>
      <c r="CD222" s="3">
        <f>CC222+SUM(CD221)</f>
        <v>0</v>
      </c>
      <c r="CE222" s="3" t="n"/>
      <c r="CF222" s="3">
        <f>CF234</f>
        <v>0</v>
      </c>
      <c r="CG222" s="3">
        <f>CF222+SUM(CG221)</f>
        <v>0</v>
      </c>
      <c r="CH222" s="3">
        <f>CG222+SUM(CH221)</f>
        <v>0</v>
      </c>
      <c r="CI222" s="3">
        <f>CH222+SUM(CI221)</f>
        <v>0</v>
      </c>
      <c r="CJ222" s="3" t="n"/>
      <c r="CK222" s="3">
        <f>CK234</f>
        <v>0</v>
      </c>
      <c r="CL222" s="3">
        <f>CK222+SUM(CL221)</f>
        <v>0</v>
      </c>
      <c r="CM222" s="3">
        <f>CL222+SUM(CM221)</f>
        <v>0</v>
      </c>
      <c r="CN222" s="3">
        <f>CM222+SUM(CN221)</f>
        <v>0</v>
      </c>
      <c r="CO222" s="3" t="n"/>
      <c r="CP222" s="3">
        <f>CP234</f>
        <v>0</v>
      </c>
      <c r="CQ222" s="3">
        <f>CP222+SUM(CQ221)</f>
        <v>0</v>
      </c>
      <c r="CR222" s="3">
        <f>CQ222+SUM(CR221)</f>
        <v>0</v>
      </c>
      <c r="CS222" s="3">
        <f>CR222+SUM(CS221)</f>
        <v>0</v>
      </c>
      <c r="CT222" s="3" t="n"/>
      <c r="CU222" s="3">
        <f>CU234</f>
        <v>0</v>
      </c>
      <c r="CV222" s="3">
        <f>CU222+SUM(CV221)</f>
        <v>0</v>
      </c>
      <c r="CW222" s="3">
        <f>CV222+SUM(CW221)</f>
        <v>0</v>
      </c>
      <c r="CX222" s="3">
        <f>CW222+SUM(CX221)</f>
        <v>0</v>
      </c>
      <c r="CY222" s="3" t="n"/>
    </row>
    <row r="223" hidden="1" outlineLevel="1">
      <c r="C223" s="34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I223" s="3" t="n"/>
      <c r="AJ223" s="3" t="n"/>
      <c r="AK223" s="3" t="n"/>
      <c r="AL223" s="3" t="n"/>
      <c r="AN223" s="3" t="n"/>
      <c r="AO223" s="3" t="n"/>
      <c r="AP223" s="3" t="n"/>
      <c r="AQ223" s="3" t="n"/>
      <c r="AS223" s="3" t="n"/>
      <c r="AT223" s="3" t="n"/>
      <c r="AU223" s="3" t="n"/>
      <c r="AV223" s="3" t="n"/>
      <c r="AX223" s="3" t="n"/>
      <c r="AY223" s="3" t="n"/>
      <c r="AZ223" s="3" t="n"/>
      <c r="BA223" s="3" t="n"/>
      <c r="BC223" s="3" t="n"/>
      <c r="BD223" s="3" t="n"/>
      <c r="BE223" s="3" t="n"/>
      <c r="BF223" s="3" t="n"/>
      <c r="BH223" s="3" t="n"/>
      <c r="BI223" s="3" t="n"/>
      <c r="BJ223" s="3" t="n"/>
      <c r="BK223" s="3" t="n"/>
      <c r="BM223" s="3" t="n"/>
      <c r="BN223" s="3" t="n"/>
      <c r="BO223" s="3" t="n"/>
      <c r="BP223" s="3" t="n"/>
      <c r="BR223" s="3" t="n"/>
      <c r="BS223" s="3" t="n"/>
      <c r="BT223" s="3" t="n"/>
      <c r="BU223" s="3" t="n"/>
      <c r="BW223" s="3" t="n"/>
      <c r="BX223" s="3" t="n"/>
      <c r="BY223" s="3" t="n"/>
      <c r="BZ223" s="3" t="n"/>
      <c r="CB223" s="3" t="n"/>
      <c r="CC223" s="3" t="n"/>
      <c r="CD223" s="3" t="n"/>
      <c r="CE223" s="3" t="n"/>
      <c r="CG223" s="3" t="n"/>
      <c r="CH223" s="3" t="n"/>
      <c r="CI223" s="3" t="n"/>
      <c r="CJ223" s="3" t="n"/>
      <c r="CL223" s="3" t="n"/>
      <c r="CM223" s="3" t="n"/>
      <c r="CN223" s="3" t="n"/>
      <c r="CO223" s="3" t="n"/>
      <c r="CQ223" s="3" t="n"/>
      <c r="CR223" s="3" t="n"/>
      <c r="CS223" s="3" t="n"/>
      <c r="CT223" s="3" t="n"/>
      <c r="CV223" s="3" t="n"/>
      <c r="CW223" s="3" t="n"/>
      <c r="CX223" s="3" t="n"/>
      <c r="CY223" s="3" t="n"/>
    </row>
    <row r="224" hidden="1" outlineLevel="1">
      <c r="C224" s="34" t="inlineStr">
        <is>
          <t>Calculation of short term debt</t>
        </is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  <c r="CU224" s="3" t="n"/>
      <c r="CV224" s="3" t="n"/>
      <c r="CW224" s="3" t="n"/>
      <c r="CX224" s="3" t="n"/>
      <c r="CY224" s="3" t="n"/>
    </row>
    <row r="225" hidden="1" outlineLevel="1">
      <c r="C225" s="34" t="inlineStr">
        <is>
          <t>Cash @ beginning of the period (end of last period)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6">
        <f>AG140</f>
        <v>126843</v>
      </c>
      <c r="AI225" s="3" t="n"/>
      <c r="AJ225" s="3" t="n"/>
      <c r="AK225" s="3" t="n"/>
      <c r="AL225" s="3" t="n"/>
      <c r="AM225" s="36">
        <f>AL140</f>
        <v>349298</v>
      </c>
      <c r="AN225" s="3" t="n"/>
      <c r="AO225" s="3" t="n"/>
      <c r="AP225" s="3" t="n"/>
      <c r="AQ225" s="3" t="n"/>
      <c r="AR225" s="36" t="e">
        <f>AQ140</f>
        <v>#DIV/0!</v>
      </c>
      <c r="AS225" s="3" t="n"/>
      <c r="AT225" s="3" t="n"/>
      <c r="AU225" s="3" t="n"/>
      <c r="AV225" s="3" t="n"/>
      <c r="AW225" s="36" t="e">
        <f>AV140</f>
        <v>#DIV/0!</v>
      </c>
      <c r="AX225" s="3" t="n"/>
      <c r="AY225" s="3" t="n"/>
      <c r="AZ225" s="3" t="n"/>
      <c r="BA225" s="3" t="n"/>
      <c r="BB225" s="36" t="e">
        <f>BA140</f>
        <v>#DIV/0!</v>
      </c>
      <c r="BC225" s="3" t="n"/>
      <c r="BD225" s="3" t="n"/>
      <c r="BE225" s="3" t="n"/>
      <c r="BF225" s="3" t="n"/>
      <c r="BG225" s="36" t="e">
        <f>BF140</f>
        <v>#DIV/0!</v>
      </c>
      <c r="BH225" s="3" t="n"/>
      <c r="BI225" s="3" t="n"/>
      <c r="BJ225" s="3" t="n"/>
      <c r="BK225" s="3" t="n"/>
      <c r="BL225" s="36" t="e">
        <f>BK140</f>
        <v>#DIV/0!</v>
      </c>
      <c r="BM225" s="3" t="n"/>
      <c r="BN225" s="3" t="n"/>
      <c r="BO225" s="3" t="n"/>
      <c r="BP225" s="3" t="n"/>
      <c r="BQ225" s="36" t="e">
        <f>BP140</f>
        <v>#DIV/0!</v>
      </c>
      <c r="BR225" s="3" t="n"/>
      <c r="BS225" s="3" t="n"/>
      <c r="BT225" s="3" t="n"/>
      <c r="BU225" s="3" t="n"/>
      <c r="BV225" s="36" t="e">
        <f>BU140</f>
        <v>#DIV/0!</v>
      </c>
      <c r="BW225" s="3" t="n"/>
      <c r="BX225" s="3" t="n"/>
      <c r="BY225" s="3" t="n"/>
      <c r="BZ225" s="3" t="n"/>
      <c r="CA225" s="36" t="e">
        <f>BZ140</f>
        <v>#DIV/0!</v>
      </c>
      <c r="CB225" s="3" t="n"/>
      <c r="CC225" s="3" t="n"/>
      <c r="CD225" s="3" t="n"/>
      <c r="CE225" s="3" t="n"/>
      <c r="CF225" s="36" t="e">
        <f>CE140</f>
        <v>#DIV/0!</v>
      </c>
      <c r="CG225" s="3" t="n"/>
      <c r="CH225" s="3" t="n"/>
      <c r="CI225" s="3" t="n"/>
      <c r="CJ225" s="3" t="n"/>
      <c r="CK225" s="36" t="e">
        <f>CJ140</f>
        <v>#DIV/0!</v>
      </c>
      <c r="CL225" s="3" t="n"/>
      <c r="CM225" s="3" t="n"/>
      <c r="CN225" s="3" t="n"/>
      <c r="CO225" s="3" t="n"/>
      <c r="CP225" s="36" t="e">
        <f>CO140</f>
        <v>#DIV/0!</v>
      </c>
      <c r="CQ225" s="3" t="n"/>
      <c r="CR225" s="3" t="n"/>
      <c r="CS225" s="3" t="n"/>
      <c r="CT225" s="3" t="n"/>
      <c r="CU225" s="36" t="e">
        <f>CT140</f>
        <v>#DIV/0!</v>
      </c>
      <c r="CV225" s="3" t="n"/>
      <c r="CW225" s="3" t="n"/>
      <c r="CX225" s="3" t="n"/>
      <c r="CY225" s="3" t="n"/>
    </row>
    <row r="226" hidden="1" outlineLevel="1">
      <c r="C226" s="34" t="inlineStr">
        <is>
          <t>Plus: Free cash flows prior to debt during period</t>
        </is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inlineStr">
        <is>
          <t>% of sales</t>
        </is>
      </c>
      <c r="AH226" s="37">
        <f>SUM(AH289,AH296)+SUM(AH298:AH304)</f>
        <v>-31196</v>
      </c>
      <c r="AI226" s="37">
        <f>SUM(AI289,AI296)+SUM(AI298:AI304)</f>
        <v>93362</v>
      </c>
      <c r="AJ226" s="37">
        <f>SUM(AJ289,AJ296)+SUM(AJ298:AJ304)</f>
        <v>7563</v>
      </c>
      <c r="AK226" s="37">
        <f>SUM(AK289,AK296)+SUM(AK298:AK304)</f>
        <v>99261</v>
      </c>
      <c r="AL226" s="3" t="n"/>
      <c r="AM226" s="37" t="e">
        <f>SUM(AM289,AM296)+SUM(AM298:AM304)</f>
        <v>#DIV/0!</v>
      </c>
      <c r="AN226" s="37" t="e">
        <f>SUM(AN289,AN296)+SUM(AN298:AN304)</f>
        <v>#DIV/0!</v>
      </c>
      <c r="AO226" s="37" t="e">
        <f>SUM(AO289,AO296)+SUM(AO298:AO304)</f>
        <v>#DIV/0!</v>
      </c>
      <c r="AP226" s="37" t="e">
        <f>SUM(AP289,AP296)+SUM(AP298:AP304)</f>
        <v>#DIV/0!</v>
      </c>
      <c r="AQ226" s="3" t="n"/>
      <c r="AR226" s="37" t="e">
        <f>SUM(AR289,AR296)+SUM(AR298:AR304)</f>
        <v>#DIV/0!</v>
      </c>
      <c r="AS226" s="37" t="e">
        <f>SUM(AS289,AS296)+SUM(AS298:AS304)</f>
        <v>#DIV/0!</v>
      </c>
      <c r="AT226" s="37" t="e">
        <f>SUM(AT289,AT296)+SUM(AT298:AT304)</f>
        <v>#DIV/0!</v>
      </c>
      <c r="AU226" s="37" t="e">
        <f>SUM(AU289,AU296)+SUM(AU298:AU304)</f>
        <v>#DIV/0!</v>
      </c>
      <c r="AV226" s="3" t="n"/>
      <c r="AW226" s="37" t="e">
        <f>SUM(AW289,AW296)+SUM(AW298:AW304)</f>
        <v>#DIV/0!</v>
      </c>
      <c r="AX226" s="37" t="e">
        <f>SUM(AX289,AX296)+SUM(AX298:AX304)</f>
        <v>#DIV/0!</v>
      </c>
      <c r="AY226" s="37" t="e">
        <f>SUM(AY289,AY296)+SUM(AY298:AY304)</f>
        <v>#DIV/0!</v>
      </c>
      <c r="AZ226" s="37" t="e">
        <f>SUM(AZ289,AZ296)+SUM(AZ298:AZ304)</f>
        <v>#DIV/0!</v>
      </c>
      <c r="BA226" s="3" t="n"/>
      <c r="BB226" s="37" t="e">
        <f>SUM(BB289,BB296)+SUM(BB298:BB304)</f>
        <v>#DIV/0!</v>
      </c>
      <c r="BC226" s="37" t="e">
        <f>SUM(BC289,BC296)+SUM(BC298:BC304)</f>
        <v>#DIV/0!</v>
      </c>
      <c r="BD226" s="37" t="e">
        <f>SUM(BD289,BD296)+SUM(BD298:BD304)</f>
        <v>#DIV/0!</v>
      </c>
      <c r="BE226" s="37" t="e">
        <f>SUM(BE289,BE296)+SUM(BE298:BE304)</f>
        <v>#DIV/0!</v>
      </c>
      <c r="BF226" s="3" t="n"/>
      <c r="BG226" s="37" t="e">
        <f>SUM(BG289,BG296)+SUM(BG298:BG304)</f>
        <v>#DIV/0!</v>
      </c>
      <c r="BH226" s="37" t="e">
        <f>SUM(BH289,BH296)+SUM(BH298:BH304)</f>
        <v>#DIV/0!</v>
      </c>
      <c r="BI226" s="37" t="e">
        <f>SUM(BI289,BI296)+SUM(BI298:BI304)</f>
        <v>#DIV/0!</v>
      </c>
      <c r="BJ226" s="37" t="e">
        <f>SUM(BJ289,BJ296)+SUM(BJ298:BJ304)</f>
        <v>#DIV/0!</v>
      </c>
      <c r="BK226" s="3" t="n"/>
      <c r="BL226" s="37" t="e">
        <f>SUM(BL289,BL296)+SUM(BL298:BL304)</f>
        <v>#DIV/0!</v>
      </c>
      <c r="BM226" s="37" t="e">
        <f>SUM(BM289,BM296)+SUM(BM298:BM304)</f>
        <v>#DIV/0!</v>
      </c>
      <c r="BN226" s="37" t="e">
        <f>SUM(BN289,BN296)+SUM(BN298:BN304)</f>
        <v>#DIV/0!</v>
      </c>
      <c r="BO226" s="37" t="e">
        <f>SUM(BO289,BO296)+SUM(BO298:BO304)</f>
        <v>#DIV/0!</v>
      </c>
      <c r="BP226" s="3" t="n"/>
      <c r="BQ226" s="37" t="e">
        <f>SUM(BQ289,BQ296)+SUM(BQ298:BQ304)</f>
        <v>#DIV/0!</v>
      </c>
      <c r="BR226" s="37" t="e">
        <f>SUM(BR289,BR296)+SUM(BR298:BR304)</f>
        <v>#DIV/0!</v>
      </c>
      <c r="BS226" s="37" t="e">
        <f>SUM(BS289,BS296)+SUM(BS298:BS304)</f>
        <v>#DIV/0!</v>
      </c>
      <c r="BT226" s="37" t="e">
        <f>SUM(BT289,BT296)+SUM(BT298:BT304)</f>
        <v>#DIV/0!</v>
      </c>
      <c r="BU226" s="3" t="n"/>
      <c r="BV226" s="37" t="e">
        <f>SUM(BV289,BV296)+SUM(BV298:BV304)</f>
        <v>#DIV/0!</v>
      </c>
      <c r="BW226" s="37" t="e">
        <f>SUM(BW289,BW296)+SUM(BW298:BW304)</f>
        <v>#DIV/0!</v>
      </c>
      <c r="BX226" s="37" t="e">
        <f>SUM(BX289,BX296)+SUM(BX298:BX304)</f>
        <v>#DIV/0!</v>
      </c>
      <c r="BY226" s="37" t="e">
        <f>SUM(BY289,BY296)+SUM(BY298:BY304)</f>
        <v>#DIV/0!</v>
      </c>
      <c r="BZ226" s="3" t="n"/>
      <c r="CA226" s="37" t="e">
        <f>SUM(CA289,CA296)+SUM(CA298:CA304)</f>
        <v>#DIV/0!</v>
      </c>
      <c r="CB226" s="37" t="e">
        <f>SUM(CB289,CB296)+SUM(CB298:CB304)</f>
        <v>#DIV/0!</v>
      </c>
      <c r="CC226" s="37" t="e">
        <f>SUM(CC289,CC296)+SUM(CC298:CC304)</f>
        <v>#DIV/0!</v>
      </c>
      <c r="CD226" s="37" t="e">
        <f>SUM(CD289,CD296)+SUM(CD298:CD304)</f>
        <v>#DIV/0!</v>
      </c>
      <c r="CE226" s="3" t="n"/>
      <c r="CF226" s="37" t="e">
        <f>SUM(CF289,CF296)+SUM(CF298:CF304)</f>
        <v>#DIV/0!</v>
      </c>
      <c r="CG226" s="37" t="e">
        <f>SUM(CG289,CG296)+SUM(CG298:CG304)</f>
        <v>#DIV/0!</v>
      </c>
      <c r="CH226" s="37" t="e">
        <f>SUM(CH289,CH296)+SUM(CH298:CH304)</f>
        <v>#DIV/0!</v>
      </c>
      <c r="CI226" s="37" t="e">
        <f>SUM(CI289,CI296)+SUM(CI298:CI304)</f>
        <v>#DIV/0!</v>
      </c>
      <c r="CJ226" s="3" t="n"/>
      <c r="CK226" s="37" t="e">
        <f>SUM(CK289,CK296)+SUM(CK298:CK304)</f>
        <v>#DIV/0!</v>
      </c>
      <c r="CL226" s="37" t="e">
        <f>SUM(CL289,CL296)+SUM(CL298:CL304)</f>
        <v>#DIV/0!</v>
      </c>
      <c r="CM226" s="37" t="e">
        <f>SUM(CM289,CM296)+SUM(CM298:CM304)</f>
        <v>#DIV/0!</v>
      </c>
      <c r="CN226" s="37" t="e">
        <f>SUM(CN289,CN296)+SUM(CN298:CN304)</f>
        <v>#DIV/0!</v>
      </c>
      <c r="CO226" s="3" t="n"/>
      <c r="CP226" s="37" t="e">
        <f>SUM(CP289,CP296)+SUM(CP298:CP304)</f>
        <v>#DIV/0!</v>
      </c>
      <c r="CQ226" s="37" t="e">
        <f>SUM(CQ289,CQ296)+SUM(CQ298:CQ304)</f>
        <v>#DIV/0!</v>
      </c>
      <c r="CR226" s="37" t="e">
        <f>SUM(CR289,CR296)+SUM(CR298:CR304)</f>
        <v>#DIV/0!</v>
      </c>
      <c r="CS226" s="37" t="e">
        <f>SUM(CS289,CS296)+SUM(CS298:CS304)</f>
        <v>#DIV/0!</v>
      </c>
      <c r="CT226" s="3" t="n"/>
      <c r="CU226" s="37" t="e">
        <f>SUM(CU289,CU296)+SUM(CU298:CU304)</f>
        <v>#DIV/0!</v>
      </c>
      <c r="CV226" s="37" t="e">
        <f>SUM(CV289,CV296)+SUM(CV298:CV304)</f>
        <v>#DIV/0!</v>
      </c>
      <c r="CW226" s="37" t="e">
        <f>SUM(CW289,CW296)+SUM(CW298:CW304)</f>
        <v>#DIV/0!</v>
      </c>
      <c r="CX226" s="37" t="e">
        <f>SUM(CX289,CX296)+SUM(CX298:CX304)</f>
        <v>#DIV/0!</v>
      </c>
      <c r="CY226" s="3" t="n"/>
    </row>
    <row r="227" hidden="1" outlineLevel="1">
      <c r="C227" s="34" t="inlineStr">
        <is>
          <t>Less: Minimum cash balance</t>
        </is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250" t="n"/>
      <c r="AH227" s="3">
        <f>($AG$227*AH15)</f>
        <v>0</v>
      </c>
      <c r="AI227" s="3">
        <f>($AG$227*AI15)</f>
        <v>0</v>
      </c>
      <c r="AJ227" s="3">
        <f>($AG$227*AJ15)</f>
        <v>0</v>
      </c>
      <c r="AK227" s="3">
        <f>($AG$227*AK15)</f>
        <v>0</v>
      </c>
      <c r="AL227" s="3" t="n"/>
      <c r="AM227" s="3">
        <f>($AG$227*AM15)</f>
        <v>0</v>
      </c>
      <c r="AN227" s="3">
        <f>($AG$227*AN15)</f>
        <v>0</v>
      </c>
      <c r="AO227" s="3">
        <f>($AG$227*AO15)</f>
        <v>0</v>
      </c>
      <c r="AP227" s="3">
        <f>($AG$227*AP15)</f>
        <v>0</v>
      </c>
      <c r="AQ227" s="3" t="n"/>
      <c r="AR227" s="3">
        <f>($AG$227*AR15)</f>
        <v>0</v>
      </c>
      <c r="AS227" s="3">
        <f>($AG$227*AS15)</f>
        <v>0</v>
      </c>
      <c r="AT227" s="3">
        <f>($AG$227*AT15)</f>
        <v>0</v>
      </c>
      <c r="AU227" s="3">
        <f>($AG$227*AU15)</f>
        <v>0</v>
      </c>
      <c r="AV227" s="3" t="n"/>
      <c r="AW227" s="3">
        <f>($AG$227*AW15)</f>
        <v>0</v>
      </c>
      <c r="AX227" s="3">
        <f>($AG$227*AX15)</f>
        <v>0</v>
      </c>
      <c r="AY227" s="3">
        <f>($AG$227*AY15)</f>
        <v>0</v>
      </c>
      <c r="AZ227" s="3">
        <f>($AG$227*AZ15)</f>
        <v>0</v>
      </c>
      <c r="BA227" s="3" t="n"/>
      <c r="BB227" s="3">
        <f>($AG$227*BB15)</f>
        <v>0</v>
      </c>
      <c r="BC227" s="3">
        <f>($AG$227*BC15)</f>
        <v>0</v>
      </c>
      <c r="BD227" s="3">
        <f>($AG$227*BD15)</f>
        <v>0</v>
      </c>
      <c r="BE227" s="3">
        <f>($AG$227*BE15)</f>
        <v>0</v>
      </c>
      <c r="BF227" s="3" t="n"/>
      <c r="BG227" s="3">
        <f>($AG$227*BG15)</f>
        <v>0</v>
      </c>
      <c r="BH227" s="3">
        <f>($AG$227*BH15)</f>
        <v>0</v>
      </c>
      <c r="BI227" s="3">
        <f>($AG$227*BI15)</f>
        <v>0</v>
      </c>
      <c r="BJ227" s="3">
        <f>($AG$227*BJ15)</f>
        <v>0</v>
      </c>
      <c r="BK227" s="3" t="n"/>
      <c r="BL227" s="3">
        <f>($AG$227*BL15)</f>
        <v>0</v>
      </c>
      <c r="BM227" s="3">
        <f>($AG$227*BM15)</f>
        <v>0</v>
      </c>
      <c r="BN227" s="3">
        <f>($AG$227*BN15)</f>
        <v>0</v>
      </c>
      <c r="BO227" s="3">
        <f>($AG$227*BO15)</f>
        <v>0</v>
      </c>
      <c r="BP227" s="3" t="n"/>
      <c r="BQ227" s="3">
        <f>($AG$227*BQ15)</f>
        <v>0</v>
      </c>
      <c r="BR227" s="3">
        <f>($AG$227*BR15)</f>
        <v>0</v>
      </c>
      <c r="BS227" s="3">
        <f>($AG$227*BS15)</f>
        <v>0</v>
      </c>
      <c r="BT227" s="3">
        <f>($AG$227*BT15)</f>
        <v>0</v>
      </c>
      <c r="BU227" s="3" t="n"/>
      <c r="BV227" s="3">
        <f>($AG$227*BV15)</f>
        <v>0</v>
      </c>
      <c r="BW227" s="3">
        <f>($AG$227*BW15)</f>
        <v>0</v>
      </c>
      <c r="BX227" s="3">
        <f>($AG$227*BX15)</f>
        <v>0</v>
      </c>
      <c r="BY227" s="3">
        <f>($AG$227*BY15)</f>
        <v>0</v>
      </c>
      <c r="BZ227" s="3" t="n"/>
      <c r="CA227" s="3">
        <f>($AG$227*CA15)</f>
        <v>0</v>
      </c>
      <c r="CB227" s="3">
        <f>($AG$227*CB15)</f>
        <v>0</v>
      </c>
      <c r="CC227" s="3">
        <f>($AG$227*CC15)</f>
        <v>0</v>
      </c>
      <c r="CD227" s="3">
        <f>($AG$227*CD15)</f>
        <v>0</v>
      </c>
      <c r="CE227" s="3" t="n"/>
      <c r="CF227" s="3">
        <f>($AG$227*CF15)</f>
        <v>0</v>
      </c>
      <c r="CG227" s="3">
        <f>($AG$227*CG15)</f>
        <v>0</v>
      </c>
      <c r="CH227" s="3">
        <f>($AG$227*CH15)</f>
        <v>0</v>
      </c>
      <c r="CI227" s="3">
        <f>($AG$227*CI15)</f>
        <v>0</v>
      </c>
      <c r="CJ227" s="3" t="n"/>
      <c r="CK227" s="3">
        <f>($AG$227*CK15)</f>
        <v>0</v>
      </c>
      <c r="CL227" s="3">
        <f>($AG$227*CL15)</f>
        <v>0</v>
      </c>
      <c r="CM227" s="3">
        <f>($AG$227*CM15)</f>
        <v>0</v>
      </c>
      <c r="CN227" s="3">
        <f>($AG$227*CN15)</f>
        <v>0</v>
      </c>
      <c r="CO227" s="3" t="n"/>
      <c r="CP227" s="3">
        <f>($AG$227*CP15)</f>
        <v>0</v>
      </c>
      <c r="CQ227" s="3">
        <f>($AG$227*CQ15)</f>
        <v>0</v>
      </c>
      <c r="CR227" s="3">
        <f>($AG$227*CR15)</f>
        <v>0</v>
      </c>
      <c r="CS227" s="3">
        <f>($AG$227*CS15)</f>
        <v>0</v>
      </c>
      <c r="CT227" s="3" t="n"/>
      <c r="CU227" s="3">
        <f>($AG$227*CU15)</f>
        <v>0</v>
      </c>
      <c r="CV227" s="3">
        <f>($AG$227*CV15)</f>
        <v>0</v>
      </c>
      <c r="CW227" s="3">
        <f>($AG$227*CW15)</f>
        <v>0</v>
      </c>
      <c r="CX227" s="3">
        <f>($AG$227*CX15)</f>
        <v>0</v>
      </c>
      <c r="CY227" s="3" t="n"/>
    </row>
    <row r="228" hidden="1" outlineLevel="1">
      <c r="C228" s="34" t="inlineStr">
        <is>
          <t>Total cash available / (debt required) for short term debt paydown</t>
        </is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1">
        <f>AH225+AH226-AH227-AF215+AH217+AH221</f>
        <v>95647</v>
      </c>
      <c r="AI228" s="1">
        <f>AI225+AI226-AI227-AG215+AI217+AI221</f>
        <v>93362</v>
      </c>
      <c r="AJ228" s="1">
        <f>AJ225+AJ226-AJ227-AH215+AJ217+AJ221</f>
        <v>7563</v>
      </c>
      <c r="AK228" s="1">
        <f>AK225+AK226-AK227-AI215+AK217+AK221</f>
        <v>99261</v>
      </c>
      <c r="AL228" s="3" t="n"/>
      <c r="AM228" s="1" t="e">
        <f>AM225+AM226-AM227-AK215+AM217+AM221</f>
        <v>#DIV/0!</v>
      </c>
      <c r="AN228" s="1" t="e">
        <f>AN225+AN226-AN227-AL215+AN217+AN221</f>
        <v>#DIV/0!</v>
      </c>
      <c r="AO228" s="1" t="e">
        <f>AO225+AO226-AO227-AM215+AO217+AO221</f>
        <v>#DIV/0!</v>
      </c>
      <c r="AP228" s="1" t="e">
        <f>AP225+AP226-AP227-AN215+AP217+AP221</f>
        <v>#DIV/0!</v>
      </c>
      <c r="AQ228" s="3" t="n"/>
      <c r="AR228" s="1" t="e">
        <f>AR225+AR226-AR227-AP215+AR217+AR221</f>
        <v>#DIV/0!</v>
      </c>
      <c r="AS228" s="1" t="e">
        <f>AS225+AS226-AS227-AQ215+AS217+AS221</f>
        <v>#DIV/0!</v>
      </c>
      <c r="AT228" s="1" t="e">
        <f>AT225+AT226-AT227-AR215+AT217+AT221</f>
        <v>#DIV/0!</v>
      </c>
      <c r="AU228" s="1" t="e">
        <f>AU225+AU226-AU227-AS215+AU217+AU221</f>
        <v>#DIV/0!</v>
      </c>
      <c r="AV228" s="3" t="n"/>
      <c r="AW228" s="1" t="e">
        <f>AW225+AW226-AW227-AU215+AW217+AW221</f>
        <v>#DIV/0!</v>
      </c>
      <c r="AX228" s="1" t="e">
        <f>AX225+AX226-AX227-AV215+AX217+AX221</f>
        <v>#DIV/0!</v>
      </c>
      <c r="AY228" s="1" t="e">
        <f>AY225+AY226-AY227-AW215+AY217+AY221</f>
        <v>#DIV/0!</v>
      </c>
      <c r="AZ228" s="1" t="e">
        <f>AZ225+AZ226-AZ227-AX215+AZ217+AZ221</f>
        <v>#DIV/0!</v>
      </c>
      <c r="BA228" s="3" t="n"/>
      <c r="BB228" s="1" t="e">
        <f>BB225+BB226-BB227-AZ215+BB217+BB221</f>
        <v>#DIV/0!</v>
      </c>
      <c r="BC228" s="1" t="e">
        <f>BC225+BC226-BC227-BA215+BC217+BC221</f>
        <v>#DIV/0!</v>
      </c>
      <c r="BD228" s="1" t="e">
        <f>BD225+BD226-BD227-BB215+BD217+BD221</f>
        <v>#DIV/0!</v>
      </c>
      <c r="BE228" s="1" t="e">
        <f>BE225+BE226-BE227-BC215+BE217+BE221</f>
        <v>#DIV/0!</v>
      </c>
      <c r="BF228" s="3" t="n"/>
      <c r="BG228" s="1" t="e">
        <f>BG225+BG226-BG227-BE215+BG217+BG221</f>
        <v>#DIV/0!</v>
      </c>
      <c r="BH228" s="1" t="e">
        <f>BH225+BH226-BH227-BF215+BH217+BH221</f>
        <v>#DIV/0!</v>
      </c>
      <c r="BI228" s="1" t="e">
        <f>BI225+BI226-BI227-BG215+BI217+BI221</f>
        <v>#DIV/0!</v>
      </c>
      <c r="BJ228" s="1" t="e">
        <f>BJ225+BJ226-BJ227-BH215+BJ217+BJ221</f>
        <v>#DIV/0!</v>
      </c>
      <c r="BK228" s="3" t="n"/>
      <c r="BL228" s="1" t="e">
        <f>BL225+BL226-BL227-BJ215+BL217+BL221</f>
        <v>#DIV/0!</v>
      </c>
      <c r="BM228" s="1" t="e">
        <f>BM225+BM226-BM227-BK215+BM217+BM221</f>
        <v>#DIV/0!</v>
      </c>
      <c r="BN228" s="1" t="e">
        <f>BN225+BN226-BN227-BL215+BN217+BN221</f>
        <v>#DIV/0!</v>
      </c>
      <c r="BO228" s="1" t="e">
        <f>BO225+BO226-BO227-BM215+BO217+BO221</f>
        <v>#DIV/0!</v>
      </c>
      <c r="BP228" s="3" t="n"/>
      <c r="BQ228" s="1" t="e">
        <f>BQ225+BQ226-BQ227-BO215+BQ217+BQ221</f>
        <v>#DIV/0!</v>
      </c>
      <c r="BR228" s="1" t="e">
        <f>BR225+BR226-BR227-BP215+BR217+BR221</f>
        <v>#DIV/0!</v>
      </c>
      <c r="BS228" s="1" t="e">
        <f>BS225+BS226-BS227-BQ215+BS217+BS221</f>
        <v>#DIV/0!</v>
      </c>
      <c r="BT228" s="1" t="e">
        <f>BT225+BT226-BT227-BR215+BT217+BT221</f>
        <v>#DIV/0!</v>
      </c>
      <c r="BU228" s="3" t="n"/>
      <c r="BV228" s="1" t="e">
        <f>BV225+BV226-BV227-BT215+BV217+BV221</f>
        <v>#DIV/0!</v>
      </c>
      <c r="BW228" s="1" t="e">
        <f>BW225+BW226-BW227-BU215+BW217+BW221</f>
        <v>#DIV/0!</v>
      </c>
      <c r="BX228" s="1" t="e">
        <f>BX225+BX226-BX227-BV215+BX217+BX221</f>
        <v>#DIV/0!</v>
      </c>
      <c r="BY228" s="1" t="e">
        <f>BY225+BY226-BY227-BW215+BY217+BY221</f>
        <v>#DIV/0!</v>
      </c>
      <c r="BZ228" s="3" t="n"/>
      <c r="CA228" s="1" t="e">
        <f>CA225+CA226-CA227-BY215+CA217+CA221</f>
        <v>#DIV/0!</v>
      </c>
      <c r="CB228" s="1" t="e">
        <f>CB225+CB226-CB227-BZ215+CB217+CB221</f>
        <v>#DIV/0!</v>
      </c>
      <c r="CC228" s="1" t="e">
        <f>CC225+CC226-CC227-CA215+CC217+CC221</f>
        <v>#DIV/0!</v>
      </c>
      <c r="CD228" s="1" t="e">
        <f>CD225+CD226-CD227-CB215+CD217+CD221</f>
        <v>#DIV/0!</v>
      </c>
      <c r="CE228" s="3" t="n"/>
      <c r="CF228" s="1" t="e">
        <f>CF225+CF226-CF227-CD215+CF217+CF221</f>
        <v>#DIV/0!</v>
      </c>
      <c r="CG228" s="1" t="e">
        <f>CG225+CG226-CG227-CE215+CG217+CG221</f>
        <v>#DIV/0!</v>
      </c>
      <c r="CH228" s="1" t="e">
        <f>CH225+CH226-CH227-CF215+CH217+CH221</f>
        <v>#DIV/0!</v>
      </c>
      <c r="CI228" s="1" t="e">
        <f>CI225+CI226-CI227-CG215+CI217+CI221</f>
        <v>#DIV/0!</v>
      </c>
      <c r="CJ228" s="3" t="n"/>
      <c r="CK228" s="1" t="e">
        <f>CK225+CK226-CK227-CI215+CK217+CK221</f>
        <v>#DIV/0!</v>
      </c>
      <c r="CL228" s="1" t="e">
        <f>CL225+CL226-CL227-CJ215+CL217+CL221</f>
        <v>#DIV/0!</v>
      </c>
      <c r="CM228" s="1" t="e">
        <f>CM225+CM226-CM227-CK215+CM217+CM221</f>
        <v>#DIV/0!</v>
      </c>
      <c r="CN228" s="1" t="e">
        <f>CN225+CN226-CN227-CL215+CN217+CN221</f>
        <v>#DIV/0!</v>
      </c>
      <c r="CO228" s="3" t="n"/>
      <c r="CP228" s="1" t="e">
        <f>CP225+CP226-CP227-CN215+CP217+CP221</f>
        <v>#DIV/0!</v>
      </c>
      <c r="CQ228" s="1" t="e">
        <f>CQ225+CQ226-CQ227-CO215+CQ217+CQ221</f>
        <v>#DIV/0!</v>
      </c>
      <c r="CR228" s="1" t="e">
        <f>CR225+CR226-CR227-CP215+CR217+CR221</f>
        <v>#DIV/0!</v>
      </c>
      <c r="CS228" s="1" t="e">
        <f>CS225+CS226-CS227-CQ215+CS217+CS221</f>
        <v>#DIV/0!</v>
      </c>
      <c r="CT228" s="3" t="n"/>
      <c r="CU228" s="1" t="e">
        <f>CU225+CU226-CU227-CS215+CU217+CU221</f>
        <v>#DIV/0!</v>
      </c>
      <c r="CV228" s="1" t="e">
        <f>CV225+CV226-CV227-CT215+CV217+CV221</f>
        <v>#DIV/0!</v>
      </c>
      <c r="CW228" s="1" t="e">
        <f>CW225+CW226-CW227-CU215+CW217+CW221</f>
        <v>#DIV/0!</v>
      </c>
      <c r="CX228" s="1" t="e">
        <f>CX225+CX226-CX227-CV215+CX217+CX221</f>
        <v>#DIV/0!</v>
      </c>
      <c r="CY228" s="3" t="n"/>
    </row>
    <row r="229" hidden="1" outlineLevel="1">
      <c r="C229" s="34" t="inlineStr">
        <is>
          <t>Short term debt</t>
        </is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>
        <f>AH209</f>
        <v>0</v>
      </c>
      <c r="AI229" s="3">
        <f>MAX(0,AH229-AI228)</f>
        <v>0</v>
      </c>
      <c r="AJ229" s="3">
        <f>MAX(0,AI229-AJ228)</f>
        <v>0</v>
      </c>
      <c r="AK229" s="3">
        <f>MAX(0,AJ229-AK228)</f>
        <v>0</v>
      </c>
      <c r="AL229" s="3" t="n"/>
      <c r="AM229" s="3">
        <f>AM209</f>
        <v>0</v>
      </c>
      <c r="AN229" s="3" t="e">
        <f>MAX(0,AM229-AN228)</f>
        <v>#DIV/0!</v>
      </c>
      <c r="AO229" s="3" t="e">
        <f>MAX(0,AN229-AO228)</f>
        <v>#DIV/0!</v>
      </c>
      <c r="AP229" s="3" t="e">
        <f>MAX(0,AO229-AP228)</f>
        <v>#DIV/0!</v>
      </c>
      <c r="AQ229" s="3" t="n"/>
      <c r="AR229" s="3">
        <f>AR209</f>
        <v>0</v>
      </c>
      <c r="AS229" s="3" t="e">
        <f>MAX(0,AR229-AS228)</f>
        <v>#DIV/0!</v>
      </c>
      <c r="AT229" s="3" t="e">
        <f>MAX(0,AS229-AT228)</f>
        <v>#DIV/0!</v>
      </c>
      <c r="AU229" s="3" t="e">
        <f>MAX(0,AT229-AU228)</f>
        <v>#DIV/0!</v>
      </c>
      <c r="AV229" s="3" t="n"/>
      <c r="AW229" s="3">
        <f>AW209</f>
        <v>0</v>
      </c>
      <c r="AX229" s="3" t="e">
        <f>MAX(0,AW229-AX228)</f>
        <v>#DIV/0!</v>
      </c>
      <c r="AY229" s="3" t="e">
        <f>MAX(0,AX229-AY228)</f>
        <v>#DIV/0!</v>
      </c>
      <c r="AZ229" s="3" t="e">
        <f>MAX(0,AY229-AZ228)</f>
        <v>#DIV/0!</v>
      </c>
      <c r="BA229" s="3" t="n"/>
      <c r="BB229" s="3">
        <f>BB209</f>
        <v>0</v>
      </c>
      <c r="BC229" s="3" t="e">
        <f>MAX(0,BB229-BC228)</f>
        <v>#DIV/0!</v>
      </c>
      <c r="BD229" s="3" t="e">
        <f>MAX(0,BC229-BD228)</f>
        <v>#DIV/0!</v>
      </c>
      <c r="BE229" s="3" t="e">
        <f>MAX(0,BD229-BE228)</f>
        <v>#DIV/0!</v>
      </c>
      <c r="BF229" s="3" t="n"/>
      <c r="BG229" s="3">
        <f>BG209</f>
        <v>0</v>
      </c>
      <c r="BH229" s="3" t="e">
        <f>MAX(0,BG229-BH228)</f>
        <v>#DIV/0!</v>
      </c>
      <c r="BI229" s="3" t="e">
        <f>MAX(0,BH229-BI228)</f>
        <v>#DIV/0!</v>
      </c>
      <c r="BJ229" s="3" t="e">
        <f>MAX(0,BI229-BJ228)</f>
        <v>#DIV/0!</v>
      </c>
      <c r="BK229" s="3" t="n"/>
      <c r="BL229" s="3">
        <f>BL209</f>
        <v>0</v>
      </c>
      <c r="BM229" s="3" t="e">
        <f>MAX(0,BL229-BM228)</f>
        <v>#DIV/0!</v>
      </c>
      <c r="BN229" s="3" t="e">
        <f>MAX(0,BM229-BN228)</f>
        <v>#DIV/0!</v>
      </c>
      <c r="BO229" s="3" t="e">
        <f>MAX(0,BN229-BO228)</f>
        <v>#DIV/0!</v>
      </c>
      <c r="BP229" s="3" t="n"/>
      <c r="BQ229" s="3">
        <f>BQ209</f>
        <v>0</v>
      </c>
      <c r="BR229" s="3" t="e">
        <f>MAX(0,BQ229-BR228)</f>
        <v>#DIV/0!</v>
      </c>
      <c r="BS229" s="3" t="e">
        <f>MAX(0,BR229-BS228)</f>
        <v>#DIV/0!</v>
      </c>
      <c r="BT229" s="3" t="e">
        <f>MAX(0,BS229-BT228)</f>
        <v>#DIV/0!</v>
      </c>
      <c r="BU229" s="3" t="n"/>
      <c r="BV229" s="3">
        <f>BV209</f>
        <v>0</v>
      </c>
      <c r="BW229" s="3" t="e">
        <f>MAX(0,BV229-BW228)</f>
        <v>#DIV/0!</v>
      </c>
      <c r="BX229" s="3" t="e">
        <f>MAX(0,BW229-BX228)</f>
        <v>#DIV/0!</v>
      </c>
      <c r="BY229" s="3" t="e">
        <f>MAX(0,BX229-BY228)</f>
        <v>#DIV/0!</v>
      </c>
      <c r="BZ229" s="3" t="n"/>
      <c r="CA229" s="3">
        <f>CA209</f>
        <v>0</v>
      </c>
      <c r="CB229" s="3" t="e">
        <f>MAX(0,CA229-CB228)</f>
        <v>#DIV/0!</v>
      </c>
      <c r="CC229" s="3" t="e">
        <f>MAX(0,CB229-CC228)</f>
        <v>#DIV/0!</v>
      </c>
      <c r="CD229" s="3" t="e">
        <f>MAX(0,CC229-CD228)</f>
        <v>#DIV/0!</v>
      </c>
      <c r="CE229" s="3" t="n"/>
      <c r="CF229" s="3">
        <f>CF209</f>
        <v>0</v>
      </c>
      <c r="CG229" s="3" t="e">
        <f>MAX(0,CF229-CG228)</f>
        <v>#DIV/0!</v>
      </c>
      <c r="CH229" s="3" t="e">
        <f>MAX(0,CG229-CH228)</f>
        <v>#DIV/0!</v>
      </c>
      <c r="CI229" s="3" t="e">
        <f>MAX(0,CH229-CI228)</f>
        <v>#DIV/0!</v>
      </c>
      <c r="CJ229" s="3" t="n"/>
      <c r="CK229" s="3">
        <f>CK209</f>
        <v>0</v>
      </c>
      <c r="CL229" s="3" t="e">
        <f>MAX(0,CK229-CL228)</f>
        <v>#DIV/0!</v>
      </c>
      <c r="CM229" s="3" t="e">
        <f>MAX(0,CL229-CM228)</f>
        <v>#DIV/0!</v>
      </c>
      <c r="CN229" s="3" t="e">
        <f>MAX(0,CM229-CN228)</f>
        <v>#DIV/0!</v>
      </c>
      <c r="CO229" s="3" t="n"/>
      <c r="CP229" s="3">
        <f>CP209</f>
        <v>0</v>
      </c>
      <c r="CQ229" s="3" t="e">
        <f>MAX(0,CP229-CQ228)</f>
        <v>#DIV/0!</v>
      </c>
      <c r="CR229" s="3" t="e">
        <f>MAX(0,CQ229-CR228)</f>
        <v>#DIV/0!</v>
      </c>
      <c r="CS229" s="3" t="e">
        <f>MAX(0,CR229-CS228)</f>
        <v>#DIV/0!</v>
      </c>
      <c r="CT229" s="3" t="n"/>
      <c r="CU229" s="3">
        <f>CU209</f>
        <v>0</v>
      </c>
      <c r="CV229" s="3" t="e">
        <f>MAX(0,CU229-CV228)</f>
        <v>#DIV/0!</v>
      </c>
      <c r="CW229" s="3" t="e">
        <f>MAX(0,CV229-CW228)</f>
        <v>#DIV/0!</v>
      </c>
      <c r="CX229" s="3" t="e">
        <f>MAX(0,CW229-CX228)</f>
        <v>#DIV/0!</v>
      </c>
      <c r="CY229" s="3" t="n"/>
    </row>
    <row r="230" hidden="1" outlineLevel="1">
      <c r="C230" s="34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  <c r="CU230" s="3" t="n"/>
      <c r="CV230" s="3" t="n"/>
      <c r="CW230" s="3" t="n"/>
      <c r="CX230" s="3" t="n"/>
      <c r="CY230" s="3" t="n"/>
    </row>
    <row r="231" collapsed="1">
      <c r="C231" s="26" t="inlineStr">
        <is>
          <t>Long term operating leases</t>
        </is>
      </c>
      <c r="D231" s="25">
        <f>INDEX('Inputs (2)'!$D$36:$AL$36,MATCH(D$7,'Inputs (2)'!$D$2:$AL$2,0))</f>
        <v>10476</v>
      </c>
      <c r="E231" s="25">
        <f>INDEX('Inputs (2)'!$D$36:$AL$36,MATCH(E$7,'Inputs (2)'!$D$2:$AL$2,0))</f>
        <v>10709</v>
      </c>
      <c r="F231" s="25">
        <f>INDEX('Inputs (2)'!$D$36:$AL$36,MATCH(F$7,'Inputs (2)'!$D$2:$AL$2,0))</f>
        <v>10984</v>
      </c>
      <c r="G231" s="25">
        <f>INDEX('Inputs (2)'!$D$36:$AL$36,MATCH(G$7,'Inputs (2)'!$D$2:$AL$2,0))</f>
        <v>11146</v>
      </c>
      <c r="H231" s="3">
        <f>G231</f>
        <v>11146</v>
      </c>
      <c r="I231" s="25">
        <f>INDEX('Inputs (2)'!$D$36:$AL$36,MATCH(I$7,'Inputs (2)'!$D$2:$AL$2,0))</f>
        <v>11382</v>
      </c>
      <c r="J231" s="25">
        <f>INDEX('Inputs (2)'!$D$36:$AL$36,MATCH(J$7,'Inputs (2)'!$D$2:$AL$2,0))</f>
        <v>11619</v>
      </c>
      <c r="K231" s="25">
        <f>INDEX('Inputs (2)'!$D$36:$AL$36,MATCH(K$7,'Inputs (2)'!$D$2:$AL$2,0))</f>
        <v>11471</v>
      </c>
      <c r="L231" s="25">
        <f>INDEX('Inputs (2)'!$D$36:$AL$36,MATCH(L$7,'Inputs (2)'!$D$2:$AL$2,0))</f>
        <v>11389</v>
      </c>
      <c r="M231" s="3">
        <f>L231</f>
        <v>11389</v>
      </c>
      <c r="N231" s="25">
        <f>INDEX('Inputs (2)'!$D$36:$AL$36,MATCH(N$7,'Inputs (2)'!$D$2:$AL$2,0))</f>
        <v>11363</v>
      </c>
      <c r="O231" s="25">
        <f>INDEX('Inputs (2)'!$D$36:$AL$36,MATCH(O$7,'Inputs (2)'!$D$2:$AL$2,0))</f>
        <v>11697</v>
      </c>
      <c r="P231" s="25">
        <f>INDEX('Inputs (2)'!$D$36:$AL$36,MATCH(P$7,'Inputs (2)'!$D$2:$AL$2,0))</f>
        <v>11984</v>
      </c>
      <c r="Q231" s="25">
        <f>INDEX('Inputs (2)'!$D$36:$AL$36,MATCH(Q$7,'Inputs (2)'!$D$2:$AL$2,0))</f>
        <v>12501</v>
      </c>
      <c r="R231" s="3">
        <f>Q231</f>
        <v>12501</v>
      </c>
      <c r="S231" s="25">
        <f>INDEX('Inputs (2)'!$D$36:$AL$36,MATCH(S$7,'Inputs (2)'!$D$2:$AL$2,0))</f>
        <v>12799</v>
      </c>
      <c r="T231" s="25">
        <f>INDEX('Inputs (2)'!$D$36:$AL$36,MATCH(T$7,'Inputs (2)'!$D$2:$AL$2,0))</f>
        <v>12746</v>
      </c>
      <c r="U231" s="25">
        <f>INDEX('Inputs (2)'!$D$36:$AL$36,MATCH(U$7,'Inputs (2)'!$D$2:$AL$2,0))</f>
        <v>12550</v>
      </c>
      <c r="V231" s="25">
        <f>INDEX('Inputs (2)'!$D$36:$AL$36,MATCH(V$7,'Inputs (2)'!$D$2:$AL$2,0))</f>
        <v>12460</v>
      </c>
      <c r="W231" s="3">
        <f>V231</f>
        <v>12460</v>
      </c>
      <c r="X231" s="25">
        <f>INDEX('Inputs (2)'!$D$36:$AL$36,MATCH(X$7,'Inputs (2)'!$D$2:$AL$2,0))</f>
        <v>11957</v>
      </c>
      <c r="Y231" s="25">
        <f>INDEX('Inputs (2)'!$D$36:$AL$36,MATCH(Y$7,'Inputs (2)'!$D$2:$AL$2,0))</f>
        <v>11708</v>
      </c>
      <c r="Z231" s="25">
        <f>INDEX('Inputs (2)'!$D$36:$AL$36,MATCH(Z$7,'Inputs (2)'!$D$2:$AL$2,0))</f>
        <v>11654</v>
      </c>
      <c r="AA231" s="25">
        <f>INDEX('Inputs (2)'!$D$36:$AL$36,MATCH(AA$7,'Inputs (2)'!$D$2:$AL$2,0))</f>
        <v>11691</v>
      </c>
      <c r="AB231" s="3">
        <f>AA231</f>
        <v>11691</v>
      </c>
      <c r="AC231" s="25">
        <f>INDEX('Inputs (2)'!$D$36:$AL$36,MATCH(AC$7,'Inputs (2)'!$D$2:$AL$2,0))</f>
        <v>11678</v>
      </c>
      <c r="AD231" s="25">
        <f>INDEX('Inputs (2)'!$D$36:$AL$36,MATCH(AD$7,'Inputs (2)'!$D$2:$AL$2,0))</f>
        <v>11952</v>
      </c>
      <c r="AE231" s="25">
        <f>INDEX('Inputs (2)'!$D$36:$AL$36,MATCH(AE$7,'Inputs (2)'!$D$2:$AL$2,0))</f>
        <v>12106</v>
      </c>
      <c r="AF231" s="25">
        <f>INDEX('Inputs (2)'!$D$36:$AL$36,MATCH(AF$7,'Inputs (2)'!$D$2:$AL$2,0))</f>
        <v>12744</v>
      </c>
      <c r="AG231" s="3">
        <f>AF231</f>
        <v>12744</v>
      </c>
      <c r="AH231" s="3">
        <f>INDEX('Inputs (2)'!$D$36:$AL$36,MATCH(AH$7,'Inputs (2)'!$D$2:$AL$2,0))</f>
        <v>12983</v>
      </c>
      <c r="AI231" s="3">
        <f>INDEX('Inputs (2)'!$D$36:$AL$36,MATCH(AI$7,'Inputs (2)'!$D$2:$AL$2,0))</f>
        <v>14591</v>
      </c>
      <c r="AJ231" s="3">
        <f>AI231</f>
        <v>14591</v>
      </c>
      <c r="AK231" s="3">
        <f>AJ231</f>
        <v>14591</v>
      </c>
      <c r="AL231" s="3">
        <f>AK231</f>
        <v>14591</v>
      </c>
      <c r="AM231" s="3">
        <f>AL231</f>
        <v>14591</v>
      </c>
      <c r="AN231" s="3">
        <f>AM231</f>
        <v>14591</v>
      </c>
      <c r="AO231" s="3">
        <f>AN231</f>
        <v>14591</v>
      </c>
      <c r="AP231" s="3">
        <f>AO231</f>
        <v>14591</v>
      </c>
      <c r="AQ231" s="3">
        <f>AP231</f>
        <v>14591</v>
      </c>
      <c r="AR231" s="3">
        <f>AQ231</f>
        <v>14591</v>
      </c>
      <c r="AS231" s="3">
        <f>AR231</f>
        <v>14591</v>
      </c>
      <c r="AT231" s="3">
        <f>AS231</f>
        <v>14591</v>
      </c>
      <c r="AU231" s="3">
        <f>AT231</f>
        <v>14591</v>
      </c>
      <c r="AV231" s="3">
        <f>AU231</f>
        <v>14591</v>
      </c>
      <c r="AW231" s="3">
        <f>AV231</f>
        <v>14591</v>
      </c>
      <c r="AX231" s="3">
        <f>AW231</f>
        <v>14591</v>
      </c>
      <c r="AY231" s="3">
        <f>AX231</f>
        <v>14591</v>
      </c>
      <c r="AZ231" s="3">
        <f>AY231</f>
        <v>14591</v>
      </c>
      <c r="BA231" s="3">
        <f>AZ231</f>
        <v>14591</v>
      </c>
      <c r="BB231" s="3">
        <f>BA231</f>
        <v>14591</v>
      </c>
      <c r="BC231" s="3">
        <f>BB231</f>
        <v>14591</v>
      </c>
      <c r="BD231" s="3">
        <f>BC231</f>
        <v>14591</v>
      </c>
      <c r="BE231" s="3">
        <f>BD231</f>
        <v>14591</v>
      </c>
      <c r="BF231" s="3">
        <f>BE231</f>
        <v>14591</v>
      </c>
      <c r="BG231" s="3">
        <f>BF231</f>
        <v>14591</v>
      </c>
      <c r="BH231" s="3">
        <f>BG231</f>
        <v>14591</v>
      </c>
      <c r="BI231" s="3">
        <f>BH231</f>
        <v>14591</v>
      </c>
      <c r="BJ231" s="3">
        <f>BI231</f>
        <v>14591</v>
      </c>
      <c r="BK231" s="3">
        <f>BJ231</f>
        <v>14591</v>
      </c>
      <c r="BL231" s="3">
        <f>BK231</f>
        <v>14591</v>
      </c>
      <c r="BM231" s="3">
        <f>BL231</f>
        <v>14591</v>
      </c>
      <c r="BN231" s="3">
        <f>BM231</f>
        <v>14591</v>
      </c>
      <c r="BO231" s="3">
        <f>BN231</f>
        <v>14591</v>
      </c>
      <c r="BP231" s="3">
        <f>BO231</f>
        <v>14591</v>
      </c>
      <c r="BQ231" s="3">
        <f>BP231</f>
        <v>14591</v>
      </c>
      <c r="BR231" s="3">
        <f>BQ231</f>
        <v>14591</v>
      </c>
      <c r="BS231" s="3">
        <f>BR231</f>
        <v>14591</v>
      </c>
      <c r="BT231" s="3">
        <f>BS231</f>
        <v>14591</v>
      </c>
      <c r="BU231" s="3">
        <f>BT231</f>
        <v>14591</v>
      </c>
      <c r="BV231" s="3">
        <f>BU231</f>
        <v>14591</v>
      </c>
      <c r="BW231" s="3">
        <f>BV231</f>
        <v>14591</v>
      </c>
      <c r="BX231" s="3">
        <f>BW231</f>
        <v>14591</v>
      </c>
      <c r="BY231" s="3">
        <f>BX231</f>
        <v>14591</v>
      </c>
      <c r="BZ231" s="3">
        <f>BY231</f>
        <v>14591</v>
      </c>
      <c r="CA231" s="3">
        <f>BZ231</f>
        <v>14591</v>
      </c>
      <c r="CB231" s="3">
        <f>CA231</f>
        <v>14591</v>
      </c>
      <c r="CC231" s="3">
        <f>CB231</f>
        <v>14591</v>
      </c>
      <c r="CD231" s="3">
        <f>CC231</f>
        <v>14591</v>
      </c>
      <c r="CE231" s="3">
        <f>CD231</f>
        <v>14591</v>
      </c>
      <c r="CF231" s="3">
        <f>CE231</f>
        <v>14591</v>
      </c>
      <c r="CG231" s="3">
        <f>CF231</f>
        <v>14591</v>
      </c>
      <c r="CH231" s="3">
        <f>CG231</f>
        <v>14591</v>
      </c>
      <c r="CI231" s="3">
        <f>CH231</f>
        <v>14591</v>
      </c>
      <c r="CJ231" s="3">
        <f>CI231</f>
        <v>14591</v>
      </c>
      <c r="CK231" s="3">
        <f>CJ231</f>
        <v>14591</v>
      </c>
      <c r="CL231" s="3">
        <f>CK231</f>
        <v>14591</v>
      </c>
      <c r="CM231" s="3">
        <f>CL231</f>
        <v>14591</v>
      </c>
      <c r="CN231" s="3">
        <f>CM231</f>
        <v>14591</v>
      </c>
      <c r="CO231" s="3">
        <f>CN231</f>
        <v>14591</v>
      </c>
      <c r="CP231" s="3">
        <f>CO231</f>
        <v>14591</v>
      </c>
      <c r="CQ231" s="3">
        <f>CP231</f>
        <v>14591</v>
      </c>
      <c r="CR231" s="3">
        <f>CQ231</f>
        <v>14591</v>
      </c>
      <c r="CS231" s="3">
        <f>CR231</f>
        <v>14591</v>
      </c>
      <c r="CT231" s="3">
        <f>CS231</f>
        <v>14591</v>
      </c>
      <c r="CU231" s="3">
        <f>CT231</f>
        <v>14591</v>
      </c>
      <c r="CV231" s="3">
        <f>CU231</f>
        <v>14591</v>
      </c>
      <c r="CW231" s="3">
        <f>CV231</f>
        <v>14591</v>
      </c>
      <c r="CX231" s="3">
        <f>CW231</f>
        <v>14591</v>
      </c>
      <c r="CY231" s="3">
        <f>CX231</f>
        <v>14591</v>
      </c>
    </row>
    <row r="232" hidden="1" outlineLevel="1">
      <c r="C232" s="38" t="inlineStr">
        <is>
          <t>%(Var.)</t>
        </is>
      </c>
      <c r="D232" s="3" t="n"/>
      <c r="E232" s="47">
        <f>IFERROR((E231-D231)/D231,0)</f>
        <v>0.0222413134784269</v>
      </c>
      <c r="F232" s="47">
        <f>IFERROR((F231-E231)/E231,0)</f>
        <v>0.0256793351386684</v>
      </c>
      <c r="G232" s="47">
        <f>IFERROR((G231-F231)/F231,0)</f>
        <v>0.014748725418791</v>
      </c>
      <c r="H232" s="3" t="n"/>
      <c r="I232" s="47">
        <f>IFERROR((I231-H231)/H231,0)</f>
        <v>0.0211735151623901</v>
      </c>
      <c r="J232" s="47">
        <f>IFERROR((J231-I231)/I231,0)</f>
        <v>0.0208223510806537</v>
      </c>
      <c r="K232" s="47">
        <f>IFERROR((K231-J231)/J231,0)</f>
        <v>-0.0127377571219554</v>
      </c>
      <c r="L232" s="47">
        <f>IFERROR((L231-K231)/K231,0)</f>
        <v>-0.00714846133728533</v>
      </c>
      <c r="M232" s="3" t="n"/>
      <c r="N232" s="47">
        <f>IFERROR((N231-M231)/M231,0)</f>
        <v>-0.00228290455702871</v>
      </c>
      <c r="O232" s="47">
        <f>IFERROR((O231-N231)/N231,0)</f>
        <v>0.0293936460441785</v>
      </c>
      <c r="P232" s="47">
        <f>IFERROR((P231-O231)/O231,0)</f>
        <v>0.0245362058647516</v>
      </c>
      <c r="Q232" s="47">
        <f>IFERROR((Q231-P231)/P231,0)</f>
        <v>0.0431408544726302</v>
      </c>
      <c r="R232" s="3" t="n"/>
      <c r="S232" s="47">
        <f>IFERROR((S231-R231)/R231,0)</f>
        <v>0.0238380929525638</v>
      </c>
      <c r="T232" s="47">
        <f>IFERROR((T231-S231)/S231,0)</f>
        <v>-0.00414094851160247</v>
      </c>
      <c r="U232" s="47">
        <f>IFERROR((U231-T231)/T231,0)</f>
        <v>-0.0153773732935823</v>
      </c>
      <c r="V232" s="47">
        <f>IFERROR((V231-U231)/U231,0)</f>
        <v>-0.00717131474103586</v>
      </c>
      <c r="W232" s="3" t="n"/>
      <c r="X232" s="47">
        <f>IFERROR((X231-W231)/W231,0)</f>
        <v>-0.0403691813804173</v>
      </c>
      <c r="Y232" s="47">
        <f>IFERROR((Y231-X231)/X231,0)</f>
        <v>-0.0208246215605921</v>
      </c>
      <c r="Z232" s="47">
        <f>IFERROR((Z231-Y231)/Y231,0)</f>
        <v>-0.0046122309531944</v>
      </c>
      <c r="AA232" s="47">
        <f>IFERROR((AA231-Z231)/Z231,0)</f>
        <v>0.00317487557920027</v>
      </c>
      <c r="AB232" s="3" t="n"/>
      <c r="AC232" s="47">
        <f>IFERROR((AC231-AB231)/AB231,0)</f>
        <v>-0.00111196646993414</v>
      </c>
      <c r="AD232" s="47">
        <f>IFERROR((AD231-AC231)/AC231,0)</f>
        <v>0.0234629217331735</v>
      </c>
      <c r="AE232" s="47">
        <f>IFERROR((AE231-AD231)/AD231,0)</f>
        <v>0.0128848728246319</v>
      </c>
      <c r="AF232" s="230">
        <f>IFERROR((AF231-AE231)/AE231,0)</f>
        <v>0.0527011399306129</v>
      </c>
      <c r="AG232" s="3" t="n"/>
      <c r="AH232" s="6">
        <f>IFERROR((AH231-AG231)/AG231,0)</f>
        <v>0.0187539234149404</v>
      </c>
      <c r="AI232" s="6">
        <f>IFERROR((AI231-AH231)/AH231,0)</f>
        <v>0.12385427096973</v>
      </c>
      <c r="AJ232" s="6" t="n"/>
      <c r="AK232" s="6" t="n"/>
      <c r="AL232" s="3" t="n"/>
      <c r="AM232" s="6" t="n"/>
      <c r="AN232" s="6" t="n"/>
      <c r="AO232" s="6" t="n"/>
      <c r="AP232" s="6" t="n"/>
      <c r="AQ232" s="3" t="n"/>
      <c r="AR232" s="6" t="n"/>
      <c r="AS232" s="6" t="n"/>
      <c r="AT232" s="6" t="n"/>
      <c r="AU232" s="6" t="n"/>
      <c r="AV232" s="3" t="n"/>
      <c r="AW232" s="6" t="n"/>
      <c r="AX232" s="6" t="n"/>
      <c r="AY232" s="6" t="n"/>
      <c r="AZ232" s="6" t="n"/>
      <c r="BA232" s="3" t="n"/>
      <c r="BB232" s="6" t="n"/>
      <c r="BC232" s="6" t="n"/>
      <c r="BD232" s="6" t="n"/>
      <c r="BE232" s="6" t="n"/>
      <c r="BF232" s="3" t="n"/>
      <c r="BG232" s="6" t="n"/>
      <c r="BH232" s="6" t="n"/>
      <c r="BI232" s="6" t="n"/>
      <c r="BJ232" s="6" t="n"/>
      <c r="BK232" s="3" t="n"/>
      <c r="BL232" s="6" t="n"/>
      <c r="BM232" s="6" t="n"/>
      <c r="BN232" s="6" t="n"/>
      <c r="BO232" s="6" t="n"/>
      <c r="BP232" s="3" t="n"/>
      <c r="BQ232" s="6" t="n"/>
      <c r="BR232" s="6" t="n"/>
      <c r="BS232" s="6" t="n"/>
      <c r="BT232" s="6" t="n"/>
      <c r="BU232" s="3" t="n"/>
      <c r="BV232" s="6" t="n"/>
      <c r="BW232" s="6" t="n"/>
      <c r="BX232" s="6" t="n"/>
      <c r="BY232" s="6" t="n"/>
      <c r="BZ232" s="3" t="n"/>
      <c r="CA232" s="6" t="n"/>
      <c r="CB232" s="6" t="n"/>
      <c r="CC232" s="6" t="n"/>
      <c r="CD232" s="6" t="n"/>
      <c r="CE232" s="3" t="n"/>
      <c r="CF232" s="6" t="n"/>
      <c r="CG232" s="6" t="n"/>
      <c r="CH232" s="6" t="n"/>
      <c r="CI232" s="6" t="n"/>
      <c r="CJ232" s="3" t="n"/>
      <c r="CK232" s="6" t="n"/>
      <c r="CL232" s="6" t="n"/>
      <c r="CM232" s="6" t="n"/>
      <c r="CN232" s="6" t="n"/>
      <c r="CO232" s="3" t="n"/>
      <c r="CP232" s="6" t="n"/>
      <c r="CQ232" s="6" t="n"/>
      <c r="CR232" s="6" t="n"/>
      <c r="CS232" s="6" t="n"/>
      <c r="CT232" s="3" t="n"/>
      <c r="CU232" s="6" t="n"/>
      <c r="CV232" s="6" t="n"/>
      <c r="CW232" s="6" t="n"/>
      <c r="CX232" s="6" t="n"/>
      <c r="CY232" s="3" t="n"/>
    </row>
    <row r="233" hidden="1" outlineLevel="1">
      <c r="C233" s="34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  <c r="CU233" s="3" t="n"/>
      <c r="CV233" s="3" t="n"/>
      <c r="CW233" s="3" t="n"/>
      <c r="CX233" s="3" t="n"/>
      <c r="CY233" s="3" t="n"/>
    </row>
    <row r="234" collapsed="1">
      <c r="C234" s="26" t="inlineStr">
        <is>
          <t>Convertible debt</t>
        </is>
      </c>
      <c r="D234" s="25" t="n"/>
      <c r="E234" s="25" t="n"/>
      <c r="F234" s="25" t="n"/>
      <c r="G234" s="25" t="n"/>
      <c r="H234" s="3">
        <f>G234</f>
        <v>0</v>
      </c>
      <c r="I234" s="25" t="n"/>
      <c r="J234" s="25" t="n"/>
      <c r="K234" s="25" t="n"/>
      <c r="L234" s="25" t="n"/>
      <c r="M234" s="3">
        <f>L234</f>
        <v>0</v>
      </c>
      <c r="N234" s="25" t="n"/>
      <c r="O234" s="25" t="n"/>
      <c r="P234" s="25" t="n"/>
      <c r="Q234" s="25" t="n"/>
      <c r="R234" s="3">
        <f>Q234</f>
        <v>0</v>
      </c>
      <c r="S234" s="25" t="n"/>
      <c r="T234" s="25" t="n"/>
      <c r="U234" s="25" t="n"/>
      <c r="V234" s="25" t="n"/>
      <c r="W234" s="3">
        <f>V234</f>
        <v>0</v>
      </c>
      <c r="X234" s="25" t="n"/>
      <c r="Y234" s="25" t="n"/>
      <c r="Z234" s="25" t="n"/>
      <c r="AA234" s="25" t="n"/>
      <c r="AB234" s="3">
        <f>AA234</f>
        <v>0</v>
      </c>
      <c r="AC234" s="25" t="n"/>
      <c r="AD234" s="25" t="n"/>
      <c r="AE234" s="25" t="n"/>
      <c r="AF234" s="25" t="n"/>
      <c r="AG234" s="3">
        <f>AF234</f>
        <v>0</v>
      </c>
      <c r="AH234" s="3">
        <f>AG234</f>
        <v>0</v>
      </c>
      <c r="AI234" s="3">
        <f>AH234</f>
        <v>0</v>
      </c>
      <c r="AJ234" s="3">
        <f>AI234</f>
        <v>0</v>
      </c>
      <c r="AK234" s="3">
        <f>AJ234</f>
        <v>0</v>
      </c>
      <c r="AL234" s="3">
        <f>AK234</f>
        <v>0</v>
      </c>
      <c r="AM234" s="3">
        <f>AL234</f>
        <v>0</v>
      </c>
      <c r="AN234" s="3">
        <f>AM234</f>
        <v>0</v>
      </c>
      <c r="AO234" s="3">
        <f>AN234</f>
        <v>0</v>
      </c>
      <c r="AP234" s="3">
        <f>AO234</f>
        <v>0</v>
      </c>
      <c r="AQ234" s="3">
        <f>AP234</f>
        <v>0</v>
      </c>
      <c r="AR234" s="3">
        <f>AQ234</f>
        <v>0</v>
      </c>
      <c r="AS234" s="3">
        <f>AR234</f>
        <v>0</v>
      </c>
      <c r="AT234" s="3">
        <f>AS234</f>
        <v>0</v>
      </c>
      <c r="AU234" s="3">
        <f>AT234</f>
        <v>0</v>
      </c>
      <c r="AV234" s="3">
        <f>AU234</f>
        <v>0</v>
      </c>
      <c r="AW234" s="3">
        <f>AV234</f>
        <v>0</v>
      </c>
      <c r="AX234" s="3">
        <f>AW234</f>
        <v>0</v>
      </c>
      <c r="AY234" s="3">
        <f>AX234</f>
        <v>0</v>
      </c>
      <c r="AZ234" s="3">
        <f>AY234</f>
        <v>0</v>
      </c>
      <c r="BA234" s="3">
        <f>AZ234</f>
        <v>0</v>
      </c>
      <c r="BB234" s="3">
        <f>BA234</f>
        <v>0</v>
      </c>
      <c r="BC234" s="3">
        <f>BB234</f>
        <v>0</v>
      </c>
      <c r="BD234" s="3">
        <f>BC234</f>
        <v>0</v>
      </c>
      <c r="BE234" s="3">
        <f>BD234</f>
        <v>0</v>
      </c>
      <c r="BF234" s="3">
        <f>BE234</f>
        <v>0</v>
      </c>
      <c r="BG234" s="3">
        <f>BF234</f>
        <v>0</v>
      </c>
      <c r="BH234" s="3">
        <f>BG234</f>
        <v>0</v>
      </c>
      <c r="BI234" s="3">
        <f>BH234</f>
        <v>0</v>
      </c>
      <c r="BJ234" s="3">
        <f>BI234</f>
        <v>0</v>
      </c>
      <c r="BK234" s="3">
        <f>BJ234</f>
        <v>0</v>
      </c>
      <c r="BL234" s="3">
        <f>BK234</f>
        <v>0</v>
      </c>
      <c r="BM234" s="3">
        <f>BL234</f>
        <v>0</v>
      </c>
      <c r="BN234" s="3">
        <f>BM234</f>
        <v>0</v>
      </c>
      <c r="BO234" s="3">
        <f>BN234</f>
        <v>0</v>
      </c>
      <c r="BP234" s="3">
        <f>BO234</f>
        <v>0</v>
      </c>
      <c r="BQ234" s="3">
        <f>BP234</f>
        <v>0</v>
      </c>
      <c r="BR234" s="3">
        <f>BQ234</f>
        <v>0</v>
      </c>
      <c r="BS234" s="3">
        <f>BR234</f>
        <v>0</v>
      </c>
      <c r="BT234" s="3">
        <f>BS234</f>
        <v>0</v>
      </c>
      <c r="BU234" s="3">
        <f>BT234</f>
        <v>0</v>
      </c>
      <c r="BV234" s="3">
        <f>BU234</f>
        <v>0</v>
      </c>
      <c r="BW234" s="3">
        <f>BV234</f>
        <v>0</v>
      </c>
      <c r="BX234" s="3">
        <f>BW234</f>
        <v>0</v>
      </c>
      <c r="BY234" s="3">
        <f>BX234</f>
        <v>0</v>
      </c>
      <c r="BZ234" s="3">
        <f>BY234</f>
        <v>0</v>
      </c>
      <c r="CA234" s="3">
        <f>BZ234</f>
        <v>0</v>
      </c>
      <c r="CB234" s="3">
        <f>CA234</f>
        <v>0</v>
      </c>
      <c r="CC234" s="3">
        <f>CB234</f>
        <v>0</v>
      </c>
      <c r="CD234" s="3">
        <f>CC234</f>
        <v>0</v>
      </c>
      <c r="CE234" s="3">
        <f>CD234</f>
        <v>0</v>
      </c>
      <c r="CF234" s="3">
        <f>CE234</f>
        <v>0</v>
      </c>
      <c r="CG234" s="3">
        <f>CF234</f>
        <v>0</v>
      </c>
      <c r="CH234" s="3">
        <f>CG234</f>
        <v>0</v>
      </c>
      <c r="CI234" s="3">
        <f>CH234</f>
        <v>0</v>
      </c>
      <c r="CJ234" s="3">
        <f>CI234</f>
        <v>0</v>
      </c>
      <c r="CK234" s="3">
        <f>CJ234</f>
        <v>0</v>
      </c>
      <c r="CL234" s="3">
        <f>CK234</f>
        <v>0</v>
      </c>
      <c r="CM234" s="3">
        <f>CL234</f>
        <v>0</v>
      </c>
      <c r="CN234" s="3">
        <f>CM234</f>
        <v>0</v>
      </c>
      <c r="CO234" s="3">
        <f>CN234</f>
        <v>0</v>
      </c>
      <c r="CP234" s="3">
        <f>CO234</f>
        <v>0</v>
      </c>
      <c r="CQ234" s="3">
        <f>CP234</f>
        <v>0</v>
      </c>
      <c r="CR234" s="3">
        <f>CQ234</f>
        <v>0</v>
      </c>
      <c r="CS234" s="3">
        <f>CR234</f>
        <v>0</v>
      </c>
      <c r="CT234" s="3">
        <f>CS234</f>
        <v>0</v>
      </c>
      <c r="CU234" s="3">
        <f>CT234</f>
        <v>0</v>
      </c>
      <c r="CV234" s="3">
        <f>CU234</f>
        <v>0</v>
      </c>
      <c r="CW234" s="3">
        <f>CV234</f>
        <v>0</v>
      </c>
      <c r="CX234" s="3">
        <f>CW234</f>
        <v>0</v>
      </c>
      <c r="CY234" s="3">
        <f>CX234</f>
        <v>0</v>
      </c>
    </row>
    <row r="235">
      <c r="C235" s="26" t="inlineStr">
        <is>
          <t>Deferred income taxes</t>
        </is>
      </c>
      <c r="D235" s="25">
        <f>INDEX('Inputs (2)'!$D$38:$AL$38,MATCH(D$7,'Inputs (2)'!$D$2:$AL$2,0))</f>
        <v>2079</v>
      </c>
      <c r="E235" s="25">
        <f>INDEX('Inputs (2)'!$D$38:$AL$38,MATCH(E$7,'Inputs (2)'!$D$2:$AL$2,0))</f>
        <v>1797</v>
      </c>
      <c r="F235" s="25">
        <f>INDEX('Inputs (2)'!$D$38:$AL$38,MATCH(F$7,'Inputs (2)'!$D$2:$AL$2,0))</f>
        <v>1973</v>
      </c>
      <c r="G235" s="25">
        <f>INDEX('Inputs (2)'!$D$38:$AL$38,MATCH(G$7,'Inputs (2)'!$D$2:$AL$2,0))</f>
        <v>3561</v>
      </c>
      <c r="H235" s="3">
        <f>G235</f>
        <v>3561</v>
      </c>
      <c r="I235" s="25">
        <f>INDEX('Inputs (2)'!$D$38:$AL$38,MATCH(I$7,'Inputs (2)'!$D$2:$AL$2,0))</f>
        <v>4406</v>
      </c>
      <c r="J235" s="25">
        <f>INDEX('Inputs (2)'!$D$38:$AL$38,MATCH(J$7,'Inputs (2)'!$D$2:$AL$2,0))</f>
        <v>4703</v>
      </c>
      <c r="K235" s="25">
        <f>INDEX('Inputs (2)'!$D$38:$AL$38,MATCH(K$7,'Inputs (2)'!$D$2:$AL$2,0))</f>
        <v>3551</v>
      </c>
      <c r="L235" s="25">
        <f>INDEX('Inputs (2)'!$D$38:$AL$38,MATCH(L$7,'Inputs (2)'!$D$2:$AL$2,0))</f>
        <v>5257</v>
      </c>
      <c r="M235" s="3">
        <f>L235</f>
        <v>5257</v>
      </c>
      <c r="N235" s="25">
        <f>INDEX('Inputs (2)'!$D$38:$AL$38,MATCH(N$7,'Inputs (2)'!$D$2:$AL$2,0))</f>
        <v>2843</v>
      </c>
      <c r="O235" s="25">
        <f>INDEX('Inputs (2)'!$D$38:$AL$38,MATCH(O$7,'Inputs (2)'!$D$2:$AL$2,0))</f>
        <v>924</v>
      </c>
      <c r="P235" s="25">
        <f>INDEX('Inputs (2)'!$D$38:$AL$38,MATCH(P$7,'Inputs (2)'!$D$2:$AL$2,0))</f>
        <v>476</v>
      </c>
      <c r="Q235" s="25">
        <f>INDEX('Inputs (2)'!$D$38:$AL$38,MATCH(Q$7,'Inputs (2)'!$D$2:$AL$2,0))</f>
        <v>514</v>
      </c>
      <c r="R235" s="3">
        <f>Q235</f>
        <v>514</v>
      </c>
      <c r="S235" s="25">
        <f>INDEX('Inputs (2)'!$D$38:$AL$38,MATCH(S$7,'Inputs (2)'!$D$2:$AL$2,0))</f>
        <v>542</v>
      </c>
      <c r="T235" s="25">
        <f>INDEX('Inputs (2)'!$D$38:$AL$38,MATCH(T$7,'Inputs (2)'!$D$2:$AL$2,0))</f>
        <v>558</v>
      </c>
      <c r="U235" s="25">
        <f>INDEX('Inputs (2)'!$D$38:$AL$38,MATCH(U$7,'Inputs (2)'!$D$2:$AL$2,0))</f>
        <v>528</v>
      </c>
      <c r="V235" s="25">
        <f>INDEX('Inputs (2)'!$D$38:$AL$38,MATCH(V$7,'Inputs (2)'!$D$2:$AL$2,0))</f>
        <v>485</v>
      </c>
      <c r="W235" s="3">
        <f>V235</f>
        <v>485</v>
      </c>
      <c r="X235" s="25">
        <f>INDEX('Inputs (2)'!$D$38:$AL$38,MATCH(X$7,'Inputs (2)'!$D$2:$AL$2,0))</f>
        <v>486</v>
      </c>
      <c r="Y235" s="25">
        <f>INDEX('Inputs (2)'!$D$38:$AL$38,MATCH(Y$7,'Inputs (2)'!$D$2:$AL$2,0))</f>
        <v>717</v>
      </c>
      <c r="Z235" s="25">
        <f>INDEX('Inputs (2)'!$D$38:$AL$38,MATCH(Z$7,'Inputs (2)'!$D$2:$AL$2,0))</f>
        <v>706</v>
      </c>
      <c r="AA235" s="25">
        <f>INDEX('Inputs (2)'!$D$38:$AL$38,MATCH(AA$7,'Inputs (2)'!$D$2:$AL$2,0))</f>
        <v>0</v>
      </c>
      <c r="AB235" s="3">
        <f>AA235</f>
        <v>0</v>
      </c>
      <c r="AC235" s="25">
        <f>INDEX('Inputs (2)'!$D$38:$AL$38,MATCH(AC$7,'Inputs (2)'!$D$2:$AL$2,0))</f>
        <v>0</v>
      </c>
      <c r="AD235" s="25">
        <f>INDEX('Inputs (2)'!$D$38:$AL$38,MATCH(AD$7,'Inputs (2)'!$D$2:$AL$2,0))</f>
        <v>0</v>
      </c>
      <c r="AE235" s="25">
        <f>INDEX('Inputs (2)'!$D$38:$AL$38,MATCH(AE$7,'Inputs (2)'!$D$2:$AL$2,0))</f>
        <v>0</v>
      </c>
      <c r="AF235" s="25">
        <f>INDEX('Inputs (2)'!$D$38:$AL$38,MATCH(AF$7,'Inputs (2)'!$D$2:$AL$2,0))</f>
        <v>0</v>
      </c>
      <c r="AG235" s="3">
        <f>AF235</f>
        <v>0</v>
      </c>
      <c r="AH235" s="3">
        <f>INDEX('Inputs (2)'!$D$38:$AL$38,MATCH(AH$7,'Inputs (2)'!$D$2:$AL$2,0))</f>
        <v>0</v>
      </c>
      <c r="AI235" s="3">
        <f>INDEX('Inputs (2)'!$D$38:$AL$38,MATCH(AI$7,'Inputs (2)'!$D$2:$AL$2,0))</f>
        <v>22819</v>
      </c>
      <c r="AJ235" s="3">
        <f>AI235</f>
        <v>22819</v>
      </c>
      <c r="AK235" s="3">
        <f>AJ235</f>
        <v>22819</v>
      </c>
      <c r="AL235" s="3">
        <f>AK235</f>
        <v>22819</v>
      </c>
      <c r="AM235" s="3">
        <f>AL235</f>
        <v>22819</v>
      </c>
      <c r="AN235" s="3">
        <f>AM235</f>
        <v>22819</v>
      </c>
      <c r="AO235" s="3">
        <f>AN235</f>
        <v>22819</v>
      </c>
      <c r="AP235" s="3">
        <f>AO235</f>
        <v>22819</v>
      </c>
      <c r="AQ235" s="3">
        <f>AP235</f>
        <v>22819</v>
      </c>
      <c r="AR235" s="3">
        <f>AQ235</f>
        <v>22819</v>
      </c>
      <c r="AS235" s="3">
        <f>AR235</f>
        <v>22819</v>
      </c>
      <c r="AT235" s="3">
        <f>AS235</f>
        <v>22819</v>
      </c>
      <c r="AU235" s="3">
        <f>AT235</f>
        <v>22819</v>
      </c>
      <c r="AV235" s="3">
        <f>AU235</f>
        <v>22819</v>
      </c>
      <c r="AW235" s="3">
        <f>AV235</f>
        <v>22819</v>
      </c>
      <c r="AX235" s="3">
        <f>AW235</f>
        <v>22819</v>
      </c>
      <c r="AY235" s="3">
        <f>AX235</f>
        <v>22819</v>
      </c>
      <c r="AZ235" s="3">
        <f>AY235</f>
        <v>22819</v>
      </c>
      <c r="BA235" s="3">
        <f>AZ235</f>
        <v>22819</v>
      </c>
      <c r="BB235" s="3">
        <f>BA235</f>
        <v>22819</v>
      </c>
      <c r="BC235" s="3">
        <f>BB235</f>
        <v>22819</v>
      </c>
      <c r="BD235" s="3">
        <f>BC235</f>
        <v>22819</v>
      </c>
      <c r="BE235" s="3">
        <f>BD235</f>
        <v>22819</v>
      </c>
      <c r="BF235" s="3">
        <f>BE235</f>
        <v>22819</v>
      </c>
      <c r="BG235" s="3">
        <f>BF235</f>
        <v>22819</v>
      </c>
      <c r="BH235" s="3">
        <f>BG235</f>
        <v>22819</v>
      </c>
      <c r="BI235" s="3">
        <f>BH235</f>
        <v>22819</v>
      </c>
      <c r="BJ235" s="3">
        <f>BI235</f>
        <v>22819</v>
      </c>
      <c r="BK235" s="3">
        <f>BJ235</f>
        <v>22819</v>
      </c>
      <c r="BL235" s="3">
        <f>BK235</f>
        <v>22819</v>
      </c>
      <c r="BM235" s="3">
        <f>BL235</f>
        <v>22819</v>
      </c>
      <c r="BN235" s="3">
        <f>BM235</f>
        <v>22819</v>
      </c>
      <c r="BO235" s="3">
        <f>BN235</f>
        <v>22819</v>
      </c>
      <c r="BP235" s="3">
        <f>BO235</f>
        <v>22819</v>
      </c>
      <c r="BQ235" s="3">
        <f>BP235</f>
        <v>22819</v>
      </c>
      <c r="BR235" s="3">
        <f>BQ235</f>
        <v>22819</v>
      </c>
      <c r="BS235" s="3">
        <f>BR235</f>
        <v>22819</v>
      </c>
      <c r="BT235" s="3">
        <f>BS235</f>
        <v>22819</v>
      </c>
      <c r="BU235" s="3">
        <f>BT235</f>
        <v>22819</v>
      </c>
      <c r="BV235" s="3">
        <f>BU235</f>
        <v>22819</v>
      </c>
      <c r="BW235" s="3">
        <f>BV235</f>
        <v>22819</v>
      </c>
      <c r="BX235" s="3">
        <f>BW235</f>
        <v>22819</v>
      </c>
      <c r="BY235" s="3">
        <f>BX235</f>
        <v>22819</v>
      </c>
      <c r="BZ235" s="3">
        <f>BY235</f>
        <v>22819</v>
      </c>
      <c r="CA235" s="3">
        <f>BZ235</f>
        <v>22819</v>
      </c>
      <c r="CB235" s="3">
        <f>CA235</f>
        <v>22819</v>
      </c>
      <c r="CC235" s="3">
        <f>CB235</f>
        <v>22819</v>
      </c>
      <c r="CD235" s="3">
        <f>CC235</f>
        <v>22819</v>
      </c>
      <c r="CE235" s="3">
        <f>CD235</f>
        <v>22819</v>
      </c>
      <c r="CF235" s="3">
        <f>CE235</f>
        <v>22819</v>
      </c>
      <c r="CG235" s="3">
        <f>CF235</f>
        <v>22819</v>
      </c>
      <c r="CH235" s="3">
        <f>CG235</f>
        <v>22819</v>
      </c>
      <c r="CI235" s="3">
        <f>CH235</f>
        <v>22819</v>
      </c>
      <c r="CJ235" s="3">
        <f>CI235</f>
        <v>22819</v>
      </c>
      <c r="CK235" s="3">
        <f>CJ235</f>
        <v>22819</v>
      </c>
      <c r="CL235" s="3">
        <f>CK235</f>
        <v>22819</v>
      </c>
      <c r="CM235" s="3">
        <f>CL235</f>
        <v>22819</v>
      </c>
      <c r="CN235" s="3">
        <f>CM235</f>
        <v>22819</v>
      </c>
      <c r="CO235" s="3">
        <f>CN235</f>
        <v>22819</v>
      </c>
      <c r="CP235" s="3">
        <f>CO235</f>
        <v>22819</v>
      </c>
      <c r="CQ235" s="3">
        <f>CP235</f>
        <v>22819</v>
      </c>
      <c r="CR235" s="3">
        <f>CQ235</f>
        <v>22819</v>
      </c>
      <c r="CS235" s="3">
        <f>CR235</f>
        <v>22819</v>
      </c>
      <c r="CT235" s="3">
        <f>CS235</f>
        <v>22819</v>
      </c>
      <c r="CU235" s="3">
        <f>CT235</f>
        <v>22819</v>
      </c>
      <c r="CV235" s="3">
        <f>CU235</f>
        <v>22819</v>
      </c>
      <c r="CW235" s="3">
        <f>CV235</f>
        <v>22819</v>
      </c>
      <c r="CX235" s="3">
        <f>CW235</f>
        <v>22819</v>
      </c>
      <c r="CY235" s="3">
        <f>CX235</f>
        <v>22819</v>
      </c>
    </row>
    <row r="236">
      <c r="C236" s="26" t="inlineStr">
        <is>
          <t>Other non-current liabilities</t>
        </is>
      </c>
      <c r="D236" s="25">
        <f>INDEX('Inputs (2)'!$D$39:$AL$39,MATCH(D$7,'Inputs (2)'!$D$2:$AL$2,0))</f>
        <v>11984</v>
      </c>
      <c r="E236" s="25">
        <f>INDEX('Inputs (2)'!$D$39:$AL$39,MATCH(E$7,'Inputs (2)'!$D$2:$AL$2,0))</f>
        <v>10988</v>
      </c>
      <c r="F236" s="25">
        <f>INDEX('Inputs (2)'!$D$39:$AL$39,MATCH(F$7,'Inputs (2)'!$D$2:$AL$2,0))</f>
        <v>11264</v>
      </c>
      <c r="G236" s="25">
        <f>INDEX('Inputs (2)'!$D$39:$AL$39,MATCH(G$7,'Inputs (2)'!$D$2:$AL$2,0))</f>
        <v>11599</v>
      </c>
      <c r="H236" s="3">
        <f>G236</f>
        <v>11599</v>
      </c>
      <c r="I236" s="25">
        <f>INDEX('Inputs (2)'!$D$39:$AL$39,MATCH(I$7,'Inputs (2)'!$D$2:$AL$2,0))</f>
        <v>11954</v>
      </c>
      <c r="J236" s="25">
        <f>INDEX('Inputs (2)'!$D$39:$AL$39,MATCH(J$7,'Inputs (2)'!$D$2:$AL$2,0))</f>
        <v>11431</v>
      </c>
      <c r="K236" s="25">
        <f>INDEX('Inputs (2)'!$D$39:$AL$39,MATCH(K$7,'Inputs (2)'!$D$2:$AL$2,0))</f>
        <v>11744</v>
      </c>
      <c r="L236" s="25">
        <f>INDEX('Inputs (2)'!$D$39:$AL$39,MATCH(L$7,'Inputs (2)'!$D$2:$AL$2,0))</f>
        <v>11916</v>
      </c>
      <c r="M236" s="3">
        <f>L236</f>
        <v>11916</v>
      </c>
      <c r="N236" s="25">
        <f>INDEX('Inputs (2)'!$D$39:$AL$39,MATCH(N$7,'Inputs (2)'!$D$2:$AL$2,0))</f>
        <v>12147</v>
      </c>
      <c r="O236" s="25">
        <f>INDEX('Inputs (2)'!$D$39:$AL$39,MATCH(O$7,'Inputs (2)'!$D$2:$AL$2,0))</f>
        <v>11057</v>
      </c>
      <c r="P236" s="25">
        <f>INDEX('Inputs (2)'!$D$39:$AL$39,MATCH(P$7,'Inputs (2)'!$D$2:$AL$2,0))</f>
        <v>11537</v>
      </c>
      <c r="Q236" s="25">
        <f>INDEX('Inputs (2)'!$D$39:$AL$39,MATCH(Q$7,'Inputs (2)'!$D$2:$AL$2,0))</f>
        <v>12104</v>
      </c>
      <c r="R236" s="3">
        <f>Q236</f>
        <v>12104</v>
      </c>
      <c r="S236" s="25">
        <f>INDEX('Inputs (2)'!$D$39:$AL$39,MATCH(S$7,'Inputs (2)'!$D$2:$AL$2,0))</f>
        <v>12705</v>
      </c>
      <c r="T236" s="25">
        <f>INDEX('Inputs (2)'!$D$39:$AL$39,MATCH(T$7,'Inputs (2)'!$D$2:$AL$2,0))</f>
        <v>11185</v>
      </c>
      <c r="U236" s="25">
        <f>INDEX('Inputs (2)'!$D$39:$AL$39,MATCH(U$7,'Inputs (2)'!$D$2:$AL$2,0))</f>
        <v>10355</v>
      </c>
      <c r="V236" s="25">
        <f>INDEX('Inputs (2)'!$D$39:$AL$39,MATCH(V$7,'Inputs (2)'!$D$2:$AL$2,0))</f>
        <v>11001</v>
      </c>
      <c r="W236" s="3">
        <f>V236</f>
        <v>11001</v>
      </c>
      <c r="X236" s="25">
        <f>INDEX('Inputs (2)'!$D$39:$AL$39,MATCH(X$7,'Inputs (2)'!$D$2:$AL$2,0))</f>
        <v>11838</v>
      </c>
      <c r="Y236" s="25">
        <f>INDEX('Inputs (2)'!$D$39:$AL$39,MATCH(Y$7,'Inputs (2)'!$D$2:$AL$2,0))</f>
        <v>10441</v>
      </c>
      <c r="Z236" s="25">
        <f>INDEX('Inputs (2)'!$D$39:$AL$39,MATCH(Z$7,'Inputs (2)'!$D$2:$AL$2,0))</f>
        <v>10687</v>
      </c>
      <c r="AA236" s="25">
        <f>INDEX('Inputs (2)'!$D$39:$AL$39,MATCH(AA$7,'Inputs (2)'!$D$2:$AL$2,0))</f>
        <v>13476</v>
      </c>
      <c r="AB236" s="3">
        <f>AA236</f>
        <v>13476</v>
      </c>
      <c r="AC236" s="25">
        <f>INDEX('Inputs (2)'!$D$39:$AL$39,MATCH(AC$7,'Inputs (2)'!$D$2:$AL$2,0))</f>
        <v>15889</v>
      </c>
      <c r="AD236" s="25">
        <f>INDEX('Inputs (2)'!$D$39:$AL$39,MATCH(AD$7,'Inputs (2)'!$D$2:$AL$2,0))</f>
        <v>16268</v>
      </c>
      <c r="AE236" s="25">
        <f>INDEX('Inputs (2)'!$D$39:$AL$39,MATCH(AE$7,'Inputs (2)'!$D$2:$AL$2,0))</f>
        <v>16339</v>
      </c>
      <c r="AF236" s="25">
        <f>INDEX('Inputs (2)'!$D$39:$AL$39,MATCH(AF$7,'Inputs (2)'!$D$2:$AL$2,0))</f>
        <v>17980</v>
      </c>
      <c r="AG236" s="3">
        <f>AF236</f>
        <v>17980</v>
      </c>
      <c r="AH236" s="3">
        <f>INDEX('Inputs (2)'!$D$39:$AL$39,MATCH(AH$7,'Inputs (2)'!$D$2:$AL$2,0))</f>
        <v>23501</v>
      </c>
      <c r="AI236" s="3">
        <f>INDEX('Inputs (2)'!$D$39:$AL$39,MATCH(AI$7,'Inputs (2)'!$D$2:$AL$2,0))</f>
        <v>19817</v>
      </c>
      <c r="AJ236" s="3">
        <f>AI236</f>
        <v>19817</v>
      </c>
      <c r="AK236" s="3">
        <f>AJ236</f>
        <v>19817</v>
      </c>
      <c r="AL236" s="3">
        <f>AK236</f>
        <v>19817</v>
      </c>
      <c r="AM236" s="3">
        <f>AL236</f>
        <v>19817</v>
      </c>
      <c r="AN236" s="3">
        <f>AM236</f>
        <v>19817</v>
      </c>
      <c r="AO236" s="3">
        <f>AN236</f>
        <v>19817</v>
      </c>
      <c r="AP236" s="3">
        <f>AO236</f>
        <v>19817</v>
      </c>
      <c r="AQ236" s="3">
        <f>AP236</f>
        <v>19817</v>
      </c>
      <c r="AR236" s="3">
        <f>AQ236</f>
        <v>19817</v>
      </c>
      <c r="AS236" s="3">
        <f>AR236</f>
        <v>19817</v>
      </c>
      <c r="AT236" s="3">
        <f>AS236</f>
        <v>19817</v>
      </c>
      <c r="AU236" s="3">
        <f>AT236</f>
        <v>19817</v>
      </c>
      <c r="AV236" s="3">
        <f>AU236</f>
        <v>19817</v>
      </c>
      <c r="AW236" s="3">
        <f>AV236</f>
        <v>19817</v>
      </c>
      <c r="AX236" s="3">
        <f>AW236</f>
        <v>19817</v>
      </c>
      <c r="AY236" s="3">
        <f>AX236</f>
        <v>19817</v>
      </c>
      <c r="AZ236" s="3">
        <f>AY236</f>
        <v>19817</v>
      </c>
      <c r="BA236" s="3">
        <f>AZ236</f>
        <v>19817</v>
      </c>
      <c r="BB236" s="3">
        <f>BA236</f>
        <v>19817</v>
      </c>
      <c r="BC236" s="3">
        <f>BB236</f>
        <v>19817</v>
      </c>
      <c r="BD236" s="3">
        <f>BC236</f>
        <v>19817</v>
      </c>
      <c r="BE236" s="3">
        <f>BD236</f>
        <v>19817</v>
      </c>
      <c r="BF236" s="3">
        <f>BE236</f>
        <v>19817</v>
      </c>
      <c r="BG236" s="3">
        <f>BF236</f>
        <v>19817</v>
      </c>
      <c r="BH236" s="3">
        <f>BG236</f>
        <v>19817</v>
      </c>
      <c r="BI236" s="3">
        <f>BH236</f>
        <v>19817</v>
      </c>
      <c r="BJ236" s="3">
        <f>BI236</f>
        <v>19817</v>
      </c>
      <c r="BK236" s="3">
        <f>BJ236</f>
        <v>19817</v>
      </c>
      <c r="BL236" s="3">
        <f>BK236</f>
        <v>19817</v>
      </c>
      <c r="BM236" s="3">
        <f>BL236</f>
        <v>19817</v>
      </c>
      <c r="BN236" s="3">
        <f>BM236</f>
        <v>19817</v>
      </c>
      <c r="BO236" s="3">
        <f>BN236</f>
        <v>19817</v>
      </c>
      <c r="BP236" s="3">
        <f>BO236</f>
        <v>19817</v>
      </c>
      <c r="BQ236" s="3">
        <f>BP236</f>
        <v>19817</v>
      </c>
      <c r="BR236" s="3">
        <f>BQ236</f>
        <v>19817</v>
      </c>
      <c r="BS236" s="3">
        <f>BR236</f>
        <v>19817</v>
      </c>
      <c r="BT236" s="3">
        <f>BS236</f>
        <v>19817</v>
      </c>
      <c r="BU236" s="3">
        <f>BT236</f>
        <v>19817</v>
      </c>
      <c r="BV236" s="3">
        <f>BU236</f>
        <v>19817</v>
      </c>
      <c r="BW236" s="3">
        <f>BV236</f>
        <v>19817</v>
      </c>
      <c r="BX236" s="3">
        <f>BW236</f>
        <v>19817</v>
      </c>
      <c r="BY236" s="3">
        <f>BX236</f>
        <v>19817</v>
      </c>
      <c r="BZ236" s="3">
        <f>BY236</f>
        <v>19817</v>
      </c>
      <c r="CA236" s="3">
        <f>BZ236</f>
        <v>19817</v>
      </c>
      <c r="CB236" s="3">
        <f>CA236</f>
        <v>19817</v>
      </c>
      <c r="CC236" s="3">
        <f>CB236</f>
        <v>19817</v>
      </c>
      <c r="CD236" s="3">
        <f>CC236</f>
        <v>19817</v>
      </c>
      <c r="CE236" s="3">
        <f>CD236</f>
        <v>19817</v>
      </c>
      <c r="CF236" s="3">
        <f>CE236</f>
        <v>19817</v>
      </c>
      <c r="CG236" s="3">
        <f>CF236</f>
        <v>19817</v>
      </c>
      <c r="CH236" s="3">
        <f>CG236</f>
        <v>19817</v>
      </c>
      <c r="CI236" s="3">
        <f>CH236</f>
        <v>19817</v>
      </c>
      <c r="CJ236" s="3">
        <f>CI236</f>
        <v>19817</v>
      </c>
      <c r="CK236" s="3">
        <f>CJ236</f>
        <v>19817</v>
      </c>
      <c r="CL236" s="3">
        <f>CK236</f>
        <v>19817</v>
      </c>
      <c r="CM236" s="3">
        <f>CL236</f>
        <v>19817</v>
      </c>
      <c r="CN236" s="3">
        <f>CM236</f>
        <v>19817</v>
      </c>
      <c r="CO236" s="3">
        <f>CN236</f>
        <v>19817</v>
      </c>
      <c r="CP236" s="3">
        <f>CO236</f>
        <v>19817</v>
      </c>
      <c r="CQ236" s="3">
        <f>CP236</f>
        <v>19817</v>
      </c>
      <c r="CR236" s="3">
        <f>CQ236</f>
        <v>19817</v>
      </c>
      <c r="CS236" s="3">
        <f>CR236</f>
        <v>19817</v>
      </c>
      <c r="CT236" s="3">
        <f>CS236</f>
        <v>19817</v>
      </c>
      <c r="CU236" s="3">
        <f>CT236</f>
        <v>19817</v>
      </c>
      <c r="CV236" s="3">
        <f>CU236</f>
        <v>19817</v>
      </c>
      <c r="CW236" s="3">
        <f>CV236</f>
        <v>19817</v>
      </c>
      <c r="CX236" s="3">
        <f>CW236</f>
        <v>19817</v>
      </c>
      <c r="CY236" s="3">
        <f>CX236</f>
        <v>19817</v>
      </c>
    </row>
    <row r="237" hidden="1" outlineLevel="1" ht="12" customHeight="1">
      <c r="C237" s="38" t="inlineStr">
        <is>
          <t>%(Var.)</t>
        </is>
      </c>
      <c r="D237" s="3" t="n"/>
      <c r="E237" s="47">
        <f>(E236-D236)/D236</f>
        <v>-0.0831108144192256</v>
      </c>
      <c r="F237" s="47">
        <f>(F236-E236)/E236</f>
        <v>0.0251183108846014</v>
      </c>
      <c r="G237" s="47">
        <f>(G236-F236)/F236</f>
        <v>0.0297407670454545</v>
      </c>
      <c r="H237" s="3" t="n"/>
      <c r="I237" s="47">
        <f>(I236-H236)/H236</f>
        <v>0.0306060867316148</v>
      </c>
      <c r="J237" s="47">
        <f>(J236-I236)/I236</f>
        <v>-0.0437510456750878</v>
      </c>
      <c r="K237" s="47">
        <f>(K236-J236)/J236</f>
        <v>0.0273816813927041</v>
      </c>
      <c r="L237" s="47">
        <f>(L236-K236)/K236</f>
        <v>0.0146457765667575</v>
      </c>
      <c r="M237" s="3" t="n"/>
      <c r="N237" s="47">
        <f>(N236-M236)/M236</f>
        <v>0.0193856998992951</v>
      </c>
      <c r="O237" s="47">
        <f>(O236-N236)/N236</f>
        <v>-0.089734090721989</v>
      </c>
      <c r="P237" s="47">
        <f>(P236-O236)/O236</f>
        <v>0.0434114135841548</v>
      </c>
      <c r="Q237" s="47">
        <f>(Q236-P236)/P236</f>
        <v>0.0491462251885239</v>
      </c>
      <c r="R237" s="3" t="n"/>
      <c r="S237" s="47">
        <f>(S236-R236)/R236</f>
        <v>0.0496530072703239</v>
      </c>
      <c r="T237" s="47">
        <f>(T236-S236)/S236</f>
        <v>-0.119637937819756</v>
      </c>
      <c r="U237" s="47">
        <f>(U236-T236)/T236</f>
        <v>-0.0742065265981225</v>
      </c>
      <c r="V237" s="47">
        <f>(V236-U236)/U236</f>
        <v>0.0623853211009174</v>
      </c>
      <c r="W237" s="3" t="n"/>
      <c r="X237" s="47">
        <f>(X236-W236)/W236</f>
        <v>0.0760839923643305</v>
      </c>
      <c r="Y237" s="47">
        <f>(Y236-X236)/X236</f>
        <v>-0.118009798952526</v>
      </c>
      <c r="Z237" s="47">
        <f>(Z236-Y236)/Y236</f>
        <v>0.0235609615937171</v>
      </c>
      <c r="AA237" s="47">
        <f>(AA236-Z236)/Z236</f>
        <v>0.260971273509872</v>
      </c>
      <c r="AB237" s="3" t="n"/>
      <c r="AC237" s="47">
        <f>(AC236-AB236)/AB236</f>
        <v>0.179059067972692</v>
      </c>
      <c r="AD237" s="47">
        <f>(AD236-AC236)/AC236</f>
        <v>0.0238529800490906</v>
      </c>
      <c r="AE237" s="47">
        <f>(AE236-AD236)/AD236</f>
        <v>0.00436439636095402</v>
      </c>
      <c r="AF237" s="230">
        <f>(AF236-AE236)/AE236</f>
        <v>0.100434543117694</v>
      </c>
      <c r="AG237" s="3" t="n"/>
      <c r="AH237" s="230">
        <f>(AH236-AG236)/AG236</f>
        <v>0.30706340378198</v>
      </c>
      <c r="AI237" s="230">
        <f>(AI236-AH236)/AH236</f>
        <v>-0.156759286838858</v>
      </c>
      <c r="AJ237" s="230" t="n"/>
      <c r="AK237" s="230" t="n"/>
      <c r="AL237" s="3" t="n"/>
      <c r="AM237" s="230" t="n"/>
      <c r="AN237" s="230" t="n"/>
      <c r="AO237" s="230" t="n"/>
      <c r="AP237" s="230" t="n"/>
      <c r="AQ237" s="3" t="n"/>
      <c r="AR237" s="230" t="n"/>
      <c r="AS237" s="230" t="n"/>
      <c r="AT237" s="230" t="n"/>
      <c r="AU237" s="230" t="n"/>
      <c r="AV237" s="3" t="n"/>
      <c r="AW237" s="230" t="n"/>
      <c r="AX237" s="230" t="n"/>
      <c r="AY237" s="230" t="n"/>
      <c r="AZ237" s="230" t="n"/>
      <c r="BA237" s="3" t="n"/>
      <c r="BB237" s="230" t="n"/>
      <c r="BC237" s="230" t="n"/>
      <c r="BD237" s="230" t="n"/>
      <c r="BE237" s="230" t="n"/>
      <c r="BF237" s="3" t="n"/>
      <c r="BG237" s="230" t="n"/>
      <c r="BH237" s="230" t="n"/>
      <c r="BI237" s="230" t="n"/>
      <c r="BJ237" s="230" t="n"/>
      <c r="BK237" s="3" t="n"/>
      <c r="BL237" s="230" t="n"/>
      <c r="BM237" s="230" t="n"/>
      <c r="BN237" s="230" t="n"/>
      <c r="BO237" s="230" t="n"/>
      <c r="BP237" s="3" t="n"/>
      <c r="BQ237" s="230" t="n"/>
      <c r="BR237" s="230" t="n"/>
      <c r="BS237" s="230" t="n"/>
      <c r="BT237" s="230" t="n"/>
      <c r="BU237" s="3" t="n"/>
      <c r="BV237" s="230" t="n"/>
      <c r="BW237" s="230" t="n"/>
      <c r="BX237" s="230" t="n"/>
      <c r="BY237" s="230" t="n"/>
      <c r="BZ237" s="3" t="n"/>
      <c r="CA237" s="230" t="n"/>
      <c r="CB237" s="230" t="n"/>
      <c r="CC237" s="230" t="n"/>
      <c r="CD237" s="230" t="n"/>
      <c r="CE237" s="3" t="n"/>
      <c r="CF237" s="230" t="n"/>
      <c r="CG237" s="230" t="n"/>
      <c r="CH237" s="230" t="n"/>
      <c r="CI237" s="230" t="n"/>
      <c r="CJ237" s="3" t="n"/>
      <c r="CK237" s="230" t="n"/>
      <c r="CL237" s="230" t="n"/>
      <c r="CM237" s="230" t="n"/>
      <c r="CN237" s="230" t="n"/>
      <c r="CO237" s="3" t="n"/>
      <c r="CP237" s="230" t="n"/>
      <c r="CQ237" s="230" t="n"/>
      <c r="CR237" s="230" t="n"/>
      <c r="CS237" s="230" t="n"/>
      <c r="CT237" s="3" t="n"/>
      <c r="CU237" s="230" t="n"/>
      <c r="CV237" s="230" t="n"/>
      <c r="CW237" s="230" t="n"/>
      <c r="CX237" s="230" t="n"/>
      <c r="CY237" s="3" t="n"/>
    </row>
    <row r="238" hidden="1" outlineLevel="1" ht="12" customHeight="1">
      <c r="C238" s="38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  <c r="CU238" s="3" t="n"/>
      <c r="CV238" s="3" t="n"/>
      <c r="CW238" s="3" t="n"/>
      <c r="CX238" s="3" t="n"/>
      <c r="CY238" s="3" t="n"/>
    </row>
    <row r="239" hidden="1" outlineLevel="1">
      <c r="C239" s="34" t="inlineStr">
        <is>
          <t>Contas a pagar pela aquisição de controladas</t>
        </is>
      </c>
      <c r="D239" s="6" t="n"/>
      <c r="E239" s="6" t="n"/>
      <c r="F239" s="6" t="n"/>
      <c r="G239" s="6" t="n"/>
      <c r="H239" s="3" t="n"/>
      <c r="I239" s="6" t="n"/>
      <c r="J239" s="6" t="n"/>
      <c r="K239" s="6" t="n"/>
      <c r="L239" s="6" t="n"/>
      <c r="M239" s="3" t="n"/>
      <c r="N239" s="6" t="n"/>
      <c r="O239" s="6" t="n"/>
      <c r="P239" s="6" t="n"/>
      <c r="Q239" s="6" t="n"/>
      <c r="R239" s="3" t="n"/>
      <c r="S239" s="6" t="n"/>
      <c r="T239" s="6" t="n"/>
      <c r="U239" s="6" t="n"/>
      <c r="V239" s="6" t="n"/>
      <c r="W239" s="3" t="n"/>
      <c r="X239" s="6" t="n"/>
      <c r="Y239" s="6" t="n"/>
      <c r="Z239" s="6" t="n"/>
      <c r="AA239" s="6" t="n"/>
      <c r="AB239" s="3" t="n"/>
      <c r="AC239" s="6" t="n"/>
      <c r="AD239" s="6" t="n"/>
      <c r="AE239" s="6" t="n"/>
      <c r="AF239" s="6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/>
      <c r="CG239" s="3" t="n"/>
      <c r="CH239" s="3" t="n"/>
      <c r="CI239" s="3" t="n"/>
      <c r="CJ239" s="3" t="n"/>
      <c r="CK239" s="3" t="n"/>
      <c r="CL239" s="3" t="n"/>
      <c r="CM239" s="3" t="n"/>
      <c r="CN239" s="3" t="n"/>
      <c r="CO239" s="3" t="n"/>
      <c r="CP239" s="3" t="n"/>
      <c r="CQ239" s="3" t="n"/>
      <c r="CR239" s="3" t="n"/>
      <c r="CS239" s="3" t="n"/>
      <c r="CT239" s="3" t="n"/>
      <c r="CU239" s="3" t="n"/>
      <c r="CV239" s="3" t="n"/>
      <c r="CW239" s="3" t="n"/>
      <c r="CX239" s="3" t="n"/>
      <c r="CY239" s="3" t="n"/>
    </row>
    <row r="240" hidden="1" outlineLevel="1">
      <c r="C240" s="34" t="inlineStr">
        <is>
          <t xml:space="preserve">Outras Obrigações </t>
        </is>
      </c>
      <c r="D240" s="6" t="n"/>
      <c r="E240" s="6" t="n"/>
      <c r="F240" s="6" t="n"/>
      <c r="G240" s="6" t="n"/>
      <c r="H240" s="3" t="n"/>
      <c r="I240" s="6" t="n"/>
      <c r="J240" s="6" t="n"/>
      <c r="K240" s="6" t="n"/>
      <c r="L240" s="6" t="n"/>
      <c r="M240" s="3" t="n"/>
      <c r="N240" s="6" t="n"/>
      <c r="O240" s="6" t="n"/>
      <c r="P240" s="6" t="n"/>
      <c r="Q240" s="6" t="n"/>
      <c r="R240" s="3" t="n"/>
      <c r="S240" s="6" t="n"/>
      <c r="T240" s="6" t="n"/>
      <c r="U240" s="6" t="n"/>
      <c r="V240" s="6" t="n"/>
      <c r="W240" s="3" t="n"/>
      <c r="X240" s="6" t="n"/>
      <c r="Y240" s="6" t="n"/>
      <c r="Z240" s="6" t="n"/>
      <c r="AA240" s="6" t="n"/>
      <c r="AB240" s="3" t="n"/>
      <c r="AC240" s="6" t="n"/>
      <c r="AD240" s="6" t="n"/>
      <c r="AE240" s="6" t="n"/>
      <c r="AF240" s="6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n"/>
      <c r="CC240" s="3" t="n"/>
      <c r="CD240" s="3" t="n"/>
      <c r="CE240" s="3" t="n"/>
      <c r="CF240" s="3" t="n"/>
      <c r="CG240" s="3" t="n"/>
      <c r="CH240" s="3" t="n"/>
      <c r="CI240" s="3" t="n"/>
      <c r="CJ240" s="3" t="n"/>
      <c r="CK240" s="3" t="n"/>
      <c r="CL240" s="3" t="n"/>
      <c r="CM240" s="3" t="n"/>
      <c r="CN240" s="3" t="n"/>
      <c r="CO240" s="3" t="n"/>
      <c r="CP240" s="3" t="n"/>
      <c r="CQ240" s="3" t="n"/>
      <c r="CR240" s="3" t="n"/>
      <c r="CS240" s="3" t="n"/>
      <c r="CT240" s="3" t="n"/>
      <c r="CU240" s="3" t="n"/>
      <c r="CV240" s="3" t="n"/>
      <c r="CW240" s="3" t="n"/>
      <c r="CX240" s="3" t="n"/>
      <c r="CY240" s="3" t="n"/>
    </row>
    <row r="241" hidden="1" outlineLevel="1">
      <c r="C241" s="34" t="inlineStr">
        <is>
          <t xml:space="preserve">Provisão de Risco Cíveis, Trabalhistas e Tributários </t>
        </is>
      </c>
      <c r="D241" s="6" t="n"/>
      <c r="E241" s="6" t="n"/>
      <c r="F241" s="6" t="n"/>
      <c r="G241" s="6" t="n"/>
      <c r="H241" s="3" t="n"/>
      <c r="I241" s="6" t="n"/>
      <c r="J241" s="6" t="n"/>
      <c r="K241" s="6" t="n"/>
      <c r="L241" s="6" t="n"/>
      <c r="M241" s="3" t="n"/>
      <c r="N241" s="6" t="n"/>
      <c r="O241" s="6" t="n"/>
      <c r="P241" s="6" t="n"/>
      <c r="Q241" s="6" t="n"/>
      <c r="R241" s="3" t="n"/>
      <c r="S241" s="6" t="n"/>
      <c r="T241" s="6" t="n"/>
      <c r="U241" s="6" t="n"/>
      <c r="V241" s="6" t="n"/>
      <c r="W241" s="3" t="n"/>
      <c r="X241" s="6" t="n"/>
      <c r="Y241" s="6" t="n"/>
      <c r="Z241" s="6" t="n"/>
      <c r="AA241" s="6" t="n"/>
      <c r="AB241" s="3" t="n"/>
      <c r="AC241" s="6" t="n"/>
      <c r="AD241" s="6" t="n"/>
      <c r="AE241" s="6" t="n"/>
      <c r="AF241" s="6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n"/>
      <c r="CC241" s="3" t="n"/>
      <c r="CD241" s="3" t="n"/>
      <c r="CE241" s="3" t="n"/>
      <c r="CF241" s="3" t="n"/>
      <c r="CG241" s="3" t="n"/>
      <c r="CH241" s="3" t="n"/>
      <c r="CI241" s="3" t="n"/>
      <c r="CJ241" s="3" t="n"/>
      <c r="CK241" s="3" t="n"/>
      <c r="CL241" s="3" t="n"/>
      <c r="CM241" s="3" t="n"/>
      <c r="CN241" s="3" t="n"/>
      <c r="CO241" s="3" t="n"/>
      <c r="CP241" s="3" t="n"/>
      <c r="CQ241" s="3" t="n"/>
      <c r="CR241" s="3" t="n"/>
      <c r="CS241" s="3" t="n"/>
      <c r="CT241" s="3" t="n"/>
      <c r="CU241" s="3" t="n"/>
      <c r="CV241" s="3" t="n"/>
      <c r="CW241" s="3" t="n"/>
      <c r="CX241" s="3" t="n"/>
      <c r="CY241" s="3" t="n"/>
    </row>
    <row r="242" hidden="1" outlineLevel="1">
      <c r="C242" s="34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3" t="n"/>
      <c r="BW242" s="3" t="n"/>
      <c r="BX242" s="3" t="n"/>
      <c r="BY242" s="3" t="n"/>
      <c r="BZ242" s="3" t="n"/>
      <c r="CA242" s="3" t="n"/>
      <c r="CB242" s="3" t="n"/>
      <c r="CC242" s="3" t="n"/>
      <c r="CD242" s="3" t="n"/>
      <c r="CE242" s="3" t="n"/>
      <c r="CF242" s="3" t="n"/>
      <c r="CG242" s="3" t="n"/>
      <c r="CH242" s="3" t="n"/>
      <c r="CI242" s="3" t="n"/>
      <c r="CJ242" s="3" t="n"/>
      <c r="CK242" s="3" t="n"/>
      <c r="CL242" s="3" t="n"/>
      <c r="CM242" s="3" t="n"/>
      <c r="CN242" s="3" t="n"/>
      <c r="CO242" s="3" t="n"/>
      <c r="CP242" s="3" t="n"/>
      <c r="CQ242" s="3" t="n"/>
      <c r="CR242" s="3" t="n"/>
      <c r="CS242" s="3" t="n"/>
      <c r="CT242" s="3" t="n"/>
      <c r="CU242" s="3" t="n"/>
      <c r="CV242" s="3" t="n"/>
      <c r="CW242" s="3" t="n"/>
      <c r="CX242" s="3" t="n"/>
      <c r="CY242" s="3" t="n"/>
    </row>
    <row r="243" collapsed="1" customFormat="1" s="17">
      <c r="A243" s="13" t="n"/>
      <c r="B243" s="13" t="n"/>
      <c r="C243" s="27" t="inlineStr">
        <is>
          <t>Total Liabilities</t>
        </is>
      </c>
      <c r="D243" s="16">
        <f>SUM(D194+D198+D200+D201+D208+D209+D210+D213+D231+D234+D235+D236)</f>
        <v>69744</v>
      </c>
      <c r="E243" s="16">
        <f>SUM(E194+E198+E200+E201+E208+E209+E210+E213+E231+E234+E235+E236)</f>
        <v>71170</v>
      </c>
      <c r="F243" s="16">
        <f>SUM(F194+F198+F200+F201+F208+F209+F210+F213+F231+F234+F235+F236)</f>
        <v>86323</v>
      </c>
      <c r="G243" s="16">
        <f>SUM(G194+G198+G200+G201+G208+G209+G210+G213+G231+G234+G235+G236)</f>
        <v>97072</v>
      </c>
      <c r="H243" s="16">
        <f>SUM(H194,H198,H200,H201,H208,H209,H213,H210,H231,H234,H235,H236)</f>
        <v>97072</v>
      </c>
      <c r="I243" s="16">
        <f>SUM(I194+I198+I200+I201+I208+I209+I210+I213+I231+I234+I235+I236)</f>
        <v>97082</v>
      </c>
      <c r="J243" s="16">
        <f>SUM(J194+J198+J200+J201+J208+J209+J210+J213+J231+J234+J235+J236)</f>
        <v>97822</v>
      </c>
      <c r="K243" s="16">
        <f>SUM(K194+K198+K200+K201+K208+K209+K210+K213+K231+K234+K235+K236)</f>
        <v>102836</v>
      </c>
      <c r="L243" s="16">
        <f>SUM(L194+L198+L200+L201+L208+L209+L210+L213+L231+L234+L235+L236)</f>
        <v>107633</v>
      </c>
      <c r="M243" s="16">
        <f>SUM(M194,M198,M200,M201,M208,M209,M213,M210,M231,M234,M235,M236)</f>
        <v>107633</v>
      </c>
      <c r="N243" s="16">
        <f>SUM(N194+N198+N200+N201+N208+N209+N210+N213+N231+N234+N235+N236)</f>
        <v>103092</v>
      </c>
      <c r="O243" s="16">
        <f>SUM(O194+O198+O200+O201+O208+O209+O210+O213+O231+O234+O235+O236)</f>
        <v>99766</v>
      </c>
      <c r="P243" s="16">
        <f>SUM(P194+P198+P200+P201+P208+P209+P210+P213+P231+P234+P235+P236)</f>
        <v>104629</v>
      </c>
      <c r="Q243" s="16">
        <f>SUM(Q194+Q198+Q200+Q201+Q208+Q209+Q210+Q213+Q231+Q234+Q235+Q236)</f>
        <v>109120</v>
      </c>
      <c r="R243" s="16">
        <f>SUM(R194,R198,R200,R201,R208,R209,R213,R210,R231,R234,R235,R236)</f>
        <v>109120</v>
      </c>
      <c r="S243" s="16">
        <f>SUM(S194+S198+S200+S201+S208+S209+S210+S213+S231+S234+S235+S236)</f>
        <v>108597</v>
      </c>
      <c r="T243" s="16">
        <f>SUM(T194+T198+T200+T201+T208+T209+T210+T213+T231+T234+T235+T236)</f>
        <v>115903</v>
      </c>
      <c r="U243" s="16">
        <f>SUM(U194+U198+U200+U201+U208+U209+U210+U213+U231+U234+U235+U236)</f>
        <v>123509</v>
      </c>
      <c r="V243" s="16">
        <f>SUM(V194+V198+V200+V201+V208+V209+V210+V213+V231+V234+V235+V236)</f>
        <v>119013</v>
      </c>
      <c r="W243" s="16">
        <f>SUM(W194,W198,W200,W201,W208,W209,W213,W210,W231,W234,W235,W236)</f>
        <v>119013</v>
      </c>
      <c r="X243" s="16">
        <f>SUM(X194+X198+X200+X201+X208+X209+X210+X213+X231+X234+X235+X236)</f>
        <v>114506</v>
      </c>
      <c r="Y243" s="16">
        <f>SUM(Y194+Y198+Y200+Y201+Y208+Y209+Y210+Y213+Y231+Y234+Y235+Y236)</f>
        <v>114017</v>
      </c>
      <c r="Z243" s="16">
        <f>SUM(Z194+Z198+Z200+Z201+Z208+Z209+Z210+Z213+Z231+Z234+Z235+Z236)</f>
        <v>116147</v>
      </c>
      <c r="AA243" s="16">
        <f>SUM(AA194+AA198+AA200+AA201+AA208+AA209+AA210+AA213+AA231+AA234+AA235+AA236)</f>
        <v>125172</v>
      </c>
      <c r="AB243" s="16">
        <f>SUM(AB194,AB198,AB200,AB201,AB208,AB209,AB213,AB210,AB231,AB234,AB235,AB236)</f>
        <v>125172</v>
      </c>
      <c r="AC243" s="16">
        <f>SUM(AC194+AC198+AC200+AC201+AC208+AC209+AC210+AC213+AC231+AC234+AC235+AC236)</f>
        <v>130107</v>
      </c>
      <c r="AD243" s="16">
        <f>SUM(AD194+AD198+AD200+AD201+AD208+AD209+AD210+AD213+AD231+AD234+AD235+AD236)</f>
        <v>139137</v>
      </c>
      <c r="AE243" s="16">
        <f>SUM(AE194+AE198+AE200+AE201+AE208+AE209+AE210+AE213+AE231+AE234+AE235+AE236)</f>
        <v>149602</v>
      </c>
      <c r="AF243" s="16">
        <f>SUM(AF194+AF198+AF200+AF201+AF208+AF209+AF210+AF213+AF231+AF234+AF235+AF236)</f>
        <v>180016</v>
      </c>
      <c r="AG243" s="16">
        <f>SUM(AG194,AG198,AG200,AG201,AG208,AG209,AG213,AG210,AG231,AG234,AG235,AG236)</f>
        <v>180016</v>
      </c>
      <c r="AH243" s="16">
        <f>SUM(AH194+AH198+AH200+AH201+AH208+AH209+AH210+AH213+AH231+AH234+AH235+AH236)</f>
        <v>225173</v>
      </c>
      <c r="AI243" s="16">
        <f>SUM(AI194+AI198+AI200+AI201+AI208+AI209+AI210+AI213+AI231+AI234+AI235+AI236)</f>
        <v>281503</v>
      </c>
      <c r="AJ243" s="16">
        <f>SUM(AJ194+AJ198+AJ200+AJ201+AJ208+AJ209+AJ210+AJ213+AJ231+AJ234+AJ235+AJ236)</f>
        <v>162546</v>
      </c>
      <c r="AK243" s="16">
        <f>SUM(AK194+AK198+AK200+AK201+AK208+AK209+AK210+AK213+AK231+AK234+AK235+AK236)</f>
        <v>162546</v>
      </c>
      <c r="AL243" s="16">
        <f>SUM(AL194,AL198,AL200,AL201,AL208,AL209,AL213,AL210,AL231,AL234,AL235,AL236)</f>
        <v>162546</v>
      </c>
      <c r="AM243" s="16" t="e">
        <f>SUM(AM194+AM198+AM200+AM201+AM208+AM209+AM210+AM213+AM231+AM234+AM235+AM236)</f>
        <v>#DIV/0!</v>
      </c>
      <c r="AN243" s="16">
        <f>SUM(AN194+AN198+AN200+AN201+AN208+AN209+AN210+AN213+AN231+AN234+AN235+AN236)</f>
        <v>162546</v>
      </c>
      <c r="AO243" s="16" t="e">
        <f>SUM(AO194+AO198+AO200+AO201+AO208+AO209+AO210+AO213+AO231+AO234+AO235+AO236)</f>
        <v>#DIV/0!</v>
      </c>
      <c r="AP243" s="16" t="e">
        <f>SUM(AP194+AP198+AP200+AP201+AP208+AP209+AP210+AP213+AP231+AP234+AP235+AP236)</f>
        <v>#DIV/0!</v>
      </c>
      <c r="AQ243" s="16" t="e">
        <f>SUM(AQ194,AQ198,AQ200,AQ201,AQ208,AQ209,AQ213,AQ210,AQ231,AQ234,AQ235,AQ236)</f>
        <v>#DIV/0!</v>
      </c>
      <c r="AR243" s="16" t="e">
        <f>SUM(AR194+AR198+AR200+AR201+AR208+AR209+AR210+AR213+AR231+AR234+AR235+AR236)</f>
        <v>#DIV/0!</v>
      </c>
      <c r="AS243" s="16" t="e">
        <f>SUM(AS194+AS198+AS200+AS201+AS208+AS209+AS210+AS213+AS231+AS234+AS235+AS236)</f>
        <v>#DIV/0!</v>
      </c>
      <c r="AT243" s="16" t="e">
        <f>SUM(AT194+AT198+AT200+AT201+AT208+AT209+AT210+AT213+AT231+AT234+AT235+AT236)</f>
        <v>#DIV/0!</v>
      </c>
      <c r="AU243" s="16" t="e">
        <f>SUM(AU194+AU198+AU200+AU201+AU208+AU209+AU210+AU213+AU231+AU234+AU235+AU236)</f>
        <v>#DIV/0!</v>
      </c>
      <c r="AV243" s="16" t="e">
        <f>SUM(AV194,AV198,AV200,AV201,AV208,AV209,AV213,AV210,AV231,AV234,AV235,AV236)</f>
        <v>#DIV/0!</v>
      </c>
      <c r="AW243" s="16" t="e">
        <f>SUM(AW194+AW198+AW200+AW201+AW208+AW209+AW210+AW213+AW231+AW234+AW235+AW236)</f>
        <v>#DIV/0!</v>
      </c>
      <c r="AX243" s="16" t="e">
        <f>SUM(AX194+AX198+AX200+AX201+AX208+AX209+AX210+AX213+AX231+AX234+AX235+AX236)</f>
        <v>#DIV/0!</v>
      </c>
      <c r="AY243" s="16" t="e">
        <f>SUM(AY194+AY198+AY200+AY201+AY208+AY209+AY210+AY213+AY231+AY234+AY235+AY236)</f>
        <v>#DIV/0!</v>
      </c>
      <c r="AZ243" s="16" t="e">
        <f>SUM(AZ194+AZ198+AZ200+AZ201+AZ208+AZ209+AZ210+AZ213+AZ231+AZ234+AZ235+AZ236)</f>
        <v>#DIV/0!</v>
      </c>
      <c r="BA243" s="16" t="e">
        <f>SUM(BA194,BA198,BA200,BA201,BA208,BA209,BA213,BA210,BA231,BA234,BA235,BA236)</f>
        <v>#DIV/0!</v>
      </c>
      <c r="BB243" s="16" t="e">
        <f>SUM(BB194+BB198+BB200+BB201+BB208+BB209+BB210+BB213+BB231+BB234+BB235+BB236)</f>
        <v>#DIV/0!</v>
      </c>
      <c r="BC243" s="16" t="e">
        <f>SUM(BC194+BC198+BC200+BC201+BC208+BC209+BC210+BC213+BC231+BC234+BC235+BC236)</f>
        <v>#DIV/0!</v>
      </c>
      <c r="BD243" s="16" t="e">
        <f>SUM(BD194+BD198+BD200+BD201+BD208+BD209+BD210+BD213+BD231+BD234+BD235+BD236)</f>
        <v>#DIV/0!</v>
      </c>
      <c r="BE243" s="16" t="e">
        <f>SUM(BE194+BE198+BE200+BE201+BE208+BE209+BE210+BE213+BE231+BE234+BE235+BE236)</f>
        <v>#DIV/0!</v>
      </c>
      <c r="BF243" s="16" t="e">
        <f>SUM(BF194,BF198,BF200,BF201,BF208,BF209,BF213,BF210,BF231,BF234,BF235,BF236)</f>
        <v>#DIV/0!</v>
      </c>
      <c r="BG243" s="16" t="e">
        <f>SUM(BG194+BG198+BG200+BG201+BG208+BG209+BG210+BG213+BG231+BG234+BG235+BG236)</f>
        <v>#DIV/0!</v>
      </c>
      <c r="BH243" s="16" t="e">
        <f>SUM(BH194+BH198+BH200+BH201+BH208+BH209+BH210+BH213+BH231+BH234+BH235+BH236)</f>
        <v>#DIV/0!</v>
      </c>
      <c r="BI243" s="16" t="e">
        <f>SUM(BI194+BI198+BI200+BI201+BI208+BI209+BI210+BI213+BI231+BI234+BI235+BI236)</f>
        <v>#DIV/0!</v>
      </c>
      <c r="BJ243" s="16" t="e">
        <f>SUM(BJ194+BJ198+BJ200+BJ201+BJ208+BJ209+BJ210+BJ213+BJ231+BJ234+BJ235+BJ236)</f>
        <v>#DIV/0!</v>
      </c>
      <c r="BK243" s="16" t="e">
        <f>SUM(BK194,BK198,BK200,BK201,BK208,BK209,BK213,BK210,BK231,BK234,BK235,BK236)</f>
        <v>#DIV/0!</v>
      </c>
      <c r="BL243" s="16" t="e">
        <f>SUM(BL194+BL198+BL200+BL201+BL208+BL209+BL210+BL213+BL231+BL234+BL235+BL236)</f>
        <v>#DIV/0!</v>
      </c>
      <c r="BM243" s="16" t="e">
        <f>SUM(BM194+BM198+BM200+BM201+BM208+BM209+BM210+BM213+BM231+BM234+BM235+BM236)</f>
        <v>#DIV/0!</v>
      </c>
      <c r="BN243" s="16" t="e">
        <f>SUM(BN194+BN198+BN200+BN201+BN208+BN209+BN210+BN213+BN231+BN234+BN235+BN236)</f>
        <v>#DIV/0!</v>
      </c>
      <c r="BO243" s="16" t="e">
        <f>SUM(BO194+BO198+BO200+BO201+BO208+BO209+BO210+BO213+BO231+BO234+BO235+BO236)</f>
        <v>#DIV/0!</v>
      </c>
      <c r="BP243" s="16" t="e">
        <f>SUM(BP194,BP198,BP200,BP201,BP208,BP209,BP213,BP210,BP231,BP234,BP235,BP236)</f>
        <v>#DIV/0!</v>
      </c>
      <c r="BQ243" s="16" t="e">
        <f>SUM(BQ194+BQ198+BQ200+BQ201+BQ208+BQ209+BQ210+BQ213+BQ231+BQ234+BQ235+BQ236)</f>
        <v>#DIV/0!</v>
      </c>
      <c r="BR243" s="16" t="e">
        <f>SUM(BR194+BR198+BR200+BR201+BR208+BR209+BR210+BR213+BR231+BR234+BR235+BR236)</f>
        <v>#DIV/0!</v>
      </c>
      <c r="BS243" s="16" t="e">
        <f>SUM(BS194+BS198+BS200+BS201+BS208+BS209+BS210+BS213+BS231+BS234+BS235+BS236)</f>
        <v>#DIV/0!</v>
      </c>
      <c r="BT243" s="16" t="e">
        <f>SUM(BT194+BT198+BT200+BT201+BT208+BT209+BT210+BT213+BT231+BT234+BT235+BT236)</f>
        <v>#DIV/0!</v>
      </c>
      <c r="BU243" s="16" t="e">
        <f>SUM(BU194,BU198,BU200,BU201,BU208,BU209,BU213,BU210,BU231,BU234,BU235,BU236)</f>
        <v>#DIV/0!</v>
      </c>
      <c r="BV243" s="16" t="e">
        <f>SUM(BV194+BV198+BV200+BV201+BV208+BV209+BV210+BV213+BV231+BV234+BV235+BV236)</f>
        <v>#DIV/0!</v>
      </c>
      <c r="BW243" s="16" t="e">
        <f>SUM(BW194+BW198+BW200+BW201+BW208+BW209+BW210+BW213+BW231+BW234+BW235+BW236)</f>
        <v>#DIV/0!</v>
      </c>
      <c r="BX243" s="16" t="e">
        <f>SUM(BX194+BX198+BX200+BX201+BX208+BX209+BX210+BX213+BX231+BX234+BX235+BX236)</f>
        <v>#DIV/0!</v>
      </c>
      <c r="BY243" s="16" t="e">
        <f>SUM(BY194+BY198+BY200+BY201+BY208+BY209+BY210+BY213+BY231+BY234+BY235+BY236)</f>
        <v>#DIV/0!</v>
      </c>
      <c r="BZ243" s="16" t="e">
        <f>SUM(BZ194,BZ198,BZ200,BZ201,BZ208,BZ209,BZ213,BZ210,BZ231,BZ234,BZ235,BZ236)</f>
        <v>#DIV/0!</v>
      </c>
      <c r="CA243" s="16" t="e">
        <f>SUM(CA194+CA198+CA200+CA201+CA208+CA209+CA210+CA213+CA231+CA234+CA235+CA236)</f>
        <v>#DIV/0!</v>
      </c>
      <c r="CB243" s="16" t="e">
        <f>SUM(CB194+CB198+CB200+CB201+CB208+CB209+CB210+CB213+CB231+CB234+CB235+CB236)</f>
        <v>#DIV/0!</v>
      </c>
      <c r="CC243" s="16" t="e">
        <f>SUM(CC194+CC198+CC200+CC201+CC208+CC209+CC210+CC213+CC231+CC234+CC235+CC236)</f>
        <v>#DIV/0!</v>
      </c>
      <c r="CD243" s="16" t="e">
        <f>SUM(CD194+CD198+CD200+CD201+CD208+CD209+CD210+CD213+CD231+CD234+CD235+CD236)</f>
        <v>#DIV/0!</v>
      </c>
      <c r="CE243" s="16" t="e">
        <f>SUM(CE194,CE198,CE200,CE201,CE208,CE209,CE213,CE210,CE231,CE234,CE235,CE236)</f>
        <v>#DIV/0!</v>
      </c>
      <c r="CF243" s="16" t="e">
        <f>SUM(CF194+CF198+CF200+CF201+CF208+CF209+CF210+CF213+CF231+CF234+CF235+CF236)</f>
        <v>#DIV/0!</v>
      </c>
      <c r="CG243" s="16" t="e">
        <f>SUM(CG194+CG198+CG200+CG201+CG208+CG209+CG210+CG213+CG231+CG234+CG235+CG236)</f>
        <v>#DIV/0!</v>
      </c>
      <c r="CH243" s="16" t="e">
        <f>SUM(CH194+CH198+CH200+CH201+CH208+CH209+CH210+CH213+CH231+CH234+CH235+CH236)</f>
        <v>#DIV/0!</v>
      </c>
      <c r="CI243" s="16" t="e">
        <f>SUM(CI194+CI198+CI200+CI201+CI208+CI209+CI210+CI213+CI231+CI234+CI235+CI236)</f>
        <v>#DIV/0!</v>
      </c>
      <c r="CJ243" s="16" t="e">
        <f>SUM(CJ194,CJ198,CJ200,CJ201,CJ208,CJ209,CJ213,CJ210,CJ231,CJ234,CJ235,CJ236)</f>
        <v>#DIV/0!</v>
      </c>
      <c r="CK243" s="16" t="e">
        <f>SUM(CK194+CK198+CK200+CK201+CK208+CK209+CK210+CK213+CK231+CK234+CK235+CK236)</f>
        <v>#DIV/0!</v>
      </c>
      <c r="CL243" s="16" t="e">
        <f>SUM(CL194+CL198+CL200+CL201+CL208+CL209+CL210+CL213+CL231+CL234+CL235+CL236)</f>
        <v>#DIV/0!</v>
      </c>
      <c r="CM243" s="16" t="e">
        <f>SUM(CM194+CM198+CM200+CM201+CM208+CM209+CM210+CM213+CM231+CM234+CM235+CM236)</f>
        <v>#DIV/0!</v>
      </c>
      <c r="CN243" s="16" t="e">
        <f>SUM(CN194+CN198+CN200+CN201+CN208+CN209+CN210+CN213+CN231+CN234+CN235+CN236)</f>
        <v>#DIV/0!</v>
      </c>
      <c r="CO243" s="16" t="e">
        <f>SUM(CO194,CO198,CO200,CO201,CO208,CO209,CO213,CO210,CO231,CO234,CO235,CO236)</f>
        <v>#DIV/0!</v>
      </c>
      <c r="CP243" s="16" t="e">
        <f>SUM(CP194+CP198+CP200+CP201+CP208+CP209+CP210+CP213+CP231+CP234+CP235+CP236)</f>
        <v>#DIV/0!</v>
      </c>
      <c r="CQ243" s="16" t="e">
        <f>SUM(CQ194+CQ198+CQ200+CQ201+CQ208+CQ209+CQ210+CQ213+CQ231+CQ234+CQ235+CQ236)</f>
        <v>#DIV/0!</v>
      </c>
      <c r="CR243" s="16" t="e">
        <f>SUM(CR194+CR198+CR200+CR201+CR208+CR209+CR210+CR213+CR231+CR234+CR235+CR236)</f>
        <v>#DIV/0!</v>
      </c>
      <c r="CS243" s="16" t="e">
        <f>SUM(CS194+CS198+CS200+CS201+CS208+CS209+CS210+CS213+CS231+CS234+CS235+CS236)</f>
        <v>#DIV/0!</v>
      </c>
      <c r="CT243" s="16" t="e">
        <f>SUM(CT194,CT198,CT200,CT201,CT208,CT209,CT213,CT210,CT231,CT234,CT235,CT236)</f>
        <v>#DIV/0!</v>
      </c>
      <c r="CU243" s="16" t="e">
        <f>SUM(CU194+CU198+CU200+CU201+CU208+CU209+CU210+CU213+CU231+CU234+CU235+CU236)</f>
        <v>#DIV/0!</v>
      </c>
      <c r="CV243" s="16" t="e">
        <f>SUM(CV194+CV198+CV200+CV201+CV208+CV209+CV210+CV213+CV231+CV234+CV235+CV236)</f>
        <v>#DIV/0!</v>
      </c>
      <c r="CW243" s="16" t="e">
        <f>SUM(CW194+CW198+CW200+CW201+CW208+CW209+CW210+CW213+CW231+CW234+CW235+CW236)</f>
        <v>#DIV/0!</v>
      </c>
      <c r="CX243" s="16" t="e">
        <f>SUM(CX194+CX198+CX200+CX201+CX208+CX209+CX210+CX213+CX231+CX234+CX235+CX236)</f>
        <v>#DIV/0!</v>
      </c>
      <c r="CY243" s="16" t="e">
        <f>SUM(CY194,CY198,CY200,CY201,CY208,CY209,CY213,CY210,CY231,CY234,CY235,CY236)</f>
        <v>#DIV/0!</v>
      </c>
    </row>
    <row r="244">
      <c r="C244" s="26" t="inlineStr">
        <is>
          <t>Minority interest</t>
        </is>
      </c>
      <c r="D244" s="25" t="n"/>
      <c r="E244" s="25" t="n"/>
      <c r="F244" s="25" t="n"/>
      <c r="G244" s="25" t="n"/>
      <c r="H244" s="3">
        <f>G244</f>
        <v>0</v>
      </c>
      <c r="I244" s="25" t="n"/>
      <c r="J244" s="25" t="n"/>
      <c r="K244" s="25" t="n"/>
      <c r="L244" s="25" t="n"/>
      <c r="M244" s="3">
        <f>L244</f>
        <v>0</v>
      </c>
      <c r="N244" s="25" t="n"/>
      <c r="O244" s="25" t="n"/>
      <c r="P244" s="25" t="n"/>
      <c r="Q244" s="25" t="n"/>
      <c r="R244" s="3">
        <f>Q244</f>
        <v>0</v>
      </c>
      <c r="S244" s="25" t="n"/>
      <c r="T244" s="25" t="n"/>
      <c r="U244" s="25" t="n"/>
      <c r="V244" s="25" t="n"/>
      <c r="W244" s="3">
        <f>V244</f>
        <v>0</v>
      </c>
      <c r="X244" s="25" t="n"/>
      <c r="Y244" s="25" t="n"/>
      <c r="Z244" s="25" t="n"/>
      <c r="AA244" s="25" t="n"/>
      <c r="AB244" s="3">
        <f>AA244</f>
        <v>0</v>
      </c>
      <c r="AC244" s="25" t="n"/>
      <c r="AD244" s="25" t="n"/>
      <c r="AE244" s="25" t="n"/>
      <c r="AF244" s="25" t="n"/>
      <c r="AG244" s="3">
        <f>AF244</f>
        <v>0</v>
      </c>
      <c r="AH244" s="3">
        <f>AG244-AH132+AH247</f>
        <v>0</v>
      </c>
      <c r="AI244" s="3">
        <f>AH244-AI132+AI247</f>
        <v>0</v>
      </c>
      <c r="AJ244" s="3">
        <f>AI244-AJ132+AJ247</f>
        <v>0</v>
      </c>
      <c r="AK244" s="3">
        <f>AJ244-AK132+AK247</f>
        <v>0</v>
      </c>
      <c r="AL244" s="3">
        <f>AK244</f>
        <v>0</v>
      </c>
      <c r="AM244" s="3">
        <f>AL244-AM132+AM247</f>
        <v>0</v>
      </c>
      <c r="AN244" s="3">
        <f>AM244-AN132+AN247</f>
        <v>0</v>
      </c>
      <c r="AO244" s="3">
        <f>AN244-AO132+AO247</f>
        <v>0</v>
      </c>
      <c r="AP244" s="3">
        <f>AO244-AP132+AP247</f>
        <v>0</v>
      </c>
      <c r="AQ244" s="3">
        <f>AP244</f>
        <v>0</v>
      </c>
      <c r="AR244" s="3">
        <f>AQ244-AR132+AR247</f>
        <v>0</v>
      </c>
      <c r="AS244" s="3">
        <f>AR244-AS132+AS247</f>
        <v>0</v>
      </c>
      <c r="AT244" s="3">
        <f>AS244-AT132+AT247</f>
        <v>0</v>
      </c>
      <c r="AU244" s="3">
        <f>AT244-AU132+AU247</f>
        <v>0</v>
      </c>
      <c r="AV244" s="3">
        <f>AU244</f>
        <v>0</v>
      </c>
      <c r="AW244" s="3">
        <f>AV244-AW132+AW247</f>
        <v>0</v>
      </c>
      <c r="AX244" s="3">
        <f>AW244-AX132+AX247</f>
        <v>0</v>
      </c>
      <c r="AY244" s="3">
        <f>AX244-AY132+AY247</f>
        <v>0</v>
      </c>
      <c r="AZ244" s="3">
        <f>AY244-AZ132+AZ247</f>
        <v>0</v>
      </c>
      <c r="BA244" s="3">
        <f>AZ244</f>
        <v>0</v>
      </c>
      <c r="BB244" s="3">
        <f>BA244-BB132+BB247</f>
        <v>0</v>
      </c>
      <c r="BC244" s="3">
        <f>BB244-BC132+BC247</f>
        <v>0</v>
      </c>
      <c r="BD244" s="3">
        <f>BC244-BD132+BD247</f>
        <v>0</v>
      </c>
      <c r="BE244" s="3">
        <f>BD244-BE132+BE247</f>
        <v>0</v>
      </c>
      <c r="BF244" s="3">
        <f>BE244</f>
        <v>0</v>
      </c>
      <c r="BG244" s="3">
        <f>BF244-BG132+BG247</f>
        <v>0</v>
      </c>
      <c r="BH244" s="3">
        <f>BG244-BH132+BH247</f>
        <v>0</v>
      </c>
      <c r="BI244" s="3">
        <f>BH244-BI132+BI247</f>
        <v>0</v>
      </c>
      <c r="BJ244" s="3">
        <f>BI244-BJ132+BJ247</f>
        <v>0</v>
      </c>
      <c r="BK244" s="3">
        <f>BJ244</f>
        <v>0</v>
      </c>
      <c r="BL244" s="3">
        <f>BK244-BL132+BL247</f>
        <v>0</v>
      </c>
      <c r="BM244" s="3">
        <f>BL244-BM132+BM247</f>
        <v>0</v>
      </c>
      <c r="BN244" s="3">
        <f>BM244-BN132+BN247</f>
        <v>0</v>
      </c>
      <c r="BO244" s="3">
        <f>BN244-BO132+BO247</f>
        <v>0</v>
      </c>
      <c r="BP244" s="3">
        <f>BO244</f>
        <v>0</v>
      </c>
      <c r="BQ244" s="3">
        <f>BP244-BQ132+BQ247</f>
        <v>0</v>
      </c>
      <c r="BR244" s="3">
        <f>BQ244-BR132+BR247</f>
        <v>0</v>
      </c>
      <c r="BS244" s="3">
        <f>BR244-BS132+BS247</f>
        <v>0</v>
      </c>
      <c r="BT244" s="3">
        <f>BS244-BT132+BT247</f>
        <v>0</v>
      </c>
      <c r="BU244" s="3">
        <f>BT244</f>
        <v>0</v>
      </c>
      <c r="BV244" s="3">
        <f>BU244-BV132+BV247</f>
        <v>0</v>
      </c>
      <c r="BW244" s="3">
        <f>BV244-BW132+BW247</f>
        <v>0</v>
      </c>
      <c r="BX244" s="3">
        <f>BW244-BX132+BX247</f>
        <v>0</v>
      </c>
      <c r="BY244" s="3">
        <f>BX244-BY132+BY247</f>
        <v>0</v>
      </c>
      <c r="BZ244" s="3">
        <f>BY244</f>
        <v>0</v>
      </c>
      <c r="CA244" s="3">
        <f>BZ244-CA132+CA247</f>
        <v>0</v>
      </c>
      <c r="CB244" s="3">
        <f>CA244-CB132+CB247</f>
        <v>0</v>
      </c>
      <c r="CC244" s="3">
        <f>CB244-CC132+CC247</f>
        <v>0</v>
      </c>
      <c r="CD244" s="3">
        <f>CC244-CD132+CD247</f>
        <v>0</v>
      </c>
      <c r="CE244" s="3">
        <f>CD244</f>
        <v>0</v>
      </c>
      <c r="CF244" s="3">
        <f>CE244-CF132+CF247</f>
        <v>0</v>
      </c>
      <c r="CG244" s="3">
        <f>CF244-CG132+CG247</f>
        <v>0</v>
      </c>
      <c r="CH244" s="3">
        <f>CG244-CH132+CH247</f>
        <v>0</v>
      </c>
      <c r="CI244" s="3">
        <f>CH244-CI132+CI247</f>
        <v>0</v>
      </c>
      <c r="CJ244" s="3">
        <f>CI244</f>
        <v>0</v>
      </c>
      <c r="CK244" s="3">
        <f>CJ244-CK132+CK247</f>
        <v>0</v>
      </c>
      <c r="CL244" s="3">
        <f>CK244-CL132+CL247</f>
        <v>0</v>
      </c>
      <c r="CM244" s="3">
        <f>CL244-CM132+CM247</f>
        <v>0</v>
      </c>
      <c r="CN244" s="3">
        <f>CM244-CN132+CN247</f>
        <v>0</v>
      </c>
      <c r="CO244" s="3">
        <f>CN244</f>
        <v>0</v>
      </c>
      <c r="CP244" s="3">
        <f>CO244-CP132+CP247</f>
        <v>0</v>
      </c>
      <c r="CQ244" s="3">
        <f>CP244-CQ132+CQ247</f>
        <v>0</v>
      </c>
      <c r="CR244" s="3">
        <f>CQ244-CR132+CR247</f>
        <v>0</v>
      </c>
      <c r="CS244" s="3">
        <f>CR244-CS132+CS247</f>
        <v>0</v>
      </c>
      <c r="CT244" s="3">
        <f>CS244</f>
        <v>0</v>
      </c>
      <c r="CU244" s="3">
        <f>CT244-CU132+CU247</f>
        <v>0</v>
      </c>
      <c r="CV244" s="3">
        <f>CU244-CV132+CV247</f>
        <v>0</v>
      </c>
      <c r="CW244" s="3">
        <f>CV244-CW132+CW247</f>
        <v>0</v>
      </c>
      <c r="CX244" s="3">
        <f>CW244-CX132+CX247</f>
        <v>0</v>
      </c>
      <c r="CY244" s="3">
        <f>CX244</f>
        <v>0</v>
      </c>
    </row>
    <row r="245" hidden="1" outlineLevel="1" customFormat="1" s="39">
      <c r="A245" s="19" t="n"/>
      <c r="B245" s="19" t="n"/>
      <c r="C245" s="38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</row>
    <row r="246" hidden="1" outlineLevel="1" customFormat="1" s="39">
      <c r="A246" s="19" t="n"/>
      <c r="B246" s="19" t="n"/>
      <c r="C246" s="34" t="inlineStr">
        <is>
          <t>Minority Interest Expense - % YoY</t>
        </is>
      </c>
      <c r="D246" s="22" t="n"/>
      <c r="E246" s="40">
        <f>IF(D131=0,0,E131/D131-1)</f>
        <v>0</v>
      </c>
      <c r="F246" s="22" t="n"/>
      <c r="G246" s="22" t="n"/>
      <c r="H246" s="40" t="n"/>
      <c r="I246" s="22" t="n"/>
      <c r="J246" s="40">
        <f>IF(I131=0,0,J131/I131-1)</f>
        <v>0</v>
      </c>
      <c r="K246" s="22" t="n"/>
      <c r="L246" s="22" t="n"/>
      <c r="M246" s="40" t="n"/>
      <c r="N246" s="40">
        <f>IF(I131=0,0,N131/I131-1)</f>
        <v>0</v>
      </c>
      <c r="O246" s="40">
        <f>IF(J131=0,0,O131/J131-1)</f>
        <v>0</v>
      </c>
      <c r="P246" s="40">
        <f>IF(K131=0,0,P131/K131-1)</f>
        <v>0</v>
      </c>
      <c r="Q246" s="40">
        <f>IF(L131=0,0,Q131/L131-1)</f>
        <v>0</v>
      </c>
      <c r="R246" s="40" t="n"/>
      <c r="S246" s="40">
        <f>IF(N131=0,0,S131/N131-1)</f>
        <v>0</v>
      </c>
      <c r="T246" s="40">
        <f>IF(O131=0,0,T131/O131-1)</f>
        <v>0</v>
      </c>
      <c r="U246" s="40">
        <f>IF(P131=0,0,U131/P131-1)</f>
        <v>0</v>
      </c>
      <c r="V246" s="40">
        <f>IF(Q131=0,0,V131/Q131-1)</f>
        <v>0</v>
      </c>
      <c r="W246" s="40">
        <f>IF(R132=0,0,W132/R132-1)</f>
        <v>0</v>
      </c>
      <c r="X246" s="40">
        <f>IF(S131=0,0,X131/S131-1)</f>
        <v>0</v>
      </c>
      <c r="Y246" s="40">
        <f>IF(T131=0,0,Y131/T131-1)</f>
        <v>0</v>
      </c>
      <c r="Z246" s="40">
        <f>IF(U131=0,0,Z131/U131-1)</f>
        <v>0</v>
      </c>
      <c r="AA246" s="40">
        <f>IF(V131=0,0,AA131/V131-1)</f>
        <v>0</v>
      </c>
      <c r="AB246" s="40">
        <f>IF(W132=0,0,AB132/W132-1)</f>
        <v>0</v>
      </c>
      <c r="AC246" s="40">
        <f>IF(X131=0,0,AC131/X131-1)</f>
        <v>0</v>
      </c>
      <c r="AD246" s="40">
        <f>IF(Y131=0,0,AD131/Y131-1)</f>
        <v>0</v>
      </c>
      <c r="AE246" s="40">
        <f>IF(Z131=0,0,AE131/Z131-1)</f>
        <v>0</v>
      </c>
      <c r="AF246" s="40">
        <f>IF(AA131=0,0,AF131/AA131-1)</f>
        <v>0</v>
      </c>
      <c r="AG246" s="40">
        <f>IF(AB132=0,0,AG132/AB132-1)</f>
        <v>0</v>
      </c>
      <c r="AH246" s="35">
        <f>IF(AC131=0,0,AH131/AC131-1)</f>
        <v>0</v>
      </c>
      <c r="AI246" s="35">
        <f>IF(AD131=0,0,AI131/AD131-1)</f>
        <v>0</v>
      </c>
      <c r="AJ246" s="35" t="n"/>
      <c r="AK246" s="35" t="n"/>
      <c r="AL246" s="40">
        <f>IF(AG132=0,0,AL132/AG132-1)</f>
        <v>0</v>
      </c>
      <c r="AM246" s="35" t="n"/>
      <c r="AN246" s="35" t="n"/>
      <c r="AO246" s="35" t="n"/>
      <c r="AP246" s="35" t="n"/>
      <c r="AQ246" s="40">
        <f>IF(AL132=0,0,AQ132/AL132-1)</f>
        <v>0</v>
      </c>
      <c r="AR246" s="35" t="n"/>
      <c r="AS246" s="35" t="n"/>
      <c r="AT246" s="35" t="n"/>
      <c r="AU246" s="35" t="n"/>
      <c r="AV246" s="40">
        <f>IF(AQ132=0,0,AV132/AQ132-1)</f>
        <v>0</v>
      </c>
      <c r="AW246" s="35" t="n"/>
      <c r="AX246" s="35" t="n"/>
      <c r="AY246" s="35" t="n"/>
      <c r="AZ246" s="35" t="n"/>
      <c r="BA246" s="40">
        <f>IF(AV132=0,0,BA132/AV132-1)</f>
        <v>0</v>
      </c>
      <c r="BB246" s="35" t="n"/>
      <c r="BC246" s="35" t="n"/>
      <c r="BD246" s="35" t="n"/>
      <c r="BE246" s="35" t="n"/>
      <c r="BF246" s="40">
        <f>IF(BA132=0,0,BF132/BA132-1)</f>
        <v>0</v>
      </c>
      <c r="BG246" s="35" t="n"/>
      <c r="BH246" s="35" t="n"/>
      <c r="BI246" s="35" t="n"/>
      <c r="BJ246" s="35" t="n"/>
      <c r="BK246" s="40">
        <f>IF(BF132=0,0,BK132/BF132-1)</f>
        <v>0</v>
      </c>
      <c r="BL246" s="35" t="n"/>
      <c r="BM246" s="35" t="n"/>
      <c r="BN246" s="35" t="n"/>
      <c r="BO246" s="35" t="n"/>
      <c r="BP246" s="40">
        <f>IF(BK132=0,0,BP132/BK132-1)</f>
        <v>0</v>
      </c>
      <c r="BQ246" s="35" t="n"/>
      <c r="BR246" s="35" t="n"/>
      <c r="BS246" s="35" t="n"/>
      <c r="BT246" s="35" t="n"/>
      <c r="BU246" s="40">
        <f>IF(BP132=0,0,BU132/BP132-1)</f>
        <v>0</v>
      </c>
      <c r="BV246" s="35" t="n"/>
      <c r="BW246" s="35" t="n"/>
      <c r="BX246" s="35" t="n"/>
      <c r="BY246" s="35" t="n"/>
      <c r="BZ246" s="40">
        <f>IF(BU132=0,0,BZ132/BU132-1)</f>
        <v>0</v>
      </c>
      <c r="CA246" s="35" t="n"/>
      <c r="CB246" s="35" t="n"/>
      <c r="CC246" s="35" t="n"/>
      <c r="CD246" s="35" t="n"/>
      <c r="CE246" s="40">
        <f>IF(BZ132=0,0,CE132/BZ132-1)</f>
        <v>0</v>
      </c>
      <c r="CF246" s="35" t="n"/>
      <c r="CG246" s="35" t="n"/>
      <c r="CH246" s="35" t="n"/>
      <c r="CI246" s="35" t="n"/>
      <c r="CJ246" s="40">
        <f>IF(CE132=0,0,CJ132/CE132-1)</f>
        <v>0</v>
      </c>
      <c r="CK246" s="35" t="n"/>
      <c r="CL246" s="35" t="n"/>
      <c r="CM246" s="35" t="n"/>
      <c r="CN246" s="35" t="n"/>
      <c r="CO246" s="40">
        <f>IF(CJ132=0,0,CO132/CJ132-1)</f>
        <v>0</v>
      </c>
      <c r="CP246" s="35" t="n"/>
      <c r="CQ246" s="35" t="n"/>
      <c r="CR246" s="35" t="n"/>
      <c r="CS246" s="35" t="n"/>
      <c r="CT246" s="40">
        <f>IF(CO132=0,0,CT132/CO132-1)</f>
        <v>0</v>
      </c>
      <c r="CU246" s="35" t="n"/>
      <c r="CV246" s="35" t="n"/>
      <c r="CW246" s="35" t="n"/>
      <c r="CX246" s="35" t="n"/>
      <c r="CY246" s="40">
        <f>IF(CT132=0,0,CY132/CT132-1)</f>
        <v>0</v>
      </c>
    </row>
    <row r="247" hidden="1" outlineLevel="1" customFormat="1" s="39">
      <c r="A247" s="19" t="n"/>
      <c r="B247" s="19" t="n"/>
      <c r="C247" s="34" t="inlineStr">
        <is>
          <t>Dividends (enter as -)</t>
        </is>
      </c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35" t="n"/>
      <c r="AI247" s="35" t="n"/>
      <c r="AJ247" s="35" t="n"/>
      <c r="AK247" s="35" t="n"/>
      <c r="AL247" s="22" t="n"/>
      <c r="AM247" s="35" t="n"/>
      <c r="AN247" s="35" t="n"/>
      <c r="AO247" s="35" t="n"/>
      <c r="AP247" s="35" t="n"/>
      <c r="AQ247" s="22" t="n"/>
      <c r="AR247" s="35" t="n"/>
      <c r="AS247" s="35" t="n"/>
      <c r="AT247" s="35" t="n"/>
      <c r="AU247" s="35" t="n"/>
      <c r="AV247" s="22" t="n"/>
      <c r="AW247" s="35" t="n"/>
      <c r="AX247" s="35" t="n"/>
      <c r="AY247" s="35" t="n"/>
      <c r="AZ247" s="35" t="n"/>
      <c r="BA247" s="22" t="n"/>
      <c r="BB247" s="35" t="n"/>
      <c r="BC247" s="35" t="n"/>
      <c r="BD247" s="35" t="n"/>
      <c r="BE247" s="35" t="n"/>
      <c r="BF247" s="22" t="n"/>
      <c r="BG247" s="35" t="n"/>
      <c r="BH247" s="35" t="n"/>
      <c r="BI247" s="35" t="n"/>
      <c r="BJ247" s="35" t="n"/>
      <c r="BK247" s="22" t="n"/>
      <c r="BL247" s="35" t="n"/>
      <c r="BM247" s="35" t="n"/>
      <c r="BN247" s="35" t="n"/>
      <c r="BO247" s="35" t="n"/>
      <c r="BP247" s="22" t="n"/>
      <c r="BQ247" s="35" t="n"/>
      <c r="BR247" s="35" t="n"/>
      <c r="BS247" s="35" t="n"/>
      <c r="BT247" s="35" t="n"/>
      <c r="BU247" s="22" t="n"/>
      <c r="BV247" s="35" t="n"/>
      <c r="BW247" s="35" t="n"/>
      <c r="BX247" s="35" t="n"/>
      <c r="BY247" s="35" t="n"/>
      <c r="BZ247" s="22" t="n"/>
      <c r="CA247" s="35" t="n"/>
      <c r="CB247" s="35" t="n"/>
      <c r="CC247" s="35" t="n"/>
      <c r="CD247" s="35" t="n"/>
      <c r="CE247" s="22" t="n"/>
      <c r="CF247" s="35" t="n"/>
      <c r="CG247" s="35" t="n"/>
      <c r="CH247" s="35" t="n"/>
      <c r="CI247" s="35" t="n"/>
      <c r="CJ247" s="22" t="n"/>
      <c r="CK247" s="35" t="n"/>
      <c r="CL247" s="35" t="n"/>
      <c r="CM247" s="35" t="n"/>
      <c r="CN247" s="35" t="n"/>
      <c r="CO247" s="22" t="n"/>
      <c r="CP247" s="35" t="n"/>
      <c r="CQ247" s="35" t="n"/>
      <c r="CR247" s="35" t="n"/>
      <c r="CS247" s="35" t="n"/>
      <c r="CT247" s="22" t="n"/>
      <c r="CU247" s="35" t="n"/>
      <c r="CV247" s="35" t="n"/>
      <c r="CW247" s="35" t="n"/>
      <c r="CX247" s="35" t="n"/>
      <c r="CY247" s="22" t="n"/>
    </row>
    <row r="248" hidden="1" outlineLevel="1" customFormat="1" s="39">
      <c r="A248" s="19" t="n"/>
      <c r="B248" s="19" t="n"/>
      <c r="C248" s="38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</row>
    <row r="249" collapsed="1">
      <c r="C249" s="26" t="inlineStr">
        <is>
          <t>Convertible Preferred Stock</t>
        </is>
      </c>
      <c r="D249" s="25" t="n"/>
      <c r="E249" s="25" t="n"/>
      <c r="F249" s="25" t="n"/>
      <c r="G249" s="25" t="n"/>
      <c r="H249" s="3">
        <f>G249</f>
        <v>0</v>
      </c>
      <c r="I249" s="25" t="n"/>
      <c r="J249" s="25" t="n"/>
      <c r="K249" s="25" t="n"/>
      <c r="L249" s="25" t="n"/>
      <c r="M249" s="3">
        <f>L249</f>
        <v>0</v>
      </c>
      <c r="N249" s="25" t="n"/>
      <c r="O249" s="25" t="n"/>
      <c r="P249" s="25" t="n"/>
      <c r="Q249" s="25" t="n"/>
      <c r="R249" s="3">
        <f>Q249</f>
        <v>0</v>
      </c>
      <c r="S249" s="25" t="n"/>
      <c r="T249" s="25" t="n"/>
      <c r="U249" s="25" t="n"/>
      <c r="V249" s="25" t="n"/>
      <c r="W249" s="3">
        <f>V249</f>
        <v>0</v>
      </c>
      <c r="X249" s="25" t="n"/>
      <c r="Y249" s="25" t="n"/>
      <c r="Z249" s="25" t="n"/>
      <c r="AA249" s="25" t="n"/>
      <c r="AB249" s="3">
        <f>AA249</f>
        <v>0</v>
      </c>
      <c r="AC249" s="25" t="n"/>
      <c r="AD249" s="25" t="n"/>
      <c r="AE249" s="25" t="n"/>
      <c r="AF249" s="25" t="n"/>
      <c r="AG249" s="3">
        <f>AF249</f>
        <v>0</v>
      </c>
      <c r="AH249" s="3">
        <f>AG249</f>
        <v>0</v>
      </c>
      <c r="AI249" s="3">
        <f>AH249</f>
        <v>0</v>
      </c>
      <c r="AJ249" s="3">
        <f>AI249</f>
        <v>0</v>
      </c>
      <c r="AK249" s="3">
        <f>AJ249</f>
        <v>0</v>
      </c>
      <c r="AL249" s="3">
        <f>AK249</f>
        <v>0</v>
      </c>
      <c r="AM249" s="3">
        <f>AL249</f>
        <v>0</v>
      </c>
      <c r="AN249" s="3">
        <f>AM249</f>
        <v>0</v>
      </c>
      <c r="AO249" s="3">
        <f>AN249</f>
        <v>0</v>
      </c>
      <c r="AP249" s="3">
        <f>AO249</f>
        <v>0</v>
      </c>
      <c r="AQ249" s="3">
        <f>AP249</f>
        <v>0</v>
      </c>
      <c r="AR249" s="3">
        <f>AQ249</f>
        <v>0</v>
      </c>
      <c r="AS249" s="3">
        <f>AR249</f>
        <v>0</v>
      </c>
      <c r="AT249" s="3">
        <f>AS249</f>
        <v>0</v>
      </c>
      <c r="AU249" s="3">
        <f>AT249</f>
        <v>0</v>
      </c>
      <c r="AV249" s="3">
        <f>AU249</f>
        <v>0</v>
      </c>
      <c r="AW249" s="3">
        <f>AV249</f>
        <v>0</v>
      </c>
      <c r="AX249" s="3">
        <f>AW249</f>
        <v>0</v>
      </c>
      <c r="AY249" s="3">
        <f>AX249</f>
        <v>0</v>
      </c>
      <c r="AZ249" s="3">
        <f>AY249</f>
        <v>0</v>
      </c>
      <c r="BA249" s="3">
        <f>AZ249</f>
        <v>0</v>
      </c>
      <c r="BB249" s="3">
        <f>BA249</f>
        <v>0</v>
      </c>
      <c r="BC249" s="3">
        <f>BB249</f>
        <v>0</v>
      </c>
      <c r="BD249" s="3">
        <f>BC249</f>
        <v>0</v>
      </c>
      <c r="BE249" s="3">
        <f>BD249</f>
        <v>0</v>
      </c>
      <c r="BF249" s="3">
        <f>BE249</f>
        <v>0</v>
      </c>
      <c r="BG249" s="3">
        <f>BF249</f>
        <v>0</v>
      </c>
      <c r="BH249" s="3">
        <f>BG249</f>
        <v>0</v>
      </c>
      <c r="BI249" s="3">
        <f>BH249</f>
        <v>0</v>
      </c>
      <c r="BJ249" s="3">
        <f>BI249</f>
        <v>0</v>
      </c>
      <c r="BK249" s="3">
        <f>BJ249</f>
        <v>0</v>
      </c>
      <c r="BL249" s="3">
        <f>BK249</f>
        <v>0</v>
      </c>
      <c r="BM249" s="3">
        <f>BL249</f>
        <v>0</v>
      </c>
      <c r="BN249" s="3">
        <f>BM249</f>
        <v>0</v>
      </c>
      <c r="BO249" s="3">
        <f>BN249</f>
        <v>0</v>
      </c>
      <c r="BP249" s="3">
        <f>BO249</f>
        <v>0</v>
      </c>
      <c r="BQ249" s="3">
        <f>BP249</f>
        <v>0</v>
      </c>
      <c r="BR249" s="3">
        <f>BQ249</f>
        <v>0</v>
      </c>
      <c r="BS249" s="3">
        <f>BR249</f>
        <v>0</v>
      </c>
      <c r="BT249" s="3">
        <f>BS249</f>
        <v>0</v>
      </c>
      <c r="BU249" s="3">
        <f>BT249</f>
        <v>0</v>
      </c>
      <c r="BV249" s="3">
        <f>BU249</f>
        <v>0</v>
      </c>
      <c r="BW249" s="3">
        <f>BV249</f>
        <v>0</v>
      </c>
      <c r="BX249" s="3">
        <f>BW249</f>
        <v>0</v>
      </c>
      <c r="BY249" s="3">
        <f>BX249</f>
        <v>0</v>
      </c>
      <c r="BZ249" s="3">
        <f>BY249</f>
        <v>0</v>
      </c>
      <c r="CA249" s="3">
        <f>BZ249</f>
        <v>0</v>
      </c>
      <c r="CB249" s="3">
        <f>CA249</f>
        <v>0</v>
      </c>
      <c r="CC249" s="3">
        <f>CB249</f>
        <v>0</v>
      </c>
      <c r="CD249" s="3">
        <f>CC249</f>
        <v>0</v>
      </c>
      <c r="CE249" s="3">
        <f>CD249</f>
        <v>0</v>
      </c>
      <c r="CF249" s="3">
        <f>CE249</f>
        <v>0</v>
      </c>
      <c r="CG249" s="3">
        <f>CF249</f>
        <v>0</v>
      </c>
      <c r="CH249" s="3">
        <f>CG249</f>
        <v>0</v>
      </c>
      <c r="CI249" s="3">
        <f>CH249</f>
        <v>0</v>
      </c>
      <c r="CJ249" s="3">
        <f>CI249</f>
        <v>0</v>
      </c>
      <c r="CK249" s="3">
        <f>CJ249</f>
        <v>0</v>
      </c>
      <c r="CL249" s="3">
        <f>CK249</f>
        <v>0</v>
      </c>
      <c r="CM249" s="3">
        <f>CL249</f>
        <v>0</v>
      </c>
      <c r="CN249" s="3">
        <f>CM249</f>
        <v>0</v>
      </c>
      <c r="CO249" s="3">
        <f>CN249</f>
        <v>0</v>
      </c>
      <c r="CP249" s="3">
        <f>CO249</f>
        <v>0</v>
      </c>
      <c r="CQ249" s="3">
        <f>CP249</f>
        <v>0</v>
      </c>
      <c r="CR249" s="3">
        <f>CQ249</f>
        <v>0</v>
      </c>
      <c r="CS249" s="3">
        <f>CR249</f>
        <v>0</v>
      </c>
      <c r="CT249" s="3">
        <f>CS249</f>
        <v>0</v>
      </c>
      <c r="CU249" s="3">
        <f>CT249</f>
        <v>0</v>
      </c>
      <c r="CV249" s="3">
        <f>CU249</f>
        <v>0</v>
      </c>
      <c r="CW249" s="3">
        <f>CV249</f>
        <v>0</v>
      </c>
      <c r="CX249" s="3">
        <f>CW249</f>
        <v>0</v>
      </c>
      <c r="CY249" s="3">
        <f>CX249</f>
        <v>0</v>
      </c>
    </row>
    <row r="250">
      <c r="C250" s="24" t="inlineStr">
        <is>
          <t>Common Stock and APIC</t>
        </is>
      </c>
      <c r="D250" s="25">
        <f>INDEX('Inputs (2)'!$D$43:$AL$43,MATCH(D$7,'Inputs (2)'!$D$2:$AL$2,0))</f>
        <v>53688</v>
      </c>
      <c r="E250" s="25">
        <f>INDEX('Inputs (2)'!$D$43:$AL$43,MATCH(E$7,'Inputs (2)'!$D$2:$AL$2,0))</f>
        <v>55937</v>
      </c>
      <c r="F250" s="25">
        <f>INDEX('Inputs (2)'!$D$43:$AL$43,MATCH(F$7,'Inputs (2)'!$D$2:$AL$2,0))</f>
        <v>57307</v>
      </c>
      <c r="G250" s="25">
        <f>INDEX('Inputs (2)'!$D$43:$AL$43,MATCH(G$7,'Inputs (2)'!$D$2:$AL$2,0))</f>
        <v>58510</v>
      </c>
      <c r="H250" s="3">
        <f>G250</f>
        <v>58510</v>
      </c>
      <c r="I250" s="25">
        <f>INDEX('Inputs (2)'!$D$43:$AL$43,MATCH(I$7,'Inputs (2)'!$D$2:$AL$2,0))</f>
        <v>59436</v>
      </c>
      <c r="J250" s="25">
        <f>INDEX('Inputs (2)'!$D$43:$AL$43,MATCH(J$7,'Inputs (2)'!$D$2:$AL$2,0))</f>
        <v>60436</v>
      </c>
      <c r="K250" s="25">
        <f>INDEX('Inputs (2)'!$D$43:$AL$43,MATCH(K$7,'Inputs (2)'!$D$2:$AL$2,0))</f>
        <v>61193</v>
      </c>
      <c r="L250" s="25">
        <f>INDEX('Inputs (2)'!$D$43:$AL$43,MATCH(L$7,'Inputs (2)'!$D$2:$AL$2,0))</f>
        <v>61774</v>
      </c>
      <c r="M250" s="3">
        <f>L250</f>
        <v>61774</v>
      </c>
      <c r="N250" s="25">
        <f>INDEX('Inputs (2)'!$D$43:$AL$43,MATCH(N$7,'Inputs (2)'!$D$2:$AL$2,0))</f>
        <v>62832</v>
      </c>
      <c r="O250" s="25">
        <f>INDEX('Inputs (2)'!$D$43:$AL$43,MATCH(O$7,'Inputs (2)'!$D$2:$AL$2,0))</f>
        <v>64402</v>
      </c>
      <c r="P250" s="25">
        <f>INDEX('Inputs (2)'!$D$43:$AL$43,MATCH(P$7,'Inputs (2)'!$D$2:$AL$2,0))</f>
        <v>66258</v>
      </c>
      <c r="Q250" s="25">
        <f>INDEX('Inputs (2)'!$D$43:$AL$43,MATCH(Q$7,'Inputs (2)'!$D$2:$AL$2,0))</f>
        <v>68184</v>
      </c>
      <c r="R250" s="3">
        <f>Q250</f>
        <v>68184</v>
      </c>
      <c r="S250" s="25">
        <f>INDEX('Inputs (2)'!$D$43:$AL$43,MATCH(S$7,'Inputs (2)'!$D$2:$AL$2,0))</f>
        <v>70269</v>
      </c>
      <c r="T250" s="25">
        <f>INDEX('Inputs (2)'!$D$43:$AL$43,MATCH(T$7,'Inputs (2)'!$D$2:$AL$2,0))</f>
        <v>72248</v>
      </c>
      <c r="U250" s="25">
        <f>INDEX('Inputs (2)'!$D$43:$AL$43,MATCH(U$7,'Inputs (2)'!$D$2:$AL$2,0))</f>
        <v>74591</v>
      </c>
      <c r="V250" s="25">
        <f>INDEX('Inputs (2)'!$D$43:$AL$43,MATCH(V$7,'Inputs (2)'!$D$2:$AL$2,0))</f>
        <v>76534</v>
      </c>
      <c r="W250" s="3">
        <f>V250</f>
        <v>76534</v>
      </c>
      <c r="X250" s="25">
        <f>INDEX('Inputs (2)'!$D$43:$AL$43,MATCH(X$7,'Inputs (2)'!$D$2:$AL$2,0))</f>
        <v>77913</v>
      </c>
      <c r="Y250" s="25">
        <f>INDEX('Inputs (2)'!$D$43:$AL$43,MATCH(Y$7,'Inputs (2)'!$D$2:$AL$2,0))</f>
        <v>79732</v>
      </c>
      <c r="Z250" s="25">
        <f>INDEX('Inputs (2)'!$D$43:$AL$43,MATCH(Z$7,'Inputs (2)'!$D$2:$AL$2,0))</f>
        <v>82030</v>
      </c>
      <c r="AA250" s="25">
        <f>INDEX('Inputs (2)'!$D$43:$AL$43,MATCH(AA$7,'Inputs (2)'!$D$2:$AL$2,0))</f>
        <v>84800</v>
      </c>
      <c r="AB250" s="3">
        <f>AA250</f>
        <v>84800</v>
      </c>
      <c r="AC250" s="25">
        <f>INDEX('Inputs (2)'!$D$43:$AL$43,MATCH(AC$7,'Inputs (2)'!$D$2:$AL$2,0))</f>
        <v>86725</v>
      </c>
      <c r="AD250" s="25">
        <f>INDEX('Inputs (2)'!$D$43:$AL$43,MATCH(AD$7,'Inputs (2)'!$D$2:$AL$2,0))</f>
        <v>89283</v>
      </c>
      <c r="AE250" s="25">
        <f>INDEX('Inputs (2)'!$D$43:$AL$43,MATCH(AE$7,'Inputs (2)'!$D$2:$AL$2,0))</f>
        <v>91695</v>
      </c>
      <c r="AF250" s="25">
        <f>INDEX('Inputs (2)'!$D$43:$AL$43,MATCH(AF$7,'Inputs (2)'!$D$2:$AL$2,0))</f>
        <v>93126</v>
      </c>
      <c r="AG250" s="3">
        <f>AF250</f>
        <v>93126</v>
      </c>
      <c r="AH250" s="3">
        <f>INDEX('Inputs (2)'!$D$43:$AL$43,MATCH(AH$7,'Inputs (2)'!$D$2:$AL$2,0))</f>
        <v>96902</v>
      </c>
      <c r="AI250" s="3">
        <f>INDEX('Inputs (2)'!$D$43:$AL$43,MATCH(AI$7,'Inputs (2)'!$D$2:$AL$2,0))</f>
        <v>131371</v>
      </c>
      <c r="AJ250" s="3">
        <f>AI250+AJ254</f>
        <v>131371</v>
      </c>
      <c r="AK250" s="3">
        <f>AJ250+AK254</f>
        <v>131371</v>
      </c>
      <c r="AL250" s="3">
        <f>AK250</f>
        <v>131371</v>
      </c>
      <c r="AM250" s="3">
        <f>AL250+AM254</f>
        <v>131371</v>
      </c>
      <c r="AN250" s="3">
        <f>AM250+AN254</f>
        <v>131371</v>
      </c>
      <c r="AO250" s="3">
        <f>AN250+AO254</f>
        <v>131371</v>
      </c>
      <c r="AP250" s="3">
        <f>AO250+AP254</f>
        <v>131371</v>
      </c>
      <c r="AQ250" s="3">
        <f>AP250</f>
        <v>131371</v>
      </c>
      <c r="AR250" s="3">
        <f>AQ250+AR254</f>
        <v>131371</v>
      </c>
      <c r="AS250" s="3">
        <f>AR250+AS254</f>
        <v>131371</v>
      </c>
      <c r="AT250" s="3">
        <f>AS250+AT254</f>
        <v>131371</v>
      </c>
      <c r="AU250" s="3">
        <f>AT250+AU254</f>
        <v>131371</v>
      </c>
      <c r="AV250" s="3">
        <f>AU250</f>
        <v>131371</v>
      </c>
      <c r="AW250" s="3">
        <f>AV250+AW254</f>
        <v>131371</v>
      </c>
      <c r="AX250" s="3">
        <f>AW250+AX254</f>
        <v>131371</v>
      </c>
      <c r="AY250" s="3">
        <f>AX250+AY254</f>
        <v>131371</v>
      </c>
      <c r="AZ250" s="3">
        <f>AY250+AZ254</f>
        <v>131371</v>
      </c>
      <c r="BA250" s="3">
        <f>AZ250</f>
        <v>131371</v>
      </c>
      <c r="BB250" s="3">
        <f>BA250+BB254</f>
        <v>131371</v>
      </c>
      <c r="BC250" s="3">
        <f>BB250+BC254</f>
        <v>131371</v>
      </c>
      <c r="BD250" s="3">
        <f>BC250+BD254</f>
        <v>131371</v>
      </c>
      <c r="BE250" s="3">
        <f>BD250+BE254</f>
        <v>131371</v>
      </c>
      <c r="BF250" s="3">
        <f>BE250</f>
        <v>131371</v>
      </c>
      <c r="BG250" s="3">
        <f>BF250+BG254</f>
        <v>131371</v>
      </c>
      <c r="BH250" s="3">
        <f>BG250+BH254</f>
        <v>131371</v>
      </c>
      <c r="BI250" s="3">
        <f>BH250+BI254</f>
        <v>131371</v>
      </c>
      <c r="BJ250" s="3">
        <f>BI250+BJ254</f>
        <v>131371</v>
      </c>
      <c r="BK250" s="3">
        <f>BJ250</f>
        <v>131371</v>
      </c>
      <c r="BL250" s="3">
        <f>BK250+BL254</f>
        <v>131371</v>
      </c>
      <c r="BM250" s="3">
        <f>BL250+BM254</f>
        <v>131371</v>
      </c>
      <c r="BN250" s="3">
        <f>BM250+BN254</f>
        <v>131371</v>
      </c>
      <c r="BO250" s="3">
        <f>BN250+BO254</f>
        <v>131371</v>
      </c>
      <c r="BP250" s="3">
        <f>BO250</f>
        <v>131371</v>
      </c>
      <c r="BQ250" s="3">
        <f>BP250+BQ254</f>
        <v>131371</v>
      </c>
      <c r="BR250" s="3">
        <f>BQ250+BR254</f>
        <v>131371</v>
      </c>
      <c r="BS250" s="3">
        <f>BR250+BS254</f>
        <v>131371</v>
      </c>
      <c r="BT250" s="3">
        <f>BS250+BT254</f>
        <v>131371</v>
      </c>
      <c r="BU250" s="3">
        <f>BT250</f>
        <v>131371</v>
      </c>
      <c r="BV250" s="3">
        <f>BU250+BV254</f>
        <v>131371</v>
      </c>
      <c r="BW250" s="3">
        <f>BV250+BW254</f>
        <v>131371</v>
      </c>
      <c r="BX250" s="3">
        <f>BW250+BX254</f>
        <v>131371</v>
      </c>
      <c r="BY250" s="3">
        <f>BX250+BY254</f>
        <v>131371</v>
      </c>
      <c r="BZ250" s="3">
        <f>BY250</f>
        <v>131371</v>
      </c>
      <c r="CA250" s="3">
        <f>BZ250+CA254</f>
        <v>131371</v>
      </c>
      <c r="CB250" s="3">
        <f>CA250+CB254</f>
        <v>131371</v>
      </c>
      <c r="CC250" s="3">
        <f>CB250+CC254</f>
        <v>131371</v>
      </c>
      <c r="CD250" s="3">
        <f>CC250+CD254</f>
        <v>131371</v>
      </c>
      <c r="CE250" s="3">
        <f>CD250</f>
        <v>131371</v>
      </c>
      <c r="CF250" s="3">
        <f>CE250+CF254</f>
        <v>131371</v>
      </c>
      <c r="CG250" s="3">
        <f>CF250+CG254</f>
        <v>131371</v>
      </c>
      <c r="CH250" s="3">
        <f>CG250+CH254</f>
        <v>131371</v>
      </c>
      <c r="CI250" s="3">
        <f>CH250+CI254</f>
        <v>131371</v>
      </c>
      <c r="CJ250" s="3">
        <f>CI250</f>
        <v>131371</v>
      </c>
      <c r="CK250" s="3">
        <f>CJ250+CK254</f>
        <v>131371</v>
      </c>
      <c r="CL250" s="3">
        <f>CK250+CL254</f>
        <v>131371</v>
      </c>
      <c r="CM250" s="3">
        <f>CL250+CM254</f>
        <v>131371</v>
      </c>
      <c r="CN250" s="3">
        <f>CM250+CN254</f>
        <v>131371</v>
      </c>
      <c r="CO250" s="3">
        <f>CN250</f>
        <v>131371</v>
      </c>
      <c r="CP250" s="3">
        <f>CO250+CP254</f>
        <v>131371</v>
      </c>
      <c r="CQ250" s="3">
        <f>CP250+CQ254</f>
        <v>131371</v>
      </c>
      <c r="CR250" s="3">
        <f>CQ250+CR254</f>
        <v>131371</v>
      </c>
      <c r="CS250" s="3">
        <f>CR250+CS254</f>
        <v>131371</v>
      </c>
      <c r="CT250" s="3">
        <f>CS250</f>
        <v>131371</v>
      </c>
      <c r="CU250" s="3">
        <f>CT250+CU254</f>
        <v>131371</v>
      </c>
      <c r="CV250" s="3">
        <f>CU250+CV254</f>
        <v>131371</v>
      </c>
      <c r="CW250" s="3">
        <f>CV250+CW254</f>
        <v>131371</v>
      </c>
      <c r="CX250" s="3">
        <f>CW250+CX254</f>
        <v>131371</v>
      </c>
      <c r="CY250" s="3">
        <f>CX250</f>
        <v>131371</v>
      </c>
    </row>
    <row r="251" hidden="1" outlineLevel="1" customFormat="1" s="39">
      <c r="A251" s="19" t="n"/>
      <c r="B251" s="19" t="n"/>
      <c r="C251" s="41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</row>
    <row r="252" hidden="1" outlineLevel="1" customFormat="1" s="39">
      <c r="A252" s="19" t="n"/>
      <c r="B252" s="19" t="n"/>
      <c r="C252" s="41" t="inlineStr">
        <is>
          <t>Diluted Shares outstanding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</row>
    <row r="253" hidden="1" outlineLevel="1" customFormat="1" s="39">
      <c r="A253" s="19" t="n"/>
      <c r="B253" s="19" t="n"/>
      <c r="C253" s="41" t="inlineStr">
        <is>
          <t>Treasury share $ repurchases</t>
        </is>
      </c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6" t="n"/>
      <c r="AI253" s="6" t="n"/>
      <c r="AJ253" s="6" t="n"/>
      <c r="AK253" s="6" t="n"/>
      <c r="AL253" s="22" t="n"/>
      <c r="AM253" s="6" t="n"/>
      <c r="AN253" s="6" t="n"/>
      <c r="AO253" s="6" t="n"/>
      <c r="AP253" s="6" t="n"/>
      <c r="AQ253" s="22" t="n"/>
      <c r="AR253" s="6" t="n"/>
      <c r="AS253" s="6" t="n"/>
      <c r="AT253" s="6" t="n"/>
      <c r="AU253" s="6" t="n"/>
      <c r="AV253" s="22" t="n"/>
      <c r="AW253" s="6" t="n"/>
      <c r="AX253" s="6" t="n"/>
      <c r="AY253" s="6" t="n"/>
      <c r="AZ253" s="6" t="n"/>
      <c r="BA253" s="22" t="n"/>
      <c r="BB253" s="6" t="n"/>
      <c r="BC253" s="6" t="n"/>
      <c r="BD253" s="6" t="n"/>
      <c r="BE253" s="6" t="n"/>
      <c r="BF253" s="22" t="n"/>
      <c r="BG253" s="6" t="n"/>
      <c r="BH253" s="6" t="n"/>
      <c r="BI253" s="6" t="n"/>
      <c r="BJ253" s="6" t="n"/>
      <c r="BK253" s="22" t="n"/>
      <c r="BL253" s="6" t="n"/>
      <c r="BM253" s="6" t="n"/>
      <c r="BN253" s="6" t="n"/>
      <c r="BO253" s="6" t="n"/>
      <c r="BP253" s="22" t="n"/>
      <c r="BQ253" s="6" t="n"/>
      <c r="BR253" s="6" t="n"/>
      <c r="BS253" s="6" t="n"/>
      <c r="BT253" s="6" t="n"/>
      <c r="BU253" s="22" t="n"/>
      <c r="BV253" s="6" t="n"/>
      <c r="BW253" s="6" t="n"/>
      <c r="BX253" s="6" t="n"/>
      <c r="BY253" s="6" t="n"/>
      <c r="BZ253" s="22" t="n"/>
      <c r="CA253" s="6" t="n"/>
      <c r="CB253" s="6" t="n"/>
      <c r="CC253" s="6" t="n"/>
      <c r="CD253" s="6" t="n"/>
      <c r="CE253" s="22" t="n"/>
      <c r="CF253" s="6" t="n"/>
      <c r="CG253" s="6" t="n"/>
      <c r="CH253" s="6" t="n"/>
      <c r="CI253" s="6" t="n"/>
      <c r="CJ253" s="22" t="n"/>
      <c r="CK253" s="6" t="n"/>
      <c r="CL253" s="6" t="n"/>
      <c r="CM253" s="6" t="n"/>
      <c r="CN253" s="6" t="n"/>
      <c r="CO253" s="22" t="n"/>
      <c r="CP253" s="6" t="n"/>
      <c r="CQ253" s="6" t="n"/>
      <c r="CR253" s="6" t="n"/>
      <c r="CS253" s="6" t="n"/>
      <c r="CT253" s="22" t="n"/>
      <c r="CU253" s="6" t="n"/>
      <c r="CV253" s="6" t="n"/>
      <c r="CW253" s="6" t="n"/>
      <c r="CX253" s="6" t="n"/>
      <c r="CY253" s="22" t="n"/>
    </row>
    <row r="254" hidden="1" outlineLevel="1" customFormat="1" s="39">
      <c r="A254" s="19" t="n"/>
      <c r="B254" s="19" t="n"/>
      <c r="C254" s="41" t="inlineStr">
        <is>
          <t>Value of shares issued</t>
        </is>
      </c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6" t="n"/>
      <c r="AI254" s="6" t="n"/>
      <c r="AJ254" s="6" t="n"/>
      <c r="AK254" s="6" t="n"/>
      <c r="AL254" s="22" t="n"/>
      <c r="AM254" s="6" t="n"/>
      <c r="AN254" s="6" t="n"/>
      <c r="AO254" s="6" t="n"/>
      <c r="AP254" s="6" t="n"/>
      <c r="AQ254" s="22" t="n"/>
      <c r="AR254" s="6" t="n"/>
      <c r="AS254" s="6" t="n"/>
      <c r="AT254" s="6" t="n"/>
      <c r="AU254" s="6" t="n"/>
      <c r="AV254" s="22" t="n"/>
      <c r="AW254" s="6" t="n"/>
      <c r="AX254" s="6" t="n"/>
      <c r="AY254" s="6" t="n"/>
      <c r="AZ254" s="6" t="n"/>
      <c r="BA254" s="22" t="n"/>
      <c r="BB254" s="6" t="n"/>
      <c r="BC254" s="6" t="n"/>
      <c r="BD254" s="6" t="n"/>
      <c r="BE254" s="6" t="n"/>
      <c r="BF254" s="22" t="n"/>
      <c r="BG254" s="6" t="n"/>
      <c r="BH254" s="6" t="n"/>
      <c r="BI254" s="6" t="n"/>
      <c r="BJ254" s="6" t="n"/>
      <c r="BK254" s="22" t="n"/>
      <c r="BL254" s="6" t="n"/>
      <c r="BM254" s="6" t="n"/>
      <c r="BN254" s="6" t="n"/>
      <c r="BO254" s="6" t="n"/>
      <c r="BP254" s="22" t="n"/>
      <c r="BQ254" s="6" t="n"/>
      <c r="BR254" s="6" t="n"/>
      <c r="BS254" s="6" t="n"/>
      <c r="BT254" s="6" t="n"/>
      <c r="BU254" s="22" t="n"/>
      <c r="BV254" s="6" t="n"/>
      <c r="BW254" s="6" t="n"/>
      <c r="BX254" s="6" t="n"/>
      <c r="BY254" s="6" t="n"/>
      <c r="BZ254" s="22" t="n"/>
      <c r="CA254" s="6" t="n"/>
      <c r="CB254" s="6" t="n"/>
      <c r="CC254" s="6" t="n"/>
      <c r="CD254" s="6" t="n"/>
      <c r="CE254" s="22" t="n"/>
      <c r="CF254" s="6" t="n"/>
      <c r="CG254" s="6" t="n"/>
      <c r="CH254" s="6" t="n"/>
      <c r="CI254" s="6" t="n"/>
      <c r="CJ254" s="22" t="n"/>
      <c r="CK254" s="6" t="n"/>
      <c r="CL254" s="6" t="n"/>
      <c r="CM254" s="6" t="n"/>
      <c r="CN254" s="6" t="n"/>
      <c r="CO254" s="22" t="n"/>
      <c r="CP254" s="6" t="n"/>
      <c r="CQ254" s="6" t="n"/>
      <c r="CR254" s="6" t="n"/>
      <c r="CS254" s="6" t="n"/>
      <c r="CT254" s="22" t="n"/>
      <c r="CU254" s="6" t="n"/>
      <c r="CV254" s="6" t="n"/>
      <c r="CW254" s="6" t="n"/>
      <c r="CX254" s="6" t="n"/>
      <c r="CY254" s="22" t="n"/>
    </row>
    <row r="255" hidden="1" outlineLevel="1" customFormat="1" s="39">
      <c r="A255" s="19" t="n"/>
      <c r="B255" s="19" t="n"/>
      <c r="C255" s="41" t="inlineStr">
        <is>
          <t>Expected average share price</t>
        </is>
      </c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51" t="n"/>
      <c r="AH255" s="42">
        <f>AG255*(1+AH256)</f>
        <v>0</v>
      </c>
      <c r="AI255" s="42">
        <f>AH255*(1+AI256)</f>
        <v>0</v>
      </c>
      <c r="AJ255" s="42">
        <f>AI255*(1+AJ256)</f>
        <v>0</v>
      </c>
      <c r="AK255" s="42">
        <f>AJ255*(1+AK256)</f>
        <v>0</v>
      </c>
      <c r="AL255" s="22" t="n"/>
      <c r="AM255" s="42">
        <f>AK255*(1+AM256)</f>
        <v>0</v>
      </c>
      <c r="AN255" s="42">
        <f>AM255*(1+AN256)</f>
        <v>0</v>
      </c>
      <c r="AO255" s="42">
        <f>AN255*(1+AO256)</f>
        <v>0</v>
      </c>
      <c r="AP255" s="42">
        <f>AO255*(1+AP256)</f>
        <v>0</v>
      </c>
      <c r="AQ255" s="22" t="n"/>
      <c r="AR255" s="42">
        <f>AP255*(1+AR256)</f>
        <v>0</v>
      </c>
      <c r="AS255" s="42">
        <f>AR255*(1+AS256)</f>
        <v>0</v>
      </c>
      <c r="AT255" s="42">
        <f>AS255*(1+AT256)</f>
        <v>0</v>
      </c>
      <c r="AU255" s="42">
        <f>AT255*(1+AU256)</f>
        <v>0</v>
      </c>
      <c r="AV255" s="22" t="n"/>
      <c r="AW255" s="42">
        <f>AU255*(1+AW256)</f>
        <v>0</v>
      </c>
      <c r="AX255" s="42">
        <f>AW255*(1+AX256)</f>
        <v>0</v>
      </c>
      <c r="AY255" s="42">
        <f>AX255*(1+AY256)</f>
        <v>0</v>
      </c>
      <c r="AZ255" s="42">
        <f>AY255*(1+AZ256)</f>
        <v>0</v>
      </c>
      <c r="BA255" s="22" t="n"/>
      <c r="BB255" s="42">
        <f>AZ255*(1+BB256)</f>
        <v>0</v>
      </c>
      <c r="BC255" s="42">
        <f>BB255*(1+BC256)</f>
        <v>0</v>
      </c>
      <c r="BD255" s="42">
        <f>BC255*(1+BD256)</f>
        <v>0</v>
      </c>
      <c r="BE255" s="42">
        <f>BD255*(1+BE256)</f>
        <v>0</v>
      </c>
      <c r="BF255" s="22" t="n"/>
      <c r="BG255" s="42">
        <f>BE255*(1+BG256)</f>
        <v>0</v>
      </c>
      <c r="BH255" s="42">
        <f>BG255*(1+BH256)</f>
        <v>0</v>
      </c>
      <c r="BI255" s="42">
        <f>BH255*(1+BI256)</f>
        <v>0</v>
      </c>
      <c r="BJ255" s="42">
        <f>BI255*(1+BJ256)</f>
        <v>0</v>
      </c>
      <c r="BK255" s="22" t="n"/>
      <c r="BL255" s="42">
        <f>BJ255*(1+BL256)</f>
        <v>0</v>
      </c>
      <c r="BM255" s="42">
        <f>BL255*(1+BM256)</f>
        <v>0</v>
      </c>
      <c r="BN255" s="42">
        <f>BM255*(1+BN256)</f>
        <v>0</v>
      </c>
      <c r="BO255" s="42">
        <f>BN255*(1+BO256)</f>
        <v>0</v>
      </c>
      <c r="BP255" s="22" t="n"/>
      <c r="BQ255" s="42">
        <f>BO255*(1+BQ256)</f>
        <v>0</v>
      </c>
      <c r="BR255" s="42">
        <f>BQ255*(1+BR256)</f>
        <v>0</v>
      </c>
      <c r="BS255" s="42">
        <f>BR255*(1+BS256)</f>
        <v>0</v>
      </c>
      <c r="BT255" s="42">
        <f>BS255*(1+BT256)</f>
        <v>0</v>
      </c>
      <c r="BU255" s="22" t="n"/>
      <c r="BV255" s="42">
        <f>BT255*(1+BV256)</f>
        <v>0</v>
      </c>
      <c r="BW255" s="42">
        <f>BV255*(1+BW256)</f>
        <v>0</v>
      </c>
      <c r="BX255" s="42">
        <f>BW255*(1+BX256)</f>
        <v>0</v>
      </c>
      <c r="BY255" s="42">
        <f>BX255*(1+BY256)</f>
        <v>0</v>
      </c>
      <c r="BZ255" s="22" t="n"/>
      <c r="CA255" s="42">
        <f>BY255*(1+CA256)</f>
        <v>0</v>
      </c>
      <c r="CB255" s="42">
        <f>CA255*(1+CB256)</f>
        <v>0</v>
      </c>
      <c r="CC255" s="42">
        <f>CB255*(1+CC256)</f>
        <v>0</v>
      </c>
      <c r="CD255" s="42">
        <f>CC255*(1+CD256)</f>
        <v>0</v>
      </c>
      <c r="CE255" s="22" t="n"/>
      <c r="CF255" s="42">
        <f>CD255*(1+CF256)</f>
        <v>0</v>
      </c>
      <c r="CG255" s="42">
        <f>CF255*(1+CG256)</f>
        <v>0</v>
      </c>
      <c r="CH255" s="42">
        <f>CG255*(1+CH256)</f>
        <v>0</v>
      </c>
      <c r="CI255" s="42">
        <f>CH255*(1+CI256)</f>
        <v>0</v>
      </c>
      <c r="CJ255" s="22" t="n"/>
      <c r="CK255" s="42">
        <f>CI255*(1+CK256)</f>
        <v>0</v>
      </c>
      <c r="CL255" s="42">
        <f>CK255*(1+CL256)</f>
        <v>0</v>
      </c>
      <c r="CM255" s="42">
        <f>CL255*(1+CM256)</f>
        <v>0</v>
      </c>
      <c r="CN255" s="42">
        <f>CM255*(1+CN256)</f>
        <v>0</v>
      </c>
      <c r="CO255" s="22" t="n"/>
      <c r="CP255" s="42">
        <f>CN255*(1+CP256)</f>
        <v>0</v>
      </c>
      <c r="CQ255" s="42">
        <f>CP255*(1+CQ256)</f>
        <v>0</v>
      </c>
      <c r="CR255" s="42">
        <f>CQ255*(1+CR256)</f>
        <v>0</v>
      </c>
      <c r="CS255" s="42">
        <f>CR255*(1+CS256)</f>
        <v>0</v>
      </c>
      <c r="CT255" s="22" t="n"/>
      <c r="CU255" s="42">
        <f>CS255*(1+CU256)</f>
        <v>0</v>
      </c>
      <c r="CV255" s="42">
        <f>CU255*(1+CV256)</f>
        <v>0</v>
      </c>
      <c r="CW255" s="42">
        <f>CV255*(1+CW256)</f>
        <v>0</v>
      </c>
      <c r="CX255" s="42">
        <f>CW255*(1+CX256)</f>
        <v>0</v>
      </c>
      <c r="CY255" s="22" t="n"/>
      <c r="CZ255">
        <f>CX255*(1+CZ256)</f>
        <v>0</v>
      </c>
      <c r="DA255">
        <f>CZ255*(1+DA256)</f>
        <v>0</v>
      </c>
      <c r="DB255">
        <f>DA255*(1+DB256)</f>
        <v>0</v>
      </c>
      <c r="DC255">
        <f>DB255*(1+DC256)</f>
        <v>0</v>
      </c>
    </row>
    <row r="256" hidden="1" outlineLevel="1" customFormat="1" s="39">
      <c r="A256" s="19" t="n"/>
      <c r="B256" s="19" t="n"/>
      <c r="C256" s="41" t="inlineStr">
        <is>
          <t>Consensus EPS growth</t>
        </is>
      </c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40">
        <f>$AL$261</f>
        <v>0</v>
      </c>
      <c r="AI256" s="40">
        <f>$AL$261</f>
        <v>0</v>
      </c>
      <c r="AJ256" s="40">
        <f>$AL$261</f>
        <v>0</v>
      </c>
      <c r="AK256" s="40">
        <f>$AL$261</f>
        <v>0</v>
      </c>
      <c r="AL256" s="22" t="n"/>
      <c r="AM256" s="40">
        <f>$AL$261</f>
        <v>0</v>
      </c>
      <c r="AN256" s="40">
        <f>$AL$261</f>
        <v>0</v>
      </c>
      <c r="AO256" s="40">
        <f>$AL$261</f>
        <v>0</v>
      </c>
      <c r="AP256" s="40">
        <f>$AL$261</f>
        <v>0</v>
      </c>
      <c r="AQ256" s="22" t="n"/>
      <c r="AR256" s="40">
        <f>$AL$261</f>
        <v>0</v>
      </c>
      <c r="AS256" s="40">
        <f>$AL$261</f>
        <v>0</v>
      </c>
      <c r="AT256" s="40">
        <f>$AL$261</f>
        <v>0</v>
      </c>
      <c r="AU256" s="40">
        <f>$AL$261</f>
        <v>0</v>
      </c>
      <c r="AV256" s="22" t="n"/>
      <c r="AW256" s="40">
        <f>$AL$261</f>
        <v>0</v>
      </c>
      <c r="AX256" s="40">
        <f>$AL$261</f>
        <v>0</v>
      </c>
      <c r="AY256" s="40">
        <f>$AL$261</f>
        <v>0</v>
      </c>
      <c r="AZ256" s="40">
        <f>$AL$261</f>
        <v>0</v>
      </c>
      <c r="BA256" s="22" t="n"/>
      <c r="BB256" s="40">
        <f>$AL$261</f>
        <v>0</v>
      </c>
      <c r="BC256" s="40">
        <f>$AL$261</f>
        <v>0</v>
      </c>
      <c r="BD256" s="40">
        <f>$AL$261</f>
        <v>0</v>
      </c>
      <c r="BE256" s="40">
        <f>$AL$261</f>
        <v>0</v>
      </c>
      <c r="BF256" s="22" t="n"/>
      <c r="BG256" s="40">
        <f>$AL$261</f>
        <v>0</v>
      </c>
      <c r="BH256" s="40">
        <f>$AL$261</f>
        <v>0</v>
      </c>
      <c r="BI256" s="40">
        <f>$AL$261</f>
        <v>0</v>
      </c>
      <c r="BJ256" s="40">
        <f>$AL$261</f>
        <v>0</v>
      </c>
      <c r="BK256" s="22" t="n"/>
      <c r="BL256" s="40">
        <f>$AL$261</f>
        <v>0</v>
      </c>
      <c r="BM256" s="40">
        <f>$AL$261</f>
        <v>0</v>
      </c>
      <c r="BN256" s="40">
        <f>$AL$261</f>
        <v>0</v>
      </c>
      <c r="BO256" s="40">
        <f>$AL$261</f>
        <v>0</v>
      </c>
      <c r="BP256" s="22" t="n"/>
      <c r="BQ256" s="40">
        <f>$AL$261</f>
        <v>0</v>
      </c>
      <c r="BR256" s="40">
        <f>$AL$261</f>
        <v>0</v>
      </c>
      <c r="BS256" s="40">
        <f>$AL$261</f>
        <v>0</v>
      </c>
      <c r="BT256" s="40">
        <f>$AL$261</f>
        <v>0</v>
      </c>
      <c r="BU256" s="22" t="n"/>
      <c r="BV256" s="40">
        <f>$AL$261</f>
        <v>0</v>
      </c>
      <c r="BW256" s="40">
        <f>$AL$261</f>
        <v>0</v>
      </c>
      <c r="BX256" s="40">
        <f>$AL$261</f>
        <v>0</v>
      </c>
      <c r="BY256" s="40">
        <f>$AL$261</f>
        <v>0</v>
      </c>
      <c r="BZ256" s="22" t="n"/>
      <c r="CA256" s="40">
        <f>$AL$261</f>
        <v>0</v>
      </c>
      <c r="CB256" s="40">
        <f>$AL$261</f>
        <v>0</v>
      </c>
      <c r="CC256" s="40">
        <f>$AL$261</f>
        <v>0</v>
      </c>
      <c r="CD256" s="40">
        <f>$AL$261</f>
        <v>0</v>
      </c>
      <c r="CE256" s="22" t="n"/>
      <c r="CF256" s="40">
        <f>$AL$261</f>
        <v>0</v>
      </c>
      <c r="CG256" s="40">
        <f>$AL$261</f>
        <v>0</v>
      </c>
      <c r="CH256" s="40">
        <f>$AL$261</f>
        <v>0</v>
      </c>
      <c r="CI256" s="40">
        <f>$AL$261</f>
        <v>0</v>
      </c>
      <c r="CJ256" s="22" t="n"/>
      <c r="CK256" s="40">
        <f>$AL$261</f>
        <v>0</v>
      </c>
      <c r="CL256" s="40">
        <f>$AL$261</f>
        <v>0</v>
      </c>
      <c r="CM256" s="40">
        <f>$AL$261</f>
        <v>0</v>
      </c>
      <c r="CN256" s="40">
        <f>$AL$261</f>
        <v>0</v>
      </c>
      <c r="CO256" s="22" t="n"/>
      <c r="CP256" s="40">
        <f>$AL$261</f>
        <v>0</v>
      </c>
      <c r="CQ256" s="40">
        <f>$AL$261</f>
        <v>0</v>
      </c>
      <c r="CR256" s="40">
        <f>$AL$261</f>
        <v>0</v>
      </c>
      <c r="CS256" s="40">
        <f>$AL$261</f>
        <v>0</v>
      </c>
      <c r="CT256" s="22" t="n"/>
      <c r="CU256" s="40">
        <f>$AL$261</f>
        <v>0</v>
      </c>
      <c r="CV256" s="40">
        <f>$AL$261</f>
        <v>0</v>
      </c>
      <c r="CW256" s="40">
        <f>$AL$261</f>
        <v>0</v>
      </c>
      <c r="CX256" s="40">
        <f>$AL$261</f>
        <v>0</v>
      </c>
      <c r="CY256" s="22" t="n"/>
    </row>
    <row r="257" hidden="1" outlineLevel="1" customFormat="1" s="39">
      <c r="A257" s="19" t="n"/>
      <c r="B257" s="19" t="n"/>
      <c r="C257" s="41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3" t="n"/>
      <c r="AI257" s="3" t="n"/>
      <c r="AJ257" s="3" t="n"/>
      <c r="AK257" s="3" t="n"/>
      <c r="AL257" s="22" t="n"/>
      <c r="AM257" s="3" t="n"/>
      <c r="AN257" s="3" t="n"/>
      <c r="AO257" s="3" t="n"/>
      <c r="AP257" s="3" t="n"/>
      <c r="AQ257" s="22" t="n"/>
      <c r="AR257" s="3" t="n"/>
      <c r="AS257" s="3" t="n"/>
      <c r="AT257" s="3" t="n"/>
      <c r="AU257" s="3" t="n"/>
      <c r="AV257" s="22" t="n"/>
      <c r="AW257" s="3" t="n"/>
      <c r="AX257" s="3" t="n"/>
      <c r="AY257" s="3" t="n"/>
      <c r="AZ257" s="3" t="n"/>
      <c r="BA257" s="22" t="n"/>
      <c r="BB257" s="3" t="n"/>
      <c r="BC257" s="3" t="n"/>
      <c r="BD257" s="3" t="n"/>
      <c r="BE257" s="3" t="n"/>
      <c r="BF257" s="22" t="n"/>
      <c r="BG257" s="3" t="n"/>
      <c r="BH257" s="3" t="n"/>
      <c r="BI257" s="3" t="n"/>
      <c r="BJ257" s="3" t="n"/>
      <c r="BK257" s="22" t="n"/>
      <c r="BL257" s="3" t="n"/>
      <c r="BM257" s="3" t="n"/>
      <c r="BN257" s="3" t="n"/>
      <c r="BO257" s="3" t="n"/>
      <c r="BP257" s="22" t="n"/>
      <c r="BQ257" s="3" t="n"/>
      <c r="BR257" s="3" t="n"/>
      <c r="BS257" s="3" t="n"/>
      <c r="BT257" s="3" t="n"/>
      <c r="BU257" s="22" t="n"/>
      <c r="BV257" s="3" t="n"/>
      <c r="BW257" s="3" t="n"/>
      <c r="BX257" s="3" t="n"/>
      <c r="BY257" s="3" t="n"/>
      <c r="BZ257" s="22" t="n"/>
      <c r="CA257" s="3" t="n"/>
      <c r="CB257" s="3" t="n"/>
      <c r="CC257" s="3" t="n"/>
      <c r="CD257" s="3" t="n"/>
      <c r="CE257" s="22" t="n"/>
      <c r="CF257" s="3" t="n"/>
      <c r="CG257" s="3" t="n"/>
      <c r="CH257" s="3" t="n"/>
      <c r="CI257" s="3" t="n"/>
      <c r="CJ257" s="22" t="n"/>
      <c r="CK257" s="3" t="n"/>
      <c r="CL257" s="3" t="n"/>
      <c r="CM257" s="3" t="n"/>
      <c r="CN257" s="3" t="n"/>
      <c r="CO257" s="22" t="n"/>
      <c r="CP257" s="3" t="n"/>
      <c r="CQ257" s="3" t="n"/>
      <c r="CR257" s="3" t="n"/>
      <c r="CS257" s="3" t="n"/>
      <c r="CT257" s="22" t="n"/>
      <c r="CU257" s="3" t="n"/>
      <c r="CV257" s="3" t="n"/>
      <c r="CW257" s="3" t="n"/>
      <c r="CX257" s="3" t="n"/>
      <c r="CY257" s="22" t="n"/>
    </row>
    <row r="258" hidden="1" outlineLevel="1" customFormat="1" s="39">
      <c r="A258" s="19" t="n"/>
      <c r="B258" s="19" t="n"/>
      <c r="C258" s="41" t="inlineStr">
        <is>
          <t>Shares repurchased</t>
        </is>
      </c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43" t="n"/>
      <c r="AI258" s="43" t="n"/>
      <c r="AJ258" s="43" t="e">
        <f>-AJ253/AJ255</f>
        <v>#DIV/0!</v>
      </c>
      <c r="AK258" s="43" t="e">
        <f>-AK253/AK255</f>
        <v>#DIV/0!</v>
      </c>
      <c r="AL258" s="22" t="n"/>
      <c r="AM258" s="43" t="e">
        <f>-AM253/AM255</f>
        <v>#DIV/0!</v>
      </c>
      <c r="AN258" s="43" t="e">
        <f>-AN253/AN255</f>
        <v>#DIV/0!</v>
      </c>
      <c r="AO258" s="43" t="e">
        <f>-AO253/AO255</f>
        <v>#DIV/0!</v>
      </c>
      <c r="AP258" s="43" t="e">
        <f>-AP253/AP255</f>
        <v>#DIV/0!</v>
      </c>
      <c r="AQ258" s="22" t="n"/>
      <c r="AR258" s="43" t="e">
        <f>-AR253/AR255</f>
        <v>#DIV/0!</v>
      </c>
      <c r="AS258" s="43" t="e">
        <f>-AS253/AS255</f>
        <v>#DIV/0!</v>
      </c>
      <c r="AT258" s="43" t="e">
        <f>-AT253/AT255</f>
        <v>#DIV/0!</v>
      </c>
      <c r="AU258" s="43" t="e">
        <f>-AU253/AU255</f>
        <v>#DIV/0!</v>
      </c>
      <c r="AV258" s="22" t="n"/>
      <c r="AW258" s="43" t="e">
        <f>-AW253/AW255</f>
        <v>#DIV/0!</v>
      </c>
      <c r="AX258" s="43" t="e">
        <f>-AX253/AX255</f>
        <v>#DIV/0!</v>
      </c>
      <c r="AY258" s="43" t="e">
        <f>-AY253/AY255</f>
        <v>#DIV/0!</v>
      </c>
      <c r="AZ258" s="43" t="e">
        <f>-AZ253/AZ255</f>
        <v>#DIV/0!</v>
      </c>
      <c r="BA258" s="22" t="n"/>
      <c r="BB258" s="43" t="e">
        <f>-BB253/BB255</f>
        <v>#DIV/0!</v>
      </c>
      <c r="BC258" s="43" t="e">
        <f>-BC253/BC255</f>
        <v>#DIV/0!</v>
      </c>
      <c r="BD258" s="43" t="e">
        <f>-BD253/BD255</f>
        <v>#DIV/0!</v>
      </c>
      <c r="BE258" s="43" t="e">
        <f>-BE253/BE255</f>
        <v>#DIV/0!</v>
      </c>
      <c r="BF258" s="22" t="n"/>
      <c r="BG258" s="43" t="e">
        <f>-BG253/BG255</f>
        <v>#DIV/0!</v>
      </c>
      <c r="BH258" s="43" t="e">
        <f>-BH253/BH255</f>
        <v>#DIV/0!</v>
      </c>
      <c r="BI258" s="43" t="e">
        <f>-BI253/BI255</f>
        <v>#DIV/0!</v>
      </c>
      <c r="BJ258" s="43" t="e">
        <f>-BJ253/BJ255</f>
        <v>#DIV/0!</v>
      </c>
      <c r="BK258" s="22" t="n"/>
      <c r="BL258" s="43" t="e">
        <f>-BL253/BL255</f>
        <v>#DIV/0!</v>
      </c>
      <c r="BM258" s="43" t="e">
        <f>-BM253/BM255</f>
        <v>#DIV/0!</v>
      </c>
      <c r="BN258" s="43" t="e">
        <f>-BN253/BN255</f>
        <v>#DIV/0!</v>
      </c>
      <c r="BO258" s="43" t="e">
        <f>-BO253/BO255</f>
        <v>#DIV/0!</v>
      </c>
      <c r="BP258" s="22" t="n"/>
      <c r="BQ258" s="43" t="e">
        <f>-BQ253/BQ255</f>
        <v>#DIV/0!</v>
      </c>
      <c r="BR258" s="43" t="e">
        <f>-BR253/BR255</f>
        <v>#DIV/0!</v>
      </c>
      <c r="BS258" s="43" t="e">
        <f>-BS253/BS255</f>
        <v>#DIV/0!</v>
      </c>
      <c r="BT258" s="43" t="e">
        <f>-BT253/BT255</f>
        <v>#DIV/0!</v>
      </c>
      <c r="BU258" s="22" t="n"/>
      <c r="BV258" s="43" t="e">
        <f>-BV253/BV255</f>
        <v>#DIV/0!</v>
      </c>
      <c r="BW258" s="43" t="e">
        <f>-BW253/BW255</f>
        <v>#DIV/0!</v>
      </c>
      <c r="BX258" s="43" t="e">
        <f>-BX253/BX255</f>
        <v>#DIV/0!</v>
      </c>
      <c r="BY258" s="43" t="e">
        <f>-BY253/BY255</f>
        <v>#DIV/0!</v>
      </c>
      <c r="BZ258" s="22" t="n"/>
      <c r="CA258" s="43" t="e">
        <f>-CA253/CA255</f>
        <v>#DIV/0!</v>
      </c>
      <c r="CB258" s="43" t="e">
        <f>-CB253/CB255</f>
        <v>#DIV/0!</v>
      </c>
      <c r="CC258" s="43" t="e">
        <f>-CC253/CC255</f>
        <v>#DIV/0!</v>
      </c>
      <c r="CD258" s="43" t="e">
        <f>-CD253/CD255</f>
        <v>#DIV/0!</v>
      </c>
      <c r="CE258" s="22" t="n"/>
      <c r="CF258" s="43" t="e">
        <f>-CF253/CF255</f>
        <v>#DIV/0!</v>
      </c>
      <c r="CG258" s="43" t="e">
        <f>-CG253/CG255</f>
        <v>#DIV/0!</v>
      </c>
      <c r="CH258" s="43" t="e">
        <f>-CH253/CH255</f>
        <v>#DIV/0!</v>
      </c>
      <c r="CI258" s="43" t="e">
        <f>-CI253/CI255</f>
        <v>#DIV/0!</v>
      </c>
      <c r="CJ258" s="22" t="n"/>
      <c r="CK258" s="43" t="e">
        <f>-CK253/CK255</f>
        <v>#DIV/0!</v>
      </c>
      <c r="CL258" s="43" t="e">
        <f>-CL253/CL255</f>
        <v>#DIV/0!</v>
      </c>
      <c r="CM258" s="43" t="e">
        <f>-CM253/CM255</f>
        <v>#DIV/0!</v>
      </c>
      <c r="CN258" s="43" t="e">
        <f>-CN253/CN255</f>
        <v>#DIV/0!</v>
      </c>
      <c r="CO258" s="22" t="n"/>
      <c r="CP258" s="43" t="e">
        <f>-CP253/CP255</f>
        <v>#DIV/0!</v>
      </c>
      <c r="CQ258" s="43" t="e">
        <f>-CQ253/CQ255</f>
        <v>#DIV/0!</v>
      </c>
      <c r="CR258" s="43" t="e">
        <f>-CR253/CR255</f>
        <v>#DIV/0!</v>
      </c>
      <c r="CS258" s="43" t="e">
        <f>-CS253/CS255</f>
        <v>#DIV/0!</v>
      </c>
      <c r="CT258" s="22" t="n"/>
      <c r="CU258" s="43" t="e">
        <f>-CU253/CU255</f>
        <v>#DIV/0!</v>
      </c>
      <c r="CV258" s="43" t="e">
        <f>-CV253/CV255</f>
        <v>#DIV/0!</v>
      </c>
      <c r="CW258" s="43" t="e">
        <f>-CW253/CW255</f>
        <v>#DIV/0!</v>
      </c>
      <c r="CX258" s="43" t="e">
        <f>-CX253/CX255</f>
        <v>#DIV/0!</v>
      </c>
      <c r="CY258" s="22" t="n"/>
    </row>
    <row r="259" hidden="1" outlineLevel="1" customFormat="1" s="39">
      <c r="A259" s="19" t="n"/>
      <c r="B259" s="19" t="n"/>
      <c r="C259" s="41" t="inlineStr">
        <is>
          <t>Shares issued</t>
        </is>
      </c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46" t="n"/>
      <c r="AG259" s="22" t="n"/>
      <c r="AH259" s="43" t="n"/>
      <c r="AI259" s="43" t="n"/>
      <c r="AJ259" s="43" t="e">
        <f>AJ254/AJ255</f>
        <v>#DIV/0!</v>
      </c>
      <c r="AK259" s="43" t="e">
        <f>AK254/AK255</f>
        <v>#DIV/0!</v>
      </c>
      <c r="AL259" s="22" t="n"/>
      <c r="AM259" s="43" t="e">
        <f>AM254/AM255</f>
        <v>#DIV/0!</v>
      </c>
      <c r="AN259" s="43" t="e">
        <f>AN254/AN255</f>
        <v>#DIV/0!</v>
      </c>
      <c r="AO259" s="43" t="e">
        <f>AO254/AO255</f>
        <v>#DIV/0!</v>
      </c>
      <c r="AP259" s="43" t="e">
        <f>AP254/AP255</f>
        <v>#DIV/0!</v>
      </c>
      <c r="AQ259" s="22" t="n"/>
      <c r="AR259" s="43" t="e">
        <f>AR254/AR255</f>
        <v>#DIV/0!</v>
      </c>
      <c r="AS259" s="43" t="e">
        <f>AS254/AS255</f>
        <v>#DIV/0!</v>
      </c>
      <c r="AT259" s="43" t="e">
        <f>AT254/AT255</f>
        <v>#DIV/0!</v>
      </c>
      <c r="AU259" s="43" t="e">
        <f>AU254/AU255</f>
        <v>#DIV/0!</v>
      </c>
      <c r="AV259" s="22" t="n"/>
      <c r="AW259" s="43" t="e">
        <f>AW254/AW255</f>
        <v>#DIV/0!</v>
      </c>
      <c r="AX259" s="43" t="e">
        <f>AX254/AX255</f>
        <v>#DIV/0!</v>
      </c>
      <c r="AY259" s="43" t="e">
        <f>AY254/AY255</f>
        <v>#DIV/0!</v>
      </c>
      <c r="AZ259" s="43" t="e">
        <f>AZ254/AZ255</f>
        <v>#DIV/0!</v>
      </c>
      <c r="BA259" s="22" t="n"/>
      <c r="BB259" s="43" t="e">
        <f>BB254/BB255</f>
        <v>#DIV/0!</v>
      </c>
      <c r="BC259" s="43" t="e">
        <f>BC254/BC255</f>
        <v>#DIV/0!</v>
      </c>
      <c r="BD259" s="43" t="e">
        <f>BD254/BD255</f>
        <v>#DIV/0!</v>
      </c>
      <c r="BE259" s="43" t="e">
        <f>BE254/BE255</f>
        <v>#DIV/0!</v>
      </c>
      <c r="BF259" s="22" t="n"/>
      <c r="BG259" s="43" t="e">
        <f>BG254/BG255</f>
        <v>#DIV/0!</v>
      </c>
      <c r="BH259" s="43" t="e">
        <f>BH254/BH255</f>
        <v>#DIV/0!</v>
      </c>
      <c r="BI259" s="43" t="e">
        <f>BI254/BI255</f>
        <v>#DIV/0!</v>
      </c>
      <c r="BJ259" s="43" t="e">
        <f>BJ254/BJ255</f>
        <v>#DIV/0!</v>
      </c>
      <c r="BK259" s="22" t="n"/>
      <c r="BL259" s="43" t="e">
        <f>BL254/BL255</f>
        <v>#DIV/0!</v>
      </c>
      <c r="BM259" s="43" t="e">
        <f>BM254/BM255</f>
        <v>#DIV/0!</v>
      </c>
      <c r="BN259" s="43" t="e">
        <f>BN254/BN255</f>
        <v>#DIV/0!</v>
      </c>
      <c r="BO259" s="43" t="e">
        <f>BO254/BO255</f>
        <v>#DIV/0!</v>
      </c>
      <c r="BP259" s="22" t="n"/>
      <c r="BQ259" s="43" t="e">
        <f>BQ254/BQ255</f>
        <v>#DIV/0!</v>
      </c>
      <c r="BR259" s="43" t="e">
        <f>BR254/BR255</f>
        <v>#DIV/0!</v>
      </c>
      <c r="BS259" s="43" t="e">
        <f>BS254/BS255</f>
        <v>#DIV/0!</v>
      </c>
      <c r="BT259" s="43" t="e">
        <f>BT254/BT255</f>
        <v>#DIV/0!</v>
      </c>
      <c r="BU259" s="22" t="n"/>
      <c r="BV259" s="43" t="e">
        <f>BV254/BV255</f>
        <v>#DIV/0!</v>
      </c>
      <c r="BW259" s="43" t="e">
        <f>BW254/BW255</f>
        <v>#DIV/0!</v>
      </c>
      <c r="BX259" s="43" t="e">
        <f>BX254/BX255</f>
        <v>#DIV/0!</v>
      </c>
      <c r="BY259" s="43" t="e">
        <f>BY254/BY255</f>
        <v>#DIV/0!</v>
      </c>
      <c r="BZ259" s="22" t="n"/>
      <c r="CA259" s="43" t="e">
        <f>CA254/CA255</f>
        <v>#DIV/0!</v>
      </c>
      <c r="CB259" s="43" t="e">
        <f>CB254/CB255</f>
        <v>#DIV/0!</v>
      </c>
      <c r="CC259" s="43" t="e">
        <f>CC254/CC255</f>
        <v>#DIV/0!</v>
      </c>
      <c r="CD259" s="43" t="e">
        <f>CD254/CD255</f>
        <v>#DIV/0!</v>
      </c>
      <c r="CE259" s="22" t="n"/>
      <c r="CF259" s="43" t="e">
        <f>CF254/CF255</f>
        <v>#DIV/0!</v>
      </c>
      <c r="CG259" s="43" t="e">
        <f>CG254/CG255</f>
        <v>#DIV/0!</v>
      </c>
      <c r="CH259" s="43" t="e">
        <f>CH254/CH255</f>
        <v>#DIV/0!</v>
      </c>
      <c r="CI259" s="43" t="e">
        <f>CI254/CI255</f>
        <v>#DIV/0!</v>
      </c>
      <c r="CJ259" s="22" t="n"/>
      <c r="CK259" s="43" t="e">
        <f>CK254/CK255</f>
        <v>#DIV/0!</v>
      </c>
      <c r="CL259" s="43" t="e">
        <f>CL254/CL255</f>
        <v>#DIV/0!</v>
      </c>
      <c r="CM259" s="43" t="e">
        <f>CM254/CM255</f>
        <v>#DIV/0!</v>
      </c>
      <c r="CN259" s="43" t="e">
        <f>CN254/CN255</f>
        <v>#DIV/0!</v>
      </c>
      <c r="CO259" s="22" t="n"/>
      <c r="CP259" s="43" t="e">
        <f>CP254/CP255</f>
        <v>#DIV/0!</v>
      </c>
      <c r="CQ259" s="43" t="e">
        <f>CQ254/CQ255</f>
        <v>#DIV/0!</v>
      </c>
      <c r="CR259" s="43" t="e">
        <f>CR254/CR255</f>
        <v>#DIV/0!</v>
      </c>
      <c r="CS259" s="43" t="e">
        <f>CS254/CS255</f>
        <v>#DIV/0!</v>
      </c>
      <c r="CT259" s="22" t="n"/>
      <c r="CU259" s="43" t="e">
        <f>CU254/CU255</f>
        <v>#DIV/0!</v>
      </c>
      <c r="CV259" s="43" t="e">
        <f>CV254/CV255</f>
        <v>#DIV/0!</v>
      </c>
      <c r="CW259" s="43" t="e">
        <f>CW254/CW255</f>
        <v>#DIV/0!</v>
      </c>
      <c r="CX259" s="43" t="e">
        <f>CX254/CX255</f>
        <v>#DIV/0!</v>
      </c>
      <c r="CY259" s="22" t="n"/>
    </row>
    <row r="260" hidden="1" outlineLevel="1" customFormat="1" s="39">
      <c r="A260" s="19" t="n"/>
      <c r="B260" s="19" t="n"/>
      <c r="C260" s="41" t="inlineStr">
        <is>
          <t>End of period basic shares outstanding</t>
        </is>
      </c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51" t="n"/>
      <c r="AH260" s="1">
        <f>AG260+AH259-AH258</f>
        <v>0</v>
      </c>
      <c r="AI260" s="1">
        <f>AH260+AI259-AI258</f>
        <v>0</v>
      </c>
      <c r="AJ260" s="43" t="e">
        <f>AI260+AJ259-AJ258</f>
        <v>#DIV/0!</v>
      </c>
      <c r="AK260" s="43" t="e">
        <f>AJ260+AK259-AK258</f>
        <v>#DIV/0!</v>
      </c>
      <c r="AL260" s="22" t="n"/>
      <c r="AM260" s="1" t="e">
        <f>AK260+AM259-AM258</f>
        <v>#DIV/0!</v>
      </c>
      <c r="AN260" s="1" t="e">
        <f>AM260+AN259-AN258</f>
        <v>#DIV/0!</v>
      </c>
      <c r="AO260" s="43" t="e">
        <f>AN260+AO259-AO258</f>
        <v>#DIV/0!</v>
      </c>
      <c r="AP260" s="43" t="e">
        <f>AO260+AP259-AP258</f>
        <v>#DIV/0!</v>
      </c>
      <c r="AQ260" s="22" t="n"/>
      <c r="AR260" s="1" t="e">
        <f>AP260+AR259-AR258</f>
        <v>#DIV/0!</v>
      </c>
      <c r="AS260" s="1" t="e">
        <f>AR260+AS259-AS258</f>
        <v>#DIV/0!</v>
      </c>
      <c r="AT260" s="43" t="e">
        <f>AS260+AT259-AT258</f>
        <v>#DIV/0!</v>
      </c>
      <c r="AU260" s="43" t="e">
        <f>AT260+AU259-AU258</f>
        <v>#DIV/0!</v>
      </c>
      <c r="AV260" s="22" t="n"/>
      <c r="AW260" s="1" t="e">
        <f>AU260+AW259-AW258</f>
        <v>#DIV/0!</v>
      </c>
      <c r="AX260" s="1" t="e">
        <f>AW260+AX259-AX258</f>
        <v>#DIV/0!</v>
      </c>
      <c r="AY260" s="43" t="e">
        <f>AX260+AY259-AY258</f>
        <v>#DIV/0!</v>
      </c>
      <c r="AZ260" s="43" t="e">
        <f>AY260+AZ259-AZ258</f>
        <v>#DIV/0!</v>
      </c>
      <c r="BA260" s="22" t="n"/>
      <c r="BB260" s="1" t="e">
        <f>AZ260+BB259-BB258</f>
        <v>#DIV/0!</v>
      </c>
      <c r="BC260" s="1" t="e">
        <f>BB260+BC259-BC258</f>
        <v>#DIV/0!</v>
      </c>
      <c r="BD260" s="43" t="e">
        <f>BC260+BD259-BD258</f>
        <v>#DIV/0!</v>
      </c>
      <c r="BE260" s="43" t="e">
        <f>BD260+BE259-BE258</f>
        <v>#DIV/0!</v>
      </c>
      <c r="BF260" s="22" t="n"/>
      <c r="BG260" s="1" t="e">
        <f>BE260+BG259-BG258</f>
        <v>#DIV/0!</v>
      </c>
      <c r="BH260" s="1" t="e">
        <f>BG260+BH259-BH258</f>
        <v>#DIV/0!</v>
      </c>
      <c r="BI260" s="43" t="e">
        <f>BH260+BI259-BI258</f>
        <v>#DIV/0!</v>
      </c>
      <c r="BJ260" s="43" t="e">
        <f>BI260+BJ259-BJ258</f>
        <v>#DIV/0!</v>
      </c>
      <c r="BK260" s="22" t="n"/>
      <c r="BL260" s="1" t="e">
        <f>BJ260+BL259-BL258</f>
        <v>#DIV/0!</v>
      </c>
      <c r="BM260" s="1" t="e">
        <f>BL260+BM259-BM258</f>
        <v>#DIV/0!</v>
      </c>
      <c r="BN260" s="43" t="e">
        <f>BM260+BN259-BN258</f>
        <v>#DIV/0!</v>
      </c>
      <c r="BO260" s="43" t="e">
        <f>BN260+BO259-BO258</f>
        <v>#DIV/0!</v>
      </c>
      <c r="BP260" s="22" t="n"/>
      <c r="BQ260" s="1" t="e">
        <f>BO260+BQ259-BQ258</f>
        <v>#DIV/0!</v>
      </c>
      <c r="BR260" s="1" t="e">
        <f>BQ260+BR259-BR258</f>
        <v>#DIV/0!</v>
      </c>
      <c r="BS260" s="43" t="e">
        <f>BR260+BS259-BS258</f>
        <v>#DIV/0!</v>
      </c>
      <c r="BT260" s="43" t="e">
        <f>BS260+BT259-BT258</f>
        <v>#DIV/0!</v>
      </c>
      <c r="BU260" s="22" t="n"/>
      <c r="BV260" s="1" t="e">
        <f>BT260+BV259-BV258</f>
        <v>#DIV/0!</v>
      </c>
      <c r="BW260" s="1" t="e">
        <f>BV260+BW259-BW258</f>
        <v>#DIV/0!</v>
      </c>
      <c r="BX260" s="43" t="e">
        <f>BW260+BX259-BX258</f>
        <v>#DIV/0!</v>
      </c>
      <c r="BY260" s="43" t="e">
        <f>BX260+BY259-BY258</f>
        <v>#DIV/0!</v>
      </c>
      <c r="BZ260" s="22" t="n"/>
      <c r="CA260" s="1" t="e">
        <f>BY260+CA259-CA258</f>
        <v>#DIV/0!</v>
      </c>
      <c r="CB260" s="1" t="e">
        <f>CA260+CB259-CB258</f>
        <v>#DIV/0!</v>
      </c>
      <c r="CC260" s="43" t="e">
        <f>CB260+CC259-CC258</f>
        <v>#DIV/0!</v>
      </c>
      <c r="CD260" s="43" t="e">
        <f>CC260+CD259-CD258</f>
        <v>#DIV/0!</v>
      </c>
      <c r="CE260" s="22" t="n"/>
      <c r="CF260" s="1" t="e">
        <f>CD260+CF259-CF258</f>
        <v>#DIV/0!</v>
      </c>
      <c r="CG260" s="1" t="e">
        <f>CF260+CG259-CG258</f>
        <v>#DIV/0!</v>
      </c>
      <c r="CH260" s="43" t="e">
        <f>CG260+CH259-CH258</f>
        <v>#DIV/0!</v>
      </c>
      <c r="CI260" s="43" t="e">
        <f>CH260+CI259-CI258</f>
        <v>#DIV/0!</v>
      </c>
      <c r="CJ260" s="22" t="n"/>
      <c r="CK260" s="1" t="e">
        <f>CI260+CK259-CK258</f>
        <v>#DIV/0!</v>
      </c>
      <c r="CL260" s="1" t="e">
        <f>CK260+CL259-CL258</f>
        <v>#DIV/0!</v>
      </c>
      <c r="CM260" s="43" t="e">
        <f>CL260+CM259-CM258</f>
        <v>#DIV/0!</v>
      </c>
      <c r="CN260" s="43" t="e">
        <f>CM260+CN259-CN258</f>
        <v>#DIV/0!</v>
      </c>
      <c r="CO260" s="22" t="n"/>
      <c r="CP260" s="1" t="e">
        <f>CN260+CP259-CP258</f>
        <v>#DIV/0!</v>
      </c>
      <c r="CQ260" s="1" t="e">
        <f>CP260+CQ259-CQ258</f>
        <v>#DIV/0!</v>
      </c>
      <c r="CR260" s="43" t="e">
        <f>CQ260+CR259-CR258</f>
        <v>#DIV/0!</v>
      </c>
      <c r="CS260" s="43" t="e">
        <f>CR260+CS259-CS258</f>
        <v>#DIV/0!</v>
      </c>
      <c r="CT260" s="22" t="n"/>
      <c r="CU260" s="1" t="e">
        <f>CS260+CU259-CU258</f>
        <v>#DIV/0!</v>
      </c>
      <c r="CV260" s="1" t="e">
        <f>CU260+CV259-CV258</f>
        <v>#DIV/0!</v>
      </c>
      <c r="CW260" s="43" t="e">
        <f>CV260+CW259-CW258</f>
        <v>#DIV/0!</v>
      </c>
      <c r="CX260" s="43" t="e">
        <f>CW260+CX259-CX258</f>
        <v>#DIV/0!</v>
      </c>
      <c r="CY260" s="22" t="n"/>
      <c r="CZ260" t="e">
        <f>CX260+CZ259-CZ258</f>
        <v>#DIV/0!</v>
      </c>
      <c r="DA260" t="e">
        <f>CZ260+DA259-DA258</f>
        <v>#DIV/0!</v>
      </c>
      <c r="DB260" t="e">
        <f>DA260+DB259-DB258</f>
        <v>#DIV/0!</v>
      </c>
      <c r="DC260" t="e">
        <f>DB260+DC259-DC258</f>
        <v>#DIV/0!</v>
      </c>
    </row>
    <row r="261" hidden="1" outlineLevel="1" customFormat="1" s="39">
      <c r="A261" s="19" t="n"/>
      <c r="B261" s="19" t="n"/>
      <c r="C261" s="41" t="inlineStr">
        <is>
          <t>Weighted average basic shares outstanding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43">
        <f>AVERAGE(AG260,AH260)</f>
        <v>0</v>
      </c>
      <c r="AI261" s="43">
        <f>AVERAGE(AH260,AI260)</f>
        <v>0</v>
      </c>
      <c r="AJ261" s="43" t="e">
        <f>AVERAGE(AI260,AJ260)</f>
        <v>#DIV/0!</v>
      </c>
      <c r="AK261" s="43" t="e">
        <f>AVERAGE(AJ260,AK260)</f>
        <v>#DIV/0!</v>
      </c>
      <c r="AL261" s="22" t="n"/>
      <c r="AM261" s="43" t="e">
        <f>AVERAGE(AK260,AM260)</f>
        <v>#DIV/0!</v>
      </c>
      <c r="AN261" s="43" t="e">
        <f>AVERAGE(AM260,AN260)</f>
        <v>#DIV/0!</v>
      </c>
      <c r="AO261" s="43" t="e">
        <f>AVERAGE(AN260,AO260)</f>
        <v>#DIV/0!</v>
      </c>
      <c r="AP261" s="43" t="e">
        <f>AVERAGE(AO260,AP260)</f>
        <v>#DIV/0!</v>
      </c>
      <c r="AQ261" s="22" t="n"/>
      <c r="AR261" s="43" t="e">
        <f>AVERAGE(AP260,AR260)</f>
        <v>#DIV/0!</v>
      </c>
      <c r="AS261" s="43" t="e">
        <f>AVERAGE(AR260,AS260)</f>
        <v>#DIV/0!</v>
      </c>
      <c r="AT261" s="43" t="e">
        <f>AVERAGE(AS260,AT260)</f>
        <v>#DIV/0!</v>
      </c>
      <c r="AU261" s="43" t="e">
        <f>AVERAGE(AT260,AU260)</f>
        <v>#DIV/0!</v>
      </c>
      <c r="AV261" s="22" t="n"/>
      <c r="AW261" s="43" t="e">
        <f>AVERAGE(AU260,AW260)</f>
        <v>#DIV/0!</v>
      </c>
      <c r="AX261" s="43" t="e">
        <f>AVERAGE(AW260,AX260)</f>
        <v>#DIV/0!</v>
      </c>
      <c r="AY261" s="43" t="e">
        <f>AVERAGE(AX260,AY260)</f>
        <v>#DIV/0!</v>
      </c>
      <c r="AZ261" s="43" t="e">
        <f>AVERAGE(AY260,AZ260)</f>
        <v>#DIV/0!</v>
      </c>
      <c r="BA261" s="22" t="n"/>
      <c r="BB261" s="43" t="e">
        <f>AVERAGE(AZ260,BB260)</f>
        <v>#DIV/0!</v>
      </c>
      <c r="BC261" s="43" t="e">
        <f>AVERAGE(BB260,BC260)</f>
        <v>#DIV/0!</v>
      </c>
      <c r="BD261" s="43" t="e">
        <f>AVERAGE(BC260,BD260)</f>
        <v>#DIV/0!</v>
      </c>
      <c r="BE261" s="43" t="e">
        <f>AVERAGE(BD260,BE260)</f>
        <v>#DIV/0!</v>
      </c>
      <c r="BF261" s="22" t="n"/>
      <c r="BG261" s="43" t="e">
        <f>AVERAGE(BE260,BG260)</f>
        <v>#DIV/0!</v>
      </c>
      <c r="BH261" s="43" t="e">
        <f>AVERAGE(BG260,BH260)</f>
        <v>#DIV/0!</v>
      </c>
      <c r="BI261" s="43" t="e">
        <f>AVERAGE(BH260,BI260)</f>
        <v>#DIV/0!</v>
      </c>
      <c r="BJ261" s="43" t="e">
        <f>AVERAGE(BI260,BJ260)</f>
        <v>#DIV/0!</v>
      </c>
      <c r="BK261" s="22" t="n"/>
      <c r="BL261" s="43" t="e">
        <f>AVERAGE(BJ260,BL260)</f>
        <v>#DIV/0!</v>
      </c>
      <c r="BM261" s="43" t="e">
        <f>AVERAGE(BL260,BM260)</f>
        <v>#DIV/0!</v>
      </c>
      <c r="BN261" s="43" t="e">
        <f>AVERAGE(BM260,BN260)</f>
        <v>#DIV/0!</v>
      </c>
      <c r="BO261" s="43" t="e">
        <f>AVERAGE(BN260,BO260)</f>
        <v>#DIV/0!</v>
      </c>
      <c r="BP261" s="22" t="n"/>
      <c r="BQ261" s="43" t="e">
        <f>AVERAGE(BO260,BQ260)</f>
        <v>#DIV/0!</v>
      </c>
      <c r="BR261" s="43" t="e">
        <f>AVERAGE(BQ260,BR260)</f>
        <v>#DIV/0!</v>
      </c>
      <c r="BS261" s="43" t="e">
        <f>AVERAGE(BR260,BS260)</f>
        <v>#DIV/0!</v>
      </c>
      <c r="BT261" s="43" t="e">
        <f>AVERAGE(BS260,BT260)</f>
        <v>#DIV/0!</v>
      </c>
      <c r="BU261" s="22" t="n"/>
      <c r="BV261" s="43" t="e">
        <f>AVERAGE(BT260,BV260)</f>
        <v>#DIV/0!</v>
      </c>
      <c r="BW261" s="43" t="e">
        <f>AVERAGE(BV260,BW260)</f>
        <v>#DIV/0!</v>
      </c>
      <c r="BX261" s="43" t="e">
        <f>AVERAGE(BW260,BX260)</f>
        <v>#DIV/0!</v>
      </c>
      <c r="BY261" s="43" t="e">
        <f>AVERAGE(BX260,BY260)</f>
        <v>#DIV/0!</v>
      </c>
      <c r="BZ261" s="22" t="n"/>
      <c r="CA261" s="43" t="e">
        <f>AVERAGE(BY260,CA260)</f>
        <v>#DIV/0!</v>
      </c>
      <c r="CB261" s="43" t="e">
        <f>AVERAGE(CA260,CB260)</f>
        <v>#DIV/0!</v>
      </c>
      <c r="CC261" s="43" t="e">
        <f>AVERAGE(CB260,CC260)</f>
        <v>#DIV/0!</v>
      </c>
      <c r="CD261" s="43" t="e">
        <f>AVERAGE(CC260,CD260)</f>
        <v>#DIV/0!</v>
      </c>
      <c r="CE261" s="22" t="n"/>
      <c r="CF261" s="43" t="e">
        <f>AVERAGE(CD260,CF260)</f>
        <v>#DIV/0!</v>
      </c>
      <c r="CG261" s="43" t="e">
        <f>AVERAGE(CF260,CG260)</f>
        <v>#DIV/0!</v>
      </c>
      <c r="CH261" s="43" t="e">
        <f>AVERAGE(CG260,CH260)</f>
        <v>#DIV/0!</v>
      </c>
      <c r="CI261" s="43" t="e">
        <f>AVERAGE(CH260,CI260)</f>
        <v>#DIV/0!</v>
      </c>
      <c r="CJ261" s="22" t="n"/>
      <c r="CK261" s="43" t="e">
        <f>AVERAGE(CI260,CK260)</f>
        <v>#DIV/0!</v>
      </c>
      <c r="CL261" s="43" t="e">
        <f>AVERAGE(CK260,CL260)</f>
        <v>#DIV/0!</v>
      </c>
      <c r="CM261" s="43" t="e">
        <f>AVERAGE(CL260,CM260)</f>
        <v>#DIV/0!</v>
      </c>
      <c r="CN261" s="43" t="e">
        <f>AVERAGE(CM260,CN260)</f>
        <v>#DIV/0!</v>
      </c>
      <c r="CO261" s="22" t="n"/>
      <c r="CP261" s="43" t="e">
        <f>AVERAGE(CN260,CP260)</f>
        <v>#DIV/0!</v>
      </c>
      <c r="CQ261" s="43" t="e">
        <f>AVERAGE(CP260,CQ260)</f>
        <v>#DIV/0!</v>
      </c>
      <c r="CR261" s="43" t="e">
        <f>AVERAGE(CQ260,CR260)</f>
        <v>#DIV/0!</v>
      </c>
      <c r="CS261" s="43" t="e">
        <f>AVERAGE(CR260,CS260)</f>
        <v>#DIV/0!</v>
      </c>
      <c r="CT261" s="22" t="n"/>
      <c r="CU261" s="43" t="e">
        <f>AVERAGE(CS260,CU260)</f>
        <v>#DIV/0!</v>
      </c>
      <c r="CV261" s="43" t="e">
        <f>AVERAGE(CU260,CV260)</f>
        <v>#DIV/0!</v>
      </c>
      <c r="CW261" s="43" t="e">
        <f>AVERAGE(CV260,CW260)</f>
        <v>#DIV/0!</v>
      </c>
      <c r="CX261" s="43" t="e">
        <f>AVERAGE(CW260,CX260)</f>
        <v>#DIV/0!</v>
      </c>
      <c r="CY261" s="22" t="n"/>
      <c r="CZ261" t="e">
        <f>AVERAGE(CX260,CZ260)</f>
        <v>#DIV/0!</v>
      </c>
      <c r="DA261" t="e">
        <f>AVERAGE(CZ260,DA260)</f>
        <v>#DIV/0!</v>
      </c>
      <c r="DB261" t="e">
        <f>AVERAGE(DA260,DB260)</f>
        <v>#DIV/0!</v>
      </c>
      <c r="DC261" t="e">
        <f>AVERAGE(DB260,DC260)</f>
        <v>#DIV/0!</v>
      </c>
    </row>
    <row r="262" hidden="1" outlineLevel="1" customFormat="1" s="39">
      <c r="A262" s="19" t="n"/>
      <c r="B262" s="19" t="n"/>
      <c r="C262" s="41" t="n"/>
      <c r="D262" s="22" t="n"/>
      <c r="E262" s="22" t="n"/>
      <c r="F262" s="22" t="n"/>
      <c r="G262" s="22" t="n"/>
      <c r="H262" s="3" t="n"/>
      <c r="I262" s="22" t="n"/>
      <c r="J262" s="22" t="n"/>
      <c r="K262" s="22" t="n"/>
      <c r="L262" s="22" t="n"/>
      <c r="M262" s="3" t="n"/>
      <c r="N262" s="22" t="n"/>
      <c r="O262" s="22" t="n"/>
      <c r="P262" s="22" t="n"/>
      <c r="Q262" s="22" t="n"/>
      <c r="R262" s="3" t="n"/>
      <c r="S262" s="22" t="n"/>
      <c r="T262" s="22" t="n"/>
      <c r="U262" s="22" t="n"/>
      <c r="V262" s="22" t="n"/>
      <c r="W262" s="3" t="n"/>
      <c r="X262" s="22" t="n"/>
      <c r="Y262" s="22" t="n"/>
      <c r="Z262" s="22" t="n"/>
      <c r="AA262" s="22" t="n"/>
      <c r="AB262" s="3" t="n"/>
      <c r="AC262" s="22" t="n"/>
      <c r="AD262" s="22" t="n"/>
      <c r="AE262" s="22" t="n"/>
      <c r="AF262" s="22" t="n"/>
      <c r="AG262" s="3" t="n"/>
      <c r="AH262" s="22" t="n"/>
      <c r="AI262" s="22" t="n"/>
      <c r="AJ262" s="22" t="n"/>
      <c r="AK262" s="22" t="n"/>
      <c r="AL262" s="3" t="n"/>
      <c r="AM262" s="22" t="n"/>
      <c r="AN262" s="22" t="n"/>
      <c r="AO262" s="22" t="n"/>
      <c r="AP262" s="22" t="n"/>
      <c r="AQ262" s="3" t="n"/>
      <c r="AR262" s="22" t="n"/>
      <c r="AS262" s="22" t="n"/>
      <c r="AT262" s="22" t="n"/>
      <c r="AU262" s="22" t="n"/>
      <c r="AV262" s="3" t="n"/>
      <c r="AW262" s="22" t="n"/>
      <c r="AX262" s="22" t="n"/>
      <c r="AY262" s="22" t="n"/>
      <c r="AZ262" s="22" t="n"/>
      <c r="BA262" s="3" t="n"/>
      <c r="BB262" s="22" t="n"/>
      <c r="BC262" s="22" t="n"/>
      <c r="BD262" s="22" t="n"/>
      <c r="BE262" s="22" t="n"/>
      <c r="BF262" s="3" t="n"/>
      <c r="BG262" s="22" t="n"/>
      <c r="BH262" s="22" t="n"/>
      <c r="BI262" s="22" t="n"/>
      <c r="BJ262" s="22" t="n"/>
      <c r="BK262" s="3" t="n"/>
      <c r="BL262" s="22" t="n"/>
      <c r="BM262" s="22" t="n"/>
      <c r="BN262" s="22" t="n"/>
      <c r="BO262" s="22" t="n"/>
      <c r="BP262" s="3" t="n"/>
      <c r="BQ262" s="22" t="n"/>
      <c r="BR262" s="22" t="n"/>
      <c r="BS262" s="22" t="n"/>
      <c r="BT262" s="22" t="n"/>
      <c r="BU262" s="3" t="n"/>
      <c r="BV262" s="22" t="n"/>
      <c r="BW262" s="22" t="n"/>
      <c r="BX262" s="22" t="n"/>
      <c r="BY262" s="22" t="n"/>
      <c r="BZ262" s="3" t="n"/>
      <c r="CA262" s="22" t="n"/>
      <c r="CB262" s="22" t="n"/>
      <c r="CC262" s="22" t="n"/>
      <c r="CD262" s="22" t="n"/>
      <c r="CE262" s="3" t="n"/>
      <c r="CF262" s="22" t="n"/>
      <c r="CG262" s="22" t="n"/>
      <c r="CH262" s="22" t="n"/>
      <c r="CI262" s="22" t="n"/>
      <c r="CJ262" s="3" t="n"/>
      <c r="CK262" s="22" t="n"/>
      <c r="CL262" s="22" t="n"/>
      <c r="CM262" s="22" t="n"/>
      <c r="CN262" s="22" t="n"/>
      <c r="CO262" s="3" t="n"/>
      <c r="CP262" s="22" t="n"/>
      <c r="CQ262" s="22" t="n"/>
      <c r="CR262" s="22" t="n"/>
      <c r="CS262" s="22" t="n"/>
      <c r="CT262" s="3" t="n"/>
      <c r="CU262" s="22" t="n"/>
      <c r="CV262" s="22" t="n"/>
      <c r="CW262" s="22" t="n"/>
      <c r="CX262" s="22" t="n"/>
      <c r="CY262" s="3" t="n"/>
    </row>
    <row r="263" collapsed="1">
      <c r="C263" s="26" t="inlineStr">
        <is>
          <t>Treasury stock (contra account)</t>
        </is>
      </c>
      <c r="D263" s="25" t="n"/>
      <c r="E263" s="25" t="n"/>
      <c r="F263" s="25" t="n"/>
      <c r="G263" s="25" t="n"/>
      <c r="H263" s="3">
        <f>G263</f>
        <v>0</v>
      </c>
      <c r="I263" s="25" t="n"/>
      <c r="J263" s="25" t="n"/>
      <c r="K263" s="25" t="n"/>
      <c r="L263" s="25" t="n"/>
      <c r="M263" s="3">
        <f>L263</f>
        <v>0</v>
      </c>
      <c r="N263" s="25" t="n"/>
      <c r="O263" s="25" t="n"/>
      <c r="P263" s="25" t="n"/>
      <c r="Q263" s="25" t="n"/>
      <c r="R263" s="3">
        <f>Q263</f>
        <v>0</v>
      </c>
      <c r="S263" s="25" t="n"/>
      <c r="T263" s="25" t="n"/>
      <c r="U263" s="25" t="n"/>
      <c r="V263" s="25" t="n"/>
      <c r="W263" s="3">
        <f>V263</f>
        <v>0</v>
      </c>
      <c r="X263" s="25" t="n"/>
      <c r="Y263" s="25" t="n"/>
      <c r="Z263" s="25" t="n"/>
      <c r="AA263" s="25" t="n"/>
      <c r="AB263" s="3">
        <f>AA263</f>
        <v>0</v>
      </c>
      <c r="AC263" s="25" t="n"/>
      <c r="AD263" s="25" t="n"/>
      <c r="AE263" s="25" t="n"/>
      <c r="AF263" s="25" t="n"/>
      <c r="AG263" s="3">
        <f>AF263</f>
        <v>0</v>
      </c>
      <c r="AH263" s="3">
        <f>AG263+AH253</f>
        <v>0</v>
      </c>
      <c r="AI263" s="3">
        <f>AH263+AI253</f>
        <v>0</v>
      </c>
      <c r="AJ263" s="3">
        <f>AI263+AJ253</f>
        <v>0</v>
      </c>
      <c r="AK263" s="3">
        <f>AJ263+AK253</f>
        <v>0</v>
      </c>
      <c r="AL263" s="3">
        <f>AK263</f>
        <v>0</v>
      </c>
      <c r="AM263" s="3">
        <f>AL263+AM253</f>
        <v>0</v>
      </c>
      <c r="AN263" s="3">
        <f>AM263+AN253</f>
        <v>0</v>
      </c>
      <c r="AO263" s="3">
        <f>AN263+AO253</f>
        <v>0</v>
      </c>
      <c r="AP263" s="3">
        <f>AO263+AP253</f>
        <v>0</v>
      </c>
      <c r="AQ263" s="3">
        <f>AP263</f>
        <v>0</v>
      </c>
      <c r="AR263" s="3">
        <f>AQ263+AR253</f>
        <v>0</v>
      </c>
      <c r="AS263" s="3">
        <f>AR263+AS253</f>
        <v>0</v>
      </c>
      <c r="AT263" s="3">
        <f>AS263+AT253</f>
        <v>0</v>
      </c>
      <c r="AU263" s="3">
        <f>AT263+AU253</f>
        <v>0</v>
      </c>
      <c r="AV263" s="3">
        <f>AU263</f>
        <v>0</v>
      </c>
      <c r="AW263" s="3">
        <f>AV263+AW253</f>
        <v>0</v>
      </c>
      <c r="AX263" s="3">
        <f>AW263+AX253</f>
        <v>0</v>
      </c>
      <c r="AY263" s="3">
        <f>AX263+AY253</f>
        <v>0</v>
      </c>
      <c r="AZ263" s="3">
        <f>AY263+AZ253</f>
        <v>0</v>
      </c>
      <c r="BA263" s="3">
        <f>AZ263</f>
        <v>0</v>
      </c>
      <c r="BB263" s="3">
        <f>BA263+BB253</f>
        <v>0</v>
      </c>
      <c r="BC263" s="3">
        <f>BB263+BC253</f>
        <v>0</v>
      </c>
      <c r="BD263" s="3">
        <f>BC263+BD253</f>
        <v>0</v>
      </c>
      <c r="BE263" s="3">
        <f>BD263+BE253</f>
        <v>0</v>
      </c>
      <c r="BF263" s="3">
        <f>BE263</f>
        <v>0</v>
      </c>
      <c r="BG263" s="3">
        <f>BF263+BG253</f>
        <v>0</v>
      </c>
      <c r="BH263" s="3">
        <f>BG263+BH253</f>
        <v>0</v>
      </c>
      <c r="BI263" s="3">
        <f>BH263+BI253</f>
        <v>0</v>
      </c>
      <c r="BJ263" s="3">
        <f>BI263+BJ253</f>
        <v>0</v>
      </c>
      <c r="BK263" s="3">
        <f>BJ263</f>
        <v>0</v>
      </c>
      <c r="BL263" s="3">
        <f>BK263+BL253</f>
        <v>0</v>
      </c>
      <c r="BM263" s="3">
        <f>BL263+BM253</f>
        <v>0</v>
      </c>
      <c r="BN263" s="3">
        <f>BM263+BN253</f>
        <v>0</v>
      </c>
      <c r="BO263" s="3">
        <f>BN263+BO253</f>
        <v>0</v>
      </c>
      <c r="BP263" s="3">
        <f>BO263</f>
        <v>0</v>
      </c>
      <c r="BQ263" s="3">
        <f>BP263+BQ253</f>
        <v>0</v>
      </c>
      <c r="BR263" s="3">
        <f>BQ263+BR253</f>
        <v>0</v>
      </c>
      <c r="BS263" s="3">
        <f>BR263+BS253</f>
        <v>0</v>
      </c>
      <c r="BT263" s="3">
        <f>BS263+BT253</f>
        <v>0</v>
      </c>
      <c r="BU263" s="3">
        <f>BT263</f>
        <v>0</v>
      </c>
      <c r="BV263" s="3">
        <f>BU263+BV253</f>
        <v>0</v>
      </c>
      <c r="BW263" s="3">
        <f>BV263+BW253</f>
        <v>0</v>
      </c>
      <c r="BX263" s="3">
        <f>BW263+BX253</f>
        <v>0</v>
      </c>
      <c r="BY263" s="3">
        <f>BX263+BY253</f>
        <v>0</v>
      </c>
      <c r="BZ263" s="3">
        <f>BY263</f>
        <v>0</v>
      </c>
      <c r="CA263" s="3">
        <f>BZ263+CA253</f>
        <v>0</v>
      </c>
      <c r="CB263" s="3">
        <f>CA263+CB253</f>
        <v>0</v>
      </c>
      <c r="CC263" s="3">
        <f>CB263+CC253</f>
        <v>0</v>
      </c>
      <c r="CD263" s="3">
        <f>CC263+CD253</f>
        <v>0</v>
      </c>
      <c r="CE263" s="3">
        <f>CD263</f>
        <v>0</v>
      </c>
      <c r="CF263" s="3">
        <f>CE263+CF253</f>
        <v>0</v>
      </c>
      <c r="CG263" s="3">
        <f>CF263+CG253</f>
        <v>0</v>
      </c>
      <c r="CH263" s="3">
        <f>CG263+CH253</f>
        <v>0</v>
      </c>
      <c r="CI263" s="3">
        <f>CH263+CI253</f>
        <v>0</v>
      </c>
      <c r="CJ263" s="3">
        <f>CI263</f>
        <v>0</v>
      </c>
      <c r="CK263" s="3">
        <f>CJ263+CK253</f>
        <v>0</v>
      </c>
      <c r="CL263" s="3">
        <f>CK263+CL253</f>
        <v>0</v>
      </c>
      <c r="CM263" s="3">
        <f>CL263+CM253</f>
        <v>0</v>
      </c>
      <c r="CN263" s="3">
        <f>CM263+CN253</f>
        <v>0</v>
      </c>
      <c r="CO263" s="3">
        <f>CN263</f>
        <v>0</v>
      </c>
      <c r="CP263" s="3">
        <f>CO263+CP253</f>
        <v>0</v>
      </c>
      <c r="CQ263" s="3">
        <f>CP263+CQ253</f>
        <v>0</v>
      </c>
      <c r="CR263" s="3">
        <f>CQ263+CR253</f>
        <v>0</v>
      </c>
      <c r="CS263" s="3">
        <f>CR263+CS253</f>
        <v>0</v>
      </c>
      <c r="CT263" s="3">
        <f>CS263</f>
        <v>0</v>
      </c>
      <c r="CU263" s="3">
        <f>CT263+CU253</f>
        <v>0</v>
      </c>
      <c r="CV263" s="3">
        <f>CU263+CV253</f>
        <v>0</v>
      </c>
      <c r="CW263" s="3">
        <f>CV263+CW253</f>
        <v>0</v>
      </c>
      <c r="CX263" s="3">
        <f>CW263+CX253</f>
        <v>0</v>
      </c>
      <c r="CY263" s="3">
        <f>CX263</f>
        <v>0</v>
      </c>
    </row>
    <row r="264">
      <c r="C264" s="26" t="inlineStr">
        <is>
          <t>Comprehensive (accumulated) loss</t>
        </is>
      </c>
      <c r="D264" s="25">
        <f>INDEX('Inputs (2)'!$D$45:$AL$45,MATCH(D$7,'Inputs (2)'!$D$2:$AL$2,0))</f>
        <v>-1097</v>
      </c>
      <c r="E264" s="25">
        <f>INDEX('Inputs (2)'!$D$45:$AL$45,MATCH(E$7,'Inputs (2)'!$D$2:$AL$2,0))</f>
        <v>-296</v>
      </c>
      <c r="F264" s="25">
        <f>INDEX('Inputs (2)'!$D$45:$AL$45,MATCH(F$7,'Inputs (2)'!$D$2:$AL$2,0))</f>
        <v>46</v>
      </c>
      <c r="G264" s="25">
        <f>INDEX('Inputs (2)'!$D$45:$AL$45,MATCH(G$7,'Inputs (2)'!$D$2:$AL$2,0))</f>
        <v>633</v>
      </c>
      <c r="H264" s="3">
        <f>G264</f>
        <v>633</v>
      </c>
      <c r="I264" s="25">
        <f>INDEX('Inputs (2)'!$D$45:$AL$45,MATCH(I$7,'Inputs (2)'!$D$2:$AL$2,0))</f>
        <v>-3</v>
      </c>
      <c r="J264" s="25">
        <f>INDEX('Inputs (2)'!$D$45:$AL$45,MATCH(J$7,'Inputs (2)'!$D$2:$AL$2,0))</f>
        <v>190</v>
      </c>
      <c r="K264" s="25">
        <f>INDEX('Inputs (2)'!$D$45:$AL$45,MATCH(K$7,'Inputs (2)'!$D$2:$AL$2,0))</f>
        <v>-408</v>
      </c>
      <c r="L264" s="25">
        <f>INDEX('Inputs (2)'!$D$45:$AL$45,MATCH(L$7,'Inputs (2)'!$D$2:$AL$2,0))</f>
        <v>-1623</v>
      </c>
      <c r="M264" s="3">
        <f>L264</f>
        <v>-1623</v>
      </c>
      <c r="N264" s="25">
        <f>INDEX('Inputs (2)'!$D$45:$AL$45,MATCH(N$7,'Inputs (2)'!$D$2:$AL$2,0))</f>
        <v>-4049</v>
      </c>
      <c r="O264" s="25">
        <f>INDEX('Inputs (2)'!$D$45:$AL$45,MATCH(O$7,'Inputs (2)'!$D$2:$AL$2,0))</f>
        <v>-5828</v>
      </c>
      <c r="P264" s="25">
        <f>INDEX('Inputs (2)'!$D$45:$AL$45,MATCH(P$7,'Inputs (2)'!$D$2:$AL$2,0))</f>
        <v>-8852</v>
      </c>
      <c r="Q264" s="25">
        <f>INDEX('Inputs (2)'!$D$45:$AL$45,MATCH(Q$7,'Inputs (2)'!$D$2:$AL$2,0))</f>
        <v>-7603</v>
      </c>
      <c r="R264" s="3">
        <f>Q264</f>
        <v>-7603</v>
      </c>
      <c r="S264" s="25">
        <f>INDEX('Inputs (2)'!$D$45:$AL$45,MATCH(S$7,'Inputs (2)'!$D$2:$AL$2,0))</f>
        <v>-6000</v>
      </c>
      <c r="T264" s="25">
        <f>INDEX('Inputs (2)'!$D$45:$AL$45,MATCH(T$7,'Inputs (2)'!$D$2:$AL$2,0))</f>
        <v>-5991</v>
      </c>
      <c r="U264" s="25">
        <f>INDEX('Inputs (2)'!$D$45:$AL$45,MATCH(U$7,'Inputs (2)'!$D$2:$AL$2,0))</f>
        <v>-7036</v>
      </c>
      <c r="V264" s="25">
        <f>INDEX('Inputs (2)'!$D$45:$AL$45,MATCH(V$7,'Inputs (2)'!$D$2:$AL$2,0))</f>
        <v>-4402</v>
      </c>
      <c r="W264" s="3">
        <f>V264</f>
        <v>-4402</v>
      </c>
      <c r="X264" s="25">
        <f>INDEX('Inputs (2)'!$D$45:$AL$45,MATCH(X$7,'Inputs (2)'!$D$2:$AL$2,0))</f>
        <v>-4839</v>
      </c>
      <c r="Y264" s="25">
        <f>INDEX('Inputs (2)'!$D$45:$AL$45,MATCH(Y$7,'Inputs (2)'!$D$2:$AL$2,0))</f>
        <v>-5012</v>
      </c>
      <c r="Z264" s="25">
        <f>INDEX('Inputs (2)'!$D$45:$AL$45,MATCH(Z$7,'Inputs (2)'!$D$2:$AL$2,0))</f>
        <v>-3228</v>
      </c>
      <c r="AA264" s="25">
        <f>INDEX('Inputs (2)'!$D$45:$AL$45,MATCH(AA$7,'Inputs (2)'!$D$2:$AL$2,0))</f>
        <v>-4800</v>
      </c>
      <c r="AB264" s="3">
        <f>AA264</f>
        <v>-4800</v>
      </c>
      <c r="AC264" s="25">
        <f>INDEX('Inputs (2)'!$D$45:$AL$45,MATCH(AC$7,'Inputs (2)'!$D$2:$AL$2,0))</f>
        <v>-4086</v>
      </c>
      <c r="AD264" s="25">
        <f>INDEX('Inputs (2)'!$D$45:$AL$45,MATCH(AD$7,'Inputs (2)'!$D$2:$AL$2,0))</f>
        <v>-2127</v>
      </c>
      <c r="AE264" s="25">
        <f>INDEX('Inputs (2)'!$D$45:$AL$45,MATCH(AE$7,'Inputs (2)'!$D$2:$AL$2,0))</f>
        <v>-2054</v>
      </c>
      <c r="AF264" s="25">
        <f>INDEX('Inputs (2)'!$D$45:$AL$45,MATCH(AF$7,'Inputs (2)'!$D$2:$AL$2,0))</f>
        <v>-1916</v>
      </c>
      <c r="AG264" s="3">
        <f>AF264</f>
        <v>-1916</v>
      </c>
      <c r="AH264" s="3">
        <f>INDEX('Inputs (2)'!$D$45:$AL$45,MATCH(AH$7,'Inputs (2)'!$D$2:$AL$2,0))</f>
        <v>-2180</v>
      </c>
      <c r="AI264" s="3">
        <f>INDEX('Inputs (2)'!$D$45:$AL$45,MATCH(AI$7,'Inputs (2)'!$D$2:$AL$2,0))</f>
        <v>-2285</v>
      </c>
      <c r="AJ264" s="3">
        <f>AI264</f>
        <v>-2285</v>
      </c>
      <c r="AK264" s="3">
        <f>AJ264</f>
        <v>-2285</v>
      </c>
      <c r="AL264" s="3">
        <f>AK264</f>
        <v>-2285</v>
      </c>
      <c r="AM264" s="3">
        <f>AL264</f>
        <v>-2285</v>
      </c>
      <c r="AN264" s="3">
        <f>AM264</f>
        <v>-2285</v>
      </c>
      <c r="AO264" s="3">
        <f>AN264</f>
        <v>-2285</v>
      </c>
      <c r="AP264" s="3">
        <f>AO264</f>
        <v>-2285</v>
      </c>
      <c r="AQ264" s="3">
        <f>AP264</f>
        <v>-2285</v>
      </c>
      <c r="AR264" s="3">
        <f>AQ264</f>
        <v>-2285</v>
      </c>
      <c r="AS264" s="3">
        <f>AR264</f>
        <v>-2285</v>
      </c>
      <c r="AT264" s="3">
        <f>AS264</f>
        <v>-2285</v>
      </c>
      <c r="AU264" s="3">
        <f>AT264</f>
        <v>-2285</v>
      </c>
      <c r="AV264" s="3">
        <f>AU264</f>
        <v>-2285</v>
      </c>
      <c r="AW264" s="3">
        <f>AV264</f>
        <v>-2285</v>
      </c>
      <c r="AX264" s="3">
        <f>AW264</f>
        <v>-2285</v>
      </c>
      <c r="AY264" s="3">
        <f>AX264</f>
        <v>-2285</v>
      </c>
      <c r="AZ264" s="3">
        <f>AY264</f>
        <v>-2285</v>
      </c>
      <c r="BA264" s="3">
        <f>AZ264</f>
        <v>-2285</v>
      </c>
      <c r="BB264" s="3">
        <f>BA264</f>
        <v>-2285</v>
      </c>
      <c r="BC264" s="3">
        <f>BB264</f>
        <v>-2285</v>
      </c>
      <c r="BD264" s="3">
        <f>BC264</f>
        <v>-2285</v>
      </c>
      <c r="BE264" s="3">
        <f>BD264</f>
        <v>-2285</v>
      </c>
      <c r="BF264" s="3">
        <f>BE264</f>
        <v>-2285</v>
      </c>
      <c r="BG264" s="3">
        <f>BF264</f>
        <v>-2285</v>
      </c>
      <c r="BH264" s="3">
        <f>BG264</f>
        <v>-2285</v>
      </c>
      <c r="BI264" s="3">
        <f>BH264</f>
        <v>-2285</v>
      </c>
      <c r="BJ264" s="3">
        <f>BI264</f>
        <v>-2285</v>
      </c>
      <c r="BK264" s="3">
        <f>BJ264</f>
        <v>-2285</v>
      </c>
      <c r="BL264" s="3">
        <f>BK264</f>
        <v>-2285</v>
      </c>
      <c r="BM264" s="3">
        <f>BL264</f>
        <v>-2285</v>
      </c>
      <c r="BN264" s="3">
        <f>BM264</f>
        <v>-2285</v>
      </c>
      <c r="BO264" s="3">
        <f>BN264</f>
        <v>-2285</v>
      </c>
      <c r="BP264" s="3">
        <f>BO264</f>
        <v>-2285</v>
      </c>
      <c r="BQ264" s="3">
        <f>BP264</f>
        <v>-2285</v>
      </c>
      <c r="BR264" s="3">
        <f>BQ264</f>
        <v>-2285</v>
      </c>
      <c r="BS264" s="3">
        <f>BR264</f>
        <v>-2285</v>
      </c>
      <c r="BT264" s="3">
        <f>BS264</f>
        <v>-2285</v>
      </c>
      <c r="BU264" s="3">
        <f>BT264</f>
        <v>-2285</v>
      </c>
      <c r="BV264" s="3">
        <f>BU264</f>
        <v>-2285</v>
      </c>
      <c r="BW264" s="3">
        <f>BV264</f>
        <v>-2285</v>
      </c>
      <c r="BX264" s="3">
        <f>BW264</f>
        <v>-2285</v>
      </c>
      <c r="BY264" s="3">
        <f>BX264</f>
        <v>-2285</v>
      </c>
      <c r="BZ264" s="3">
        <f>BY264</f>
        <v>-2285</v>
      </c>
      <c r="CA264" s="3">
        <f>BZ264</f>
        <v>-2285</v>
      </c>
      <c r="CB264" s="3">
        <f>CA264</f>
        <v>-2285</v>
      </c>
      <c r="CC264" s="3">
        <f>CB264</f>
        <v>-2285</v>
      </c>
      <c r="CD264" s="3">
        <f>CC264</f>
        <v>-2285</v>
      </c>
      <c r="CE264" s="3">
        <f>CD264</f>
        <v>-2285</v>
      </c>
      <c r="CF264" s="3">
        <f>CE264</f>
        <v>-2285</v>
      </c>
      <c r="CG264" s="3">
        <f>CF264</f>
        <v>-2285</v>
      </c>
      <c r="CH264" s="3">
        <f>CG264</f>
        <v>-2285</v>
      </c>
      <c r="CI264" s="3">
        <f>CH264</f>
        <v>-2285</v>
      </c>
      <c r="CJ264" s="3">
        <f>CI264</f>
        <v>-2285</v>
      </c>
      <c r="CK264" s="3">
        <f>CJ264</f>
        <v>-2285</v>
      </c>
      <c r="CL264" s="3">
        <f>CK264</f>
        <v>-2285</v>
      </c>
      <c r="CM264" s="3">
        <f>CL264</f>
        <v>-2285</v>
      </c>
      <c r="CN264" s="3">
        <f>CM264</f>
        <v>-2285</v>
      </c>
      <c r="CO264" s="3">
        <f>CN264</f>
        <v>-2285</v>
      </c>
      <c r="CP264" s="3">
        <f>CO264</f>
        <v>-2285</v>
      </c>
      <c r="CQ264" s="3">
        <f>CP264</f>
        <v>-2285</v>
      </c>
      <c r="CR264" s="3">
        <f>CQ264</f>
        <v>-2285</v>
      </c>
      <c r="CS264" s="3">
        <f>CR264</f>
        <v>-2285</v>
      </c>
      <c r="CT264" s="3">
        <f>CS264</f>
        <v>-2285</v>
      </c>
      <c r="CU264" s="3">
        <f>CT264</f>
        <v>-2285</v>
      </c>
      <c r="CV264" s="3">
        <f>CU264</f>
        <v>-2285</v>
      </c>
      <c r="CW264" s="3">
        <f>CV264</f>
        <v>-2285</v>
      </c>
      <c r="CX264" s="3">
        <f>CW264</f>
        <v>-2285</v>
      </c>
      <c r="CY264" s="3">
        <f>CX264</f>
        <v>-2285</v>
      </c>
    </row>
    <row r="265">
      <c r="C265" s="26" t="inlineStr">
        <is>
          <t>Other equity account</t>
        </is>
      </c>
      <c r="D265" s="25">
        <f>INDEX('Inputs (2)'!$D$46:$AL$46,MATCH(D$7,'Inputs (2)'!$D$2:$AL$2,0))</f>
        <v>0</v>
      </c>
      <c r="E265" s="25">
        <f>INDEX('Inputs (2)'!$D$46:$AL$46,MATCH(E$7,'Inputs (2)'!$D$2:$AL$2,0))</f>
        <v>0</v>
      </c>
      <c r="F265" s="25">
        <f>INDEX('Inputs (2)'!$D$46:$AL$46,MATCH(F$7,'Inputs (2)'!$D$2:$AL$2,0))</f>
        <v>0</v>
      </c>
      <c r="G265" s="25">
        <f>INDEX('Inputs (2)'!$D$46:$AL$46,MATCH(G$7,'Inputs (2)'!$D$2:$AL$2,0))</f>
        <v>0</v>
      </c>
      <c r="H265" s="3">
        <f>G265</f>
        <v>0</v>
      </c>
      <c r="I265" s="25">
        <f>INDEX('Inputs (2)'!$D$46:$AL$46,MATCH(I$7,'Inputs (2)'!$D$2:$AL$2,0))</f>
        <v>0</v>
      </c>
      <c r="J265" s="25">
        <f>INDEX('Inputs (2)'!$D$46:$AL$46,MATCH(J$7,'Inputs (2)'!$D$2:$AL$2,0))</f>
        <v>0</v>
      </c>
      <c r="K265" s="25">
        <f>INDEX('Inputs (2)'!$D$46:$AL$46,MATCH(K$7,'Inputs (2)'!$D$2:$AL$2,0))</f>
        <v>0</v>
      </c>
      <c r="L265" s="25">
        <f>INDEX('Inputs (2)'!$D$46:$AL$46,MATCH(L$7,'Inputs (2)'!$D$2:$AL$2,0))</f>
        <v>0</v>
      </c>
      <c r="M265" s="3">
        <f>L265</f>
        <v>0</v>
      </c>
      <c r="N265" s="25">
        <f>INDEX('Inputs (2)'!$D$46:$AL$46,MATCH(N$7,'Inputs (2)'!$D$2:$AL$2,0))</f>
        <v>0</v>
      </c>
      <c r="O265" s="25">
        <f>INDEX('Inputs (2)'!$D$46:$AL$46,MATCH(O$7,'Inputs (2)'!$D$2:$AL$2,0))</f>
        <v>0</v>
      </c>
      <c r="P265" s="25">
        <f>INDEX('Inputs (2)'!$D$46:$AL$46,MATCH(P$7,'Inputs (2)'!$D$2:$AL$2,0))</f>
        <v>0</v>
      </c>
      <c r="Q265" s="25">
        <f>INDEX('Inputs (2)'!$D$46:$AL$46,MATCH(Q$7,'Inputs (2)'!$D$2:$AL$2,0))</f>
        <v>0</v>
      </c>
      <c r="R265" s="3">
        <f>Q265</f>
        <v>0</v>
      </c>
      <c r="S265" s="25">
        <f>INDEX('Inputs (2)'!$D$46:$AL$46,MATCH(S$7,'Inputs (2)'!$D$2:$AL$2,0))</f>
        <v>0</v>
      </c>
      <c r="T265" s="25">
        <f>INDEX('Inputs (2)'!$D$46:$AL$46,MATCH(T$7,'Inputs (2)'!$D$2:$AL$2,0))</f>
        <v>0</v>
      </c>
      <c r="U265" s="25">
        <f>INDEX('Inputs (2)'!$D$46:$AL$46,MATCH(U$7,'Inputs (2)'!$D$2:$AL$2,0))</f>
        <v>0</v>
      </c>
      <c r="V265" s="25">
        <f>INDEX('Inputs (2)'!$D$46:$AL$46,MATCH(V$7,'Inputs (2)'!$D$2:$AL$2,0))</f>
        <v>0</v>
      </c>
      <c r="W265" s="3">
        <f>V265</f>
        <v>0</v>
      </c>
      <c r="X265" s="25">
        <f>INDEX('Inputs (2)'!$D$46:$AL$46,MATCH(X$7,'Inputs (2)'!$D$2:$AL$2,0))</f>
        <v>0</v>
      </c>
      <c r="Y265" s="25">
        <f>INDEX('Inputs (2)'!$D$46:$AL$46,MATCH(Y$7,'Inputs (2)'!$D$2:$AL$2,0))</f>
        <v>0</v>
      </c>
      <c r="Z265" s="25">
        <f>INDEX('Inputs (2)'!$D$46:$AL$46,MATCH(Z$7,'Inputs (2)'!$D$2:$AL$2,0))</f>
        <v>0</v>
      </c>
      <c r="AA265" s="25">
        <f>INDEX('Inputs (2)'!$D$46:$AL$46,MATCH(AA$7,'Inputs (2)'!$D$2:$AL$2,0))</f>
        <v>0</v>
      </c>
      <c r="AB265" s="3">
        <f>AA265</f>
        <v>0</v>
      </c>
      <c r="AC265" s="25">
        <f>INDEX('Inputs (2)'!$D$46:$AL$46,MATCH(AC$7,'Inputs (2)'!$D$2:$AL$2,0))</f>
        <v>0</v>
      </c>
      <c r="AD265" s="25">
        <f>INDEX('Inputs (2)'!$D$46:$AL$46,MATCH(AD$7,'Inputs (2)'!$D$2:$AL$2,0))</f>
        <v>0</v>
      </c>
      <c r="AE265" s="25">
        <f>INDEX('Inputs (2)'!$D$46:$AL$46,MATCH(AE$7,'Inputs (2)'!$D$2:$AL$2,0))</f>
        <v>0</v>
      </c>
      <c r="AF265" s="25">
        <f>INDEX('Inputs (2)'!$D$46:$AL$46,MATCH(AF$7,'Inputs (2)'!$D$2:$AL$2,0))</f>
        <v>0</v>
      </c>
      <c r="AG265" s="3">
        <f>AF265</f>
        <v>0</v>
      </c>
      <c r="AH265" s="3">
        <f>INDEX('Inputs (2)'!$D$46:$AL$46,MATCH(AH$7,'Inputs (2)'!$D$2:$AL$2,0))</f>
        <v>0</v>
      </c>
      <c r="AI265" s="3">
        <f>INDEX('Inputs (2)'!$D$46:$AL$46,MATCH(AI$7,'Inputs (2)'!$D$2:$AL$2,0))</f>
        <v>18023</v>
      </c>
      <c r="AJ265" s="3">
        <f>AI265</f>
        <v>18023</v>
      </c>
      <c r="AK265" s="3">
        <f>AJ265</f>
        <v>18023</v>
      </c>
      <c r="AL265" s="3">
        <f>AK265</f>
        <v>18023</v>
      </c>
      <c r="AM265" s="3">
        <f>AL265</f>
        <v>18023</v>
      </c>
      <c r="AN265" s="3">
        <f>AM265</f>
        <v>18023</v>
      </c>
      <c r="AO265" s="3">
        <f>AN265</f>
        <v>18023</v>
      </c>
      <c r="AP265" s="3">
        <f>AO265</f>
        <v>18023</v>
      </c>
      <c r="AQ265" s="3">
        <f>AP265</f>
        <v>18023</v>
      </c>
      <c r="AR265" s="3">
        <f>AQ265</f>
        <v>18023</v>
      </c>
      <c r="AS265" s="3">
        <f>AR265</f>
        <v>18023</v>
      </c>
      <c r="AT265" s="3">
        <f>AS265</f>
        <v>18023</v>
      </c>
      <c r="AU265" s="3">
        <f>AT265</f>
        <v>18023</v>
      </c>
      <c r="AV265" s="3">
        <f>AU265</f>
        <v>18023</v>
      </c>
      <c r="AW265" s="3">
        <f>AV265</f>
        <v>18023</v>
      </c>
      <c r="AX265" s="3">
        <f>AW265</f>
        <v>18023</v>
      </c>
      <c r="AY265" s="3">
        <f>AX265</f>
        <v>18023</v>
      </c>
      <c r="AZ265" s="3">
        <f>AY265</f>
        <v>18023</v>
      </c>
      <c r="BA265" s="3">
        <f>AZ265</f>
        <v>18023</v>
      </c>
      <c r="BB265" s="3">
        <f>BA265</f>
        <v>18023</v>
      </c>
      <c r="BC265" s="3">
        <f>BB265</f>
        <v>18023</v>
      </c>
      <c r="BD265" s="3">
        <f>BC265</f>
        <v>18023</v>
      </c>
      <c r="BE265" s="3">
        <f>BD265</f>
        <v>18023</v>
      </c>
      <c r="BF265" s="3">
        <f>BE265</f>
        <v>18023</v>
      </c>
      <c r="BG265" s="3">
        <f>BF265</f>
        <v>18023</v>
      </c>
      <c r="BH265" s="3">
        <f>BG265</f>
        <v>18023</v>
      </c>
      <c r="BI265" s="3">
        <f>BH265</f>
        <v>18023</v>
      </c>
      <c r="BJ265" s="3">
        <f>BI265</f>
        <v>18023</v>
      </c>
      <c r="BK265" s="3">
        <f>BJ265</f>
        <v>18023</v>
      </c>
      <c r="BL265" s="3">
        <f>BK265</f>
        <v>18023</v>
      </c>
      <c r="BM265" s="3">
        <f>BL265</f>
        <v>18023</v>
      </c>
      <c r="BN265" s="3">
        <f>BM265</f>
        <v>18023</v>
      </c>
      <c r="BO265" s="3">
        <f>BN265</f>
        <v>18023</v>
      </c>
      <c r="BP265" s="3">
        <f>BO265</f>
        <v>18023</v>
      </c>
      <c r="BQ265" s="3">
        <f>BP265</f>
        <v>18023</v>
      </c>
      <c r="BR265" s="3">
        <f>BQ265</f>
        <v>18023</v>
      </c>
      <c r="BS265" s="3">
        <f>BR265</f>
        <v>18023</v>
      </c>
      <c r="BT265" s="3">
        <f>BS265</f>
        <v>18023</v>
      </c>
      <c r="BU265" s="3">
        <f>BT265</f>
        <v>18023</v>
      </c>
      <c r="BV265" s="3">
        <f>BU265</f>
        <v>18023</v>
      </c>
      <c r="BW265" s="3">
        <f>BV265</f>
        <v>18023</v>
      </c>
      <c r="BX265" s="3">
        <f>BW265</f>
        <v>18023</v>
      </c>
      <c r="BY265" s="3">
        <f>BX265</f>
        <v>18023</v>
      </c>
      <c r="BZ265" s="3">
        <f>BY265</f>
        <v>18023</v>
      </c>
      <c r="CA265" s="3">
        <f>BZ265</f>
        <v>18023</v>
      </c>
      <c r="CB265" s="3">
        <f>CA265</f>
        <v>18023</v>
      </c>
      <c r="CC265" s="3">
        <f>CB265</f>
        <v>18023</v>
      </c>
      <c r="CD265" s="3">
        <f>CC265</f>
        <v>18023</v>
      </c>
      <c r="CE265" s="3">
        <f>CD265</f>
        <v>18023</v>
      </c>
      <c r="CF265" s="3">
        <f>CE265</f>
        <v>18023</v>
      </c>
      <c r="CG265" s="3">
        <f>CF265</f>
        <v>18023</v>
      </c>
      <c r="CH265" s="3">
        <f>CG265</f>
        <v>18023</v>
      </c>
      <c r="CI265" s="3">
        <f>CH265</f>
        <v>18023</v>
      </c>
      <c r="CJ265" s="3">
        <f>CI265</f>
        <v>18023</v>
      </c>
      <c r="CK265" s="3">
        <f>CJ265</f>
        <v>18023</v>
      </c>
      <c r="CL265" s="3">
        <f>CK265</f>
        <v>18023</v>
      </c>
      <c r="CM265" s="3">
        <f>CL265</f>
        <v>18023</v>
      </c>
      <c r="CN265" s="3">
        <f>CM265</f>
        <v>18023</v>
      </c>
      <c r="CO265" s="3">
        <f>CN265</f>
        <v>18023</v>
      </c>
      <c r="CP265" s="3">
        <f>CO265</f>
        <v>18023</v>
      </c>
      <c r="CQ265" s="3">
        <f>CP265</f>
        <v>18023</v>
      </c>
      <c r="CR265" s="3">
        <f>CQ265</f>
        <v>18023</v>
      </c>
      <c r="CS265" s="3">
        <f>CR265</f>
        <v>18023</v>
      </c>
      <c r="CT265" s="3">
        <f>CS265</f>
        <v>18023</v>
      </c>
      <c r="CU265" s="3">
        <f>CT265</f>
        <v>18023</v>
      </c>
      <c r="CV265" s="3">
        <f>CU265</f>
        <v>18023</v>
      </c>
      <c r="CW265" s="3">
        <f>CV265</f>
        <v>18023</v>
      </c>
      <c r="CX265" s="3">
        <f>CW265</f>
        <v>18023</v>
      </c>
      <c r="CY265" s="3">
        <f>CX265</f>
        <v>18023</v>
      </c>
    </row>
    <row r="266">
      <c r="C266" s="28" t="inlineStr">
        <is>
          <t>Retained earnings</t>
        </is>
      </c>
      <c r="D266" s="25">
        <f>INDEX('Inputs (2)'!$D$47:$AL$47,MATCH(D$7,'Inputs (2)'!$D$2:$AL$2,0))</f>
        <v>151068</v>
      </c>
      <c r="E266" s="25">
        <f>INDEX('Inputs (2)'!$D$47:$AL$47,MATCH(E$7,'Inputs (2)'!$D$2:$AL$2,0))</f>
        <v>151681</v>
      </c>
      <c r="F266" s="25">
        <f>INDEX('Inputs (2)'!$D$47:$AL$47,MATCH(F$7,'Inputs (2)'!$D$2:$AL$2,0))</f>
        <v>155567</v>
      </c>
      <c r="G266" s="25">
        <f>INDEX('Inputs (2)'!$D$47:$AL$47,MATCH(G$7,'Inputs (2)'!$D$2:$AL$2,0))</f>
        <v>163401</v>
      </c>
      <c r="H266" s="3">
        <f>G266</f>
        <v>163401</v>
      </c>
      <c r="I266" s="25">
        <f>INDEX('Inputs (2)'!$D$47:$AL$47,MATCH(I$7,'Inputs (2)'!$D$2:$AL$2,0))</f>
        <v>170580</v>
      </c>
      <c r="J266" s="25">
        <f>INDEX('Inputs (2)'!$D$47:$AL$47,MATCH(J$7,'Inputs (2)'!$D$2:$AL$2,0))</f>
        <v>176939</v>
      </c>
      <c r="K266" s="25">
        <f>INDEX('Inputs (2)'!$D$47:$AL$47,MATCH(K$7,'Inputs (2)'!$D$2:$AL$2,0))</f>
        <v>183782</v>
      </c>
      <c r="L266" s="25">
        <f>INDEX('Inputs (2)'!$D$47:$AL$47,MATCH(L$7,'Inputs (2)'!$D$2:$AL$2,0))</f>
        <v>191484</v>
      </c>
      <c r="M266" s="3">
        <f>L266</f>
        <v>191484</v>
      </c>
      <c r="N266" s="25">
        <f>INDEX('Inputs (2)'!$D$47:$AL$47,MATCH(N$7,'Inputs (2)'!$D$2:$AL$2,0))</f>
        <v>195221</v>
      </c>
      <c r="O266" s="25">
        <f>INDEX('Inputs (2)'!$D$47:$AL$47,MATCH(O$7,'Inputs (2)'!$D$2:$AL$2,0))</f>
        <v>196845</v>
      </c>
      <c r="P266" s="25">
        <f>INDEX('Inputs (2)'!$D$47:$AL$47,MATCH(P$7,'Inputs (2)'!$D$2:$AL$2,0))</f>
        <v>196220</v>
      </c>
      <c r="Q266" s="25">
        <f>INDEX('Inputs (2)'!$D$47:$AL$47,MATCH(Q$7,'Inputs (2)'!$D$2:$AL$2,0))</f>
        <v>195563</v>
      </c>
      <c r="R266" s="3">
        <f>Q266</f>
        <v>195563</v>
      </c>
      <c r="S266" s="25">
        <f>INDEX('Inputs (2)'!$D$47:$AL$47,MATCH(S$7,'Inputs (2)'!$D$2:$AL$2,0))</f>
        <v>196625</v>
      </c>
      <c r="T266" s="25">
        <f>INDEX('Inputs (2)'!$D$47:$AL$47,MATCH(T$7,'Inputs (2)'!$D$2:$AL$2,0))</f>
        <v>200884</v>
      </c>
      <c r="U266" s="25">
        <f>INDEX('Inputs (2)'!$D$47:$AL$47,MATCH(U$7,'Inputs (2)'!$D$2:$AL$2,0))</f>
        <v>205647</v>
      </c>
      <c r="V266" s="25">
        <f>INDEX('Inputs (2)'!$D$47:$AL$47,MATCH(V$7,'Inputs (2)'!$D$2:$AL$2,0))</f>
        <v>211247</v>
      </c>
      <c r="W266" s="3">
        <f>V266</f>
        <v>211247</v>
      </c>
      <c r="X266" s="25">
        <f>INDEX('Inputs (2)'!$D$47:$AL$47,MATCH(X$7,'Inputs (2)'!$D$2:$AL$2,0))</f>
        <v>219770</v>
      </c>
      <c r="Y266" s="25">
        <f>INDEX('Inputs (2)'!$D$47:$AL$47,MATCH(Y$7,'Inputs (2)'!$D$2:$AL$2,0))</f>
        <v>226033</v>
      </c>
      <c r="Z266" s="25">
        <f>INDEX('Inputs (2)'!$D$47:$AL$47,MATCH(Z$7,'Inputs (2)'!$D$2:$AL$2,0))</f>
        <v>235317</v>
      </c>
      <c r="AA266" s="25">
        <f>INDEX('Inputs (2)'!$D$47:$AL$47,MATCH(AA$7,'Inputs (2)'!$D$2:$AL$2,0))</f>
        <v>245084</v>
      </c>
      <c r="AB266" s="3">
        <f>AA266</f>
        <v>245084</v>
      </c>
      <c r="AC266" s="25">
        <f>INDEX('Inputs (2)'!$D$47:$AL$47,MATCH(AC$7,'Inputs (2)'!$D$2:$AL$2,0))</f>
        <v>262628</v>
      </c>
      <c r="AD266" s="25">
        <f>INDEX('Inputs (2)'!$D$47:$AL$47,MATCH(AD$7,'Inputs (2)'!$D$2:$AL$2,0))</f>
        <v>275760</v>
      </c>
      <c r="AE266" s="25">
        <f>INDEX('Inputs (2)'!$D$47:$AL$47,MATCH(AE$7,'Inputs (2)'!$D$2:$AL$2,0))</f>
        <v>297226</v>
      </c>
      <c r="AF266" s="25">
        <f>INDEX('Inputs (2)'!$D$47:$AL$47,MATCH(AF$7,'Inputs (2)'!$D$2:$AL$2,0))</f>
        <v>324055</v>
      </c>
      <c r="AG266" s="3">
        <f>AF266</f>
        <v>324055</v>
      </c>
      <c r="AH266" s="3">
        <f>INDEX('Inputs (2)'!$D$47:$AL$47,MATCH(AH$7,'Inputs (2)'!$D$2:$AL$2,0))</f>
        <v>384024</v>
      </c>
      <c r="AI266" s="3">
        <f>INDEX('Inputs (2)'!$D$47:$AL$47,MATCH(AI$7,'Inputs (2)'!$D$2:$AL$2,0))</f>
        <v>493371</v>
      </c>
      <c r="AJ266" s="3">
        <f>AI266+AJ133+AJ134</f>
        <v>531620</v>
      </c>
      <c r="AK266" s="3">
        <f>AJ266+AK133+AK134</f>
        <v>630881</v>
      </c>
      <c r="AL266" s="3">
        <f>AK266</f>
        <v>630881</v>
      </c>
      <c r="AM266" s="3">
        <f>AL266+AM133+AM134</f>
        <v>730142</v>
      </c>
      <c r="AN266" s="3">
        <f>AM266+AN133+AN134</f>
        <v>1005162</v>
      </c>
      <c r="AO266" s="3">
        <f>AN266+AO133+AO134</f>
        <v>1104423</v>
      </c>
      <c r="AP266" s="3">
        <f>AO266+AP133+AP134</f>
        <v>1379443</v>
      </c>
      <c r="AQ266" s="3">
        <f>AP266</f>
        <v>1379443</v>
      </c>
      <c r="AR266" s="3">
        <f>AQ266+AR133+AR134</f>
        <v>1654463</v>
      </c>
      <c r="AS266" s="3">
        <f>AR266+AS133+AS134</f>
        <v>2403025</v>
      </c>
      <c r="AT266" s="3">
        <f>AS266+AT133+AT134</f>
        <v>2678045</v>
      </c>
      <c r="AU266" s="3">
        <f>AT266+AU133+AU134</f>
        <v>3426607</v>
      </c>
      <c r="AV266" s="3">
        <f>AU266</f>
        <v>3426607</v>
      </c>
      <c r="AW266" s="3">
        <f>AV266+AW133+AW134</f>
        <v>4175169</v>
      </c>
      <c r="AX266" s="3">
        <f>AW266+AX133+AX134</f>
        <v>6222333</v>
      </c>
      <c r="AY266" s="3">
        <f>AX266+AY133+AY134</f>
        <v>6970895</v>
      </c>
      <c r="AZ266" s="3">
        <f>AY266+AZ133+AZ134</f>
        <v>9018059</v>
      </c>
      <c r="BA266" s="3">
        <f>AZ266</f>
        <v>9018059</v>
      </c>
      <c r="BB266" s="3">
        <f>BA266+BB133+BB134</f>
        <v>11065223</v>
      </c>
      <c r="BC266" s="3">
        <f>BB266+BC133+BC134</f>
        <v>16656675</v>
      </c>
      <c r="BD266" s="3">
        <f>BC266+BD133+BD134</f>
        <v>18703839</v>
      </c>
      <c r="BE266" s="3">
        <f>BD266+BE133+BE134</f>
        <v>24295291</v>
      </c>
      <c r="BF266" s="3">
        <f>BE266</f>
        <v>24295291</v>
      </c>
      <c r="BG266" s="3">
        <f>BF266+BG133+BG134</f>
        <v>29886743</v>
      </c>
      <c r="BH266" s="3">
        <f>BG266+BH133+BH134</f>
        <v>45163975</v>
      </c>
      <c r="BI266" s="3">
        <f>BH266+BI133+BI134</f>
        <v>50755427</v>
      </c>
      <c r="BJ266" s="3">
        <f>BI266+BJ133+BJ134</f>
        <v>66032659</v>
      </c>
      <c r="BK266" s="3">
        <f>BJ266</f>
        <v>66032659</v>
      </c>
      <c r="BL266" s="3">
        <f>BK266+BL133+BL134</f>
        <v>81309891</v>
      </c>
      <c r="BM266" s="3">
        <f>BL266+BM133+BM134</f>
        <v>123047259</v>
      </c>
      <c r="BN266" s="3">
        <f>BM266+BN133+BN134</f>
        <v>138324491</v>
      </c>
      <c r="BO266" s="3">
        <f>BN266+BO133+BO134</f>
        <v>180061859</v>
      </c>
      <c r="BP266" s="3">
        <f>BO266</f>
        <v>180061859</v>
      </c>
      <c r="BQ266" s="3">
        <f>BP266+BQ133+BQ134</f>
        <v>221799227</v>
      </c>
      <c r="BR266" s="3">
        <f>BQ266+BR133+BR134</f>
        <v>335828427</v>
      </c>
      <c r="BS266" s="3">
        <f>BR266+BS133+BS134</f>
        <v>377565795</v>
      </c>
      <c r="BT266" s="3">
        <f>BS266+BT133+BT134</f>
        <v>491594995</v>
      </c>
      <c r="BU266" s="3">
        <f>BT266</f>
        <v>491594995</v>
      </c>
      <c r="BV266" s="3">
        <f>BU266+BV133+BV134</f>
        <v>605624195</v>
      </c>
      <c r="BW266" s="3">
        <f>BV266+BW133+BW134</f>
        <v>917157331</v>
      </c>
      <c r="BX266" s="3">
        <f>BW266+BX133+BX134</f>
        <v>1031186531</v>
      </c>
      <c r="BY266" s="3">
        <f>BX266+BY133+BY134</f>
        <v>1342719667</v>
      </c>
      <c r="BZ266" s="3">
        <f>BY266</f>
        <v>1342719667</v>
      </c>
      <c r="CA266" s="3">
        <f>BZ266+CA133+CA134</f>
        <v>1654252803</v>
      </c>
      <c r="CB266" s="3">
        <f>CA266+CB133+CB134</f>
        <v>2505377475</v>
      </c>
      <c r="CC266" s="3">
        <f>CB266+CC133+CC134</f>
        <v>2816910611</v>
      </c>
      <c r="CD266" s="3">
        <f>CC266+CD133+CD134</f>
        <v>3668035283</v>
      </c>
      <c r="CE266" s="3">
        <f>CD266</f>
        <v>3668035283</v>
      </c>
      <c r="CF266" s="3">
        <f>CE266+CF133+CF134</f>
        <v>4519159955</v>
      </c>
      <c r="CG266" s="3">
        <f>CF266+CG133+CG134</f>
        <v>6844475571</v>
      </c>
      <c r="CH266" s="3">
        <f>CG266+CH133+CH134</f>
        <v>7695600243</v>
      </c>
      <c r="CI266" s="3">
        <f>CH266+CI133+CI134</f>
        <v>10020915859</v>
      </c>
      <c r="CJ266" s="3">
        <f>CI266</f>
        <v>10020915859</v>
      </c>
      <c r="CK266" s="3">
        <f>CJ266+CK133+CK134</f>
        <v>12346231475</v>
      </c>
      <c r="CL266" s="3">
        <f>CK266+CL133+CL134</f>
        <v>18699112051</v>
      </c>
      <c r="CM266" s="3">
        <f>CL266+CM133+CM134</f>
        <v>21024427667</v>
      </c>
      <c r="CN266" s="3">
        <f>CM266+CN133+CN134</f>
        <v>27377308243</v>
      </c>
      <c r="CO266" s="3">
        <f>CN266</f>
        <v>27377308243</v>
      </c>
      <c r="CP266" s="3">
        <f>CO266+CP133+CP134</f>
        <v>33730188819</v>
      </c>
      <c r="CQ266" s="3">
        <f>CP266+CQ133+CQ134</f>
        <v>51086581203</v>
      </c>
      <c r="CR266" s="3">
        <f>CQ266+CR133+CR134</f>
        <v>57439461779</v>
      </c>
      <c r="CS266" s="3">
        <f>CR266+CS133+CS134</f>
        <v>74795854163</v>
      </c>
      <c r="CT266" s="3">
        <f>CS266</f>
        <v>74795854163</v>
      </c>
      <c r="CU266" s="3">
        <f>CT266+CU133+CU134</f>
        <v>92152246547</v>
      </c>
      <c r="CV266" s="3">
        <f>CU266+CV133+CV134</f>
        <v>139570792467</v>
      </c>
      <c r="CW266" s="3">
        <f>CV266+CW133+CW134</f>
        <v>156927184851</v>
      </c>
      <c r="CX266" s="3">
        <f>CW266+CX133+CX134</f>
        <v>204345730771</v>
      </c>
      <c r="CY266" s="3">
        <f>CX266</f>
        <v>204345730771</v>
      </c>
    </row>
    <row r="267" customFormat="1" s="17">
      <c r="A267" s="13" t="inlineStr">
        <is>
          <t xml:space="preserve"> </t>
        </is>
      </c>
      <c r="B267" s="13" t="n"/>
      <c r="C267" s="27" t="inlineStr">
        <is>
          <t>Total Shareholders' Equity</t>
        </is>
      </c>
      <c r="D267" s="16">
        <f>SUM(D244+D249+D250+D263+D264+D265+D266)</f>
        <v>203659</v>
      </c>
      <c r="E267" s="16">
        <f>SUM(E244+E249+E250+E263+E264+E265+E266)</f>
        <v>207322</v>
      </c>
      <c r="F267" s="16">
        <f>SUM(F244+F249+F250+F263+F264+F265+F266)</f>
        <v>212920</v>
      </c>
      <c r="G267" s="16">
        <f>SUM(G244+G249+G250+G263+G264+G265+G266)</f>
        <v>222544</v>
      </c>
      <c r="H267" s="16">
        <f>SUM(H244,H249,H250,H263,H264,H265,H266)</f>
        <v>222544</v>
      </c>
      <c r="I267" s="16">
        <f>SUM(I244+I249+I250+I263+I264+I265+I266)</f>
        <v>230013</v>
      </c>
      <c r="J267" s="16">
        <f>SUM(J244+J249+J250+J263+J264+J265+J266)</f>
        <v>237565</v>
      </c>
      <c r="K267" s="16">
        <f>SUM(K244+K249+K250+K263+K264+K265+K266)</f>
        <v>244567</v>
      </c>
      <c r="L267" s="16">
        <f>SUM(L244+L249+L250+L263+L264+L265+L266)</f>
        <v>251635</v>
      </c>
      <c r="M267" s="16">
        <f>SUM(M244,M249,M250,M263,M264,M265,M266)</f>
        <v>251635</v>
      </c>
      <c r="N267" s="16">
        <f>SUM(N244+N249+N250+N263+N264+N265+N266)</f>
        <v>254004</v>
      </c>
      <c r="O267" s="16">
        <f>SUM(O244+O249+O250+O263+O264+O265+O266)</f>
        <v>255419</v>
      </c>
      <c r="P267" s="16">
        <f>SUM(P244+P249+P250+P263+P264+P265+P266)</f>
        <v>253626</v>
      </c>
      <c r="Q267" s="16">
        <f>SUM(Q244+Q249+Q250+Q263+Q264+Q265+Q266)</f>
        <v>256144</v>
      </c>
      <c r="R267" s="16">
        <f>SUM(R244,R249,R250,R263,R264,R265,R266)</f>
        <v>256144</v>
      </c>
      <c r="S267" s="16">
        <f>SUM(S244+S249+S250+S263+S264+S265+S266)</f>
        <v>260894</v>
      </c>
      <c r="T267" s="16">
        <f>SUM(T244+T249+T250+T263+T264+T265+T266)</f>
        <v>267141</v>
      </c>
      <c r="U267" s="16">
        <f>SUM(U244+U249+U250+U263+U264+U265+U266)</f>
        <v>273202</v>
      </c>
      <c r="V267" s="16">
        <f>SUM(V244+V249+V250+V263+V264+V265+V266)</f>
        <v>283379</v>
      </c>
      <c r="W267" s="16">
        <f>SUM(W244,W249,W250,W263,W264,W265,W266)</f>
        <v>283379</v>
      </c>
      <c r="X267" s="16">
        <f>SUM(X244+X249+X250+X263+X264+X265+X266)</f>
        <v>292844</v>
      </c>
      <c r="Y267" s="16">
        <f>SUM(Y244+Y249+Y250+Y263+Y264+Y265+Y266)</f>
        <v>300753</v>
      </c>
      <c r="Z267" s="16">
        <f>SUM(Z244+Z249+Z250+Z263+Z264+Z265+Z266)</f>
        <v>314119</v>
      </c>
      <c r="AA267" s="16">
        <f>SUM(AA244+AA249+AA250+AA263+AA264+AA265+AA266)</f>
        <v>325084</v>
      </c>
      <c r="AB267" s="16">
        <f>SUM(AB244,AB249,AB250,AB263,AB264,AB265,AB266)</f>
        <v>325084</v>
      </c>
      <c r="AC267" s="16">
        <f>SUM(AC244+AC249+AC250+AC263+AC264+AC265+AC266)</f>
        <v>345267</v>
      </c>
      <c r="AD267" s="16">
        <f>SUM(AD244+AD249+AD250+AD263+AD264+AD265+AD266)</f>
        <v>362916</v>
      </c>
      <c r="AE267" s="16">
        <f>SUM(AE244+AE249+AE250+AE263+AE264+AE265+AE266)</f>
        <v>386867</v>
      </c>
      <c r="AF267" s="16">
        <f>SUM(AF244+AF249+AF250+AF263+AF264+AF265+AF266)</f>
        <v>415265</v>
      </c>
      <c r="AG267" s="16">
        <f>SUM(AG244,AG249,AG250,AG263,AG264,AG265,AG266)</f>
        <v>415265</v>
      </c>
      <c r="AH267" s="16">
        <f>SUM(AH244+AH249+AH250+AH263+AH264+AH265+AH266)</f>
        <v>478746</v>
      </c>
      <c r="AI267" s="16">
        <f>SUM(AI244+AI249+AI250+AI263+AI264+AI265+AI266)</f>
        <v>640480</v>
      </c>
      <c r="AJ267" s="16">
        <f>SUM(AJ244+AJ249+AJ250+AJ263+AJ264+AJ265+AJ266)</f>
        <v>678729</v>
      </c>
      <c r="AK267" s="16">
        <f>SUM(AK244+AK249+AK250+AK263+AK264+AK265+AK266)</f>
        <v>777990</v>
      </c>
      <c r="AL267" s="16">
        <f>SUM(AL244,AL249,AL250,AL263,AL264,AL265,AL266)</f>
        <v>777990</v>
      </c>
      <c r="AM267" s="16">
        <f>SUM(AM244+AM249+AM250+AM263+AM264+AM265+AM266)</f>
        <v>877251</v>
      </c>
      <c r="AN267" s="16">
        <f>SUM(AN244+AN249+AN250+AN263+AN264+AN265+AN266)</f>
        <v>1152271</v>
      </c>
      <c r="AO267" s="16">
        <f>SUM(AO244+AO249+AO250+AO263+AO264+AO265+AO266)</f>
        <v>1251532</v>
      </c>
      <c r="AP267" s="16">
        <f>SUM(AP244+AP249+AP250+AP263+AP264+AP265+AP266)</f>
        <v>1526552</v>
      </c>
      <c r="AQ267" s="16">
        <f>SUM(AQ244,AQ249,AQ250,AQ263,AQ264,AQ265,AQ266)</f>
        <v>1526552</v>
      </c>
      <c r="AR267" s="16">
        <f>SUM(AR244+AR249+AR250+AR263+AR264+AR265+AR266)</f>
        <v>1801572</v>
      </c>
      <c r="AS267" s="16">
        <f>SUM(AS244+AS249+AS250+AS263+AS264+AS265+AS266)</f>
        <v>2550134</v>
      </c>
      <c r="AT267" s="16">
        <f>SUM(AT244+AT249+AT250+AT263+AT264+AT265+AT266)</f>
        <v>2825154</v>
      </c>
      <c r="AU267" s="16">
        <f>SUM(AU244+AU249+AU250+AU263+AU264+AU265+AU266)</f>
        <v>3573716</v>
      </c>
      <c r="AV267" s="16">
        <f>SUM(AV244,AV249,AV250,AV263,AV264,AV265,AV266)</f>
        <v>3573716</v>
      </c>
      <c r="AW267" s="16">
        <f>SUM(AW244+AW249+AW250+AW263+AW264+AW265+AW266)</f>
        <v>4322278</v>
      </c>
      <c r="AX267" s="16">
        <f>SUM(AX244+AX249+AX250+AX263+AX264+AX265+AX266)</f>
        <v>6369442</v>
      </c>
      <c r="AY267" s="16">
        <f>SUM(AY244+AY249+AY250+AY263+AY264+AY265+AY266)</f>
        <v>7118004</v>
      </c>
      <c r="AZ267" s="16">
        <f>SUM(AZ244+AZ249+AZ250+AZ263+AZ264+AZ265+AZ266)</f>
        <v>9165168</v>
      </c>
      <c r="BA267" s="16">
        <f>SUM(BA244,BA249,BA250,BA263,BA264,BA265,BA266)</f>
        <v>9165168</v>
      </c>
      <c r="BB267" s="16">
        <f>SUM(BB244+BB249+BB250+BB263+BB264+BB265+BB266)</f>
        <v>11212332</v>
      </c>
      <c r="BC267" s="16">
        <f>SUM(BC244+BC249+BC250+BC263+BC264+BC265+BC266)</f>
        <v>16803784</v>
      </c>
      <c r="BD267" s="16">
        <f>SUM(BD244+BD249+BD250+BD263+BD264+BD265+BD266)</f>
        <v>18850948</v>
      </c>
      <c r="BE267" s="16">
        <f>SUM(BE244+BE249+BE250+BE263+BE264+BE265+BE266)</f>
        <v>24442400</v>
      </c>
      <c r="BF267" s="16">
        <f>SUM(BF244,BF249,BF250,BF263,BF264,BF265,BF266)</f>
        <v>24442400</v>
      </c>
      <c r="BG267" s="16">
        <f>SUM(BG244+BG249+BG250+BG263+BG264+BG265+BG266)</f>
        <v>30033852</v>
      </c>
      <c r="BH267" s="16">
        <f>SUM(BH244+BH249+BH250+BH263+BH264+BH265+BH266)</f>
        <v>45311084</v>
      </c>
      <c r="BI267" s="16">
        <f>SUM(BI244+BI249+BI250+BI263+BI264+BI265+BI266)</f>
        <v>50902536</v>
      </c>
      <c r="BJ267" s="16">
        <f>SUM(BJ244+BJ249+BJ250+BJ263+BJ264+BJ265+BJ266)</f>
        <v>66179768</v>
      </c>
      <c r="BK267" s="16">
        <f>SUM(BK244,BK249,BK250,BK263,BK264,BK265,BK266)</f>
        <v>66179768</v>
      </c>
      <c r="BL267" s="16">
        <f>SUM(BL244+BL249+BL250+BL263+BL264+BL265+BL266)</f>
        <v>81457000</v>
      </c>
      <c r="BM267" s="16">
        <f>SUM(BM244+BM249+BM250+BM263+BM264+BM265+BM266)</f>
        <v>123194368</v>
      </c>
      <c r="BN267" s="16">
        <f>SUM(BN244+BN249+BN250+BN263+BN264+BN265+BN266)</f>
        <v>138471600</v>
      </c>
      <c r="BO267" s="16">
        <f>SUM(BO244+BO249+BO250+BO263+BO264+BO265+BO266)</f>
        <v>180208968</v>
      </c>
      <c r="BP267" s="16">
        <f>SUM(BP244,BP249,BP250,BP263,BP264,BP265,BP266)</f>
        <v>180208968</v>
      </c>
      <c r="BQ267" s="16">
        <f>SUM(BQ244+BQ249+BQ250+BQ263+BQ264+BQ265+BQ266)</f>
        <v>221946336</v>
      </c>
      <c r="BR267" s="16">
        <f>SUM(BR244+BR249+BR250+BR263+BR264+BR265+BR266)</f>
        <v>335975536</v>
      </c>
      <c r="BS267" s="16">
        <f>SUM(BS244+BS249+BS250+BS263+BS264+BS265+BS266)</f>
        <v>377712904</v>
      </c>
      <c r="BT267" s="16">
        <f>SUM(BT244+BT249+BT250+BT263+BT264+BT265+BT266)</f>
        <v>491742104</v>
      </c>
      <c r="BU267" s="16">
        <f>SUM(BU244,BU249,BU250,BU263,BU264,BU265,BU266)</f>
        <v>491742104</v>
      </c>
      <c r="BV267" s="16">
        <f>SUM(BV244+BV249+BV250+BV263+BV264+BV265+BV266)</f>
        <v>605771304</v>
      </c>
      <c r="BW267" s="16">
        <f>SUM(BW244+BW249+BW250+BW263+BW264+BW265+BW266)</f>
        <v>917304440</v>
      </c>
      <c r="BX267" s="16">
        <f>SUM(BX244+BX249+BX250+BX263+BX264+BX265+BX266)</f>
        <v>1031333640</v>
      </c>
      <c r="BY267" s="16">
        <f>SUM(BY244+BY249+BY250+BY263+BY264+BY265+BY266)</f>
        <v>1342866776</v>
      </c>
      <c r="BZ267" s="16">
        <f>SUM(BZ244,BZ249,BZ250,BZ263,BZ264,BZ265,BZ266)</f>
        <v>1342866776</v>
      </c>
      <c r="CA267" s="16">
        <f>SUM(CA244+CA249+CA250+CA263+CA264+CA265+CA266)</f>
        <v>1654399912</v>
      </c>
      <c r="CB267" s="16">
        <f>SUM(CB244+CB249+CB250+CB263+CB264+CB265+CB266)</f>
        <v>2505524584</v>
      </c>
      <c r="CC267" s="16">
        <f>SUM(CC244+CC249+CC250+CC263+CC264+CC265+CC266)</f>
        <v>2817057720</v>
      </c>
      <c r="CD267" s="16">
        <f>SUM(CD244+CD249+CD250+CD263+CD264+CD265+CD266)</f>
        <v>3668182392</v>
      </c>
      <c r="CE267" s="16">
        <f>SUM(CE244,CE249,CE250,CE263,CE264,CE265,CE266)</f>
        <v>3668182392</v>
      </c>
      <c r="CF267" s="16">
        <f>SUM(CF244+CF249+CF250+CF263+CF264+CF265+CF266)</f>
        <v>4519307064</v>
      </c>
      <c r="CG267" s="16">
        <f>SUM(CG244+CG249+CG250+CG263+CG264+CG265+CG266)</f>
        <v>6844622680</v>
      </c>
      <c r="CH267" s="16">
        <f>SUM(CH244+CH249+CH250+CH263+CH264+CH265+CH266)</f>
        <v>7695747352</v>
      </c>
      <c r="CI267" s="16">
        <f>SUM(CI244+CI249+CI250+CI263+CI264+CI265+CI266)</f>
        <v>10021062968</v>
      </c>
      <c r="CJ267" s="16">
        <f>SUM(CJ244,CJ249,CJ250,CJ263,CJ264,CJ265,CJ266)</f>
        <v>10021062968</v>
      </c>
      <c r="CK267" s="16">
        <f>SUM(CK244+CK249+CK250+CK263+CK264+CK265+CK266)</f>
        <v>12346378584</v>
      </c>
      <c r="CL267" s="16">
        <f>SUM(CL244+CL249+CL250+CL263+CL264+CL265+CL266)</f>
        <v>18699259160</v>
      </c>
      <c r="CM267" s="16">
        <f>SUM(CM244+CM249+CM250+CM263+CM264+CM265+CM266)</f>
        <v>21024574776</v>
      </c>
      <c r="CN267" s="16">
        <f>SUM(CN244+CN249+CN250+CN263+CN264+CN265+CN266)</f>
        <v>27377455352</v>
      </c>
      <c r="CO267" s="16">
        <f>SUM(CO244,CO249,CO250,CO263,CO264,CO265,CO266)</f>
        <v>27377455352</v>
      </c>
      <c r="CP267" s="16">
        <f>SUM(CP244+CP249+CP250+CP263+CP264+CP265+CP266)</f>
        <v>33730335928</v>
      </c>
      <c r="CQ267" s="16">
        <f>SUM(CQ244+CQ249+CQ250+CQ263+CQ264+CQ265+CQ266)</f>
        <v>51086728312</v>
      </c>
      <c r="CR267" s="16">
        <f>SUM(CR244+CR249+CR250+CR263+CR264+CR265+CR266)</f>
        <v>57439608888</v>
      </c>
      <c r="CS267" s="16">
        <f>SUM(CS244+CS249+CS250+CS263+CS264+CS265+CS266)</f>
        <v>74796001272</v>
      </c>
      <c r="CT267" s="16">
        <f>SUM(CT244,CT249,CT250,CT263,CT264,CT265,CT266)</f>
        <v>74796001272</v>
      </c>
      <c r="CU267" s="16">
        <f>SUM(CU244+CU249+CU250+CU263+CU264+CU265+CU266)</f>
        <v>92152393656</v>
      </c>
      <c r="CV267" s="16">
        <f>SUM(CV244+CV249+CV250+CV263+CV264+CV265+CV266)</f>
        <v>139570939576</v>
      </c>
      <c r="CW267" s="16">
        <f>SUM(CW244+CW249+CW250+CW263+CW264+CW265+CW266)</f>
        <v>156927331960</v>
      </c>
      <c r="CX267" s="16">
        <f>SUM(CX244+CX249+CX250+CX263+CX264+CX265+CX266)</f>
        <v>204345877880</v>
      </c>
      <c r="CY267" s="16">
        <f>SUM(CY244,CY249,CY250,CY263,CY264,CY265,CY266)</f>
        <v>204345877880</v>
      </c>
    </row>
    <row r="268">
      <c r="C268" s="29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  <c r="CF268" s="3" t="n"/>
      <c r="CG268" s="3" t="n"/>
      <c r="CH268" s="3" t="n"/>
      <c r="CI268" s="3" t="n"/>
      <c r="CJ268" s="3" t="n"/>
      <c r="CK268" s="3" t="n"/>
      <c r="CL268" s="3" t="n"/>
      <c r="CM268" s="3" t="n"/>
      <c r="CN268" s="3" t="n"/>
      <c r="CO268" s="3" t="n"/>
      <c r="CP268" s="3" t="n"/>
      <c r="CQ268" s="3" t="n"/>
      <c r="CR268" s="3" t="n"/>
      <c r="CS268" s="3" t="n"/>
      <c r="CT268" s="3" t="n"/>
      <c r="CU268" s="3" t="n"/>
      <c r="CV268" s="3" t="n"/>
      <c r="CW268" s="3" t="n"/>
      <c r="CX268" s="3" t="n"/>
      <c r="CY268" s="3" t="n"/>
    </row>
    <row r="269" customFormat="1" s="17">
      <c r="A269" s="13" t="n"/>
      <c r="B269" s="1" t="n"/>
      <c r="C269" s="14" t="inlineStr">
        <is>
          <t>Total Liabilities + Shareholders' Equity</t>
        </is>
      </c>
      <c r="D269" s="16">
        <f>D267+D243</f>
        <v>273403</v>
      </c>
      <c r="E269" s="16">
        <f>E267+E243</f>
        <v>278492</v>
      </c>
      <c r="F269" s="16">
        <f>F267+F243</f>
        <v>299243</v>
      </c>
      <c r="G269" s="16">
        <f>G267+G243</f>
        <v>319616</v>
      </c>
      <c r="H269" s="16">
        <f>H267+H243</f>
        <v>319616</v>
      </c>
      <c r="I269" s="16">
        <f>I267+I243</f>
        <v>327095</v>
      </c>
      <c r="J269" s="16">
        <f>J267+J243</f>
        <v>335387</v>
      </c>
      <c r="K269" s="16">
        <f>K267+K243</f>
        <v>347403</v>
      </c>
      <c r="L269" s="16">
        <f>L267+L243</f>
        <v>359268</v>
      </c>
      <c r="M269" s="16">
        <f>M267+M243</f>
        <v>359268</v>
      </c>
      <c r="N269" s="16">
        <f>N267+N243</f>
        <v>357096</v>
      </c>
      <c r="O269" s="16">
        <f>O267+O243</f>
        <v>355185</v>
      </c>
      <c r="P269" s="16">
        <f>P267+P243</f>
        <v>358255</v>
      </c>
      <c r="Q269" s="16">
        <f>Q267+Q243</f>
        <v>365264</v>
      </c>
      <c r="R269" s="16">
        <f>R267+R243</f>
        <v>365264</v>
      </c>
      <c r="S269" s="16">
        <f>S267+S243</f>
        <v>369491</v>
      </c>
      <c r="T269" s="16">
        <f>T267+T243</f>
        <v>383044</v>
      </c>
      <c r="U269" s="16">
        <f>U267+U243</f>
        <v>396711</v>
      </c>
      <c r="V269" s="16">
        <f>V267+V243</f>
        <v>402392</v>
      </c>
      <c r="W269" s="16">
        <f>W267+W243</f>
        <v>402392</v>
      </c>
      <c r="X269" s="16">
        <f>X267+X243</f>
        <v>407350</v>
      </c>
      <c r="Y269" s="16">
        <f>Y267+Y243</f>
        <v>414770</v>
      </c>
      <c r="Z269" s="16">
        <f>Z267+Z243</f>
        <v>430266</v>
      </c>
      <c r="AA269" s="16">
        <f>AA267+AA243</f>
        <v>450256</v>
      </c>
      <c r="AB269" s="16">
        <f>AB267+AB243</f>
        <v>450256</v>
      </c>
      <c r="AC269" s="16">
        <f>AC267+AC243</f>
        <v>475374</v>
      </c>
      <c r="AD269" s="16">
        <f>AD267+AD243</f>
        <v>502053</v>
      </c>
      <c r="AE269" s="16">
        <f>AE267+AE243</f>
        <v>536469</v>
      </c>
      <c r="AF269" s="16">
        <f>AF267+AF243</f>
        <v>595281</v>
      </c>
      <c r="AG269" s="16">
        <f>AG267+AG243</f>
        <v>595281</v>
      </c>
      <c r="AH269" s="16">
        <f>AH267+AH243</f>
        <v>703919</v>
      </c>
      <c r="AI269" s="16">
        <f>AI267+AI243</f>
        <v>921983</v>
      </c>
      <c r="AJ269" s="16">
        <f>AJ267+AJ243</f>
        <v>841275</v>
      </c>
      <c r="AK269" s="16">
        <f>AK267+AK243</f>
        <v>940536</v>
      </c>
      <c r="AL269" s="16">
        <f>AL267+AL243</f>
        <v>940536</v>
      </c>
      <c r="AM269" s="16" t="e">
        <f>AM267+AM243</f>
        <v>#DIV/0!</v>
      </c>
      <c r="AN269" s="16">
        <f>AN267+AN243</f>
        <v>1314817</v>
      </c>
      <c r="AO269" s="16" t="e">
        <f>AO267+AO243</f>
        <v>#DIV/0!</v>
      </c>
      <c r="AP269" s="16" t="e">
        <f>AP267+AP243</f>
        <v>#DIV/0!</v>
      </c>
      <c r="AQ269" s="16" t="e">
        <f>AQ267+AQ243</f>
        <v>#DIV/0!</v>
      </c>
      <c r="AR269" s="16" t="e">
        <f>AR267+AR243</f>
        <v>#DIV/0!</v>
      </c>
      <c r="AS269" s="16" t="e">
        <f>AS267+AS243</f>
        <v>#DIV/0!</v>
      </c>
      <c r="AT269" s="16" t="e">
        <f>AT267+AT243</f>
        <v>#DIV/0!</v>
      </c>
      <c r="AU269" s="16" t="e">
        <f>AU267+AU243</f>
        <v>#DIV/0!</v>
      </c>
      <c r="AV269" s="16" t="e">
        <f>AV267+AV243</f>
        <v>#DIV/0!</v>
      </c>
      <c r="AW269" s="16" t="e">
        <f>AW267+AW243</f>
        <v>#DIV/0!</v>
      </c>
      <c r="AX269" s="16" t="e">
        <f>AX267+AX243</f>
        <v>#DIV/0!</v>
      </c>
      <c r="AY269" s="16" t="e">
        <f>AY267+AY243</f>
        <v>#DIV/0!</v>
      </c>
      <c r="AZ269" s="16" t="e">
        <f>AZ267+AZ243</f>
        <v>#DIV/0!</v>
      </c>
      <c r="BA269" s="16" t="e">
        <f>BA267+BA243</f>
        <v>#DIV/0!</v>
      </c>
      <c r="BB269" s="16" t="e">
        <f>BB267+BB243</f>
        <v>#DIV/0!</v>
      </c>
      <c r="BC269" s="16" t="e">
        <f>BC267+BC243</f>
        <v>#DIV/0!</v>
      </c>
      <c r="BD269" s="16" t="e">
        <f>BD267+BD243</f>
        <v>#DIV/0!</v>
      </c>
      <c r="BE269" s="16" t="e">
        <f>BE267+BE243</f>
        <v>#DIV/0!</v>
      </c>
      <c r="BF269" s="16" t="e">
        <f>BF267+BF243</f>
        <v>#DIV/0!</v>
      </c>
      <c r="BG269" s="16" t="e">
        <f>BG267+BG243</f>
        <v>#DIV/0!</v>
      </c>
      <c r="BH269" s="16" t="e">
        <f>BH267+BH243</f>
        <v>#DIV/0!</v>
      </c>
      <c r="BI269" s="16" t="e">
        <f>BI267+BI243</f>
        <v>#DIV/0!</v>
      </c>
      <c r="BJ269" s="16" t="e">
        <f>BJ267+BJ243</f>
        <v>#DIV/0!</v>
      </c>
      <c r="BK269" s="16" t="e">
        <f>BK267+BK243</f>
        <v>#DIV/0!</v>
      </c>
      <c r="BL269" s="16" t="e">
        <f>BL267+BL243</f>
        <v>#DIV/0!</v>
      </c>
      <c r="BM269" s="16" t="e">
        <f>BM267+BM243</f>
        <v>#DIV/0!</v>
      </c>
      <c r="BN269" s="16" t="e">
        <f>BN267+BN243</f>
        <v>#DIV/0!</v>
      </c>
      <c r="BO269" s="16" t="e">
        <f>BO267+BO243</f>
        <v>#DIV/0!</v>
      </c>
      <c r="BP269" s="16" t="e">
        <f>BP267+BP243</f>
        <v>#DIV/0!</v>
      </c>
      <c r="BQ269" s="16" t="e">
        <f>BQ267+BQ243</f>
        <v>#DIV/0!</v>
      </c>
      <c r="BR269" s="16" t="e">
        <f>BR267+BR243</f>
        <v>#DIV/0!</v>
      </c>
      <c r="BS269" s="16" t="e">
        <f>BS267+BS243</f>
        <v>#DIV/0!</v>
      </c>
      <c r="BT269" s="16" t="e">
        <f>BT267+BT243</f>
        <v>#DIV/0!</v>
      </c>
      <c r="BU269" s="16" t="e">
        <f>BU267+BU243</f>
        <v>#DIV/0!</v>
      </c>
      <c r="BV269" s="16" t="e">
        <f>BV267+BV243</f>
        <v>#DIV/0!</v>
      </c>
      <c r="BW269" s="16" t="e">
        <f>BW267+BW243</f>
        <v>#DIV/0!</v>
      </c>
      <c r="BX269" s="16" t="e">
        <f>BX267+BX243</f>
        <v>#DIV/0!</v>
      </c>
      <c r="BY269" s="16" t="e">
        <f>BY267+BY243</f>
        <v>#DIV/0!</v>
      </c>
      <c r="BZ269" s="16" t="e">
        <f>BZ267+BZ243</f>
        <v>#DIV/0!</v>
      </c>
      <c r="CA269" s="16" t="e">
        <f>CA267+CA243</f>
        <v>#DIV/0!</v>
      </c>
      <c r="CB269" s="16" t="e">
        <f>CB267+CB243</f>
        <v>#DIV/0!</v>
      </c>
      <c r="CC269" s="16" t="e">
        <f>CC267+CC243</f>
        <v>#DIV/0!</v>
      </c>
      <c r="CD269" s="16" t="e">
        <f>CD267+CD243</f>
        <v>#DIV/0!</v>
      </c>
      <c r="CE269" s="16" t="e">
        <f>CE267+CE243</f>
        <v>#DIV/0!</v>
      </c>
      <c r="CF269" s="16" t="e">
        <f>CF267+CF243</f>
        <v>#DIV/0!</v>
      </c>
      <c r="CG269" s="16" t="e">
        <f>CG267+CG243</f>
        <v>#DIV/0!</v>
      </c>
      <c r="CH269" s="16" t="e">
        <f>CH267+CH243</f>
        <v>#DIV/0!</v>
      </c>
      <c r="CI269" s="16" t="e">
        <f>CI267+CI243</f>
        <v>#DIV/0!</v>
      </c>
      <c r="CJ269" s="16" t="e">
        <f>CJ267+CJ243</f>
        <v>#DIV/0!</v>
      </c>
      <c r="CK269" s="16" t="e">
        <f>CK267+CK243</f>
        <v>#DIV/0!</v>
      </c>
      <c r="CL269" s="16" t="e">
        <f>CL267+CL243</f>
        <v>#DIV/0!</v>
      </c>
      <c r="CM269" s="16" t="e">
        <f>CM267+CM243</f>
        <v>#DIV/0!</v>
      </c>
      <c r="CN269" s="16" t="e">
        <f>CN267+CN243</f>
        <v>#DIV/0!</v>
      </c>
      <c r="CO269" s="16" t="e">
        <f>CO267+CO243</f>
        <v>#DIV/0!</v>
      </c>
      <c r="CP269" s="16" t="e">
        <f>CP267+CP243</f>
        <v>#DIV/0!</v>
      </c>
      <c r="CQ269" s="16" t="e">
        <f>CQ267+CQ243</f>
        <v>#DIV/0!</v>
      </c>
      <c r="CR269" s="16" t="e">
        <f>CR267+CR243</f>
        <v>#DIV/0!</v>
      </c>
      <c r="CS269" s="16" t="e">
        <f>CS267+CS243</f>
        <v>#DIV/0!</v>
      </c>
      <c r="CT269" s="16" t="e">
        <f>CT267+CT243</f>
        <v>#DIV/0!</v>
      </c>
      <c r="CU269" s="16" t="e">
        <f>CU267+CU243</f>
        <v>#DIV/0!</v>
      </c>
      <c r="CV269" s="16" t="e">
        <f>CV267+CV243</f>
        <v>#DIV/0!</v>
      </c>
      <c r="CW269" s="16" t="e">
        <f>CW267+CW243</f>
        <v>#DIV/0!</v>
      </c>
      <c r="CX269" s="16" t="e">
        <f>CX267+CX243</f>
        <v>#DIV/0!</v>
      </c>
      <c r="CY269" s="16" t="e">
        <f>CY267+CY243</f>
        <v>#DIV/0!</v>
      </c>
    </row>
    <row r="270">
      <c r="C270" s="5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" t="n"/>
      <c r="BG270" s="1" t="n"/>
      <c r="BH270" s="1" t="n"/>
      <c r="BI270" s="1" t="n"/>
      <c r="BJ270" s="1" t="n"/>
      <c r="BK270" s="1" t="n"/>
      <c r="BL270" s="1" t="n"/>
      <c r="BM270" s="1" t="n"/>
      <c r="BN270" s="1" t="n"/>
      <c r="BO270" s="1" t="n"/>
      <c r="BP270" s="1" t="n"/>
      <c r="BQ270" s="1" t="n"/>
      <c r="BR270" s="1" t="n"/>
      <c r="BS270" s="1" t="n"/>
      <c r="BT270" s="1" t="n"/>
      <c r="BU270" s="1" t="n"/>
      <c r="BV270" s="1" t="n"/>
      <c r="BW270" s="1" t="n"/>
      <c r="BX270" s="1" t="n"/>
      <c r="BY270" s="1" t="n"/>
      <c r="BZ270" s="1" t="n"/>
      <c r="CA270" s="1" t="n"/>
      <c r="CB270" s="1" t="n"/>
      <c r="CC270" s="1" t="n"/>
      <c r="CD270" s="1" t="n"/>
      <c r="CE270" s="1" t="n"/>
      <c r="CF270" s="1" t="n"/>
      <c r="CG270" s="1" t="n"/>
      <c r="CH270" s="1" t="n"/>
      <c r="CI270" s="1" t="n"/>
      <c r="CJ270" s="1" t="n"/>
      <c r="CK270" s="1" t="n"/>
      <c r="CL270" s="1" t="n"/>
      <c r="CM270" s="1" t="n"/>
      <c r="CN270" s="1" t="n"/>
      <c r="CO270" s="1" t="n"/>
      <c r="CP270" s="1" t="n"/>
      <c r="CQ270" s="1" t="n"/>
      <c r="CR270" s="1" t="n"/>
      <c r="CS270" s="1" t="n"/>
      <c r="CT270" s="1" t="n"/>
      <c r="CU270" s="1" t="n"/>
      <c r="CV270" s="1" t="n"/>
      <c r="CW270" s="1" t="n"/>
      <c r="CX270" s="1" t="n"/>
      <c r="CY270" s="1" t="n"/>
    </row>
    <row r="271" customFormat="1" s="17">
      <c r="A271" s="13" t="n"/>
      <c r="B271" s="13" t="n"/>
      <c r="C271" s="12" t="inlineStr">
        <is>
          <t>Cash Flow Statement</t>
        </is>
      </c>
      <c r="D271" s="232" t="str">
        <f>D138</f>
        <v>1Q20</v>
      </c>
      <c r="E271" s="232" t="str">
        <f>E138</f>
        <v>2Q20</v>
      </c>
      <c r="F271" s="232" t="str">
        <f>F138</f>
        <v>3Q20</v>
      </c>
      <c r="G271" s="232" t="str">
        <f>G138</f>
        <v>4Q20</v>
      </c>
      <c r="H271" s="232">
        <f>H138</f>
        <v>2020</v>
      </c>
      <c r="I271" s="232" t="str">
        <f>I138</f>
        <v>1Q21</v>
      </c>
      <c r="J271" s="232" t="str">
        <f>J138</f>
        <v>2Q21</v>
      </c>
      <c r="K271" s="232" t="str">
        <f>K138</f>
        <v>3Q21</v>
      </c>
      <c r="L271" s="232" t="str">
        <f>L138</f>
        <v>4Q21</v>
      </c>
      <c r="M271" s="232">
        <f>M138</f>
        <v>2021</v>
      </c>
      <c r="N271" s="232" t="str">
        <f>N138</f>
        <v>1Q22</v>
      </c>
      <c r="O271" s="232" t="str">
        <f>O138</f>
        <v>2Q22</v>
      </c>
      <c r="P271" s="232" t="str">
        <f>P138</f>
        <v>3Q22</v>
      </c>
      <c r="Q271" s="232" t="str">
        <f>Q138</f>
        <v>4Q22</v>
      </c>
      <c r="R271" s="232">
        <f>R138</f>
        <v>2022</v>
      </c>
      <c r="S271" s="232" t="str">
        <f>S138</f>
        <v>1Q23</v>
      </c>
      <c r="T271" s="232" t="str">
        <f>T138</f>
        <v>2Q23</v>
      </c>
      <c r="U271" s="232" t="str">
        <f>U138</f>
        <v>3Q23</v>
      </c>
      <c r="V271" s="232" t="str">
        <f>V138</f>
        <v>4Q23</v>
      </c>
      <c r="W271" s="232">
        <f>W138</f>
        <v>2023</v>
      </c>
      <c r="X271" s="232" t="str">
        <f>X138</f>
        <v>1Q24</v>
      </c>
      <c r="Y271" s="232" t="str">
        <f>Y138</f>
        <v>2Q24</v>
      </c>
      <c r="Z271" s="232" t="str">
        <f>Z138</f>
        <v>3Q24</v>
      </c>
      <c r="AA271" s="232" t="str">
        <f>AA138</f>
        <v>4Q24</v>
      </c>
      <c r="AB271" s="232">
        <f>AB138</f>
        <v>2024</v>
      </c>
      <c r="AC271" s="232" t="str">
        <f>AC138</f>
        <v>1Q25</v>
      </c>
      <c r="AD271" s="232" t="str">
        <f>AD138</f>
        <v>2Q25</v>
      </c>
      <c r="AE271" s="232" t="str">
        <f>AE138</f>
        <v>3Q25</v>
      </c>
      <c r="AF271" s="232" t="str">
        <f>AF138</f>
        <v>4Q25</v>
      </c>
      <c r="AG271" s="232">
        <f>AG138</f>
        <v>2025</v>
      </c>
      <c r="AH271" s="232" t="str">
        <f>AH138</f>
        <v>1Q26</v>
      </c>
      <c r="AI271" s="232" t="str">
        <f>AI138</f>
        <v>2Q26</v>
      </c>
      <c r="AJ271" s="232" t="str">
        <f>AJ138</f>
        <v>3Q26</v>
      </c>
      <c r="AK271" s="232" t="str">
        <f>AK138</f>
        <v>4Q26</v>
      </c>
      <c r="AL271" s="232">
        <f>AL138</f>
        <v>2026</v>
      </c>
      <c r="AM271" s="232" t="str">
        <f>AM138</f>
        <v>1Q27</v>
      </c>
      <c r="AN271" s="232" t="str">
        <f>AN138</f>
        <v>2Q27</v>
      </c>
      <c r="AO271" s="232" t="str">
        <f>AO138</f>
        <v>3Q27</v>
      </c>
      <c r="AP271" s="232" t="str">
        <f>AP138</f>
        <v>4Q27</v>
      </c>
      <c r="AQ271" s="232">
        <f>AQ138</f>
        <v>2027</v>
      </c>
      <c r="AR271" s="232" t="str">
        <f>AR138</f>
        <v>1Q28</v>
      </c>
      <c r="AS271" s="232" t="str">
        <f>AS138</f>
        <v>2Q28</v>
      </c>
      <c r="AT271" s="232" t="str">
        <f>AT138</f>
        <v>3Q28</v>
      </c>
      <c r="AU271" s="232" t="str">
        <f>AU138</f>
        <v>4Q28</v>
      </c>
      <c r="AV271" s="232">
        <f>AV138</f>
        <v>2028</v>
      </c>
      <c r="AW271" s="232" t="str">
        <f>AW138</f>
        <v>1Q29</v>
      </c>
      <c r="AX271" s="232" t="str">
        <f>AX138</f>
        <v>2Q29</v>
      </c>
      <c r="AY271" s="232" t="str">
        <f>AY138</f>
        <v>3Q29</v>
      </c>
      <c r="AZ271" s="232" t="str">
        <f>AZ138</f>
        <v>4Q29</v>
      </c>
      <c r="BA271" s="232">
        <f>BA138</f>
        <v>2029</v>
      </c>
      <c r="BB271" s="232" t="str">
        <f>BB138</f>
        <v>1Q30</v>
      </c>
      <c r="BC271" s="232" t="str">
        <f>BC138</f>
        <v>2Q30</v>
      </c>
      <c r="BD271" s="232" t="str">
        <f>BD138</f>
        <v>3Q30</v>
      </c>
      <c r="BE271" s="232" t="str">
        <f>BE138</f>
        <v>4Q30</v>
      </c>
      <c r="BF271" s="232">
        <f>BF138</f>
        <v>2030</v>
      </c>
      <c r="BG271" s="232" t="str">
        <f>BG138</f>
        <v>1Q31</v>
      </c>
      <c r="BH271" s="232" t="str">
        <f>BH138</f>
        <v>2Q31</v>
      </c>
      <c r="BI271" s="232" t="str">
        <f>BI138</f>
        <v>3Q31</v>
      </c>
      <c r="BJ271" s="232" t="str">
        <f>BJ138</f>
        <v>4Q31</v>
      </c>
      <c r="BK271" s="232">
        <f>BK138</f>
        <v>2031</v>
      </c>
      <c r="BL271" s="232" t="str">
        <f>BL138</f>
        <v>1Q32</v>
      </c>
      <c r="BM271" s="232" t="str">
        <f>BM138</f>
        <v>2Q32</v>
      </c>
      <c r="BN271" s="232" t="str">
        <f>BN138</f>
        <v>3Q32</v>
      </c>
      <c r="BO271" s="232" t="str">
        <f>BO138</f>
        <v>4Q32</v>
      </c>
      <c r="BP271" s="232">
        <f>BP138</f>
        <v>2032</v>
      </c>
      <c r="BQ271" s="232" t="str">
        <f>BQ138</f>
        <v>1Q33</v>
      </c>
      <c r="BR271" s="232" t="str">
        <f>BR138</f>
        <v>2Q33</v>
      </c>
      <c r="BS271" s="232" t="str">
        <f>BS138</f>
        <v>3Q33</v>
      </c>
      <c r="BT271" s="232" t="str">
        <f>BT138</f>
        <v>4Q33</v>
      </c>
      <c r="BU271" s="232">
        <f>BU138</f>
        <v>2033</v>
      </c>
      <c r="BV271" s="232" t="str">
        <f>BV138</f>
        <v>1Q34</v>
      </c>
      <c r="BW271" s="232" t="str">
        <f>BW138</f>
        <v>2Q34</v>
      </c>
      <c r="BX271" s="232" t="str">
        <f>BX138</f>
        <v>3Q34</v>
      </c>
      <c r="BY271" s="232" t="str">
        <f>BY138</f>
        <v>4Q34</v>
      </c>
      <c r="BZ271" s="232">
        <f>BZ138</f>
        <v>2034</v>
      </c>
      <c r="CA271" s="232" t="str">
        <f>CA138</f>
        <v>1Q35</v>
      </c>
      <c r="CB271" s="232" t="str">
        <f>CB138</f>
        <v>2Q35</v>
      </c>
      <c r="CC271" s="232" t="str">
        <f>CC138</f>
        <v>3Q35</v>
      </c>
      <c r="CD271" s="232" t="str">
        <f>CD138</f>
        <v>4Q35</v>
      </c>
      <c r="CE271" s="232">
        <f>CE138</f>
        <v>2035</v>
      </c>
      <c r="CF271" s="232" t="str">
        <f>CF138</f>
        <v>1Q36</v>
      </c>
      <c r="CG271" s="232" t="str">
        <f>CG138</f>
        <v>2Q36</v>
      </c>
      <c r="CH271" s="232" t="str">
        <f>CH138</f>
        <v>3Q36</v>
      </c>
      <c r="CI271" s="232" t="str">
        <f>CI138</f>
        <v>4Q36</v>
      </c>
      <c r="CJ271" s="232">
        <f>CJ138</f>
        <v>2036</v>
      </c>
      <c r="CK271" s="232" t="str">
        <f>CK138</f>
        <v>1Q37</v>
      </c>
      <c r="CL271" s="232" t="str">
        <f>CL138</f>
        <v>2Q37</v>
      </c>
      <c r="CM271" s="232" t="str">
        <f>CM138</f>
        <v>3Q37</v>
      </c>
      <c r="CN271" s="232" t="str">
        <f>CN138</f>
        <v>4Q37</v>
      </c>
      <c r="CO271" s="232">
        <f>CO138</f>
        <v>2037</v>
      </c>
      <c r="CP271" s="232" t="str">
        <f>CP138</f>
        <v>1Q38</v>
      </c>
      <c r="CQ271" s="232" t="str">
        <f>CQ138</f>
        <v>2Q38</v>
      </c>
      <c r="CR271" s="232" t="str">
        <f>CR138</f>
        <v>3Q38</v>
      </c>
      <c r="CS271" s="232" t="str">
        <f>CS138</f>
        <v>4Q38</v>
      </c>
      <c r="CT271" s="232">
        <f>CT138</f>
        <v>2038</v>
      </c>
      <c r="CU271" s="232" t="str">
        <f>CU138</f>
        <v>1Q39</v>
      </c>
      <c r="CV271" s="232" t="str">
        <f>CV138</f>
        <v>2Q39</v>
      </c>
      <c r="CW271" s="232" t="str">
        <f>CW138</f>
        <v>3Q39</v>
      </c>
      <c r="CX271" s="232" t="str">
        <f>CX138</f>
        <v>4Q39</v>
      </c>
      <c r="CY271" s="232">
        <f>CY138</f>
        <v>2039</v>
      </c>
    </row>
    <row r="272">
      <c r="C272" s="5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  <c r="BC272" s="1" t="n"/>
      <c r="BD272" s="1" t="n"/>
      <c r="BE272" s="1" t="n"/>
      <c r="BF272" s="1" t="n"/>
      <c r="BG272" s="1" t="n"/>
      <c r="BH272" s="1" t="n"/>
      <c r="BI272" s="1" t="n"/>
      <c r="BJ272" s="1" t="n"/>
      <c r="BK272" s="1" t="n"/>
      <c r="BL272" s="1" t="n"/>
      <c r="BM272" s="1" t="n"/>
      <c r="BN272" s="1" t="n"/>
      <c r="BO272" s="1" t="n"/>
      <c r="BP272" s="1" t="n"/>
      <c r="BQ272" s="1" t="n"/>
      <c r="BR272" s="1" t="n"/>
      <c r="BS272" s="1" t="n"/>
      <c r="BT272" s="1" t="n"/>
      <c r="BU272" s="1" t="n"/>
      <c r="BV272" s="1" t="n"/>
      <c r="BW272" s="1" t="n"/>
      <c r="BX272" s="1" t="n"/>
      <c r="BY272" s="1" t="n"/>
      <c r="BZ272" s="1" t="n"/>
      <c r="CA272" s="1" t="n"/>
      <c r="CB272" s="1" t="n"/>
      <c r="CC272" s="1" t="n"/>
      <c r="CD272" s="1" t="n"/>
      <c r="CE272" s="1" t="n"/>
      <c r="CF272" s="1" t="n"/>
      <c r="CG272" s="1" t="n"/>
      <c r="CH272" s="1" t="n"/>
      <c r="CI272" s="1" t="n"/>
      <c r="CJ272" s="1" t="n"/>
      <c r="CK272" s="1" t="n"/>
      <c r="CL272" s="1" t="n"/>
      <c r="CM272" s="1" t="n"/>
      <c r="CN272" s="1" t="n"/>
      <c r="CO272" s="1" t="n"/>
      <c r="CP272" s="1" t="n"/>
      <c r="CQ272" s="1" t="n"/>
      <c r="CR272" s="1" t="n"/>
      <c r="CS272" s="1" t="n"/>
      <c r="CT272" s="1" t="n"/>
      <c r="CU272" s="1" t="n"/>
      <c r="CV272" s="1" t="n"/>
      <c r="CW272" s="1" t="n"/>
      <c r="CX272" s="1" t="n"/>
      <c r="CY272" s="1" t="n"/>
    </row>
    <row r="273">
      <c r="C273" s="29" t="inlineStr">
        <is>
          <t>Net Income</t>
        </is>
      </c>
      <c r="D273" s="3" t="n"/>
      <c r="E273" s="3">
        <f>E133</f>
        <v>6959</v>
      </c>
      <c r="F273" s="3">
        <f>F133</f>
        <v>11247</v>
      </c>
      <c r="G273" s="3">
        <f>G133</f>
        <v>15227</v>
      </c>
      <c r="H273" s="3">
        <f>SUM(D273:G273)</f>
        <v>33433</v>
      </c>
      <c r="I273" s="3">
        <f>I133</f>
        <v>17930</v>
      </c>
      <c r="J273" s="3">
        <f>J133</f>
        <v>18525</v>
      </c>
      <c r="K273" s="3">
        <f>K133</f>
        <v>18936</v>
      </c>
      <c r="L273" s="3">
        <f>L133</f>
        <v>20642</v>
      </c>
      <c r="M273" s="3">
        <f>SUM(I273:L273)</f>
        <v>76033</v>
      </c>
      <c r="N273" s="3">
        <f>N133</f>
        <v>16436</v>
      </c>
      <c r="O273" s="3">
        <f>O133</f>
        <v>16002</v>
      </c>
      <c r="P273" s="3">
        <f>P133</f>
        <v>13910</v>
      </c>
      <c r="Q273" s="3">
        <f>Q133</f>
        <v>13624</v>
      </c>
      <c r="R273" s="3">
        <f>SUM(N273:Q273)</f>
        <v>59972</v>
      </c>
      <c r="S273" s="3">
        <f>S133</f>
        <v>15051</v>
      </c>
      <c r="T273" s="3">
        <f>T133</f>
        <v>18368</v>
      </c>
      <c r="U273" s="3">
        <f>U133</f>
        <v>19689</v>
      </c>
      <c r="V273" s="3">
        <f>V133</f>
        <v>20687</v>
      </c>
      <c r="W273" s="3">
        <f>SUM(S273:V273)</f>
        <v>73795</v>
      </c>
      <c r="X273" s="3">
        <f>X133</f>
        <v>23662</v>
      </c>
      <c r="Y273" s="3">
        <f>Y133</f>
        <v>23619</v>
      </c>
      <c r="Z273" s="3">
        <f>Z133</f>
        <v>26301</v>
      </c>
      <c r="AA273" s="3">
        <f>AA133</f>
        <v>26536</v>
      </c>
      <c r="AB273" s="3">
        <f>SUM(X273:AA273)</f>
        <v>100118</v>
      </c>
      <c r="AC273" s="3">
        <f>AC133</f>
        <v>34540</v>
      </c>
      <c r="AD273" s="3">
        <f>AD133</f>
        <v>28196</v>
      </c>
      <c r="AE273" s="3">
        <f>AE133</f>
        <v>34979</v>
      </c>
      <c r="AF273" s="3">
        <f>AF133</f>
        <v>34455</v>
      </c>
      <c r="AG273" s="3">
        <f>SUM(AC273:AF273)</f>
        <v>132170</v>
      </c>
      <c r="AH273" s="3">
        <f>AH133</f>
        <v>62578</v>
      </c>
      <c r="AI273" s="3">
        <f>AI133</f>
        <v>112193</v>
      </c>
      <c r="AJ273" s="3">
        <f>AJ133</f>
        <v>38249</v>
      </c>
      <c r="AK273" s="3">
        <f>AK133</f>
        <v>99261</v>
      </c>
      <c r="AL273" s="3">
        <f>SUM(AH273:AK273)</f>
        <v>312281</v>
      </c>
      <c r="AM273" s="3">
        <f>AM133</f>
        <v>99261</v>
      </c>
      <c r="AN273" s="3">
        <f>AN133</f>
        <v>275020</v>
      </c>
      <c r="AO273" s="3">
        <f>AO133</f>
        <v>99261</v>
      </c>
      <c r="AP273" s="3">
        <f>AP133</f>
        <v>275020</v>
      </c>
      <c r="AQ273" s="3">
        <f>SUM(AM273:AP273)</f>
        <v>748562</v>
      </c>
      <c r="AR273" s="3">
        <f>AR133</f>
        <v>275020</v>
      </c>
      <c r="AS273" s="3">
        <f>AS133</f>
        <v>748562</v>
      </c>
      <c r="AT273" s="3">
        <f>AT133</f>
        <v>275020</v>
      </c>
      <c r="AU273" s="3">
        <f>AU133</f>
        <v>748562</v>
      </c>
      <c r="AV273" s="3">
        <f>SUM(AR273:AU273)</f>
        <v>2047164</v>
      </c>
      <c r="AW273" s="3">
        <f>AW133</f>
        <v>748562</v>
      </c>
      <c r="AX273" s="3">
        <f>AX133</f>
        <v>2047164</v>
      </c>
      <c r="AY273" s="3">
        <f>AY133</f>
        <v>748562</v>
      </c>
      <c r="AZ273" s="3">
        <f>AZ133</f>
        <v>2047164</v>
      </c>
      <c r="BA273" s="3">
        <f>SUM(AW273:AZ273)</f>
        <v>5591452</v>
      </c>
      <c r="BB273" s="3">
        <f>BB133</f>
        <v>2047164</v>
      </c>
      <c r="BC273" s="3">
        <f>BC133</f>
        <v>5591452</v>
      </c>
      <c r="BD273" s="3">
        <f>BD133</f>
        <v>2047164</v>
      </c>
      <c r="BE273" s="3">
        <f>BE133</f>
        <v>5591452</v>
      </c>
      <c r="BF273" s="3">
        <f>SUM(BB273:BE273)</f>
        <v>15277232</v>
      </c>
      <c r="BG273" s="3">
        <f>BG133</f>
        <v>5591452</v>
      </c>
      <c r="BH273" s="3">
        <f>BH133</f>
        <v>15277232</v>
      </c>
      <c r="BI273" s="3">
        <f>BI133</f>
        <v>5591452</v>
      </c>
      <c r="BJ273" s="3">
        <f>BJ133</f>
        <v>15277232</v>
      </c>
      <c r="BK273" s="3">
        <f>SUM(BG273:BJ273)</f>
        <v>41737368</v>
      </c>
      <c r="BL273" s="3">
        <f>BL133</f>
        <v>15277232</v>
      </c>
      <c r="BM273" s="3">
        <f>BM133</f>
        <v>41737368</v>
      </c>
      <c r="BN273" s="3">
        <f>BN133</f>
        <v>15277232</v>
      </c>
      <c r="BO273" s="3">
        <f>BO133</f>
        <v>41737368</v>
      </c>
      <c r="BP273" s="3">
        <f>SUM(BL273:BO273)</f>
        <v>114029200</v>
      </c>
      <c r="BQ273" s="3">
        <f>BQ133</f>
        <v>41737368</v>
      </c>
      <c r="BR273" s="3">
        <f>BR133</f>
        <v>114029200</v>
      </c>
      <c r="BS273" s="3">
        <f>BS133</f>
        <v>41737368</v>
      </c>
      <c r="BT273" s="3">
        <f>BT133</f>
        <v>114029200</v>
      </c>
      <c r="BU273" s="3">
        <f>SUM(BQ273:BT273)</f>
        <v>311533136</v>
      </c>
      <c r="BV273" s="3">
        <f>BV133</f>
        <v>114029200</v>
      </c>
      <c r="BW273" s="3">
        <f>BW133</f>
        <v>311533136</v>
      </c>
      <c r="BX273" s="3">
        <f>BX133</f>
        <v>114029200</v>
      </c>
      <c r="BY273" s="3">
        <f>BY133</f>
        <v>311533136</v>
      </c>
      <c r="BZ273" s="3">
        <f>SUM(BV273:BY273)</f>
        <v>851124672</v>
      </c>
      <c r="CA273" s="3">
        <f>CA133</f>
        <v>311533136</v>
      </c>
      <c r="CB273" s="3">
        <f>CB133</f>
        <v>851124672</v>
      </c>
      <c r="CC273" s="3">
        <f>CC133</f>
        <v>311533136</v>
      </c>
      <c r="CD273" s="3">
        <f>CD133</f>
        <v>851124672</v>
      </c>
      <c r="CE273" s="3">
        <f>SUM(CA273:CD273)</f>
        <v>2325315616</v>
      </c>
      <c r="CF273" s="3">
        <f>CF133</f>
        <v>851124672</v>
      </c>
      <c r="CG273" s="3">
        <f>CG133</f>
        <v>2325315616</v>
      </c>
      <c r="CH273" s="3">
        <f>CH133</f>
        <v>851124672</v>
      </c>
      <c r="CI273" s="3">
        <f>CI133</f>
        <v>2325315616</v>
      </c>
      <c r="CJ273" s="3">
        <f>SUM(CF273:CI273)</f>
        <v>6352880576</v>
      </c>
      <c r="CK273" s="3">
        <f>CK133</f>
        <v>2325315616</v>
      </c>
      <c r="CL273" s="3">
        <f>CL133</f>
        <v>6352880576</v>
      </c>
      <c r="CM273" s="3">
        <f>CM133</f>
        <v>2325315616</v>
      </c>
      <c r="CN273" s="3">
        <f>CN133</f>
        <v>6352880576</v>
      </c>
      <c r="CO273" s="3">
        <f>SUM(CK273:CN273)</f>
        <v>17356392384</v>
      </c>
      <c r="CP273" s="3">
        <f>CP133</f>
        <v>6352880576</v>
      </c>
      <c r="CQ273" s="3">
        <f>CQ133</f>
        <v>17356392384</v>
      </c>
      <c r="CR273" s="3">
        <f>CR133</f>
        <v>6352880576</v>
      </c>
      <c r="CS273" s="3">
        <f>CS133</f>
        <v>17356392384</v>
      </c>
      <c r="CT273" s="3">
        <f>SUM(CP273:CS273)</f>
        <v>47418545920</v>
      </c>
      <c r="CU273" s="3">
        <f>CU133</f>
        <v>17356392384</v>
      </c>
      <c r="CV273" s="3">
        <f>CV133</f>
        <v>47418545920</v>
      </c>
      <c r="CW273" s="3">
        <f>CW133</f>
        <v>17356392384</v>
      </c>
      <c r="CX273" s="3">
        <f>CX133</f>
        <v>47418545920</v>
      </c>
      <c r="CY273" s="3">
        <f>SUM(CU273:CX273)</f>
        <v>129549876608</v>
      </c>
    </row>
    <row r="274">
      <c r="C274" s="29" t="inlineStr">
        <is>
          <t>Depreciation &amp; amortization</t>
        </is>
      </c>
      <c r="D274" s="3" t="n"/>
      <c r="E274" s="3">
        <f>-E66</f>
        <v>3386</v>
      </c>
      <c r="F274" s="3">
        <f>-F66</f>
        <v>3478</v>
      </c>
      <c r="G274" s="3">
        <f>-G66</f>
        <v>3539</v>
      </c>
      <c r="H274" s="3">
        <f>SUM(D274:G274)</f>
        <v>10403</v>
      </c>
      <c r="I274" s="3">
        <f>-I66</f>
        <v>2525</v>
      </c>
      <c r="J274" s="3">
        <f>-J66</f>
        <v>2730</v>
      </c>
      <c r="K274" s="3">
        <f>-K66</f>
        <v>3085</v>
      </c>
      <c r="L274" s="3">
        <f>-L66</f>
        <v>3215</v>
      </c>
      <c r="M274" s="3">
        <f>SUM(I274:L274)</f>
        <v>11555</v>
      </c>
      <c r="N274" s="3">
        <f>-N66</f>
        <v>3591</v>
      </c>
      <c r="O274" s="3">
        <f>-O66</f>
        <v>3698</v>
      </c>
      <c r="P274" s="3">
        <f>-P66</f>
        <v>3933</v>
      </c>
      <c r="Q274" s="3">
        <f>-Q66</f>
        <v>4065</v>
      </c>
      <c r="R274" s="3">
        <f>SUM(N274:Q274)</f>
        <v>15287</v>
      </c>
      <c r="S274" s="3">
        <f>-S66</f>
        <v>3060</v>
      </c>
      <c r="T274" s="3">
        <f>-T66</f>
        <v>3279</v>
      </c>
      <c r="U274" s="3">
        <f>-U66</f>
        <v>3671</v>
      </c>
      <c r="V274" s="3">
        <f>-V66</f>
        <v>3316</v>
      </c>
      <c r="W274" s="3">
        <f>SUM(S274:V274)</f>
        <v>13326</v>
      </c>
      <c r="X274" s="3">
        <f>-X66</f>
        <v>3413</v>
      </c>
      <c r="Y274" s="3">
        <f>-Y66</f>
        <v>3708</v>
      </c>
      <c r="Z274" s="3">
        <f>-Z66</f>
        <v>3985</v>
      </c>
      <c r="AA274" s="3">
        <f>-AA66</f>
        <v>4205</v>
      </c>
      <c r="AB274" s="3">
        <f>SUM(X274:AA274)</f>
        <v>15311</v>
      </c>
      <c r="AC274" s="3">
        <f>-AC66</f>
        <v>4487</v>
      </c>
      <c r="AD274" s="3">
        <f>-AD66</f>
        <v>4998</v>
      </c>
      <c r="AE274" s="3">
        <f>-AE66</f>
        <v>5611</v>
      </c>
      <c r="AF274" s="3">
        <f>-AF66</f>
        <v>6040</v>
      </c>
      <c r="AG274" s="3">
        <f>SUM(AC274:AF274)</f>
        <v>21136</v>
      </c>
      <c r="AH274" s="3">
        <f>-AH66</f>
        <v>6482</v>
      </c>
      <c r="AI274" s="3">
        <f>-AI66</f>
        <v>7104</v>
      </c>
      <c r="AJ274" s="3">
        <f>-AJ66</f>
        <v>0</v>
      </c>
      <c r="AK274" s="3">
        <f>-AK66</f>
        <v>0</v>
      </c>
      <c r="AL274" s="3">
        <f>SUM(AH274:AK274)</f>
        <v>13586</v>
      </c>
      <c r="AM274" s="3">
        <f>-AM66</f>
        <v>0</v>
      </c>
      <c r="AN274" s="3">
        <f>-AN66</f>
        <v>0</v>
      </c>
      <c r="AO274" s="3">
        <f>-AO66</f>
        <v>0</v>
      </c>
      <c r="AP274" s="3">
        <f>-AP66</f>
        <v>0</v>
      </c>
      <c r="AQ274" s="3">
        <f>SUM(AM274:AP274)</f>
        <v>0</v>
      </c>
      <c r="AR274" s="3">
        <f>-AR66</f>
        <v>0</v>
      </c>
      <c r="AS274" s="3">
        <f>-AS66</f>
        <v>0</v>
      </c>
      <c r="AT274" s="3">
        <f>-AT66</f>
        <v>0</v>
      </c>
      <c r="AU274" s="3">
        <f>-AU66</f>
        <v>0</v>
      </c>
      <c r="AV274" s="3">
        <f>SUM(AR274:AU274)</f>
        <v>0</v>
      </c>
      <c r="AW274" s="3">
        <f>-AW66</f>
        <v>0</v>
      </c>
      <c r="AX274" s="3">
        <f>-AX66</f>
        <v>0</v>
      </c>
      <c r="AY274" s="3">
        <f>-AY66</f>
        <v>0</v>
      </c>
      <c r="AZ274" s="3">
        <f>-AZ66</f>
        <v>0</v>
      </c>
      <c r="BA274" s="3">
        <f>SUM(AW274:AZ274)</f>
        <v>0</v>
      </c>
      <c r="BB274" s="3">
        <f>-BB66</f>
        <v>0</v>
      </c>
      <c r="BC274" s="3">
        <f>-BC66</f>
        <v>0</v>
      </c>
      <c r="BD274" s="3">
        <f>-BD66</f>
        <v>0</v>
      </c>
      <c r="BE274" s="3">
        <f>-BE66</f>
        <v>0</v>
      </c>
      <c r="BF274" s="3">
        <f>SUM(BB274:BE274)</f>
        <v>0</v>
      </c>
      <c r="BG274" s="3">
        <f>-BG66</f>
        <v>0</v>
      </c>
      <c r="BH274" s="3">
        <f>-BH66</f>
        <v>0</v>
      </c>
      <c r="BI274" s="3">
        <f>-BI66</f>
        <v>0</v>
      </c>
      <c r="BJ274" s="3">
        <f>-BJ66</f>
        <v>0</v>
      </c>
      <c r="BK274" s="3">
        <f>SUM(BG274:BJ274)</f>
        <v>0</v>
      </c>
      <c r="BL274" s="3">
        <f>-BL66</f>
        <v>0</v>
      </c>
      <c r="BM274" s="3">
        <f>-BM66</f>
        <v>0</v>
      </c>
      <c r="BN274" s="3">
        <f>-BN66</f>
        <v>0</v>
      </c>
      <c r="BO274" s="3">
        <f>-BO66</f>
        <v>0</v>
      </c>
      <c r="BP274" s="3">
        <f>SUM(BL274:BO274)</f>
        <v>0</v>
      </c>
      <c r="BQ274" s="3">
        <f>-BQ66</f>
        <v>0</v>
      </c>
      <c r="BR274" s="3">
        <f>-BR66</f>
        <v>0</v>
      </c>
      <c r="BS274" s="3">
        <f>-BS66</f>
        <v>0</v>
      </c>
      <c r="BT274" s="3">
        <f>-BT66</f>
        <v>0</v>
      </c>
      <c r="BU274" s="3">
        <f>SUM(BQ274:BT274)</f>
        <v>0</v>
      </c>
      <c r="BV274" s="3">
        <f>-BV66</f>
        <v>0</v>
      </c>
      <c r="BW274" s="3">
        <f>-BW66</f>
        <v>0</v>
      </c>
      <c r="BX274" s="3">
        <f>-BX66</f>
        <v>0</v>
      </c>
      <c r="BY274" s="3">
        <f>-BY66</f>
        <v>0</v>
      </c>
      <c r="BZ274" s="3">
        <f>SUM(BV274:BY274)</f>
        <v>0</v>
      </c>
      <c r="CA274" s="3">
        <f>-CA66</f>
        <v>0</v>
      </c>
      <c r="CB274" s="3">
        <f>-CB66</f>
        <v>0</v>
      </c>
      <c r="CC274" s="3">
        <f>-CC66</f>
        <v>0</v>
      </c>
      <c r="CD274" s="3">
        <f>-CD66</f>
        <v>0</v>
      </c>
      <c r="CE274" s="3">
        <f>SUM(CA274:CD274)</f>
        <v>0</v>
      </c>
      <c r="CF274" s="3">
        <f>-CF66</f>
        <v>0</v>
      </c>
      <c r="CG274" s="3">
        <f>-CG66</f>
        <v>0</v>
      </c>
      <c r="CH274" s="3">
        <f>-CH66</f>
        <v>0</v>
      </c>
      <c r="CI274" s="3">
        <f>-CI66</f>
        <v>0</v>
      </c>
      <c r="CJ274" s="3">
        <f>SUM(CF274:CI274)</f>
        <v>0</v>
      </c>
      <c r="CK274" s="3">
        <f>-CK66</f>
        <v>0</v>
      </c>
      <c r="CL274" s="3">
        <f>-CL66</f>
        <v>0</v>
      </c>
      <c r="CM274" s="3">
        <f>-CM66</f>
        <v>0</v>
      </c>
      <c r="CN274" s="3">
        <f>-CN66</f>
        <v>0</v>
      </c>
      <c r="CO274" s="3">
        <f>SUM(CK274:CN274)</f>
        <v>0</v>
      </c>
      <c r="CP274" s="3">
        <f>-CP66</f>
        <v>0</v>
      </c>
      <c r="CQ274" s="3">
        <f>-CQ66</f>
        <v>0</v>
      </c>
      <c r="CR274" s="3">
        <f>-CR66</f>
        <v>0</v>
      </c>
      <c r="CS274" s="3">
        <f>-CS66</f>
        <v>0</v>
      </c>
      <c r="CT274" s="3">
        <f>SUM(CP274:CS274)</f>
        <v>0</v>
      </c>
      <c r="CU274" s="3">
        <f>-CU66</f>
        <v>0</v>
      </c>
      <c r="CV274" s="3">
        <f>-CV66</f>
        <v>0</v>
      </c>
      <c r="CW274" s="3">
        <f>-CW66</f>
        <v>0</v>
      </c>
      <c r="CX274" s="3">
        <f>-CX66</f>
        <v>0</v>
      </c>
      <c r="CY274" s="3">
        <f>SUM(CU274:CX274)</f>
        <v>0</v>
      </c>
    </row>
    <row r="275">
      <c r="C275" s="29" t="inlineStr">
        <is>
          <t xml:space="preserve">Changes in working capital </t>
        </is>
      </c>
      <c r="D275" s="3" t="n"/>
      <c r="E275" s="3">
        <f>SUM(E276:E285)</f>
        <v>4822</v>
      </c>
      <c r="F275" s="3">
        <f>SUM(F276:F285)</f>
        <v>857</v>
      </c>
      <c r="G275" s="3">
        <f>SUM(G276:G285)</f>
        <v>4281</v>
      </c>
      <c r="H275" s="3">
        <f>SUM(D275:G275)</f>
        <v>9960</v>
      </c>
      <c r="I275" s="3">
        <f>SUM(I276:I285)</f>
        <v>-12</v>
      </c>
      <c r="J275" s="3">
        <f>SUM(J276:J285)</f>
        <v>-2240</v>
      </c>
      <c r="K275" s="3">
        <f>SUM(K276:K285)</f>
        <v>2574</v>
      </c>
      <c r="L275" s="3">
        <f>SUM(L276:L285)</f>
        <v>-2298</v>
      </c>
      <c r="M275" s="3">
        <f>SUM(I275:L275)</f>
        <v>-1976</v>
      </c>
      <c r="N275" s="3">
        <f>SUM(N276:N285)</f>
        <v>-213</v>
      </c>
      <c r="O275" s="3">
        <f>SUM(O276:O285)</f>
        <v>-6106</v>
      </c>
      <c r="P275" s="3">
        <f>SUM(P276:P285)</f>
        <v>200</v>
      </c>
      <c r="Q275" s="3">
        <f>SUM(Q276:Q285)</f>
        <v>-94</v>
      </c>
      <c r="R275" s="3">
        <f>SUM(N275:Q275)</f>
        <v>-6213</v>
      </c>
      <c r="S275" s="3">
        <f>SUM(S276:S285)</f>
        <v>2108</v>
      </c>
      <c r="T275" s="3">
        <f>SUM(T276:T285)</f>
        <v>2826</v>
      </c>
      <c r="U275" s="3">
        <f>SUM(U276:U285)</f>
        <v>1011</v>
      </c>
      <c r="V275" s="3">
        <f>SUM(V276:V285)</f>
        <v>-9949</v>
      </c>
      <c r="W275" s="3">
        <f>SUM(S275:V275)</f>
        <v>-4004</v>
      </c>
      <c r="X275" s="3">
        <f>SUM(X276:X285)</f>
        <v>-1101</v>
      </c>
      <c r="Y275" s="3">
        <f>SUM(Y276:Y285)</f>
        <v>-6013</v>
      </c>
      <c r="Z275" s="3">
        <f>SUM(Z276:Z285)</f>
        <v>-1119</v>
      </c>
      <c r="AA275" s="3">
        <f>SUM(AA276:AA285)</f>
        <v>2605</v>
      </c>
      <c r="AB275" s="3">
        <f>SUM(X275:AA275)</f>
        <v>-5628</v>
      </c>
      <c r="AC275" s="3">
        <f>SUM(AC276:AC285)</f>
        <v>2656</v>
      </c>
      <c r="AD275" s="3">
        <f>SUM(AD276:AD285)</f>
        <v>-9591</v>
      </c>
      <c r="AE275" s="3">
        <f>SUM(AE276:AE285)</f>
        <v>16815</v>
      </c>
      <c r="AF275" s="3">
        <f>SUM(AF276:AF285)</f>
        <v>669</v>
      </c>
      <c r="AG275" s="3">
        <f>SUM(AC275:AF275)</f>
        <v>10549</v>
      </c>
      <c r="AH275" s="3">
        <f>SUM(AH276:AH285)</f>
        <v>7843</v>
      </c>
      <c r="AI275" s="3">
        <f>SUM(AI276:AI285)</f>
        <v>24152</v>
      </c>
      <c r="AJ275" s="3">
        <f>SUM(AJ276:AJ285)</f>
        <v>-39791</v>
      </c>
      <c r="AK275" s="3">
        <f>SUM(AK276:AK285)</f>
        <v>0</v>
      </c>
      <c r="AL275" s="3">
        <f>SUM(AH275:AK275)</f>
        <v>-7796</v>
      </c>
      <c r="AM275" s="3" t="e">
        <f>SUM(AM276:AM285)</f>
        <v>#DIV/0!</v>
      </c>
      <c r="AN275" s="3" t="e">
        <f>SUM(AN276:AN285)</f>
        <v>#DIV/0!</v>
      </c>
      <c r="AO275" s="3" t="e">
        <f>SUM(AO276:AO285)</f>
        <v>#DIV/0!</v>
      </c>
      <c r="AP275" s="3" t="e">
        <f>SUM(AP276:AP285)</f>
        <v>#DIV/0!</v>
      </c>
      <c r="AQ275" s="3" t="e">
        <f>SUM(AM275:AP275)</f>
        <v>#DIV/0!</v>
      </c>
      <c r="AR275" s="3" t="e">
        <f>SUM(AR276:AR285)</f>
        <v>#DIV/0!</v>
      </c>
      <c r="AS275" s="3" t="e">
        <f>SUM(AS276:AS285)</f>
        <v>#DIV/0!</v>
      </c>
      <c r="AT275" s="3" t="e">
        <f>SUM(AT276:AT285)</f>
        <v>#DIV/0!</v>
      </c>
      <c r="AU275" s="3" t="e">
        <f>SUM(AU276:AU285)</f>
        <v>#DIV/0!</v>
      </c>
      <c r="AV275" s="3" t="e">
        <f>SUM(AR275:AU275)</f>
        <v>#DIV/0!</v>
      </c>
      <c r="AW275" s="3" t="e">
        <f>SUM(AW276:AW285)</f>
        <v>#DIV/0!</v>
      </c>
      <c r="AX275" s="3" t="e">
        <f>SUM(AX276:AX285)</f>
        <v>#DIV/0!</v>
      </c>
      <c r="AY275" s="3" t="e">
        <f>SUM(AY276:AY285)</f>
        <v>#DIV/0!</v>
      </c>
      <c r="AZ275" s="3" t="e">
        <f>SUM(AZ276:AZ285)</f>
        <v>#DIV/0!</v>
      </c>
      <c r="BA275" s="3" t="e">
        <f>SUM(AW275:AZ275)</f>
        <v>#DIV/0!</v>
      </c>
      <c r="BB275" s="3" t="e">
        <f>SUM(BB276:BB285)</f>
        <v>#DIV/0!</v>
      </c>
      <c r="BC275" s="3" t="e">
        <f>SUM(BC276:BC285)</f>
        <v>#DIV/0!</v>
      </c>
      <c r="BD275" s="3" t="e">
        <f>SUM(BD276:BD285)</f>
        <v>#DIV/0!</v>
      </c>
      <c r="BE275" s="3" t="e">
        <f>SUM(BE276:BE285)</f>
        <v>#DIV/0!</v>
      </c>
      <c r="BF275" s="3" t="e">
        <f>SUM(BB275:BE275)</f>
        <v>#DIV/0!</v>
      </c>
      <c r="BG275" s="3" t="e">
        <f>SUM(BG276:BG285)</f>
        <v>#DIV/0!</v>
      </c>
      <c r="BH275" s="3" t="e">
        <f>SUM(BH276:BH285)</f>
        <v>#DIV/0!</v>
      </c>
      <c r="BI275" s="3" t="e">
        <f>SUM(BI276:BI285)</f>
        <v>#DIV/0!</v>
      </c>
      <c r="BJ275" s="3" t="e">
        <f>SUM(BJ276:BJ285)</f>
        <v>#DIV/0!</v>
      </c>
      <c r="BK275" s="3" t="e">
        <f>SUM(BG275:BJ275)</f>
        <v>#DIV/0!</v>
      </c>
      <c r="BL275" s="3" t="e">
        <f>SUM(BL276:BL285)</f>
        <v>#DIV/0!</v>
      </c>
      <c r="BM275" s="3" t="e">
        <f>SUM(BM276:BM285)</f>
        <v>#DIV/0!</v>
      </c>
      <c r="BN275" s="3" t="e">
        <f>SUM(BN276:BN285)</f>
        <v>#DIV/0!</v>
      </c>
      <c r="BO275" s="3" t="e">
        <f>SUM(BO276:BO285)</f>
        <v>#DIV/0!</v>
      </c>
      <c r="BP275" s="3" t="e">
        <f>SUM(BL275:BO275)</f>
        <v>#DIV/0!</v>
      </c>
      <c r="BQ275" s="3" t="e">
        <f>SUM(BQ276:BQ285)</f>
        <v>#DIV/0!</v>
      </c>
      <c r="BR275" s="3" t="e">
        <f>SUM(BR276:BR285)</f>
        <v>#DIV/0!</v>
      </c>
      <c r="BS275" s="3" t="e">
        <f>SUM(BS276:BS285)</f>
        <v>#DIV/0!</v>
      </c>
      <c r="BT275" s="3" t="e">
        <f>SUM(BT276:BT285)</f>
        <v>#DIV/0!</v>
      </c>
      <c r="BU275" s="3" t="e">
        <f>SUM(BQ275:BT275)</f>
        <v>#DIV/0!</v>
      </c>
      <c r="BV275" s="3" t="e">
        <f>SUM(BV276:BV285)</f>
        <v>#DIV/0!</v>
      </c>
      <c r="BW275" s="3" t="e">
        <f>SUM(BW276:BW285)</f>
        <v>#DIV/0!</v>
      </c>
      <c r="BX275" s="3" t="e">
        <f>SUM(BX276:BX285)</f>
        <v>#DIV/0!</v>
      </c>
      <c r="BY275" s="3" t="e">
        <f>SUM(BY276:BY285)</f>
        <v>#DIV/0!</v>
      </c>
      <c r="BZ275" s="3" t="e">
        <f>SUM(BV275:BY275)</f>
        <v>#DIV/0!</v>
      </c>
      <c r="CA275" s="3" t="e">
        <f>SUM(CA276:CA285)</f>
        <v>#DIV/0!</v>
      </c>
      <c r="CB275" s="3" t="e">
        <f>SUM(CB276:CB285)</f>
        <v>#DIV/0!</v>
      </c>
      <c r="CC275" s="3" t="e">
        <f>SUM(CC276:CC285)</f>
        <v>#DIV/0!</v>
      </c>
      <c r="CD275" s="3" t="e">
        <f>SUM(CD276:CD285)</f>
        <v>#DIV/0!</v>
      </c>
      <c r="CE275" s="3" t="e">
        <f>SUM(CA275:CD275)</f>
        <v>#DIV/0!</v>
      </c>
      <c r="CF275" s="3" t="e">
        <f>SUM(CF276:CF285)</f>
        <v>#DIV/0!</v>
      </c>
      <c r="CG275" s="3" t="e">
        <f>SUM(CG276:CG285)</f>
        <v>#DIV/0!</v>
      </c>
      <c r="CH275" s="3" t="e">
        <f>SUM(CH276:CH285)</f>
        <v>#DIV/0!</v>
      </c>
      <c r="CI275" s="3" t="e">
        <f>SUM(CI276:CI285)</f>
        <v>#DIV/0!</v>
      </c>
      <c r="CJ275" s="3" t="e">
        <f>SUM(CF275:CI275)</f>
        <v>#DIV/0!</v>
      </c>
      <c r="CK275" s="3" t="e">
        <f>SUM(CK276:CK285)</f>
        <v>#DIV/0!</v>
      </c>
      <c r="CL275" s="3" t="e">
        <f>SUM(CL276:CL285)</f>
        <v>#DIV/0!</v>
      </c>
      <c r="CM275" s="3" t="e">
        <f>SUM(CM276:CM285)</f>
        <v>#DIV/0!</v>
      </c>
      <c r="CN275" s="3" t="e">
        <f>SUM(CN276:CN285)</f>
        <v>#DIV/0!</v>
      </c>
      <c r="CO275" s="3" t="e">
        <f>SUM(CK275:CN275)</f>
        <v>#DIV/0!</v>
      </c>
      <c r="CP275" s="3" t="e">
        <f>SUM(CP276:CP285)</f>
        <v>#DIV/0!</v>
      </c>
      <c r="CQ275" s="3" t="e">
        <f>SUM(CQ276:CQ285)</f>
        <v>#DIV/0!</v>
      </c>
      <c r="CR275" s="3" t="e">
        <f>SUM(CR276:CR285)</f>
        <v>#DIV/0!</v>
      </c>
      <c r="CS275" s="3" t="e">
        <f>SUM(CS276:CS285)</f>
        <v>#DIV/0!</v>
      </c>
      <c r="CT275" s="3" t="e">
        <f>SUM(CP275:CS275)</f>
        <v>#DIV/0!</v>
      </c>
      <c r="CU275" s="3" t="e">
        <f>SUM(CU276:CU285)</f>
        <v>#DIV/0!</v>
      </c>
      <c r="CV275" s="3" t="e">
        <f>SUM(CV276:CV285)</f>
        <v>#DIV/0!</v>
      </c>
      <c r="CW275" s="3" t="e">
        <f>SUM(CW276:CW285)</f>
        <v>#DIV/0!</v>
      </c>
      <c r="CX275" s="3" t="e">
        <f>SUM(CX276:CX285)</f>
        <v>#DIV/0!</v>
      </c>
      <c r="CY275" s="3" t="e">
        <f>SUM(CU275:CX275)</f>
        <v>#DIV/0!</v>
      </c>
    </row>
    <row r="276" hidden="1" outlineLevel="1">
      <c r="C276" s="29" t="inlineStr">
        <is>
          <t>Accounts receivable</t>
        </is>
      </c>
      <c r="D276" s="3" t="n"/>
      <c r="E276" s="3">
        <f>(E141-D141)*-1</f>
        <v>624</v>
      </c>
      <c r="F276" s="3">
        <f>(F141-E141)*-1</f>
        <v>-3724</v>
      </c>
      <c r="G276" s="3">
        <f>(G141-F141)*-1</f>
        <v>-6005</v>
      </c>
      <c r="H276" s="3">
        <f>SUM(D276:G276)</f>
        <v>-9105</v>
      </c>
      <c r="I276" s="3">
        <f>(I141-H141)*-1</f>
        <v>2924</v>
      </c>
      <c r="J276" s="3">
        <f>(J141-I141)*-1</f>
        <v>-3961</v>
      </c>
      <c r="K276" s="3">
        <f>(K141-J141)*-1</f>
        <v>-2080</v>
      </c>
      <c r="L276" s="3">
        <f>(L141-K141)*-1</f>
        <v>-5257</v>
      </c>
      <c r="M276" s="3">
        <f>SUM(I276:L276)</f>
        <v>-8374</v>
      </c>
      <c r="N276" s="3">
        <f>(N141-M141)*-1</f>
        <v>4601</v>
      </c>
      <c r="O276" s="3">
        <f>(O141-N141)*-1</f>
        <v>-1004</v>
      </c>
      <c r="P276" s="3">
        <f>(P141-O141)*-1</f>
        <v>1010</v>
      </c>
      <c r="Q276" s="3">
        <f>(Q141-P141)*-1</f>
        <v>-5561</v>
      </c>
      <c r="R276" s="3">
        <f>SUM(N276:Q276)</f>
        <v>-954</v>
      </c>
      <c r="S276" s="3">
        <f>(S141-R141)*-1</f>
        <v>4222</v>
      </c>
      <c r="T276" s="3">
        <f>(T141-S141)*-1</f>
        <v>-2768</v>
      </c>
      <c r="U276" s="3">
        <f>(U141-T141)*-1</f>
        <v>-2216</v>
      </c>
      <c r="V276" s="3">
        <f>(V141-U141)*-1</f>
        <v>-6944</v>
      </c>
      <c r="W276" s="3">
        <f>SUM(S276:V276)</f>
        <v>-7706</v>
      </c>
      <c r="X276" s="3">
        <f>(X141-W141)*-1</f>
        <v>3412</v>
      </c>
      <c r="Y276" s="3">
        <f>(Y141-X141)*-1</f>
        <v>-2535</v>
      </c>
      <c r="Z276" s="3">
        <f>(Z141-Y141)*-1</f>
        <v>-2017</v>
      </c>
      <c r="AA276" s="3">
        <f>(AA141-Z141)*-1</f>
        <v>-3236</v>
      </c>
      <c r="AB276" s="3">
        <f>SUM(X276:AA276)</f>
        <v>-4376</v>
      </c>
      <c r="AC276" s="3">
        <f>(AC141-AB141)*-1</f>
        <v>1340</v>
      </c>
      <c r="AD276" s="3">
        <f>(AD141-AC141)*-1</f>
        <v>-4048</v>
      </c>
      <c r="AE276" s="3">
        <f>(AE141-AD141)*-1</f>
        <v>-2100</v>
      </c>
      <c r="AF276" s="3">
        <f>(AF141-AE141)*-1</f>
        <v>-5738</v>
      </c>
      <c r="AG276" s="3">
        <f>SUM(AC276:AF276)</f>
        <v>-10546</v>
      </c>
      <c r="AH276" s="3">
        <f>(AH141-AG141)*-1</f>
        <v>-113</v>
      </c>
      <c r="AI276" s="3">
        <f>(AI141-AH141)*-1</f>
        <v>-6176</v>
      </c>
      <c r="AJ276" s="3">
        <f>(AJ141-AI141)*-1</f>
        <v>69175</v>
      </c>
      <c r="AK276" s="3">
        <f>(AK141-AJ141)*-1</f>
        <v>0</v>
      </c>
      <c r="AL276" s="3">
        <f>SUM(AH276:AK276)</f>
        <v>62886</v>
      </c>
      <c r="AM276" s="3">
        <f>(AM141-AL141)*-1</f>
        <v>0</v>
      </c>
      <c r="AN276" s="3">
        <f>(AN141-AM141)*-1</f>
        <v>0</v>
      </c>
      <c r="AO276" s="3">
        <f>(AO141-AN141)*-1</f>
        <v>0</v>
      </c>
      <c r="AP276" s="3">
        <f>(AP141-AO141)*-1</f>
        <v>0</v>
      </c>
      <c r="AQ276" s="3">
        <f>SUM(AM276:AP276)</f>
        <v>0</v>
      </c>
      <c r="AR276" s="3">
        <f>(AR141-AQ141)*-1</f>
        <v>0</v>
      </c>
      <c r="AS276" s="3">
        <f>(AS141-AR141)*-1</f>
        <v>0</v>
      </c>
      <c r="AT276" s="3">
        <f>(AT141-AS141)*-1</f>
        <v>0</v>
      </c>
      <c r="AU276" s="3">
        <f>(AU141-AT141)*-1</f>
        <v>0</v>
      </c>
      <c r="AV276" s="3">
        <f>SUM(AR276:AU276)</f>
        <v>0</v>
      </c>
      <c r="AW276" s="3">
        <f>(AW141-AV141)*-1</f>
        <v>0</v>
      </c>
      <c r="AX276" s="3">
        <f>(AX141-AW141)*-1</f>
        <v>0</v>
      </c>
      <c r="AY276" s="3">
        <f>(AY141-AX141)*-1</f>
        <v>0</v>
      </c>
      <c r="AZ276" s="3">
        <f>(AZ141-AY141)*-1</f>
        <v>0</v>
      </c>
      <c r="BA276" s="3">
        <f>SUM(AW276:AZ276)</f>
        <v>0</v>
      </c>
      <c r="BB276" s="3">
        <f>(BB141-BA141)*-1</f>
        <v>0</v>
      </c>
      <c r="BC276" s="3">
        <f>(BC141-BB141)*-1</f>
        <v>0</v>
      </c>
      <c r="BD276" s="3">
        <f>(BD141-BC141)*-1</f>
        <v>0</v>
      </c>
      <c r="BE276" s="3">
        <f>(BE141-BD141)*-1</f>
        <v>0</v>
      </c>
      <c r="BF276" s="3">
        <f>SUM(BB276:BE276)</f>
        <v>0</v>
      </c>
      <c r="BG276" s="3">
        <f>(BG141-BF141)*-1</f>
        <v>0</v>
      </c>
      <c r="BH276" s="3">
        <f>(BH141-BG141)*-1</f>
        <v>0</v>
      </c>
      <c r="BI276" s="3">
        <f>(BI141-BH141)*-1</f>
        <v>0</v>
      </c>
      <c r="BJ276" s="3">
        <f>(BJ141-BI141)*-1</f>
        <v>0</v>
      </c>
      <c r="BK276" s="3">
        <f>SUM(BG276:BJ276)</f>
        <v>0</v>
      </c>
      <c r="BL276" s="3">
        <f>(BL141-BK141)*-1</f>
        <v>0</v>
      </c>
      <c r="BM276" s="3">
        <f>(BM141-BL141)*-1</f>
        <v>0</v>
      </c>
      <c r="BN276" s="3">
        <f>(BN141-BM141)*-1</f>
        <v>0</v>
      </c>
      <c r="BO276" s="3">
        <f>(BO141-BN141)*-1</f>
        <v>0</v>
      </c>
      <c r="BP276" s="3">
        <f>SUM(BL276:BO276)</f>
        <v>0</v>
      </c>
      <c r="BQ276" s="3">
        <f>(BQ141-BP141)*-1</f>
        <v>0</v>
      </c>
      <c r="BR276" s="3">
        <f>(BR141-BQ141)*-1</f>
        <v>0</v>
      </c>
      <c r="BS276" s="3">
        <f>(BS141-BR141)*-1</f>
        <v>0</v>
      </c>
      <c r="BT276" s="3">
        <f>(BT141-BS141)*-1</f>
        <v>0</v>
      </c>
      <c r="BU276" s="3">
        <f>SUM(BQ276:BT276)</f>
        <v>0</v>
      </c>
      <c r="BV276" s="3">
        <f>(BV141-BU141)*-1</f>
        <v>0</v>
      </c>
      <c r="BW276" s="3">
        <f>(BW141-BV141)*-1</f>
        <v>0</v>
      </c>
      <c r="BX276" s="3">
        <f>(BX141-BW141)*-1</f>
        <v>0</v>
      </c>
      <c r="BY276" s="3">
        <f>(BY141-BX141)*-1</f>
        <v>0</v>
      </c>
      <c r="BZ276" s="3">
        <f>SUM(BV276:BY276)</f>
        <v>0</v>
      </c>
      <c r="CA276" s="3">
        <f>(CA141-BZ141)*-1</f>
        <v>0</v>
      </c>
      <c r="CB276" s="3">
        <f>(CB141-CA141)*-1</f>
        <v>0</v>
      </c>
      <c r="CC276" s="3">
        <f>(CC141-CB141)*-1</f>
        <v>0</v>
      </c>
      <c r="CD276" s="3">
        <f>(CD141-CC141)*-1</f>
        <v>0</v>
      </c>
      <c r="CE276" s="3">
        <f>SUM(CA276:CD276)</f>
        <v>0</v>
      </c>
      <c r="CF276" s="3">
        <f>(CF141-CE141)*-1</f>
        <v>0</v>
      </c>
      <c r="CG276" s="3">
        <f>(CG141-CF141)*-1</f>
        <v>0</v>
      </c>
      <c r="CH276" s="3">
        <f>(CH141-CG141)*-1</f>
        <v>0</v>
      </c>
      <c r="CI276" s="3">
        <f>(CI141-CH141)*-1</f>
        <v>0</v>
      </c>
      <c r="CJ276" s="3">
        <f>SUM(CF276:CI276)</f>
        <v>0</v>
      </c>
      <c r="CK276" s="3">
        <f>(CK141-CJ141)*-1</f>
        <v>0</v>
      </c>
      <c r="CL276" s="3">
        <f>(CL141-CK141)*-1</f>
        <v>0</v>
      </c>
      <c r="CM276" s="3">
        <f>(CM141-CL141)*-1</f>
        <v>0</v>
      </c>
      <c r="CN276" s="3">
        <f>(CN141-CM141)*-1</f>
        <v>0</v>
      </c>
      <c r="CO276" s="3">
        <f>SUM(CK276:CN276)</f>
        <v>0</v>
      </c>
      <c r="CP276" s="3">
        <f>(CP141-CO141)*-1</f>
        <v>0</v>
      </c>
      <c r="CQ276" s="3">
        <f>(CQ141-CP141)*-1</f>
        <v>0</v>
      </c>
      <c r="CR276" s="3">
        <f>(CR141-CQ141)*-1</f>
        <v>0</v>
      </c>
      <c r="CS276" s="3">
        <f>(CS141-CR141)*-1</f>
        <v>0</v>
      </c>
      <c r="CT276" s="3">
        <f>SUM(CP276:CS276)</f>
        <v>0</v>
      </c>
      <c r="CU276" s="3">
        <f>(CU141-CT141)*-1</f>
        <v>0</v>
      </c>
      <c r="CV276" s="3">
        <f>(CV141-CU141)*-1</f>
        <v>0</v>
      </c>
      <c r="CW276" s="3">
        <f>(CW141-CV141)*-1</f>
        <v>0</v>
      </c>
      <c r="CX276" s="3">
        <f>(CX141-CW141)*-1</f>
        <v>0</v>
      </c>
      <c r="CY276" s="3">
        <f>SUM(CU276:CX276)</f>
        <v>0</v>
      </c>
    </row>
    <row r="277" hidden="1" outlineLevel="1">
      <c r="C277" s="29" t="inlineStr">
        <is>
          <t>Inventories</t>
        </is>
      </c>
      <c r="D277" s="3" t="n"/>
      <c r="E277" s="3">
        <f>(E145-D145)*-1</f>
        <v>74</v>
      </c>
      <c r="F277" s="3">
        <f>(F145-E145)*-1</f>
        <v>-20</v>
      </c>
      <c r="G277" s="3">
        <f>(G145-F145)*-1</f>
        <v>107</v>
      </c>
      <c r="H277" s="3">
        <f>SUM(D277:G277)</f>
        <v>161</v>
      </c>
      <c r="I277" s="3">
        <f>(I145-H145)*-1</f>
        <v>-160</v>
      </c>
      <c r="J277" s="3">
        <f>(J145-I145)*-1</f>
        <v>-19</v>
      </c>
      <c r="K277" s="3">
        <f>(K145-J145)*-1</f>
        <v>-371</v>
      </c>
      <c r="L277" s="3">
        <f>(L145-K145)*-1</f>
        <v>108</v>
      </c>
      <c r="M277" s="3">
        <f>SUM(I277:L277)</f>
        <v>-442</v>
      </c>
      <c r="N277" s="3">
        <f>(N145-M145)*-1</f>
        <v>-199</v>
      </c>
      <c r="O277" s="3">
        <f>(O145-N145)*-1</f>
        <v>-611</v>
      </c>
      <c r="P277" s="3">
        <f>(P145-O145)*-1</f>
        <v>-1176</v>
      </c>
      <c r="Q277" s="3">
        <f>(Q145-P145)*-1</f>
        <v>486</v>
      </c>
      <c r="R277" s="3">
        <f>SUM(N277:Q277)</f>
        <v>-1500</v>
      </c>
      <c r="S277" s="3">
        <f>(S145-R145)*-1</f>
        <v>355</v>
      </c>
      <c r="T277" s="3">
        <f>(T145-S145)*-1</f>
        <v>84</v>
      </c>
      <c r="U277" s="3">
        <f>(U145-T145)*-1</f>
        <v>-726</v>
      </c>
      <c r="V277" s="3">
        <f>(V145-U145)*-1</f>
        <v>2957</v>
      </c>
      <c r="W277" s="3">
        <f>SUM(S277:V277)</f>
        <v>2670</v>
      </c>
      <c r="X277" s="3">
        <f>(X145-W145)*-1</f>
        <v>0</v>
      </c>
      <c r="Y277" s="3">
        <f>(Y145-X145)*-1</f>
        <v>0</v>
      </c>
      <c r="Z277" s="3">
        <f>(Z145-Y145)*-1</f>
        <v>0</v>
      </c>
      <c r="AA277" s="3">
        <f>(AA145-Z145)*-1</f>
        <v>0</v>
      </c>
      <c r="AB277" s="3">
        <f>SUM(X277:AA277)</f>
        <v>0</v>
      </c>
      <c r="AC277" s="3">
        <f>(AC145-AB145)*-1</f>
        <v>0</v>
      </c>
      <c r="AD277" s="3">
        <f>(AD145-AC145)*-1</f>
        <v>0</v>
      </c>
      <c r="AE277" s="3">
        <f>(AE145-AD145)*-1</f>
        <v>0</v>
      </c>
      <c r="AF277" s="3">
        <f>(AF145-AE145)*-1</f>
        <v>0</v>
      </c>
      <c r="AG277" s="3">
        <f>SUM(AC277:AF277)</f>
        <v>0</v>
      </c>
      <c r="AH277" s="3">
        <f>(AH145-AG145)*-1</f>
        <v>0</v>
      </c>
      <c r="AI277" s="3">
        <f>(AI145-AH145)*-1</f>
        <v>-9991</v>
      </c>
      <c r="AJ277" s="3">
        <f>(AJ145-AI145)*-1</f>
        <v>9991</v>
      </c>
      <c r="AK277" s="3">
        <f>(AK145-AJ145)*-1</f>
        <v>0</v>
      </c>
      <c r="AL277" s="3">
        <f>SUM(AH277:AK277)</f>
        <v>0</v>
      </c>
      <c r="AM277" s="3">
        <f>(AM145-AL145)*-1</f>
        <v>0</v>
      </c>
      <c r="AN277" s="3">
        <f>(AN145-AM145)*-1</f>
        <v>0</v>
      </c>
      <c r="AO277" s="3">
        <f>(AO145-AN145)*-1</f>
        <v>0</v>
      </c>
      <c r="AP277" s="3">
        <f>(AP145-AO145)*-1</f>
        <v>0</v>
      </c>
      <c r="AQ277" s="3">
        <f>SUM(AM277:AP277)</f>
        <v>0</v>
      </c>
      <c r="AR277" s="3">
        <f>(AR145-AQ145)*-1</f>
        <v>0</v>
      </c>
      <c r="AS277" s="3">
        <f>(AS145-AR145)*-1</f>
        <v>0</v>
      </c>
      <c r="AT277" s="3">
        <f>(AT145-AS145)*-1</f>
        <v>0</v>
      </c>
      <c r="AU277" s="3">
        <f>(AU145-AT145)*-1</f>
        <v>0</v>
      </c>
      <c r="AV277" s="3">
        <f>SUM(AR277:AU277)</f>
        <v>0</v>
      </c>
      <c r="AW277" s="3">
        <f>(AW145-AV145)*-1</f>
        <v>0</v>
      </c>
      <c r="AX277" s="3">
        <f>(AX145-AW145)*-1</f>
        <v>0</v>
      </c>
      <c r="AY277" s="3">
        <f>(AY145-AX145)*-1</f>
        <v>0</v>
      </c>
      <c r="AZ277" s="3">
        <f>(AZ145-AY145)*-1</f>
        <v>0</v>
      </c>
      <c r="BA277" s="3">
        <f>SUM(AW277:AZ277)</f>
        <v>0</v>
      </c>
      <c r="BB277" s="3">
        <f>(BB145-BA145)*-1</f>
        <v>0</v>
      </c>
      <c r="BC277" s="3">
        <f>(BC145-BB145)*-1</f>
        <v>0</v>
      </c>
      <c r="BD277" s="3">
        <f>(BD145-BC145)*-1</f>
        <v>0</v>
      </c>
      <c r="BE277" s="3">
        <f>(BE145-BD145)*-1</f>
        <v>0</v>
      </c>
      <c r="BF277" s="3">
        <f>SUM(BB277:BE277)</f>
        <v>0</v>
      </c>
      <c r="BG277" s="3">
        <f>(BG145-BF145)*-1</f>
        <v>0</v>
      </c>
      <c r="BH277" s="3">
        <f>(BH145-BG145)*-1</f>
        <v>0</v>
      </c>
      <c r="BI277" s="3">
        <f>(BI145-BH145)*-1</f>
        <v>0</v>
      </c>
      <c r="BJ277" s="3">
        <f>(BJ145-BI145)*-1</f>
        <v>0</v>
      </c>
      <c r="BK277" s="3">
        <f>SUM(BG277:BJ277)</f>
        <v>0</v>
      </c>
      <c r="BL277" s="3">
        <f>(BL145-BK145)*-1</f>
        <v>0</v>
      </c>
      <c r="BM277" s="3">
        <f>(BM145-BL145)*-1</f>
        <v>0</v>
      </c>
      <c r="BN277" s="3">
        <f>(BN145-BM145)*-1</f>
        <v>0</v>
      </c>
      <c r="BO277" s="3">
        <f>(BO145-BN145)*-1</f>
        <v>0</v>
      </c>
      <c r="BP277" s="3">
        <f>SUM(BL277:BO277)</f>
        <v>0</v>
      </c>
      <c r="BQ277" s="3">
        <f>(BQ145-BP145)*-1</f>
        <v>0</v>
      </c>
      <c r="BR277" s="3">
        <f>(BR145-BQ145)*-1</f>
        <v>0</v>
      </c>
      <c r="BS277" s="3">
        <f>(BS145-BR145)*-1</f>
        <v>0</v>
      </c>
      <c r="BT277" s="3">
        <f>(BT145-BS145)*-1</f>
        <v>0</v>
      </c>
      <c r="BU277" s="3">
        <f>SUM(BQ277:BT277)</f>
        <v>0</v>
      </c>
      <c r="BV277" s="3">
        <f>(BV145-BU145)*-1</f>
        <v>0</v>
      </c>
      <c r="BW277" s="3">
        <f>(BW145-BV145)*-1</f>
        <v>0</v>
      </c>
      <c r="BX277" s="3">
        <f>(BX145-BW145)*-1</f>
        <v>0</v>
      </c>
      <c r="BY277" s="3">
        <f>(BY145-BX145)*-1</f>
        <v>0</v>
      </c>
      <c r="BZ277" s="3">
        <f>SUM(BV277:BY277)</f>
        <v>0</v>
      </c>
      <c r="CA277" s="3">
        <f>(CA145-BZ145)*-1</f>
        <v>0</v>
      </c>
      <c r="CB277" s="3">
        <f>(CB145-CA145)*-1</f>
        <v>0</v>
      </c>
      <c r="CC277" s="3">
        <f>(CC145-CB145)*-1</f>
        <v>0</v>
      </c>
      <c r="CD277" s="3">
        <f>(CD145-CC145)*-1</f>
        <v>0</v>
      </c>
      <c r="CE277" s="3">
        <f>SUM(CA277:CD277)</f>
        <v>0</v>
      </c>
      <c r="CF277" s="3">
        <f>(CF145-CE145)*-1</f>
        <v>0</v>
      </c>
      <c r="CG277" s="3">
        <f>(CG145-CF145)*-1</f>
        <v>0</v>
      </c>
      <c r="CH277" s="3">
        <f>(CH145-CG145)*-1</f>
        <v>0</v>
      </c>
      <c r="CI277" s="3">
        <f>(CI145-CH145)*-1</f>
        <v>0</v>
      </c>
      <c r="CJ277" s="3">
        <f>SUM(CF277:CI277)</f>
        <v>0</v>
      </c>
      <c r="CK277" s="3">
        <f>(CK145-CJ145)*-1</f>
        <v>0</v>
      </c>
      <c r="CL277" s="3">
        <f>(CL145-CK145)*-1</f>
        <v>0</v>
      </c>
      <c r="CM277" s="3">
        <f>(CM145-CL145)*-1</f>
        <v>0</v>
      </c>
      <c r="CN277" s="3">
        <f>(CN145-CM145)*-1</f>
        <v>0</v>
      </c>
      <c r="CO277" s="3">
        <f>SUM(CK277:CN277)</f>
        <v>0</v>
      </c>
      <c r="CP277" s="3">
        <f>(CP145-CO145)*-1</f>
        <v>0</v>
      </c>
      <c r="CQ277" s="3">
        <f>(CQ145-CP145)*-1</f>
        <v>0</v>
      </c>
      <c r="CR277" s="3">
        <f>(CR145-CQ145)*-1</f>
        <v>0</v>
      </c>
      <c r="CS277" s="3">
        <f>(CS145-CR145)*-1</f>
        <v>0</v>
      </c>
      <c r="CT277" s="3">
        <f>SUM(CP277:CS277)</f>
        <v>0</v>
      </c>
      <c r="CU277" s="3">
        <f>(CU145-CT145)*-1</f>
        <v>0</v>
      </c>
      <c r="CV277" s="3">
        <f>(CV145-CU145)*-1</f>
        <v>0</v>
      </c>
      <c r="CW277" s="3">
        <f>(CW145-CV145)*-1</f>
        <v>0</v>
      </c>
      <c r="CX277" s="3">
        <f>(CX145-CW145)*-1</f>
        <v>0</v>
      </c>
      <c r="CY277" s="3">
        <f>SUM(CU277:CX277)</f>
        <v>0</v>
      </c>
    </row>
    <row r="278" hidden="1" outlineLevel="1">
      <c r="C278" s="29" t="inlineStr">
        <is>
          <t>Deferred income taxes</t>
        </is>
      </c>
      <c r="D278" s="3" t="n"/>
      <c r="E278" s="3">
        <f>(E149-D149)*-1</f>
        <v>-165</v>
      </c>
      <c r="F278" s="3">
        <f>(F149-E149)*-1</f>
        <v>-77</v>
      </c>
      <c r="G278" s="3">
        <f>(G149-F149)*-1</f>
        <v>-112</v>
      </c>
      <c r="H278" s="3">
        <f>SUM(D278:G278)</f>
        <v>-354</v>
      </c>
      <c r="I278" s="3">
        <f>(I149-H149)*-1</f>
        <v>-45</v>
      </c>
      <c r="J278" s="3">
        <f>(J149-I149)*-1</f>
        <v>-24</v>
      </c>
      <c r="K278" s="3">
        <f>(K149-J149)*-1</f>
        <v>-42</v>
      </c>
      <c r="L278" s="3">
        <f>(L149-K149)*-1</f>
        <v>-89</v>
      </c>
      <c r="M278" s="3">
        <f>SUM(I278:L278)</f>
        <v>-200</v>
      </c>
      <c r="N278" s="3">
        <f>(N149-M149)*-1</f>
        <v>-104</v>
      </c>
      <c r="O278" s="3">
        <f>(O149-N149)*-1</f>
        <v>-102</v>
      </c>
      <c r="P278" s="3">
        <f>(P149-O149)*-1</f>
        <v>-1501</v>
      </c>
      <c r="Q278" s="3">
        <f>(Q149-P149)*-1</f>
        <v>-2270</v>
      </c>
      <c r="R278" s="3">
        <f>SUM(N278:Q278)</f>
        <v>-3977</v>
      </c>
      <c r="S278" s="3">
        <f>(S149-R149)*-1</f>
        <v>-1624</v>
      </c>
      <c r="T278" s="3">
        <f>(T149-S149)*-1</f>
        <v>-2472</v>
      </c>
      <c r="U278" s="3">
        <f>(U149-T149)*-1</f>
        <v>-1626</v>
      </c>
      <c r="V278" s="3">
        <f>(V149-U149)*-1</f>
        <v>-1186</v>
      </c>
      <c r="W278" s="3">
        <f>SUM(S278:V278)</f>
        <v>-6908</v>
      </c>
      <c r="X278" s="3">
        <f>(X149-W149)*-1</f>
        <v>482</v>
      </c>
      <c r="Y278" s="3">
        <f>(Y149-X149)*-1</f>
        <v>-3271</v>
      </c>
      <c r="Z278" s="3">
        <f>(Z149-Y149)*-1</f>
        <v>-957</v>
      </c>
      <c r="AA278" s="3">
        <f>(AA149-Z149)*-1</f>
        <v>-1265</v>
      </c>
      <c r="AB278" s="3">
        <f>SUM(X278:AA278)</f>
        <v>-5011</v>
      </c>
      <c r="AC278" s="3">
        <f>(AC149-AB149)*-1</f>
        <v>-1206</v>
      </c>
      <c r="AD278" s="3">
        <f>(AD149-AC149)*-1</f>
        <v>-903</v>
      </c>
      <c r="AE278" s="3">
        <f>(AE149-AD149)*-1</f>
        <v>8958</v>
      </c>
      <c r="AF278" s="3">
        <f>(AF149-AE149)*-1</f>
        <v>1218</v>
      </c>
      <c r="AG278" s="3">
        <f>SUM(AC278:AF278)</f>
        <v>8067</v>
      </c>
      <c r="AH278" s="3">
        <f>(AH149-AG149)*-1</f>
        <v>7118</v>
      </c>
      <c r="AI278" s="3">
        <f>(AI149-AH149)*-1</f>
        <v>547</v>
      </c>
      <c r="AJ278" s="3">
        <f>(AJ149-AI149)*-1</f>
        <v>0</v>
      </c>
      <c r="AK278" s="3">
        <f>(AK149-AJ149)*-1</f>
        <v>0</v>
      </c>
      <c r="AL278" s="3">
        <f>SUM(AH278:AK278)</f>
        <v>7665</v>
      </c>
      <c r="AM278" s="3">
        <f>(AM149-AL149)*-1</f>
        <v>0</v>
      </c>
      <c r="AN278" s="3">
        <f>(AN149-AM149)*-1</f>
        <v>0</v>
      </c>
      <c r="AO278" s="3">
        <f>(AO149-AN149)*-1</f>
        <v>0</v>
      </c>
      <c r="AP278" s="3">
        <f>(AP149-AO149)*-1</f>
        <v>0</v>
      </c>
      <c r="AQ278" s="3">
        <f>SUM(AM278:AP278)</f>
        <v>0</v>
      </c>
      <c r="AR278" s="3">
        <f>(AR149-AQ149)*-1</f>
        <v>0</v>
      </c>
      <c r="AS278" s="3">
        <f>(AS149-AR149)*-1</f>
        <v>0</v>
      </c>
      <c r="AT278" s="3">
        <f>(AT149-AS149)*-1</f>
        <v>0</v>
      </c>
      <c r="AU278" s="3">
        <f>(AU149-AT149)*-1</f>
        <v>0</v>
      </c>
      <c r="AV278" s="3">
        <f>SUM(AR278:AU278)</f>
        <v>0</v>
      </c>
      <c r="AW278" s="3">
        <f>(AW149-AV149)*-1</f>
        <v>0</v>
      </c>
      <c r="AX278" s="3">
        <f>(AX149-AW149)*-1</f>
        <v>0</v>
      </c>
      <c r="AY278" s="3">
        <f>(AY149-AX149)*-1</f>
        <v>0</v>
      </c>
      <c r="AZ278" s="3">
        <f>(AZ149-AY149)*-1</f>
        <v>0</v>
      </c>
      <c r="BA278" s="3">
        <f>SUM(AW278:AZ278)</f>
        <v>0</v>
      </c>
      <c r="BB278" s="3">
        <f>(BB149-BA149)*-1</f>
        <v>0</v>
      </c>
      <c r="BC278" s="3">
        <f>(BC149-BB149)*-1</f>
        <v>0</v>
      </c>
      <c r="BD278" s="3">
        <f>(BD149-BC149)*-1</f>
        <v>0</v>
      </c>
      <c r="BE278" s="3">
        <f>(BE149-BD149)*-1</f>
        <v>0</v>
      </c>
      <c r="BF278" s="3">
        <f>SUM(BB278:BE278)</f>
        <v>0</v>
      </c>
      <c r="BG278" s="3">
        <f>(BG149-BF149)*-1</f>
        <v>0</v>
      </c>
      <c r="BH278" s="3">
        <f>(BH149-BG149)*-1</f>
        <v>0</v>
      </c>
      <c r="BI278" s="3">
        <f>(BI149-BH149)*-1</f>
        <v>0</v>
      </c>
      <c r="BJ278" s="3">
        <f>(BJ149-BI149)*-1</f>
        <v>0</v>
      </c>
      <c r="BK278" s="3">
        <f>SUM(BG278:BJ278)</f>
        <v>0</v>
      </c>
      <c r="BL278" s="3">
        <f>(BL149-BK149)*-1</f>
        <v>0</v>
      </c>
      <c r="BM278" s="3">
        <f>(BM149-BL149)*-1</f>
        <v>0</v>
      </c>
      <c r="BN278" s="3">
        <f>(BN149-BM149)*-1</f>
        <v>0</v>
      </c>
      <c r="BO278" s="3">
        <f>(BO149-BN149)*-1</f>
        <v>0</v>
      </c>
      <c r="BP278" s="3">
        <f>SUM(BL278:BO278)</f>
        <v>0</v>
      </c>
      <c r="BQ278" s="3">
        <f>(BQ149-BP149)*-1</f>
        <v>0</v>
      </c>
      <c r="BR278" s="3">
        <f>(BR149-BQ149)*-1</f>
        <v>0</v>
      </c>
      <c r="BS278" s="3">
        <f>(BS149-BR149)*-1</f>
        <v>0</v>
      </c>
      <c r="BT278" s="3">
        <f>(BT149-BS149)*-1</f>
        <v>0</v>
      </c>
      <c r="BU278" s="3">
        <f>SUM(BQ278:BT278)</f>
        <v>0</v>
      </c>
      <c r="BV278" s="3">
        <f>(BV149-BU149)*-1</f>
        <v>0</v>
      </c>
      <c r="BW278" s="3">
        <f>(BW149-BV149)*-1</f>
        <v>0</v>
      </c>
      <c r="BX278" s="3">
        <f>(BX149-BW149)*-1</f>
        <v>0</v>
      </c>
      <c r="BY278" s="3">
        <f>(BY149-BX149)*-1</f>
        <v>0</v>
      </c>
      <c r="BZ278" s="3">
        <f>SUM(BV278:BY278)</f>
        <v>0</v>
      </c>
      <c r="CA278" s="3">
        <f>(CA149-BZ149)*-1</f>
        <v>0</v>
      </c>
      <c r="CB278" s="3">
        <f>(CB149-CA149)*-1</f>
        <v>0</v>
      </c>
      <c r="CC278" s="3">
        <f>(CC149-CB149)*-1</f>
        <v>0</v>
      </c>
      <c r="CD278" s="3">
        <f>(CD149-CC149)*-1</f>
        <v>0</v>
      </c>
      <c r="CE278" s="3">
        <f>SUM(CA278:CD278)</f>
        <v>0</v>
      </c>
      <c r="CF278" s="3">
        <f>(CF149-CE149)*-1</f>
        <v>0</v>
      </c>
      <c r="CG278" s="3">
        <f>(CG149-CF149)*-1</f>
        <v>0</v>
      </c>
      <c r="CH278" s="3">
        <f>(CH149-CG149)*-1</f>
        <v>0</v>
      </c>
      <c r="CI278" s="3">
        <f>(CI149-CH149)*-1</f>
        <v>0</v>
      </c>
      <c r="CJ278" s="3">
        <f>SUM(CF278:CI278)</f>
        <v>0</v>
      </c>
      <c r="CK278" s="3">
        <f>(CK149-CJ149)*-1</f>
        <v>0</v>
      </c>
      <c r="CL278" s="3">
        <f>(CL149-CK149)*-1</f>
        <v>0</v>
      </c>
      <c r="CM278" s="3">
        <f>(CM149-CL149)*-1</f>
        <v>0</v>
      </c>
      <c r="CN278" s="3">
        <f>(CN149-CM149)*-1</f>
        <v>0</v>
      </c>
      <c r="CO278" s="3">
        <f>SUM(CK278:CN278)</f>
        <v>0</v>
      </c>
      <c r="CP278" s="3">
        <f>(CP149-CO149)*-1</f>
        <v>0</v>
      </c>
      <c r="CQ278" s="3">
        <f>(CQ149-CP149)*-1</f>
        <v>0</v>
      </c>
      <c r="CR278" s="3">
        <f>(CR149-CQ149)*-1</f>
        <v>0</v>
      </c>
      <c r="CS278" s="3">
        <f>(CS149-CR149)*-1</f>
        <v>0</v>
      </c>
      <c r="CT278" s="3">
        <f>SUM(CP278:CS278)</f>
        <v>0</v>
      </c>
      <c r="CU278" s="3">
        <f>(CU149-CT149)*-1</f>
        <v>0</v>
      </c>
      <c r="CV278" s="3">
        <f>(CV149-CU149)*-1</f>
        <v>0</v>
      </c>
      <c r="CW278" s="3">
        <f>(CW149-CV149)*-1</f>
        <v>0</v>
      </c>
      <c r="CX278" s="3">
        <f>(CX149-CW149)*-1</f>
        <v>0</v>
      </c>
      <c r="CY278" s="3">
        <f>SUM(CU278:CX278)</f>
        <v>0</v>
      </c>
    </row>
    <row r="279" hidden="1" outlineLevel="1">
      <c r="C279" s="29" t="inlineStr">
        <is>
          <t>Prepaid expenses</t>
        </is>
      </c>
      <c r="D279" s="3" t="n"/>
      <c r="E279" s="3">
        <f>(E150-D150)*-1</f>
        <v>0</v>
      </c>
      <c r="F279" s="3">
        <f>(F150-E150)*-1</f>
        <v>0</v>
      </c>
      <c r="G279" s="3">
        <f>(G150-F150)*-1</f>
        <v>0</v>
      </c>
      <c r="H279" s="3">
        <f>SUM(D279:G279)</f>
        <v>0</v>
      </c>
      <c r="I279" s="3">
        <f>(I150-H150)*-1</f>
        <v>0</v>
      </c>
      <c r="J279" s="3">
        <f>(J150-I150)*-1</f>
        <v>0</v>
      </c>
      <c r="K279" s="3">
        <f>(K150-J150)*-1</f>
        <v>0</v>
      </c>
      <c r="L279" s="3">
        <f>(L150-K150)*-1</f>
        <v>0</v>
      </c>
      <c r="M279" s="3">
        <f>SUM(I279:L279)</f>
        <v>0</v>
      </c>
      <c r="N279" s="3">
        <f>(N150-M150)*-1</f>
        <v>0</v>
      </c>
      <c r="O279" s="3">
        <f>(O150-N150)*-1</f>
        <v>0</v>
      </c>
      <c r="P279" s="3">
        <f>(P150-O150)*-1</f>
        <v>0</v>
      </c>
      <c r="Q279" s="3">
        <f>(Q150-P150)*-1</f>
        <v>0</v>
      </c>
      <c r="R279" s="3">
        <f>SUM(N279:Q279)</f>
        <v>0</v>
      </c>
      <c r="S279" s="3">
        <f>(S150-R150)*-1</f>
        <v>0</v>
      </c>
      <c r="T279" s="3">
        <f>(T150-S150)*-1</f>
        <v>0</v>
      </c>
      <c r="U279" s="3">
        <f>(U150-T150)*-1</f>
        <v>0</v>
      </c>
      <c r="V279" s="3">
        <f>(V150-U150)*-1</f>
        <v>0</v>
      </c>
      <c r="W279" s="3">
        <f>SUM(S279:V279)</f>
        <v>0</v>
      </c>
      <c r="X279" s="3">
        <f>(X150-W150)*-1</f>
        <v>0</v>
      </c>
      <c r="Y279" s="3">
        <f>(Y150-X150)*-1</f>
        <v>0</v>
      </c>
      <c r="Z279" s="3">
        <f>(Z150-Y150)*-1</f>
        <v>0</v>
      </c>
      <c r="AA279" s="3">
        <f>(AA150-Z150)*-1</f>
        <v>0</v>
      </c>
      <c r="AB279" s="3">
        <f>SUM(X279:AA279)</f>
        <v>0</v>
      </c>
      <c r="AC279" s="3">
        <f>(AC150-AB150)*-1</f>
        <v>0</v>
      </c>
      <c r="AD279" s="3">
        <f>(AD150-AC150)*-1</f>
        <v>0</v>
      </c>
      <c r="AE279" s="3">
        <f>(AE150-AD150)*-1</f>
        <v>0</v>
      </c>
      <c r="AF279" s="3">
        <f>(AF150-AE150)*-1</f>
        <v>0</v>
      </c>
      <c r="AG279" s="3">
        <f>SUM(AC279:AF279)</f>
        <v>0</v>
      </c>
      <c r="AH279" s="3">
        <f>(AH150-AG150)*-1</f>
        <v>0</v>
      </c>
      <c r="AI279" s="3">
        <f>(AI150-AH150)*-1</f>
        <v>0</v>
      </c>
      <c r="AJ279" s="3">
        <f>(AJ150-AI150)*-1</f>
        <v>0</v>
      </c>
      <c r="AK279" s="3">
        <f>(AK150-AJ150)*-1</f>
        <v>0</v>
      </c>
      <c r="AL279" s="3">
        <f>SUM(AH279:AK279)</f>
        <v>0</v>
      </c>
      <c r="AM279" s="3">
        <f>(AM150-AL150)*-1</f>
        <v>0</v>
      </c>
      <c r="AN279" s="3">
        <f>(AN150-AM150)*-1</f>
        <v>0</v>
      </c>
      <c r="AO279" s="3">
        <f>(AO150-AN150)*-1</f>
        <v>0</v>
      </c>
      <c r="AP279" s="3">
        <f>(AP150-AO150)*-1</f>
        <v>0</v>
      </c>
      <c r="AQ279" s="3">
        <f>SUM(AM279:AP279)</f>
        <v>0</v>
      </c>
      <c r="AR279" s="3">
        <f>(AR150-AQ150)*-1</f>
        <v>0</v>
      </c>
      <c r="AS279" s="3">
        <f>(AS150-AR150)*-1</f>
        <v>0</v>
      </c>
      <c r="AT279" s="3">
        <f>(AT150-AS150)*-1</f>
        <v>0</v>
      </c>
      <c r="AU279" s="3">
        <f>(AU150-AT150)*-1</f>
        <v>0</v>
      </c>
      <c r="AV279" s="3">
        <f>SUM(AR279:AU279)</f>
        <v>0</v>
      </c>
      <c r="AW279" s="3">
        <f>(AW150-AV150)*-1</f>
        <v>0</v>
      </c>
      <c r="AX279" s="3">
        <f>(AX150-AW150)*-1</f>
        <v>0</v>
      </c>
      <c r="AY279" s="3">
        <f>(AY150-AX150)*-1</f>
        <v>0</v>
      </c>
      <c r="AZ279" s="3">
        <f>(AZ150-AY150)*-1</f>
        <v>0</v>
      </c>
      <c r="BA279" s="3">
        <f>SUM(AW279:AZ279)</f>
        <v>0</v>
      </c>
      <c r="BB279" s="3">
        <f>(BB150-BA150)*-1</f>
        <v>0</v>
      </c>
      <c r="BC279" s="3">
        <f>(BC150-BB150)*-1</f>
        <v>0</v>
      </c>
      <c r="BD279" s="3">
        <f>(BD150-BC150)*-1</f>
        <v>0</v>
      </c>
      <c r="BE279" s="3">
        <f>(BE150-BD150)*-1</f>
        <v>0</v>
      </c>
      <c r="BF279" s="3">
        <f>SUM(BB279:BE279)</f>
        <v>0</v>
      </c>
      <c r="BG279" s="3">
        <f>(BG150-BF150)*-1</f>
        <v>0</v>
      </c>
      <c r="BH279" s="3">
        <f>(BH150-BG150)*-1</f>
        <v>0</v>
      </c>
      <c r="BI279" s="3">
        <f>(BI150-BH150)*-1</f>
        <v>0</v>
      </c>
      <c r="BJ279" s="3">
        <f>(BJ150-BI150)*-1</f>
        <v>0</v>
      </c>
      <c r="BK279" s="3">
        <f>SUM(BG279:BJ279)</f>
        <v>0</v>
      </c>
      <c r="BL279" s="3">
        <f>(BL150-BK150)*-1</f>
        <v>0</v>
      </c>
      <c r="BM279" s="3">
        <f>(BM150-BL150)*-1</f>
        <v>0</v>
      </c>
      <c r="BN279" s="3">
        <f>(BN150-BM150)*-1</f>
        <v>0</v>
      </c>
      <c r="BO279" s="3">
        <f>(BO150-BN150)*-1</f>
        <v>0</v>
      </c>
      <c r="BP279" s="3">
        <f>SUM(BL279:BO279)</f>
        <v>0</v>
      </c>
      <c r="BQ279" s="3">
        <f>(BQ150-BP150)*-1</f>
        <v>0</v>
      </c>
      <c r="BR279" s="3">
        <f>(BR150-BQ150)*-1</f>
        <v>0</v>
      </c>
      <c r="BS279" s="3">
        <f>(BS150-BR150)*-1</f>
        <v>0</v>
      </c>
      <c r="BT279" s="3">
        <f>(BT150-BS150)*-1</f>
        <v>0</v>
      </c>
      <c r="BU279" s="3">
        <f>SUM(BQ279:BT279)</f>
        <v>0</v>
      </c>
      <c r="BV279" s="3">
        <f>(BV150-BU150)*-1</f>
        <v>0</v>
      </c>
      <c r="BW279" s="3">
        <f>(BW150-BV150)*-1</f>
        <v>0</v>
      </c>
      <c r="BX279" s="3">
        <f>(BX150-BW150)*-1</f>
        <v>0</v>
      </c>
      <c r="BY279" s="3">
        <f>(BY150-BX150)*-1</f>
        <v>0</v>
      </c>
      <c r="BZ279" s="3">
        <f>SUM(BV279:BY279)</f>
        <v>0</v>
      </c>
      <c r="CA279" s="3">
        <f>(CA150-BZ150)*-1</f>
        <v>0</v>
      </c>
      <c r="CB279" s="3">
        <f>(CB150-CA150)*-1</f>
        <v>0</v>
      </c>
      <c r="CC279" s="3">
        <f>(CC150-CB150)*-1</f>
        <v>0</v>
      </c>
      <c r="CD279" s="3">
        <f>(CD150-CC150)*-1</f>
        <v>0</v>
      </c>
      <c r="CE279" s="3">
        <f>SUM(CA279:CD279)</f>
        <v>0</v>
      </c>
      <c r="CF279" s="3">
        <f>(CF150-CE150)*-1</f>
        <v>0</v>
      </c>
      <c r="CG279" s="3">
        <f>(CG150-CF150)*-1</f>
        <v>0</v>
      </c>
      <c r="CH279" s="3">
        <f>(CH150-CG150)*-1</f>
        <v>0</v>
      </c>
      <c r="CI279" s="3">
        <f>(CI150-CH150)*-1</f>
        <v>0</v>
      </c>
      <c r="CJ279" s="3">
        <f>SUM(CF279:CI279)</f>
        <v>0</v>
      </c>
      <c r="CK279" s="3">
        <f>(CK150-CJ150)*-1</f>
        <v>0</v>
      </c>
      <c r="CL279" s="3">
        <f>(CL150-CK150)*-1</f>
        <v>0</v>
      </c>
      <c r="CM279" s="3">
        <f>(CM150-CL150)*-1</f>
        <v>0</v>
      </c>
      <c r="CN279" s="3">
        <f>(CN150-CM150)*-1</f>
        <v>0</v>
      </c>
      <c r="CO279" s="3">
        <f>SUM(CK279:CN279)</f>
        <v>0</v>
      </c>
      <c r="CP279" s="3">
        <f>(CP150-CO150)*-1</f>
        <v>0</v>
      </c>
      <c r="CQ279" s="3">
        <f>(CQ150-CP150)*-1</f>
        <v>0</v>
      </c>
      <c r="CR279" s="3">
        <f>(CR150-CQ150)*-1</f>
        <v>0</v>
      </c>
      <c r="CS279" s="3">
        <f>(CS150-CR150)*-1</f>
        <v>0</v>
      </c>
      <c r="CT279" s="3">
        <f>SUM(CP279:CS279)</f>
        <v>0</v>
      </c>
      <c r="CU279" s="3">
        <f>(CU150-CT150)*-1</f>
        <v>0</v>
      </c>
      <c r="CV279" s="3">
        <f>(CV150-CU150)*-1</f>
        <v>0</v>
      </c>
      <c r="CW279" s="3">
        <f>(CW150-CV150)*-1</f>
        <v>0</v>
      </c>
      <c r="CX279" s="3">
        <f>(CX150-CW150)*-1</f>
        <v>0</v>
      </c>
      <c r="CY279" s="3">
        <f>SUM(CU279:CX279)</f>
        <v>0</v>
      </c>
    </row>
    <row r="280" hidden="1" outlineLevel="1">
      <c r="C280" s="29" t="inlineStr">
        <is>
          <t>Other current assets</t>
        </is>
      </c>
      <c r="D280" s="3" t="n"/>
      <c r="E280" s="3">
        <f>(E151-D151)*-1</f>
        <v>1102</v>
      </c>
      <c r="F280" s="3">
        <f>(F151-E151)*-1</f>
        <v>-40</v>
      </c>
      <c r="G280" s="3">
        <f>(G151-F151)*-1</f>
        <v>69</v>
      </c>
      <c r="H280" s="3">
        <f>SUM(D280:G280)</f>
        <v>1131</v>
      </c>
      <c r="I280" s="3">
        <f>(I151-H151)*-1</f>
        <v>-2195</v>
      </c>
      <c r="J280" s="3">
        <f>(J151-I151)*-1</f>
        <v>1179</v>
      </c>
      <c r="K280" s="3">
        <f>(K151-J151)*-1</f>
        <v>178</v>
      </c>
      <c r="L280" s="3">
        <f>(L151-K151)*-1</f>
        <v>-1238</v>
      </c>
      <c r="M280" s="3">
        <f>SUM(I280:L280)</f>
        <v>-2076</v>
      </c>
      <c r="N280" s="3">
        <f>(N151-M151)*-1</f>
        <v>209</v>
      </c>
      <c r="O280" s="3">
        <f>(O151-N151)*-1</f>
        <v>-1876</v>
      </c>
      <c r="P280" s="3">
        <f>(P151-O151)*-1</f>
        <v>-2310</v>
      </c>
      <c r="Q280" s="3">
        <f>(Q151-P151)*-1</f>
        <v>3892</v>
      </c>
      <c r="R280" s="3">
        <f>SUM(N280:Q280)</f>
        <v>-85</v>
      </c>
      <c r="S280" s="3">
        <f>(S151-R151)*-1</f>
        <v>-427</v>
      </c>
      <c r="T280" s="3">
        <f>(T151-S151)*-1</f>
        <v>-889</v>
      </c>
      <c r="U280" s="3">
        <f>(U151-T151)*-1</f>
        <v>-2977</v>
      </c>
      <c r="V280" s="3">
        <f>(V151-U151)*-1</f>
        <v>-252</v>
      </c>
      <c r="W280" s="3">
        <f>SUM(S280:V280)</f>
        <v>-4545</v>
      </c>
      <c r="X280" s="3">
        <f>(X151-W151)*-1</f>
        <v>-179</v>
      </c>
      <c r="Y280" s="3">
        <f>(Y151-X151)*-1</f>
        <v>-1354</v>
      </c>
      <c r="Z280" s="3">
        <f>(Z151-Y151)*-1</f>
        <v>-1024</v>
      </c>
      <c r="AA280" s="3">
        <f>(AA151-Z151)*-1</f>
        <v>-507</v>
      </c>
      <c r="AB280" s="3">
        <f>SUM(X280:AA280)</f>
        <v>-3064</v>
      </c>
      <c r="AC280" s="3">
        <f>(AC151-AB151)*-1</f>
        <v>-10</v>
      </c>
      <c r="AD280" s="3">
        <f>(AD151-AC151)*-1</f>
        <v>-296</v>
      </c>
      <c r="AE280" s="3">
        <f>(AE151-AD151)*-1</f>
        <v>-2283</v>
      </c>
      <c r="AF280" s="3">
        <f>(AF151-AE151)*-1</f>
        <v>1994</v>
      </c>
      <c r="AG280" s="3">
        <f>SUM(AC280:AF280)</f>
        <v>-595</v>
      </c>
      <c r="AH280" s="3">
        <f>(AH151-AG151)*-1</f>
        <v>-7605</v>
      </c>
      <c r="AI280" s="3">
        <f>(AI151-AH151)*-1</f>
        <v>2030</v>
      </c>
      <c r="AJ280" s="3">
        <f>(AJ151-AI151)*-1</f>
        <v>0</v>
      </c>
      <c r="AK280" s="3">
        <f>(AK151-AJ151)*-1</f>
        <v>0</v>
      </c>
      <c r="AL280" s="3">
        <f>SUM(AH280:AK280)</f>
        <v>-5575</v>
      </c>
      <c r="AM280" s="3">
        <f>(AM151-AL151)*-1</f>
        <v>0</v>
      </c>
      <c r="AN280" s="3">
        <f>(AN151-AM151)*-1</f>
        <v>0</v>
      </c>
      <c r="AO280" s="3">
        <f>(AO151-AN151)*-1</f>
        <v>0</v>
      </c>
      <c r="AP280" s="3">
        <f>(AP151-AO151)*-1</f>
        <v>0</v>
      </c>
      <c r="AQ280" s="3">
        <f>SUM(AM280:AP280)</f>
        <v>0</v>
      </c>
      <c r="AR280" s="3">
        <f>(AR151-AQ151)*-1</f>
        <v>0</v>
      </c>
      <c r="AS280" s="3">
        <f>(AS151-AR151)*-1</f>
        <v>0</v>
      </c>
      <c r="AT280" s="3">
        <f>(AT151-AS151)*-1</f>
        <v>0</v>
      </c>
      <c r="AU280" s="3">
        <f>(AU151-AT151)*-1</f>
        <v>0</v>
      </c>
      <c r="AV280" s="3">
        <f>SUM(AR280:AU280)</f>
        <v>0</v>
      </c>
      <c r="AW280" s="3">
        <f>(AW151-AV151)*-1</f>
        <v>0</v>
      </c>
      <c r="AX280" s="3">
        <f>(AX151-AW151)*-1</f>
        <v>0</v>
      </c>
      <c r="AY280" s="3">
        <f>(AY151-AX151)*-1</f>
        <v>0</v>
      </c>
      <c r="AZ280" s="3">
        <f>(AZ151-AY151)*-1</f>
        <v>0</v>
      </c>
      <c r="BA280" s="3">
        <f>SUM(AW280:AZ280)</f>
        <v>0</v>
      </c>
      <c r="BB280" s="3">
        <f>(BB151-BA151)*-1</f>
        <v>0</v>
      </c>
      <c r="BC280" s="3">
        <f>(BC151-BB151)*-1</f>
        <v>0</v>
      </c>
      <c r="BD280" s="3">
        <f>(BD151-BC151)*-1</f>
        <v>0</v>
      </c>
      <c r="BE280" s="3">
        <f>(BE151-BD151)*-1</f>
        <v>0</v>
      </c>
      <c r="BF280" s="3">
        <f>SUM(BB280:BE280)</f>
        <v>0</v>
      </c>
      <c r="BG280" s="3">
        <f>(BG151-BF151)*-1</f>
        <v>0</v>
      </c>
      <c r="BH280" s="3">
        <f>(BH151-BG151)*-1</f>
        <v>0</v>
      </c>
      <c r="BI280" s="3">
        <f>(BI151-BH151)*-1</f>
        <v>0</v>
      </c>
      <c r="BJ280" s="3">
        <f>(BJ151-BI151)*-1</f>
        <v>0</v>
      </c>
      <c r="BK280" s="3">
        <f>SUM(BG280:BJ280)</f>
        <v>0</v>
      </c>
      <c r="BL280" s="3">
        <f>(BL151-BK151)*-1</f>
        <v>0</v>
      </c>
      <c r="BM280" s="3">
        <f>(BM151-BL151)*-1</f>
        <v>0</v>
      </c>
      <c r="BN280" s="3">
        <f>(BN151-BM151)*-1</f>
        <v>0</v>
      </c>
      <c r="BO280" s="3">
        <f>(BO151-BN151)*-1</f>
        <v>0</v>
      </c>
      <c r="BP280" s="3">
        <f>SUM(BL280:BO280)</f>
        <v>0</v>
      </c>
      <c r="BQ280" s="3">
        <f>(BQ151-BP151)*-1</f>
        <v>0</v>
      </c>
      <c r="BR280" s="3">
        <f>(BR151-BQ151)*-1</f>
        <v>0</v>
      </c>
      <c r="BS280" s="3">
        <f>(BS151-BR151)*-1</f>
        <v>0</v>
      </c>
      <c r="BT280" s="3">
        <f>(BT151-BS151)*-1</f>
        <v>0</v>
      </c>
      <c r="BU280" s="3">
        <f>SUM(BQ280:BT280)</f>
        <v>0</v>
      </c>
      <c r="BV280" s="3">
        <f>(BV151-BU151)*-1</f>
        <v>0</v>
      </c>
      <c r="BW280" s="3">
        <f>(BW151-BV151)*-1</f>
        <v>0</v>
      </c>
      <c r="BX280" s="3">
        <f>(BX151-BW151)*-1</f>
        <v>0</v>
      </c>
      <c r="BY280" s="3">
        <f>(BY151-BX151)*-1</f>
        <v>0</v>
      </c>
      <c r="BZ280" s="3">
        <f>SUM(BV280:BY280)</f>
        <v>0</v>
      </c>
      <c r="CA280" s="3">
        <f>(CA151-BZ151)*-1</f>
        <v>0</v>
      </c>
      <c r="CB280" s="3">
        <f>(CB151-CA151)*-1</f>
        <v>0</v>
      </c>
      <c r="CC280" s="3">
        <f>(CC151-CB151)*-1</f>
        <v>0</v>
      </c>
      <c r="CD280" s="3">
        <f>(CD151-CC151)*-1</f>
        <v>0</v>
      </c>
      <c r="CE280" s="3">
        <f>SUM(CA280:CD280)</f>
        <v>0</v>
      </c>
      <c r="CF280" s="3">
        <f>(CF151-CE151)*-1</f>
        <v>0</v>
      </c>
      <c r="CG280" s="3">
        <f>(CG151-CF151)*-1</f>
        <v>0</v>
      </c>
      <c r="CH280" s="3">
        <f>(CH151-CG151)*-1</f>
        <v>0</v>
      </c>
      <c r="CI280" s="3">
        <f>(CI151-CH151)*-1</f>
        <v>0</v>
      </c>
      <c r="CJ280" s="3">
        <f>SUM(CF280:CI280)</f>
        <v>0</v>
      </c>
      <c r="CK280" s="3">
        <f>(CK151-CJ151)*-1</f>
        <v>0</v>
      </c>
      <c r="CL280" s="3">
        <f>(CL151-CK151)*-1</f>
        <v>0</v>
      </c>
      <c r="CM280" s="3">
        <f>(CM151-CL151)*-1</f>
        <v>0</v>
      </c>
      <c r="CN280" s="3">
        <f>(CN151-CM151)*-1</f>
        <v>0</v>
      </c>
      <c r="CO280" s="3">
        <f>SUM(CK280:CN280)</f>
        <v>0</v>
      </c>
      <c r="CP280" s="3">
        <f>(CP151-CO151)*-1</f>
        <v>0</v>
      </c>
      <c r="CQ280" s="3">
        <f>(CQ151-CP151)*-1</f>
        <v>0</v>
      </c>
      <c r="CR280" s="3">
        <f>(CR151-CQ151)*-1</f>
        <v>0</v>
      </c>
      <c r="CS280" s="3">
        <f>(CS151-CR151)*-1</f>
        <v>0</v>
      </c>
      <c r="CT280" s="3">
        <f>SUM(CP280:CS280)</f>
        <v>0</v>
      </c>
      <c r="CU280" s="3">
        <f>(CU151-CT151)*-1</f>
        <v>0</v>
      </c>
      <c r="CV280" s="3">
        <f>(CV151-CU151)*-1</f>
        <v>0</v>
      </c>
      <c r="CW280" s="3">
        <f>(CW151-CV151)*-1</f>
        <v>0</v>
      </c>
      <c r="CX280" s="3">
        <f>(CX151-CW151)*-1</f>
        <v>0</v>
      </c>
      <c r="CY280" s="3">
        <f>SUM(CU280:CX280)</f>
        <v>0</v>
      </c>
    </row>
    <row r="281" hidden="1" outlineLevel="1">
      <c r="C281" s="29" t="inlineStr">
        <is>
          <t>Accounts payable</t>
        </is>
      </c>
      <c r="D281" s="3" t="n"/>
      <c r="E281" s="3">
        <f>E194-D194</f>
        <v>-35</v>
      </c>
      <c r="F281" s="3">
        <f>F194-E194</f>
        <v>327</v>
      </c>
      <c r="G281" s="3">
        <f>G194-F194</f>
        <v>1198</v>
      </c>
      <c r="H281" s="3">
        <f>SUM(D281:G281)</f>
        <v>1490</v>
      </c>
      <c r="I281" s="3">
        <f>I194-H194</f>
        <v>-788</v>
      </c>
      <c r="J281" s="3">
        <f>J194-I194</f>
        <v>-93</v>
      </c>
      <c r="K281" s="3">
        <f>K194-J194</f>
        <v>-92</v>
      </c>
      <c r="L281" s="3">
        <f>L194-K194</f>
        <v>1421</v>
      </c>
      <c r="M281" s="3">
        <f>SUM(I281:L281)</f>
        <v>448</v>
      </c>
      <c r="N281" s="3">
        <f>N194-M194</f>
        <v>-2601</v>
      </c>
      <c r="O281" s="3">
        <f>O194-N194</f>
        <v>973</v>
      </c>
      <c r="P281" s="3">
        <f>P194-O194</f>
        <v>1894</v>
      </c>
      <c r="Q281" s="3">
        <f>Q194-P194</f>
        <v>-1175</v>
      </c>
      <c r="R281" s="3">
        <f>SUM(N281:Q281)</f>
        <v>-909</v>
      </c>
      <c r="S281" s="3">
        <f>S194-R194</f>
        <v>-944</v>
      </c>
      <c r="T281" s="3">
        <f>T194-S194</f>
        <v>1129</v>
      </c>
      <c r="U281" s="3">
        <f>U194-T194</f>
        <v>490</v>
      </c>
      <c r="V281" s="3">
        <f>V194-U194</f>
        <v>1690</v>
      </c>
      <c r="W281" s="3">
        <f>SUM(S281:V281)</f>
        <v>2365</v>
      </c>
      <c r="X281" s="3">
        <f>X194-W194</f>
        <v>-1295</v>
      </c>
      <c r="Y281" s="3">
        <f>Y194-X194</f>
        <v>-106</v>
      </c>
      <c r="Z281" s="3">
        <f>Z194-Y194</f>
        <v>957</v>
      </c>
      <c r="AA281" s="3">
        <f>AA194-Z194</f>
        <v>938</v>
      </c>
      <c r="AB281" s="3">
        <f>SUM(X281:AA281)</f>
        <v>494</v>
      </c>
      <c r="AC281" s="3">
        <f>AC194-AB194</f>
        <v>510</v>
      </c>
      <c r="AD281" s="3">
        <f>AD194-AC194</f>
        <v>-150</v>
      </c>
      <c r="AE281" s="3">
        <f>AE194-AD194</f>
        <v>2199</v>
      </c>
      <c r="AF281" s="3">
        <f>AF194-AE194</f>
        <v>1654</v>
      </c>
      <c r="AG281" s="3">
        <f>SUM(AC281:AF281)</f>
        <v>4213</v>
      </c>
      <c r="AH281" s="3">
        <f>AH194-AG194</f>
        <v>4652</v>
      </c>
      <c r="AI281" s="3">
        <f>AI194-AH194</f>
        <v>3406</v>
      </c>
      <c r="AJ281" s="3">
        <f>AJ194-AI194</f>
        <v>-20258</v>
      </c>
      <c r="AK281" s="3">
        <f>AK194-AJ194</f>
        <v>0</v>
      </c>
      <c r="AL281" s="3">
        <f>SUM(AH281:AK281)</f>
        <v>-12200</v>
      </c>
      <c r="AM281" s="3">
        <f>AM194-AL194</f>
        <v>0</v>
      </c>
      <c r="AN281" s="3">
        <f>AN194-AM194</f>
        <v>0</v>
      </c>
      <c r="AO281" s="3">
        <f>AO194-AN194</f>
        <v>0</v>
      </c>
      <c r="AP281" s="3">
        <f>AP194-AO194</f>
        <v>0</v>
      </c>
      <c r="AQ281" s="3">
        <f>SUM(AM281:AP281)</f>
        <v>0</v>
      </c>
      <c r="AR281" s="3">
        <f>AR194-AQ194</f>
        <v>0</v>
      </c>
      <c r="AS281" s="3">
        <f>AS194-AR194</f>
        <v>0</v>
      </c>
      <c r="AT281" s="3">
        <f>AT194-AS194</f>
        <v>0</v>
      </c>
      <c r="AU281" s="3">
        <f>AU194-AT194</f>
        <v>0</v>
      </c>
      <c r="AV281" s="3">
        <f>SUM(AR281:AU281)</f>
        <v>0</v>
      </c>
      <c r="AW281" s="3">
        <f>AW194-AV194</f>
        <v>0</v>
      </c>
      <c r="AX281" s="3">
        <f>AX194-AW194</f>
        <v>0</v>
      </c>
      <c r="AY281" s="3">
        <f>AY194-AX194</f>
        <v>0</v>
      </c>
      <c r="AZ281" s="3">
        <f>AZ194-AY194</f>
        <v>0</v>
      </c>
      <c r="BA281" s="3">
        <f>SUM(AW281:AZ281)</f>
        <v>0</v>
      </c>
      <c r="BB281" s="3">
        <f>BB194-BA194</f>
        <v>0</v>
      </c>
      <c r="BC281" s="3">
        <f>BC194-BB194</f>
        <v>0</v>
      </c>
      <c r="BD281" s="3">
        <f>BD194-BC194</f>
        <v>0</v>
      </c>
      <c r="BE281" s="3">
        <f>BE194-BD194</f>
        <v>0</v>
      </c>
      <c r="BF281" s="3">
        <f>SUM(BB281:BE281)</f>
        <v>0</v>
      </c>
      <c r="BG281" s="3">
        <f>BG194-BF194</f>
        <v>0</v>
      </c>
      <c r="BH281" s="3">
        <f>BH194-BG194</f>
        <v>0</v>
      </c>
      <c r="BI281" s="3">
        <f>BI194-BH194</f>
        <v>0</v>
      </c>
      <c r="BJ281" s="3">
        <f>BJ194-BI194</f>
        <v>0</v>
      </c>
      <c r="BK281" s="3">
        <f>SUM(BG281:BJ281)</f>
        <v>0</v>
      </c>
      <c r="BL281" s="3">
        <f>BL194-BK194</f>
        <v>0</v>
      </c>
      <c r="BM281" s="3">
        <f>BM194-BL194</f>
        <v>0</v>
      </c>
      <c r="BN281" s="3">
        <f>BN194-BM194</f>
        <v>0</v>
      </c>
      <c r="BO281" s="3">
        <f>BO194-BN194</f>
        <v>0</v>
      </c>
      <c r="BP281" s="3">
        <f>SUM(BL281:BO281)</f>
        <v>0</v>
      </c>
      <c r="BQ281" s="3">
        <f>BQ194-BP194</f>
        <v>0</v>
      </c>
      <c r="BR281" s="3">
        <f>BR194-BQ194</f>
        <v>0</v>
      </c>
      <c r="BS281" s="3">
        <f>BS194-BR194</f>
        <v>0</v>
      </c>
      <c r="BT281" s="3">
        <f>BT194-BS194</f>
        <v>0</v>
      </c>
      <c r="BU281" s="3">
        <f>SUM(BQ281:BT281)</f>
        <v>0</v>
      </c>
      <c r="BV281" s="3">
        <f>BV194-BU194</f>
        <v>0</v>
      </c>
      <c r="BW281" s="3">
        <f>BW194-BV194</f>
        <v>0</v>
      </c>
      <c r="BX281" s="3">
        <f>BX194-BW194</f>
        <v>0</v>
      </c>
      <c r="BY281" s="3">
        <f>BY194-BX194</f>
        <v>0</v>
      </c>
      <c r="BZ281" s="3">
        <f>SUM(BV281:BY281)</f>
        <v>0</v>
      </c>
      <c r="CA281" s="3">
        <f>CA194-BZ194</f>
        <v>0</v>
      </c>
      <c r="CB281" s="3">
        <f>CB194-CA194</f>
        <v>0</v>
      </c>
      <c r="CC281" s="3">
        <f>CC194-CB194</f>
        <v>0</v>
      </c>
      <c r="CD281" s="3">
        <f>CD194-CC194</f>
        <v>0</v>
      </c>
      <c r="CE281" s="3">
        <f>SUM(CA281:CD281)</f>
        <v>0</v>
      </c>
      <c r="CF281" s="3">
        <f>CF194-CE194</f>
        <v>0</v>
      </c>
      <c r="CG281" s="3">
        <f>CG194-CF194</f>
        <v>0</v>
      </c>
      <c r="CH281" s="3">
        <f>CH194-CG194</f>
        <v>0</v>
      </c>
      <c r="CI281" s="3">
        <f>CI194-CH194</f>
        <v>0</v>
      </c>
      <c r="CJ281" s="3">
        <f>SUM(CF281:CI281)</f>
        <v>0</v>
      </c>
      <c r="CK281" s="3">
        <f>CK194-CJ194</f>
        <v>0</v>
      </c>
      <c r="CL281" s="3">
        <f>CL194-CK194</f>
        <v>0</v>
      </c>
      <c r="CM281" s="3">
        <f>CM194-CL194</f>
        <v>0</v>
      </c>
      <c r="CN281" s="3">
        <f>CN194-CM194</f>
        <v>0</v>
      </c>
      <c r="CO281" s="3">
        <f>SUM(CK281:CN281)</f>
        <v>0</v>
      </c>
      <c r="CP281" s="3">
        <f>CP194-CO194</f>
        <v>0</v>
      </c>
      <c r="CQ281" s="3">
        <f>CQ194-CP194</f>
        <v>0</v>
      </c>
      <c r="CR281" s="3">
        <f>CR194-CQ194</f>
        <v>0</v>
      </c>
      <c r="CS281" s="3">
        <f>CS194-CR194</f>
        <v>0</v>
      </c>
      <c r="CT281" s="3">
        <f>SUM(CP281:CS281)</f>
        <v>0</v>
      </c>
      <c r="CU281" s="3">
        <f>CU194-CT194</f>
        <v>0</v>
      </c>
      <c r="CV281" s="3">
        <f>CV194-CU194</f>
        <v>0</v>
      </c>
      <c r="CW281" s="3">
        <f>CW194-CV194</f>
        <v>0</v>
      </c>
      <c r="CX281" s="3">
        <f>CX194-CW194</f>
        <v>0</v>
      </c>
      <c r="CY281" s="3">
        <f>SUM(CU281:CX281)</f>
        <v>0</v>
      </c>
    </row>
    <row r="282" hidden="1" outlineLevel="1">
      <c r="C282" s="29" t="inlineStr">
        <is>
          <t>Accrued expenses</t>
        </is>
      </c>
      <c r="D282" s="3" t="n"/>
      <c r="E282" s="3">
        <f>E198-D198</f>
        <v>3319</v>
      </c>
      <c r="F282" s="3">
        <f>F198-E198</f>
        <v>3850</v>
      </c>
      <c r="G282" s="3">
        <f>G198-F198</f>
        <v>6809</v>
      </c>
      <c r="H282" s="3">
        <f>SUM(D282:G282)</f>
        <v>13978</v>
      </c>
      <c r="I282" s="3">
        <f>I198-H198</f>
        <v>-1148</v>
      </c>
      <c r="J282" s="3">
        <f>J198-I198</f>
        <v>438</v>
      </c>
      <c r="K282" s="3">
        <f>K198-J198</f>
        <v>3521</v>
      </c>
      <c r="L282" s="3">
        <f>L198-K198</f>
        <v>4093</v>
      </c>
      <c r="M282" s="3">
        <f>SUM(I282:L282)</f>
        <v>6904</v>
      </c>
      <c r="N282" s="3">
        <f>N198-M198</f>
        <v>-3151</v>
      </c>
      <c r="O282" s="3">
        <f>O198-N198</f>
        <v>747</v>
      </c>
      <c r="P282" s="3">
        <f>P198-O198</f>
        <v>3349</v>
      </c>
      <c r="Q282" s="3">
        <f>Q198-P198</f>
        <v>5198</v>
      </c>
      <c r="R282" s="3">
        <f>SUM(N282:Q282)</f>
        <v>6143</v>
      </c>
      <c r="S282" s="3">
        <f>S198-R198</f>
        <v>691</v>
      </c>
      <c r="T282" s="3">
        <f>T198-S198</f>
        <v>7595</v>
      </c>
      <c r="U282" s="3">
        <f>U198-T198</f>
        <v>7639</v>
      </c>
      <c r="V282" s="3">
        <f>V198-U198</f>
        <v>-6005</v>
      </c>
      <c r="W282" s="3">
        <f>SUM(S282:V282)</f>
        <v>9920</v>
      </c>
      <c r="X282" s="3">
        <f>X198-W198</f>
        <v>-3358</v>
      </c>
      <c r="Y282" s="3">
        <f>Y198-X198</f>
        <v>744</v>
      </c>
      <c r="Z282" s="3">
        <f>Z198-Y198</f>
        <v>1288</v>
      </c>
      <c r="AA282" s="3">
        <f>AA198-Z198</f>
        <v>7241</v>
      </c>
      <c r="AB282" s="3">
        <f>SUM(X282:AA282)</f>
        <v>5915</v>
      </c>
      <c r="AC282" s="3">
        <f>AC198-AB198</f>
        <v>2150</v>
      </c>
      <c r="AD282" s="3">
        <f>AD198-AC198</f>
        <v>-4255</v>
      </c>
      <c r="AE282" s="3">
        <f>AE198-AD198</f>
        <v>9468</v>
      </c>
      <c r="AF282" s="3">
        <f>AF198-AE198</f>
        <v>505</v>
      </c>
      <c r="AG282" s="3">
        <f>SUM(AC282:AF282)</f>
        <v>7868</v>
      </c>
      <c r="AH282" s="3">
        <f>AH198-AG198</f>
        <v>3207</v>
      </c>
      <c r="AI282" s="3">
        <f>AI198-AH198</f>
        <v>11525</v>
      </c>
      <c r="AJ282" s="3">
        <f>AJ198-AI198</f>
        <v>-98699</v>
      </c>
      <c r="AK282" s="3">
        <f>AK198-AJ198</f>
        <v>0</v>
      </c>
      <c r="AL282" s="3">
        <f>SUM(AH282:AK282)</f>
        <v>-83967</v>
      </c>
      <c r="AM282" s="3" t="e">
        <f>AM198-AL198</f>
        <v>#DIV/0!</v>
      </c>
      <c r="AN282" s="3" t="e">
        <f>AN198-AM198</f>
        <v>#DIV/0!</v>
      </c>
      <c r="AO282" s="3" t="e">
        <f>AO198-AN198</f>
        <v>#DIV/0!</v>
      </c>
      <c r="AP282" s="3" t="e">
        <f>AP198-AO198</f>
        <v>#DIV/0!</v>
      </c>
      <c r="AQ282" s="3" t="e">
        <f>SUM(AM282:AP282)</f>
        <v>#DIV/0!</v>
      </c>
      <c r="AR282" s="3" t="e">
        <f>AR198-AQ198</f>
        <v>#DIV/0!</v>
      </c>
      <c r="AS282" s="3" t="e">
        <f>AS198-AR198</f>
        <v>#DIV/0!</v>
      </c>
      <c r="AT282" s="3" t="e">
        <f>AT198-AS198</f>
        <v>#DIV/0!</v>
      </c>
      <c r="AU282" s="3" t="e">
        <f>AU198-AT198</f>
        <v>#DIV/0!</v>
      </c>
      <c r="AV282" s="3" t="e">
        <f>SUM(AR282:AU282)</f>
        <v>#DIV/0!</v>
      </c>
      <c r="AW282" s="3" t="e">
        <f>AW198-AV198</f>
        <v>#DIV/0!</v>
      </c>
      <c r="AX282" s="3" t="e">
        <f>AX198-AW198</f>
        <v>#DIV/0!</v>
      </c>
      <c r="AY282" s="3" t="e">
        <f>AY198-AX198</f>
        <v>#DIV/0!</v>
      </c>
      <c r="AZ282" s="3" t="e">
        <f>AZ198-AY198</f>
        <v>#DIV/0!</v>
      </c>
      <c r="BA282" s="3" t="e">
        <f>SUM(AW282:AZ282)</f>
        <v>#DIV/0!</v>
      </c>
      <c r="BB282" s="3" t="e">
        <f>BB198-BA198</f>
        <v>#DIV/0!</v>
      </c>
      <c r="BC282" s="3" t="e">
        <f>BC198-BB198</f>
        <v>#DIV/0!</v>
      </c>
      <c r="BD282" s="3" t="e">
        <f>BD198-BC198</f>
        <v>#DIV/0!</v>
      </c>
      <c r="BE282" s="3" t="e">
        <f>BE198-BD198</f>
        <v>#DIV/0!</v>
      </c>
      <c r="BF282" s="3" t="e">
        <f>SUM(BB282:BE282)</f>
        <v>#DIV/0!</v>
      </c>
      <c r="BG282" s="3" t="e">
        <f>BG198-BF198</f>
        <v>#DIV/0!</v>
      </c>
      <c r="BH282" s="3" t="e">
        <f>BH198-BG198</f>
        <v>#DIV/0!</v>
      </c>
      <c r="BI282" s="3" t="e">
        <f>BI198-BH198</f>
        <v>#DIV/0!</v>
      </c>
      <c r="BJ282" s="3" t="e">
        <f>BJ198-BI198</f>
        <v>#DIV/0!</v>
      </c>
      <c r="BK282" s="3" t="e">
        <f>SUM(BG282:BJ282)</f>
        <v>#DIV/0!</v>
      </c>
      <c r="BL282" s="3" t="e">
        <f>BL198-BK198</f>
        <v>#DIV/0!</v>
      </c>
      <c r="BM282" s="3" t="e">
        <f>BM198-BL198</f>
        <v>#DIV/0!</v>
      </c>
      <c r="BN282" s="3" t="e">
        <f>BN198-BM198</f>
        <v>#DIV/0!</v>
      </c>
      <c r="BO282" s="3" t="e">
        <f>BO198-BN198</f>
        <v>#DIV/0!</v>
      </c>
      <c r="BP282" s="3" t="e">
        <f>SUM(BL282:BO282)</f>
        <v>#DIV/0!</v>
      </c>
      <c r="BQ282" s="3" t="e">
        <f>BQ198-BP198</f>
        <v>#DIV/0!</v>
      </c>
      <c r="BR282" s="3" t="e">
        <f>BR198-BQ198</f>
        <v>#DIV/0!</v>
      </c>
      <c r="BS282" s="3" t="e">
        <f>BS198-BR198</f>
        <v>#DIV/0!</v>
      </c>
      <c r="BT282" s="3" t="e">
        <f>BT198-BS198</f>
        <v>#DIV/0!</v>
      </c>
      <c r="BU282" s="3" t="e">
        <f>SUM(BQ282:BT282)</f>
        <v>#DIV/0!</v>
      </c>
      <c r="BV282" s="3" t="e">
        <f>BV198-BU198</f>
        <v>#DIV/0!</v>
      </c>
      <c r="BW282" s="3" t="e">
        <f>BW198-BV198</f>
        <v>#DIV/0!</v>
      </c>
      <c r="BX282" s="3" t="e">
        <f>BX198-BW198</f>
        <v>#DIV/0!</v>
      </c>
      <c r="BY282" s="3" t="e">
        <f>BY198-BX198</f>
        <v>#DIV/0!</v>
      </c>
      <c r="BZ282" s="3" t="e">
        <f>SUM(BV282:BY282)</f>
        <v>#DIV/0!</v>
      </c>
      <c r="CA282" s="3" t="e">
        <f>CA198-BZ198</f>
        <v>#DIV/0!</v>
      </c>
      <c r="CB282" s="3" t="e">
        <f>CB198-CA198</f>
        <v>#DIV/0!</v>
      </c>
      <c r="CC282" s="3" t="e">
        <f>CC198-CB198</f>
        <v>#DIV/0!</v>
      </c>
      <c r="CD282" s="3" t="e">
        <f>CD198-CC198</f>
        <v>#DIV/0!</v>
      </c>
      <c r="CE282" s="3" t="e">
        <f>SUM(CA282:CD282)</f>
        <v>#DIV/0!</v>
      </c>
      <c r="CF282" s="3" t="e">
        <f>CF198-CE198</f>
        <v>#DIV/0!</v>
      </c>
      <c r="CG282" s="3" t="e">
        <f>CG198-CF198</f>
        <v>#DIV/0!</v>
      </c>
      <c r="CH282" s="3" t="e">
        <f>CH198-CG198</f>
        <v>#DIV/0!</v>
      </c>
      <c r="CI282" s="3" t="e">
        <f>CI198-CH198</f>
        <v>#DIV/0!</v>
      </c>
      <c r="CJ282" s="3" t="e">
        <f>SUM(CF282:CI282)</f>
        <v>#DIV/0!</v>
      </c>
      <c r="CK282" s="3" t="e">
        <f>CK198-CJ198</f>
        <v>#DIV/0!</v>
      </c>
      <c r="CL282" s="3" t="e">
        <f>CL198-CK198</f>
        <v>#DIV/0!</v>
      </c>
      <c r="CM282" s="3" t="e">
        <f>CM198-CL198</f>
        <v>#DIV/0!</v>
      </c>
      <c r="CN282" s="3" t="e">
        <f>CN198-CM198</f>
        <v>#DIV/0!</v>
      </c>
      <c r="CO282" s="3" t="e">
        <f>SUM(CK282:CN282)</f>
        <v>#DIV/0!</v>
      </c>
      <c r="CP282" s="3" t="e">
        <f>CP198-CO198</f>
        <v>#DIV/0!</v>
      </c>
      <c r="CQ282" s="3" t="e">
        <f>CQ198-CP198</f>
        <v>#DIV/0!</v>
      </c>
      <c r="CR282" s="3" t="e">
        <f>CR198-CQ198</f>
        <v>#DIV/0!</v>
      </c>
      <c r="CS282" s="3" t="e">
        <f>CS198-CR198</f>
        <v>#DIV/0!</v>
      </c>
      <c r="CT282" s="3" t="e">
        <f>SUM(CP282:CS282)</f>
        <v>#DIV/0!</v>
      </c>
      <c r="CU282" s="3" t="e">
        <f>CU198-CT198</f>
        <v>#DIV/0!</v>
      </c>
      <c r="CV282" s="3" t="e">
        <f>CV198-CU198</f>
        <v>#DIV/0!</v>
      </c>
      <c r="CW282" s="3" t="e">
        <f>CW198-CV198</f>
        <v>#DIV/0!</v>
      </c>
      <c r="CX282" s="3" t="e">
        <f>CX198-CW198</f>
        <v>#DIV/0!</v>
      </c>
      <c r="CY282" s="3" t="e">
        <f>SUM(CU282:CX282)</f>
        <v>#DIV/0!</v>
      </c>
    </row>
    <row r="283" hidden="1" outlineLevel="1">
      <c r="C283" s="29" t="inlineStr">
        <is>
          <t>Taxes payable</t>
        </is>
      </c>
      <c r="D283" s="3" t="n"/>
      <c r="E283" s="3">
        <f>E200-D200</f>
        <v>62</v>
      </c>
      <c r="F283" s="3">
        <f>F200-E200</f>
        <v>124</v>
      </c>
      <c r="G283" s="3">
        <f>G200-F200</f>
        <v>386</v>
      </c>
      <c r="H283" s="3">
        <f>SUM(D283:G283)</f>
        <v>572</v>
      </c>
      <c r="I283" s="3">
        <f>I200-H200</f>
        <v>408</v>
      </c>
      <c r="J283" s="3">
        <f>J200-I200</f>
        <v>-82</v>
      </c>
      <c r="K283" s="3">
        <f>K200-J200</f>
        <v>2359</v>
      </c>
      <c r="L283" s="3">
        <f>L200-K200</f>
        <v>-3362</v>
      </c>
      <c r="M283" s="3">
        <f>SUM(I283:L283)</f>
        <v>-677</v>
      </c>
      <c r="N283" s="3">
        <f>N200-M200</f>
        <v>3536</v>
      </c>
      <c r="O283" s="3">
        <f>O200-N200</f>
        <v>-2388</v>
      </c>
      <c r="P283" s="3">
        <f>P200-O200</f>
        <v>-931</v>
      </c>
      <c r="Q283" s="3">
        <f>Q200-P200</f>
        <v>-1025</v>
      </c>
      <c r="R283" s="3">
        <f>SUM(N283:Q283)</f>
        <v>-808</v>
      </c>
      <c r="S283" s="3">
        <f>S200-R200</f>
        <v>0</v>
      </c>
      <c r="T283" s="3">
        <f>T200-S200</f>
        <v>0</v>
      </c>
      <c r="U283" s="3">
        <f>U200-T200</f>
        <v>0</v>
      </c>
      <c r="V283" s="3">
        <f>V200-U200</f>
        <v>0</v>
      </c>
      <c r="W283" s="3">
        <f>SUM(S283:V283)</f>
        <v>0</v>
      </c>
      <c r="X283" s="3">
        <f>X200-W200</f>
        <v>0</v>
      </c>
      <c r="Y283" s="3">
        <f>Y200-X200</f>
        <v>0</v>
      </c>
      <c r="Z283" s="3">
        <f>Z200-Y200</f>
        <v>0</v>
      </c>
      <c r="AA283" s="3">
        <f>AA200-Z200</f>
        <v>0</v>
      </c>
      <c r="AB283" s="3">
        <f>SUM(X283:AA283)</f>
        <v>0</v>
      </c>
      <c r="AC283" s="3">
        <f>AC200-AB200</f>
        <v>0</v>
      </c>
      <c r="AD283" s="3">
        <f>AD200-AC200</f>
        <v>0</v>
      </c>
      <c r="AE283" s="3">
        <f>AE200-AD200</f>
        <v>0</v>
      </c>
      <c r="AF283" s="3">
        <f>AF200-AE200</f>
        <v>0</v>
      </c>
      <c r="AG283" s="3">
        <f>SUM(AC283:AF283)</f>
        <v>0</v>
      </c>
      <c r="AH283" s="3">
        <f>AH200-AG200</f>
        <v>0</v>
      </c>
      <c r="AI283" s="3">
        <f>AI200-AH200</f>
        <v>0</v>
      </c>
      <c r="AJ283" s="3">
        <f>AJ200-AI200</f>
        <v>0</v>
      </c>
      <c r="AK283" s="3">
        <f>AK200-AJ200</f>
        <v>0</v>
      </c>
      <c r="AL283" s="3">
        <f>SUM(AH283:AK283)</f>
        <v>0</v>
      </c>
      <c r="AM283" s="3" t="e">
        <f>AM200-AL200</f>
        <v>#DIV/0!</v>
      </c>
      <c r="AN283" s="3" t="e">
        <f>AN200-AM200</f>
        <v>#DIV/0!</v>
      </c>
      <c r="AO283" s="3" t="e">
        <f>AO200-AN200</f>
        <v>#DIV/0!</v>
      </c>
      <c r="AP283" s="3" t="e">
        <f>AP200-AO200</f>
        <v>#DIV/0!</v>
      </c>
      <c r="AQ283" s="3" t="e">
        <f>SUM(AM283:AP283)</f>
        <v>#DIV/0!</v>
      </c>
      <c r="AR283" s="3" t="e">
        <f>AR200-AQ200</f>
        <v>#DIV/0!</v>
      </c>
      <c r="AS283" s="3" t="e">
        <f>AS200-AR200</f>
        <v>#DIV/0!</v>
      </c>
      <c r="AT283" s="3" t="e">
        <f>AT200-AS200</f>
        <v>#DIV/0!</v>
      </c>
      <c r="AU283" s="3" t="e">
        <f>AU200-AT200</f>
        <v>#DIV/0!</v>
      </c>
      <c r="AV283" s="3" t="e">
        <f>SUM(AR283:AU283)</f>
        <v>#DIV/0!</v>
      </c>
      <c r="AW283" s="3" t="e">
        <f>AW200-AV200</f>
        <v>#DIV/0!</v>
      </c>
      <c r="AX283" s="3" t="e">
        <f>AX200-AW200</f>
        <v>#DIV/0!</v>
      </c>
      <c r="AY283" s="3" t="e">
        <f>AY200-AX200</f>
        <v>#DIV/0!</v>
      </c>
      <c r="AZ283" s="3" t="e">
        <f>AZ200-AY200</f>
        <v>#DIV/0!</v>
      </c>
      <c r="BA283" s="3" t="e">
        <f>SUM(AW283:AZ283)</f>
        <v>#DIV/0!</v>
      </c>
      <c r="BB283" s="3" t="e">
        <f>BB200-BA200</f>
        <v>#DIV/0!</v>
      </c>
      <c r="BC283" s="3" t="e">
        <f>BC200-BB200</f>
        <v>#DIV/0!</v>
      </c>
      <c r="BD283" s="3" t="e">
        <f>BD200-BC200</f>
        <v>#DIV/0!</v>
      </c>
      <c r="BE283" s="3" t="e">
        <f>BE200-BD200</f>
        <v>#DIV/0!</v>
      </c>
      <c r="BF283" s="3" t="e">
        <f>SUM(BB283:BE283)</f>
        <v>#DIV/0!</v>
      </c>
      <c r="BG283" s="3" t="e">
        <f>BG200-BF200</f>
        <v>#DIV/0!</v>
      </c>
      <c r="BH283" s="3" t="e">
        <f>BH200-BG200</f>
        <v>#DIV/0!</v>
      </c>
      <c r="BI283" s="3" t="e">
        <f>BI200-BH200</f>
        <v>#DIV/0!</v>
      </c>
      <c r="BJ283" s="3" t="e">
        <f>BJ200-BI200</f>
        <v>#DIV/0!</v>
      </c>
      <c r="BK283" s="3" t="e">
        <f>SUM(BG283:BJ283)</f>
        <v>#DIV/0!</v>
      </c>
      <c r="BL283" s="3" t="e">
        <f>BL200-BK200</f>
        <v>#DIV/0!</v>
      </c>
      <c r="BM283" s="3" t="e">
        <f>BM200-BL200</f>
        <v>#DIV/0!</v>
      </c>
      <c r="BN283" s="3" t="e">
        <f>BN200-BM200</f>
        <v>#DIV/0!</v>
      </c>
      <c r="BO283" s="3" t="e">
        <f>BO200-BN200</f>
        <v>#DIV/0!</v>
      </c>
      <c r="BP283" s="3" t="e">
        <f>SUM(BL283:BO283)</f>
        <v>#DIV/0!</v>
      </c>
      <c r="BQ283" s="3" t="e">
        <f>BQ200-BP200</f>
        <v>#DIV/0!</v>
      </c>
      <c r="BR283" s="3" t="e">
        <f>BR200-BQ200</f>
        <v>#DIV/0!</v>
      </c>
      <c r="BS283" s="3" t="e">
        <f>BS200-BR200</f>
        <v>#DIV/0!</v>
      </c>
      <c r="BT283" s="3" t="e">
        <f>BT200-BS200</f>
        <v>#DIV/0!</v>
      </c>
      <c r="BU283" s="3" t="e">
        <f>SUM(BQ283:BT283)</f>
        <v>#DIV/0!</v>
      </c>
      <c r="BV283" s="3" t="e">
        <f>BV200-BU200</f>
        <v>#DIV/0!</v>
      </c>
      <c r="BW283" s="3" t="e">
        <f>BW200-BV200</f>
        <v>#DIV/0!</v>
      </c>
      <c r="BX283" s="3" t="e">
        <f>BX200-BW200</f>
        <v>#DIV/0!</v>
      </c>
      <c r="BY283" s="3" t="e">
        <f>BY200-BX200</f>
        <v>#DIV/0!</v>
      </c>
      <c r="BZ283" s="3" t="e">
        <f>SUM(BV283:BY283)</f>
        <v>#DIV/0!</v>
      </c>
      <c r="CA283" s="3" t="e">
        <f>CA200-BZ200</f>
        <v>#DIV/0!</v>
      </c>
      <c r="CB283" s="3" t="e">
        <f>CB200-CA200</f>
        <v>#DIV/0!</v>
      </c>
      <c r="CC283" s="3" t="e">
        <f>CC200-CB200</f>
        <v>#DIV/0!</v>
      </c>
      <c r="CD283" s="3" t="e">
        <f>CD200-CC200</f>
        <v>#DIV/0!</v>
      </c>
      <c r="CE283" s="3" t="e">
        <f>SUM(CA283:CD283)</f>
        <v>#DIV/0!</v>
      </c>
      <c r="CF283" s="3" t="e">
        <f>CF200-CE200</f>
        <v>#DIV/0!</v>
      </c>
      <c r="CG283" s="3" t="e">
        <f>CG200-CF200</f>
        <v>#DIV/0!</v>
      </c>
      <c r="CH283" s="3" t="e">
        <f>CH200-CG200</f>
        <v>#DIV/0!</v>
      </c>
      <c r="CI283" s="3" t="e">
        <f>CI200-CH200</f>
        <v>#DIV/0!</v>
      </c>
      <c r="CJ283" s="3" t="e">
        <f>SUM(CF283:CI283)</f>
        <v>#DIV/0!</v>
      </c>
      <c r="CK283" s="3" t="e">
        <f>CK200-CJ200</f>
        <v>#DIV/0!</v>
      </c>
      <c r="CL283" s="3" t="e">
        <f>CL200-CK200</f>
        <v>#DIV/0!</v>
      </c>
      <c r="CM283" s="3" t="e">
        <f>CM200-CL200</f>
        <v>#DIV/0!</v>
      </c>
      <c r="CN283" s="3" t="e">
        <f>CN200-CM200</f>
        <v>#DIV/0!</v>
      </c>
      <c r="CO283" s="3" t="e">
        <f>SUM(CK283:CN283)</f>
        <v>#DIV/0!</v>
      </c>
      <c r="CP283" s="3" t="e">
        <f>CP200-CO200</f>
        <v>#DIV/0!</v>
      </c>
      <c r="CQ283" s="3" t="e">
        <f>CQ200-CP200</f>
        <v>#DIV/0!</v>
      </c>
      <c r="CR283" s="3" t="e">
        <f>CR200-CQ200</f>
        <v>#DIV/0!</v>
      </c>
      <c r="CS283" s="3" t="e">
        <f>CS200-CR200</f>
        <v>#DIV/0!</v>
      </c>
      <c r="CT283" s="3" t="e">
        <f>SUM(CP283:CS283)</f>
        <v>#DIV/0!</v>
      </c>
      <c r="CU283" s="3" t="e">
        <f>CU200-CT200</f>
        <v>#DIV/0!</v>
      </c>
      <c r="CV283" s="3" t="e">
        <f>CV200-CU200</f>
        <v>#DIV/0!</v>
      </c>
      <c r="CW283" s="3" t="e">
        <f>CW200-CV200</f>
        <v>#DIV/0!</v>
      </c>
      <c r="CX283" s="3" t="e">
        <f>CX200-CW200</f>
        <v>#DIV/0!</v>
      </c>
      <c r="CY283" s="3" t="e">
        <f>SUM(CU283:CX283)</f>
        <v>#DIV/0!</v>
      </c>
    </row>
    <row r="284" hidden="1" outlineLevel="1">
      <c r="C284" s="29" t="inlineStr">
        <is>
          <t>Other current liabilities (non-debt)</t>
        </is>
      </c>
      <c r="D284" s="3" t="n"/>
      <c r="E284" s="3">
        <f>E201-D201</f>
        <v>123</v>
      </c>
      <c r="F284" s="3">
        <f>F201-E201</f>
        <v>241</v>
      </c>
      <c r="G284" s="3">
        <f>G201-F201</f>
        <v>241</v>
      </c>
      <c r="H284" s="3">
        <f>SUM(D284:G284)</f>
        <v>605</v>
      </c>
      <c r="I284" s="3">
        <f>I201-H201</f>
        <v>147</v>
      </c>
      <c r="J284" s="3">
        <f>J201-I201</f>
        <v>25</v>
      </c>
      <c r="K284" s="3">
        <f>K201-J201</f>
        <v>253</v>
      </c>
      <c r="L284" s="3">
        <f>L201-K201</f>
        <v>320</v>
      </c>
      <c r="M284" s="3">
        <f>SUM(I284:L284)</f>
        <v>745</v>
      </c>
      <c r="N284" s="3">
        <f>N201-M201</f>
        <v>-90</v>
      </c>
      <c r="O284" s="3">
        <f>O201-N201</f>
        <v>74</v>
      </c>
      <c r="P284" s="3">
        <f>P201-O201</f>
        <v>313</v>
      </c>
      <c r="Q284" s="3">
        <f>Q201-P201</f>
        <v>323</v>
      </c>
      <c r="R284" s="3">
        <f>SUM(N284:Q284)</f>
        <v>620</v>
      </c>
      <c r="S284" s="3">
        <f>S201-R201</f>
        <v>-193</v>
      </c>
      <c r="T284" s="3">
        <f>T201-S201</f>
        <v>131</v>
      </c>
      <c r="U284" s="3">
        <f>U201-T201</f>
        <v>457</v>
      </c>
      <c r="V284" s="3">
        <f>V201-U201</f>
        <v>-166</v>
      </c>
      <c r="W284" s="3">
        <f>SUM(S284:V284)</f>
        <v>229</v>
      </c>
      <c r="X284" s="3">
        <f>X201-W201</f>
        <v>-164</v>
      </c>
      <c r="Y284" s="3">
        <f>Y201-X201</f>
        <v>278</v>
      </c>
      <c r="Z284" s="3">
        <f>Z201-Y201</f>
        <v>645</v>
      </c>
      <c r="AA284" s="3">
        <f>AA201-Z201</f>
        <v>140</v>
      </c>
      <c r="AB284" s="3">
        <f>SUM(X284:AA284)</f>
        <v>899</v>
      </c>
      <c r="AC284" s="3">
        <f>AC201-AB201</f>
        <v>-128</v>
      </c>
      <c r="AD284" s="3">
        <f>AD201-AC201</f>
        <v>61</v>
      </c>
      <c r="AE284" s="3">
        <f>AE201-AD201</f>
        <v>573</v>
      </c>
      <c r="AF284" s="3">
        <f>AF201-AE201</f>
        <v>1036</v>
      </c>
      <c r="AG284" s="3">
        <f>SUM(AC284:AF284)</f>
        <v>1542</v>
      </c>
      <c r="AH284" s="3">
        <f>AH201-AG201</f>
        <v>584</v>
      </c>
      <c r="AI284" s="3">
        <f>AI201-AH201</f>
        <v>-8</v>
      </c>
      <c r="AJ284" s="3">
        <f>AJ201-AI201</f>
        <v>0</v>
      </c>
      <c r="AK284" s="3">
        <f>AK201-AJ201</f>
        <v>0</v>
      </c>
      <c r="AL284" s="3">
        <f>SUM(AH284:AK284)</f>
        <v>576</v>
      </c>
      <c r="AM284" s="3">
        <f>AM201-AL201</f>
        <v>0</v>
      </c>
      <c r="AN284" s="3">
        <f>AN201-AM201</f>
        <v>0</v>
      </c>
      <c r="AO284" s="3">
        <f>AO201-AN201</f>
        <v>0</v>
      </c>
      <c r="AP284" s="3">
        <f>AP201-AO201</f>
        <v>0</v>
      </c>
      <c r="AQ284" s="3">
        <f>SUM(AM284:AP284)</f>
        <v>0</v>
      </c>
      <c r="AR284" s="3">
        <f>AR201-AQ201</f>
        <v>0</v>
      </c>
      <c r="AS284" s="3">
        <f>AS201-AR201</f>
        <v>0</v>
      </c>
      <c r="AT284" s="3">
        <f>AT201-AS201</f>
        <v>0</v>
      </c>
      <c r="AU284" s="3">
        <f>AU201-AT201</f>
        <v>0</v>
      </c>
      <c r="AV284" s="3">
        <f>SUM(AR284:AU284)</f>
        <v>0</v>
      </c>
      <c r="AW284" s="3">
        <f>AW201-AV201</f>
        <v>0</v>
      </c>
      <c r="AX284" s="3">
        <f>AX201-AW201</f>
        <v>0</v>
      </c>
      <c r="AY284" s="3">
        <f>AY201-AX201</f>
        <v>0</v>
      </c>
      <c r="AZ284" s="3">
        <f>AZ201-AY201</f>
        <v>0</v>
      </c>
      <c r="BA284" s="3">
        <f>SUM(AW284:AZ284)</f>
        <v>0</v>
      </c>
      <c r="BB284" s="3">
        <f>BB201-BA201</f>
        <v>0</v>
      </c>
      <c r="BC284" s="3">
        <f>BC201-BB201</f>
        <v>0</v>
      </c>
      <c r="BD284" s="3">
        <f>BD201-BC201</f>
        <v>0</v>
      </c>
      <c r="BE284" s="3">
        <f>BE201-BD201</f>
        <v>0</v>
      </c>
      <c r="BF284" s="3">
        <f>SUM(BB284:BE284)</f>
        <v>0</v>
      </c>
      <c r="BG284" s="3">
        <f>BG201-BF201</f>
        <v>0</v>
      </c>
      <c r="BH284" s="3">
        <f>BH201-BG201</f>
        <v>0</v>
      </c>
      <c r="BI284" s="3">
        <f>BI201-BH201</f>
        <v>0</v>
      </c>
      <c r="BJ284" s="3">
        <f>BJ201-BI201</f>
        <v>0</v>
      </c>
      <c r="BK284" s="3">
        <f>SUM(BG284:BJ284)</f>
        <v>0</v>
      </c>
      <c r="BL284" s="3">
        <f>BL201-BK201</f>
        <v>0</v>
      </c>
      <c r="BM284" s="3">
        <f>BM201-BL201</f>
        <v>0</v>
      </c>
      <c r="BN284" s="3">
        <f>BN201-BM201</f>
        <v>0</v>
      </c>
      <c r="BO284" s="3">
        <f>BO201-BN201</f>
        <v>0</v>
      </c>
      <c r="BP284" s="3">
        <f>SUM(BL284:BO284)</f>
        <v>0</v>
      </c>
      <c r="BQ284" s="3">
        <f>BQ201-BP201</f>
        <v>0</v>
      </c>
      <c r="BR284" s="3">
        <f>BR201-BQ201</f>
        <v>0</v>
      </c>
      <c r="BS284" s="3">
        <f>BS201-BR201</f>
        <v>0</v>
      </c>
      <c r="BT284" s="3">
        <f>BT201-BS201</f>
        <v>0</v>
      </c>
      <c r="BU284" s="3">
        <f>SUM(BQ284:BT284)</f>
        <v>0</v>
      </c>
      <c r="BV284" s="3">
        <f>BV201-BU201</f>
        <v>0</v>
      </c>
      <c r="BW284" s="3">
        <f>BW201-BV201</f>
        <v>0</v>
      </c>
      <c r="BX284" s="3">
        <f>BX201-BW201</f>
        <v>0</v>
      </c>
      <c r="BY284" s="3">
        <f>BY201-BX201</f>
        <v>0</v>
      </c>
      <c r="BZ284" s="3">
        <f>SUM(BV284:BY284)</f>
        <v>0</v>
      </c>
      <c r="CA284" s="3">
        <f>CA201-BZ201</f>
        <v>0</v>
      </c>
      <c r="CB284" s="3">
        <f>CB201-CA201</f>
        <v>0</v>
      </c>
      <c r="CC284" s="3">
        <f>CC201-CB201</f>
        <v>0</v>
      </c>
      <c r="CD284" s="3">
        <f>CD201-CC201</f>
        <v>0</v>
      </c>
      <c r="CE284" s="3">
        <f>SUM(CA284:CD284)</f>
        <v>0</v>
      </c>
      <c r="CF284" s="3">
        <f>CF201-CE201</f>
        <v>0</v>
      </c>
      <c r="CG284" s="3">
        <f>CG201-CF201</f>
        <v>0</v>
      </c>
      <c r="CH284" s="3">
        <f>CH201-CG201</f>
        <v>0</v>
      </c>
      <c r="CI284" s="3">
        <f>CI201-CH201</f>
        <v>0</v>
      </c>
      <c r="CJ284" s="3">
        <f>SUM(CF284:CI284)</f>
        <v>0</v>
      </c>
      <c r="CK284" s="3">
        <f>CK201-CJ201</f>
        <v>0</v>
      </c>
      <c r="CL284" s="3">
        <f>CL201-CK201</f>
        <v>0</v>
      </c>
      <c r="CM284" s="3">
        <f>CM201-CL201</f>
        <v>0</v>
      </c>
      <c r="CN284" s="3">
        <f>CN201-CM201</f>
        <v>0</v>
      </c>
      <c r="CO284" s="3">
        <f>SUM(CK284:CN284)</f>
        <v>0</v>
      </c>
      <c r="CP284" s="3">
        <f>CP201-CO201</f>
        <v>0</v>
      </c>
      <c r="CQ284" s="3">
        <f>CQ201-CP201</f>
        <v>0</v>
      </c>
      <c r="CR284" s="3">
        <f>CR201-CQ201</f>
        <v>0</v>
      </c>
      <c r="CS284" s="3">
        <f>CS201-CR201</f>
        <v>0</v>
      </c>
      <c r="CT284" s="3">
        <f>SUM(CP284:CS284)</f>
        <v>0</v>
      </c>
      <c r="CU284" s="3">
        <f>CU201-CT201</f>
        <v>0</v>
      </c>
      <c r="CV284" s="3">
        <f>CV201-CU201</f>
        <v>0</v>
      </c>
      <c r="CW284" s="3">
        <f>CW201-CV201</f>
        <v>0</v>
      </c>
      <c r="CX284" s="3">
        <f>CX201-CW201</f>
        <v>0</v>
      </c>
      <c r="CY284" s="3">
        <f>SUM(CU284:CX284)</f>
        <v>0</v>
      </c>
    </row>
    <row r="285" hidden="1" outlineLevel="1">
      <c r="C285" s="29" t="inlineStr">
        <is>
          <t>Deferred income taxes</t>
        </is>
      </c>
      <c r="D285" s="3" t="n"/>
      <c r="E285" s="3">
        <f>E235-D235</f>
        <v>-282</v>
      </c>
      <c r="F285" s="3">
        <f>F235-E235</f>
        <v>176</v>
      </c>
      <c r="G285" s="3">
        <f>G235-F235</f>
        <v>1588</v>
      </c>
      <c r="H285" s="3">
        <f>SUM(D285:G285)</f>
        <v>1482</v>
      </c>
      <c r="I285" s="3">
        <f>I235-H235</f>
        <v>845</v>
      </c>
      <c r="J285" s="3">
        <f>J235-I235</f>
        <v>297</v>
      </c>
      <c r="K285" s="3">
        <f>K235-J235</f>
        <v>-1152</v>
      </c>
      <c r="L285" s="3">
        <f>L235-K235</f>
        <v>1706</v>
      </c>
      <c r="M285" s="3">
        <f>SUM(I285:L285)</f>
        <v>1696</v>
      </c>
      <c r="N285" s="3">
        <f>N235-M235</f>
        <v>-2414</v>
      </c>
      <c r="O285" s="3">
        <f>O235-N235</f>
        <v>-1919</v>
      </c>
      <c r="P285" s="3">
        <f>P235-O235</f>
        <v>-448</v>
      </c>
      <c r="Q285" s="3">
        <f>Q235-P235</f>
        <v>38</v>
      </c>
      <c r="R285" s="3">
        <f>SUM(N285:Q285)</f>
        <v>-4743</v>
      </c>
      <c r="S285" s="3">
        <f>S235-R235</f>
        <v>28</v>
      </c>
      <c r="T285" s="3">
        <f>T235-S235</f>
        <v>16</v>
      </c>
      <c r="U285" s="3">
        <f>U235-T235</f>
        <v>-30</v>
      </c>
      <c r="V285" s="3">
        <f>V235-U235</f>
        <v>-43</v>
      </c>
      <c r="W285" s="3">
        <f>SUM(S285:V285)</f>
        <v>-29</v>
      </c>
      <c r="X285" s="3">
        <f>X235-W235</f>
        <v>1</v>
      </c>
      <c r="Y285" s="3">
        <f>Y235-X235</f>
        <v>231</v>
      </c>
      <c r="Z285" s="3">
        <f>Z235-Y235</f>
        <v>-11</v>
      </c>
      <c r="AA285" s="3">
        <f>AA235-Z235</f>
        <v>-706</v>
      </c>
      <c r="AB285" s="3">
        <f>SUM(X285:AA285)</f>
        <v>-485</v>
      </c>
      <c r="AC285" s="3">
        <f>AC235-AB235</f>
        <v>0</v>
      </c>
      <c r="AD285" s="3">
        <f>AD235-AC235</f>
        <v>0</v>
      </c>
      <c r="AE285" s="3">
        <f>AE235-AD235</f>
        <v>0</v>
      </c>
      <c r="AF285" s="3">
        <f>AF235-AE235</f>
        <v>0</v>
      </c>
      <c r="AG285" s="3">
        <f>SUM(AC285:AF285)</f>
        <v>0</v>
      </c>
      <c r="AH285" s="3">
        <f>AH235-AG235</f>
        <v>0</v>
      </c>
      <c r="AI285" s="3">
        <f>AI235-AH235</f>
        <v>22819</v>
      </c>
      <c r="AJ285" s="3">
        <f>AJ235-AI235</f>
        <v>0</v>
      </c>
      <c r="AK285" s="3">
        <f>AK235-AJ235</f>
        <v>0</v>
      </c>
      <c r="AL285" s="3">
        <f>SUM(AH285:AK285)</f>
        <v>22819</v>
      </c>
      <c r="AM285" s="3">
        <f>AM235-AL235</f>
        <v>0</v>
      </c>
      <c r="AN285" s="3">
        <f>AN235-AM235</f>
        <v>0</v>
      </c>
      <c r="AO285" s="3">
        <f>AO235-AN235</f>
        <v>0</v>
      </c>
      <c r="AP285" s="3">
        <f>AP235-AO235</f>
        <v>0</v>
      </c>
      <c r="AQ285" s="3">
        <f>SUM(AM285:AP285)</f>
        <v>0</v>
      </c>
      <c r="AR285" s="3">
        <f>AR235-AQ235</f>
        <v>0</v>
      </c>
      <c r="AS285" s="3">
        <f>AS235-AR235</f>
        <v>0</v>
      </c>
      <c r="AT285" s="3">
        <f>AT235-AS235</f>
        <v>0</v>
      </c>
      <c r="AU285" s="3">
        <f>AU235-AT235</f>
        <v>0</v>
      </c>
      <c r="AV285" s="3">
        <f>SUM(AR285:AU285)</f>
        <v>0</v>
      </c>
      <c r="AW285" s="3">
        <f>AW235-AV235</f>
        <v>0</v>
      </c>
      <c r="AX285" s="3">
        <f>AX235-AW235</f>
        <v>0</v>
      </c>
      <c r="AY285" s="3">
        <f>AY235-AX235</f>
        <v>0</v>
      </c>
      <c r="AZ285" s="3">
        <f>AZ235-AY235</f>
        <v>0</v>
      </c>
      <c r="BA285" s="3">
        <f>SUM(AW285:AZ285)</f>
        <v>0</v>
      </c>
      <c r="BB285" s="3">
        <f>BB235-BA235</f>
        <v>0</v>
      </c>
      <c r="BC285" s="3">
        <f>BC235-BB235</f>
        <v>0</v>
      </c>
      <c r="BD285" s="3">
        <f>BD235-BC235</f>
        <v>0</v>
      </c>
      <c r="BE285" s="3">
        <f>BE235-BD235</f>
        <v>0</v>
      </c>
      <c r="BF285" s="3">
        <f>SUM(BB285:BE285)</f>
        <v>0</v>
      </c>
      <c r="BG285" s="3">
        <f>BG235-BF235</f>
        <v>0</v>
      </c>
      <c r="BH285" s="3">
        <f>BH235-BG235</f>
        <v>0</v>
      </c>
      <c r="BI285" s="3">
        <f>BI235-BH235</f>
        <v>0</v>
      </c>
      <c r="BJ285" s="3">
        <f>BJ235-BI235</f>
        <v>0</v>
      </c>
      <c r="BK285" s="3">
        <f>SUM(BG285:BJ285)</f>
        <v>0</v>
      </c>
      <c r="BL285" s="3">
        <f>BL235-BK235</f>
        <v>0</v>
      </c>
      <c r="BM285" s="3">
        <f>BM235-BL235</f>
        <v>0</v>
      </c>
      <c r="BN285" s="3">
        <f>BN235-BM235</f>
        <v>0</v>
      </c>
      <c r="BO285" s="3">
        <f>BO235-BN235</f>
        <v>0</v>
      </c>
      <c r="BP285" s="3">
        <f>SUM(BL285:BO285)</f>
        <v>0</v>
      </c>
      <c r="BQ285" s="3">
        <f>BQ235-BP235</f>
        <v>0</v>
      </c>
      <c r="BR285" s="3">
        <f>BR235-BQ235</f>
        <v>0</v>
      </c>
      <c r="BS285" s="3">
        <f>BS235-BR235</f>
        <v>0</v>
      </c>
      <c r="BT285" s="3">
        <f>BT235-BS235</f>
        <v>0</v>
      </c>
      <c r="BU285" s="3">
        <f>SUM(BQ285:BT285)</f>
        <v>0</v>
      </c>
      <c r="BV285" s="3">
        <f>BV235-BU235</f>
        <v>0</v>
      </c>
      <c r="BW285" s="3">
        <f>BW235-BV235</f>
        <v>0</v>
      </c>
      <c r="BX285" s="3">
        <f>BX235-BW235</f>
        <v>0</v>
      </c>
      <c r="BY285" s="3">
        <f>BY235-BX235</f>
        <v>0</v>
      </c>
      <c r="BZ285" s="3">
        <f>SUM(BV285:BY285)</f>
        <v>0</v>
      </c>
      <c r="CA285" s="3">
        <f>CA235-BZ235</f>
        <v>0</v>
      </c>
      <c r="CB285" s="3">
        <f>CB235-CA235</f>
        <v>0</v>
      </c>
      <c r="CC285" s="3">
        <f>CC235-CB235</f>
        <v>0</v>
      </c>
      <c r="CD285" s="3">
        <f>CD235-CC235</f>
        <v>0</v>
      </c>
      <c r="CE285" s="3">
        <f>SUM(CA285:CD285)</f>
        <v>0</v>
      </c>
      <c r="CF285" s="3">
        <f>CF235-CE235</f>
        <v>0</v>
      </c>
      <c r="CG285" s="3">
        <f>CG235-CF235</f>
        <v>0</v>
      </c>
      <c r="CH285" s="3">
        <f>CH235-CG235</f>
        <v>0</v>
      </c>
      <c r="CI285" s="3">
        <f>CI235-CH235</f>
        <v>0</v>
      </c>
      <c r="CJ285" s="3">
        <f>SUM(CF285:CI285)</f>
        <v>0</v>
      </c>
      <c r="CK285" s="3">
        <f>CK235-CJ235</f>
        <v>0</v>
      </c>
      <c r="CL285" s="3">
        <f>CL235-CK235</f>
        <v>0</v>
      </c>
      <c r="CM285" s="3">
        <f>CM235-CL235</f>
        <v>0</v>
      </c>
      <c r="CN285" s="3">
        <f>CN235-CM235</f>
        <v>0</v>
      </c>
      <c r="CO285" s="3">
        <f>SUM(CK285:CN285)</f>
        <v>0</v>
      </c>
      <c r="CP285" s="3">
        <f>CP235-CO235</f>
        <v>0</v>
      </c>
      <c r="CQ285" s="3">
        <f>CQ235-CP235</f>
        <v>0</v>
      </c>
      <c r="CR285" s="3">
        <f>CR235-CQ235</f>
        <v>0</v>
      </c>
      <c r="CS285" s="3">
        <f>CS235-CR235</f>
        <v>0</v>
      </c>
      <c r="CT285" s="3">
        <f>SUM(CP285:CS285)</f>
        <v>0</v>
      </c>
      <c r="CU285" s="3">
        <f>CU235-CT235</f>
        <v>0</v>
      </c>
      <c r="CV285" s="3">
        <f>CV235-CU235</f>
        <v>0</v>
      </c>
      <c r="CW285" s="3">
        <f>CW235-CV235</f>
        <v>0</v>
      </c>
      <c r="CX285" s="3">
        <f>CX235-CW235</f>
        <v>0</v>
      </c>
      <c r="CY285" s="3">
        <f>SUM(CU285:CX285)</f>
        <v>0</v>
      </c>
    </row>
    <row r="286" collapsed="1">
      <c r="C286" s="29" t="inlineStr">
        <is>
          <t>Equity income in affiliates</t>
        </is>
      </c>
      <c r="D286" s="3" t="n"/>
      <c r="E286" s="3">
        <f>(E157-D157)*-1</f>
        <v>0</v>
      </c>
      <c r="F286" s="3">
        <f>(F157-E157)*-1</f>
        <v>0</v>
      </c>
      <c r="G286" s="3">
        <f>(G157-F157)*-1</f>
        <v>0</v>
      </c>
      <c r="H286" s="3">
        <f>SUM(D286:G286)</f>
        <v>0</v>
      </c>
      <c r="I286" s="3">
        <f>(I157-H157)*-1</f>
        <v>0</v>
      </c>
      <c r="J286" s="3">
        <f>(J157-I157)*-1</f>
        <v>0</v>
      </c>
      <c r="K286" s="3">
        <f>(K157-J157)*-1</f>
        <v>0</v>
      </c>
      <c r="L286" s="3">
        <f>(L157-K157)*-1</f>
        <v>0</v>
      </c>
      <c r="M286" s="3">
        <f>SUM(I286:L286)</f>
        <v>0</v>
      </c>
      <c r="N286" s="3">
        <f>(N157-M157)*-1</f>
        <v>0</v>
      </c>
      <c r="O286" s="3">
        <f>(O157-N157)*-1</f>
        <v>0</v>
      </c>
      <c r="P286" s="3">
        <f>(P157-O157)*-1</f>
        <v>0</v>
      </c>
      <c r="Q286" s="3">
        <f>(Q157-P157)*-1</f>
        <v>0</v>
      </c>
      <c r="R286" s="3">
        <f>SUM(N286:Q286)</f>
        <v>0</v>
      </c>
      <c r="S286" s="3">
        <f>(S157-R157)*-1</f>
        <v>0</v>
      </c>
      <c r="T286" s="3">
        <f>(T157-S157)*-1</f>
        <v>0</v>
      </c>
      <c r="U286" s="3">
        <f>(U157-T157)*-1</f>
        <v>0</v>
      </c>
      <c r="V286" s="3">
        <f>(V157-U157)*-1</f>
        <v>0</v>
      </c>
      <c r="W286" s="3">
        <f>SUM(S286:V286)</f>
        <v>0</v>
      </c>
      <c r="X286" s="3">
        <f>(X157-W157)*-1</f>
        <v>0</v>
      </c>
      <c r="Y286" s="3">
        <f>(Y157-X157)*-1</f>
        <v>0</v>
      </c>
      <c r="Z286" s="3">
        <f>(Z157-Y157)*-1</f>
        <v>0</v>
      </c>
      <c r="AA286" s="3">
        <f>(AA157-Z157)*-1</f>
        <v>0</v>
      </c>
      <c r="AB286" s="3">
        <f>SUM(X286:AA286)</f>
        <v>0</v>
      </c>
      <c r="AC286" s="3">
        <f>(AC157-AB157)*-1</f>
        <v>0</v>
      </c>
      <c r="AD286" s="3">
        <f>(AD157-AC157)*-1</f>
        <v>0</v>
      </c>
      <c r="AE286" s="3">
        <f>(AE157-AD157)*-1</f>
        <v>0</v>
      </c>
      <c r="AF286" s="3">
        <f>(AF157-AE157)*-1</f>
        <v>0</v>
      </c>
      <c r="AG286" s="3">
        <f>SUM(AC286:AF286)</f>
        <v>0</v>
      </c>
      <c r="AH286" s="3">
        <f>(AH157-AG157)*-1</f>
        <v>0</v>
      </c>
      <c r="AI286" s="3">
        <f>(AI157-AH157)*-1</f>
        <v>0</v>
      </c>
      <c r="AJ286" s="3">
        <f>(AJ157-AI157)*-1</f>
        <v>0</v>
      </c>
      <c r="AK286" s="3">
        <f>(AK157-AJ157)*-1</f>
        <v>0</v>
      </c>
      <c r="AL286" s="3">
        <f>SUM(AH286:AK286)</f>
        <v>0</v>
      </c>
      <c r="AM286" s="3">
        <f>(AM157-AL157)*-1</f>
        <v>0</v>
      </c>
      <c r="AN286" s="3">
        <f>(AN157-AM157)*-1</f>
        <v>0</v>
      </c>
      <c r="AO286" s="3">
        <f>(AO157-AN157)*-1</f>
        <v>0</v>
      </c>
      <c r="AP286" s="3">
        <f>(AP157-AO157)*-1</f>
        <v>0</v>
      </c>
      <c r="AQ286" s="3">
        <f>SUM(AM286:AP286)</f>
        <v>0</v>
      </c>
      <c r="AR286" s="3">
        <f>(AR157-AQ157)*-1</f>
        <v>0</v>
      </c>
      <c r="AS286" s="3">
        <f>(AS157-AR157)*-1</f>
        <v>0</v>
      </c>
      <c r="AT286" s="3">
        <f>(AT157-AS157)*-1</f>
        <v>0</v>
      </c>
      <c r="AU286" s="3">
        <f>(AU157-AT157)*-1</f>
        <v>0</v>
      </c>
      <c r="AV286" s="3">
        <f>SUM(AR286:AU286)</f>
        <v>0</v>
      </c>
      <c r="AW286" s="3">
        <f>(AW157-AV157)*-1</f>
        <v>0</v>
      </c>
      <c r="AX286" s="3">
        <f>(AX157-AW157)*-1</f>
        <v>0</v>
      </c>
      <c r="AY286" s="3">
        <f>(AY157-AX157)*-1</f>
        <v>0</v>
      </c>
      <c r="AZ286" s="3">
        <f>(AZ157-AY157)*-1</f>
        <v>0</v>
      </c>
      <c r="BA286" s="3">
        <f>SUM(AW286:AZ286)</f>
        <v>0</v>
      </c>
      <c r="BB286" s="3">
        <f>(BB157-BA157)*-1</f>
        <v>0</v>
      </c>
      <c r="BC286" s="3">
        <f>(BC157-BB157)*-1</f>
        <v>0</v>
      </c>
      <c r="BD286" s="3">
        <f>(BD157-BC157)*-1</f>
        <v>0</v>
      </c>
      <c r="BE286" s="3">
        <f>(BE157-BD157)*-1</f>
        <v>0</v>
      </c>
      <c r="BF286" s="3">
        <f>SUM(BB286:BE286)</f>
        <v>0</v>
      </c>
      <c r="BG286" s="3">
        <f>(BG157-BF157)*-1</f>
        <v>0</v>
      </c>
      <c r="BH286" s="3">
        <f>(BH157-BG157)*-1</f>
        <v>0</v>
      </c>
      <c r="BI286" s="3">
        <f>(BI157-BH157)*-1</f>
        <v>0</v>
      </c>
      <c r="BJ286" s="3">
        <f>(BJ157-BI157)*-1</f>
        <v>0</v>
      </c>
      <c r="BK286" s="3">
        <f>SUM(BG286:BJ286)</f>
        <v>0</v>
      </c>
      <c r="BL286" s="3">
        <f>(BL157-BK157)*-1</f>
        <v>0</v>
      </c>
      <c r="BM286" s="3">
        <f>(BM157-BL157)*-1</f>
        <v>0</v>
      </c>
      <c r="BN286" s="3">
        <f>(BN157-BM157)*-1</f>
        <v>0</v>
      </c>
      <c r="BO286" s="3">
        <f>(BO157-BN157)*-1</f>
        <v>0</v>
      </c>
      <c r="BP286" s="3">
        <f>SUM(BL286:BO286)</f>
        <v>0</v>
      </c>
      <c r="BQ286" s="3">
        <f>(BQ157-BP157)*-1</f>
        <v>0</v>
      </c>
      <c r="BR286" s="3">
        <f>(BR157-BQ157)*-1</f>
        <v>0</v>
      </c>
      <c r="BS286" s="3">
        <f>(BS157-BR157)*-1</f>
        <v>0</v>
      </c>
      <c r="BT286" s="3">
        <f>(BT157-BS157)*-1</f>
        <v>0</v>
      </c>
      <c r="BU286" s="3">
        <f>SUM(BQ286:BT286)</f>
        <v>0</v>
      </c>
      <c r="BV286" s="3">
        <f>(BV157-BU157)*-1</f>
        <v>0</v>
      </c>
      <c r="BW286" s="3">
        <f>(BW157-BV157)*-1</f>
        <v>0</v>
      </c>
      <c r="BX286" s="3">
        <f>(BX157-BW157)*-1</f>
        <v>0</v>
      </c>
      <c r="BY286" s="3">
        <f>(BY157-BX157)*-1</f>
        <v>0</v>
      </c>
      <c r="BZ286" s="3">
        <f>SUM(BV286:BY286)</f>
        <v>0</v>
      </c>
      <c r="CA286" s="3">
        <f>(CA157-BZ157)*-1</f>
        <v>0</v>
      </c>
      <c r="CB286" s="3">
        <f>(CB157-CA157)*-1</f>
        <v>0</v>
      </c>
      <c r="CC286" s="3">
        <f>(CC157-CB157)*-1</f>
        <v>0</v>
      </c>
      <c r="CD286" s="3">
        <f>(CD157-CC157)*-1</f>
        <v>0</v>
      </c>
      <c r="CE286" s="3">
        <f>SUM(CA286:CD286)</f>
        <v>0</v>
      </c>
      <c r="CF286" s="3">
        <f>(CF157-CE157)*-1</f>
        <v>0</v>
      </c>
      <c r="CG286" s="3">
        <f>(CG157-CF157)*-1</f>
        <v>0</v>
      </c>
      <c r="CH286" s="3">
        <f>(CH157-CG157)*-1</f>
        <v>0</v>
      </c>
      <c r="CI286" s="3">
        <f>(CI157-CH157)*-1</f>
        <v>0</v>
      </c>
      <c r="CJ286" s="3">
        <f>SUM(CF286:CI286)</f>
        <v>0</v>
      </c>
      <c r="CK286" s="3">
        <f>(CK157-CJ157)*-1</f>
        <v>0</v>
      </c>
      <c r="CL286" s="3">
        <f>(CL157-CK157)*-1</f>
        <v>0</v>
      </c>
      <c r="CM286" s="3">
        <f>(CM157-CL157)*-1</f>
        <v>0</v>
      </c>
      <c r="CN286" s="3">
        <f>(CN157-CM157)*-1</f>
        <v>0</v>
      </c>
      <c r="CO286" s="3">
        <f>SUM(CK286:CN286)</f>
        <v>0</v>
      </c>
      <c r="CP286" s="3">
        <f>(CP157-CO157)*-1</f>
        <v>0</v>
      </c>
      <c r="CQ286" s="3">
        <f>(CQ157-CP157)*-1</f>
        <v>0</v>
      </c>
      <c r="CR286" s="3">
        <f>(CR157-CQ157)*-1</f>
        <v>0</v>
      </c>
      <c r="CS286" s="3">
        <f>(CS157-CR157)*-1</f>
        <v>0</v>
      </c>
      <c r="CT286" s="3">
        <f>SUM(CP286:CS286)</f>
        <v>0</v>
      </c>
      <c r="CU286" s="3">
        <f>(CU157-CT157)*-1</f>
        <v>0</v>
      </c>
      <c r="CV286" s="3">
        <f>(CV157-CU157)*-1</f>
        <v>0</v>
      </c>
      <c r="CW286" s="3">
        <f>(CW157-CV157)*-1</f>
        <v>0</v>
      </c>
      <c r="CX286" s="3">
        <f>(CX157-CW157)*-1</f>
        <v>0</v>
      </c>
      <c r="CY286" s="3">
        <f>SUM(CU286:CX286)</f>
        <v>0</v>
      </c>
    </row>
    <row r="287">
      <c r="C287" s="29" t="inlineStr">
        <is>
          <t>Dividends received from affiliates</t>
        </is>
      </c>
      <c r="D287" s="3" t="n"/>
      <c r="E287" s="3">
        <f>-E160</f>
        <v>0</v>
      </c>
      <c r="F287" s="3">
        <f>-F160</f>
        <v>0</v>
      </c>
      <c r="G287" s="3">
        <f>-G160</f>
        <v>0</v>
      </c>
      <c r="H287" s="3">
        <f>SUM(D287:G287)</f>
        <v>0</v>
      </c>
      <c r="I287" s="3">
        <f>-I160</f>
        <v>0</v>
      </c>
      <c r="J287" s="3">
        <f>-J160</f>
        <v>0</v>
      </c>
      <c r="K287" s="3">
        <f>-K160</f>
        <v>0</v>
      </c>
      <c r="L287" s="3">
        <f>-L160</f>
        <v>0</v>
      </c>
      <c r="M287" s="3">
        <f>SUM(I287:L287)</f>
        <v>0</v>
      </c>
      <c r="N287" s="3">
        <f>-N160</f>
        <v>0</v>
      </c>
      <c r="O287" s="3">
        <f>-O160</f>
        <v>0</v>
      </c>
      <c r="P287" s="3">
        <f>-P160</f>
        <v>0</v>
      </c>
      <c r="Q287" s="3">
        <f>-Q160</f>
        <v>0</v>
      </c>
      <c r="R287" s="3">
        <f>SUM(N287:Q287)</f>
        <v>0</v>
      </c>
      <c r="S287" s="3">
        <f>-S160</f>
        <v>0</v>
      </c>
      <c r="T287" s="3">
        <f>-T160</f>
        <v>0</v>
      </c>
      <c r="U287" s="3">
        <f>-U160</f>
        <v>0</v>
      </c>
      <c r="V287" s="3">
        <f>-V160</f>
        <v>0</v>
      </c>
      <c r="W287" s="3">
        <f>SUM(S287:V287)</f>
        <v>0</v>
      </c>
      <c r="X287" s="3">
        <f>-X160</f>
        <v>0</v>
      </c>
      <c r="Y287" s="3">
        <f>-Y160</f>
        <v>0</v>
      </c>
      <c r="Z287" s="3">
        <f>-Z160</f>
        <v>0</v>
      </c>
      <c r="AA287" s="3">
        <f>-AA160</f>
        <v>0</v>
      </c>
      <c r="AB287" s="3">
        <f>SUM(X287:AA287)</f>
        <v>0</v>
      </c>
      <c r="AC287" s="3">
        <f>-AC160</f>
        <v>0</v>
      </c>
      <c r="AD287" s="3">
        <f>-AD160</f>
        <v>0</v>
      </c>
      <c r="AE287" s="3">
        <f>-AE160</f>
        <v>0</v>
      </c>
      <c r="AF287" s="3">
        <f>-AF160</f>
        <v>0</v>
      </c>
      <c r="AG287" s="3">
        <f>SUM(AC287:AF287)</f>
        <v>0</v>
      </c>
      <c r="AH287" s="3">
        <f>-AH160</f>
        <v>0</v>
      </c>
      <c r="AI287" s="3">
        <f>-AI160</f>
        <v>0</v>
      </c>
      <c r="AJ287" s="3">
        <f>-AJ160</f>
        <v>0</v>
      </c>
      <c r="AK287" s="3">
        <f>-AK160</f>
        <v>0</v>
      </c>
      <c r="AL287" s="3">
        <f>SUM(AH287:AK287)</f>
        <v>0</v>
      </c>
      <c r="AM287" s="3">
        <f>-AM160</f>
        <v>0</v>
      </c>
      <c r="AN287" s="3">
        <f>-AN160</f>
        <v>0</v>
      </c>
      <c r="AO287" s="3">
        <f>-AO160</f>
        <v>0</v>
      </c>
      <c r="AP287" s="3">
        <f>-AP160</f>
        <v>0</v>
      </c>
      <c r="AQ287" s="3">
        <f>SUM(AM287:AP287)</f>
        <v>0</v>
      </c>
      <c r="AR287" s="3">
        <f>-AR160</f>
        <v>0</v>
      </c>
      <c r="AS287" s="3">
        <f>-AS160</f>
        <v>0</v>
      </c>
      <c r="AT287" s="3">
        <f>-AT160</f>
        <v>0</v>
      </c>
      <c r="AU287" s="3">
        <f>-AU160</f>
        <v>0</v>
      </c>
      <c r="AV287" s="3">
        <f>SUM(AR287:AU287)</f>
        <v>0</v>
      </c>
      <c r="AW287" s="3">
        <f>-AW160</f>
        <v>0</v>
      </c>
      <c r="AX287" s="3">
        <f>-AX160</f>
        <v>0</v>
      </c>
      <c r="AY287" s="3">
        <f>-AY160</f>
        <v>0</v>
      </c>
      <c r="AZ287" s="3">
        <f>-AZ160</f>
        <v>0</v>
      </c>
      <c r="BA287" s="3">
        <f>SUM(AW287:AZ287)</f>
        <v>0</v>
      </c>
      <c r="BB287" s="3">
        <f>-BB160</f>
        <v>0</v>
      </c>
      <c r="BC287" s="3">
        <f>-BC160</f>
        <v>0</v>
      </c>
      <c r="BD287" s="3">
        <f>-BD160</f>
        <v>0</v>
      </c>
      <c r="BE287" s="3">
        <f>-BE160</f>
        <v>0</v>
      </c>
      <c r="BF287" s="3">
        <f>SUM(BB287:BE287)</f>
        <v>0</v>
      </c>
      <c r="BG287" s="3">
        <f>-BG160</f>
        <v>0</v>
      </c>
      <c r="BH287" s="3">
        <f>-BH160</f>
        <v>0</v>
      </c>
      <c r="BI287" s="3">
        <f>-BI160</f>
        <v>0</v>
      </c>
      <c r="BJ287" s="3">
        <f>-BJ160</f>
        <v>0</v>
      </c>
      <c r="BK287" s="3">
        <f>SUM(BG287:BJ287)</f>
        <v>0</v>
      </c>
      <c r="BL287" s="3">
        <f>-BL160</f>
        <v>0</v>
      </c>
      <c r="BM287" s="3">
        <f>-BM160</f>
        <v>0</v>
      </c>
      <c r="BN287" s="3">
        <f>-BN160</f>
        <v>0</v>
      </c>
      <c r="BO287" s="3">
        <f>-BO160</f>
        <v>0</v>
      </c>
      <c r="BP287" s="3">
        <f>SUM(BL287:BO287)</f>
        <v>0</v>
      </c>
      <c r="BQ287" s="3">
        <f>-BQ160</f>
        <v>0</v>
      </c>
      <c r="BR287" s="3">
        <f>-BR160</f>
        <v>0</v>
      </c>
      <c r="BS287" s="3">
        <f>-BS160</f>
        <v>0</v>
      </c>
      <c r="BT287" s="3">
        <f>-BT160</f>
        <v>0</v>
      </c>
      <c r="BU287" s="3">
        <f>SUM(BQ287:BT287)</f>
        <v>0</v>
      </c>
      <c r="BV287" s="3">
        <f>-BV160</f>
        <v>0</v>
      </c>
      <c r="BW287" s="3">
        <f>-BW160</f>
        <v>0</v>
      </c>
      <c r="BX287" s="3">
        <f>-BX160</f>
        <v>0</v>
      </c>
      <c r="BY287" s="3">
        <f>-BY160</f>
        <v>0</v>
      </c>
      <c r="BZ287" s="3">
        <f>SUM(BV287:BY287)</f>
        <v>0</v>
      </c>
      <c r="CA287" s="3">
        <f>-CA160</f>
        <v>0</v>
      </c>
      <c r="CB287" s="3">
        <f>-CB160</f>
        <v>0</v>
      </c>
      <c r="CC287" s="3">
        <f>-CC160</f>
        <v>0</v>
      </c>
      <c r="CD287" s="3">
        <f>-CD160</f>
        <v>0</v>
      </c>
      <c r="CE287" s="3">
        <f>SUM(CA287:CD287)</f>
        <v>0</v>
      </c>
      <c r="CF287" s="3">
        <f>-CF160</f>
        <v>0</v>
      </c>
      <c r="CG287" s="3">
        <f>-CG160</f>
        <v>0</v>
      </c>
      <c r="CH287" s="3">
        <f>-CH160</f>
        <v>0</v>
      </c>
      <c r="CI287" s="3">
        <f>-CI160</f>
        <v>0</v>
      </c>
      <c r="CJ287" s="3">
        <f>SUM(CF287:CI287)</f>
        <v>0</v>
      </c>
      <c r="CK287" s="3">
        <f>-CK160</f>
        <v>0</v>
      </c>
      <c r="CL287" s="3">
        <f>-CL160</f>
        <v>0</v>
      </c>
      <c r="CM287" s="3">
        <f>-CM160</f>
        <v>0</v>
      </c>
      <c r="CN287" s="3">
        <f>-CN160</f>
        <v>0</v>
      </c>
      <c r="CO287" s="3">
        <f>SUM(CK287:CN287)</f>
        <v>0</v>
      </c>
      <c r="CP287" s="3">
        <f>-CP160</f>
        <v>0</v>
      </c>
      <c r="CQ287" s="3">
        <f>-CQ160</f>
        <v>0</v>
      </c>
      <c r="CR287" s="3">
        <f>-CR160</f>
        <v>0</v>
      </c>
      <c r="CS287" s="3">
        <f>-CS160</f>
        <v>0</v>
      </c>
      <c r="CT287" s="3">
        <f>SUM(CP287:CS287)</f>
        <v>0</v>
      </c>
      <c r="CU287" s="3">
        <f>-CU160</f>
        <v>0</v>
      </c>
      <c r="CV287" s="3">
        <f>-CV160</f>
        <v>0</v>
      </c>
      <c r="CW287" s="3">
        <f>-CW160</f>
        <v>0</v>
      </c>
      <c r="CX287" s="3">
        <f>-CX160</f>
        <v>0</v>
      </c>
      <c r="CY287" s="3">
        <f>SUM(CU287:CX287)</f>
        <v>0</v>
      </c>
    </row>
    <row r="288">
      <c r="C288" s="30" t="inlineStr">
        <is>
          <t>Minority interest expense</t>
        </is>
      </c>
      <c r="D288" s="3" t="n"/>
      <c r="E288" s="3">
        <f>-E132</f>
        <v>0</v>
      </c>
      <c r="F288" s="3">
        <f>-F132</f>
        <v>0</v>
      </c>
      <c r="G288" s="3">
        <f>-G132</f>
        <v>0</v>
      </c>
      <c r="H288" s="3">
        <f>SUM(D288:G288)</f>
        <v>0</v>
      </c>
      <c r="I288" s="3">
        <f>-I132</f>
        <v>0</v>
      </c>
      <c r="J288" s="3">
        <f>-J132</f>
        <v>0</v>
      </c>
      <c r="K288" s="3">
        <f>-K132</f>
        <v>0</v>
      </c>
      <c r="L288" s="3">
        <f>-L132</f>
        <v>0</v>
      </c>
      <c r="M288" s="3">
        <f>SUM(I288:L288)</f>
        <v>0</v>
      </c>
      <c r="N288" s="3">
        <f>-N132</f>
        <v>0</v>
      </c>
      <c r="O288" s="3">
        <f>-O132</f>
        <v>0</v>
      </c>
      <c r="P288" s="3">
        <f>-P132</f>
        <v>0</v>
      </c>
      <c r="Q288" s="3">
        <f>-Q132</f>
        <v>0</v>
      </c>
      <c r="R288" s="3">
        <f>SUM(N288:Q288)</f>
        <v>0</v>
      </c>
      <c r="S288" s="3">
        <f>-S132</f>
        <v>0</v>
      </c>
      <c r="T288" s="3">
        <f>-T132</f>
        <v>0</v>
      </c>
      <c r="U288" s="3">
        <f>-U132</f>
        <v>0</v>
      </c>
      <c r="V288" s="3">
        <f>-V132</f>
        <v>0</v>
      </c>
      <c r="W288" s="3">
        <f>SUM(S288:V288)</f>
        <v>0</v>
      </c>
      <c r="X288" s="3">
        <f>-X132</f>
        <v>0</v>
      </c>
      <c r="Y288" s="3">
        <f>-Y132</f>
        <v>0</v>
      </c>
      <c r="Z288" s="3">
        <f>-Z132</f>
        <v>0</v>
      </c>
      <c r="AA288" s="3">
        <f>-AA132</f>
        <v>0</v>
      </c>
      <c r="AB288" s="3">
        <f>SUM(X288:AA288)</f>
        <v>0</v>
      </c>
      <c r="AC288" s="3">
        <f>-AC132</f>
        <v>0</v>
      </c>
      <c r="AD288" s="3">
        <f>-AD132</f>
        <v>0</v>
      </c>
      <c r="AE288" s="3">
        <f>-AE132</f>
        <v>0</v>
      </c>
      <c r="AF288" s="3">
        <f>-AF132</f>
        <v>0</v>
      </c>
      <c r="AG288" s="3">
        <f>SUM(AC288:AF288)</f>
        <v>0</v>
      </c>
      <c r="AH288" s="3">
        <f>-AH132</f>
        <v>0</v>
      </c>
      <c r="AI288" s="3">
        <f>-AI132</f>
        <v>0</v>
      </c>
      <c r="AJ288" s="3">
        <f>-AJ132</f>
        <v>0</v>
      </c>
      <c r="AK288" s="3">
        <f>-AK132</f>
        <v>0</v>
      </c>
      <c r="AL288" s="3">
        <f>SUM(AH288:AK288)</f>
        <v>0</v>
      </c>
      <c r="AM288" s="3">
        <f>-AM132</f>
        <v>0</v>
      </c>
      <c r="AN288" s="3">
        <f>-AN132</f>
        <v>0</v>
      </c>
      <c r="AO288" s="3">
        <f>-AO132</f>
        <v>0</v>
      </c>
      <c r="AP288" s="3">
        <f>-AP132</f>
        <v>0</v>
      </c>
      <c r="AQ288" s="3">
        <f>SUM(AM288:AP288)</f>
        <v>0</v>
      </c>
      <c r="AR288" s="3">
        <f>-AR132</f>
        <v>0</v>
      </c>
      <c r="AS288" s="3">
        <f>-AS132</f>
        <v>0</v>
      </c>
      <c r="AT288" s="3">
        <f>-AT132</f>
        <v>0</v>
      </c>
      <c r="AU288" s="3">
        <f>-AU132</f>
        <v>0</v>
      </c>
      <c r="AV288" s="3">
        <f>SUM(AR288:AU288)</f>
        <v>0</v>
      </c>
      <c r="AW288" s="3">
        <f>-AW132</f>
        <v>0</v>
      </c>
      <c r="AX288" s="3">
        <f>-AX132</f>
        <v>0</v>
      </c>
      <c r="AY288" s="3">
        <f>-AY132</f>
        <v>0</v>
      </c>
      <c r="AZ288" s="3">
        <f>-AZ132</f>
        <v>0</v>
      </c>
      <c r="BA288" s="3">
        <f>SUM(AW288:AZ288)</f>
        <v>0</v>
      </c>
      <c r="BB288" s="3">
        <f>-BB132</f>
        <v>0</v>
      </c>
      <c r="BC288" s="3">
        <f>-BC132</f>
        <v>0</v>
      </c>
      <c r="BD288" s="3">
        <f>-BD132</f>
        <v>0</v>
      </c>
      <c r="BE288" s="3">
        <f>-BE132</f>
        <v>0</v>
      </c>
      <c r="BF288" s="3">
        <f>SUM(BB288:BE288)</f>
        <v>0</v>
      </c>
      <c r="BG288" s="3">
        <f>-BG132</f>
        <v>0</v>
      </c>
      <c r="BH288" s="3">
        <f>-BH132</f>
        <v>0</v>
      </c>
      <c r="BI288" s="3">
        <f>-BI132</f>
        <v>0</v>
      </c>
      <c r="BJ288" s="3">
        <f>-BJ132</f>
        <v>0</v>
      </c>
      <c r="BK288" s="3">
        <f>SUM(BG288:BJ288)</f>
        <v>0</v>
      </c>
      <c r="BL288" s="3">
        <f>-BL132</f>
        <v>0</v>
      </c>
      <c r="BM288" s="3">
        <f>-BM132</f>
        <v>0</v>
      </c>
      <c r="BN288" s="3">
        <f>-BN132</f>
        <v>0</v>
      </c>
      <c r="BO288" s="3">
        <f>-BO132</f>
        <v>0</v>
      </c>
      <c r="BP288" s="3">
        <f>SUM(BL288:BO288)</f>
        <v>0</v>
      </c>
      <c r="BQ288" s="3">
        <f>-BQ132</f>
        <v>0</v>
      </c>
      <c r="BR288" s="3">
        <f>-BR132</f>
        <v>0</v>
      </c>
      <c r="BS288" s="3">
        <f>-BS132</f>
        <v>0</v>
      </c>
      <c r="BT288" s="3">
        <f>-BT132</f>
        <v>0</v>
      </c>
      <c r="BU288" s="3">
        <f>SUM(BQ288:BT288)</f>
        <v>0</v>
      </c>
      <c r="BV288" s="3">
        <f>-BV132</f>
        <v>0</v>
      </c>
      <c r="BW288" s="3">
        <f>-BW132</f>
        <v>0</v>
      </c>
      <c r="BX288" s="3">
        <f>-BX132</f>
        <v>0</v>
      </c>
      <c r="BY288" s="3">
        <f>-BY132</f>
        <v>0</v>
      </c>
      <c r="BZ288" s="3">
        <f>SUM(BV288:BY288)</f>
        <v>0</v>
      </c>
      <c r="CA288" s="3">
        <f>-CA132</f>
        <v>0</v>
      </c>
      <c r="CB288" s="3">
        <f>-CB132</f>
        <v>0</v>
      </c>
      <c r="CC288" s="3">
        <f>-CC132</f>
        <v>0</v>
      </c>
      <c r="CD288" s="3">
        <f>-CD132</f>
        <v>0</v>
      </c>
      <c r="CE288" s="3">
        <f>SUM(CA288:CD288)</f>
        <v>0</v>
      </c>
      <c r="CF288" s="3">
        <f>-CF132</f>
        <v>0</v>
      </c>
      <c r="CG288" s="3">
        <f>-CG132</f>
        <v>0</v>
      </c>
      <c r="CH288" s="3">
        <f>-CH132</f>
        <v>0</v>
      </c>
      <c r="CI288" s="3">
        <f>-CI132</f>
        <v>0</v>
      </c>
      <c r="CJ288" s="3">
        <f>SUM(CF288:CI288)</f>
        <v>0</v>
      </c>
      <c r="CK288" s="3">
        <f>-CK132</f>
        <v>0</v>
      </c>
      <c r="CL288" s="3">
        <f>-CL132</f>
        <v>0</v>
      </c>
      <c r="CM288" s="3">
        <f>-CM132</f>
        <v>0</v>
      </c>
      <c r="CN288" s="3">
        <f>-CN132</f>
        <v>0</v>
      </c>
      <c r="CO288" s="3">
        <f>SUM(CK288:CN288)</f>
        <v>0</v>
      </c>
      <c r="CP288" s="3">
        <f>-CP132</f>
        <v>0</v>
      </c>
      <c r="CQ288" s="3">
        <f>-CQ132</f>
        <v>0</v>
      </c>
      <c r="CR288" s="3">
        <f>-CR132</f>
        <v>0</v>
      </c>
      <c r="CS288" s="3">
        <f>-CS132</f>
        <v>0</v>
      </c>
      <c r="CT288" s="3">
        <f>SUM(CP288:CS288)</f>
        <v>0</v>
      </c>
      <c r="CU288" s="3">
        <f>-CU132</f>
        <v>0</v>
      </c>
      <c r="CV288" s="3">
        <f>-CV132</f>
        <v>0</v>
      </c>
      <c r="CW288" s="3">
        <f>-CW132</f>
        <v>0</v>
      </c>
      <c r="CX288" s="3">
        <f>-CX132</f>
        <v>0</v>
      </c>
      <c r="CY288" s="3">
        <f>SUM(CU288:CX288)</f>
        <v>0</v>
      </c>
    </row>
    <row r="289">
      <c r="C289" s="26" t="inlineStr">
        <is>
          <t>Cash from operations</t>
        </is>
      </c>
      <c r="D289" s="3" t="n"/>
      <c r="E289" s="3">
        <f>SUM(E273,E274,E275,E286,E287,E288)</f>
        <v>15167</v>
      </c>
      <c r="F289" s="3">
        <f>SUM(F273,F274,F275,F286,F287,F288)</f>
        <v>15582</v>
      </c>
      <c r="G289" s="3">
        <f>SUM(G273,G274,G275,G286,G287,G288)</f>
        <v>23047</v>
      </c>
      <c r="H289" s="3">
        <f>SUM(H273,H274,H275,H286,H287,H288)</f>
        <v>53796</v>
      </c>
      <c r="I289" s="3">
        <f>SUM(I273,I274,I275,I286,I287,I288)</f>
        <v>20443</v>
      </c>
      <c r="J289" s="3">
        <f>SUM(J273,J274,J275,J286,J287,J288)</f>
        <v>19015</v>
      </c>
      <c r="K289" s="3">
        <f>SUM(K273,K274,K275,K286,K287,K288)</f>
        <v>24595</v>
      </c>
      <c r="L289" s="3">
        <f>SUM(L273,L274,L275,L286,L287,L288)</f>
        <v>21559</v>
      </c>
      <c r="M289" s="3">
        <f>SUM(M273,M274,M275,M286,M287,M288)</f>
        <v>85612</v>
      </c>
      <c r="N289" s="3">
        <f>SUM(N273,N274,N275,N286,N287,N288)</f>
        <v>19814</v>
      </c>
      <c r="O289" s="3">
        <f>SUM(O273,O274,O275,O286,O287,O288)</f>
        <v>13594</v>
      </c>
      <c r="P289" s="3">
        <f>SUM(P273,P274,P275,P286,P287,P288)</f>
        <v>18043</v>
      </c>
      <c r="Q289" s="3">
        <f>SUM(Q273,Q274,Q275,Q286,Q287,Q288)</f>
        <v>17595</v>
      </c>
      <c r="R289" s="3">
        <f>SUM(R273,R274,R275,R286,R287,R288)</f>
        <v>69046</v>
      </c>
      <c r="S289" s="3">
        <f>SUM(S273,S274,S275,S286,S287,S288)</f>
        <v>20219</v>
      </c>
      <c r="T289" s="3">
        <f>SUM(T273,T274,T275,T286,T287,T288)</f>
        <v>24473</v>
      </c>
      <c r="U289" s="3">
        <f>SUM(U273,U274,U275,U286,U287,U288)</f>
        <v>24371</v>
      </c>
      <c r="V289" s="3">
        <f>SUM(V273,V274,V275,V286,V287,V288)</f>
        <v>14054</v>
      </c>
      <c r="W289" s="3">
        <f>SUM(W273,W274,W275,W286,W287,W288)</f>
        <v>83117</v>
      </c>
      <c r="X289" s="3">
        <f>SUM(X273,X274,X275,X286,X287,X288)</f>
        <v>25974</v>
      </c>
      <c r="Y289" s="3">
        <f>SUM(Y273,Y274,Y275,Y286,Y287,Y288)</f>
        <v>21314</v>
      </c>
      <c r="Z289" s="3">
        <f>SUM(Z273,Z274,Z275,Z286,Z287,Z288)</f>
        <v>29167</v>
      </c>
      <c r="AA289" s="3">
        <f>SUM(AA273,AA274,AA275,AA286,AA287,AA288)</f>
        <v>33346</v>
      </c>
      <c r="AB289" s="3">
        <f>SUM(AB273,AB274,AB275,AB286,AB287,AB288)</f>
        <v>109801</v>
      </c>
      <c r="AC289" s="3">
        <f>SUM(AC273,AC274,AC275,AC286,AC287,AC288)</f>
        <v>41683</v>
      </c>
      <c r="AD289" s="3">
        <f>SUM(AD273,AD274,AD275,AD286,AD287,AD288)</f>
        <v>23603</v>
      </c>
      <c r="AE289" s="3">
        <f>SUM(AE273,AE274,AE275,AE286,AE287,AE288)</f>
        <v>57405</v>
      </c>
      <c r="AF289" s="3">
        <f>SUM(AF273,AF274,AF275,AF286,AF287,AF288)</f>
        <v>41164</v>
      </c>
      <c r="AG289" s="3">
        <f>SUM(AG273,AG274,AG275,AG286,AG287,AG288)</f>
        <v>163855</v>
      </c>
      <c r="AH289" s="3">
        <f>SUM(AH273,AH274,AH275,AH286,AH287,AH288)</f>
        <v>76903</v>
      </c>
      <c r="AI289" s="3">
        <f>SUM(AI273,AI274,AI275,AI286,AI287,AI288)</f>
        <v>143449</v>
      </c>
      <c r="AJ289" s="3">
        <f>SUM(AJ273,AJ274,AJ275,AJ286,AJ287,AJ288)</f>
        <v>-1542</v>
      </c>
      <c r="AK289" s="3">
        <f>SUM(AK273,AK274,AK275,AK286,AK287,AK288)</f>
        <v>99261</v>
      </c>
      <c r="AL289" s="3">
        <f>SUM(AL273,AL274,AL275,AL286,AL287,AL288)</f>
        <v>318071</v>
      </c>
      <c r="AM289" s="3" t="e">
        <f>SUM(AM273,AM274,AM275,AM286,AM287,AM288)</f>
        <v>#DIV/0!</v>
      </c>
      <c r="AN289" s="3" t="e">
        <f>SUM(AN273,AN274,AN275,AN286,AN287,AN288)</f>
        <v>#DIV/0!</v>
      </c>
      <c r="AO289" s="3" t="e">
        <f>SUM(AO273,AO274,AO275,AO286,AO287,AO288)</f>
        <v>#DIV/0!</v>
      </c>
      <c r="AP289" s="3" t="e">
        <f>SUM(AP273,AP274,AP275,AP286,AP287,AP288)</f>
        <v>#DIV/0!</v>
      </c>
      <c r="AQ289" s="3" t="e">
        <f>SUM(AQ273,AQ274,AQ275,AQ286,AQ287,AQ288)</f>
        <v>#DIV/0!</v>
      </c>
      <c r="AR289" s="3" t="e">
        <f>SUM(AR273,AR274,AR275,AR286,AR287,AR288)</f>
        <v>#DIV/0!</v>
      </c>
      <c r="AS289" s="3" t="e">
        <f>SUM(AS273,AS274,AS275,AS286,AS287,AS288)</f>
        <v>#DIV/0!</v>
      </c>
      <c r="AT289" s="3" t="e">
        <f>SUM(AT273,AT274,AT275,AT286,AT287,AT288)</f>
        <v>#DIV/0!</v>
      </c>
      <c r="AU289" s="3" t="e">
        <f>SUM(AU273,AU274,AU275,AU286,AU287,AU288)</f>
        <v>#DIV/0!</v>
      </c>
      <c r="AV289" s="3" t="e">
        <f>SUM(AV273,AV274,AV275,AV286,AV287,AV288)</f>
        <v>#DIV/0!</v>
      </c>
      <c r="AW289" s="3" t="e">
        <f>SUM(AW273,AW274,AW275,AW286,AW287,AW288)</f>
        <v>#DIV/0!</v>
      </c>
      <c r="AX289" s="3" t="e">
        <f>SUM(AX273,AX274,AX275,AX286,AX287,AX288)</f>
        <v>#DIV/0!</v>
      </c>
      <c r="AY289" s="3" t="e">
        <f>SUM(AY273,AY274,AY275,AY286,AY287,AY288)</f>
        <v>#DIV/0!</v>
      </c>
      <c r="AZ289" s="3" t="e">
        <f>SUM(AZ273,AZ274,AZ275,AZ286,AZ287,AZ288)</f>
        <v>#DIV/0!</v>
      </c>
      <c r="BA289" s="3" t="e">
        <f>SUM(BA273,BA274,BA275,BA286,BA287,BA288)</f>
        <v>#DIV/0!</v>
      </c>
      <c r="BB289" s="3" t="e">
        <f>SUM(BB273,BB274,BB275,BB286,BB287,BB288)</f>
        <v>#DIV/0!</v>
      </c>
      <c r="BC289" s="3" t="e">
        <f>SUM(BC273,BC274,BC275,BC286,BC287,BC288)</f>
        <v>#DIV/0!</v>
      </c>
      <c r="BD289" s="3" t="e">
        <f>SUM(BD273,BD274,BD275,BD286,BD287,BD288)</f>
        <v>#DIV/0!</v>
      </c>
      <c r="BE289" s="3" t="e">
        <f>SUM(BE273,BE274,BE275,BE286,BE287,BE288)</f>
        <v>#DIV/0!</v>
      </c>
      <c r="BF289" s="3" t="e">
        <f>SUM(BF273,BF274,BF275,BF286,BF287,BF288)</f>
        <v>#DIV/0!</v>
      </c>
      <c r="BG289" s="3" t="e">
        <f>SUM(BG273,BG274,BG275,BG286,BG287,BG288)</f>
        <v>#DIV/0!</v>
      </c>
      <c r="BH289" s="3" t="e">
        <f>SUM(BH273,BH274,BH275,BH286,BH287,BH288)</f>
        <v>#DIV/0!</v>
      </c>
      <c r="BI289" s="3" t="e">
        <f>SUM(BI273,BI274,BI275,BI286,BI287,BI288)</f>
        <v>#DIV/0!</v>
      </c>
      <c r="BJ289" s="3" t="e">
        <f>SUM(BJ273,BJ274,BJ275,BJ286,BJ287,BJ288)</f>
        <v>#DIV/0!</v>
      </c>
      <c r="BK289" s="3" t="e">
        <f>SUM(BK273,BK274,BK275,BK286,BK287,BK288)</f>
        <v>#DIV/0!</v>
      </c>
      <c r="BL289" s="3" t="e">
        <f>SUM(BL273,BL274,BL275,BL286,BL287,BL288)</f>
        <v>#DIV/0!</v>
      </c>
      <c r="BM289" s="3" t="e">
        <f>SUM(BM273,BM274,BM275,BM286,BM287,BM288)</f>
        <v>#DIV/0!</v>
      </c>
      <c r="BN289" s="3" t="e">
        <f>SUM(BN273,BN274,BN275,BN286,BN287,BN288)</f>
        <v>#DIV/0!</v>
      </c>
      <c r="BO289" s="3" t="e">
        <f>SUM(BO273,BO274,BO275,BO286,BO287,BO288)</f>
        <v>#DIV/0!</v>
      </c>
      <c r="BP289" s="3" t="e">
        <f>SUM(BP273,BP274,BP275,BP286,BP287,BP288)</f>
        <v>#DIV/0!</v>
      </c>
      <c r="BQ289" s="3" t="e">
        <f>SUM(BQ273,BQ274,BQ275,BQ286,BQ287,BQ288)</f>
        <v>#DIV/0!</v>
      </c>
      <c r="BR289" s="3" t="e">
        <f>SUM(BR273,BR274,BR275,BR286,BR287,BR288)</f>
        <v>#DIV/0!</v>
      </c>
      <c r="BS289" s="3" t="e">
        <f>SUM(BS273,BS274,BS275,BS286,BS287,BS288)</f>
        <v>#DIV/0!</v>
      </c>
      <c r="BT289" s="3" t="e">
        <f>SUM(BT273,BT274,BT275,BT286,BT287,BT288)</f>
        <v>#DIV/0!</v>
      </c>
      <c r="BU289" s="3" t="e">
        <f>SUM(BU273,BU274,BU275,BU286,BU287,BU288)</f>
        <v>#DIV/0!</v>
      </c>
      <c r="BV289" s="3" t="e">
        <f>SUM(BV273,BV274,BV275,BV286,BV287,BV288)</f>
        <v>#DIV/0!</v>
      </c>
      <c r="BW289" s="3" t="e">
        <f>SUM(BW273,BW274,BW275,BW286,BW287,BW288)</f>
        <v>#DIV/0!</v>
      </c>
      <c r="BX289" s="3" t="e">
        <f>SUM(BX273,BX274,BX275,BX286,BX287,BX288)</f>
        <v>#DIV/0!</v>
      </c>
      <c r="BY289" s="3" t="e">
        <f>SUM(BY273,BY274,BY275,BY286,BY287,BY288)</f>
        <v>#DIV/0!</v>
      </c>
      <c r="BZ289" s="3" t="e">
        <f>SUM(BZ273,BZ274,BZ275,BZ286,BZ287,BZ288)</f>
        <v>#DIV/0!</v>
      </c>
      <c r="CA289" s="3" t="e">
        <f>SUM(CA273,CA274,CA275,CA286,CA287,CA288)</f>
        <v>#DIV/0!</v>
      </c>
      <c r="CB289" s="3" t="e">
        <f>SUM(CB273,CB274,CB275,CB286,CB287,CB288)</f>
        <v>#DIV/0!</v>
      </c>
      <c r="CC289" s="3" t="e">
        <f>SUM(CC273,CC274,CC275,CC286,CC287,CC288)</f>
        <v>#DIV/0!</v>
      </c>
      <c r="CD289" s="3" t="e">
        <f>SUM(CD273,CD274,CD275,CD286,CD287,CD288)</f>
        <v>#DIV/0!</v>
      </c>
      <c r="CE289" s="3" t="e">
        <f>SUM(CE273,CE274,CE275,CE286,CE287,CE288)</f>
        <v>#DIV/0!</v>
      </c>
      <c r="CF289" s="3" t="e">
        <f>SUM(CF273,CF274,CF275,CF286,CF287,CF288)</f>
        <v>#DIV/0!</v>
      </c>
      <c r="CG289" s="3" t="e">
        <f>SUM(CG273,CG274,CG275,CG286,CG287,CG288)</f>
        <v>#DIV/0!</v>
      </c>
      <c r="CH289" s="3" t="e">
        <f>SUM(CH273,CH274,CH275,CH286,CH287,CH288)</f>
        <v>#DIV/0!</v>
      </c>
      <c r="CI289" s="3" t="e">
        <f>SUM(CI273,CI274,CI275,CI286,CI287,CI288)</f>
        <v>#DIV/0!</v>
      </c>
      <c r="CJ289" s="3" t="e">
        <f>SUM(CJ273,CJ274,CJ275,CJ286,CJ287,CJ288)</f>
        <v>#DIV/0!</v>
      </c>
      <c r="CK289" s="3" t="e">
        <f>SUM(CK273,CK274,CK275,CK286,CK287,CK288)</f>
        <v>#DIV/0!</v>
      </c>
      <c r="CL289" s="3" t="e">
        <f>SUM(CL273,CL274,CL275,CL286,CL287,CL288)</f>
        <v>#DIV/0!</v>
      </c>
      <c r="CM289" s="3" t="e">
        <f>SUM(CM273,CM274,CM275,CM286,CM287,CM288)</f>
        <v>#DIV/0!</v>
      </c>
      <c r="CN289" s="3" t="e">
        <f>SUM(CN273,CN274,CN275,CN286,CN287,CN288)</f>
        <v>#DIV/0!</v>
      </c>
      <c r="CO289" s="3" t="e">
        <f>SUM(CO273,CO274,CO275,CO286,CO287,CO288)</f>
        <v>#DIV/0!</v>
      </c>
      <c r="CP289" s="3" t="e">
        <f>SUM(CP273,CP274,CP275,CP286,CP287,CP288)</f>
        <v>#DIV/0!</v>
      </c>
      <c r="CQ289" s="3" t="e">
        <f>SUM(CQ273,CQ274,CQ275,CQ286,CQ287,CQ288)</f>
        <v>#DIV/0!</v>
      </c>
      <c r="CR289" s="3" t="e">
        <f>SUM(CR273,CR274,CR275,CR286,CR287,CR288)</f>
        <v>#DIV/0!</v>
      </c>
      <c r="CS289" s="3" t="e">
        <f>SUM(CS273,CS274,CS275,CS286,CS287,CS288)</f>
        <v>#DIV/0!</v>
      </c>
      <c r="CT289" s="3" t="e">
        <f>SUM(CT273,CT274,CT275,CT286,CT287,CT288)</f>
        <v>#DIV/0!</v>
      </c>
      <c r="CU289" s="3" t="e">
        <f>SUM(CU273,CU274,CU275,CU286,CU287,CU288)</f>
        <v>#DIV/0!</v>
      </c>
      <c r="CV289" s="3" t="e">
        <f>SUM(CV273,CV274,CV275,CV286,CV287,CV288)</f>
        <v>#DIV/0!</v>
      </c>
      <c r="CW289" s="3" t="e">
        <f>SUM(CW273,CW274,CW275,CW286,CW287,CW288)</f>
        <v>#DIV/0!</v>
      </c>
      <c r="CX289" s="3" t="e">
        <f>SUM(CX273,CX274,CX275,CX286,CX287,CX288)</f>
        <v>#DIV/0!</v>
      </c>
      <c r="CY289" s="3" t="e">
        <f>SUM(CY273,CY274,CY275,CY286,CY287,CY288)</f>
        <v>#DIV/0!</v>
      </c>
    </row>
    <row r="290">
      <c r="C290" s="26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  <c r="CG290" s="3" t="n"/>
      <c r="CH290" s="3" t="n"/>
      <c r="CI290" s="3" t="n"/>
      <c r="CJ290" s="3" t="n"/>
      <c r="CK290" s="3" t="n"/>
      <c r="CL290" s="3" t="n"/>
      <c r="CM290" s="3" t="n"/>
      <c r="CN290" s="3" t="n"/>
      <c r="CO290" s="3" t="n"/>
      <c r="CP290" s="3" t="n"/>
      <c r="CQ290" s="3" t="n"/>
      <c r="CR290" s="3" t="n"/>
      <c r="CS290" s="3" t="n"/>
      <c r="CT290" s="3" t="n"/>
      <c r="CU290" s="3" t="n"/>
      <c r="CV290" s="3" t="n"/>
      <c r="CW290" s="3" t="n"/>
      <c r="CX290" s="3" t="n"/>
      <c r="CY290" s="3" t="n"/>
    </row>
    <row r="291">
      <c r="C291" s="29" t="inlineStr">
        <is>
          <t>Purchase of fixed assets (capital expenditures)</t>
        </is>
      </c>
      <c r="D291" s="3" t="n"/>
      <c r="E291" s="3">
        <f>-E164</f>
        <v>-5387</v>
      </c>
      <c r="F291" s="3">
        <f>-F164</f>
        <v>-6366</v>
      </c>
      <c r="G291" s="3">
        <f>-G164</f>
        <v>-6652</v>
      </c>
      <c r="H291" s="3">
        <f>SUM(D291:G291)</f>
        <v>-18405</v>
      </c>
      <c r="I291" s="3">
        <f>-I164</f>
        <v>-5382</v>
      </c>
      <c r="J291" s="3">
        <f>-J164</f>
        <v>-6821</v>
      </c>
      <c r="K291" s="3">
        <f>-K164</f>
        <v>-6019</v>
      </c>
      <c r="L291" s="3">
        <f>-L164</f>
        <v>-6183</v>
      </c>
      <c r="M291" s="3">
        <f>SUM(I291:L291)</f>
        <v>-24405</v>
      </c>
      <c r="N291" s="3">
        <f>-N164</f>
        <v>-10210</v>
      </c>
      <c r="O291" s="3">
        <f>-O164</f>
        <v>-5703</v>
      </c>
      <c r="P291" s="3">
        <f>-P164</f>
        <v>-6073</v>
      </c>
      <c r="Q291" s="3">
        <f>-Q164</f>
        <v>-8370</v>
      </c>
      <c r="R291" s="3">
        <f>SUM(N291:Q291)</f>
        <v>-30356</v>
      </c>
      <c r="S291" s="3">
        <f>-S164</f>
        <v>-7952</v>
      </c>
      <c r="T291" s="3">
        <f>-T164</f>
        <v>-6927</v>
      </c>
      <c r="U291" s="3">
        <f>-U164</f>
        <v>-8168</v>
      </c>
      <c r="V291" s="3">
        <f>-V164</f>
        <v>-11956</v>
      </c>
      <c r="W291" s="3">
        <f>SUM(S291:V291)</f>
        <v>-35003</v>
      </c>
      <c r="X291" s="3">
        <f>-X164</f>
        <v>-12250</v>
      </c>
      <c r="Y291" s="3">
        <f>-Y164</f>
        <v>-11681</v>
      </c>
      <c r="Z291" s="3">
        <f>-Z164</f>
        <v>-14100</v>
      </c>
      <c r="AA291" s="3">
        <f>-AA164</f>
        <v>-13971</v>
      </c>
      <c r="AB291" s="3">
        <f>SUM(X291:AA291)</f>
        <v>-52002</v>
      </c>
      <c r="AC291" s="3">
        <f>-AC164</f>
        <v>-18513</v>
      </c>
      <c r="AD291" s="3">
        <f>-AD164</f>
        <v>-23167</v>
      </c>
      <c r="AE291" s="3">
        <f>-AE164</f>
        <v>-26167</v>
      </c>
      <c r="AF291" s="3">
        <f>-AF164</f>
        <v>-28850</v>
      </c>
      <c r="AG291" s="3">
        <f>SUM(AC291:AF291)</f>
        <v>-96697</v>
      </c>
      <c r="AH291" s="3">
        <f>-AH164</f>
        <v>-40905</v>
      </c>
      <c r="AI291" s="3">
        <f>-AI164</f>
        <v>-47296</v>
      </c>
      <c r="AJ291" s="3">
        <f>-AJ164</f>
        <v>0</v>
      </c>
      <c r="AK291" s="3">
        <f>-AK164</f>
        <v>0</v>
      </c>
      <c r="AL291" s="3">
        <f>SUM(AH291:AK291)</f>
        <v>-88201</v>
      </c>
      <c r="AM291" s="3">
        <f>-AM164</f>
        <v>0</v>
      </c>
      <c r="AN291" s="3">
        <f>-AN164</f>
        <v>0</v>
      </c>
      <c r="AO291" s="3">
        <f>-AO164</f>
        <v>0</v>
      </c>
      <c r="AP291" s="3">
        <f>-AP164</f>
        <v>0</v>
      </c>
      <c r="AQ291" s="3">
        <f>SUM(AM291:AP291)</f>
        <v>0</v>
      </c>
      <c r="AR291" s="3">
        <f>-AR164</f>
        <v>0</v>
      </c>
      <c r="AS291" s="3">
        <f>-AS164</f>
        <v>0</v>
      </c>
      <c r="AT291" s="3">
        <f>-AT164</f>
        <v>0</v>
      </c>
      <c r="AU291" s="3">
        <f>-AU164</f>
        <v>0</v>
      </c>
      <c r="AV291" s="3">
        <f>SUM(AR291:AU291)</f>
        <v>0</v>
      </c>
      <c r="AW291" s="3">
        <f>-AW164</f>
        <v>0</v>
      </c>
      <c r="AX291" s="3">
        <f>-AX164</f>
        <v>0</v>
      </c>
      <c r="AY291" s="3">
        <f>-AY164</f>
        <v>0</v>
      </c>
      <c r="AZ291" s="3">
        <f>-AZ164</f>
        <v>0</v>
      </c>
      <c r="BA291" s="3">
        <f>SUM(AW291:AZ291)</f>
        <v>0</v>
      </c>
      <c r="BB291" s="3">
        <f>-BB164</f>
        <v>0</v>
      </c>
      <c r="BC291" s="3">
        <f>-BC164</f>
        <v>0</v>
      </c>
      <c r="BD291" s="3">
        <f>-BD164</f>
        <v>0</v>
      </c>
      <c r="BE291" s="3">
        <f>-BE164</f>
        <v>0</v>
      </c>
      <c r="BF291" s="3">
        <f>SUM(BB291:BE291)</f>
        <v>0</v>
      </c>
      <c r="BG291" s="3">
        <f>-BG164</f>
        <v>0</v>
      </c>
      <c r="BH291" s="3">
        <f>-BH164</f>
        <v>0</v>
      </c>
      <c r="BI291" s="3">
        <f>-BI164</f>
        <v>0</v>
      </c>
      <c r="BJ291" s="3">
        <f>-BJ164</f>
        <v>0</v>
      </c>
      <c r="BK291" s="3">
        <f>SUM(BG291:BJ291)</f>
        <v>0</v>
      </c>
      <c r="BL291" s="3">
        <f>-BL164</f>
        <v>0</v>
      </c>
      <c r="BM291" s="3">
        <f>-BM164</f>
        <v>0</v>
      </c>
      <c r="BN291" s="3">
        <f>-BN164</f>
        <v>0</v>
      </c>
      <c r="BO291" s="3">
        <f>-BO164</f>
        <v>0</v>
      </c>
      <c r="BP291" s="3">
        <f>SUM(BL291:BO291)</f>
        <v>0</v>
      </c>
      <c r="BQ291" s="3">
        <f>-BQ164</f>
        <v>0</v>
      </c>
      <c r="BR291" s="3">
        <f>-BR164</f>
        <v>0</v>
      </c>
      <c r="BS291" s="3">
        <f>-BS164</f>
        <v>0</v>
      </c>
      <c r="BT291" s="3">
        <f>-BT164</f>
        <v>0</v>
      </c>
      <c r="BU291" s="3">
        <f>SUM(BQ291:BT291)</f>
        <v>0</v>
      </c>
      <c r="BV291" s="3">
        <f>-BV164</f>
        <v>0</v>
      </c>
      <c r="BW291" s="3">
        <f>-BW164</f>
        <v>0</v>
      </c>
      <c r="BX291" s="3">
        <f>-BX164</f>
        <v>0</v>
      </c>
      <c r="BY291" s="3">
        <f>-BY164</f>
        <v>0</v>
      </c>
      <c r="BZ291" s="3">
        <f>SUM(BV291:BY291)</f>
        <v>0</v>
      </c>
      <c r="CA291" s="3">
        <f>-CA164</f>
        <v>0</v>
      </c>
      <c r="CB291" s="3">
        <f>-CB164</f>
        <v>0</v>
      </c>
      <c r="CC291" s="3">
        <f>-CC164</f>
        <v>0</v>
      </c>
      <c r="CD291" s="3">
        <f>-CD164</f>
        <v>0</v>
      </c>
      <c r="CE291" s="3">
        <f>SUM(CA291:CD291)</f>
        <v>0</v>
      </c>
      <c r="CF291" s="3">
        <f>-CF164</f>
        <v>0</v>
      </c>
      <c r="CG291" s="3">
        <f>-CG164</f>
        <v>0</v>
      </c>
      <c r="CH291" s="3">
        <f>-CH164</f>
        <v>0</v>
      </c>
      <c r="CI291" s="3">
        <f>-CI164</f>
        <v>0</v>
      </c>
      <c r="CJ291" s="3">
        <f>SUM(CF291:CI291)</f>
        <v>0</v>
      </c>
      <c r="CK291" s="3">
        <f>-CK164</f>
        <v>0</v>
      </c>
      <c r="CL291" s="3">
        <f>-CL164</f>
        <v>0</v>
      </c>
      <c r="CM291" s="3">
        <f>-CM164</f>
        <v>0</v>
      </c>
      <c r="CN291" s="3">
        <f>-CN164</f>
        <v>0</v>
      </c>
      <c r="CO291" s="3">
        <f>SUM(CK291:CN291)</f>
        <v>0</v>
      </c>
      <c r="CP291" s="3">
        <f>-CP164</f>
        <v>0</v>
      </c>
      <c r="CQ291" s="3">
        <f>-CQ164</f>
        <v>0</v>
      </c>
      <c r="CR291" s="3">
        <f>-CR164</f>
        <v>0</v>
      </c>
      <c r="CS291" s="3">
        <f>-CS164</f>
        <v>0</v>
      </c>
      <c r="CT291" s="3">
        <f>SUM(CP291:CS291)</f>
        <v>0</v>
      </c>
      <c r="CU291" s="3">
        <f>-CU164</f>
        <v>0</v>
      </c>
      <c r="CV291" s="3">
        <f>-CV164</f>
        <v>0</v>
      </c>
      <c r="CW291" s="3">
        <f>-CW164</f>
        <v>0</v>
      </c>
      <c r="CX291" s="3">
        <f>-CX164</f>
        <v>0</v>
      </c>
      <c r="CY291" s="3">
        <f>SUM(CU291:CX291)</f>
        <v>0</v>
      </c>
    </row>
    <row r="292">
      <c r="C292" s="29" t="inlineStr">
        <is>
          <t>Proceeds from sale of fixed assets</t>
        </is>
      </c>
      <c r="D292" s="3" t="n"/>
      <c r="E292" s="3">
        <f>-E165</f>
        <v>0</v>
      </c>
      <c r="F292" s="3">
        <f>-F165</f>
        <v>0</v>
      </c>
      <c r="G292" s="3">
        <f>-G165</f>
        <v>0</v>
      </c>
      <c r="H292" s="3">
        <f>SUM(D292:G292)</f>
        <v>0</v>
      </c>
      <c r="I292" s="3">
        <f>-I165</f>
        <v>0</v>
      </c>
      <c r="J292" s="3">
        <f>-J165</f>
        <v>0</v>
      </c>
      <c r="K292" s="3">
        <f>-K165</f>
        <v>0</v>
      </c>
      <c r="L292" s="3">
        <f>-L165</f>
        <v>0</v>
      </c>
      <c r="M292" s="3">
        <f>SUM(I292:L292)</f>
        <v>0</v>
      </c>
      <c r="N292" s="3">
        <f>-N165</f>
        <v>0</v>
      </c>
      <c r="O292" s="3">
        <f>-O165</f>
        <v>0</v>
      </c>
      <c r="P292" s="3">
        <f>-P165</f>
        <v>0</v>
      </c>
      <c r="Q292" s="3">
        <f>-Q165</f>
        <v>0</v>
      </c>
      <c r="R292" s="3">
        <f>SUM(N292:Q292)</f>
        <v>0</v>
      </c>
      <c r="S292" s="3">
        <f>-S165</f>
        <v>0</v>
      </c>
      <c r="T292" s="3">
        <f>-T165</f>
        <v>0</v>
      </c>
      <c r="U292" s="3">
        <f>-U165</f>
        <v>0</v>
      </c>
      <c r="V292" s="3">
        <f>-V165</f>
        <v>0</v>
      </c>
      <c r="W292" s="3">
        <f>SUM(S292:V292)</f>
        <v>0</v>
      </c>
      <c r="X292" s="3">
        <f>-X165</f>
        <v>0</v>
      </c>
      <c r="Y292" s="3">
        <f>-Y165</f>
        <v>0</v>
      </c>
      <c r="Z292" s="3">
        <f>-Z165</f>
        <v>0</v>
      </c>
      <c r="AA292" s="3">
        <f>-AA165</f>
        <v>0</v>
      </c>
      <c r="AB292" s="3">
        <f>SUM(X292:AA292)</f>
        <v>0</v>
      </c>
      <c r="AC292" s="3">
        <f>-AC165</f>
        <v>0</v>
      </c>
      <c r="AD292" s="3">
        <f>-AD165</f>
        <v>0</v>
      </c>
      <c r="AE292" s="3">
        <f>-AE165</f>
        <v>0</v>
      </c>
      <c r="AF292" s="3">
        <f>-AF165</f>
        <v>0</v>
      </c>
      <c r="AG292" s="3">
        <f>SUM(AC292:AF292)</f>
        <v>0</v>
      </c>
      <c r="AH292" s="3">
        <f>-AH165</f>
        <v>0</v>
      </c>
      <c r="AI292" s="3">
        <f>-AI165</f>
        <v>0</v>
      </c>
      <c r="AJ292" s="3">
        <f>-AJ165</f>
        <v>0</v>
      </c>
      <c r="AK292" s="3">
        <f>-AK165</f>
        <v>0</v>
      </c>
      <c r="AL292" s="3">
        <f>SUM(AH292:AK292)</f>
        <v>0</v>
      </c>
      <c r="AM292" s="3">
        <f>-AM165</f>
        <v>0</v>
      </c>
      <c r="AN292" s="3">
        <f>-AN165</f>
        <v>0</v>
      </c>
      <c r="AO292" s="3">
        <f>-AO165</f>
        <v>0</v>
      </c>
      <c r="AP292" s="3">
        <f>-AP165</f>
        <v>0</v>
      </c>
      <c r="AQ292" s="3">
        <f>SUM(AM292:AP292)</f>
        <v>0</v>
      </c>
      <c r="AR292" s="3">
        <f>-AR165</f>
        <v>0</v>
      </c>
      <c r="AS292" s="3">
        <f>-AS165</f>
        <v>0</v>
      </c>
      <c r="AT292" s="3">
        <f>-AT165</f>
        <v>0</v>
      </c>
      <c r="AU292" s="3">
        <f>-AU165</f>
        <v>0</v>
      </c>
      <c r="AV292" s="3">
        <f>SUM(AR292:AU292)</f>
        <v>0</v>
      </c>
      <c r="AW292" s="3">
        <f>-AW165</f>
        <v>0</v>
      </c>
      <c r="AX292" s="3">
        <f>-AX165</f>
        <v>0</v>
      </c>
      <c r="AY292" s="3">
        <f>-AY165</f>
        <v>0</v>
      </c>
      <c r="AZ292" s="3">
        <f>-AZ165</f>
        <v>0</v>
      </c>
      <c r="BA292" s="3">
        <f>SUM(AW292:AZ292)</f>
        <v>0</v>
      </c>
      <c r="BB292" s="3">
        <f>-BB165</f>
        <v>0</v>
      </c>
      <c r="BC292" s="3">
        <f>-BC165</f>
        <v>0</v>
      </c>
      <c r="BD292" s="3">
        <f>-BD165</f>
        <v>0</v>
      </c>
      <c r="BE292" s="3">
        <f>-BE165</f>
        <v>0</v>
      </c>
      <c r="BF292" s="3">
        <f>SUM(BB292:BE292)</f>
        <v>0</v>
      </c>
      <c r="BG292" s="3">
        <f>-BG165</f>
        <v>0</v>
      </c>
      <c r="BH292" s="3">
        <f>-BH165</f>
        <v>0</v>
      </c>
      <c r="BI292" s="3">
        <f>-BI165</f>
        <v>0</v>
      </c>
      <c r="BJ292" s="3">
        <f>-BJ165</f>
        <v>0</v>
      </c>
      <c r="BK292" s="3">
        <f>SUM(BG292:BJ292)</f>
        <v>0</v>
      </c>
      <c r="BL292" s="3">
        <f>-BL165</f>
        <v>0</v>
      </c>
      <c r="BM292" s="3">
        <f>-BM165</f>
        <v>0</v>
      </c>
      <c r="BN292" s="3">
        <f>-BN165</f>
        <v>0</v>
      </c>
      <c r="BO292" s="3">
        <f>-BO165</f>
        <v>0</v>
      </c>
      <c r="BP292" s="3">
        <f>SUM(BL292:BO292)</f>
        <v>0</v>
      </c>
      <c r="BQ292" s="3">
        <f>-BQ165</f>
        <v>0</v>
      </c>
      <c r="BR292" s="3">
        <f>-BR165</f>
        <v>0</v>
      </c>
      <c r="BS292" s="3">
        <f>-BS165</f>
        <v>0</v>
      </c>
      <c r="BT292" s="3">
        <f>-BT165</f>
        <v>0</v>
      </c>
      <c r="BU292" s="3">
        <f>SUM(BQ292:BT292)</f>
        <v>0</v>
      </c>
      <c r="BV292" s="3">
        <f>-BV165</f>
        <v>0</v>
      </c>
      <c r="BW292" s="3">
        <f>-BW165</f>
        <v>0</v>
      </c>
      <c r="BX292" s="3">
        <f>-BX165</f>
        <v>0</v>
      </c>
      <c r="BY292" s="3">
        <f>-BY165</f>
        <v>0</v>
      </c>
      <c r="BZ292" s="3">
        <f>SUM(BV292:BY292)</f>
        <v>0</v>
      </c>
      <c r="CA292" s="3">
        <f>-CA165</f>
        <v>0</v>
      </c>
      <c r="CB292" s="3">
        <f>-CB165</f>
        <v>0</v>
      </c>
      <c r="CC292" s="3">
        <f>-CC165</f>
        <v>0</v>
      </c>
      <c r="CD292" s="3">
        <f>-CD165</f>
        <v>0</v>
      </c>
      <c r="CE292" s="3">
        <f>SUM(CA292:CD292)</f>
        <v>0</v>
      </c>
      <c r="CF292" s="3">
        <f>-CF165</f>
        <v>0</v>
      </c>
      <c r="CG292" s="3">
        <f>-CG165</f>
        <v>0</v>
      </c>
      <c r="CH292" s="3">
        <f>-CH165</f>
        <v>0</v>
      </c>
      <c r="CI292" s="3">
        <f>-CI165</f>
        <v>0</v>
      </c>
      <c r="CJ292" s="3">
        <f>SUM(CF292:CI292)</f>
        <v>0</v>
      </c>
      <c r="CK292" s="3">
        <f>-CK165</f>
        <v>0</v>
      </c>
      <c r="CL292" s="3">
        <f>-CL165</f>
        <v>0</v>
      </c>
      <c r="CM292" s="3">
        <f>-CM165</f>
        <v>0</v>
      </c>
      <c r="CN292" s="3">
        <f>-CN165</f>
        <v>0</v>
      </c>
      <c r="CO292" s="3">
        <f>SUM(CK292:CN292)</f>
        <v>0</v>
      </c>
      <c r="CP292" s="3">
        <f>-CP165</f>
        <v>0</v>
      </c>
      <c r="CQ292" s="3">
        <f>-CQ165</f>
        <v>0</v>
      </c>
      <c r="CR292" s="3">
        <f>-CR165</f>
        <v>0</v>
      </c>
      <c r="CS292" s="3">
        <f>-CS165</f>
        <v>0</v>
      </c>
      <c r="CT292" s="3">
        <f>SUM(CP292:CS292)</f>
        <v>0</v>
      </c>
      <c r="CU292" s="3">
        <f>-CU165</f>
        <v>0</v>
      </c>
      <c r="CV292" s="3">
        <f>-CV165</f>
        <v>0</v>
      </c>
      <c r="CW292" s="3">
        <f>-CW165</f>
        <v>0</v>
      </c>
      <c r="CX292" s="3">
        <f>-CX165</f>
        <v>0</v>
      </c>
      <c r="CY292" s="3">
        <f>SUM(CU292:CX292)</f>
        <v>0</v>
      </c>
    </row>
    <row r="293">
      <c r="C293" s="29" t="inlineStr">
        <is>
          <t>Var.Right-of-use-assets</t>
        </is>
      </c>
      <c r="D293" s="3" t="n"/>
      <c r="E293" s="3">
        <f>(E172-D172)*-1</f>
        <v>-348</v>
      </c>
      <c r="F293" s="3">
        <f>(F172-E172)*-1</f>
        <v>-379</v>
      </c>
      <c r="G293" s="3">
        <f>(G172-F172)*-1</f>
        <v>-265</v>
      </c>
      <c r="H293" s="3">
        <f>SUM(D293:G293)</f>
        <v>-992</v>
      </c>
      <c r="I293" s="3">
        <f>(I172-H172)*-1</f>
        <v>-387</v>
      </c>
      <c r="J293" s="3">
        <f>(J172-I172)*-1</f>
        <v>-380</v>
      </c>
      <c r="K293" s="3">
        <f>(K172-J172)*-1</f>
        <v>60</v>
      </c>
      <c r="L293" s="3">
        <f>(L172-K172)*-1</f>
        <v>-41</v>
      </c>
      <c r="M293" s="3">
        <f>SUM(I293:L293)</f>
        <v>-748</v>
      </c>
      <c r="N293" s="3">
        <f>(N172-M172)*-1</f>
        <v>-33</v>
      </c>
      <c r="O293" s="3">
        <f>(O172-N172)*-1</f>
        <v>-406</v>
      </c>
      <c r="P293" s="3">
        <f>(P172-O172)*-1</f>
        <v>-279</v>
      </c>
      <c r="Q293" s="3">
        <f>(Q172-P172)*-1</f>
        <v>-704</v>
      </c>
      <c r="R293" s="3">
        <f>SUM(N293:Q293)</f>
        <v>-1422</v>
      </c>
      <c r="S293" s="3">
        <f>(S172-R172)*-1</f>
        <v>-66</v>
      </c>
      <c r="T293" s="3">
        <f>(T172-S172)*-1</f>
        <v>-22</v>
      </c>
      <c r="U293" s="3">
        <f>(U172-T172)*-1</f>
        <v>270</v>
      </c>
      <c r="V293" s="3">
        <f>(V172-U172)*-1</f>
        <v>108</v>
      </c>
      <c r="W293" s="3">
        <f>SUM(S293:V293)</f>
        <v>290</v>
      </c>
      <c r="X293" s="3">
        <f>(X172-W172)*-1</f>
        <v>323</v>
      </c>
      <c r="Y293" s="3">
        <f>(Y172-X172)*-1</f>
        <v>162</v>
      </c>
      <c r="Z293" s="3">
        <f>(Z172-Y172)*-1</f>
        <v>45</v>
      </c>
      <c r="AA293" s="3">
        <f>(AA172-Z172)*-1</f>
        <v>-27</v>
      </c>
      <c r="AB293" s="3">
        <f>SUM(X293:AA293)</f>
        <v>503</v>
      </c>
      <c r="AC293" s="3">
        <f>(AC172-AB172)*-1</f>
        <v>-134</v>
      </c>
      <c r="AD293" s="3">
        <f>(AD172-AC172)*-1</f>
        <v>-533</v>
      </c>
      <c r="AE293" s="3">
        <f>(AE172-AD172)*-1</f>
        <v>-269</v>
      </c>
      <c r="AF293" s="3">
        <f>(AF172-AE172)*-1</f>
        <v>-697</v>
      </c>
      <c r="AG293" s="3">
        <f>SUM(AC293:AF293)</f>
        <v>-1633</v>
      </c>
      <c r="AH293" s="3">
        <f>(AH172-AG172)*-1</f>
        <v>-288</v>
      </c>
      <c r="AI293" s="3">
        <f>(AI172-AH172)*-1</f>
        <v>-2185</v>
      </c>
      <c r="AJ293" s="3">
        <f>(AJ172-AI172)*-1</f>
        <v>0</v>
      </c>
      <c r="AK293" s="3">
        <f>(AK172-AJ172)*-1</f>
        <v>0</v>
      </c>
      <c r="AL293" s="3">
        <f>SUM(AH293:AK293)</f>
        <v>-2473</v>
      </c>
      <c r="AM293" s="3">
        <f>(AM172-AL172)*-1</f>
        <v>0</v>
      </c>
      <c r="AN293" s="3">
        <f>(AN172-AM172)*-1</f>
        <v>0</v>
      </c>
      <c r="AO293" s="3">
        <f>(AO172-AN172)*-1</f>
        <v>0</v>
      </c>
      <c r="AP293" s="3">
        <f>(AP172-AO172)*-1</f>
        <v>0</v>
      </c>
      <c r="AQ293" s="3">
        <f>SUM(AM293:AP293)</f>
        <v>0</v>
      </c>
      <c r="AR293" s="3">
        <f>(AR172-AQ172)*-1</f>
        <v>0</v>
      </c>
      <c r="AS293" s="3">
        <f>(AS172-AR172)*-1</f>
        <v>0</v>
      </c>
      <c r="AT293" s="3">
        <f>(AT172-AS172)*-1</f>
        <v>0</v>
      </c>
      <c r="AU293" s="3">
        <f>(AU172-AT172)*-1</f>
        <v>0</v>
      </c>
      <c r="AV293" s="3">
        <f>SUM(AR293:AU293)</f>
        <v>0</v>
      </c>
      <c r="AW293" s="3">
        <f>(AW172-AV172)*-1</f>
        <v>0</v>
      </c>
      <c r="AX293" s="3">
        <f>(AX172-AW172)*-1</f>
        <v>0</v>
      </c>
      <c r="AY293" s="3">
        <f>(AY172-AX172)*-1</f>
        <v>0</v>
      </c>
      <c r="AZ293" s="3">
        <f>(AZ172-AY172)*-1</f>
        <v>0</v>
      </c>
      <c r="BA293" s="3">
        <f>SUM(AW293:AZ293)</f>
        <v>0</v>
      </c>
      <c r="BB293" s="3">
        <f>(BB172-BA172)*-1</f>
        <v>0</v>
      </c>
      <c r="BC293" s="3">
        <f>(BC172-BB172)*-1</f>
        <v>0</v>
      </c>
      <c r="BD293" s="3">
        <f>(BD172-BC172)*-1</f>
        <v>0</v>
      </c>
      <c r="BE293" s="3">
        <f>(BE172-BD172)*-1</f>
        <v>0</v>
      </c>
      <c r="BF293" s="3">
        <f>SUM(BB293:BE293)</f>
        <v>0</v>
      </c>
      <c r="BG293" s="3">
        <f>(BG172-BF172)*-1</f>
        <v>0</v>
      </c>
      <c r="BH293" s="3">
        <f>(BH172-BG172)*-1</f>
        <v>0</v>
      </c>
      <c r="BI293" s="3">
        <f>(BI172-BH172)*-1</f>
        <v>0</v>
      </c>
      <c r="BJ293" s="3">
        <f>(BJ172-BI172)*-1</f>
        <v>0</v>
      </c>
      <c r="BK293" s="3">
        <f>SUM(BG293:BJ293)</f>
        <v>0</v>
      </c>
      <c r="BL293" s="3">
        <f>(BL172-BK172)*-1</f>
        <v>0</v>
      </c>
      <c r="BM293" s="3">
        <f>(BM172-BL172)*-1</f>
        <v>0</v>
      </c>
      <c r="BN293" s="3">
        <f>(BN172-BM172)*-1</f>
        <v>0</v>
      </c>
      <c r="BO293" s="3">
        <f>(BO172-BN172)*-1</f>
        <v>0</v>
      </c>
      <c r="BP293" s="3">
        <f>SUM(BL293:BO293)</f>
        <v>0</v>
      </c>
      <c r="BQ293" s="3">
        <f>(BQ172-BP172)*-1</f>
        <v>0</v>
      </c>
      <c r="BR293" s="3">
        <f>(BR172-BQ172)*-1</f>
        <v>0</v>
      </c>
      <c r="BS293" s="3">
        <f>(BS172-BR172)*-1</f>
        <v>0</v>
      </c>
      <c r="BT293" s="3">
        <f>(BT172-BS172)*-1</f>
        <v>0</v>
      </c>
      <c r="BU293" s="3">
        <f>SUM(BQ293:BT293)</f>
        <v>0</v>
      </c>
      <c r="BV293" s="3">
        <f>(BV172-BU172)*-1</f>
        <v>0</v>
      </c>
      <c r="BW293" s="3">
        <f>(BW172-BV172)*-1</f>
        <v>0</v>
      </c>
      <c r="BX293" s="3">
        <f>(BX172-BW172)*-1</f>
        <v>0</v>
      </c>
      <c r="BY293" s="3">
        <f>(BY172-BX172)*-1</f>
        <v>0</v>
      </c>
      <c r="BZ293" s="3">
        <f>SUM(BV293:BY293)</f>
        <v>0</v>
      </c>
      <c r="CA293" s="3">
        <f>(CA172-BZ172)*-1</f>
        <v>0</v>
      </c>
      <c r="CB293" s="3">
        <f>(CB172-CA172)*-1</f>
        <v>0</v>
      </c>
      <c r="CC293" s="3">
        <f>(CC172-CB172)*-1</f>
        <v>0</v>
      </c>
      <c r="CD293" s="3">
        <f>(CD172-CC172)*-1</f>
        <v>0</v>
      </c>
      <c r="CE293" s="3">
        <f>SUM(CA293:CD293)</f>
        <v>0</v>
      </c>
      <c r="CF293" s="3">
        <f>(CF172-CE172)*-1</f>
        <v>0</v>
      </c>
      <c r="CG293" s="3">
        <f>(CG172-CF172)*-1</f>
        <v>0</v>
      </c>
      <c r="CH293" s="3">
        <f>(CH172-CG172)*-1</f>
        <v>0</v>
      </c>
      <c r="CI293" s="3">
        <f>(CI172-CH172)*-1</f>
        <v>0</v>
      </c>
      <c r="CJ293" s="3">
        <f>SUM(CF293:CI293)</f>
        <v>0</v>
      </c>
      <c r="CK293" s="3">
        <f>(CK172-CJ172)*-1</f>
        <v>0</v>
      </c>
      <c r="CL293" s="3">
        <f>(CL172-CK172)*-1</f>
        <v>0</v>
      </c>
      <c r="CM293" s="3">
        <f>(CM172-CL172)*-1</f>
        <v>0</v>
      </c>
      <c r="CN293" s="3">
        <f>(CN172-CM172)*-1</f>
        <v>0</v>
      </c>
      <c r="CO293" s="3">
        <f>SUM(CK293:CN293)</f>
        <v>0</v>
      </c>
      <c r="CP293" s="3">
        <f>(CP172-CO172)*-1</f>
        <v>0</v>
      </c>
      <c r="CQ293" s="3">
        <f>(CQ172-CP172)*-1</f>
        <v>0</v>
      </c>
      <c r="CR293" s="3">
        <f>(CR172-CQ172)*-1</f>
        <v>0</v>
      </c>
      <c r="CS293" s="3">
        <f>(CS172-CR172)*-1</f>
        <v>0</v>
      </c>
      <c r="CT293" s="3">
        <f>SUM(CP293:CS293)</f>
        <v>0</v>
      </c>
      <c r="CU293" s="3">
        <f>(CU172-CT172)*-1</f>
        <v>0</v>
      </c>
      <c r="CV293" s="3">
        <f>(CV172-CU172)*-1</f>
        <v>0</v>
      </c>
      <c r="CW293" s="3">
        <f>(CW172-CV172)*-1</f>
        <v>0</v>
      </c>
      <c r="CX293" s="3">
        <f>(CX172-CW172)*-1</f>
        <v>0</v>
      </c>
      <c r="CY293" s="3">
        <f>SUM(CU293:CX293)</f>
        <v>0</v>
      </c>
      <c r="CZ293" s="3" t="n"/>
      <c r="DA293" s="3" t="n"/>
      <c r="DB293" s="3" t="n"/>
      <c r="DC293" s="3" t="n"/>
    </row>
    <row r="294">
      <c r="C294" s="29" t="inlineStr">
        <is>
          <t>Purchases of intangible assets</t>
        </is>
      </c>
      <c r="D294" s="3" t="n"/>
      <c r="E294" s="3">
        <f>((E176-D176)*-1)+((E175-D175)*-1)</f>
        <v>53</v>
      </c>
      <c r="F294" s="3">
        <f>((F176-E176)*-1)+((F175-E175)*-1)</f>
        <v>131</v>
      </c>
      <c r="G294" s="3">
        <f>((G176-F176)*-1)+((G175-F175)*-1)</f>
        <v>-230</v>
      </c>
      <c r="H294" s="3">
        <f>SUM(D294:G294)</f>
        <v>-46</v>
      </c>
      <c r="I294" s="3">
        <f>((I176-H176)*-1)+((I175-H175)*-1)</f>
        <v>-1544</v>
      </c>
      <c r="J294" s="3">
        <f>((J176-I176)*-1)+((J175-I175)*-1)</f>
        <v>132</v>
      </c>
      <c r="K294" s="3">
        <f>((K176-J176)*-1)+((K175-J175)*-1)</f>
        <v>-140</v>
      </c>
      <c r="L294" s="3">
        <f>((L176-K176)*-1)+((L175-K175)*-1)</f>
        <v>-201</v>
      </c>
      <c r="M294" s="3">
        <f>SUM(I294:L294)</f>
        <v>-1753</v>
      </c>
      <c r="N294" s="3">
        <f>((N176-M176)*-1)+((N175-M175)*-1)</f>
        <v>50</v>
      </c>
      <c r="O294" s="3">
        <f>((O176-N176)*-1)+((O175-N175)*-1)</f>
        <v>-1003</v>
      </c>
      <c r="P294" s="3">
        <f>((P176-O176)*-1)+((P175-O175)*-1)</f>
        <v>-5700</v>
      </c>
      <c r="Q294" s="3">
        <f>((Q176-P176)*-1)+((Q175-P175)*-1)</f>
        <v>-18</v>
      </c>
      <c r="R294" s="3">
        <f>SUM(N294:Q294)</f>
        <v>-6671</v>
      </c>
      <c r="S294" s="3">
        <f>((S176-R176)*-1)+((S175-R175)*-1)</f>
        <v>82</v>
      </c>
      <c r="T294" s="3">
        <f>((T176-S176)*-1)+((T175-S175)*-1)</f>
        <v>-214</v>
      </c>
      <c r="U294" s="3">
        <f>((U176-T176)*-1)+((U175-T175)*-1)</f>
        <v>197</v>
      </c>
      <c r="V294" s="3">
        <f>((V176-U176)*-1)+((V175-U175)*-1)</f>
        <v>1781</v>
      </c>
      <c r="W294" s="3">
        <f>SUM(S294:V294)</f>
        <v>1846</v>
      </c>
      <c r="X294" s="3">
        <f>((X176-W176)*-1)+((X175-W175)*-1)</f>
        <v>15</v>
      </c>
      <c r="Y294" s="3">
        <f>((Y176-X176)*-1)+((Y175-X175)*-1)</f>
        <v>-2</v>
      </c>
      <c r="Z294" s="3">
        <f>((Z176-Y176)*-1)+((Z175-Y175)*-1)</f>
        <v>-2750</v>
      </c>
      <c r="AA294" s="3">
        <f>((AA176-Z176)*-1)+((AA175-Z175)*-1)</f>
        <v>50</v>
      </c>
      <c r="AB294" s="3">
        <f>SUM(X294:AA294)</f>
        <v>-2687</v>
      </c>
      <c r="AC294" s="3">
        <f>((AC176-AB176)*-1)+((AC175-AB175)*-1)</f>
        <v>-288</v>
      </c>
      <c r="AD294" s="3">
        <f>((AD176-AC176)*-1)+((AD175-AC175)*-1)</f>
        <v>-162</v>
      </c>
      <c r="AE294" s="3">
        <f>((AE176-AD176)*-1)+((AE175-AD175)*-1)</f>
        <v>-934</v>
      </c>
      <c r="AF294" s="3">
        <f>((AF176-AE176)*-1)+((AF175-AE175)*-1)</f>
        <v>-111</v>
      </c>
      <c r="AG294" s="3">
        <f>SUM(AC294:AF294)</f>
        <v>-1495</v>
      </c>
      <c r="AH294" s="3">
        <f>((AH176-AG176)*-1)+((AH175-AG175)*-1)</f>
        <v>-33838</v>
      </c>
      <c r="AI294" s="3">
        <f>((AI176-AH176)*-1)+((AI175-AH175)*-1)</f>
        <v>285</v>
      </c>
      <c r="AJ294" s="3">
        <f>((AJ176-AI176)*-1)+((AJ175-AI175)*-1)</f>
        <v>9105</v>
      </c>
      <c r="AK294" s="3">
        <f>((AK176-AJ176)*-1)+((AK175-AJ175)*-1)</f>
        <v>0</v>
      </c>
      <c r="AL294" s="3">
        <f>SUM(AH294:AK294)</f>
        <v>-24448</v>
      </c>
      <c r="AM294" s="3">
        <f>((AM176-AL176)*-1)+((AM175-AL175)*-1)</f>
        <v>0</v>
      </c>
      <c r="AN294" s="3">
        <f>((AN176-AM176)*-1)+((AN175-AM175)*-1)</f>
        <v>0</v>
      </c>
      <c r="AO294" s="3">
        <f>((AO176-AN176)*-1)+((AO175-AN175)*-1)</f>
        <v>0</v>
      </c>
      <c r="AP294" s="3">
        <f>((AP176-AO176)*-1)+((AP175-AO175)*-1)</f>
        <v>0</v>
      </c>
      <c r="AQ294" s="3">
        <f>SUM(AM294:AP294)</f>
        <v>0</v>
      </c>
      <c r="AR294" s="3">
        <f>((AR176-AQ176)*-1)+((AR175-AQ175)*-1)</f>
        <v>0</v>
      </c>
      <c r="AS294" s="3">
        <f>((AS176-AR176)*-1)+((AS175-AR175)*-1)</f>
        <v>0</v>
      </c>
      <c r="AT294" s="3">
        <f>((AT176-AS176)*-1)+((AT175-AS175)*-1)</f>
        <v>0</v>
      </c>
      <c r="AU294" s="3">
        <f>((AU176-AT176)*-1)+((AU175-AT175)*-1)</f>
        <v>0</v>
      </c>
      <c r="AV294" s="3">
        <f>SUM(AR294:AU294)</f>
        <v>0</v>
      </c>
      <c r="AW294" s="3">
        <f>((AW176-AV176)*-1)+((AW175-AV175)*-1)</f>
        <v>0</v>
      </c>
      <c r="AX294" s="3">
        <f>((AX176-AW176)*-1)+((AX175-AW175)*-1)</f>
        <v>0</v>
      </c>
      <c r="AY294" s="3">
        <f>((AY176-AX176)*-1)+((AY175-AX175)*-1)</f>
        <v>0</v>
      </c>
      <c r="AZ294" s="3">
        <f>((AZ176-AY176)*-1)+((AZ175-AY175)*-1)</f>
        <v>0</v>
      </c>
      <c r="BA294" s="3">
        <f>SUM(AW294:AZ294)</f>
        <v>0</v>
      </c>
      <c r="BB294" s="3">
        <f>((BB176-BA176)*-1)+((BB175-BA175)*-1)</f>
        <v>0</v>
      </c>
      <c r="BC294" s="3">
        <f>((BC176-BB176)*-1)+((BC175-BB175)*-1)</f>
        <v>0</v>
      </c>
      <c r="BD294" s="3">
        <f>((BD176-BC176)*-1)+((BD175-BC175)*-1)</f>
        <v>0</v>
      </c>
      <c r="BE294" s="3">
        <f>((BE176-BD176)*-1)+((BE175-BD175)*-1)</f>
        <v>0</v>
      </c>
      <c r="BF294" s="3">
        <f>SUM(BB294:BE294)</f>
        <v>0</v>
      </c>
      <c r="BG294" s="3">
        <f>((BG176-BF176)*-1)+((BG175-BF175)*-1)</f>
        <v>0</v>
      </c>
      <c r="BH294" s="3">
        <f>((BH176-BG176)*-1)+((BH175-BG175)*-1)</f>
        <v>0</v>
      </c>
      <c r="BI294" s="3">
        <f>((BI176-BH176)*-1)+((BI175-BH175)*-1)</f>
        <v>0</v>
      </c>
      <c r="BJ294" s="3">
        <f>((BJ176-BI176)*-1)+((BJ175-BI175)*-1)</f>
        <v>0</v>
      </c>
      <c r="BK294" s="3">
        <f>SUM(BG294:BJ294)</f>
        <v>0</v>
      </c>
      <c r="BL294" s="3">
        <f>((BL176-BK176)*-1)+((BL175-BK175)*-1)</f>
        <v>0</v>
      </c>
      <c r="BM294" s="3">
        <f>((BM176-BL176)*-1)+((BM175-BL175)*-1)</f>
        <v>0</v>
      </c>
      <c r="BN294" s="3">
        <f>((BN176-BM176)*-1)+((BN175-BM175)*-1)</f>
        <v>0</v>
      </c>
      <c r="BO294" s="3">
        <f>((BO176-BN176)*-1)+((BO175-BN175)*-1)</f>
        <v>0</v>
      </c>
      <c r="BP294" s="3">
        <f>SUM(BL294:BO294)</f>
        <v>0</v>
      </c>
      <c r="BQ294" s="3">
        <f>((BQ176-BP176)*-1)+((BQ175-BP175)*-1)</f>
        <v>0</v>
      </c>
      <c r="BR294" s="3">
        <f>((BR176-BQ176)*-1)+((BR175-BQ175)*-1)</f>
        <v>0</v>
      </c>
      <c r="BS294" s="3">
        <f>((BS176-BR176)*-1)+((BS175-BR175)*-1)</f>
        <v>0</v>
      </c>
      <c r="BT294" s="3">
        <f>((BT176-BS176)*-1)+((BT175-BS175)*-1)</f>
        <v>0</v>
      </c>
      <c r="BU294" s="3">
        <f>SUM(BQ294:BT294)</f>
        <v>0</v>
      </c>
      <c r="BV294" s="3">
        <f>((BV176-BU176)*-1)+((BV175-BU175)*-1)</f>
        <v>0</v>
      </c>
      <c r="BW294" s="3">
        <f>((BW176-BV176)*-1)+((BW175-BV175)*-1)</f>
        <v>0</v>
      </c>
      <c r="BX294" s="3">
        <f>((BX176-BW176)*-1)+((BX175-BW175)*-1)</f>
        <v>0</v>
      </c>
      <c r="BY294" s="3">
        <f>((BY176-BX176)*-1)+((BY175-BX175)*-1)</f>
        <v>0</v>
      </c>
      <c r="BZ294" s="3">
        <f>SUM(BV294:BY294)</f>
        <v>0</v>
      </c>
      <c r="CA294" s="3">
        <f>((CA176-BZ176)*-1)+((CA175-BZ175)*-1)</f>
        <v>0</v>
      </c>
      <c r="CB294" s="3">
        <f>((CB176-CA176)*-1)+((CB175-CA175)*-1)</f>
        <v>0</v>
      </c>
      <c r="CC294" s="3">
        <f>((CC176-CB176)*-1)+((CC175-CB175)*-1)</f>
        <v>0</v>
      </c>
      <c r="CD294" s="3">
        <f>((CD176-CC176)*-1)+((CD175-CC175)*-1)</f>
        <v>0</v>
      </c>
      <c r="CE294" s="3">
        <f>SUM(CA294:CD294)</f>
        <v>0</v>
      </c>
      <c r="CF294" s="3">
        <f>((CF176-CE176)*-1)+((CF175-CE175)*-1)</f>
        <v>0</v>
      </c>
      <c r="CG294" s="3">
        <f>((CG176-CF176)*-1)+((CG175-CF175)*-1)</f>
        <v>0</v>
      </c>
      <c r="CH294" s="3">
        <f>((CH176-CG176)*-1)+((CH175-CG175)*-1)</f>
        <v>0</v>
      </c>
      <c r="CI294" s="3">
        <f>((CI176-CH176)*-1)+((CI175-CH175)*-1)</f>
        <v>0</v>
      </c>
      <c r="CJ294" s="3">
        <f>SUM(CF294:CI294)</f>
        <v>0</v>
      </c>
      <c r="CK294" s="3">
        <f>((CK176-CJ176)*-1)+((CK175-CJ175)*-1)</f>
        <v>0</v>
      </c>
      <c r="CL294" s="3">
        <f>((CL176-CK176)*-1)+((CL175-CK175)*-1)</f>
        <v>0</v>
      </c>
      <c r="CM294" s="3">
        <f>((CM176-CL176)*-1)+((CM175-CL175)*-1)</f>
        <v>0</v>
      </c>
      <c r="CN294" s="3">
        <f>((CN176-CM176)*-1)+((CN175-CM175)*-1)</f>
        <v>0</v>
      </c>
      <c r="CO294" s="3">
        <f>SUM(CK294:CN294)</f>
        <v>0</v>
      </c>
      <c r="CP294" s="3">
        <f>((CP176-CO176)*-1)+((CP175-CO175)*-1)</f>
        <v>0</v>
      </c>
      <c r="CQ294" s="3">
        <f>((CQ176-CP176)*-1)+((CQ175-CP175)*-1)</f>
        <v>0</v>
      </c>
      <c r="CR294" s="3">
        <f>((CR176-CQ176)*-1)+((CR175-CQ175)*-1)</f>
        <v>0</v>
      </c>
      <c r="CS294" s="3">
        <f>((CS176-CR176)*-1)+((CS175-CR175)*-1)</f>
        <v>0</v>
      </c>
      <c r="CT294" s="3">
        <f>SUM(CP294:CS294)</f>
        <v>0</v>
      </c>
      <c r="CU294" s="3">
        <f>((CU176-CT176)*-1)+((CU175-CT175)*-1)</f>
        <v>0</v>
      </c>
      <c r="CV294" s="3">
        <f>((CV176-CU176)*-1)+((CV175-CU175)*-1)</f>
        <v>0</v>
      </c>
      <c r="CW294" s="3">
        <f>((CW176-CV176)*-1)+((CW175-CV175)*-1)</f>
        <v>0</v>
      </c>
      <c r="CX294" s="3">
        <f>((CX176-CW176)*-1)+((CX175-CW175)*-1)</f>
        <v>0</v>
      </c>
      <c r="CY294" s="3">
        <f>SUM(CU294:CX294)</f>
        <v>0</v>
      </c>
      <c r="CZ294" s="3" t="n"/>
      <c r="DA294" s="3" t="n"/>
      <c r="DB294" s="3" t="n"/>
      <c r="DC294" s="3" t="n"/>
    </row>
    <row r="295">
      <c r="C295" s="30" t="inlineStr">
        <is>
          <t>Purchases/Proceeds from other long-term assets</t>
        </is>
      </c>
      <c r="D295" s="3" t="n"/>
      <c r="E295" s="3">
        <f>((E185-D185)*-1)+(E236-D236)</f>
        <v>-1573</v>
      </c>
      <c r="F295" s="3">
        <f>((F185-E185)*-1)+(F236-E236)</f>
        <v>-1962</v>
      </c>
      <c r="G295" s="3">
        <f>((G185-F185)*-1)+(G236-F236)</f>
        <v>-6391</v>
      </c>
      <c r="H295" s="3">
        <f>SUM(D295:G295)</f>
        <v>-9926</v>
      </c>
      <c r="I295" s="3">
        <f>((I185-H185)*-1)+(I236-H236)</f>
        <v>-4450</v>
      </c>
      <c r="J295" s="3">
        <f>((J185-I185)*-1)+(J236-I236)</f>
        <v>-892</v>
      </c>
      <c r="K295" s="3">
        <f>((K185-J185)*-1)+(K236-J236)</f>
        <v>-234</v>
      </c>
      <c r="L295" s="3">
        <f>((L185-K185)*-1)+(L236-K236)</f>
        <v>-4361</v>
      </c>
      <c r="M295" s="3">
        <f>SUM(I295:L295)</f>
        <v>-9937</v>
      </c>
      <c r="N295" s="3">
        <f>((N185-M185)*-1)+(N236-M236)</f>
        <v>-1181</v>
      </c>
      <c r="O295" s="3">
        <f>((O185-N185)*-1)+(O236-N236)</f>
        <v>-1145</v>
      </c>
      <c r="P295" s="3">
        <f>((P185-O185)*-1)+(P236-O236)</f>
        <v>768</v>
      </c>
      <c r="Q295" s="3">
        <f>((Q185-P185)*-1)+(Q236-P236)</f>
        <v>-459</v>
      </c>
      <c r="R295" s="3">
        <f>SUM(N295:Q295)</f>
        <v>-2017</v>
      </c>
      <c r="S295" s="3">
        <f>((S185-R185)*-1)+(S236-R236)</f>
        <v>64</v>
      </c>
      <c r="T295" s="3">
        <f>((T185-S185)*-1)+(T236-S236)</f>
        <v>-1914</v>
      </c>
      <c r="U295" s="3">
        <f>((U185-T185)*-1)+(U236-T236)</f>
        <v>-1319</v>
      </c>
      <c r="V295" s="3">
        <f>((V185-U185)*-1)+(V236-U236)</f>
        <v>-1878</v>
      </c>
      <c r="W295" s="3">
        <f>SUM(S295:V295)</f>
        <v>-5047</v>
      </c>
      <c r="X295" s="3">
        <f>((X185-W185)*-1)+(X236-W236)</f>
        <v>-2163</v>
      </c>
      <c r="Y295" s="3">
        <f>((Y185-X185)*-1)+(Y236-X236)</f>
        <v>-1209</v>
      </c>
      <c r="Z295" s="3">
        <f>((Z185-Y185)*-1)+(Z236-Y236)</f>
        <v>-5927</v>
      </c>
      <c r="AA295" s="3">
        <f>((AA185-Z185)*-1)+(AA236-Z236)</f>
        <v>-23</v>
      </c>
      <c r="AB295" s="3">
        <f>SUM(X295:AA295)</f>
        <v>-9322</v>
      </c>
      <c r="AC295" s="3">
        <f>((AC185-AB185)*-1)+(AC236-AB236)</f>
        <v>-8710</v>
      </c>
      <c r="AD295" s="3">
        <f>((AD185-AC185)*-1)+(AD236-AC236)</f>
        <v>-2369</v>
      </c>
      <c r="AE295" s="3">
        <f>((AE185-AD185)*-1)+(AE236-AD236)</f>
        <v>-13813</v>
      </c>
      <c r="AF295" s="3">
        <f>((AF185-AE185)*-1)+(AF236-AE236)</f>
        <v>-2680</v>
      </c>
      <c r="AG295" s="3">
        <f>SUM(AC295:AF295)</f>
        <v>-27572</v>
      </c>
      <c r="AH295" s="3">
        <f>((AH185-AG185)*-1)+(AH236-AG236)</f>
        <v>-33971</v>
      </c>
      <c r="AI295" s="3">
        <f>((AI185-AH185)*-1)+(AI236-AH236)</f>
        <v>-50432</v>
      </c>
      <c r="AJ295" s="3">
        <f>((AJ185-AI185)*-1)+(AJ236-AI236)</f>
        <v>0</v>
      </c>
      <c r="AK295" s="3">
        <f>((AK185-AJ185)*-1)+(AK236-AJ236)</f>
        <v>0</v>
      </c>
      <c r="AL295" s="3">
        <f>SUM(AH295:AK295)</f>
        <v>-84403</v>
      </c>
      <c r="AM295" s="3">
        <f>((AM185-AL185)*-1)+(AM236-AL236)</f>
        <v>0</v>
      </c>
      <c r="AN295" s="3">
        <f>((AN185-AM185)*-1)+(AN236-AM236)</f>
        <v>0</v>
      </c>
      <c r="AO295" s="3">
        <f>((AO185-AN185)*-1)+(AO236-AN236)</f>
        <v>0</v>
      </c>
      <c r="AP295" s="3">
        <f>((AP185-AO185)*-1)+(AP236-AO236)</f>
        <v>0</v>
      </c>
      <c r="AQ295" s="3">
        <f>SUM(AM295:AP295)</f>
        <v>0</v>
      </c>
      <c r="AR295" s="3">
        <f>((AR185-AQ185)*-1)+(AR236-AQ236)</f>
        <v>0</v>
      </c>
      <c r="AS295" s="3">
        <f>((AS185-AR185)*-1)+(AS236-AR236)</f>
        <v>0</v>
      </c>
      <c r="AT295" s="3">
        <f>((AT185-AS185)*-1)+(AT236-AS236)</f>
        <v>0</v>
      </c>
      <c r="AU295" s="3">
        <f>((AU185-AT185)*-1)+(AU236-AT236)</f>
        <v>0</v>
      </c>
      <c r="AV295" s="3">
        <f>SUM(AR295:AU295)</f>
        <v>0</v>
      </c>
      <c r="AW295" s="3">
        <f>((AW185-AV185)*-1)+(AW236-AV236)</f>
        <v>0</v>
      </c>
      <c r="AX295" s="3">
        <f>((AX185-AW185)*-1)+(AX236-AW236)</f>
        <v>0</v>
      </c>
      <c r="AY295" s="3">
        <f>((AY185-AX185)*-1)+(AY236-AX236)</f>
        <v>0</v>
      </c>
      <c r="AZ295" s="3">
        <f>((AZ185-AY185)*-1)+(AZ236-AY236)</f>
        <v>0</v>
      </c>
      <c r="BA295" s="3">
        <f>SUM(AW295:AZ295)</f>
        <v>0</v>
      </c>
      <c r="BB295" s="3">
        <f>((BB185-BA185)*-1)+(BB236-BA236)</f>
        <v>0</v>
      </c>
      <c r="BC295" s="3">
        <f>((BC185-BB185)*-1)+(BC236-BB236)</f>
        <v>0</v>
      </c>
      <c r="BD295" s="3">
        <f>((BD185-BC185)*-1)+(BD236-BC236)</f>
        <v>0</v>
      </c>
      <c r="BE295" s="3">
        <f>((BE185-BD185)*-1)+(BE236-BD236)</f>
        <v>0</v>
      </c>
      <c r="BF295" s="3">
        <f>SUM(BB295:BE295)</f>
        <v>0</v>
      </c>
      <c r="BG295" s="3">
        <f>((BG185-BF185)*-1)+(BG236-BF236)</f>
        <v>0</v>
      </c>
      <c r="BH295" s="3">
        <f>((BH185-BG185)*-1)+(BH236-BG236)</f>
        <v>0</v>
      </c>
      <c r="BI295" s="3">
        <f>((BI185-BH185)*-1)+(BI236-BH236)</f>
        <v>0</v>
      </c>
      <c r="BJ295" s="3">
        <f>((BJ185-BI185)*-1)+(BJ236-BI236)</f>
        <v>0</v>
      </c>
      <c r="BK295" s="3">
        <f>SUM(BG295:BJ295)</f>
        <v>0</v>
      </c>
      <c r="BL295" s="3">
        <f>((BL185-BK185)*-1)+(BL236-BK236)</f>
        <v>0</v>
      </c>
      <c r="BM295" s="3">
        <f>((BM185-BL185)*-1)+(BM236-BL236)</f>
        <v>0</v>
      </c>
      <c r="BN295" s="3">
        <f>((BN185-BM185)*-1)+(BN236-BM236)</f>
        <v>0</v>
      </c>
      <c r="BO295" s="3">
        <f>((BO185-BN185)*-1)+(BO236-BN236)</f>
        <v>0</v>
      </c>
      <c r="BP295" s="3">
        <f>SUM(BL295:BO295)</f>
        <v>0</v>
      </c>
      <c r="BQ295" s="3">
        <f>((BQ185-BP185)*-1)+(BQ236-BP236)</f>
        <v>0</v>
      </c>
      <c r="BR295" s="3">
        <f>((BR185-BQ185)*-1)+(BR236-BQ236)</f>
        <v>0</v>
      </c>
      <c r="BS295" s="3">
        <f>((BS185-BR185)*-1)+(BS236-BR236)</f>
        <v>0</v>
      </c>
      <c r="BT295" s="3">
        <f>((BT185-BS185)*-1)+(BT236-BS236)</f>
        <v>0</v>
      </c>
      <c r="BU295" s="3">
        <f>SUM(BQ295:BT295)</f>
        <v>0</v>
      </c>
      <c r="BV295" s="3">
        <f>((BV185-BU185)*-1)+(BV236-BU236)</f>
        <v>0</v>
      </c>
      <c r="BW295" s="3">
        <f>((BW185-BV185)*-1)+(BW236-BV236)</f>
        <v>0</v>
      </c>
      <c r="BX295" s="3">
        <f>((BX185-BW185)*-1)+(BX236-BW236)</f>
        <v>0</v>
      </c>
      <c r="BY295" s="3">
        <f>((BY185-BX185)*-1)+(BY236-BX236)</f>
        <v>0</v>
      </c>
      <c r="BZ295" s="3">
        <f>SUM(BV295:BY295)</f>
        <v>0</v>
      </c>
      <c r="CA295" s="3">
        <f>((CA185-BZ185)*-1)+(CA236-BZ236)</f>
        <v>0</v>
      </c>
      <c r="CB295" s="3">
        <f>((CB185-CA185)*-1)+(CB236-CA236)</f>
        <v>0</v>
      </c>
      <c r="CC295" s="3">
        <f>((CC185-CB185)*-1)+(CC236-CB236)</f>
        <v>0</v>
      </c>
      <c r="CD295" s="3">
        <f>((CD185-CC185)*-1)+(CD236-CC236)</f>
        <v>0</v>
      </c>
      <c r="CE295" s="3">
        <f>SUM(CA295:CD295)</f>
        <v>0</v>
      </c>
      <c r="CF295" s="3">
        <f>((CF185-CE185)*-1)+(CF236-CE236)</f>
        <v>0</v>
      </c>
      <c r="CG295" s="3">
        <f>((CG185-CF185)*-1)+(CG236-CF236)</f>
        <v>0</v>
      </c>
      <c r="CH295" s="3">
        <f>((CH185-CG185)*-1)+(CH236-CG236)</f>
        <v>0</v>
      </c>
      <c r="CI295" s="3">
        <f>((CI185-CH185)*-1)+(CI236-CH236)</f>
        <v>0</v>
      </c>
      <c r="CJ295" s="3">
        <f>SUM(CF295:CI295)</f>
        <v>0</v>
      </c>
      <c r="CK295" s="3">
        <f>((CK185-CJ185)*-1)+(CK236-CJ236)</f>
        <v>0</v>
      </c>
      <c r="CL295" s="3">
        <f>((CL185-CK185)*-1)+(CL236-CK236)</f>
        <v>0</v>
      </c>
      <c r="CM295" s="3">
        <f>((CM185-CL185)*-1)+(CM236-CL236)</f>
        <v>0</v>
      </c>
      <c r="CN295" s="3">
        <f>((CN185-CM185)*-1)+(CN236-CM236)</f>
        <v>0</v>
      </c>
      <c r="CO295" s="3">
        <f>SUM(CK295:CN295)</f>
        <v>0</v>
      </c>
      <c r="CP295" s="3">
        <f>((CP185-CO185)*-1)+(CP236-CO236)</f>
        <v>0</v>
      </c>
      <c r="CQ295" s="3">
        <f>((CQ185-CP185)*-1)+(CQ236-CP236)</f>
        <v>0</v>
      </c>
      <c r="CR295" s="3">
        <f>((CR185-CQ185)*-1)+(CR236-CQ236)</f>
        <v>0</v>
      </c>
      <c r="CS295" s="3">
        <f>((CS185-CR185)*-1)+(CS236-CR236)</f>
        <v>0</v>
      </c>
      <c r="CT295" s="3">
        <f>SUM(CP295:CS295)</f>
        <v>0</v>
      </c>
      <c r="CU295" s="3">
        <f>((CU185-CT185)*-1)+(CU236-CT236)</f>
        <v>0</v>
      </c>
      <c r="CV295" s="3">
        <f>((CV185-CU185)*-1)+(CV236-CU236)</f>
        <v>0</v>
      </c>
      <c r="CW295" s="3">
        <f>((CW185-CV185)*-1)+(CW236-CV236)</f>
        <v>0</v>
      </c>
      <c r="CX295" s="3">
        <f>((CX185-CW185)*-1)+(CX236-CW236)</f>
        <v>0</v>
      </c>
      <c r="CY295" s="3">
        <f>SUM(CU295:CX295)</f>
        <v>0</v>
      </c>
    </row>
    <row r="296">
      <c r="C296" s="26" t="inlineStr">
        <is>
          <t>Cash from investing</t>
        </is>
      </c>
      <c r="D296" s="3" t="n"/>
      <c r="E296" s="3">
        <f>SUM(E291,E292,E294,E295,E293)</f>
        <v>-7255</v>
      </c>
      <c r="F296" s="3">
        <f>SUM(F291,F292,F294,F295,F293)</f>
        <v>-8576</v>
      </c>
      <c r="G296" s="3">
        <f>SUM(G291,G292,G294,G295,G293)</f>
        <v>-13538</v>
      </c>
      <c r="H296" s="3">
        <f>SUM(H291,H292,H294,H295)</f>
        <v>-28377</v>
      </c>
      <c r="I296" s="3">
        <f>SUM(I291,I292,I294,I295,I293)</f>
        <v>-11763</v>
      </c>
      <c r="J296" s="3">
        <f>SUM(J291,J292,J294,J295,J293)</f>
        <v>-7961</v>
      </c>
      <c r="K296" s="3">
        <f>SUM(K291,K292,K294,K295,K293)</f>
        <v>-6333</v>
      </c>
      <c r="L296" s="3">
        <f>SUM(L291,L292,L294,L295,L293)</f>
        <v>-10786</v>
      </c>
      <c r="M296" s="3">
        <f>SUM(M291,M292,M294,M295)</f>
        <v>-36095</v>
      </c>
      <c r="N296" s="3">
        <f>SUM(N291,N292,N294,N295,N293)</f>
        <v>-11374</v>
      </c>
      <c r="O296" s="3">
        <f>SUM(O291,O292,O294,O295,O293)</f>
        <v>-8257</v>
      </c>
      <c r="P296" s="3">
        <f>SUM(P291,P292,P294,P295,P293)</f>
        <v>-11284</v>
      </c>
      <c r="Q296" s="3">
        <f>SUM(Q291,Q292,Q294,Q295,Q293)</f>
        <v>-9551</v>
      </c>
      <c r="R296" s="3">
        <f>SUM(R291,R292,R294,R295)</f>
        <v>-39044</v>
      </c>
      <c r="S296" s="3">
        <f>SUM(S291,S292,S294,S295,S293)</f>
        <v>-7872</v>
      </c>
      <c r="T296" s="3">
        <f>SUM(T291,T292,T294,T295,T293)</f>
        <v>-9077</v>
      </c>
      <c r="U296" s="3">
        <f>SUM(U291,U292,U294,U295,U293)</f>
        <v>-9020</v>
      </c>
      <c r="V296" s="3">
        <f>SUM(V291,V292,V294,V295,V293)</f>
        <v>-11945</v>
      </c>
      <c r="W296" s="3">
        <f>SUM(W291,W292,W294,W295)</f>
        <v>-38204</v>
      </c>
      <c r="X296" s="3">
        <f>SUM(X291,X292,X294,X295,X293)</f>
        <v>-14075</v>
      </c>
      <c r="Y296" s="3">
        <f>SUM(Y291,Y292,Y294,Y295,Y293)</f>
        <v>-12730</v>
      </c>
      <c r="Z296" s="3">
        <f>SUM(Z291,Z292,Z294,Z295,Z293)</f>
        <v>-22732</v>
      </c>
      <c r="AA296" s="3">
        <f>SUM(AA291,AA292,AA294,AA295,AA293)</f>
        <v>-13971</v>
      </c>
      <c r="AB296" s="3">
        <f>SUM(AB291,AB292,AB294,AB295)</f>
        <v>-64011</v>
      </c>
      <c r="AC296" s="3">
        <f>SUM(AC291,AC292,AC294,AC295,AC293)</f>
        <v>-27645</v>
      </c>
      <c r="AD296" s="3">
        <f>SUM(AD291,AD292,AD294,AD295,AD293)</f>
        <v>-26231</v>
      </c>
      <c r="AE296" s="3">
        <f>SUM(AE291,AE292,AE294,AE295,AE293)</f>
        <v>-41183</v>
      </c>
      <c r="AF296" s="3">
        <f>SUM(AF291,AF292,AF294,AF295,AF293)</f>
        <v>-32338</v>
      </c>
      <c r="AG296" s="3">
        <f>SUM(AG291,AG292,AG294,AG295)</f>
        <v>-125764</v>
      </c>
      <c r="AH296" s="3">
        <f>SUM(AH291,AH292,AH294,AH295,AH293)</f>
        <v>-109002</v>
      </c>
      <c r="AI296" s="3">
        <f>SUM(AI291,AI292,AI294,AI295,AI293)</f>
        <v>-99628</v>
      </c>
      <c r="AJ296" s="3">
        <f>SUM(AJ291,AJ292,AJ294,AJ295,AJ293)</f>
        <v>9105</v>
      </c>
      <c r="AK296" s="3">
        <f>SUM(AK291,AK292,AK294,AK295,AK293)</f>
        <v>0</v>
      </c>
      <c r="AL296" s="3">
        <f>SUM(AL291,AL292,AL294,AL295)</f>
        <v>-197052</v>
      </c>
      <c r="AM296" s="3">
        <f>SUM(AM291,AM292,AM294,AM295,AM293)</f>
        <v>0</v>
      </c>
      <c r="AN296" s="3">
        <f>SUM(AN291,AN292,AN294,AN295,AN293)</f>
        <v>0</v>
      </c>
      <c r="AO296" s="3">
        <f>SUM(AO291,AO292,AO294,AO295,AO293)</f>
        <v>0</v>
      </c>
      <c r="AP296" s="3">
        <f>SUM(AP291,AP292,AP294,AP295,AP293)</f>
        <v>0</v>
      </c>
      <c r="AQ296" s="3">
        <f>SUM(AQ291,AQ292,AQ294,AQ295)</f>
        <v>0</v>
      </c>
      <c r="AR296" s="3">
        <f>SUM(AR291,AR292,AR294,AR295,AR293)</f>
        <v>0</v>
      </c>
      <c r="AS296" s="3">
        <f>SUM(AS291,AS292,AS294,AS295,AS293)</f>
        <v>0</v>
      </c>
      <c r="AT296" s="3">
        <f>SUM(AT291,AT292,AT294,AT295,AT293)</f>
        <v>0</v>
      </c>
      <c r="AU296" s="3">
        <f>SUM(AU291,AU292,AU294,AU295,AU293)</f>
        <v>0</v>
      </c>
      <c r="AV296" s="3">
        <f>SUM(AV291,AV292,AV294,AV295)</f>
        <v>0</v>
      </c>
      <c r="AW296" s="3">
        <f>SUM(AW291,AW292,AW294,AW295,AW293)</f>
        <v>0</v>
      </c>
      <c r="AX296" s="3">
        <f>SUM(AX291,AX292,AX294,AX295,AX293)</f>
        <v>0</v>
      </c>
      <c r="AY296" s="3">
        <f>SUM(AY291,AY292,AY294,AY295,AY293)</f>
        <v>0</v>
      </c>
      <c r="AZ296" s="3">
        <f>SUM(AZ291,AZ292,AZ294,AZ295,AZ293)</f>
        <v>0</v>
      </c>
      <c r="BA296" s="3">
        <f>SUM(BA291,BA292,BA294,BA295)</f>
        <v>0</v>
      </c>
      <c r="BB296" s="3">
        <f>SUM(BB291,BB292,BB294,BB295,BB293)</f>
        <v>0</v>
      </c>
      <c r="BC296" s="3">
        <f>SUM(BC291,BC292,BC294,BC295,BC293)</f>
        <v>0</v>
      </c>
      <c r="BD296" s="3">
        <f>SUM(BD291,BD292,BD294,BD295,BD293)</f>
        <v>0</v>
      </c>
      <c r="BE296" s="3">
        <f>SUM(BE291,BE292,BE294,BE295,BE293)</f>
        <v>0</v>
      </c>
      <c r="BF296" s="3">
        <f>SUM(BF291,BF292,BF294,BF295)</f>
        <v>0</v>
      </c>
      <c r="BG296" s="3">
        <f>SUM(BG291,BG292,BG294,BG295,BG293)</f>
        <v>0</v>
      </c>
      <c r="BH296" s="3">
        <f>SUM(BH291,BH292,BH294,BH295,BH293)</f>
        <v>0</v>
      </c>
      <c r="BI296" s="3">
        <f>SUM(BI291,BI292,BI294,BI295,BI293)</f>
        <v>0</v>
      </c>
      <c r="BJ296" s="3">
        <f>SUM(BJ291,BJ292,BJ294,BJ295,BJ293)</f>
        <v>0</v>
      </c>
      <c r="BK296" s="3">
        <f>SUM(BK291,BK292,BK294,BK295)</f>
        <v>0</v>
      </c>
      <c r="BL296" s="3">
        <f>SUM(BL291,BL292,BL294,BL295,BL293)</f>
        <v>0</v>
      </c>
      <c r="BM296" s="3">
        <f>SUM(BM291,BM292,BM294,BM295,BM293)</f>
        <v>0</v>
      </c>
      <c r="BN296" s="3">
        <f>SUM(BN291,BN292,BN294,BN295,BN293)</f>
        <v>0</v>
      </c>
      <c r="BO296" s="3">
        <f>SUM(BO291,BO292,BO294,BO295,BO293)</f>
        <v>0</v>
      </c>
      <c r="BP296" s="3">
        <f>SUM(BP291,BP292,BP294,BP295)</f>
        <v>0</v>
      </c>
      <c r="BQ296" s="3">
        <f>SUM(BQ291,BQ292,BQ294,BQ295,BQ293)</f>
        <v>0</v>
      </c>
      <c r="BR296" s="3">
        <f>SUM(BR291,BR292,BR294,BR295,BR293)</f>
        <v>0</v>
      </c>
      <c r="BS296" s="3">
        <f>SUM(BS291,BS292,BS294,BS295,BS293)</f>
        <v>0</v>
      </c>
      <c r="BT296" s="3">
        <f>SUM(BT291,BT292,BT294,BT295,BT293)</f>
        <v>0</v>
      </c>
      <c r="BU296" s="3">
        <f>SUM(BU291,BU292,BU294,BU295)</f>
        <v>0</v>
      </c>
      <c r="BV296" s="3">
        <f>SUM(BV291,BV292,BV294,BV295,BV293)</f>
        <v>0</v>
      </c>
      <c r="BW296" s="3">
        <f>SUM(BW291,BW292,BW294,BW295,BW293)</f>
        <v>0</v>
      </c>
      <c r="BX296" s="3">
        <f>SUM(BX291,BX292,BX294,BX295,BX293)</f>
        <v>0</v>
      </c>
      <c r="BY296" s="3">
        <f>SUM(BY291,BY292,BY294,BY295,BY293)</f>
        <v>0</v>
      </c>
      <c r="BZ296" s="3">
        <f>SUM(BZ291,BZ292,BZ294,BZ295)</f>
        <v>0</v>
      </c>
      <c r="CA296" s="3">
        <f>SUM(CA291,CA292,CA294,CA295,CA293)</f>
        <v>0</v>
      </c>
      <c r="CB296" s="3">
        <f>SUM(CB291,CB292,CB294,CB295,CB293)</f>
        <v>0</v>
      </c>
      <c r="CC296" s="3">
        <f>SUM(CC291,CC292,CC294,CC295,CC293)</f>
        <v>0</v>
      </c>
      <c r="CD296" s="3">
        <f>SUM(CD291,CD292,CD294,CD295,CD293)</f>
        <v>0</v>
      </c>
      <c r="CE296" s="3">
        <f>SUM(CE291,CE292,CE294,CE295)</f>
        <v>0</v>
      </c>
      <c r="CF296" s="3">
        <f>SUM(CF291,CF292,CF294,CF295,CF293)</f>
        <v>0</v>
      </c>
      <c r="CG296" s="3">
        <f>SUM(CG291,CG292,CG294,CG295,CG293)</f>
        <v>0</v>
      </c>
      <c r="CH296" s="3">
        <f>SUM(CH291,CH292,CH294,CH295,CH293)</f>
        <v>0</v>
      </c>
      <c r="CI296" s="3">
        <f>SUM(CI291,CI292,CI294,CI295,CI293)</f>
        <v>0</v>
      </c>
      <c r="CJ296" s="3">
        <f>SUM(CJ291,CJ292,CJ294,CJ295)</f>
        <v>0</v>
      </c>
      <c r="CK296" s="3">
        <f>SUM(CK291,CK292,CK294,CK295,CK293)</f>
        <v>0</v>
      </c>
      <c r="CL296" s="3">
        <f>SUM(CL291,CL292,CL294,CL295,CL293)</f>
        <v>0</v>
      </c>
      <c r="CM296" s="3">
        <f>SUM(CM291,CM292,CM294,CM295,CM293)</f>
        <v>0</v>
      </c>
      <c r="CN296" s="3">
        <f>SUM(CN291,CN292,CN294,CN295,CN293)</f>
        <v>0</v>
      </c>
      <c r="CO296" s="3">
        <f>SUM(CO291,CO292,CO294,CO295)</f>
        <v>0</v>
      </c>
      <c r="CP296" s="3">
        <f>SUM(CP291,CP292,CP294,CP295,CP293)</f>
        <v>0</v>
      </c>
      <c r="CQ296" s="3">
        <f>SUM(CQ291,CQ292,CQ294,CQ295,CQ293)</f>
        <v>0</v>
      </c>
      <c r="CR296" s="3">
        <f>SUM(CR291,CR292,CR294,CR295,CR293)</f>
        <v>0</v>
      </c>
      <c r="CS296" s="3">
        <f>SUM(CS291,CS292,CS294,CS295,CS293)</f>
        <v>0</v>
      </c>
      <c r="CT296" s="3">
        <f>SUM(CT291,CT292,CT294,CT295)</f>
        <v>0</v>
      </c>
      <c r="CU296" s="3">
        <f>SUM(CU291,CU292,CU294,CU295,CU293)</f>
        <v>0</v>
      </c>
      <c r="CV296" s="3">
        <f>SUM(CV291,CV292,CV294,CV295,CV293)</f>
        <v>0</v>
      </c>
      <c r="CW296" s="3">
        <f>SUM(CW291,CW292,CW294,CW295,CW293)</f>
        <v>0</v>
      </c>
      <c r="CX296" s="3">
        <f>SUM(CX291,CX292,CX294,CX295,CX293)</f>
        <v>0</v>
      </c>
      <c r="CY296" s="3">
        <f>SUM(CY291,CY292,CY294,CY295)</f>
        <v>0</v>
      </c>
    </row>
    <row r="297">
      <c r="C297" s="26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  <c r="CG297" s="3" t="n"/>
      <c r="CH297" s="3" t="n"/>
      <c r="CI297" s="3" t="n"/>
      <c r="CJ297" s="3" t="n"/>
      <c r="CK297" s="3" t="n"/>
      <c r="CL297" s="3" t="n"/>
      <c r="CM297" s="3" t="n"/>
      <c r="CN297" s="3" t="n"/>
      <c r="CO297" s="3" t="n"/>
      <c r="CP297" s="3" t="n"/>
      <c r="CQ297" s="3" t="n"/>
      <c r="CR297" s="3" t="n"/>
      <c r="CS297" s="3" t="n"/>
      <c r="CT297" s="3" t="n"/>
      <c r="CU297" s="3" t="n"/>
      <c r="CV297" s="3" t="n"/>
      <c r="CW297" s="3" t="n"/>
      <c r="CX297" s="3" t="n"/>
      <c r="CY297" s="3" t="n"/>
    </row>
    <row r="298">
      <c r="C298" s="26" t="inlineStr">
        <is>
          <t>Convertible preferred stock</t>
        </is>
      </c>
      <c r="D298" s="3" t="n"/>
      <c r="E298" s="3">
        <f>E249-D249</f>
        <v>0</v>
      </c>
      <c r="F298" s="3">
        <f>F249-E249</f>
        <v>0</v>
      </c>
      <c r="G298" s="3">
        <f>G249-F249</f>
        <v>0</v>
      </c>
      <c r="H298" s="3">
        <f>SUM(D298:G298)</f>
        <v>0</v>
      </c>
      <c r="I298" s="3">
        <f>I249-H249</f>
        <v>0</v>
      </c>
      <c r="J298" s="3">
        <f>J249-I249</f>
        <v>0</v>
      </c>
      <c r="K298" s="3">
        <f>K249-J249</f>
        <v>0</v>
      </c>
      <c r="L298" s="3">
        <f>L249-K249</f>
        <v>0</v>
      </c>
      <c r="M298" s="3">
        <f>SUM(I298:L298)</f>
        <v>0</v>
      </c>
      <c r="N298" s="3">
        <f>N249-M249</f>
        <v>0</v>
      </c>
      <c r="O298" s="3">
        <f>O249-N249</f>
        <v>0</v>
      </c>
      <c r="P298" s="3">
        <f>P249-O249</f>
        <v>0</v>
      </c>
      <c r="Q298" s="3">
        <f>Q249-P249</f>
        <v>0</v>
      </c>
      <c r="R298" s="3">
        <f>SUM(N298:Q298)</f>
        <v>0</v>
      </c>
      <c r="S298" s="3">
        <f>S249-R249</f>
        <v>0</v>
      </c>
      <c r="T298" s="3">
        <f>T249-S249</f>
        <v>0</v>
      </c>
      <c r="U298" s="3">
        <f>U249-T249</f>
        <v>0</v>
      </c>
      <c r="V298" s="3">
        <f>V249-U249</f>
        <v>0</v>
      </c>
      <c r="W298" s="3">
        <f>SUM(S298:V298)</f>
        <v>0</v>
      </c>
      <c r="X298" s="3">
        <f>X249-W249</f>
        <v>0</v>
      </c>
      <c r="Y298" s="3">
        <f>Y249-X249</f>
        <v>0</v>
      </c>
      <c r="Z298" s="3">
        <f>Z249-Y249</f>
        <v>0</v>
      </c>
      <c r="AA298" s="3">
        <f>AA249-Z249</f>
        <v>0</v>
      </c>
      <c r="AB298" s="3">
        <f>SUM(X298:AA298)</f>
        <v>0</v>
      </c>
      <c r="AC298" s="3">
        <f>AC249-AB249</f>
        <v>0</v>
      </c>
      <c r="AD298" s="3">
        <f>AD249-AC249</f>
        <v>0</v>
      </c>
      <c r="AE298" s="3">
        <f>AE249-AD249</f>
        <v>0</v>
      </c>
      <c r="AF298" s="3">
        <f>AF249-AE249</f>
        <v>0</v>
      </c>
      <c r="AG298" s="3">
        <f>SUM(AC298:AF298)</f>
        <v>0</v>
      </c>
      <c r="AH298" s="3">
        <f>AH249-AG249</f>
        <v>0</v>
      </c>
      <c r="AI298" s="3">
        <f>AI249-AH249</f>
        <v>0</v>
      </c>
      <c r="AJ298" s="3">
        <f>AJ249-AI249</f>
        <v>0</v>
      </c>
      <c r="AK298" s="3">
        <f>AK249-AJ249</f>
        <v>0</v>
      </c>
      <c r="AL298" s="3">
        <f>SUM(AH298:AK298)</f>
        <v>0</v>
      </c>
      <c r="AM298" s="3">
        <f>AM249-AL249</f>
        <v>0</v>
      </c>
      <c r="AN298" s="3">
        <f>AN249-AM249</f>
        <v>0</v>
      </c>
      <c r="AO298" s="3">
        <f>AO249-AN249</f>
        <v>0</v>
      </c>
      <c r="AP298" s="3">
        <f>AP249-AO249</f>
        <v>0</v>
      </c>
      <c r="AQ298" s="3">
        <f>SUM(AM298:AP298)</f>
        <v>0</v>
      </c>
      <c r="AR298" s="3">
        <f>AR249-AQ249</f>
        <v>0</v>
      </c>
      <c r="AS298" s="3">
        <f>AS249-AR249</f>
        <v>0</v>
      </c>
      <c r="AT298" s="3">
        <f>AT249-AS249</f>
        <v>0</v>
      </c>
      <c r="AU298" s="3">
        <f>AU249-AT249</f>
        <v>0</v>
      </c>
      <c r="AV298" s="3">
        <f>SUM(AR298:AU298)</f>
        <v>0</v>
      </c>
      <c r="AW298" s="3">
        <f>AW249-AV249</f>
        <v>0</v>
      </c>
      <c r="AX298" s="3">
        <f>AX249-AW249</f>
        <v>0</v>
      </c>
      <c r="AY298" s="3">
        <f>AY249-AX249</f>
        <v>0</v>
      </c>
      <c r="AZ298" s="3">
        <f>AZ249-AY249</f>
        <v>0</v>
      </c>
      <c r="BA298" s="3">
        <f>SUM(AW298:AZ298)</f>
        <v>0</v>
      </c>
      <c r="BB298" s="3">
        <f>BB249-BA249</f>
        <v>0</v>
      </c>
      <c r="BC298" s="3">
        <f>BC249-BB249</f>
        <v>0</v>
      </c>
      <c r="BD298" s="3">
        <f>BD249-BC249</f>
        <v>0</v>
      </c>
      <c r="BE298" s="3">
        <f>BE249-BD249</f>
        <v>0</v>
      </c>
      <c r="BF298" s="3">
        <f>SUM(BB298:BE298)</f>
        <v>0</v>
      </c>
      <c r="BG298" s="3">
        <f>BG249-BF249</f>
        <v>0</v>
      </c>
      <c r="BH298" s="3">
        <f>BH249-BG249</f>
        <v>0</v>
      </c>
      <c r="BI298" s="3">
        <f>BI249-BH249</f>
        <v>0</v>
      </c>
      <c r="BJ298" s="3">
        <f>BJ249-BI249</f>
        <v>0</v>
      </c>
      <c r="BK298" s="3">
        <f>SUM(BG298:BJ298)</f>
        <v>0</v>
      </c>
      <c r="BL298" s="3">
        <f>BL249-BK249</f>
        <v>0</v>
      </c>
      <c r="BM298" s="3">
        <f>BM249-BL249</f>
        <v>0</v>
      </c>
      <c r="BN298" s="3">
        <f>BN249-BM249</f>
        <v>0</v>
      </c>
      <c r="BO298" s="3">
        <f>BO249-BN249</f>
        <v>0</v>
      </c>
      <c r="BP298" s="3">
        <f>SUM(BL298:BO298)</f>
        <v>0</v>
      </c>
      <c r="BQ298" s="3">
        <f>BQ249-BP249</f>
        <v>0</v>
      </c>
      <c r="BR298" s="3">
        <f>BR249-BQ249</f>
        <v>0</v>
      </c>
      <c r="BS298" s="3">
        <f>BS249-BR249</f>
        <v>0</v>
      </c>
      <c r="BT298" s="3">
        <f>BT249-BS249</f>
        <v>0</v>
      </c>
      <c r="BU298" s="3">
        <f>SUM(BQ298:BT298)</f>
        <v>0</v>
      </c>
      <c r="BV298" s="3">
        <f>BV249-BU249</f>
        <v>0</v>
      </c>
      <c r="BW298" s="3">
        <f>BW249-BV249</f>
        <v>0</v>
      </c>
      <c r="BX298" s="3">
        <f>BX249-BW249</f>
        <v>0</v>
      </c>
      <c r="BY298" s="3">
        <f>BY249-BX249</f>
        <v>0</v>
      </c>
      <c r="BZ298" s="3">
        <f>SUM(BV298:BY298)</f>
        <v>0</v>
      </c>
      <c r="CA298" s="3">
        <f>CA249-BZ249</f>
        <v>0</v>
      </c>
      <c r="CB298" s="3">
        <f>CB249-CA249</f>
        <v>0</v>
      </c>
      <c r="CC298" s="3">
        <f>CC249-CB249</f>
        <v>0</v>
      </c>
      <c r="CD298" s="3">
        <f>CD249-CC249</f>
        <v>0</v>
      </c>
      <c r="CE298" s="3">
        <f>SUM(CA298:CD298)</f>
        <v>0</v>
      </c>
      <c r="CF298" s="3">
        <f>CF249-CE249</f>
        <v>0</v>
      </c>
      <c r="CG298" s="3">
        <f>CG249-CF249</f>
        <v>0</v>
      </c>
      <c r="CH298" s="3">
        <f>CH249-CG249</f>
        <v>0</v>
      </c>
      <c r="CI298" s="3">
        <f>CI249-CH249</f>
        <v>0</v>
      </c>
      <c r="CJ298" s="3">
        <f>SUM(CF298:CI298)</f>
        <v>0</v>
      </c>
      <c r="CK298" s="3">
        <f>CK249-CJ249</f>
        <v>0</v>
      </c>
      <c r="CL298" s="3">
        <f>CL249-CK249</f>
        <v>0</v>
      </c>
      <c r="CM298" s="3">
        <f>CM249-CL249</f>
        <v>0</v>
      </c>
      <c r="CN298" s="3">
        <f>CN249-CM249</f>
        <v>0</v>
      </c>
      <c r="CO298" s="3">
        <f>SUM(CK298:CN298)</f>
        <v>0</v>
      </c>
      <c r="CP298" s="3">
        <f>CP249-CO249</f>
        <v>0</v>
      </c>
      <c r="CQ298" s="3">
        <f>CQ249-CP249</f>
        <v>0</v>
      </c>
      <c r="CR298" s="3">
        <f>CR249-CQ249</f>
        <v>0</v>
      </c>
      <c r="CS298" s="3">
        <f>CS249-CR249</f>
        <v>0</v>
      </c>
      <c r="CT298" s="3">
        <f>SUM(CP298:CS298)</f>
        <v>0</v>
      </c>
      <c r="CU298" s="3">
        <f>CU249-CT249</f>
        <v>0</v>
      </c>
      <c r="CV298" s="3">
        <f>CV249-CU249</f>
        <v>0</v>
      </c>
      <c r="CW298" s="3">
        <f>CW249-CV249</f>
        <v>0</v>
      </c>
      <c r="CX298" s="3">
        <f>CX249-CW249</f>
        <v>0</v>
      </c>
      <c r="CY298" s="3">
        <f>SUM(CU298:CX298)</f>
        <v>0</v>
      </c>
    </row>
    <row r="299">
      <c r="C299" s="26" t="inlineStr">
        <is>
          <t>Common stock and APIC</t>
        </is>
      </c>
      <c r="D299" s="3" t="n"/>
      <c r="E299" s="3">
        <f>E250-D250</f>
        <v>2249</v>
      </c>
      <c r="F299" s="3">
        <f>F250-E250</f>
        <v>1370</v>
      </c>
      <c r="G299" s="3">
        <f>G250-F250</f>
        <v>1203</v>
      </c>
      <c r="H299" s="3">
        <f>SUM(D299:G299)</f>
        <v>4822</v>
      </c>
      <c r="I299" s="3">
        <f>I250-H250</f>
        <v>926</v>
      </c>
      <c r="J299" s="3">
        <f>J250-I250</f>
        <v>1000</v>
      </c>
      <c r="K299" s="3">
        <f>K250-J250</f>
        <v>757</v>
      </c>
      <c r="L299" s="3">
        <f>L250-K250</f>
        <v>581</v>
      </c>
      <c r="M299" s="3">
        <f>SUM(I299:L299)</f>
        <v>3264</v>
      </c>
      <c r="N299" s="3">
        <f>N250-M250</f>
        <v>1058</v>
      </c>
      <c r="O299" s="3">
        <f>O250-N250</f>
        <v>1570</v>
      </c>
      <c r="P299" s="3">
        <f>P250-O250</f>
        <v>1856</v>
      </c>
      <c r="Q299" s="3">
        <f>Q250-P250</f>
        <v>1926</v>
      </c>
      <c r="R299" s="3">
        <f>SUM(N299:Q299)</f>
        <v>6410</v>
      </c>
      <c r="S299" s="3">
        <f>S250-R250</f>
        <v>2085</v>
      </c>
      <c r="T299" s="3">
        <f>T250-S250</f>
        <v>1979</v>
      </c>
      <c r="U299" s="3">
        <f>U250-T250</f>
        <v>2343</v>
      </c>
      <c r="V299" s="3">
        <f>V250-U250</f>
        <v>1943</v>
      </c>
      <c r="W299" s="3">
        <f>SUM(S299:V299)</f>
        <v>8350</v>
      </c>
      <c r="X299" s="3">
        <f>X250-W250</f>
        <v>1379</v>
      </c>
      <c r="Y299" s="3">
        <f>Y250-X250</f>
        <v>1819</v>
      </c>
      <c r="Z299" s="3">
        <f>Z250-Y250</f>
        <v>2298</v>
      </c>
      <c r="AA299" s="3">
        <f>AA250-Z250</f>
        <v>2770</v>
      </c>
      <c r="AB299" s="3">
        <f>SUM(X299:AA299)</f>
        <v>8266</v>
      </c>
      <c r="AC299" s="3">
        <f>AC250-AB250</f>
        <v>1925</v>
      </c>
      <c r="AD299" s="3">
        <f>AD250-AC250</f>
        <v>2558</v>
      </c>
      <c r="AE299" s="3">
        <f>AE250-AD250</f>
        <v>2412</v>
      </c>
      <c r="AF299" s="3">
        <f>AF250-AE250</f>
        <v>1431</v>
      </c>
      <c r="AG299" s="3">
        <f>SUM(AC299:AF299)</f>
        <v>8326</v>
      </c>
      <c r="AH299" s="3">
        <f>AH250-AG250</f>
        <v>3776</v>
      </c>
      <c r="AI299" s="3">
        <f>AI250-AH250</f>
        <v>34469</v>
      </c>
      <c r="AJ299" s="3">
        <f>AJ250-AI250</f>
        <v>0</v>
      </c>
      <c r="AK299" s="3">
        <f>AK250-AJ250</f>
        <v>0</v>
      </c>
      <c r="AL299" s="3">
        <f>SUM(AH299:AK299)</f>
        <v>38245</v>
      </c>
      <c r="AM299" s="3">
        <f>AM250-AL250</f>
        <v>0</v>
      </c>
      <c r="AN299" s="3">
        <f>AN250-AM250</f>
        <v>0</v>
      </c>
      <c r="AO299" s="3">
        <f>AO250-AN250</f>
        <v>0</v>
      </c>
      <c r="AP299" s="3">
        <f>AP250-AO250</f>
        <v>0</v>
      </c>
      <c r="AQ299" s="3">
        <f>SUM(AM299:AP299)</f>
        <v>0</v>
      </c>
      <c r="AR299" s="3">
        <f>AR250-AQ250</f>
        <v>0</v>
      </c>
      <c r="AS299" s="3">
        <f>AS250-AR250</f>
        <v>0</v>
      </c>
      <c r="AT299" s="3">
        <f>AT250-AS250</f>
        <v>0</v>
      </c>
      <c r="AU299" s="3">
        <f>AU250-AT250</f>
        <v>0</v>
      </c>
      <c r="AV299" s="3">
        <f>SUM(AR299:AU299)</f>
        <v>0</v>
      </c>
      <c r="AW299" s="3">
        <f>AW250-AV250</f>
        <v>0</v>
      </c>
      <c r="AX299" s="3">
        <f>AX250-AW250</f>
        <v>0</v>
      </c>
      <c r="AY299" s="3">
        <f>AY250-AX250</f>
        <v>0</v>
      </c>
      <c r="AZ299" s="3">
        <f>AZ250-AY250</f>
        <v>0</v>
      </c>
      <c r="BA299" s="3">
        <f>SUM(AW299:AZ299)</f>
        <v>0</v>
      </c>
      <c r="BB299" s="3">
        <f>BB250-BA250</f>
        <v>0</v>
      </c>
      <c r="BC299" s="3">
        <f>BC250-BB250</f>
        <v>0</v>
      </c>
      <c r="BD299" s="3">
        <f>BD250-BC250</f>
        <v>0</v>
      </c>
      <c r="BE299" s="3">
        <f>BE250-BD250</f>
        <v>0</v>
      </c>
      <c r="BF299" s="3">
        <f>SUM(BB299:BE299)</f>
        <v>0</v>
      </c>
      <c r="BG299" s="3">
        <f>BG250-BF250</f>
        <v>0</v>
      </c>
      <c r="BH299" s="3">
        <f>BH250-BG250</f>
        <v>0</v>
      </c>
      <c r="BI299" s="3">
        <f>BI250-BH250</f>
        <v>0</v>
      </c>
      <c r="BJ299" s="3">
        <f>BJ250-BI250</f>
        <v>0</v>
      </c>
      <c r="BK299" s="3">
        <f>SUM(BG299:BJ299)</f>
        <v>0</v>
      </c>
      <c r="BL299" s="3">
        <f>BL250-BK250</f>
        <v>0</v>
      </c>
      <c r="BM299" s="3">
        <f>BM250-BL250</f>
        <v>0</v>
      </c>
      <c r="BN299" s="3">
        <f>BN250-BM250</f>
        <v>0</v>
      </c>
      <c r="BO299" s="3">
        <f>BO250-BN250</f>
        <v>0</v>
      </c>
      <c r="BP299" s="3">
        <f>SUM(BL299:BO299)</f>
        <v>0</v>
      </c>
      <c r="BQ299" s="3">
        <f>BQ250-BP250</f>
        <v>0</v>
      </c>
      <c r="BR299" s="3">
        <f>BR250-BQ250</f>
        <v>0</v>
      </c>
      <c r="BS299" s="3">
        <f>BS250-BR250</f>
        <v>0</v>
      </c>
      <c r="BT299" s="3">
        <f>BT250-BS250</f>
        <v>0</v>
      </c>
      <c r="BU299" s="3">
        <f>SUM(BQ299:BT299)</f>
        <v>0</v>
      </c>
      <c r="BV299" s="3">
        <f>BV250-BU250</f>
        <v>0</v>
      </c>
      <c r="BW299" s="3">
        <f>BW250-BV250</f>
        <v>0</v>
      </c>
      <c r="BX299" s="3">
        <f>BX250-BW250</f>
        <v>0</v>
      </c>
      <c r="BY299" s="3">
        <f>BY250-BX250</f>
        <v>0</v>
      </c>
      <c r="BZ299" s="3">
        <f>SUM(BV299:BY299)</f>
        <v>0</v>
      </c>
      <c r="CA299" s="3">
        <f>CA250-BZ250</f>
        <v>0</v>
      </c>
      <c r="CB299" s="3">
        <f>CB250-CA250</f>
        <v>0</v>
      </c>
      <c r="CC299" s="3">
        <f>CC250-CB250</f>
        <v>0</v>
      </c>
      <c r="CD299" s="3">
        <f>CD250-CC250</f>
        <v>0</v>
      </c>
      <c r="CE299" s="3">
        <f>SUM(CA299:CD299)</f>
        <v>0</v>
      </c>
      <c r="CF299" s="3">
        <f>CF250-CE250</f>
        <v>0</v>
      </c>
      <c r="CG299" s="3">
        <f>CG250-CF250</f>
        <v>0</v>
      </c>
      <c r="CH299" s="3">
        <f>CH250-CG250</f>
        <v>0</v>
      </c>
      <c r="CI299" s="3">
        <f>CI250-CH250</f>
        <v>0</v>
      </c>
      <c r="CJ299" s="3">
        <f>SUM(CF299:CI299)</f>
        <v>0</v>
      </c>
      <c r="CK299" s="3">
        <f>CK250-CJ250</f>
        <v>0</v>
      </c>
      <c r="CL299" s="3">
        <f>CL250-CK250</f>
        <v>0</v>
      </c>
      <c r="CM299" s="3">
        <f>CM250-CL250</f>
        <v>0</v>
      </c>
      <c r="CN299" s="3">
        <f>CN250-CM250</f>
        <v>0</v>
      </c>
      <c r="CO299" s="3">
        <f>SUM(CK299:CN299)</f>
        <v>0</v>
      </c>
      <c r="CP299" s="3">
        <f>CP250-CO250</f>
        <v>0</v>
      </c>
      <c r="CQ299" s="3">
        <f>CQ250-CP250</f>
        <v>0</v>
      </c>
      <c r="CR299" s="3">
        <f>CR250-CQ250</f>
        <v>0</v>
      </c>
      <c r="CS299" s="3">
        <f>CS250-CR250</f>
        <v>0</v>
      </c>
      <c r="CT299" s="3">
        <f>SUM(CP299:CS299)</f>
        <v>0</v>
      </c>
      <c r="CU299" s="3">
        <f>CU250-CT250</f>
        <v>0</v>
      </c>
      <c r="CV299" s="3">
        <f>CV250-CU250</f>
        <v>0</v>
      </c>
      <c r="CW299" s="3">
        <f>CW250-CV250</f>
        <v>0</v>
      </c>
      <c r="CX299" s="3">
        <f>CX250-CW250</f>
        <v>0</v>
      </c>
      <c r="CY299" s="3">
        <f>SUM(CU299:CX299)</f>
        <v>0</v>
      </c>
    </row>
    <row r="300">
      <c r="C300" s="26" t="inlineStr">
        <is>
          <t>Treasury stock repurchases</t>
        </is>
      </c>
      <c r="D300" s="3" t="n"/>
      <c r="E300" s="3">
        <f>E263-D263</f>
        <v>0</v>
      </c>
      <c r="F300" s="3">
        <f>F263-E263</f>
        <v>0</v>
      </c>
      <c r="G300" s="3">
        <f>G263-F263</f>
        <v>0</v>
      </c>
      <c r="H300" s="3">
        <f>SUM(D300:G300)</f>
        <v>0</v>
      </c>
      <c r="I300" s="3">
        <f>I263-H263</f>
        <v>0</v>
      </c>
      <c r="J300" s="3">
        <f>J263-I263</f>
        <v>0</v>
      </c>
      <c r="K300" s="3">
        <f>K263-J263</f>
        <v>0</v>
      </c>
      <c r="L300" s="3">
        <f>L263-K263</f>
        <v>0</v>
      </c>
      <c r="M300" s="3">
        <f>SUM(I300:L300)</f>
        <v>0</v>
      </c>
      <c r="N300" s="3">
        <f>N263-M263</f>
        <v>0</v>
      </c>
      <c r="O300" s="3">
        <f>O263-N263</f>
        <v>0</v>
      </c>
      <c r="P300" s="3">
        <f>P263-O263</f>
        <v>0</v>
      </c>
      <c r="Q300" s="3">
        <f>Q263-P263</f>
        <v>0</v>
      </c>
      <c r="R300" s="3">
        <f>SUM(N300:Q300)</f>
        <v>0</v>
      </c>
      <c r="S300" s="3">
        <f>S263-R263</f>
        <v>0</v>
      </c>
      <c r="T300" s="3">
        <f>T263-S263</f>
        <v>0</v>
      </c>
      <c r="U300" s="3">
        <f>U263-T263</f>
        <v>0</v>
      </c>
      <c r="V300" s="3">
        <f>V263-U263</f>
        <v>0</v>
      </c>
      <c r="W300" s="3">
        <f>SUM(S300:V300)</f>
        <v>0</v>
      </c>
      <c r="X300" s="3">
        <f>X263-W263</f>
        <v>0</v>
      </c>
      <c r="Y300" s="3">
        <f>Y263-X263</f>
        <v>0</v>
      </c>
      <c r="Z300" s="3">
        <f>Z263-Y263</f>
        <v>0</v>
      </c>
      <c r="AA300" s="3">
        <f>AA263-Z263</f>
        <v>0</v>
      </c>
      <c r="AB300" s="3">
        <f>SUM(X300:AA300)</f>
        <v>0</v>
      </c>
      <c r="AC300" s="3">
        <f>AC263-AB263</f>
        <v>0</v>
      </c>
      <c r="AD300" s="3">
        <f>AD263-AC263</f>
        <v>0</v>
      </c>
      <c r="AE300" s="3">
        <f>AE263-AD263</f>
        <v>0</v>
      </c>
      <c r="AF300" s="3">
        <f>AF263-AE263</f>
        <v>0</v>
      </c>
      <c r="AG300" s="3">
        <f>SUM(AC300:AF300)</f>
        <v>0</v>
      </c>
      <c r="AH300" s="3">
        <f>AH263-AG263</f>
        <v>0</v>
      </c>
      <c r="AI300" s="3">
        <f>AI263-AH263</f>
        <v>0</v>
      </c>
      <c r="AJ300" s="3">
        <f>AJ263-AI263</f>
        <v>0</v>
      </c>
      <c r="AK300" s="3">
        <f>AK263-AJ263</f>
        <v>0</v>
      </c>
      <c r="AL300" s="3">
        <f>SUM(AH300:AK300)</f>
        <v>0</v>
      </c>
      <c r="AM300" s="3">
        <f>AM263-AL263</f>
        <v>0</v>
      </c>
      <c r="AN300" s="3">
        <f>AN263-AM263</f>
        <v>0</v>
      </c>
      <c r="AO300" s="3">
        <f>AO263-AN263</f>
        <v>0</v>
      </c>
      <c r="AP300" s="3">
        <f>AP263-AO263</f>
        <v>0</v>
      </c>
      <c r="AQ300" s="3">
        <f>SUM(AM300:AP300)</f>
        <v>0</v>
      </c>
      <c r="AR300" s="3">
        <f>AR263-AQ263</f>
        <v>0</v>
      </c>
      <c r="AS300" s="3">
        <f>AS263-AR263</f>
        <v>0</v>
      </c>
      <c r="AT300" s="3">
        <f>AT263-AS263</f>
        <v>0</v>
      </c>
      <c r="AU300" s="3">
        <f>AU263-AT263</f>
        <v>0</v>
      </c>
      <c r="AV300" s="3">
        <f>SUM(AR300:AU300)</f>
        <v>0</v>
      </c>
      <c r="AW300" s="3">
        <f>AW263-AV263</f>
        <v>0</v>
      </c>
      <c r="AX300" s="3">
        <f>AX263-AW263</f>
        <v>0</v>
      </c>
      <c r="AY300" s="3">
        <f>AY263-AX263</f>
        <v>0</v>
      </c>
      <c r="AZ300" s="3">
        <f>AZ263-AY263</f>
        <v>0</v>
      </c>
      <c r="BA300" s="3">
        <f>SUM(AW300:AZ300)</f>
        <v>0</v>
      </c>
      <c r="BB300" s="3">
        <f>BB263-BA263</f>
        <v>0</v>
      </c>
      <c r="BC300" s="3">
        <f>BC263-BB263</f>
        <v>0</v>
      </c>
      <c r="BD300" s="3">
        <f>BD263-BC263</f>
        <v>0</v>
      </c>
      <c r="BE300" s="3">
        <f>BE263-BD263</f>
        <v>0</v>
      </c>
      <c r="BF300" s="3">
        <f>SUM(BB300:BE300)</f>
        <v>0</v>
      </c>
      <c r="BG300" s="3">
        <f>BG263-BF263</f>
        <v>0</v>
      </c>
      <c r="BH300" s="3">
        <f>BH263-BG263</f>
        <v>0</v>
      </c>
      <c r="BI300" s="3">
        <f>BI263-BH263</f>
        <v>0</v>
      </c>
      <c r="BJ300" s="3">
        <f>BJ263-BI263</f>
        <v>0</v>
      </c>
      <c r="BK300" s="3">
        <f>SUM(BG300:BJ300)</f>
        <v>0</v>
      </c>
      <c r="BL300" s="3">
        <f>BL263-BK263</f>
        <v>0</v>
      </c>
      <c r="BM300" s="3">
        <f>BM263-BL263</f>
        <v>0</v>
      </c>
      <c r="BN300" s="3">
        <f>BN263-BM263</f>
        <v>0</v>
      </c>
      <c r="BO300" s="3">
        <f>BO263-BN263</f>
        <v>0</v>
      </c>
      <c r="BP300" s="3">
        <f>SUM(BL300:BO300)</f>
        <v>0</v>
      </c>
      <c r="BQ300" s="3">
        <f>BQ263-BP263</f>
        <v>0</v>
      </c>
      <c r="BR300" s="3">
        <f>BR263-BQ263</f>
        <v>0</v>
      </c>
      <c r="BS300" s="3">
        <f>BS263-BR263</f>
        <v>0</v>
      </c>
      <c r="BT300" s="3">
        <f>BT263-BS263</f>
        <v>0</v>
      </c>
      <c r="BU300" s="3">
        <f>SUM(BQ300:BT300)</f>
        <v>0</v>
      </c>
      <c r="BV300" s="3">
        <f>BV263-BU263</f>
        <v>0</v>
      </c>
      <c r="BW300" s="3">
        <f>BW263-BV263</f>
        <v>0</v>
      </c>
      <c r="BX300" s="3">
        <f>BX263-BW263</f>
        <v>0</v>
      </c>
      <c r="BY300" s="3">
        <f>BY263-BX263</f>
        <v>0</v>
      </c>
      <c r="BZ300" s="3">
        <f>SUM(BV300:BY300)</f>
        <v>0</v>
      </c>
      <c r="CA300" s="3">
        <f>CA263-BZ263</f>
        <v>0</v>
      </c>
      <c r="CB300" s="3">
        <f>CB263-CA263</f>
        <v>0</v>
      </c>
      <c r="CC300" s="3">
        <f>CC263-CB263</f>
        <v>0</v>
      </c>
      <c r="CD300" s="3">
        <f>CD263-CC263</f>
        <v>0</v>
      </c>
      <c r="CE300" s="3">
        <f>SUM(CA300:CD300)</f>
        <v>0</v>
      </c>
      <c r="CF300" s="3">
        <f>CF263-CE263</f>
        <v>0</v>
      </c>
      <c r="CG300" s="3">
        <f>CG263-CF263</f>
        <v>0</v>
      </c>
      <c r="CH300" s="3">
        <f>CH263-CG263</f>
        <v>0</v>
      </c>
      <c r="CI300" s="3">
        <f>CI263-CH263</f>
        <v>0</v>
      </c>
      <c r="CJ300" s="3">
        <f>SUM(CF300:CI300)</f>
        <v>0</v>
      </c>
      <c r="CK300" s="3">
        <f>CK263-CJ263</f>
        <v>0</v>
      </c>
      <c r="CL300" s="3">
        <f>CL263-CK263</f>
        <v>0</v>
      </c>
      <c r="CM300" s="3">
        <f>CM263-CL263</f>
        <v>0</v>
      </c>
      <c r="CN300" s="3">
        <f>CN263-CM263</f>
        <v>0</v>
      </c>
      <c r="CO300" s="3">
        <f>SUM(CK300:CN300)</f>
        <v>0</v>
      </c>
      <c r="CP300" s="3">
        <f>CP263-CO263</f>
        <v>0</v>
      </c>
      <c r="CQ300" s="3">
        <f>CQ263-CP263</f>
        <v>0</v>
      </c>
      <c r="CR300" s="3">
        <f>CR263-CQ263</f>
        <v>0</v>
      </c>
      <c r="CS300" s="3">
        <f>CS263-CR263</f>
        <v>0</v>
      </c>
      <c r="CT300" s="3">
        <f>SUM(CP300:CS300)</f>
        <v>0</v>
      </c>
      <c r="CU300" s="3">
        <f>CU263-CT263</f>
        <v>0</v>
      </c>
      <c r="CV300" s="3">
        <f>CV263-CU263</f>
        <v>0</v>
      </c>
      <c r="CW300" s="3">
        <f>CW263-CV263</f>
        <v>0</v>
      </c>
      <c r="CX300" s="3">
        <f>CX263-CW263</f>
        <v>0</v>
      </c>
      <c r="CY300" s="3">
        <f>SUM(CU300:CX300)</f>
        <v>0</v>
      </c>
    </row>
    <row r="301">
      <c r="C301" s="26" t="inlineStr">
        <is>
          <t>Comprehensive accumulated loss</t>
        </is>
      </c>
      <c r="D301" s="3" t="n"/>
      <c r="E301" s="3">
        <f>E264-D264</f>
        <v>801</v>
      </c>
      <c r="F301" s="3">
        <f>F264-E264</f>
        <v>342</v>
      </c>
      <c r="G301" s="3">
        <f>G264-F264</f>
        <v>587</v>
      </c>
      <c r="H301" s="3">
        <f>SUM(D301:G301)</f>
        <v>1730</v>
      </c>
      <c r="I301" s="3">
        <f>I264-H264</f>
        <v>-636</v>
      </c>
      <c r="J301" s="3">
        <f>J264-I264</f>
        <v>193</v>
      </c>
      <c r="K301" s="3">
        <f>K264-J264</f>
        <v>-598</v>
      </c>
      <c r="L301" s="3">
        <f>L264-K264</f>
        <v>-1215</v>
      </c>
      <c r="M301" s="3">
        <f>SUM(I301:L301)</f>
        <v>-2256</v>
      </c>
      <c r="N301" s="3">
        <f>N264-M264</f>
        <v>-2426</v>
      </c>
      <c r="O301" s="3">
        <f>O264-N264</f>
        <v>-1779</v>
      </c>
      <c r="P301" s="3">
        <f>P264-O264</f>
        <v>-3024</v>
      </c>
      <c r="Q301" s="3">
        <f>Q264-P264</f>
        <v>1249</v>
      </c>
      <c r="R301" s="3">
        <f>SUM(N301:Q301)</f>
        <v>-5980</v>
      </c>
      <c r="S301" s="3">
        <f>S264-R264</f>
        <v>1603</v>
      </c>
      <c r="T301" s="3">
        <f>T264-S264</f>
        <v>9</v>
      </c>
      <c r="U301" s="3">
        <f>U264-T264</f>
        <v>-1045</v>
      </c>
      <c r="V301" s="3">
        <f>V264-U264</f>
        <v>2634</v>
      </c>
      <c r="W301" s="3">
        <f>SUM(S301:V301)</f>
        <v>3201</v>
      </c>
      <c r="X301" s="3">
        <f>X264-W264</f>
        <v>-437</v>
      </c>
      <c r="Y301" s="3">
        <f>Y264-X264</f>
        <v>-173</v>
      </c>
      <c r="Z301" s="3">
        <f>Z264-Y264</f>
        <v>1784</v>
      </c>
      <c r="AA301" s="3">
        <f>AA264-Z264</f>
        <v>-1572</v>
      </c>
      <c r="AB301" s="3">
        <f>SUM(X301:AA301)</f>
        <v>-398</v>
      </c>
      <c r="AC301" s="3">
        <f>AC264-AB264</f>
        <v>714</v>
      </c>
      <c r="AD301" s="3">
        <f>AD264-AC264</f>
        <v>1959</v>
      </c>
      <c r="AE301" s="3">
        <f>AE264-AD264</f>
        <v>73</v>
      </c>
      <c r="AF301" s="3">
        <f>AF264-AE264</f>
        <v>138</v>
      </c>
      <c r="AG301" s="3">
        <f>SUM(AC301:AF301)</f>
        <v>2884</v>
      </c>
      <c r="AH301" s="3">
        <f>AH264-AG264</f>
        <v>-264</v>
      </c>
      <c r="AI301" s="3">
        <f>AI264-AH264</f>
        <v>-105</v>
      </c>
      <c r="AJ301" s="3">
        <f>AJ264-AI264</f>
        <v>0</v>
      </c>
      <c r="AK301" s="3">
        <f>AK264-AJ264</f>
        <v>0</v>
      </c>
      <c r="AL301" s="3">
        <f>SUM(AH301:AK301)</f>
        <v>-369</v>
      </c>
      <c r="AM301" s="3">
        <f>AM264-AL264</f>
        <v>0</v>
      </c>
      <c r="AN301" s="3">
        <f>AN264-AM264</f>
        <v>0</v>
      </c>
      <c r="AO301" s="3">
        <f>AO264-AN264</f>
        <v>0</v>
      </c>
      <c r="AP301" s="3">
        <f>AP264-AO264</f>
        <v>0</v>
      </c>
      <c r="AQ301" s="3">
        <f>SUM(AM301:AP301)</f>
        <v>0</v>
      </c>
      <c r="AR301" s="3">
        <f>AR264-AQ264</f>
        <v>0</v>
      </c>
      <c r="AS301" s="3">
        <f>AS264-AR264</f>
        <v>0</v>
      </c>
      <c r="AT301" s="3">
        <f>AT264-AS264</f>
        <v>0</v>
      </c>
      <c r="AU301" s="3">
        <f>AU264-AT264</f>
        <v>0</v>
      </c>
      <c r="AV301" s="3">
        <f>SUM(AR301:AU301)</f>
        <v>0</v>
      </c>
      <c r="AW301" s="3">
        <f>AW264-AV264</f>
        <v>0</v>
      </c>
      <c r="AX301" s="3">
        <f>AX264-AW264</f>
        <v>0</v>
      </c>
      <c r="AY301" s="3">
        <f>AY264-AX264</f>
        <v>0</v>
      </c>
      <c r="AZ301" s="3">
        <f>AZ264-AY264</f>
        <v>0</v>
      </c>
      <c r="BA301" s="3">
        <f>SUM(AW301:AZ301)</f>
        <v>0</v>
      </c>
      <c r="BB301" s="3">
        <f>BB264-BA264</f>
        <v>0</v>
      </c>
      <c r="BC301" s="3">
        <f>BC264-BB264</f>
        <v>0</v>
      </c>
      <c r="BD301" s="3">
        <f>BD264-BC264</f>
        <v>0</v>
      </c>
      <c r="BE301" s="3">
        <f>BE264-BD264</f>
        <v>0</v>
      </c>
      <c r="BF301" s="3">
        <f>SUM(BB301:BE301)</f>
        <v>0</v>
      </c>
      <c r="BG301" s="3">
        <f>BG264-BF264</f>
        <v>0</v>
      </c>
      <c r="BH301" s="3">
        <f>BH264-BG264</f>
        <v>0</v>
      </c>
      <c r="BI301" s="3">
        <f>BI264-BH264</f>
        <v>0</v>
      </c>
      <c r="BJ301" s="3">
        <f>BJ264-BI264</f>
        <v>0</v>
      </c>
      <c r="BK301" s="3">
        <f>SUM(BG301:BJ301)</f>
        <v>0</v>
      </c>
      <c r="BL301" s="3">
        <f>BL264-BK264</f>
        <v>0</v>
      </c>
      <c r="BM301" s="3">
        <f>BM264-BL264</f>
        <v>0</v>
      </c>
      <c r="BN301" s="3">
        <f>BN264-BM264</f>
        <v>0</v>
      </c>
      <c r="BO301" s="3">
        <f>BO264-BN264</f>
        <v>0</v>
      </c>
      <c r="BP301" s="3">
        <f>SUM(BL301:BO301)</f>
        <v>0</v>
      </c>
      <c r="BQ301" s="3">
        <f>BQ264-BP264</f>
        <v>0</v>
      </c>
      <c r="BR301" s="3">
        <f>BR264-BQ264</f>
        <v>0</v>
      </c>
      <c r="BS301" s="3">
        <f>BS264-BR264</f>
        <v>0</v>
      </c>
      <c r="BT301" s="3">
        <f>BT264-BS264</f>
        <v>0</v>
      </c>
      <c r="BU301" s="3">
        <f>SUM(BQ301:BT301)</f>
        <v>0</v>
      </c>
      <c r="BV301" s="3">
        <f>BV264-BU264</f>
        <v>0</v>
      </c>
      <c r="BW301" s="3">
        <f>BW264-BV264</f>
        <v>0</v>
      </c>
      <c r="BX301" s="3">
        <f>BX264-BW264</f>
        <v>0</v>
      </c>
      <c r="BY301" s="3">
        <f>BY264-BX264</f>
        <v>0</v>
      </c>
      <c r="BZ301" s="3">
        <f>SUM(BV301:BY301)</f>
        <v>0</v>
      </c>
      <c r="CA301" s="3">
        <f>CA264-BZ264</f>
        <v>0</v>
      </c>
      <c r="CB301" s="3">
        <f>CB264-CA264</f>
        <v>0</v>
      </c>
      <c r="CC301" s="3">
        <f>CC264-CB264</f>
        <v>0</v>
      </c>
      <c r="CD301" s="3">
        <f>CD264-CC264</f>
        <v>0</v>
      </c>
      <c r="CE301" s="3">
        <f>SUM(CA301:CD301)</f>
        <v>0</v>
      </c>
      <c r="CF301" s="3">
        <f>CF264-CE264</f>
        <v>0</v>
      </c>
      <c r="CG301" s="3">
        <f>CG264-CF264</f>
        <v>0</v>
      </c>
      <c r="CH301" s="3">
        <f>CH264-CG264</f>
        <v>0</v>
      </c>
      <c r="CI301" s="3">
        <f>CI264-CH264</f>
        <v>0</v>
      </c>
      <c r="CJ301" s="3">
        <f>SUM(CF301:CI301)</f>
        <v>0</v>
      </c>
      <c r="CK301" s="3">
        <f>CK264-CJ264</f>
        <v>0</v>
      </c>
      <c r="CL301" s="3">
        <f>CL264-CK264</f>
        <v>0</v>
      </c>
      <c r="CM301" s="3">
        <f>CM264-CL264</f>
        <v>0</v>
      </c>
      <c r="CN301" s="3">
        <f>CN264-CM264</f>
        <v>0</v>
      </c>
      <c r="CO301" s="3">
        <f>SUM(CK301:CN301)</f>
        <v>0</v>
      </c>
      <c r="CP301" s="3">
        <f>CP264-CO264</f>
        <v>0</v>
      </c>
      <c r="CQ301" s="3">
        <f>CQ264-CP264</f>
        <v>0</v>
      </c>
      <c r="CR301" s="3">
        <f>CR264-CQ264</f>
        <v>0</v>
      </c>
      <c r="CS301" s="3">
        <f>CS264-CR264</f>
        <v>0</v>
      </c>
      <c r="CT301" s="3">
        <f>SUM(CP301:CS301)</f>
        <v>0</v>
      </c>
      <c r="CU301" s="3">
        <f>CU264-CT264</f>
        <v>0</v>
      </c>
      <c r="CV301" s="3">
        <f>CV264-CU264</f>
        <v>0</v>
      </c>
      <c r="CW301" s="3">
        <f>CW264-CV264</f>
        <v>0</v>
      </c>
      <c r="CX301" s="3">
        <f>CX264-CW264</f>
        <v>0</v>
      </c>
      <c r="CY301" s="3">
        <f>SUM(CU301:CX301)</f>
        <v>0</v>
      </c>
    </row>
    <row r="302">
      <c r="C302" s="26" t="inlineStr">
        <is>
          <t>Other equity account</t>
        </is>
      </c>
      <c r="D302" s="3" t="n"/>
      <c r="E302" s="3">
        <f>E265-D265</f>
        <v>0</v>
      </c>
      <c r="F302" s="3">
        <f>F265-E265</f>
        <v>0</v>
      </c>
      <c r="G302" s="3">
        <f>G265-F265</f>
        <v>0</v>
      </c>
      <c r="H302" s="3">
        <f>SUM(D302:G302)</f>
        <v>0</v>
      </c>
      <c r="I302" s="3">
        <f>I265-H265</f>
        <v>0</v>
      </c>
      <c r="J302" s="3">
        <f>J265-I265</f>
        <v>0</v>
      </c>
      <c r="K302" s="3">
        <f>K265-J265</f>
        <v>0</v>
      </c>
      <c r="L302" s="3">
        <f>L265-K265</f>
        <v>0</v>
      </c>
      <c r="M302" s="3">
        <f>SUM(I302:L302)</f>
        <v>0</v>
      </c>
      <c r="N302" s="3">
        <f>N265-M265</f>
        <v>0</v>
      </c>
      <c r="O302" s="3">
        <f>O265-N265</f>
        <v>0</v>
      </c>
      <c r="P302" s="3">
        <f>P265-O265</f>
        <v>0</v>
      </c>
      <c r="Q302" s="3">
        <f>Q265-P265</f>
        <v>0</v>
      </c>
      <c r="R302" s="3">
        <f>SUM(N302:Q302)</f>
        <v>0</v>
      </c>
      <c r="S302" s="3">
        <f>S265-R265</f>
        <v>0</v>
      </c>
      <c r="T302" s="3">
        <f>T265-S265</f>
        <v>0</v>
      </c>
      <c r="U302" s="3">
        <f>U265-T265</f>
        <v>0</v>
      </c>
      <c r="V302" s="3">
        <f>V265-U265</f>
        <v>0</v>
      </c>
      <c r="W302" s="3">
        <f>SUM(S302:V302)</f>
        <v>0</v>
      </c>
      <c r="X302" s="3">
        <f>X265-W265</f>
        <v>0</v>
      </c>
      <c r="Y302" s="3">
        <f>Y265-X265</f>
        <v>0</v>
      </c>
      <c r="Z302" s="3">
        <f>Z265-Y265</f>
        <v>0</v>
      </c>
      <c r="AA302" s="3">
        <f>AA265-Z265</f>
        <v>0</v>
      </c>
      <c r="AB302" s="3">
        <f>SUM(X302:AA302)</f>
        <v>0</v>
      </c>
      <c r="AC302" s="3">
        <f>AC265-AB265</f>
        <v>0</v>
      </c>
      <c r="AD302" s="3">
        <f>AD265-AC265</f>
        <v>0</v>
      </c>
      <c r="AE302" s="3">
        <f>AE265-AD265</f>
        <v>0</v>
      </c>
      <c r="AF302" s="3">
        <f>AF265-AE265</f>
        <v>0</v>
      </c>
      <c r="AG302" s="3">
        <f>SUM(AC302:AF302)</f>
        <v>0</v>
      </c>
      <c r="AH302" s="3">
        <f>AH265-AG265</f>
        <v>0</v>
      </c>
      <c r="AI302" s="3">
        <f>AI265-AH265</f>
        <v>18023</v>
      </c>
      <c r="AJ302" s="3">
        <f>AJ265-AI265</f>
        <v>0</v>
      </c>
      <c r="AK302" s="3">
        <f>AK265-AJ265</f>
        <v>0</v>
      </c>
      <c r="AL302" s="3">
        <f>SUM(AH302:AK302)</f>
        <v>18023</v>
      </c>
      <c r="AM302" s="3">
        <f>AM265-AL265</f>
        <v>0</v>
      </c>
      <c r="AN302" s="3">
        <f>AN265-AM265</f>
        <v>0</v>
      </c>
      <c r="AO302" s="3">
        <f>AO265-AN265</f>
        <v>0</v>
      </c>
      <c r="AP302" s="3">
        <f>AP265-AO265</f>
        <v>0</v>
      </c>
      <c r="AQ302" s="3">
        <f>SUM(AM302:AP302)</f>
        <v>0</v>
      </c>
      <c r="AR302" s="3">
        <f>AR265-AQ265</f>
        <v>0</v>
      </c>
      <c r="AS302" s="3">
        <f>AS265-AR265</f>
        <v>0</v>
      </c>
      <c r="AT302" s="3">
        <f>AT265-AS265</f>
        <v>0</v>
      </c>
      <c r="AU302" s="3">
        <f>AU265-AT265</f>
        <v>0</v>
      </c>
      <c r="AV302" s="3">
        <f>SUM(AR302:AU302)</f>
        <v>0</v>
      </c>
      <c r="AW302" s="3">
        <f>AW265-AV265</f>
        <v>0</v>
      </c>
      <c r="AX302" s="3">
        <f>AX265-AW265</f>
        <v>0</v>
      </c>
      <c r="AY302" s="3">
        <f>AY265-AX265</f>
        <v>0</v>
      </c>
      <c r="AZ302" s="3">
        <f>AZ265-AY265</f>
        <v>0</v>
      </c>
      <c r="BA302" s="3">
        <f>SUM(AW302:AZ302)</f>
        <v>0</v>
      </c>
      <c r="BB302" s="3">
        <f>BB265-BA265</f>
        <v>0</v>
      </c>
      <c r="BC302" s="3">
        <f>BC265-BB265</f>
        <v>0</v>
      </c>
      <c r="BD302" s="3">
        <f>BD265-BC265</f>
        <v>0</v>
      </c>
      <c r="BE302" s="3">
        <f>BE265-BD265</f>
        <v>0</v>
      </c>
      <c r="BF302" s="3">
        <f>SUM(BB302:BE302)</f>
        <v>0</v>
      </c>
      <c r="BG302" s="3">
        <f>BG265-BF265</f>
        <v>0</v>
      </c>
      <c r="BH302" s="3">
        <f>BH265-BG265</f>
        <v>0</v>
      </c>
      <c r="BI302" s="3">
        <f>BI265-BH265</f>
        <v>0</v>
      </c>
      <c r="BJ302" s="3">
        <f>BJ265-BI265</f>
        <v>0</v>
      </c>
      <c r="BK302" s="3">
        <f>SUM(BG302:BJ302)</f>
        <v>0</v>
      </c>
      <c r="BL302" s="3">
        <f>BL265-BK265</f>
        <v>0</v>
      </c>
      <c r="BM302" s="3">
        <f>BM265-BL265</f>
        <v>0</v>
      </c>
      <c r="BN302" s="3">
        <f>BN265-BM265</f>
        <v>0</v>
      </c>
      <c r="BO302" s="3">
        <f>BO265-BN265</f>
        <v>0</v>
      </c>
      <c r="BP302" s="3">
        <f>SUM(BL302:BO302)</f>
        <v>0</v>
      </c>
      <c r="BQ302" s="3">
        <f>BQ265-BP265</f>
        <v>0</v>
      </c>
      <c r="BR302" s="3">
        <f>BR265-BQ265</f>
        <v>0</v>
      </c>
      <c r="BS302" s="3">
        <f>BS265-BR265</f>
        <v>0</v>
      </c>
      <c r="BT302" s="3">
        <f>BT265-BS265</f>
        <v>0</v>
      </c>
      <c r="BU302" s="3">
        <f>SUM(BQ302:BT302)</f>
        <v>0</v>
      </c>
      <c r="BV302" s="3">
        <f>BV265-BU265</f>
        <v>0</v>
      </c>
      <c r="BW302" s="3">
        <f>BW265-BV265</f>
        <v>0</v>
      </c>
      <c r="BX302" s="3">
        <f>BX265-BW265</f>
        <v>0</v>
      </c>
      <c r="BY302" s="3">
        <f>BY265-BX265</f>
        <v>0</v>
      </c>
      <c r="BZ302" s="3">
        <f>SUM(BV302:BY302)</f>
        <v>0</v>
      </c>
      <c r="CA302" s="3">
        <f>CA265-BZ265</f>
        <v>0</v>
      </c>
      <c r="CB302" s="3">
        <f>CB265-CA265</f>
        <v>0</v>
      </c>
      <c r="CC302" s="3">
        <f>CC265-CB265</f>
        <v>0</v>
      </c>
      <c r="CD302" s="3">
        <f>CD265-CC265</f>
        <v>0</v>
      </c>
      <c r="CE302" s="3">
        <f>SUM(CA302:CD302)</f>
        <v>0</v>
      </c>
      <c r="CF302" s="3">
        <f>CF265-CE265</f>
        <v>0</v>
      </c>
      <c r="CG302" s="3">
        <f>CG265-CF265</f>
        <v>0</v>
      </c>
      <c r="CH302" s="3">
        <f>CH265-CG265</f>
        <v>0</v>
      </c>
      <c r="CI302" s="3">
        <f>CI265-CH265</f>
        <v>0</v>
      </c>
      <c r="CJ302" s="3">
        <f>SUM(CF302:CI302)</f>
        <v>0</v>
      </c>
      <c r="CK302" s="3">
        <f>CK265-CJ265</f>
        <v>0</v>
      </c>
      <c r="CL302" s="3">
        <f>CL265-CK265</f>
        <v>0</v>
      </c>
      <c r="CM302" s="3">
        <f>CM265-CL265</f>
        <v>0</v>
      </c>
      <c r="CN302" s="3">
        <f>CN265-CM265</f>
        <v>0</v>
      </c>
      <c r="CO302" s="3">
        <f>SUM(CK302:CN302)</f>
        <v>0</v>
      </c>
      <c r="CP302" s="3">
        <f>CP265-CO265</f>
        <v>0</v>
      </c>
      <c r="CQ302" s="3">
        <f>CQ265-CP265</f>
        <v>0</v>
      </c>
      <c r="CR302" s="3">
        <f>CR265-CQ265</f>
        <v>0</v>
      </c>
      <c r="CS302" s="3">
        <f>CS265-CR265</f>
        <v>0</v>
      </c>
      <c r="CT302" s="3">
        <f>SUM(CP302:CS302)</f>
        <v>0</v>
      </c>
      <c r="CU302" s="3">
        <f>CU265-CT265</f>
        <v>0</v>
      </c>
      <c r="CV302" s="3">
        <f>CV265-CU265</f>
        <v>0</v>
      </c>
      <c r="CW302" s="3">
        <f>CW265-CV265</f>
        <v>0</v>
      </c>
      <c r="CX302" s="3">
        <f>CX265-CW265</f>
        <v>0</v>
      </c>
      <c r="CY302" s="3">
        <f>SUM(CU302:CX302)</f>
        <v>0</v>
      </c>
    </row>
    <row r="303">
      <c r="C303" s="29" t="inlineStr">
        <is>
          <t>Common and preferred dividends</t>
        </is>
      </c>
      <c r="D303" s="3" t="n"/>
      <c r="E303" s="3">
        <f>(E266-D266)-E273</f>
        <v>-6346</v>
      </c>
      <c r="F303" s="3">
        <f>(F266-E266)-F273</f>
        <v>-7361</v>
      </c>
      <c r="G303" s="3">
        <f>(G266-F266)-G273</f>
        <v>-7393</v>
      </c>
      <c r="H303" s="3">
        <f>SUM(D303:G303)</f>
        <v>-21100</v>
      </c>
      <c r="I303" s="3">
        <f>(I266-H266)-I273</f>
        <v>-10751</v>
      </c>
      <c r="J303" s="3">
        <f>(J266-I266)-J273</f>
        <v>-12166</v>
      </c>
      <c r="K303" s="3">
        <f>(K266-J266)-K273</f>
        <v>-12093</v>
      </c>
      <c r="L303" s="3">
        <f>(L266-K266)-L273</f>
        <v>-12940</v>
      </c>
      <c r="M303" s="3">
        <f>SUM(I303:L303)</f>
        <v>-47950</v>
      </c>
      <c r="N303" s="3">
        <f>(N266-M266)-N273</f>
        <v>-12699</v>
      </c>
      <c r="O303" s="3">
        <f>(O266-N266)-O273</f>
        <v>-14378</v>
      </c>
      <c r="P303" s="3">
        <f>(P266-O266)-P273</f>
        <v>-14535</v>
      </c>
      <c r="Q303" s="3">
        <f>(Q266-P266)-Q273</f>
        <v>-14281</v>
      </c>
      <c r="R303" s="3">
        <f>SUM(N303:Q303)</f>
        <v>-55893</v>
      </c>
      <c r="S303" s="3">
        <f>(S266-R266)-S273</f>
        <v>-13989</v>
      </c>
      <c r="T303" s="3">
        <f>(T266-S266)-T273</f>
        <v>-14109</v>
      </c>
      <c r="U303" s="3">
        <f>(U266-T266)-U273</f>
        <v>-14926</v>
      </c>
      <c r="V303" s="3">
        <f>(V266-U266)-V273</f>
        <v>-15087</v>
      </c>
      <c r="W303" s="3">
        <f>SUM(S303:V303)</f>
        <v>-58111</v>
      </c>
      <c r="X303" s="3">
        <f>(X266-W266)-X273</f>
        <v>-15139</v>
      </c>
      <c r="Y303" s="3">
        <f>(Y266-X266)-Y273</f>
        <v>-17356</v>
      </c>
      <c r="Z303" s="3">
        <f>(Z266-Y266)-Z273</f>
        <v>-17017</v>
      </c>
      <c r="AA303" s="3">
        <f>(AA266-Z266)-AA273</f>
        <v>-16769</v>
      </c>
      <c r="AB303" s="3">
        <f>SUM(X303:AA303)</f>
        <v>-66281</v>
      </c>
      <c r="AC303" s="3">
        <f>(AC266-AB266)-AC273</f>
        <v>-16996</v>
      </c>
      <c r="AD303" s="3">
        <f>(AD266-AC266)-AD273</f>
        <v>-15064</v>
      </c>
      <c r="AE303" s="3">
        <f>(AE266-AD266)-AE273</f>
        <v>-13513</v>
      </c>
      <c r="AF303" s="3">
        <f>(AF266-AE266)-AF273</f>
        <v>-7626</v>
      </c>
      <c r="AG303" s="3">
        <f>SUM(AC303:AF303)</f>
        <v>-53199</v>
      </c>
      <c r="AH303" s="3">
        <f>(AH266-AG266)-AH273</f>
        <v>-2609</v>
      </c>
      <c r="AI303" s="3">
        <f>(AI266-AH266)-AI273</f>
        <v>-2846</v>
      </c>
      <c r="AJ303" s="3">
        <f>(AJ266-AI266)-AJ273</f>
        <v>0</v>
      </c>
      <c r="AK303" s="3">
        <f>(AK266-AJ266)-AK273</f>
        <v>0</v>
      </c>
      <c r="AL303" s="3">
        <f>SUM(AH303:AK303)</f>
        <v>-5455</v>
      </c>
      <c r="AM303" s="3">
        <f>(AM266-AL266)-AM273</f>
        <v>0</v>
      </c>
      <c r="AN303" s="3">
        <f>(AN266-AM266)-AN273</f>
        <v>0</v>
      </c>
      <c r="AO303" s="3">
        <f>(AO266-AN266)-AO273</f>
        <v>0</v>
      </c>
      <c r="AP303" s="3">
        <f>(AP266-AO266)-AP273</f>
        <v>0</v>
      </c>
      <c r="AQ303" s="3">
        <f>SUM(AM303:AP303)</f>
        <v>0</v>
      </c>
      <c r="AR303" s="3">
        <f>(AR266-AQ266)-AR273</f>
        <v>0</v>
      </c>
      <c r="AS303" s="3">
        <f>(AS266-AR266)-AS273</f>
        <v>0</v>
      </c>
      <c r="AT303" s="3">
        <f>(AT266-AS266)-AT273</f>
        <v>0</v>
      </c>
      <c r="AU303" s="3">
        <f>(AU266-AT266)-AU273</f>
        <v>0</v>
      </c>
      <c r="AV303" s="3">
        <f>SUM(AR303:AU303)</f>
        <v>0</v>
      </c>
      <c r="AW303" s="3">
        <f>(AW266-AV266)-AW273</f>
        <v>0</v>
      </c>
      <c r="AX303" s="3">
        <f>(AX266-AW266)-AX273</f>
        <v>0</v>
      </c>
      <c r="AY303" s="3">
        <f>(AY266-AX266)-AY273</f>
        <v>0</v>
      </c>
      <c r="AZ303" s="3">
        <f>(AZ266-AY266)-AZ273</f>
        <v>0</v>
      </c>
      <c r="BA303" s="3">
        <f>SUM(AW303:AZ303)</f>
        <v>0</v>
      </c>
      <c r="BB303" s="3">
        <f>(BB266-BA266)-BB273</f>
        <v>0</v>
      </c>
      <c r="BC303" s="3">
        <f>(BC266-BB266)-BC273</f>
        <v>0</v>
      </c>
      <c r="BD303" s="3">
        <f>(BD266-BC266)-BD273</f>
        <v>0</v>
      </c>
      <c r="BE303" s="3">
        <f>(BE266-BD266)-BE273</f>
        <v>0</v>
      </c>
      <c r="BF303" s="3">
        <f>SUM(BB303:BE303)</f>
        <v>0</v>
      </c>
      <c r="BG303" s="3">
        <f>(BG266-BF266)-BG273</f>
        <v>0</v>
      </c>
      <c r="BH303" s="3">
        <f>(BH266-BG266)-BH273</f>
        <v>0</v>
      </c>
      <c r="BI303" s="3">
        <f>(BI266-BH266)-BI273</f>
        <v>0</v>
      </c>
      <c r="BJ303" s="3">
        <f>(BJ266-BI266)-BJ273</f>
        <v>0</v>
      </c>
      <c r="BK303" s="3">
        <f>SUM(BG303:BJ303)</f>
        <v>0</v>
      </c>
      <c r="BL303" s="3">
        <f>(BL266-BK266)-BL273</f>
        <v>0</v>
      </c>
      <c r="BM303" s="3">
        <f>(BM266-BL266)-BM273</f>
        <v>0</v>
      </c>
      <c r="BN303" s="3">
        <f>(BN266-BM266)-BN273</f>
        <v>0</v>
      </c>
      <c r="BO303" s="3">
        <f>(BO266-BN266)-BO273</f>
        <v>0</v>
      </c>
      <c r="BP303" s="3">
        <f>SUM(BL303:BO303)</f>
        <v>0</v>
      </c>
      <c r="BQ303" s="3">
        <f>(BQ266-BP266)-BQ273</f>
        <v>0</v>
      </c>
      <c r="BR303" s="3">
        <f>(BR266-BQ266)-BR273</f>
        <v>0</v>
      </c>
      <c r="BS303" s="3">
        <f>(BS266-BR266)-BS273</f>
        <v>0</v>
      </c>
      <c r="BT303" s="3">
        <f>(BT266-BS266)-BT273</f>
        <v>0</v>
      </c>
      <c r="BU303" s="3">
        <f>SUM(BQ303:BT303)</f>
        <v>0</v>
      </c>
      <c r="BV303" s="3">
        <f>(BV266-BU266)-BV273</f>
        <v>0</v>
      </c>
      <c r="BW303" s="3">
        <f>(BW266-BV266)-BW273</f>
        <v>0</v>
      </c>
      <c r="BX303" s="3">
        <f>(BX266-BW266)-BX273</f>
        <v>0</v>
      </c>
      <c r="BY303" s="3">
        <f>(BY266-BX266)-BY273</f>
        <v>0</v>
      </c>
      <c r="BZ303" s="3">
        <f>SUM(BV303:BY303)</f>
        <v>0</v>
      </c>
      <c r="CA303" s="3">
        <f>(CA266-BZ266)-CA273</f>
        <v>0</v>
      </c>
      <c r="CB303" s="3">
        <f>(CB266-CA266)-CB273</f>
        <v>0</v>
      </c>
      <c r="CC303" s="3">
        <f>(CC266-CB266)-CC273</f>
        <v>0</v>
      </c>
      <c r="CD303" s="3">
        <f>(CD266-CC266)-CD273</f>
        <v>0</v>
      </c>
      <c r="CE303" s="3">
        <f>SUM(CA303:CD303)</f>
        <v>0</v>
      </c>
      <c r="CF303" s="3">
        <f>(CF266-CE266)-CF273</f>
        <v>0</v>
      </c>
      <c r="CG303" s="3">
        <f>(CG266-CF266)-CG273</f>
        <v>0</v>
      </c>
      <c r="CH303" s="3">
        <f>(CH266-CG266)-CH273</f>
        <v>0</v>
      </c>
      <c r="CI303" s="3">
        <f>(CI266-CH266)-CI273</f>
        <v>0</v>
      </c>
      <c r="CJ303" s="3">
        <f>SUM(CF303:CI303)</f>
        <v>0</v>
      </c>
      <c r="CK303" s="3">
        <f>(CK266-CJ266)-CK273</f>
        <v>0</v>
      </c>
      <c r="CL303" s="3">
        <f>(CL266-CK266)-CL273</f>
        <v>0</v>
      </c>
      <c r="CM303" s="3">
        <f>(CM266-CL266)-CM273</f>
        <v>0</v>
      </c>
      <c r="CN303" s="3">
        <f>(CN266-CM266)-CN273</f>
        <v>0</v>
      </c>
      <c r="CO303" s="3">
        <f>SUM(CK303:CN303)</f>
        <v>0</v>
      </c>
      <c r="CP303" s="3">
        <f>(CP266-CO266)-CP273</f>
        <v>0</v>
      </c>
      <c r="CQ303" s="3">
        <f>(CQ266-CP266)-CQ273</f>
        <v>0</v>
      </c>
      <c r="CR303" s="3">
        <f>(CR266-CQ266)-CR273</f>
        <v>0</v>
      </c>
      <c r="CS303" s="3">
        <f>(CS266-CR266)-CS273</f>
        <v>0</v>
      </c>
      <c r="CT303" s="3">
        <f>SUM(CP303:CS303)</f>
        <v>0</v>
      </c>
      <c r="CU303" s="3">
        <f>(CU266-CT266)-CU273</f>
        <v>0</v>
      </c>
      <c r="CV303" s="3">
        <f>(CV266-CU266)-CV273</f>
        <v>0</v>
      </c>
      <c r="CW303" s="3">
        <f>(CW266-CV266)-CW273</f>
        <v>0</v>
      </c>
      <c r="CX303" s="3">
        <f>(CX266-CW266)-CX273</f>
        <v>0</v>
      </c>
      <c r="CY303" s="3">
        <f>SUM(CU303:CX303)</f>
        <v>0</v>
      </c>
    </row>
    <row r="304">
      <c r="C304" s="26" t="inlineStr">
        <is>
          <t>Dividends to minority interests</t>
        </is>
      </c>
      <c r="D304" s="3" t="n"/>
      <c r="E304" s="3">
        <f>(E244-D244)+E132</f>
        <v>0</v>
      </c>
      <c r="F304" s="3">
        <f>(F244-E244)+F132</f>
        <v>0</v>
      </c>
      <c r="G304" s="3">
        <f>(G244-F244)+G132</f>
        <v>0</v>
      </c>
      <c r="H304" s="3">
        <f>SUM(D304:G304)</f>
        <v>0</v>
      </c>
      <c r="I304" s="3">
        <f>(I244-H244)+I132</f>
        <v>0</v>
      </c>
      <c r="J304" s="3">
        <f>(J244-I244)+J132</f>
        <v>0</v>
      </c>
      <c r="K304" s="3">
        <f>(K244-J244)+K132</f>
        <v>0</v>
      </c>
      <c r="L304" s="3">
        <f>(L244-K244)+L132</f>
        <v>0</v>
      </c>
      <c r="M304" s="3">
        <f>SUM(I304:L304)</f>
        <v>0</v>
      </c>
      <c r="N304" s="3">
        <f>(N244-M244)+N132</f>
        <v>0</v>
      </c>
      <c r="O304" s="3">
        <f>(O244-N244)+O132</f>
        <v>0</v>
      </c>
      <c r="P304" s="3">
        <f>(P244-O244)+P132</f>
        <v>0</v>
      </c>
      <c r="Q304" s="3">
        <f>(Q244-P244)+Q132</f>
        <v>0</v>
      </c>
      <c r="R304" s="3">
        <f>SUM(N304:Q304)</f>
        <v>0</v>
      </c>
      <c r="S304" s="3">
        <f>(S244-R244)+S132</f>
        <v>0</v>
      </c>
      <c r="T304" s="3">
        <f>(T244-S244)+T132</f>
        <v>0</v>
      </c>
      <c r="U304" s="3">
        <f>(U244-T244)+U132</f>
        <v>0</v>
      </c>
      <c r="V304" s="3">
        <f>(V244-U244)+V132</f>
        <v>0</v>
      </c>
      <c r="W304" s="3">
        <f>SUM(S304:V304)</f>
        <v>0</v>
      </c>
      <c r="X304" s="3">
        <f>(X244-W244)+X132</f>
        <v>0</v>
      </c>
      <c r="Y304" s="3">
        <f>(Y244-X244)+Y132</f>
        <v>0</v>
      </c>
      <c r="Z304" s="3">
        <f>(Z244-Y244)+Z132</f>
        <v>0</v>
      </c>
      <c r="AA304" s="3">
        <f>(AA244-Z244)+AA132</f>
        <v>0</v>
      </c>
      <c r="AB304" s="3">
        <f>SUM(X304:AA304)</f>
        <v>0</v>
      </c>
      <c r="AC304" s="3">
        <f>(AC244-AB244)+AC132</f>
        <v>0</v>
      </c>
      <c r="AD304" s="3">
        <f>(AD244-AC244)+AD132</f>
        <v>0</v>
      </c>
      <c r="AE304" s="3">
        <f>(AE244-AD244)+AE132</f>
        <v>0</v>
      </c>
      <c r="AF304" s="3">
        <f>(AF244-AE244)+AF132</f>
        <v>0</v>
      </c>
      <c r="AG304" s="3">
        <f>SUM(AC304:AF304)</f>
        <v>0</v>
      </c>
      <c r="AH304" s="3">
        <f>(AH244-AG244)+AH132</f>
        <v>0</v>
      </c>
      <c r="AI304" s="3">
        <f>(AI244-AH244)+AI132</f>
        <v>0</v>
      </c>
      <c r="AJ304" s="3">
        <f>(AJ244-AI244)+AJ132</f>
        <v>0</v>
      </c>
      <c r="AK304" s="3">
        <f>(AK244-AJ244)+AK132</f>
        <v>0</v>
      </c>
      <c r="AL304" s="3">
        <f>SUM(AH304:AK304)</f>
        <v>0</v>
      </c>
      <c r="AM304" s="3">
        <f>(AM244-AL244)+AM132</f>
        <v>0</v>
      </c>
      <c r="AN304" s="3">
        <f>(AN244-AM244)+AN132</f>
        <v>0</v>
      </c>
      <c r="AO304" s="3">
        <f>(AO244-AN244)+AO132</f>
        <v>0</v>
      </c>
      <c r="AP304" s="3">
        <f>(AP244-AO244)+AP132</f>
        <v>0</v>
      </c>
      <c r="AQ304" s="3">
        <f>SUM(AM304:AP304)</f>
        <v>0</v>
      </c>
      <c r="AR304" s="3">
        <f>(AR244-AQ244)+AR132</f>
        <v>0</v>
      </c>
      <c r="AS304" s="3">
        <f>(AS244-AR244)+AS132</f>
        <v>0</v>
      </c>
      <c r="AT304" s="3">
        <f>(AT244-AS244)+AT132</f>
        <v>0</v>
      </c>
      <c r="AU304" s="3">
        <f>(AU244-AT244)+AU132</f>
        <v>0</v>
      </c>
      <c r="AV304" s="3">
        <f>SUM(AR304:AU304)</f>
        <v>0</v>
      </c>
      <c r="AW304" s="3">
        <f>(AW244-AV244)+AW132</f>
        <v>0</v>
      </c>
      <c r="AX304" s="3">
        <f>(AX244-AW244)+AX132</f>
        <v>0</v>
      </c>
      <c r="AY304" s="3">
        <f>(AY244-AX244)+AY132</f>
        <v>0</v>
      </c>
      <c r="AZ304" s="3">
        <f>(AZ244-AY244)+AZ132</f>
        <v>0</v>
      </c>
      <c r="BA304" s="3">
        <f>SUM(AW304:AZ304)</f>
        <v>0</v>
      </c>
      <c r="BB304" s="3">
        <f>(BB244-BA244)+BB132</f>
        <v>0</v>
      </c>
      <c r="BC304" s="3">
        <f>(BC244-BB244)+BC132</f>
        <v>0</v>
      </c>
      <c r="BD304" s="3">
        <f>(BD244-BC244)+BD132</f>
        <v>0</v>
      </c>
      <c r="BE304" s="3">
        <f>(BE244-BD244)+BE132</f>
        <v>0</v>
      </c>
      <c r="BF304" s="3">
        <f>SUM(BB304:BE304)</f>
        <v>0</v>
      </c>
      <c r="BG304" s="3">
        <f>(BG244-BF244)+BG132</f>
        <v>0</v>
      </c>
      <c r="BH304" s="3">
        <f>(BH244-BG244)+BH132</f>
        <v>0</v>
      </c>
      <c r="BI304" s="3">
        <f>(BI244-BH244)+BI132</f>
        <v>0</v>
      </c>
      <c r="BJ304" s="3">
        <f>(BJ244-BI244)+BJ132</f>
        <v>0</v>
      </c>
      <c r="BK304" s="3">
        <f>SUM(BG304:BJ304)</f>
        <v>0</v>
      </c>
      <c r="BL304" s="3">
        <f>(BL244-BK244)+BL132</f>
        <v>0</v>
      </c>
      <c r="BM304" s="3">
        <f>(BM244-BL244)+BM132</f>
        <v>0</v>
      </c>
      <c r="BN304" s="3">
        <f>(BN244-BM244)+BN132</f>
        <v>0</v>
      </c>
      <c r="BO304" s="3">
        <f>(BO244-BN244)+BO132</f>
        <v>0</v>
      </c>
      <c r="BP304" s="3">
        <f>SUM(BL304:BO304)</f>
        <v>0</v>
      </c>
      <c r="BQ304" s="3">
        <f>(BQ244-BP244)+BQ132</f>
        <v>0</v>
      </c>
      <c r="BR304" s="3">
        <f>(BR244-BQ244)+BR132</f>
        <v>0</v>
      </c>
      <c r="BS304" s="3">
        <f>(BS244-BR244)+BS132</f>
        <v>0</v>
      </c>
      <c r="BT304" s="3">
        <f>(BT244-BS244)+BT132</f>
        <v>0</v>
      </c>
      <c r="BU304" s="3">
        <f>SUM(BQ304:BT304)</f>
        <v>0</v>
      </c>
      <c r="BV304" s="3">
        <f>(BV244-BU244)+BV132</f>
        <v>0</v>
      </c>
      <c r="BW304" s="3">
        <f>(BW244-BV244)+BW132</f>
        <v>0</v>
      </c>
      <c r="BX304" s="3">
        <f>(BX244-BW244)+BX132</f>
        <v>0</v>
      </c>
      <c r="BY304" s="3">
        <f>(BY244-BX244)+BY132</f>
        <v>0</v>
      </c>
      <c r="BZ304" s="3">
        <f>SUM(BV304:BY304)</f>
        <v>0</v>
      </c>
      <c r="CA304" s="3">
        <f>(CA244-BZ244)+CA132</f>
        <v>0</v>
      </c>
      <c r="CB304" s="3">
        <f>(CB244-CA244)+CB132</f>
        <v>0</v>
      </c>
      <c r="CC304" s="3">
        <f>(CC244-CB244)+CC132</f>
        <v>0</v>
      </c>
      <c r="CD304" s="3">
        <f>(CD244-CC244)+CD132</f>
        <v>0</v>
      </c>
      <c r="CE304" s="3">
        <f>SUM(CA304:CD304)</f>
        <v>0</v>
      </c>
      <c r="CF304" s="3">
        <f>(CF244-CE244)+CF132</f>
        <v>0</v>
      </c>
      <c r="CG304" s="3">
        <f>(CG244-CF244)+CG132</f>
        <v>0</v>
      </c>
      <c r="CH304" s="3">
        <f>(CH244-CG244)+CH132</f>
        <v>0</v>
      </c>
      <c r="CI304" s="3">
        <f>(CI244-CH244)+CI132</f>
        <v>0</v>
      </c>
      <c r="CJ304" s="3">
        <f>SUM(CF304:CI304)</f>
        <v>0</v>
      </c>
      <c r="CK304" s="3">
        <f>(CK244-CJ244)+CK132</f>
        <v>0</v>
      </c>
      <c r="CL304" s="3">
        <f>(CL244-CK244)+CL132</f>
        <v>0</v>
      </c>
      <c r="CM304" s="3">
        <f>(CM244-CL244)+CM132</f>
        <v>0</v>
      </c>
      <c r="CN304" s="3">
        <f>(CN244-CM244)+CN132</f>
        <v>0</v>
      </c>
      <c r="CO304" s="3">
        <f>SUM(CK304:CN304)</f>
        <v>0</v>
      </c>
      <c r="CP304" s="3">
        <f>(CP244-CO244)+CP132</f>
        <v>0</v>
      </c>
      <c r="CQ304" s="3">
        <f>(CQ244-CP244)+CQ132</f>
        <v>0</v>
      </c>
      <c r="CR304" s="3">
        <f>(CR244-CQ244)+CR132</f>
        <v>0</v>
      </c>
      <c r="CS304" s="3">
        <f>(CS244-CR244)+CS132</f>
        <v>0</v>
      </c>
      <c r="CT304" s="3">
        <f>SUM(CP304:CS304)</f>
        <v>0</v>
      </c>
      <c r="CU304" s="3">
        <f>(CU244-CT244)+CU132</f>
        <v>0</v>
      </c>
      <c r="CV304" s="3">
        <f>(CV244-CU244)+CV132</f>
        <v>0</v>
      </c>
      <c r="CW304" s="3">
        <f>(CW244-CV244)+CW132</f>
        <v>0</v>
      </c>
      <c r="CX304" s="3">
        <f>(CX244-CW244)+CX132</f>
        <v>0</v>
      </c>
      <c r="CY304" s="3">
        <f>SUM(CU304:CX304)</f>
        <v>0</v>
      </c>
    </row>
    <row r="305">
      <c r="C305" s="28" t="inlineStr">
        <is>
          <t>Increases / (decreases) in debt</t>
        </is>
      </c>
      <c r="D305" s="3" t="n"/>
      <c r="E305" s="3">
        <f>SUM(E208:E210,E213,E234,E231)-SUM(D208:D210,D213,D234,D231)</f>
        <v>-765</v>
      </c>
      <c r="F305" s="3">
        <f>SUM(F208:F210,F213,F234,F231)-SUM(E208:E210,E213,E234,E231)</f>
        <v>10159</v>
      </c>
      <c r="G305" s="3">
        <f>SUM(G208:G210,G213,G234,G231)-SUM(F208:F210,F213,F234,F231)</f>
        <v>192</v>
      </c>
      <c r="H305" s="3">
        <f>SUM(D305:G305)</f>
        <v>9586</v>
      </c>
      <c r="I305" s="3">
        <f>SUM(I208:I210,I213,I234,I231)-SUM(H208:H210,H213,H234,H231)</f>
        <v>191</v>
      </c>
      <c r="J305" s="3">
        <f>SUM(J208:J210,J213,J234,J231)-SUM(I208:I210,I213,I234,I231)</f>
        <v>678</v>
      </c>
      <c r="K305" s="3">
        <f>SUM(K208:K210,K213,K234,K231)-SUM(J208:J210,J213,J234,J231)</f>
        <v>-188</v>
      </c>
      <c r="L305" s="3">
        <f>SUM(L208:L210,L213,L234,L231)-SUM(K208:K210,K213,K234,K231)</f>
        <v>447</v>
      </c>
      <c r="M305" s="3">
        <f>SUM(I305:L305)</f>
        <v>1128</v>
      </c>
      <c r="N305" s="3">
        <f>SUM(N208:N210,N213,N234,N231)-SUM(M208:M210,M213,M234,M231)</f>
        <v>-52</v>
      </c>
      <c r="O305" s="3">
        <f>SUM(O208:O210,O213,O234,O231)-SUM(N208:N210,N213,N234,N231)</f>
        <v>277</v>
      </c>
      <c r="P305" s="3">
        <f>SUM(P208:P210,P213,P234,P231)-SUM(O208:O210,O213,O234,O231)</f>
        <v>206</v>
      </c>
      <c r="Q305" s="3">
        <f>SUM(Q208:Q210,Q213,Q234,Q231)-SUM(P208:P210,P213,P234,P231)</f>
        <v>565</v>
      </c>
      <c r="R305" s="3">
        <f>SUM(N305:Q305)</f>
        <v>996</v>
      </c>
      <c r="S305" s="3">
        <f>SUM(S208:S210,S213,S234,S231)-SUM(R208:R210,R213,R234,R231)</f>
        <v>-706</v>
      </c>
      <c r="T305" s="3">
        <f>SUM(T208:T210,T213,T234,T231)-SUM(S208:S210,S213,S234,S231)</f>
        <v>-45</v>
      </c>
      <c r="U305" s="3">
        <f>SUM(U208:U210,U213,U234,U231)-SUM(T208:T210,T213,T234,T231)</f>
        <v>-120</v>
      </c>
      <c r="V305" s="3">
        <f>SUM(V208:V210,V213,V234,V231)-SUM(U208:U210,U213,U234,U231)</f>
        <v>-618</v>
      </c>
      <c r="W305" s="3">
        <f>SUM(S305:V305)</f>
        <v>-1489</v>
      </c>
      <c r="X305" s="3">
        <f>SUM(X208:X210,X213,X234,X231)-SUM(W208:W210,W213,W234,W231)</f>
        <v>-528</v>
      </c>
      <c r="Y305" s="3">
        <f>SUM(Y208:Y210,Y213,Y234,Y231)-SUM(X208:X210,X213,X234,X231)</f>
        <v>-239</v>
      </c>
      <c r="Z305" s="3">
        <f>SUM(Z208:Z210,Z213,Z234,Z231)-SUM(Y208:Y210,Y213,Y234,Y231)</f>
        <v>-995</v>
      </c>
      <c r="AA305" s="3">
        <f>SUM(AA208:AA210,AA213,AA234,AA231)-SUM(Z208:Z210,Z213,Z234,Z231)</f>
        <v>-1377</v>
      </c>
      <c r="AB305" s="3">
        <f>SUM(X305:AA305)</f>
        <v>-3139</v>
      </c>
      <c r="AC305" s="3">
        <f>SUM(AC208:AC210,AC213,AC234,AC231)-SUM(AB208:AB210,AB213,AB234,AB231)</f>
        <v>-10</v>
      </c>
      <c r="AD305" s="3">
        <f>SUM(AD208:AD210,AD213,AD234,AD231)-SUM(AC208:AC210,AC213,AC234,AC231)</f>
        <v>12995</v>
      </c>
      <c r="AE305" s="3">
        <f>SUM(AE208:AE210,AE213,AE234,AE231)-SUM(AD208:AD210,AD213,AD234,AD231)</f>
        <v>-1846</v>
      </c>
      <c r="AF305" s="3">
        <f>SUM(AF208:AF210,AF213,AF234,AF231)-SUM(AE208:AE210,AE213,AE234,AE231)</f>
        <v>25578</v>
      </c>
      <c r="AG305" s="3">
        <f>SUM(AC305:AF305)</f>
        <v>36717</v>
      </c>
      <c r="AH305" s="3">
        <f>SUM(AH208:AH210,AH213,AH234,AH231)-SUM(AG208:AG210,AG213,AG234,AG231)</f>
        <v>31193</v>
      </c>
      <c r="AI305" s="3">
        <f>SUM(AI208:AI210,AI213,AI234,AI231)-SUM(AH208:AH210,AH213,AH234,AH231)</f>
        <v>22272</v>
      </c>
      <c r="AJ305" s="3">
        <f>SUM(AJ208:AJ210,AJ213,AJ234,AJ231)-SUM(AI208:AI210,AI213,AI234,AI231)</f>
        <v>0</v>
      </c>
      <c r="AK305" s="3">
        <f>SUM(AK208:AK210,AK213,AK234,AK231)-SUM(AJ208:AJ210,AJ213,AJ234,AJ231)</f>
        <v>0</v>
      </c>
      <c r="AL305" s="3">
        <f>SUM(AH305:AK305)</f>
        <v>53465</v>
      </c>
      <c r="AM305" s="3">
        <f>SUM(AM208:AM210,AM213,AM234,AM231)-SUM(AL208:AL210,AL213,AL234,AL231)</f>
        <v>0</v>
      </c>
      <c r="AN305" s="3">
        <f>SUM(AN208:AN210,AN213,AN234,AN231)-SUM(AM208:AM210,AM213,AM234,AM231)</f>
        <v>0</v>
      </c>
      <c r="AO305" s="3">
        <f>SUM(AO208:AO210,AO213,AO234,AO231)-SUM(AN208:AN210,AN213,AN234,AN231)</f>
        <v>0</v>
      </c>
      <c r="AP305" s="3">
        <f>SUM(AP208:AP210,AP213,AP234,AP231)-SUM(AO208:AO210,AO213,AO234,AO231)</f>
        <v>0</v>
      </c>
      <c r="AQ305" s="3">
        <f>SUM(AM305:AP305)</f>
        <v>0</v>
      </c>
      <c r="AR305" s="3">
        <f>SUM(AR208:AR210,AR213,AR234,AR231)-SUM(AQ208:AQ210,AQ213,AQ234,AQ231)</f>
        <v>0</v>
      </c>
      <c r="AS305" s="3">
        <f>SUM(AS208:AS210,AS213,AS234,AS231)-SUM(AR208:AR210,AR213,AR234,AR231)</f>
        <v>0</v>
      </c>
      <c r="AT305" s="3">
        <f>SUM(AT208:AT210,AT213,AT234,AT231)-SUM(AS208:AS210,AS213,AS234,AS231)</f>
        <v>0</v>
      </c>
      <c r="AU305" s="3">
        <f>SUM(AU208:AU210,AU213,AU234,AU231)-SUM(AT208:AT210,AT213,AT234,AT231)</f>
        <v>0</v>
      </c>
      <c r="AV305" s="3">
        <f>SUM(AR305:AU305)</f>
        <v>0</v>
      </c>
      <c r="AW305" s="3">
        <f>SUM(AW208:AW210,AW213,AW234,AW231)-SUM(AV208:AV210,AV213,AV234,AV231)</f>
        <v>0</v>
      </c>
      <c r="AX305" s="3">
        <f>SUM(AX208:AX210,AX213,AX234,AX231)-SUM(AW208:AW210,AW213,AW234,AW231)</f>
        <v>0</v>
      </c>
      <c r="AY305" s="3">
        <f>SUM(AY208:AY210,AY213,AY234,AY231)-SUM(AX208:AX210,AX213,AX234,AX231)</f>
        <v>0</v>
      </c>
      <c r="AZ305" s="3">
        <f>SUM(AZ208:AZ210,AZ213,AZ234,AZ231)-SUM(AY208:AY210,AY213,AY234,AY231)</f>
        <v>0</v>
      </c>
      <c r="BA305" s="3">
        <f>SUM(AW305:AZ305)</f>
        <v>0</v>
      </c>
      <c r="BB305" s="3">
        <f>SUM(BB208:BB210,BB213,BB234,BB231)-SUM(BA208:BA210,BA213,BA234,BA231)</f>
        <v>0</v>
      </c>
      <c r="BC305" s="3">
        <f>SUM(BC208:BC210,BC213,BC234,BC231)-SUM(BB208:BB210,BB213,BB234,BB231)</f>
        <v>0</v>
      </c>
      <c r="BD305" s="3">
        <f>SUM(BD208:BD210,BD213,BD234,BD231)-SUM(BC208:BC210,BC213,BC234,BC231)</f>
        <v>0</v>
      </c>
      <c r="BE305" s="3">
        <f>SUM(BE208:BE210,BE213,BE234,BE231)-SUM(BD208:BD210,BD213,BD234,BD231)</f>
        <v>0</v>
      </c>
      <c r="BF305" s="3">
        <f>SUM(BB305:BE305)</f>
        <v>0</v>
      </c>
      <c r="BG305" s="3">
        <f>SUM(BG208:BG210,BG213,BG234,BG231)-SUM(BF208:BF210,BF213,BF234,BF231)</f>
        <v>0</v>
      </c>
      <c r="BH305" s="3">
        <f>SUM(BH208:BH210,BH213,BH234,BH231)-SUM(BG208:BG210,BG213,BG234,BG231)</f>
        <v>0</v>
      </c>
      <c r="BI305" s="3">
        <f>SUM(BI208:BI210,BI213,BI234,BI231)-SUM(BH208:BH210,BH213,BH234,BH231)</f>
        <v>0</v>
      </c>
      <c r="BJ305" s="3">
        <f>SUM(BJ208:BJ210,BJ213,BJ234,BJ231)-SUM(BI208:BI210,BI213,BI234,BI231)</f>
        <v>0</v>
      </c>
      <c r="BK305" s="3">
        <f>SUM(BG305:BJ305)</f>
        <v>0</v>
      </c>
      <c r="BL305" s="3">
        <f>SUM(BL208:BL210,BL213,BL234,BL231)-SUM(BK208:BK210,BK213,BK234,BK231)</f>
        <v>0</v>
      </c>
      <c r="BM305" s="3">
        <f>SUM(BM208:BM210,BM213,BM234,BM231)-SUM(BL208:BL210,BL213,BL234,BL231)</f>
        <v>0</v>
      </c>
      <c r="BN305" s="3">
        <f>SUM(BN208:BN210,BN213,BN234,BN231)-SUM(BM208:BM210,BM213,BM234,BM231)</f>
        <v>0</v>
      </c>
      <c r="BO305" s="3">
        <f>SUM(BO208:BO210,BO213,BO234,BO231)-SUM(BN208:BN210,BN213,BN234,BN231)</f>
        <v>0</v>
      </c>
      <c r="BP305" s="3">
        <f>SUM(BL305:BO305)</f>
        <v>0</v>
      </c>
      <c r="BQ305" s="3">
        <f>SUM(BQ208:BQ210,BQ213,BQ234,BQ231)-SUM(BP208:BP210,BP213,BP234,BP231)</f>
        <v>0</v>
      </c>
      <c r="BR305" s="3">
        <f>SUM(BR208:BR210,BR213,BR234,BR231)-SUM(BQ208:BQ210,BQ213,BQ234,BQ231)</f>
        <v>0</v>
      </c>
      <c r="BS305" s="3">
        <f>SUM(BS208:BS210,BS213,BS234,BS231)-SUM(BR208:BR210,BR213,BR234,BR231)</f>
        <v>0</v>
      </c>
      <c r="BT305" s="3">
        <f>SUM(BT208:BT210,BT213,BT234,BT231)-SUM(BS208:BS210,BS213,BS234,BS231)</f>
        <v>0</v>
      </c>
      <c r="BU305" s="3">
        <f>SUM(BQ305:BT305)</f>
        <v>0</v>
      </c>
      <c r="BV305" s="3">
        <f>SUM(BV208:BV210,BV213,BV234,BV231)-SUM(BU208:BU210,BU213,BU234,BU231)</f>
        <v>0</v>
      </c>
      <c r="BW305" s="3">
        <f>SUM(BW208:BW210,BW213,BW234,BW231)-SUM(BV208:BV210,BV213,BV234,BV231)</f>
        <v>0</v>
      </c>
      <c r="BX305" s="3">
        <f>SUM(BX208:BX210,BX213,BX234,BX231)-SUM(BW208:BW210,BW213,BW234,BW231)</f>
        <v>0</v>
      </c>
      <c r="BY305" s="3">
        <f>SUM(BY208:BY210,BY213,BY234,BY231)-SUM(BX208:BX210,BX213,BX234,BX231)</f>
        <v>0</v>
      </c>
      <c r="BZ305" s="3">
        <f>SUM(BV305:BY305)</f>
        <v>0</v>
      </c>
      <c r="CA305" s="3">
        <f>SUM(CA208:CA210,CA213,CA234,CA231)-SUM(BZ208:BZ210,BZ213,BZ234,BZ231)</f>
        <v>0</v>
      </c>
      <c r="CB305" s="3">
        <f>SUM(CB208:CB210,CB213,CB234,CB231)-SUM(CA208:CA210,CA213,CA234,CA231)</f>
        <v>0</v>
      </c>
      <c r="CC305" s="3">
        <f>SUM(CC208:CC210,CC213,CC234,CC231)-SUM(CB208:CB210,CB213,CB234,CB231)</f>
        <v>0</v>
      </c>
      <c r="CD305" s="3">
        <f>SUM(CD208:CD210,CD213,CD234,CD231)-SUM(CC208:CC210,CC213,CC234,CC231)</f>
        <v>0</v>
      </c>
      <c r="CE305" s="3">
        <f>SUM(CA305:CD305)</f>
        <v>0</v>
      </c>
      <c r="CF305" s="3">
        <f>SUM(CF208:CF210,CF213,CF234,CF231)-SUM(CE208:CE210,CE213,CE234,CE231)</f>
        <v>0</v>
      </c>
      <c r="CG305" s="3">
        <f>SUM(CG208:CG210,CG213,CG234,CG231)-SUM(CF208:CF210,CF213,CF234,CF231)</f>
        <v>0</v>
      </c>
      <c r="CH305" s="3">
        <f>SUM(CH208:CH210,CH213,CH234,CH231)-SUM(CG208:CG210,CG213,CG234,CG231)</f>
        <v>0</v>
      </c>
      <c r="CI305" s="3">
        <f>SUM(CI208:CI210,CI213,CI234,CI231)-SUM(CH208:CH210,CH213,CH234,CH231)</f>
        <v>0</v>
      </c>
      <c r="CJ305" s="3">
        <f>SUM(CF305:CI305)</f>
        <v>0</v>
      </c>
      <c r="CK305" s="3">
        <f>SUM(CK208:CK210,CK213,CK234,CK231)-SUM(CJ208:CJ210,CJ213,CJ234,CJ231)</f>
        <v>0</v>
      </c>
      <c r="CL305" s="3">
        <f>SUM(CL208:CL210,CL213,CL234,CL231)-SUM(CK208:CK210,CK213,CK234,CK231)</f>
        <v>0</v>
      </c>
      <c r="CM305" s="3">
        <f>SUM(CM208:CM210,CM213,CM234,CM231)-SUM(CL208:CL210,CL213,CL234,CL231)</f>
        <v>0</v>
      </c>
      <c r="CN305" s="3">
        <f>SUM(CN208:CN210,CN213,CN234,CN231)-SUM(CM208:CM210,CM213,CM234,CM231)</f>
        <v>0</v>
      </c>
      <c r="CO305" s="3">
        <f>SUM(CK305:CN305)</f>
        <v>0</v>
      </c>
      <c r="CP305" s="3">
        <f>SUM(CP208:CP210,CP213,CP234,CP231)-SUM(CO208:CO210,CO213,CO234,CO231)</f>
        <v>0</v>
      </c>
      <c r="CQ305" s="3">
        <f>SUM(CQ208:CQ210,CQ213,CQ234,CQ231)-SUM(CP208:CP210,CP213,CP234,CP231)</f>
        <v>0</v>
      </c>
      <c r="CR305" s="3">
        <f>SUM(CR208:CR210,CR213,CR234,CR231)-SUM(CQ208:CQ210,CQ213,CQ234,CQ231)</f>
        <v>0</v>
      </c>
      <c r="CS305" s="3">
        <f>SUM(CS208:CS210,CS213,CS234,CS231)-SUM(CR208:CR210,CR213,CR234,CR231)</f>
        <v>0</v>
      </c>
      <c r="CT305" s="3">
        <f>SUM(CP305:CS305)</f>
        <v>0</v>
      </c>
      <c r="CU305" s="3">
        <f>SUM(CU208:CU210,CU213,CU234,CU231)-SUM(CT208:CT210,CT213,CT234,CT231)</f>
        <v>0</v>
      </c>
      <c r="CV305" s="3">
        <f>SUM(CV208:CV210,CV213,CV234,CV231)-SUM(CU208:CU210,CU213,CU234,CU231)</f>
        <v>0</v>
      </c>
      <c r="CW305" s="3">
        <f>SUM(CW208:CW210,CW213,CW234,CW231)-SUM(CV208:CV210,CV213,CV234,CV231)</f>
        <v>0</v>
      </c>
      <c r="CX305" s="3">
        <f>SUM(CX208:CX210,CX213,CX234,CX231)-SUM(CW208:CW210,CW213,CW234,CW231)</f>
        <v>0</v>
      </c>
      <c r="CY305" s="3">
        <f>SUM(CU305:CX305)</f>
        <v>0</v>
      </c>
      <c r="CZ305" s="3" t="n"/>
      <c r="DA305" s="3" t="n"/>
      <c r="DB305" s="3" t="n"/>
      <c r="DC305" s="3" t="n"/>
    </row>
    <row r="306">
      <c r="C306" s="26" t="inlineStr">
        <is>
          <t>Cash from financing</t>
        </is>
      </c>
      <c r="D306" s="3" t="n"/>
      <c r="E306" s="3">
        <f>SUM(E298,E299,E300,E301,E302,E303,E304,E305)</f>
        <v>-4061</v>
      </c>
      <c r="F306" s="3">
        <f>SUM(F298,F299,F300,F301,F302,F303,F304,F305)</f>
        <v>4510</v>
      </c>
      <c r="G306" s="3">
        <f>SUM(G298,G299,G300,G301,G302,G303,G304,G305)</f>
        <v>-5411</v>
      </c>
      <c r="H306" s="3">
        <f>SUM(H298,H299,H300,H301,H302,H303,H304,H305)</f>
        <v>-4962</v>
      </c>
      <c r="I306" s="3">
        <f>SUM(I298,I299,I300,I301,I302,I303,I304,I305)</f>
        <v>-10270</v>
      </c>
      <c r="J306" s="3">
        <f>SUM(J298,J299,J300,J301,J302,J303,J304,J305)</f>
        <v>-10295</v>
      </c>
      <c r="K306" s="3">
        <f>SUM(K298,K299,K300,K301,K302,K303,K304,K305)</f>
        <v>-12122</v>
      </c>
      <c r="L306" s="3">
        <f>SUM(L298,L299,L300,L301,L302,L303,L304,L305)</f>
        <v>-13127</v>
      </c>
      <c r="M306" s="3">
        <f>SUM(M298,M299,M300,M301,M302,M303,M304,M305)</f>
        <v>-45814</v>
      </c>
      <c r="N306" s="3">
        <f>SUM(N298,N299,N300,N301,N302,N303,N304,N305)</f>
        <v>-14119</v>
      </c>
      <c r="O306" s="3">
        <f>SUM(O298,O299,O300,O301,O302,O303,O304,O305)</f>
        <v>-14310</v>
      </c>
      <c r="P306" s="3">
        <f>SUM(P298,P299,P300,P301,P302,P303,P304,P305)</f>
        <v>-15497</v>
      </c>
      <c r="Q306" s="3">
        <f>SUM(Q298,Q299,Q300,Q301,Q302,Q303,Q304,Q305)</f>
        <v>-10541</v>
      </c>
      <c r="R306" s="3">
        <f>SUM(R298,R299,R300,R301,R302,R303,R304,R305)</f>
        <v>-54467</v>
      </c>
      <c r="S306" s="3">
        <f>SUM(S298,S299,S300,S301,S302,S303,S304,S305)</f>
        <v>-11007</v>
      </c>
      <c r="T306" s="3">
        <f>SUM(T298,T299,T300,T301,T302,T303,T304,T305)</f>
        <v>-12166</v>
      </c>
      <c r="U306" s="3">
        <f>SUM(U298,U299,U300,U301,U302,U303,U304,U305)</f>
        <v>-13748</v>
      </c>
      <c r="V306" s="3">
        <f>SUM(V298,V299,V300,V301,V302,V303,V304,V305)</f>
        <v>-11128</v>
      </c>
      <c r="W306" s="3">
        <f>SUM(W298,W299,W300,W301,W302,W303,W304,W305)</f>
        <v>-48049</v>
      </c>
      <c r="X306" s="3">
        <f>SUM(X298,X299,X300,X301,X302,X303,X304,X305)</f>
        <v>-14725</v>
      </c>
      <c r="Y306" s="3">
        <f>SUM(Y298,Y299,Y300,Y301,Y302,Y303,Y304,Y305)</f>
        <v>-15949</v>
      </c>
      <c r="Z306" s="3">
        <f>SUM(Z298,Z299,Z300,Z301,Z302,Z303,Z304,Z305)</f>
        <v>-13930</v>
      </c>
      <c r="AA306" s="3">
        <f>SUM(AA298,AA299,AA300,AA301,AA302,AA303,AA304,AA305)</f>
        <v>-16948</v>
      </c>
      <c r="AB306" s="3">
        <f>SUM(AB298,AB299,AB300,AB301,AB302,AB303,AB304,AB305)</f>
        <v>-61552</v>
      </c>
      <c r="AC306" s="3">
        <f>SUM(AC298,AC299,AC300,AC301,AC302,AC303,AC304,AC305)</f>
        <v>-14367</v>
      </c>
      <c r="AD306" s="3">
        <f>SUM(AD298,AD299,AD300,AD301,AD302,AD303,AD304,AD305)</f>
        <v>2448</v>
      </c>
      <c r="AE306" s="3">
        <f>SUM(AE298,AE299,AE300,AE301,AE302,AE303,AE304,AE305)</f>
        <v>-12874</v>
      </c>
      <c r="AF306" s="3">
        <f>SUM(AF298,AF299,AF300,AF301,AF302,AF303,AF304,AF305)</f>
        <v>19521</v>
      </c>
      <c r="AG306" s="3">
        <f>SUM(AG298,AG299,AG300,AG301,AG302,AG303,AG304,AG305)</f>
        <v>-5272</v>
      </c>
      <c r="AH306" s="3">
        <f>SUM(AH298,AH299,AH300,AH301,AH302,AH303,AH304,AH305)</f>
        <v>32096</v>
      </c>
      <c r="AI306" s="3">
        <f>SUM(AI298,AI299,AI300,AI301,AI302,AI303,AI304,AI305)</f>
        <v>71813</v>
      </c>
      <c r="AJ306" s="3">
        <f>SUM(AJ298,AJ299,AJ300,AJ301,AJ302,AJ303,AJ304,AJ305)</f>
        <v>0</v>
      </c>
      <c r="AK306" s="3">
        <f>SUM(AK298,AK299,AK300,AK301,AK302,AK303,AK304,AK305)</f>
        <v>0</v>
      </c>
      <c r="AL306" s="3">
        <f>SUM(AL298,AL299,AL300,AL301,AL302,AL303,AL304,AL305)</f>
        <v>103909</v>
      </c>
      <c r="AM306" s="3">
        <f>SUM(AM298,AM299,AM300,AM301,AM302,AM303,AM304,AM305)</f>
        <v>0</v>
      </c>
      <c r="AN306" s="3">
        <f>SUM(AN298,AN299,AN300,AN301,AN302,AN303,AN304,AN305)</f>
        <v>0</v>
      </c>
      <c r="AO306" s="3">
        <f>SUM(AO298,AO299,AO300,AO301,AO302,AO303,AO304,AO305)</f>
        <v>0</v>
      </c>
      <c r="AP306" s="3">
        <f>SUM(AP298,AP299,AP300,AP301,AP302,AP303,AP304,AP305)</f>
        <v>0</v>
      </c>
      <c r="AQ306" s="3">
        <f>SUM(AQ298,AQ299,AQ300,AQ301,AQ302,AQ303,AQ304,AQ305)</f>
        <v>0</v>
      </c>
      <c r="AR306" s="3">
        <f>SUM(AR298,AR299,AR300,AR301,AR302,AR303,AR304,AR305)</f>
        <v>0</v>
      </c>
      <c r="AS306" s="3">
        <f>SUM(AS298,AS299,AS300,AS301,AS302,AS303,AS304,AS305)</f>
        <v>0</v>
      </c>
      <c r="AT306" s="3">
        <f>SUM(AT298,AT299,AT300,AT301,AT302,AT303,AT304,AT305)</f>
        <v>0</v>
      </c>
      <c r="AU306" s="3">
        <f>SUM(AU298,AU299,AU300,AU301,AU302,AU303,AU304,AU305)</f>
        <v>0</v>
      </c>
      <c r="AV306" s="3">
        <f>SUM(AV298,AV299,AV300,AV301,AV302,AV303,AV304,AV305)</f>
        <v>0</v>
      </c>
      <c r="AW306" s="3">
        <f>SUM(AW298,AW299,AW300,AW301,AW302,AW303,AW304,AW305)</f>
        <v>0</v>
      </c>
      <c r="AX306" s="3">
        <f>SUM(AX298,AX299,AX300,AX301,AX302,AX303,AX304,AX305)</f>
        <v>0</v>
      </c>
      <c r="AY306" s="3">
        <f>SUM(AY298,AY299,AY300,AY301,AY302,AY303,AY304,AY305)</f>
        <v>0</v>
      </c>
      <c r="AZ306" s="3">
        <f>SUM(AZ298,AZ299,AZ300,AZ301,AZ302,AZ303,AZ304,AZ305)</f>
        <v>0</v>
      </c>
      <c r="BA306" s="3">
        <f>SUM(BA298,BA299,BA300,BA301,BA302,BA303,BA304,BA305)</f>
        <v>0</v>
      </c>
      <c r="BB306" s="3">
        <f>SUM(BB298,BB299,BB300,BB301,BB302,BB303,BB304,BB305)</f>
        <v>0</v>
      </c>
      <c r="BC306" s="3">
        <f>SUM(BC298,BC299,BC300,BC301,BC302,BC303,BC304,BC305)</f>
        <v>0</v>
      </c>
      <c r="BD306" s="3">
        <f>SUM(BD298,BD299,BD300,BD301,BD302,BD303,BD304,BD305)</f>
        <v>0</v>
      </c>
      <c r="BE306" s="3">
        <f>SUM(BE298,BE299,BE300,BE301,BE302,BE303,BE304,BE305)</f>
        <v>0</v>
      </c>
      <c r="BF306" s="3">
        <f>SUM(BF298,BF299,BF300,BF301,BF302,BF303,BF304,BF305)</f>
        <v>0</v>
      </c>
      <c r="BG306" s="3">
        <f>SUM(BG298,BG299,BG300,BG301,BG302,BG303,BG304,BG305)</f>
        <v>0</v>
      </c>
      <c r="BH306" s="3">
        <f>SUM(BH298,BH299,BH300,BH301,BH302,BH303,BH304,BH305)</f>
        <v>0</v>
      </c>
      <c r="BI306" s="3">
        <f>SUM(BI298,BI299,BI300,BI301,BI302,BI303,BI304,BI305)</f>
        <v>0</v>
      </c>
      <c r="BJ306" s="3">
        <f>SUM(BJ298,BJ299,BJ300,BJ301,BJ302,BJ303,BJ304,BJ305)</f>
        <v>0</v>
      </c>
      <c r="BK306" s="3">
        <f>SUM(BK298,BK299,BK300,BK301,BK302,BK303,BK304,BK305)</f>
        <v>0</v>
      </c>
      <c r="BL306" s="3">
        <f>SUM(BL298,BL299,BL300,BL301,BL302,BL303,BL304,BL305)</f>
        <v>0</v>
      </c>
      <c r="BM306" s="3">
        <f>SUM(BM298,BM299,BM300,BM301,BM302,BM303,BM304,BM305)</f>
        <v>0</v>
      </c>
      <c r="BN306" s="3">
        <f>SUM(BN298,BN299,BN300,BN301,BN302,BN303,BN304,BN305)</f>
        <v>0</v>
      </c>
      <c r="BO306" s="3">
        <f>SUM(BO298,BO299,BO300,BO301,BO302,BO303,BO304,BO305)</f>
        <v>0</v>
      </c>
      <c r="BP306" s="3">
        <f>SUM(BP298,BP299,BP300,BP301,BP302,BP303,BP304,BP305)</f>
        <v>0</v>
      </c>
      <c r="BQ306" s="3">
        <f>SUM(BQ298,BQ299,BQ300,BQ301,BQ302,BQ303,BQ304,BQ305)</f>
        <v>0</v>
      </c>
      <c r="BR306" s="3">
        <f>SUM(BR298,BR299,BR300,BR301,BR302,BR303,BR304,BR305)</f>
        <v>0</v>
      </c>
      <c r="BS306" s="3">
        <f>SUM(BS298,BS299,BS300,BS301,BS302,BS303,BS304,BS305)</f>
        <v>0</v>
      </c>
      <c r="BT306" s="3">
        <f>SUM(BT298,BT299,BT300,BT301,BT302,BT303,BT304,BT305)</f>
        <v>0</v>
      </c>
      <c r="BU306" s="3">
        <f>SUM(BU298,BU299,BU300,BU301,BU302,BU303,BU304,BU305)</f>
        <v>0</v>
      </c>
      <c r="BV306" s="3">
        <f>SUM(BV298,BV299,BV300,BV301,BV302,BV303,BV304,BV305)</f>
        <v>0</v>
      </c>
      <c r="BW306" s="3">
        <f>SUM(BW298,BW299,BW300,BW301,BW302,BW303,BW304,BW305)</f>
        <v>0</v>
      </c>
      <c r="BX306" s="3">
        <f>SUM(BX298,BX299,BX300,BX301,BX302,BX303,BX304,BX305)</f>
        <v>0</v>
      </c>
      <c r="BY306" s="3">
        <f>SUM(BY298,BY299,BY300,BY301,BY302,BY303,BY304,BY305)</f>
        <v>0</v>
      </c>
      <c r="BZ306" s="3">
        <f>SUM(BZ298,BZ299,BZ300,BZ301,BZ302,BZ303,BZ304,BZ305)</f>
        <v>0</v>
      </c>
      <c r="CA306" s="3">
        <f>SUM(CA298,CA299,CA300,CA301,CA302,CA303,CA304,CA305)</f>
        <v>0</v>
      </c>
      <c r="CB306" s="3">
        <f>SUM(CB298,CB299,CB300,CB301,CB302,CB303,CB304,CB305)</f>
        <v>0</v>
      </c>
      <c r="CC306" s="3">
        <f>SUM(CC298,CC299,CC300,CC301,CC302,CC303,CC304,CC305)</f>
        <v>0</v>
      </c>
      <c r="CD306" s="3">
        <f>SUM(CD298,CD299,CD300,CD301,CD302,CD303,CD304,CD305)</f>
        <v>0</v>
      </c>
      <c r="CE306" s="3">
        <f>SUM(CE298,CE299,CE300,CE301,CE302,CE303,CE304,CE305)</f>
        <v>0</v>
      </c>
      <c r="CF306" s="3">
        <f>SUM(CF298,CF299,CF300,CF301,CF302,CF303,CF304,CF305)</f>
        <v>0</v>
      </c>
      <c r="CG306" s="3">
        <f>SUM(CG298,CG299,CG300,CG301,CG302,CG303,CG304,CG305)</f>
        <v>0</v>
      </c>
      <c r="CH306" s="3">
        <f>SUM(CH298,CH299,CH300,CH301,CH302,CH303,CH304,CH305)</f>
        <v>0</v>
      </c>
      <c r="CI306" s="3">
        <f>SUM(CI298,CI299,CI300,CI301,CI302,CI303,CI304,CI305)</f>
        <v>0</v>
      </c>
      <c r="CJ306" s="3">
        <f>SUM(CJ298,CJ299,CJ300,CJ301,CJ302,CJ303,CJ304,CJ305)</f>
        <v>0</v>
      </c>
      <c r="CK306" s="3">
        <f>SUM(CK298,CK299,CK300,CK301,CK302,CK303,CK304,CK305)</f>
        <v>0</v>
      </c>
      <c r="CL306" s="3">
        <f>SUM(CL298,CL299,CL300,CL301,CL302,CL303,CL304,CL305)</f>
        <v>0</v>
      </c>
      <c r="CM306" s="3">
        <f>SUM(CM298,CM299,CM300,CM301,CM302,CM303,CM304,CM305)</f>
        <v>0</v>
      </c>
      <c r="CN306" s="3">
        <f>SUM(CN298,CN299,CN300,CN301,CN302,CN303,CN304,CN305)</f>
        <v>0</v>
      </c>
      <c r="CO306" s="3">
        <f>SUM(CO298,CO299,CO300,CO301,CO302,CO303,CO304,CO305)</f>
        <v>0</v>
      </c>
      <c r="CP306" s="3">
        <f>SUM(CP298,CP299,CP300,CP301,CP302,CP303,CP304,CP305)</f>
        <v>0</v>
      </c>
      <c r="CQ306" s="3">
        <f>SUM(CQ298,CQ299,CQ300,CQ301,CQ302,CQ303,CQ304,CQ305)</f>
        <v>0</v>
      </c>
      <c r="CR306" s="3">
        <f>SUM(CR298,CR299,CR300,CR301,CR302,CR303,CR304,CR305)</f>
        <v>0</v>
      </c>
      <c r="CS306" s="3">
        <f>SUM(CS298,CS299,CS300,CS301,CS302,CS303,CS304,CS305)</f>
        <v>0</v>
      </c>
      <c r="CT306" s="3">
        <f>SUM(CT298,CT299,CT300,CT301,CT302,CT303,CT304,CT305)</f>
        <v>0</v>
      </c>
      <c r="CU306" s="3">
        <f>SUM(CU298,CU299,CU300,CU301,CU302,CU303,CU304,CU305)</f>
        <v>0</v>
      </c>
      <c r="CV306" s="3">
        <f>SUM(CV298,CV299,CV300,CV301,CV302,CV303,CV304,CV305)</f>
        <v>0</v>
      </c>
      <c r="CW306" s="3">
        <f>SUM(CW298,CW299,CW300,CW301,CW302,CW303,CW304,CW305)</f>
        <v>0</v>
      </c>
      <c r="CX306" s="3">
        <f>SUM(CX298,CX299,CX300,CX301,CX302,CX303,CX304,CX305)</f>
        <v>0</v>
      </c>
      <c r="CY306" s="3">
        <f>SUM(CY298,CY299,CY300,CY301,CY302,CY303,CY304,CY305)</f>
        <v>0</v>
      </c>
    </row>
    <row r="307">
      <c r="C307" s="26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  <c r="CG307" s="3" t="n"/>
      <c r="CH307" s="3" t="n"/>
      <c r="CI307" s="3" t="n"/>
      <c r="CJ307" s="3" t="n"/>
      <c r="CK307" s="3" t="n"/>
      <c r="CL307" s="3" t="n"/>
      <c r="CM307" s="3" t="n"/>
      <c r="CN307" s="3" t="n"/>
      <c r="CO307" s="3" t="n"/>
      <c r="CP307" s="3" t="n"/>
      <c r="CQ307" s="3" t="n"/>
      <c r="CR307" s="3" t="n"/>
      <c r="CS307" s="3" t="n"/>
      <c r="CT307" s="3" t="n"/>
      <c r="CU307" s="3" t="n"/>
      <c r="CV307" s="3" t="n"/>
      <c r="CW307" s="3" t="n"/>
      <c r="CX307" s="3" t="n"/>
      <c r="CY307" s="3" t="n"/>
    </row>
    <row r="308">
      <c r="C308" s="26" t="inlineStr">
        <is>
          <t>Others</t>
        </is>
      </c>
      <c r="D308" s="3" t="n"/>
      <c r="E308" s="3" t="n"/>
      <c r="F308" s="3" t="n"/>
      <c r="G308" s="3" t="n"/>
      <c r="H308" s="3">
        <f>SUM(D308:G308)</f>
        <v>0</v>
      </c>
      <c r="I308" s="3" t="n"/>
      <c r="J308" s="3" t="n"/>
      <c r="K308" s="3" t="n"/>
      <c r="L308" s="3" t="n"/>
      <c r="M308" s="3">
        <f>SUM(I308:L308)</f>
        <v>0</v>
      </c>
      <c r="N308" s="3" t="n"/>
      <c r="O308" s="3" t="n"/>
      <c r="P308" s="3" t="n"/>
      <c r="Q308" s="3" t="n"/>
      <c r="R308" s="3">
        <f>SUM(N308:Q308)</f>
        <v>0</v>
      </c>
      <c r="S308" s="3" t="n"/>
      <c r="T308" s="3" t="n"/>
      <c r="U308" s="3" t="n"/>
      <c r="V308" s="3" t="n"/>
      <c r="W308" s="3">
        <f>SUM(S308:V308)</f>
        <v>0</v>
      </c>
      <c r="X308" s="3" t="n"/>
      <c r="Y308" s="3" t="n"/>
      <c r="Z308" s="3" t="n"/>
      <c r="AA308" s="3" t="n"/>
      <c r="AB308" s="3">
        <f>SUM(X308:AA308)</f>
        <v>0</v>
      </c>
      <c r="AC308" s="3" t="n"/>
      <c r="AD308" s="3" t="n"/>
      <c r="AE308" s="3" t="n"/>
      <c r="AF308" s="3" t="n"/>
      <c r="AG308" s="3">
        <f>SUM(AC308:AF308)</f>
        <v>0</v>
      </c>
      <c r="AH308" s="3" t="n"/>
      <c r="AI308" s="3" t="n"/>
      <c r="AJ308" s="3" t="n"/>
      <c r="AK308" s="3" t="n"/>
      <c r="AL308" s="3">
        <f>SUM(AH308:AK308)</f>
        <v>0</v>
      </c>
      <c r="AM308" s="3" t="n"/>
      <c r="AN308" s="3" t="n"/>
      <c r="AO308" s="3" t="n"/>
      <c r="AP308" s="3" t="n"/>
      <c r="AQ308" s="3">
        <f>SUM(AM308:AP308)</f>
        <v>0</v>
      </c>
      <c r="AR308" s="3" t="n"/>
      <c r="AS308" s="3" t="n"/>
      <c r="AT308" s="3" t="n"/>
      <c r="AU308" s="3" t="n"/>
      <c r="AV308" s="3">
        <f>SUM(AR308:AU308)</f>
        <v>0</v>
      </c>
      <c r="AW308" s="3" t="n"/>
      <c r="AX308" s="3" t="n"/>
      <c r="AY308" s="3" t="n"/>
      <c r="AZ308" s="3" t="n"/>
      <c r="BA308" s="3">
        <f>SUM(AW308:AZ308)</f>
        <v>0</v>
      </c>
      <c r="BB308" s="3" t="n"/>
      <c r="BC308" s="3" t="n"/>
      <c r="BD308" s="3" t="n"/>
      <c r="BE308" s="3" t="n"/>
      <c r="BF308" s="3">
        <f>SUM(BB308:BE308)</f>
        <v>0</v>
      </c>
      <c r="BG308" s="3" t="n"/>
      <c r="BH308" s="3" t="n"/>
      <c r="BI308" s="3" t="n"/>
      <c r="BJ308" s="3" t="n"/>
      <c r="BK308" s="3">
        <f>SUM(BG308:BJ308)</f>
        <v>0</v>
      </c>
      <c r="BL308" s="3" t="n"/>
      <c r="BM308" s="3" t="n"/>
      <c r="BN308" s="3" t="n"/>
      <c r="BO308" s="3" t="n"/>
      <c r="BP308" s="3">
        <f>SUM(BL308:BO308)</f>
        <v>0</v>
      </c>
      <c r="BQ308" s="3" t="n"/>
      <c r="BR308" s="3" t="n"/>
      <c r="BS308" s="3" t="n"/>
      <c r="BT308" s="3" t="n"/>
      <c r="BU308" s="3">
        <f>SUM(BQ308:BT308)</f>
        <v>0</v>
      </c>
      <c r="BV308" s="3" t="n"/>
      <c r="BW308" s="3" t="n"/>
      <c r="BX308" s="3" t="n"/>
      <c r="BY308" s="3" t="n"/>
      <c r="BZ308" s="3">
        <f>SUM(BV308:BY308)</f>
        <v>0</v>
      </c>
      <c r="CA308" s="3" t="n"/>
      <c r="CB308" s="3" t="n"/>
      <c r="CC308" s="3" t="n"/>
      <c r="CD308" s="3" t="n"/>
      <c r="CE308" s="3">
        <f>SUM(CA308:CD308)</f>
        <v>0</v>
      </c>
      <c r="CF308" s="3" t="n"/>
      <c r="CG308" s="3" t="n"/>
      <c r="CH308" s="3" t="n"/>
      <c r="CI308" s="3" t="n"/>
      <c r="CJ308" s="3">
        <f>SUM(CF308:CI308)</f>
        <v>0</v>
      </c>
      <c r="CK308" s="3" t="n"/>
      <c r="CL308" s="3" t="n"/>
      <c r="CM308" s="3" t="n"/>
      <c r="CN308" s="3" t="n"/>
      <c r="CO308" s="3">
        <f>SUM(CK308:CN308)</f>
        <v>0</v>
      </c>
      <c r="CP308" s="3" t="n"/>
      <c r="CQ308" s="3" t="n"/>
      <c r="CR308" s="3" t="n"/>
      <c r="CS308" s="3" t="n"/>
      <c r="CT308" s="3">
        <f>SUM(CP308:CS308)</f>
        <v>0</v>
      </c>
      <c r="CU308" s="3" t="n"/>
      <c r="CV308" s="3" t="n"/>
      <c r="CW308" s="3" t="n"/>
      <c r="CX308" s="3" t="n"/>
      <c r="CY308" s="3">
        <f>SUM(CU308:CX308)</f>
        <v>0</v>
      </c>
    </row>
    <row r="309">
      <c r="C309" s="26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  <c r="CF309" s="3" t="n"/>
      <c r="CG309" s="3" t="n"/>
      <c r="CH309" s="3" t="n"/>
      <c r="CI309" s="3" t="n"/>
      <c r="CJ309" s="3" t="n"/>
      <c r="CK309" s="3" t="n"/>
      <c r="CL309" s="3" t="n"/>
      <c r="CM309" s="3" t="n"/>
      <c r="CN309" s="3" t="n"/>
      <c r="CO309" s="3" t="n"/>
      <c r="CP309" s="3" t="n"/>
      <c r="CQ309" s="3" t="n"/>
      <c r="CR309" s="3" t="n"/>
      <c r="CS309" s="3" t="n"/>
      <c r="CT309" s="3" t="n"/>
      <c r="CU309" s="3" t="n"/>
      <c r="CV309" s="3" t="n"/>
      <c r="CW309" s="3" t="n"/>
      <c r="CX309" s="3" t="n"/>
      <c r="CY309" s="3" t="n"/>
    </row>
    <row r="310">
      <c r="C310" s="26" t="inlineStr">
        <is>
          <t>Total increase/decrease of cash</t>
        </is>
      </c>
      <c r="D310" s="3" t="n"/>
      <c r="E310" s="3">
        <f>SUM(E289,E296,E306,E308)</f>
        <v>3851</v>
      </c>
      <c r="F310" s="3">
        <f>SUM(F289,F296,F306,F308)</f>
        <v>11516</v>
      </c>
      <c r="G310" s="3">
        <f>SUM(G289,G296,G306,G308)</f>
        <v>4098</v>
      </c>
      <c r="H310" s="3">
        <f>SUM(D310:G310)</f>
        <v>19465</v>
      </c>
      <c r="I310" s="3">
        <f>SUM(I289,I296,I306,I308)</f>
        <v>-1590</v>
      </c>
      <c r="J310" s="3">
        <f>SUM(J289,J296,J306,J308)</f>
        <v>759</v>
      </c>
      <c r="K310" s="3">
        <f>SUM(K289,K296,K306,K308)</f>
        <v>6140</v>
      </c>
      <c r="L310" s="3">
        <f>SUM(L289,L296,L306,L308)</f>
        <v>-2354</v>
      </c>
      <c r="M310" s="3">
        <f>SUM(I310:L310)</f>
        <v>2955</v>
      </c>
      <c r="N310" s="3">
        <f>SUM(N289,N296,N306,N308)</f>
        <v>-5679</v>
      </c>
      <c r="O310" s="3">
        <f>SUM(O289,O296,O306,O308)</f>
        <v>-8973</v>
      </c>
      <c r="P310" s="3">
        <f>SUM(P289,P296,P306,P308)</f>
        <v>-8738</v>
      </c>
      <c r="Q310" s="3">
        <f>SUM(Q289,Q296,Q306,Q308)</f>
        <v>-2497</v>
      </c>
      <c r="R310" s="3">
        <f>SUM(N310:Q310)</f>
        <v>-25887</v>
      </c>
      <c r="S310" s="3">
        <f>SUM(S289,S296,S306,S308)</f>
        <v>1340</v>
      </c>
      <c r="T310" s="3">
        <f>SUM(T289,T296,T306,T308)</f>
        <v>3230</v>
      </c>
      <c r="U310" s="3">
        <f>SUM(U289,U296,U306,U308)</f>
        <v>1603</v>
      </c>
      <c r="V310" s="3">
        <f>SUM(V289,V296,V306,V308)</f>
        <v>-9019</v>
      </c>
      <c r="W310" s="3">
        <f>SUM(S310:V310)</f>
        <v>-2846</v>
      </c>
      <c r="X310" s="3">
        <f>SUM(X289,X296,X306,X308)</f>
        <v>-2826</v>
      </c>
      <c r="Y310" s="3">
        <f>SUM(Y289,Y296,Y306,Y308)</f>
        <v>-7365</v>
      </c>
      <c r="Z310" s="3">
        <f>SUM(Z289,Z296,Z306,Z308)</f>
        <v>-7495</v>
      </c>
      <c r="AA310" s="3">
        <f>SUM(AA289,AA296,AA306,AA308)</f>
        <v>2427</v>
      </c>
      <c r="AB310" s="3">
        <f>SUM(X310:AA310)</f>
        <v>-15259</v>
      </c>
      <c r="AC310" s="3">
        <f>SUM(AC289,AC296,AC306,AC308)</f>
        <v>-329</v>
      </c>
      <c r="AD310" s="3">
        <f>SUM(AD289,AD296,AD306,AD308)</f>
        <v>-180</v>
      </c>
      <c r="AE310" s="3">
        <f>SUM(AE289,AE296,AE306,AE308)</f>
        <v>3348</v>
      </c>
      <c r="AF310" s="3">
        <f>SUM(AF289,AF296,AF306,AF308)</f>
        <v>28347</v>
      </c>
      <c r="AG310" s="3">
        <f>SUM(AC310:AF310)</f>
        <v>31186</v>
      </c>
      <c r="AH310" s="3">
        <f>SUM(AH289,AH296,AH306,AH308)</f>
        <v>-3</v>
      </c>
      <c r="AI310" s="3">
        <f>SUM(AI289,AI296,AI306,AI308)</f>
        <v>115634</v>
      </c>
      <c r="AJ310" s="3">
        <f>SUM(AJ289,AJ296,AJ306,AJ308)</f>
        <v>7563</v>
      </c>
      <c r="AK310" s="3">
        <f>SUM(AK289,AK296,AK306,AK308)</f>
        <v>99261</v>
      </c>
      <c r="AL310" s="3">
        <f>SUM(AH310:AK310)</f>
        <v>222455</v>
      </c>
      <c r="AM310" s="3" t="e">
        <f>SUM(AM289,AM296,AM306,AM308)</f>
        <v>#DIV/0!</v>
      </c>
      <c r="AN310" s="3" t="e">
        <f>SUM(AN289,AN296,AN306,AN308)</f>
        <v>#DIV/0!</v>
      </c>
      <c r="AO310" s="3" t="e">
        <f>SUM(AO289,AO296,AO306,AO308)</f>
        <v>#DIV/0!</v>
      </c>
      <c r="AP310" s="3" t="e">
        <f>SUM(AP289,AP296,AP306,AP308)</f>
        <v>#DIV/0!</v>
      </c>
      <c r="AQ310" s="3" t="e">
        <f>SUM(AM310:AP310)</f>
        <v>#DIV/0!</v>
      </c>
      <c r="AR310" s="3" t="e">
        <f>SUM(AR289,AR296,AR306,AR308)</f>
        <v>#DIV/0!</v>
      </c>
      <c r="AS310" s="3" t="e">
        <f>SUM(AS289,AS296,AS306,AS308)</f>
        <v>#DIV/0!</v>
      </c>
      <c r="AT310" s="3" t="e">
        <f>SUM(AT289,AT296,AT306,AT308)</f>
        <v>#DIV/0!</v>
      </c>
      <c r="AU310" s="3" t="e">
        <f>SUM(AU289,AU296,AU306,AU308)</f>
        <v>#DIV/0!</v>
      </c>
      <c r="AV310" s="3" t="e">
        <f>SUM(AR310:AU310)</f>
        <v>#DIV/0!</v>
      </c>
      <c r="AW310" s="3" t="e">
        <f>SUM(AW289,AW296,AW306,AW308)</f>
        <v>#DIV/0!</v>
      </c>
      <c r="AX310" s="3" t="e">
        <f>SUM(AX289,AX296,AX306,AX308)</f>
        <v>#DIV/0!</v>
      </c>
      <c r="AY310" s="3" t="e">
        <f>SUM(AY289,AY296,AY306,AY308)</f>
        <v>#DIV/0!</v>
      </c>
      <c r="AZ310" s="3" t="e">
        <f>SUM(AZ289,AZ296,AZ306,AZ308)</f>
        <v>#DIV/0!</v>
      </c>
      <c r="BA310" s="3" t="e">
        <f>SUM(AW310:AZ310)</f>
        <v>#DIV/0!</v>
      </c>
      <c r="BB310" s="3" t="e">
        <f>SUM(BB289,BB296,BB306,BB308)</f>
        <v>#DIV/0!</v>
      </c>
      <c r="BC310" s="3" t="e">
        <f>SUM(BC289,BC296,BC306,BC308)</f>
        <v>#DIV/0!</v>
      </c>
      <c r="BD310" s="3" t="e">
        <f>SUM(BD289,BD296,BD306,BD308)</f>
        <v>#DIV/0!</v>
      </c>
      <c r="BE310" s="3" t="e">
        <f>SUM(BE289,BE296,BE306,BE308)</f>
        <v>#DIV/0!</v>
      </c>
      <c r="BF310" s="3" t="e">
        <f>SUM(BB310:BE310)</f>
        <v>#DIV/0!</v>
      </c>
      <c r="BG310" s="3" t="e">
        <f>SUM(BG289,BG296,BG306,BG308)</f>
        <v>#DIV/0!</v>
      </c>
      <c r="BH310" s="3" t="e">
        <f>SUM(BH289,BH296,BH306,BH308)</f>
        <v>#DIV/0!</v>
      </c>
      <c r="BI310" s="3" t="e">
        <f>SUM(BI289,BI296,BI306,BI308)</f>
        <v>#DIV/0!</v>
      </c>
      <c r="BJ310" s="3" t="e">
        <f>SUM(BJ289,BJ296,BJ306,BJ308)</f>
        <v>#DIV/0!</v>
      </c>
      <c r="BK310" s="3" t="e">
        <f>SUM(BG310:BJ310)</f>
        <v>#DIV/0!</v>
      </c>
      <c r="BL310" s="3" t="e">
        <f>SUM(BL289,BL296,BL306,BL308)</f>
        <v>#DIV/0!</v>
      </c>
      <c r="BM310" s="3" t="e">
        <f>SUM(BM289,BM296,BM306,BM308)</f>
        <v>#DIV/0!</v>
      </c>
      <c r="BN310" s="3" t="e">
        <f>SUM(BN289,BN296,BN306,BN308)</f>
        <v>#DIV/0!</v>
      </c>
      <c r="BO310" s="3" t="e">
        <f>SUM(BO289,BO296,BO306,BO308)</f>
        <v>#DIV/0!</v>
      </c>
      <c r="BP310" s="3" t="e">
        <f>SUM(BL310:BO310)</f>
        <v>#DIV/0!</v>
      </c>
      <c r="BQ310" s="3" t="e">
        <f>SUM(BQ289,BQ296,BQ306,BQ308)</f>
        <v>#DIV/0!</v>
      </c>
      <c r="BR310" s="3" t="e">
        <f>SUM(BR289,BR296,BR306,BR308)</f>
        <v>#DIV/0!</v>
      </c>
      <c r="BS310" s="3" t="e">
        <f>SUM(BS289,BS296,BS306,BS308)</f>
        <v>#DIV/0!</v>
      </c>
      <c r="BT310" s="3" t="e">
        <f>SUM(BT289,BT296,BT306,BT308)</f>
        <v>#DIV/0!</v>
      </c>
      <c r="BU310" s="3" t="e">
        <f>SUM(BQ310:BT310)</f>
        <v>#DIV/0!</v>
      </c>
      <c r="BV310" s="3" t="e">
        <f>SUM(BV289,BV296,BV306,BV308)</f>
        <v>#DIV/0!</v>
      </c>
      <c r="BW310" s="3" t="e">
        <f>SUM(BW289,BW296,BW306,BW308)</f>
        <v>#DIV/0!</v>
      </c>
      <c r="BX310" s="3" t="e">
        <f>SUM(BX289,BX296,BX306,BX308)</f>
        <v>#DIV/0!</v>
      </c>
      <c r="BY310" s="3" t="e">
        <f>SUM(BY289,BY296,BY306,BY308)</f>
        <v>#DIV/0!</v>
      </c>
      <c r="BZ310" s="3" t="e">
        <f>SUM(BV310:BY310)</f>
        <v>#DIV/0!</v>
      </c>
      <c r="CA310" s="3" t="e">
        <f>SUM(CA289,CA296,CA306,CA308)</f>
        <v>#DIV/0!</v>
      </c>
      <c r="CB310" s="3" t="e">
        <f>SUM(CB289,CB296,CB306,CB308)</f>
        <v>#DIV/0!</v>
      </c>
      <c r="CC310" s="3" t="e">
        <f>SUM(CC289,CC296,CC306,CC308)</f>
        <v>#DIV/0!</v>
      </c>
      <c r="CD310" s="3" t="e">
        <f>SUM(CD289,CD296,CD306,CD308)</f>
        <v>#DIV/0!</v>
      </c>
      <c r="CE310" s="3" t="e">
        <f>SUM(CA310:CD310)</f>
        <v>#DIV/0!</v>
      </c>
      <c r="CF310" s="3" t="e">
        <f>SUM(CF289,CF296,CF306,CF308)</f>
        <v>#DIV/0!</v>
      </c>
      <c r="CG310" s="3" t="e">
        <f>SUM(CG289,CG296,CG306,CG308)</f>
        <v>#DIV/0!</v>
      </c>
      <c r="CH310" s="3" t="e">
        <f>SUM(CH289,CH296,CH306,CH308)</f>
        <v>#DIV/0!</v>
      </c>
      <c r="CI310" s="3" t="e">
        <f>SUM(CI289,CI296,CI306,CI308)</f>
        <v>#DIV/0!</v>
      </c>
      <c r="CJ310" s="3" t="e">
        <f>SUM(CF310:CI310)</f>
        <v>#DIV/0!</v>
      </c>
      <c r="CK310" s="3" t="e">
        <f>SUM(CK289,CK296,CK306,CK308)</f>
        <v>#DIV/0!</v>
      </c>
      <c r="CL310" s="3" t="e">
        <f>SUM(CL289,CL296,CL306,CL308)</f>
        <v>#DIV/0!</v>
      </c>
      <c r="CM310" s="3" t="e">
        <f>SUM(CM289,CM296,CM306,CM308)</f>
        <v>#DIV/0!</v>
      </c>
      <c r="CN310" s="3" t="e">
        <f>SUM(CN289,CN296,CN306,CN308)</f>
        <v>#DIV/0!</v>
      </c>
      <c r="CO310" s="3" t="e">
        <f>SUM(CK310:CN310)</f>
        <v>#DIV/0!</v>
      </c>
      <c r="CP310" s="3" t="e">
        <f>SUM(CP289,CP296,CP306,CP308)</f>
        <v>#DIV/0!</v>
      </c>
      <c r="CQ310" s="3" t="e">
        <f>SUM(CQ289,CQ296,CQ306,CQ308)</f>
        <v>#DIV/0!</v>
      </c>
      <c r="CR310" s="3" t="e">
        <f>SUM(CR289,CR296,CR306,CR308)</f>
        <v>#DIV/0!</v>
      </c>
      <c r="CS310" s="3" t="e">
        <f>SUM(CS289,CS296,CS306,CS308)</f>
        <v>#DIV/0!</v>
      </c>
      <c r="CT310" s="3" t="e">
        <f>SUM(CP310:CS310)</f>
        <v>#DIV/0!</v>
      </c>
      <c r="CU310" s="3" t="e">
        <f>SUM(CU289,CU296,CU306,CU308)</f>
        <v>#DIV/0!</v>
      </c>
      <c r="CV310" s="3" t="e">
        <f>SUM(CV289,CV296,CV306,CV308)</f>
        <v>#DIV/0!</v>
      </c>
      <c r="CW310" s="3" t="e">
        <f>SUM(CW289,CW296,CW306,CW308)</f>
        <v>#DIV/0!</v>
      </c>
      <c r="CX310" s="3" t="e">
        <f>SUM(CX289,CX296,CX306,CX308)</f>
        <v>#DIV/0!</v>
      </c>
      <c r="CY310" s="3" t="e">
        <f>SUM(CU310:CX310)</f>
        <v>#DIV/0!</v>
      </c>
    </row>
    <row r="311">
      <c r="C311" s="4" t="inlineStr">
        <is>
          <t>Check</t>
        </is>
      </c>
      <c r="E311" s="51">
        <f>(E310)-(E140-D140)</f>
        <v>0</v>
      </c>
      <c r="F311" s="51">
        <f>(F310)-(F140-E140)</f>
        <v>0</v>
      </c>
      <c r="G311" s="51">
        <f>(G310)-(G140-F140)</f>
        <v>0</v>
      </c>
      <c r="I311" s="51">
        <f>(I310)-(I140-H140)</f>
        <v>0</v>
      </c>
      <c r="J311" s="51">
        <f>(J310)-(J140-I140)</f>
        <v>0</v>
      </c>
      <c r="K311" s="51">
        <f>(K310)-(K140-J140)</f>
        <v>0</v>
      </c>
      <c r="L311" s="51">
        <f>(L310)-(L140-K140)</f>
        <v>0</v>
      </c>
      <c r="N311" s="51">
        <f>(N310)-(N140-M140)</f>
        <v>0</v>
      </c>
      <c r="O311" s="51">
        <f>(O310)-(O140-N140)</f>
        <v>0</v>
      </c>
      <c r="P311" s="51">
        <f>(P310)-(P140-O140)</f>
        <v>0</v>
      </c>
      <c r="Q311" s="51">
        <f>(Q310)-(Q140-P140)</f>
        <v>0</v>
      </c>
      <c r="S311" s="51">
        <f>(S310)-(S140-R140)</f>
        <v>0</v>
      </c>
      <c r="T311" s="51">
        <f>(T310)-(T140-S140)</f>
        <v>0</v>
      </c>
      <c r="U311" s="51">
        <f>(U310)-(U140-T140)</f>
        <v>0</v>
      </c>
      <c r="V311" s="51">
        <f>(V310)-(V140-U140)</f>
        <v>0</v>
      </c>
      <c r="X311" s="51">
        <f>(X310)-(X140-W140)</f>
        <v>0</v>
      </c>
      <c r="Y311" s="51">
        <f>(Y310)-(Y140-X140)</f>
        <v>0</v>
      </c>
      <c r="Z311" s="51">
        <f>(Z310)-(Z140-Y140)</f>
        <v>0</v>
      </c>
      <c r="AA311" s="51">
        <f>(AA310)-(AA140-Z140)</f>
        <v>0</v>
      </c>
      <c r="AC311" s="51">
        <f>(AC310)-(AC140-AB140)</f>
        <v>0</v>
      </c>
      <c r="AD311" s="51">
        <f>(AD310)-(AD140-AC140)</f>
        <v>0</v>
      </c>
      <c r="AE311" s="51">
        <f>(AE310)-(AE140-AD140)</f>
        <v>0</v>
      </c>
      <c r="AF311" s="51">
        <f>(AF310)-(AF140-AE140)</f>
        <v>0</v>
      </c>
      <c r="AH311" s="51">
        <f>(AH310)-(AH140-AG140)</f>
        <v>0</v>
      </c>
      <c r="AI311" s="51">
        <f>(AI310)-(AI140-AH140)</f>
        <v>0</v>
      </c>
      <c r="AJ311" s="51">
        <f>(AJ310)-(AJ140-AI140)</f>
        <v>0</v>
      </c>
      <c r="AK311" s="51">
        <f>(AK310)-(AK140-AJ140)</f>
        <v>0</v>
      </c>
      <c r="AM311" s="51" t="e">
        <f>(AM310)-(AM140-AL140)</f>
        <v>#DIV/0!</v>
      </c>
      <c r="AN311" s="51" t="e">
        <f>(AN310)-(AN140-AM140)</f>
        <v>#DIV/0!</v>
      </c>
      <c r="AO311" s="51" t="e">
        <f>(AO310)-(AO140-AN140)</f>
        <v>#DIV/0!</v>
      </c>
      <c r="AP311" s="51" t="e">
        <f>(AP310)-(AP140-AO140)</f>
        <v>#DIV/0!</v>
      </c>
      <c r="AR311" s="51" t="e">
        <f>(AR310)-(AR140-AQ140)</f>
        <v>#DIV/0!</v>
      </c>
      <c r="AS311" s="51" t="e">
        <f>(AS310)-(AS140-AR140)</f>
        <v>#DIV/0!</v>
      </c>
      <c r="AT311" s="51" t="e">
        <f>(AT310)-(AT140-AS140)</f>
        <v>#DIV/0!</v>
      </c>
      <c r="AU311" s="51" t="e">
        <f>(AU310)-(AU140-AT140)</f>
        <v>#DIV/0!</v>
      </c>
      <c r="AW311" s="51" t="e">
        <f>(AW310)-(AW140-AV140)</f>
        <v>#DIV/0!</v>
      </c>
      <c r="AX311" s="51" t="e">
        <f>(AX310)-(AX140-AW140)</f>
        <v>#DIV/0!</v>
      </c>
      <c r="AY311" s="51" t="e">
        <f>(AY310)-(AY140-AX140)</f>
        <v>#DIV/0!</v>
      </c>
      <c r="AZ311" s="51" t="e">
        <f>(AZ310)-(AZ140-AY140)</f>
        <v>#DIV/0!</v>
      </c>
      <c r="BB311" s="51" t="e">
        <f>(BB310)-(BB140-BA140)</f>
        <v>#DIV/0!</v>
      </c>
      <c r="BC311" s="51" t="e">
        <f>(BC310)-(BC140-BB140)</f>
        <v>#DIV/0!</v>
      </c>
      <c r="BD311" s="51" t="e">
        <f>(BD310)-(BD140-BC140)</f>
        <v>#DIV/0!</v>
      </c>
      <c r="BE311" s="51" t="e">
        <f>(BE310)-(BE140-BD140)</f>
        <v>#DIV/0!</v>
      </c>
      <c r="BG311" s="51" t="e">
        <f>(BG310)-(BG140-BF140)</f>
        <v>#DIV/0!</v>
      </c>
      <c r="BH311" s="51" t="e">
        <f>(BH310)-(BH140-BG140)</f>
        <v>#DIV/0!</v>
      </c>
      <c r="BI311" s="51" t="e">
        <f>(BI310)-(BI140-BH140)</f>
        <v>#DIV/0!</v>
      </c>
      <c r="BJ311" s="51" t="e">
        <f>(BJ310)-(BJ140-BI140)</f>
        <v>#DIV/0!</v>
      </c>
      <c r="BL311" s="51" t="e">
        <f>(BL310)-(BL140-BK140)</f>
        <v>#DIV/0!</v>
      </c>
      <c r="BM311" s="51" t="e">
        <f>(BM310)-(BM140-BL140)</f>
        <v>#DIV/0!</v>
      </c>
      <c r="BN311" s="51" t="e">
        <f>(BN310)-(BN140-BM140)</f>
        <v>#DIV/0!</v>
      </c>
      <c r="BO311" s="51" t="e">
        <f>(BO310)-(BO140-BN140)</f>
        <v>#DIV/0!</v>
      </c>
      <c r="BQ311" s="51" t="e">
        <f>(BQ310)-(BQ140-BP140)</f>
        <v>#DIV/0!</v>
      </c>
      <c r="BR311" s="51" t="e">
        <f>(BR310)-(BR140-BQ140)</f>
        <v>#DIV/0!</v>
      </c>
      <c r="BS311" s="51" t="e">
        <f>(BS310)-(BS140-BR140)</f>
        <v>#DIV/0!</v>
      </c>
      <c r="BT311" s="51" t="e">
        <f>(BT310)-(BT140-BS140)</f>
        <v>#DIV/0!</v>
      </c>
      <c r="BV311" s="51" t="e">
        <f>(BV310)-(BV140-BU140)</f>
        <v>#DIV/0!</v>
      </c>
      <c r="BW311" s="51" t="e">
        <f>(BW310)-(BW140-BV140)</f>
        <v>#DIV/0!</v>
      </c>
      <c r="BX311" s="51" t="e">
        <f>(BX310)-(BX140-BW140)</f>
        <v>#DIV/0!</v>
      </c>
      <c r="BY311" s="51" t="e">
        <f>(BY310)-(BY140-BX140)</f>
        <v>#DIV/0!</v>
      </c>
      <c r="CA311" s="51" t="e">
        <f>(CA310)-(CA140-BZ140)</f>
        <v>#DIV/0!</v>
      </c>
      <c r="CB311" s="51" t="e">
        <f>(CB310)-(CB140-CA140)</f>
        <v>#DIV/0!</v>
      </c>
      <c r="CC311" s="51" t="e">
        <f>(CC310)-(CC140-CB140)</f>
        <v>#DIV/0!</v>
      </c>
      <c r="CD311" s="51" t="e">
        <f>(CD310)-(CD140-CC140)</f>
        <v>#DIV/0!</v>
      </c>
      <c r="CF311" s="51" t="e">
        <f>(CF310)-(CF140-CE140)</f>
        <v>#DIV/0!</v>
      </c>
      <c r="CG311" s="51" t="e">
        <f>(CG310)-(CG140-CF140)</f>
        <v>#DIV/0!</v>
      </c>
      <c r="CH311" s="51" t="e">
        <f>(CH310)-(CH140-CG140)</f>
        <v>#DIV/0!</v>
      </c>
      <c r="CI311" s="51" t="e">
        <f>(CI310)-(CI140-CH140)</f>
        <v>#DIV/0!</v>
      </c>
      <c r="CK311" s="51" t="e">
        <f>(CK310)-(CK140-CJ140)</f>
        <v>#DIV/0!</v>
      </c>
      <c r="CL311" s="51" t="e">
        <f>(CL310)-(CL140-CK140)</f>
        <v>#DIV/0!</v>
      </c>
      <c r="CM311" s="51" t="e">
        <f>(CM310)-(CM140-CL140)</f>
        <v>#DIV/0!</v>
      </c>
      <c r="CN311" s="51" t="e">
        <f>(CN310)-(CN140-CM140)</f>
        <v>#DIV/0!</v>
      </c>
      <c r="CP311" s="51" t="e">
        <f>(CP310)-(CP140-CO140)</f>
        <v>#DIV/0!</v>
      </c>
      <c r="CQ311" s="51" t="e">
        <f>(CQ310)-(CQ140-CP140)</f>
        <v>#DIV/0!</v>
      </c>
      <c r="CR311" s="51" t="e">
        <f>(CR310)-(CR140-CQ140)</f>
        <v>#DIV/0!</v>
      </c>
      <c r="CS311" s="51" t="e">
        <f>(CS310)-(CS140-CR140)</f>
        <v>#DIV/0!</v>
      </c>
      <c r="CU311" s="51" t="e">
        <f>(CU310)-(CU140-CT140)</f>
        <v>#DIV/0!</v>
      </c>
      <c r="CV311" s="51" t="e">
        <f>(CV310)-(CV140-CU140)</f>
        <v>#DIV/0!</v>
      </c>
      <c r="CW311" s="51" t="e">
        <f>(CW310)-(CW140-CV140)</f>
        <v>#DIV/0!</v>
      </c>
      <c r="CX311" s="51" t="e">
        <f>(CX310)-(CX140-CW140)</f>
        <v>#DIV/0!</v>
      </c>
    </row>
    <row r="313">
      <c r="C313" s="53" t="inlineStr">
        <is>
          <t>Ratio Analysis</t>
        </is>
      </c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  <c r="CO313" s="53" t="n"/>
      <c r="CP313" s="53" t="n"/>
      <c r="CQ313" s="53" t="n"/>
      <c r="CR313" s="53" t="n"/>
      <c r="CS313" s="53" t="n"/>
      <c r="CT313" s="53" t="n"/>
      <c r="CU313" s="53" t="n"/>
      <c r="CV313" s="53" t="n"/>
      <c r="CW313" s="53" t="n"/>
      <c r="CX313" s="53" t="n"/>
      <c r="CY313" s="53" t="n"/>
    </row>
    <row r="315" customFormat="1" s="234">
      <c r="C315" s="234" t="inlineStr">
        <is>
          <t>YEAR</t>
        </is>
      </c>
      <c r="D315" s="234" t="str">
        <f>D271</f>
        <v>1Q20</v>
      </c>
      <c r="E315" s="235" t="str">
        <f>E271</f>
        <v>2Q20</v>
      </c>
      <c r="F315" s="235" t="str">
        <f>F271</f>
        <v>3Q20</v>
      </c>
      <c r="G315" s="235" t="str">
        <f>G271</f>
        <v>4Q20</v>
      </c>
      <c r="H315" s="235">
        <f>H271</f>
        <v>2020</v>
      </c>
      <c r="I315" s="235" t="str">
        <f>I271</f>
        <v>1Q21</v>
      </c>
      <c r="J315" s="235" t="str">
        <f>J271</f>
        <v>2Q21</v>
      </c>
      <c r="K315" s="235" t="str">
        <f>K271</f>
        <v>3Q21</v>
      </c>
      <c r="L315" s="235" t="str">
        <f>L271</f>
        <v>4Q21</v>
      </c>
      <c r="M315" s="235">
        <f>M271</f>
        <v>2021</v>
      </c>
      <c r="N315" s="235" t="str">
        <f>N271</f>
        <v>1Q22</v>
      </c>
      <c r="O315" s="235" t="str">
        <f>O271</f>
        <v>2Q22</v>
      </c>
      <c r="P315" s="235" t="str">
        <f>P271</f>
        <v>3Q22</v>
      </c>
      <c r="Q315" s="235" t="str">
        <f>Q271</f>
        <v>4Q22</v>
      </c>
      <c r="R315" s="235">
        <f>R271</f>
        <v>2022</v>
      </c>
      <c r="S315" s="235" t="str">
        <f>S271</f>
        <v>1Q23</v>
      </c>
      <c r="T315" s="235" t="str">
        <f>T271</f>
        <v>2Q23</v>
      </c>
      <c r="U315" s="235" t="str">
        <f>U271</f>
        <v>3Q23</v>
      </c>
      <c r="V315" s="235" t="str">
        <f>V271</f>
        <v>4Q23</v>
      </c>
      <c r="W315" s="235">
        <f>W271</f>
        <v>2023</v>
      </c>
      <c r="X315" s="235" t="str">
        <f>X271</f>
        <v>1Q24</v>
      </c>
      <c r="Y315" s="235" t="str">
        <f>Y271</f>
        <v>2Q24</v>
      </c>
      <c r="Z315" s="235" t="str">
        <f>Z271</f>
        <v>3Q24</v>
      </c>
      <c r="AA315" s="235" t="str">
        <f>AA271</f>
        <v>4Q24</v>
      </c>
      <c r="AB315" s="235">
        <f>AB271</f>
        <v>2024</v>
      </c>
      <c r="AC315" s="235" t="str">
        <f>AC271</f>
        <v>1Q25</v>
      </c>
      <c r="AD315" s="235" t="str">
        <f>AD271</f>
        <v>2Q25</v>
      </c>
      <c r="AE315" s="235" t="str">
        <f>AE271</f>
        <v>3Q25</v>
      </c>
      <c r="AF315" s="235" t="str">
        <f>AF271</f>
        <v>4Q25</v>
      </c>
      <c r="AG315" s="235">
        <f>AG271</f>
        <v>2025</v>
      </c>
      <c r="AH315" s="235" t="str">
        <f>AH271</f>
        <v>1Q26</v>
      </c>
      <c r="AI315" s="235" t="str">
        <f>AI271</f>
        <v>2Q26</v>
      </c>
      <c r="AJ315" s="235" t="str">
        <f>AJ271</f>
        <v>3Q26</v>
      </c>
      <c r="AK315" s="235" t="str">
        <f>AK271</f>
        <v>4Q26</v>
      </c>
      <c r="AL315" s="235">
        <f>AL271</f>
        <v>2026</v>
      </c>
      <c r="AM315" s="235" t="str">
        <f>AM271</f>
        <v>1Q27</v>
      </c>
      <c r="AN315" s="235" t="str">
        <f>AN271</f>
        <v>2Q27</v>
      </c>
      <c r="AO315" s="235" t="str">
        <f>AO271</f>
        <v>3Q27</v>
      </c>
      <c r="AP315" s="235" t="str">
        <f>AP271</f>
        <v>4Q27</v>
      </c>
      <c r="AQ315" s="235">
        <f>AQ271</f>
        <v>2027</v>
      </c>
      <c r="AR315" s="235" t="str">
        <f>AR271</f>
        <v>1Q28</v>
      </c>
      <c r="AS315" s="235" t="str">
        <f>AS271</f>
        <v>2Q28</v>
      </c>
      <c r="AT315" s="235" t="str">
        <f>AT271</f>
        <v>3Q28</v>
      </c>
      <c r="AU315" s="235" t="str">
        <f>AU271</f>
        <v>4Q28</v>
      </c>
      <c r="AV315" s="235">
        <f>AV271</f>
        <v>2028</v>
      </c>
      <c r="AW315" s="235" t="str">
        <f>AW271</f>
        <v>1Q29</v>
      </c>
      <c r="AX315" s="235" t="str">
        <f>AX271</f>
        <v>2Q29</v>
      </c>
      <c r="AY315" s="235" t="str">
        <f>AY271</f>
        <v>3Q29</v>
      </c>
      <c r="AZ315" s="235" t="str">
        <f>AZ271</f>
        <v>4Q29</v>
      </c>
      <c r="BA315" s="235">
        <f>BA271</f>
        <v>2029</v>
      </c>
      <c r="BB315" s="235" t="str">
        <f>BB271</f>
        <v>1Q30</v>
      </c>
      <c r="BC315" s="235" t="str">
        <f>BC271</f>
        <v>2Q30</v>
      </c>
      <c r="BD315" s="235" t="str">
        <f>BD271</f>
        <v>3Q30</v>
      </c>
      <c r="BE315" s="235" t="str">
        <f>BE271</f>
        <v>4Q30</v>
      </c>
      <c r="BF315" s="235">
        <f>BF271</f>
        <v>2030</v>
      </c>
      <c r="BG315" s="235" t="str">
        <f>BG271</f>
        <v>1Q31</v>
      </c>
      <c r="BH315" s="235" t="str">
        <f>BH271</f>
        <v>2Q31</v>
      </c>
      <c r="BI315" s="235" t="str">
        <f>BI271</f>
        <v>3Q31</v>
      </c>
      <c r="BJ315" s="235" t="str">
        <f>BJ271</f>
        <v>4Q31</v>
      </c>
      <c r="BK315" s="235">
        <f>BK271</f>
        <v>2031</v>
      </c>
      <c r="BL315" s="235" t="str">
        <f>BL271</f>
        <v>1Q32</v>
      </c>
      <c r="BM315" s="235" t="str">
        <f>BM271</f>
        <v>2Q32</v>
      </c>
      <c r="BN315" s="235" t="str">
        <f>BN271</f>
        <v>3Q32</v>
      </c>
      <c r="BO315" s="235" t="str">
        <f>BO271</f>
        <v>4Q32</v>
      </c>
      <c r="BP315" s="235">
        <f>BP271</f>
        <v>2032</v>
      </c>
      <c r="BQ315" s="235" t="str">
        <f>BQ271</f>
        <v>1Q33</v>
      </c>
      <c r="BR315" s="235" t="str">
        <f>BR271</f>
        <v>2Q33</v>
      </c>
      <c r="BS315" s="235" t="str">
        <f>BS271</f>
        <v>3Q33</v>
      </c>
      <c r="BT315" s="235" t="str">
        <f>BT271</f>
        <v>4Q33</v>
      </c>
      <c r="BU315" s="235">
        <f>BU271</f>
        <v>2033</v>
      </c>
      <c r="BV315" s="235" t="str">
        <f>BV271</f>
        <v>1Q34</v>
      </c>
      <c r="BW315" s="235" t="str">
        <f>BW271</f>
        <v>2Q34</v>
      </c>
      <c r="BX315" s="235" t="str">
        <f>BX271</f>
        <v>3Q34</v>
      </c>
      <c r="BY315" s="235" t="str">
        <f>BY271</f>
        <v>4Q34</v>
      </c>
      <c r="BZ315" s="235">
        <f>BZ271</f>
        <v>2034</v>
      </c>
      <c r="CA315" s="235" t="str">
        <f>CA271</f>
        <v>1Q35</v>
      </c>
      <c r="CB315" s="235" t="str">
        <f>CB271</f>
        <v>2Q35</v>
      </c>
      <c r="CC315" s="235" t="str">
        <f>CC271</f>
        <v>3Q35</v>
      </c>
      <c r="CD315" s="235" t="str">
        <f>CD271</f>
        <v>4Q35</v>
      </c>
      <c r="CE315" s="235">
        <f>CE271</f>
        <v>2035</v>
      </c>
      <c r="CF315" s="235" t="str">
        <f>CF271</f>
        <v>1Q36</v>
      </c>
      <c r="CG315" s="235" t="str">
        <f>CG271</f>
        <v>2Q36</v>
      </c>
      <c r="CH315" s="235" t="str">
        <f>CH271</f>
        <v>3Q36</v>
      </c>
      <c r="CI315" s="235" t="str">
        <f>CI271</f>
        <v>4Q36</v>
      </c>
      <c r="CJ315" s="235">
        <f>CJ271</f>
        <v>2036</v>
      </c>
      <c r="CK315" s="235" t="str">
        <f>CK271</f>
        <v>1Q37</v>
      </c>
      <c r="CL315" s="235" t="str">
        <f>CL271</f>
        <v>2Q37</v>
      </c>
      <c r="CM315" s="235" t="str">
        <f>CM271</f>
        <v>3Q37</v>
      </c>
      <c r="CN315" s="235" t="str">
        <f>CN271</f>
        <v>4Q37</v>
      </c>
      <c r="CO315" s="235">
        <f>CO271</f>
        <v>2037</v>
      </c>
      <c r="CP315" s="235" t="str">
        <f>CP271</f>
        <v>1Q38</v>
      </c>
      <c r="CQ315" s="235" t="str">
        <f>CQ271</f>
        <v>2Q38</v>
      </c>
      <c r="CR315" s="235" t="str">
        <f>CR271</f>
        <v>3Q38</v>
      </c>
      <c r="CS315" s="235" t="str">
        <f>CS271</f>
        <v>4Q38</v>
      </c>
      <c r="CT315" s="235">
        <f>CT271</f>
        <v>2038</v>
      </c>
      <c r="CU315" s="235" t="str">
        <f>CU271</f>
        <v>1Q39</v>
      </c>
      <c r="CV315" s="235" t="str">
        <f>CV271</f>
        <v>2Q39</v>
      </c>
      <c r="CW315" s="235" t="str">
        <f>CW271</f>
        <v>3Q39</v>
      </c>
      <c r="CX315" s="235" t="str">
        <f>CX271</f>
        <v>4Q39</v>
      </c>
      <c r="CY315" s="235">
        <f>CY271</f>
        <v>2039</v>
      </c>
    </row>
    <row r="316" customFormat="1" s="233">
      <c r="A316" s="224" t="n"/>
      <c r="B316" s="224" t="n"/>
      <c r="C316" s="234" t="inlineStr">
        <is>
          <t>GROWTH &amp; MARGINS</t>
        </is>
      </c>
    </row>
    <row r="317" customFormat="1" s="233">
      <c r="A317" s="224" t="n"/>
      <c r="B317" s="224" t="n"/>
      <c r="C317" s="233" t="inlineStr">
        <is>
          <t>NET REVENUE GROWTH</t>
        </is>
      </c>
      <c r="E317" s="236">
        <f>E15/D15-1</f>
        <v>-0.0695352170849632</v>
      </c>
      <c r="F317" s="236">
        <f>F15/E15-1</f>
        <v>0.20565579549312</v>
      </c>
      <c r="G317" s="236">
        <f>G15/F15-1</f>
        <v>0.232278604379183</v>
      </c>
      <c r="H317" s="236" t="n"/>
      <c r="I317" s="220">
        <f>I15/H15-1</f>
        <v>-0.696954423181228</v>
      </c>
      <c r="J317" s="220">
        <f>J15/I15-1</f>
        <v>0.118704125537838</v>
      </c>
      <c r="K317" s="220">
        <f>K15/J15-1</f>
        <v>0.0523270846800259</v>
      </c>
      <c r="L317" s="220">
        <f>L15/K15-1</f>
        <v>0.156746214564329</v>
      </c>
      <c r="M317" s="236" t="n"/>
      <c r="N317" s="220">
        <f>N15/M15-1</f>
        <v>-0.736020059230623</v>
      </c>
      <c r="O317" s="220">
        <f>O15/N15-1</f>
        <v>0.0246136654364735</v>
      </c>
      <c r="P317" s="220">
        <f>P15/O15-1</f>
        <v>-0.00850972232187697</v>
      </c>
      <c r="Q317" s="220">
        <f>Q15/P15-1</f>
        <v>0.100677357725931</v>
      </c>
      <c r="R317" s="236" t="n"/>
      <c r="S317" s="220">
        <f>S15/R15-1</f>
        <v>-0.753259839624376</v>
      </c>
      <c r="T317" s="220">
        <f>T15/S15-1</f>
        <v>0.069024316849843</v>
      </c>
      <c r="U317" s="220">
        <f>U15/T15-1</f>
        <v>0.0280011795614177</v>
      </c>
      <c r="V317" s="220">
        <f>V15/U15-1</f>
        <v>0.125396059614306</v>
      </c>
      <c r="W317" s="236" t="n"/>
      <c r="X317" s="220">
        <f>X15/W15-1</f>
        <v>-0.737994235411231</v>
      </c>
      <c r="Y317" s="220">
        <f>Y15/X15-1</f>
        <v>0.0521858975154894</v>
      </c>
      <c r="Z317" s="220">
        <f>Z15/Y15-1</f>
        <v>0.0416086474239457</v>
      </c>
      <c r="AA317" s="220">
        <f>AA15/Z15-1</f>
        <v>0.0929102279421761</v>
      </c>
      <c r="AB317" s="236" t="n"/>
      <c r="AC317" s="220">
        <f>AC15/AB15-1</f>
        <v>-0.742201829620191</v>
      </c>
      <c r="AD317" s="220">
        <f>AD15/AC15-1</f>
        <v>0.0686437484761842</v>
      </c>
      <c r="AE317" s="220">
        <f>AE15/AD15-1</f>
        <v>0.061372215539055</v>
      </c>
      <c r="AF317" s="220">
        <f>AF15/AE15-1</f>
        <v>0.112197838704004</v>
      </c>
      <c r="AG317" s="236" t="n"/>
      <c r="AH317" s="220">
        <f>AH15/AG15-1</f>
        <v>-0.727194870381817</v>
      </c>
      <c r="AI317" s="220">
        <f>AI15/AH15-1</f>
        <v>0.090085171434811</v>
      </c>
      <c r="AJ317" s="220">
        <f>AJ15/AI15-1</f>
        <v>-0.145664295969815</v>
      </c>
      <c r="AK317" s="220">
        <f>AK15/AJ15-1</f>
        <v>0.112197838704004</v>
      </c>
      <c r="AL317" s="236" t="n"/>
      <c r="AM317" s="220">
        <f>AM15/AL15-1</f>
        <v>-0.753522911540886</v>
      </c>
      <c r="AN317" s="220">
        <f>AN15/AM15-1</f>
        <v>0.090085171434811</v>
      </c>
      <c r="AO317" s="220">
        <f>AO15/AN15-1</f>
        <v>-0.145664295969815</v>
      </c>
      <c r="AP317" s="220">
        <f>AP15/AO15-1</f>
        <v>0.112197838704004</v>
      </c>
      <c r="AQ317" s="236" t="n"/>
      <c r="AR317" s="220">
        <f>AR15/AQ15-1</f>
        <v>-0.753522911540886</v>
      </c>
      <c r="AS317" s="220">
        <f>AS15/AR15-1</f>
        <v>0.090085171434811</v>
      </c>
      <c r="AT317" s="220">
        <f>AT15/AS15-1</f>
        <v>-0.145664295969815</v>
      </c>
      <c r="AU317" s="220">
        <f>AU15/AT15-1</f>
        <v>0.112197838704004</v>
      </c>
      <c r="AV317" s="236" t="n"/>
      <c r="AW317" s="220">
        <f>AW15/AV15-1</f>
        <v>-0.753522911540886</v>
      </c>
      <c r="AX317" s="220">
        <f>AX15/AW15-1</f>
        <v>0.090085171434811</v>
      </c>
      <c r="AY317" s="220">
        <f>AY15/AX15-1</f>
        <v>-0.145664295969815</v>
      </c>
      <c r="AZ317" s="220">
        <f>AZ15/AY15-1</f>
        <v>0.112197838704004</v>
      </c>
      <c r="BA317" s="236" t="n"/>
      <c r="BB317" s="220">
        <f>BB15/BA15-1</f>
        <v>-0.753522911540886</v>
      </c>
      <c r="BC317" s="220">
        <f>BC15/BB15-1</f>
        <v>0.090085171434811</v>
      </c>
      <c r="BD317" s="220">
        <f>BD15/BC15-1</f>
        <v>-0.145664295969815</v>
      </c>
      <c r="BE317" s="220">
        <f>BE15/BD15-1</f>
        <v>0.112197838704004</v>
      </c>
      <c r="BF317" s="236" t="n"/>
      <c r="BG317" s="220">
        <f>BG15/BF15-1</f>
        <v>-0.753522911540886</v>
      </c>
      <c r="BH317" s="220">
        <f>BH15/BG15-1</f>
        <v>0.090085171434811</v>
      </c>
      <c r="BI317" s="220">
        <f>BI15/BH15-1</f>
        <v>-0.145664295969815</v>
      </c>
      <c r="BJ317" s="220">
        <f>BJ15/BI15-1</f>
        <v>0.112197838704004</v>
      </c>
      <c r="BK317" s="236" t="n"/>
      <c r="BL317" s="220">
        <f>BL15/BK15-1</f>
        <v>-0.753522911540886</v>
      </c>
      <c r="BM317" s="220">
        <f>BM15/BL15-1</f>
        <v>0.090085171434811</v>
      </c>
      <c r="BN317" s="220">
        <f>BN15/BM15-1</f>
        <v>-0.145664295969815</v>
      </c>
      <c r="BO317" s="220">
        <f>BO15/BN15-1</f>
        <v>0.112197838704004</v>
      </c>
      <c r="BP317" s="236" t="n"/>
      <c r="BQ317" s="220">
        <f>BQ15/BP15-1</f>
        <v>-0.753522911540886</v>
      </c>
      <c r="BR317" s="220">
        <f>BR15/BQ15-1</f>
        <v>0.090085171434811</v>
      </c>
      <c r="BS317" s="220">
        <f>BS15/BR15-1</f>
        <v>-0.145664295969815</v>
      </c>
      <c r="BT317" s="220">
        <f>BT15/BS15-1</f>
        <v>0.112197838704004</v>
      </c>
      <c r="BU317" s="236" t="n"/>
      <c r="BV317" s="220">
        <f>BV15/BU15-1</f>
        <v>-0.753522911540886</v>
      </c>
      <c r="BW317" s="220">
        <f>BW15/BV15-1</f>
        <v>0.090085171434811</v>
      </c>
      <c r="BX317" s="220">
        <f>BX15/BW15-1</f>
        <v>-0.145664295969815</v>
      </c>
      <c r="BY317" s="220">
        <f>BY15/BX15-1</f>
        <v>0.112197838704004</v>
      </c>
      <c r="BZ317" s="236" t="n"/>
      <c r="CA317" s="220">
        <f>CA15/BZ15-1</f>
        <v>-0.753522911540886</v>
      </c>
      <c r="CB317" s="220">
        <f>CB15/CA15-1</f>
        <v>0.090085171434811</v>
      </c>
      <c r="CC317" s="220">
        <f>CC15/CB15-1</f>
        <v>-0.145664295969815</v>
      </c>
      <c r="CD317" s="220">
        <f>CD15/CC15-1</f>
        <v>0.112197838704004</v>
      </c>
      <c r="CE317" s="236" t="n"/>
      <c r="CF317" s="220">
        <f>CF15/CE15-1</f>
        <v>-0.753522911540886</v>
      </c>
      <c r="CG317" s="220">
        <f>CG15/CF15-1</f>
        <v>0.090085171434811</v>
      </c>
      <c r="CH317" s="220">
        <f>CH15/CG15-1</f>
        <v>-0.145664295969815</v>
      </c>
      <c r="CI317" s="220">
        <f>CI15/CH15-1</f>
        <v>0.112197838704004</v>
      </c>
      <c r="CJ317" s="236" t="n"/>
      <c r="CK317" s="220">
        <f>CK15/CJ15-1</f>
        <v>-0.753522911540886</v>
      </c>
      <c r="CL317" s="220">
        <f>CL15/CK15-1</f>
        <v>0.090085171434811</v>
      </c>
      <c r="CM317" s="220">
        <f>CM15/CL15-1</f>
        <v>-0.145664295969815</v>
      </c>
      <c r="CN317" s="220">
        <f>CN15/CM15-1</f>
        <v>0.112197838704004</v>
      </c>
      <c r="CO317" s="236" t="n"/>
      <c r="CP317" s="220">
        <f>CP15/CO15-1</f>
        <v>-0.753522911540886</v>
      </c>
      <c r="CQ317" s="220">
        <f>CQ15/CP15-1</f>
        <v>0.090085171434811</v>
      </c>
      <c r="CR317" s="220">
        <f>CR15/CQ15-1</f>
        <v>-0.145664295969815</v>
      </c>
      <c r="CS317" s="220">
        <f>CS15/CR15-1</f>
        <v>0.112197838704004</v>
      </c>
      <c r="CT317" s="236" t="n"/>
      <c r="CU317" s="220">
        <f>CU15/CT15-1</f>
        <v>-0.753522911540886</v>
      </c>
      <c r="CV317" s="220">
        <f>CV15/CU15-1</f>
        <v>0.090085171434811</v>
      </c>
      <c r="CW317" s="220">
        <f>CW15/CV15-1</f>
        <v>-0.145664295969815</v>
      </c>
      <c r="CX317" s="220">
        <f>CX15/CW15-1</f>
        <v>0.112197838704004</v>
      </c>
      <c r="CY317" s="236" t="n"/>
    </row>
    <row r="318" customFormat="1" s="233">
      <c r="A318" s="224" t="n"/>
      <c r="B318" s="224" t="n"/>
      <c r="C318" s="233" t="inlineStr">
        <is>
          <t>GROSS MARGIN</t>
        </is>
      </c>
      <c r="D318" s="220">
        <f>SUM(D15,D50)/D15</f>
        <v>0.538812896328871</v>
      </c>
      <c r="E318" s="220">
        <f>SUM(E15,E50)/E15</f>
        <v>0.515549520850197</v>
      </c>
      <c r="F318" s="220">
        <f>SUM(F15,F50)/F15</f>
        <v>0.542654798258723</v>
      </c>
      <c r="G318" s="220">
        <f>SUM(G15,G50)/G15</f>
        <v>0.541635909873809</v>
      </c>
      <c r="I318" s="221">
        <f>SUM(I15,I50)/I15</f>
        <v>0.564251364934736</v>
      </c>
      <c r="J318" s="221">
        <f>SUM(J15,J50)/J15</f>
        <v>0.576163542340013</v>
      </c>
      <c r="K318" s="221">
        <f>SUM(K15,K50)/K15</f>
        <v>0.575831567308578</v>
      </c>
      <c r="L318" s="221">
        <f>SUM(L15,L50)/L15</f>
        <v>0.562057749751079</v>
      </c>
      <c r="N318" s="221">
        <f>SUM(N15,N50)/N15</f>
        <v>0.564790989692844</v>
      </c>
      <c r="O318" s="221">
        <f>SUM(O15,O50)/O15</f>
        <v>0.567998851976753</v>
      </c>
      <c r="P318" s="221">
        <f>SUM(P15,P50)/P15</f>
        <v>0.54903606785156</v>
      </c>
      <c r="Q318" s="221">
        <f>SUM(Q15,Q50)/Q15</f>
        <v>0.535267199663371</v>
      </c>
      <c r="S318" s="221">
        <f>SUM(S15,S50)/S15</f>
        <v>0.561350967945319</v>
      </c>
      <c r="T318" s="221">
        <f>SUM(T15,T50)/T15</f>
        <v>0.572194520401051</v>
      </c>
      <c r="U318" s="221">
        <f>SUM(U15,U50)/U15</f>
        <v>0.566727080698369</v>
      </c>
      <c r="V318" s="221">
        <f>SUM(V15,V50)/V15</f>
        <v>0.564650677789364</v>
      </c>
      <c r="X318" s="221">
        <f>SUM(X15,X50)/X15</f>
        <v>0.581420181526962</v>
      </c>
      <c r="Y318" s="221">
        <f>SUM(Y15,Y50)/Y15</f>
        <v>0.580998796346558</v>
      </c>
      <c r="Z318" s="221">
        <f>SUM(Z15,Z50)/Z15</f>
        <v>0.586781166447637</v>
      </c>
      <c r="AA318" s="221">
        <f>SUM(AA15,AA50)/AA15</f>
        <v>0.579004654344919</v>
      </c>
      <c r="AC318" s="221">
        <f>SUM(AC15,AC50)/AC15</f>
        <v>0.597036593745152</v>
      </c>
      <c r="AD318" s="221">
        <f>SUM(AD15,AD50)/AD15</f>
        <v>0.595148711992367</v>
      </c>
      <c r="AE318" s="221">
        <f>SUM(AE15,AE50)/AE15</f>
        <v>0.595792703183319</v>
      </c>
      <c r="AF318" s="221">
        <f>SUM(AF15,AF50)/AF15</f>
        <v>0.597931985697845</v>
      </c>
      <c r="AH318" s="221">
        <f>SUM(AH15,AH50)/AH15</f>
        <v>0.624454029264032</v>
      </c>
      <c r="AI318" s="221">
        <f>SUM(AI15,AI50)/AI15</f>
        <v>0.616489699155231</v>
      </c>
      <c r="AJ318" s="221">
        <f>SUM(AJ15,AJ50)/AJ15</f>
        <v>0</v>
      </c>
      <c r="AK318" s="221">
        <f>SUM(AK15,AK50)/AK15</f>
        <v>0</v>
      </c>
      <c r="AM318" s="221">
        <f>SUM(AM15,AM50)/AM15</f>
        <v>0</v>
      </c>
      <c r="AN318" s="221">
        <f>SUM(AN15,AN50)/AN15</f>
        <v>0</v>
      </c>
      <c r="AO318" s="221">
        <f>SUM(AO15,AO50)/AO15</f>
        <v>0</v>
      </c>
      <c r="AP318" s="221">
        <f>SUM(AP15,AP50)/AP15</f>
        <v>0</v>
      </c>
      <c r="AR318" s="221">
        <f>SUM(AR15,AR50)/AR15</f>
        <v>0</v>
      </c>
      <c r="AS318" s="221">
        <f>SUM(AS15,AS50)/AS15</f>
        <v>0</v>
      </c>
      <c r="AT318" s="221">
        <f>SUM(AT15,AT50)/AT15</f>
        <v>0</v>
      </c>
      <c r="AU318" s="221">
        <f>SUM(AU15,AU50)/AU15</f>
        <v>0</v>
      </c>
      <c r="AW318" s="221">
        <f>SUM(AW15,AW50)/AW15</f>
        <v>0</v>
      </c>
      <c r="AX318" s="221">
        <f>SUM(AX15,AX50)/AX15</f>
        <v>0</v>
      </c>
      <c r="AY318" s="221">
        <f>SUM(AY15,AY50)/AY15</f>
        <v>0</v>
      </c>
      <c r="AZ318" s="221">
        <f>SUM(AZ15,AZ50)/AZ15</f>
        <v>0</v>
      </c>
      <c r="BB318" s="221">
        <f>SUM(BB15,BB50)/BB15</f>
        <v>0</v>
      </c>
      <c r="BC318" s="221">
        <f>SUM(BC15,BC50)/BC15</f>
        <v>0</v>
      </c>
      <c r="BD318" s="221">
        <f>SUM(BD15,BD50)/BD15</f>
        <v>0</v>
      </c>
      <c r="BE318" s="221">
        <f>SUM(BE15,BE50)/BE15</f>
        <v>0</v>
      </c>
      <c r="BG318" s="221">
        <f>SUM(BG15,BG50)/BG15</f>
        <v>0</v>
      </c>
      <c r="BH318" s="221">
        <f>SUM(BH15,BH50)/BH15</f>
        <v>0</v>
      </c>
      <c r="BI318" s="221">
        <f>SUM(BI15,BI50)/BI15</f>
        <v>0</v>
      </c>
      <c r="BJ318" s="221">
        <f>SUM(BJ15,BJ50)/BJ15</f>
        <v>0</v>
      </c>
      <c r="BL318" s="221">
        <f>SUM(BL15,BL50)/BL15</f>
        <v>0</v>
      </c>
      <c r="BM318" s="221">
        <f>SUM(BM15,BM50)/BM15</f>
        <v>0</v>
      </c>
      <c r="BN318" s="221">
        <f>SUM(BN15,BN50)/BN15</f>
        <v>0</v>
      </c>
      <c r="BO318" s="221">
        <f>SUM(BO15,BO50)/BO15</f>
        <v>0</v>
      </c>
      <c r="BQ318" s="221">
        <f>SUM(BQ15,BQ50)/BQ15</f>
        <v>0</v>
      </c>
      <c r="BR318" s="221">
        <f>SUM(BR15,BR50)/BR15</f>
        <v>0</v>
      </c>
      <c r="BS318" s="221">
        <f>SUM(BS15,BS50)/BS15</f>
        <v>0</v>
      </c>
      <c r="BT318" s="221">
        <f>SUM(BT15,BT50)/BT15</f>
        <v>0</v>
      </c>
      <c r="BV318" s="221">
        <f>SUM(BV15,BV50)/BV15</f>
        <v>0</v>
      </c>
      <c r="BW318" s="221">
        <f>SUM(BW15,BW50)/BW15</f>
        <v>0</v>
      </c>
      <c r="BX318" s="221">
        <f>SUM(BX15,BX50)/BX15</f>
        <v>0</v>
      </c>
      <c r="BY318" s="221">
        <f>SUM(BY15,BY50)/BY15</f>
        <v>0</v>
      </c>
      <c r="CA318" s="221">
        <f>SUM(CA15,CA50)/CA15</f>
        <v>0</v>
      </c>
      <c r="CB318" s="221">
        <f>SUM(CB15,CB50)/CB15</f>
        <v>0</v>
      </c>
      <c r="CC318" s="221">
        <f>SUM(CC15,CC50)/CC15</f>
        <v>0</v>
      </c>
      <c r="CD318" s="221">
        <f>SUM(CD15,CD50)/CD15</f>
        <v>0</v>
      </c>
      <c r="CF318" s="221">
        <f>SUM(CF15,CF50)/CF15</f>
        <v>0</v>
      </c>
      <c r="CG318" s="221">
        <f>SUM(CG15,CG50)/CG15</f>
        <v>0</v>
      </c>
      <c r="CH318" s="221">
        <f>SUM(CH15,CH50)/CH15</f>
        <v>0</v>
      </c>
      <c r="CI318" s="221">
        <f>SUM(CI15,CI50)/CI15</f>
        <v>0</v>
      </c>
      <c r="CK318" s="221">
        <f>SUM(CK15,CK50)/CK15</f>
        <v>0</v>
      </c>
      <c r="CL318" s="221">
        <f>SUM(CL15,CL50)/CL15</f>
        <v>0</v>
      </c>
      <c r="CM318" s="221">
        <f>SUM(CM15,CM50)/CM15</f>
        <v>0</v>
      </c>
      <c r="CN318" s="221">
        <f>SUM(CN15,CN50)/CN15</f>
        <v>0</v>
      </c>
      <c r="CP318" s="221">
        <f>SUM(CP15,CP50)/CP15</f>
        <v>0</v>
      </c>
      <c r="CQ318" s="221">
        <f>SUM(CQ15,CQ50)/CQ15</f>
        <v>0</v>
      </c>
      <c r="CR318" s="221">
        <f>SUM(CR15,CR50)/CR15</f>
        <v>0</v>
      </c>
      <c r="CS318" s="221">
        <f>SUM(CS15,CS50)/CS15</f>
        <v>0</v>
      </c>
      <c r="CU318" s="221">
        <f>SUM(CU15,CU50)/CU15</f>
        <v>0</v>
      </c>
      <c r="CV318" s="221">
        <f>SUM(CV15,CV50)/CV15</f>
        <v>0</v>
      </c>
      <c r="CW318" s="221">
        <f>SUM(CW15,CW50)/CW15</f>
        <v>0</v>
      </c>
      <c r="CX318" s="221">
        <f>SUM(CX15,CX50)/CX15</f>
        <v>0</v>
      </c>
    </row>
    <row r="319" customFormat="1" s="233">
      <c r="A319" s="224" t="n"/>
      <c r="B319" s="224" t="n"/>
      <c r="C319" s="233" t="inlineStr">
        <is>
          <t>EBIT MARGIN</t>
        </is>
      </c>
      <c r="D319" s="236">
        <f>(D69/D15)</f>
        <v>0.193809373405574</v>
      </c>
      <c r="E319" s="236">
        <f>(E69/E15)</f>
        <v>0.166671018617646</v>
      </c>
      <c r="F319" s="236">
        <f>(F69/F15)</f>
        <v>0.24284755159942</v>
      </c>
      <c r="G319" s="236">
        <f>(G69/G15)</f>
        <v>0.275071180006327</v>
      </c>
      <c r="I319" s="222">
        <f>(I69/I15)</f>
        <v>0.297158043171711</v>
      </c>
      <c r="J319" s="222">
        <f>(J69/J15)</f>
        <v>0.312879767291532</v>
      </c>
      <c r="K319" s="222">
        <f>(K69/K15)</f>
        <v>0.322967535857981</v>
      </c>
      <c r="L319" s="222">
        <f>(L69/L15)</f>
        <v>0.290540989047461</v>
      </c>
      <c r="N319" s="222">
        <f>(N69/N15)</f>
        <v>0.295452206260752</v>
      </c>
      <c r="O319" s="222">
        <f>(O69/O15)</f>
        <v>0.279156202913109</v>
      </c>
      <c r="P319" s="222">
        <f>(P69/P15)</f>
        <v>0.248002663115846</v>
      </c>
      <c r="Q319" s="222">
        <f>(Q69/Q15)</f>
        <v>0.238796549547654</v>
      </c>
      <c r="S319" s="222">
        <f>(S69/S15)</f>
        <v>0.249545044205941</v>
      </c>
      <c r="T319" s="222">
        <f>(T69/T15)</f>
        <v>0.29271888906761</v>
      </c>
      <c r="U319" s="222">
        <f>(U69/U15)</f>
        <v>0.278291369486133</v>
      </c>
      <c r="V319" s="222">
        <f>(V69/V15)</f>
        <v>0.274556830031283</v>
      </c>
      <c r="X319" s="222">
        <f>(X69/X15)</f>
        <v>0.316269136691541</v>
      </c>
      <c r="Y319" s="222">
        <f>(Y69/Y15)</f>
        <v>0.32362936914399</v>
      </c>
      <c r="Z319" s="222">
        <f>(Z69/Z15)</f>
        <v>0.323118230842434</v>
      </c>
      <c r="AA319" s="222">
        <f>(AA69/AA15)</f>
        <v>0.321056505198561</v>
      </c>
      <c r="AC319" s="222">
        <f>(AC69/AC15)</f>
        <v>0.339184786222488</v>
      </c>
      <c r="AD319" s="222">
        <f>(AD69/AD15)</f>
        <v>0.324293773592732</v>
      </c>
      <c r="AE319" s="222">
        <f>(AE69/AE15)</f>
        <v>0.305121841596154</v>
      </c>
      <c r="AF319" s="222">
        <f>(AF69/AF15)</f>
        <v>0.315684052394381</v>
      </c>
      <c r="AH319" s="222">
        <f>(AH69/AH15)</f>
        <v>0.361214238916794</v>
      </c>
      <c r="AI319" s="222">
        <f>(AI69/AI15)</f>
        <v>0.340328558549534</v>
      </c>
      <c r="AJ319" s="222">
        <f>(AJ69/AJ15)</f>
        <v>0</v>
      </c>
      <c r="AK319" s="222">
        <f>(AK69/AK15)</f>
        <v>0</v>
      </c>
      <c r="AM319" s="222">
        <f>(AM69/AM15)</f>
        <v>0</v>
      </c>
      <c r="AN319" s="222">
        <f>(AN69/AN15)</f>
        <v>0</v>
      </c>
      <c r="AO319" s="222">
        <f>(AO69/AO15)</f>
        <v>0</v>
      </c>
      <c r="AP319" s="222">
        <f>(AP69/AP15)</f>
        <v>0</v>
      </c>
      <c r="AR319" s="222">
        <f>(AR69/AR15)</f>
        <v>0</v>
      </c>
      <c r="AS319" s="222">
        <f>(AS69/AS15)</f>
        <v>0</v>
      </c>
      <c r="AT319" s="222">
        <f>(AT69/AT15)</f>
        <v>0</v>
      </c>
      <c r="AU319" s="222">
        <f>(AU69/AU15)</f>
        <v>0</v>
      </c>
      <c r="AW319" s="222">
        <f>(AW69/AW15)</f>
        <v>0</v>
      </c>
      <c r="AX319" s="222">
        <f>(AX69/AX15)</f>
        <v>0</v>
      </c>
      <c r="AY319" s="222">
        <f>(AY69/AY15)</f>
        <v>0</v>
      </c>
      <c r="AZ319" s="222">
        <f>(AZ69/AZ15)</f>
        <v>0</v>
      </c>
      <c r="BB319" s="222">
        <f>(BB69/BB15)</f>
        <v>0</v>
      </c>
      <c r="BC319" s="222">
        <f>(BC69/BC15)</f>
        <v>0</v>
      </c>
      <c r="BD319" s="222">
        <f>(BD69/BD15)</f>
        <v>0</v>
      </c>
      <c r="BE319" s="222">
        <f>(BE69/BE15)</f>
        <v>0</v>
      </c>
      <c r="BG319" s="222">
        <f>(BG69/BG15)</f>
        <v>0</v>
      </c>
      <c r="BH319" s="222">
        <f>(BH69/BH15)</f>
        <v>0</v>
      </c>
      <c r="BI319" s="222">
        <f>(BI69/BI15)</f>
        <v>0</v>
      </c>
      <c r="BJ319" s="222">
        <f>(BJ69/BJ15)</f>
        <v>0</v>
      </c>
      <c r="BL319" s="222">
        <f>(BL69/BL15)</f>
        <v>0</v>
      </c>
      <c r="BM319" s="222">
        <f>(BM69/BM15)</f>
        <v>0</v>
      </c>
      <c r="BN319" s="222">
        <f>(BN69/BN15)</f>
        <v>0</v>
      </c>
      <c r="BO319" s="222">
        <f>(BO69/BO15)</f>
        <v>0</v>
      </c>
      <c r="BQ319" s="222">
        <f>(BQ69/BQ15)</f>
        <v>0</v>
      </c>
      <c r="BR319" s="222">
        <f>(BR69/BR15)</f>
        <v>0</v>
      </c>
      <c r="BS319" s="222">
        <f>(BS69/BS15)</f>
        <v>0</v>
      </c>
      <c r="BT319" s="222">
        <f>(BT69/BT15)</f>
        <v>0</v>
      </c>
      <c r="BV319" s="222">
        <f>(BV69/BV15)</f>
        <v>0</v>
      </c>
      <c r="BW319" s="222">
        <f>(BW69/BW15)</f>
        <v>0</v>
      </c>
      <c r="BX319" s="222">
        <f>(BX69/BX15)</f>
        <v>0</v>
      </c>
      <c r="BY319" s="222">
        <f>(BY69/BY15)</f>
        <v>0</v>
      </c>
      <c r="CA319" s="222">
        <f>(CA69/CA15)</f>
        <v>0</v>
      </c>
      <c r="CB319" s="222">
        <f>(CB69/CB15)</f>
        <v>0</v>
      </c>
      <c r="CC319" s="222">
        <f>(CC69/CC15)</f>
        <v>0</v>
      </c>
      <c r="CD319" s="222">
        <f>(CD69/CD15)</f>
        <v>0</v>
      </c>
      <c r="CF319" s="222">
        <f>(CF69/CF15)</f>
        <v>0</v>
      </c>
      <c r="CG319" s="222">
        <f>(CG69/CG15)</f>
        <v>0</v>
      </c>
      <c r="CH319" s="222">
        <f>(CH69/CH15)</f>
        <v>0</v>
      </c>
      <c r="CI319" s="222">
        <f>(CI69/CI15)</f>
        <v>0</v>
      </c>
      <c r="CK319" s="222">
        <f>(CK69/CK15)</f>
        <v>0</v>
      </c>
      <c r="CL319" s="222">
        <f>(CL69/CL15)</f>
        <v>0</v>
      </c>
      <c r="CM319" s="222">
        <f>(CM69/CM15)</f>
        <v>0</v>
      </c>
      <c r="CN319" s="222">
        <f>(CN69/CN15)</f>
        <v>0</v>
      </c>
      <c r="CP319" s="222">
        <f>(CP69/CP15)</f>
        <v>0</v>
      </c>
      <c r="CQ319" s="222">
        <f>(CQ69/CQ15)</f>
        <v>0</v>
      </c>
      <c r="CR319" s="222">
        <f>(CR69/CR15)</f>
        <v>0</v>
      </c>
      <c r="CS319" s="222">
        <f>(CS69/CS15)</f>
        <v>0</v>
      </c>
      <c r="CU319" s="222">
        <f>(CU69/CU15)</f>
        <v>0</v>
      </c>
      <c r="CV319" s="222">
        <f>(CV69/CV15)</f>
        <v>0</v>
      </c>
      <c r="CW319" s="222">
        <f>(CW69/CW15)</f>
        <v>0</v>
      </c>
      <c r="CX319" s="222">
        <f>(CX69/CX15)</f>
        <v>0</v>
      </c>
    </row>
    <row r="320" customFormat="1" s="233">
      <c r="A320" s="224" t="n"/>
      <c r="B320" s="224" t="n"/>
      <c r="C320" s="233" t="inlineStr">
        <is>
          <t>EBITDA MARTGIN</t>
        </is>
      </c>
      <c r="D320" s="236">
        <f>D65/D15</f>
        <v>0.269321412084842</v>
      </c>
      <c r="E320" s="236">
        <f>E65/E15</f>
        <v>0.255085254719691</v>
      </c>
      <c r="F320" s="236">
        <f>F65/F15</f>
        <v>0.318172958222338</v>
      </c>
      <c r="G320" s="236">
        <f>G65/G15</f>
        <v>0.33727020281908</v>
      </c>
      <c r="I320" s="222">
        <f>I65/I15</f>
        <v>0.342806522760965</v>
      </c>
      <c r="J320" s="222">
        <f>J65/J15</f>
        <v>0.356997414350356</v>
      </c>
      <c r="K320" s="222">
        <f>K65/K15</f>
        <v>0.370343069504592</v>
      </c>
      <c r="L320" s="222">
        <f>L65/L15</f>
        <v>0.333222701626286</v>
      </c>
      <c r="N320" s="222">
        <f>N65/N15</f>
        <v>0.348252488568026</v>
      </c>
      <c r="O320" s="222">
        <f>O65/O15</f>
        <v>0.332223577527445</v>
      </c>
      <c r="P320" s="222">
        <f>P65/P15</f>
        <v>0.304926764314248</v>
      </c>
      <c r="Q320" s="222">
        <f>Q65/Q15</f>
        <v>0.292249631811488</v>
      </c>
      <c r="S320" s="222">
        <f>S65/S15</f>
        <v>0.293392752231791</v>
      </c>
      <c r="T320" s="222">
        <f>T65/T15</f>
        <v>0.336670955980913</v>
      </c>
      <c r="U320" s="222">
        <f>U65/U15</f>
        <v>0.326157537193747</v>
      </c>
      <c r="V320" s="222">
        <f>V65/V15</f>
        <v>0.312976480129765</v>
      </c>
      <c r="X320" s="222">
        <f>X65/X15</f>
        <v>0.358646121754678</v>
      </c>
      <c r="Y320" s="222">
        <f>Y65/Y15</f>
        <v>0.36738571192561</v>
      </c>
      <c r="Z320" s="222">
        <f>Z65/Z15</f>
        <v>0.368264829836407</v>
      </c>
      <c r="AA320" s="222">
        <f>AA65/AA15</f>
        <v>0.364645637458665</v>
      </c>
      <c r="AC320" s="222">
        <f>AC65/AC15</f>
        <v>0.388911053483166</v>
      </c>
      <c r="AD320" s="222">
        <f>AD65/AD15</f>
        <v>0.376125191852989</v>
      </c>
      <c r="AE320" s="222">
        <f>AE65/AE15</f>
        <v>0.359945674476775</v>
      </c>
      <c r="AF320" s="222">
        <f>AF65/AF15</f>
        <v>0.368746101608553</v>
      </c>
      <c r="AH320" s="222">
        <f>AH65/AH15</f>
        <v>0.42019727742593</v>
      </c>
      <c r="AI320" s="222">
        <f>AI65/AI15</f>
        <v>0.399629369928879</v>
      </c>
      <c r="AJ320" s="222">
        <f>AJ65/AJ15</f>
        <v>0</v>
      </c>
      <c r="AK320" s="222">
        <f>AK65/AK15</f>
        <v>0</v>
      </c>
      <c r="AM320" s="222">
        <f>AM65/AM15</f>
        <v>0</v>
      </c>
      <c r="AN320" s="222">
        <f>AN65/AN15</f>
        <v>0</v>
      </c>
      <c r="AO320" s="222">
        <f>AO65/AO15</f>
        <v>0</v>
      </c>
      <c r="AP320" s="222">
        <f>AP65/AP15</f>
        <v>0</v>
      </c>
      <c r="AR320" s="222">
        <f>AR65/AR15</f>
        <v>0</v>
      </c>
      <c r="AS320" s="222">
        <f>AS65/AS15</f>
        <v>0</v>
      </c>
      <c r="AT320" s="222">
        <f>AT65/AT15</f>
        <v>0</v>
      </c>
      <c r="AU320" s="222">
        <f>AU65/AU15</f>
        <v>0</v>
      </c>
      <c r="AW320" s="222">
        <f>AW65/AW15</f>
        <v>0</v>
      </c>
      <c r="AX320" s="222">
        <f>AX65/AX15</f>
        <v>0</v>
      </c>
      <c r="AY320" s="222">
        <f>AY65/AY15</f>
        <v>0</v>
      </c>
      <c r="AZ320" s="222">
        <f>AZ65/AZ15</f>
        <v>0</v>
      </c>
      <c r="BB320" s="222">
        <f>BB65/BB15</f>
        <v>0</v>
      </c>
      <c r="BC320" s="222">
        <f>BC65/BC15</f>
        <v>0</v>
      </c>
      <c r="BD320" s="222">
        <f>BD65/BD15</f>
        <v>0</v>
      </c>
      <c r="BE320" s="222">
        <f>BE65/BE15</f>
        <v>0</v>
      </c>
      <c r="BG320" s="222">
        <f>BG65/BG15</f>
        <v>0</v>
      </c>
      <c r="BH320" s="222">
        <f>BH65/BH15</f>
        <v>0</v>
      </c>
      <c r="BI320" s="222">
        <f>BI65/BI15</f>
        <v>0</v>
      </c>
      <c r="BJ320" s="222">
        <f>BJ65/BJ15</f>
        <v>0</v>
      </c>
      <c r="BL320" s="222">
        <f>BL65/BL15</f>
        <v>0</v>
      </c>
      <c r="BM320" s="222">
        <f>BM65/BM15</f>
        <v>0</v>
      </c>
      <c r="BN320" s="222">
        <f>BN65/BN15</f>
        <v>0</v>
      </c>
      <c r="BO320" s="222">
        <f>BO65/BO15</f>
        <v>0</v>
      </c>
      <c r="BQ320" s="222">
        <f>BQ65/BQ15</f>
        <v>0</v>
      </c>
      <c r="BR320" s="222">
        <f>BR65/BR15</f>
        <v>0</v>
      </c>
      <c r="BS320" s="222">
        <f>BS65/BS15</f>
        <v>0</v>
      </c>
      <c r="BT320" s="222">
        <f>BT65/BT15</f>
        <v>0</v>
      </c>
      <c r="BV320" s="222">
        <f>BV65/BV15</f>
        <v>0</v>
      </c>
      <c r="BW320" s="222">
        <f>BW65/BW15</f>
        <v>0</v>
      </c>
      <c r="BX320" s="222">
        <f>BX65/BX15</f>
        <v>0</v>
      </c>
      <c r="BY320" s="222">
        <f>BY65/BY15</f>
        <v>0</v>
      </c>
      <c r="CA320" s="222">
        <f>CA65/CA15</f>
        <v>0</v>
      </c>
      <c r="CB320" s="222">
        <f>CB65/CB15</f>
        <v>0</v>
      </c>
      <c r="CC320" s="222">
        <f>CC65/CC15</f>
        <v>0</v>
      </c>
      <c r="CD320" s="222">
        <f>CD65/CD15</f>
        <v>0</v>
      </c>
      <c r="CF320" s="222">
        <f>CF65/CF15</f>
        <v>0</v>
      </c>
      <c r="CG320" s="222">
        <f>CG65/CG15</f>
        <v>0</v>
      </c>
      <c r="CH320" s="222">
        <f>CH65/CH15</f>
        <v>0</v>
      </c>
      <c r="CI320" s="222">
        <f>CI65/CI15</f>
        <v>0</v>
      </c>
      <c r="CK320" s="222">
        <f>CK65/CK15</f>
        <v>0</v>
      </c>
      <c r="CL320" s="222">
        <f>CL65/CL15</f>
        <v>0</v>
      </c>
      <c r="CM320" s="222">
        <f>CM65/CM15</f>
        <v>0</v>
      </c>
      <c r="CN320" s="222">
        <f>CN65/CN15</f>
        <v>0</v>
      </c>
      <c r="CP320" s="222">
        <f>CP65/CP15</f>
        <v>0</v>
      </c>
      <c r="CQ320" s="222">
        <f>CQ65/CQ15</f>
        <v>0</v>
      </c>
      <c r="CR320" s="222">
        <f>CR65/CR15</f>
        <v>0</v>
      </c>
      <c r="CS320" s="222">
        <f>CS65/CS15</f>
        <v>0</v>
      </c>
      <c r="CU320" s="222">
        <f>CU65/CU15</f>
        <v>0</v>
      </c>
      <c r="CV320" s="222">
        <f>CV65/CV15</f>
        <v>0</v>
      </c>
      <c r="CW320" s="222">
        <f>CW65/CW15</f>
        <v>0</v>
      </c>
      <c r="CX320" s="222">
        <f>CX65/CX15</f>
        <v>0</v>
      </c>
    </row>
    <row r="321" customFormat="1" s="233">
      <c r="A321" s="224" t="n"/>
      <c r="B321" s="224" t="n"/>
      <c r="C321" s="233" t="inlineStr">
        <is>
          <t>ETR</t>
        </is>
      </c>
      <c r="D321" s="236">
        <f>-D127/D126</f>
        <v>0.118731468351167</v>
      </c>
      <c r="E321" s="236">
        <f>-E127/E126</f>
        <v>0.159236438323064</v>
      </c>
      <c r="F321" s="236">
        <f>-F127/F126</f>
        <v>0.158095665843252</v>
      </c>
      <c r="G321" s="236">
        <f>-G127/G126</f>
        <v>0.185242656107871</v>
      </c>
      <c r="I321" s="222">
        <f>-I127/I126</f>
        <v>0.157543579382606</v>
      </c>
      <c r="J321" s="222">
        <f>-J127/J126</f>
        <v>0.157380031839891</v>
      </c>
      <c r="K321" s="222">
        <f>-K127/K126</f>
        <v>0.1789802289282</v>
      </c>
      <c r="L321" s="222">
        <f>-L127/L126</f>
        <v>0.154085730677813</v>
      </c>
      <c r="N321" s="222">
        <f>-N127/N126</f>
        <v>0.13193197422626</v>
      </c>
      <c r="O321" s="222">
        <f>-O127/O126</f>
        <v>0.158409592931524</v>
      </c>
      <c r="P321" s="222">
        <f>-P127/P126</f>
        <v>0.143103554487772</v>
      </c>
      <c r="Q321" s="222">
        <f>-Q127/Q126</f>
        <v>0.205458680818802</v>
      </c>
      <c r="S321" s="222">
        <f>-S127/S126</f>
        <v>0.17324910738808</v>
      </c>
      <c r="T321" s="222">
        <f>-T127/T126</f>
        <v>0.161393416426973</v>
      </c>
      <c r="U321" s="222">
        <f>-U127/U126</f>
        <v>0.0711421427560504</v>
      </c>
      <c r="V321" s="222">
        <f>-V127/V126</f>
        <v>0.152588890709487</v>
      </c>
      <c r="X321" s="222">
        <f>-X127/X126</f>
        <v>0.164329860497969</v>
      </c>
      <c r="Y321" s="222">
        <f>-Y127/Y126</f>
        <v>0.142717142753439</v>
      </c>
      <c r="Z321" s="222">
        <f>-Z127/Z126</f>
        <v>0.170472465779348</v>
      </c>
      <c r="AA321" s="222">
        <f>-AA127/AA126</f>
        <v>0.176999658840679</v>
      </c>
      <c r="AC321" s="222">
        <f>-AC127/AC126</f>
        <v>0.173466701763622</v>
      </c>
      <c r="AD321" s="222">
        <f>-AD127/AD126</f>
        <v>0.169068458432794</v>
      </c>
      <c r="AE321" s="222">
        <f>-AE127/AE126</f>
        <v>0.204787778207198</v>
      </c>
      <c r="AF321" s="222">
        <f>-AF127/AF126</f>
        <v>0.119180918782115</v>
      </c>
      <c r="AH321" s="222">
        <f>-AH127/AH126</f>
        <v>0.191624037616907</v>
      </c>
      <c r="AI321" s="222">
        <f>-AI127/AI126</f>
        <v>0.19141928462808</v>
      </c>
      <c r="AJ321" s="222">
        <f>-AJ127/AJ126</f>
        <v>0</v>
      </c>
      <c r="AK321" s="222">
        <f>-AK127/AK126</f>
        <v>0</v>
      </c>
      <c r="AM321" s="222">
        <f>-AM127/AM126</f>
        <v>0</v>
      </c>
      <c r="AN321" s="222">
        <f>-AN127/AN126</f>
        <v>0</v>
      </c>
      <c r="AO321" s="222">
        <f>-AO127/AO126</f>
        <v>0</v>
      </c>
      <c r="AP321" s="222">
        <f>-AP127/AP126</f>
        <v>0</v>
      </c>
      <c r="AR321" s="222">
        <f>-AR127/AR126</f>
        <v>0</v>
      </c>
      <c r="AS321" s="222">
        <f>-AS127/AS126</f>
        <v>0</v>
      </c>
      <c r="AT321" s="222">
        <f>-AT127/AT126</f>
        <v>0</v>
      </c>
      <c r="AU321" s="222">
        <f>-AU127/AU126</f>
        <v>0</v>
      </c>
      <c r="AW321" s="222">
        <f>-AW127/AW126</f>
        <v>0</v>
      </c>
      <c r="AX321" s="222">
        <f>-AX127/AX126</f>
        <v>0</v>
      </c>
      <c r="AY321" s="222">
        <f>-AY127/AY126</f>
        <v>0</v>
      </c>
      <c r="AZ321" s="222">
        <f>-AZ127/AZ126</f>
        <v>0</v>
      </c>
      <c r="BB321" s="222">
        <f>-BB127/BB126</f>
        <v>0</v>
      </c>
      <c r="BC321" s="222">
        <f>-BC127/BC126</f>
        <v>0</v>
      </c>
      <c r="BD321" s="222">
        <f>-BD127/BD126</f>
        <v>0</v>
      </c>
      <c r="BE321" s="222">
        <f>-BE127/BE126</f>
        <v>0</v>
      </c>
      <c r="BG321" s="222">
        <f>-BG127/BG126</f>
        <v>0</v>
      </c>
      <c r="BH321" s="222">
        <f>-BH127/BH126</f>
        <v>0</v>
      </c>
      <c r="BI321" s="222">
        <f>-BI127/BI126</f>
        <v>0</v>
      </c>
      <c r="BJ321" s="222">
        <f>-BJ127/BJ126</f>
        <v>0</v>
      </c>
      <c r="BL321" s="222">
        <f>-BL127/BL126</f>
        <v>0</v>
      </c>
      <c r="BM321" s="222">
        <f>-BM127/BM126</f>
        <v>0</v>
      </c>
      <c r="BN321" s="222">
        <f>-BN127/BN126</f>
        <v>0</v>
      </c>
      <c r="BO321" s="222">
        <f>-BO127/BO126</f>
        <v>0</v>
      </c>
      <c r="BQ321" s="222">
        <f>-BQ127/BQ126</f>
        <v>0</v>
      </c>
      <c r="BR321" s="222">
        <f>-BR127/BR126</f>
        <v>0</v>
      </c>
      <c r="BS321" s="222">
        <f>-BS127/BS126</f>
        <v>0</v>
      </c>
      <c r="BT321" s="222">
        <f>-BT127/BT126</f>
        <v>0</v>
      </c>
      <c r="BV321" s="222">
        <f>-BV127/BV126</f>
        <v>0</v>
      </c>
      <c r="BW321" s="222">
        <f>-BW127/BW126</f>
        <v>0</v>
      </c>
      <c r="BX321" s="222">
        <f>-BX127/BX126</f>
        <v>0</v>
      </c>
      <c r="BY321" s="222">
        <f>-BY127/BY126</f>
        <v>0</v>
      </c>
      <c r="CA321" s="222">
        <f>-CA127/CA126</f>
        <v>0</v>
      </c>
      <c r="CB321" s="222">
        <f>-CB127/CB126</f>
        <v>0</v>
      </c>
      <c r="CC321" s="222">
        <f>-CC127/CC126</f>
        <v>0</v>
      </c>
      <c r="CD321" s="222">
        <f>-CD127/CD126</f>
        <v>0</v>
      </c>
      <c r="CF321" s="222">
        <f>-CF127/CF126</f>
        <v>0</v>
      </c>
      <c r="CG321" s="222">
        <f>-CG127/CG126</f>
        <v>0</v>
      </c>
      <c r="CH321" s="222">
        <f>-CH127/CH126</f>
        <v>0</v>
      </c>
      <c r="CI321" s="222">
        <f>-CI127/CI126</f>
        <v>0</v>
      </c>
      <c r="CK321" s="222">
        <f>-CK127/CK126</f>
        <v>0</v>
      </c>
      <c r="CL321" s="222">
        <f>-CL127/CL126</f>
        <v>0</v>
      </c>
      <c r="CM321" s="222">
        <f>-CM127/CM126</f>
        <v>0</v>
      </c>
      <c r="CN321" s="222">
        <f>-CN127/CN126</f>
        <v>0</v>
      </c>
      <c r="CP321" s="222">
        <f>-CP127/CP126</f>
        <v>0</v>
      </c>
      <c r="CQ321" s="222">
        <f>-CQ127/CQ126</f>
        <v>0</v>
      </c>
      <c r="CR321" s="222">
        <f>-CR127/CR126</f>
        <v>0</v>
      </c>
      <c r="CS321" s="222">
        <f>-CS127/CS126</f>
        <v>0</v>
      </c>
      <c r="CU321" s="222">
        <f>-CU127/CU126</f>
        <v>0</v>
      </c>
      <c r="CV321" s="222">
        <f>-CV127/CV126</f>
        <v>0</v>
      </c>
      <c r="CW321" s="222">
        <f>-CW127/CW126</f>
        <v>0</v>
      </c>
      <c r="CX321" s="222">
        <f>-CX127/CX126</f>
        <v>0</v>
      </c>
    </row>
    <row r="322" customFormat="1" s="233">
      <c r="A322" s="224" t="n"/>
      <c r="B322" s="224" t="n"/>
    </row>
    <row r="323" customFormat="1" s="233">
      <c r="A323" s="224" t="n"/>
      <c r="B323" s="224" t="n"/>
      <c r="C323" s="234" t="inlineStr">
        <is>
          <t>CAPITAL STRUCTURE</t>
        </is>
      </c>
    </row>
    <row r="324" customFormat="1" s="233">
      <c r="A324" s="224" t="n"/>
      <c r="B324" s="224" t="n"/>
      <c r="C324" s="233" t="inlineStr">
        <is>
          <t>MARKET DEBT / EQUITY</t>
        </is>
      </c>
    </row>
    <row r="325" customFormat="1" s="233">
      <c r="A325" s="224" t="n"/>
      <c r="B325" s="224" t="n"/>
      <c r="C325" s="233" t="inlineStr">
        <is>
          <t>NET DEBT / (NET DEBT + MARKET CAP)</t>
        </is>
      </c>
    </row>
    <row r="326" customFormat="1" s="233">
      <c r="A326" s="224" t="n"/>
      <c r="B326" s="224" t="n"/>
    </row>
    <row r="327" customFormat="1" s="233">
      <c r="A327" s="224" t="n"/>
      <c r="B327" s="224" t="n"/>
      <c r="C327" s="234" t="inlineStr">
        <is>
          <t>FINANCIAL RISK RATIOS</t>
        </is>
      </c>
    </row>
    <row r="328" customFormat="1" s="233">
      <c r="A328" s="224" t="n"/>
      <c r="B328" s="224" t="n"/>
      <c r="C328" s="233" t="inlineStr">
        <is>
          <t>EBITDA / TOTAL INTEREST</t>
        </is>
      </c>
      <c r="D328" s="219">
        <f>D65/-D70</f>
        <v>527.857142857143</v>
      </c>
      <c r="E328" s="219">
        <f>E65/-E70</f>
        <v>751.461538461539</v>
      </c>
      <c r="F328" s="219">
        <f>F65/-F70</f>
        <v>306.0625</v>
      </c>
      <c r="G328" s="219">
        <f>G65/-G70</f>
        <v>362.075471698113</v>
      </c>
      <c r="I328" s="219">
        <f>I65/-I70</f>
        <v>249.5</v>
      </c>
      <c r="J328" s="219">
        <f>J65/-J70</f>
        <v>290.671052631579</v>
      </c>
      <c r="K328" s="219">
        <f>K65/-K70</f>
        <v>313.194805194805</v>
      </c>
      <c r="L328" s="219">
        <f>L65/-L70</f>
        <v>214.529914529915</v>
      </c>
      <c r="N328" s="219">
        <f>N65/-N70</f>
        <v>285.361445783133</v>
      </c>
      <c r="O328" s="219">
        <f>O65/-O70</f>
        <v>278.927710843374</v>
      </c>
      <c r="P328" s="219">
        <f>P65/-P70</f>
        <v>208.594059405941</v>
      </c>
      <c r="Q328" s="219">
        <f>Q65/-Q70</f>
        <v>246.944444444444</v>
      </c>
      <c r="S328" s="219">
        <f>S65/-S70</f>
        <v>255.9375</v>
      </c>
      <c r="T328" s="219">
        <f>T65/-T70</f>
        <v>584.116279069767</v>
      </c>
      <c r="U328" s="219">
        <f>U65/-U70</f>
        <v>215.637931034483</v>
      </c>
      <c r="V328" s="219">
        <f>V65/-V70</f>
        <v>391.492753623188</v>
      </c>
      <c r="X328" s="219">
        <f>X65/-X70</f>
        <v>307.287234042553</v>
      </c>
      <c r="Y328" s="219">
        <f>Y65/-Y70</f>
        <v>464.671641791045</v>
      </c>
      <c r="Z328" s="219">
        <f>Z65/-Z70</f>
        <v>601.962962962963</v>
      </c>
      <c r="AA328" s="219">
        <f>AA65/-AA70</f>
        <v>663.716981132076</v>
      </c>
      <c r="AC328" s="219">
        <f>AC65/-AC70</f>
        <v>1032.14705882353</v>
      </c>
      <c r="AD328" s="219">
        <f>AD65/-AD70</f>
        <v>138.961685823755</v>
      </c>
      <c r="AE328" s="219">
        <f>AE65/-AE70</f>
        <v>257.615384615385</v>
      </c>
      <c r="AF328" s="219">
        <f>AF65/-AF70</f>
        <v>140.852348993289</v>
      </c>
      <c r="AH328" s="219">
        <f>AH65/-AH70</f>
        <v>86.6378986866792</v>
      </c>
      <c r="AI328" s="219">
        <f>AI65/-AI70</f>
        <v>37.4600938967136</v>
      </c>
      <c r="AJ328" s="219" t="e">
        <f>AJ65/-AJ70</f>
        <v>#DIV/0!</v>
      </c>
      <c r="AK328" s="219" t="e">
        <f>AK65/-AK70</f>
        <v>#DIV/0!</v>
      </c>
      <c r="AM328" s="219" t="e">
        <f>AM65/-AM70</f>
        <v>#DIV/0!</v>
      </c>
      <c r="AN328" s="219" t="e">
        <f>AN65/-AN70</f>
        <v>#DIV/0!</v>
      </c>
      <c r="AO328" s="219" t="e">
        <f>AO65/-AO70</f>
        <v>#DIV/0!</v>
      </c>
      <c r="AP328" s="219" t="e">
        <f>AP65/-AP70</f>
        <v>#DIV/0!</v>
      </c>
      <c r="AR328" s="219" t="e">
        <f>AR65/-AR70</f>
        <v>#DIV/0!</v>
      </c>
      <c r="AS328" s="219" t="e">
        <f>AS65/-AS70</f>
        <v>#DIV/0!</v>
      </c>
      <c r="AT328" s="219" t="e">
        <f>AT65/-AT70</f>
        <v>#DIV/0!</v>
      </c>
      <c r="AU328" s="219" t="e">
        <f>AU65/-AU70</f>
        <v>#DIV/0!</v>
      </c>
      <c r="AW328" s="219" t="e">
        <f>AW65/-AW70</f>
        <v>#DIV/0!</v>
      </c>
      <c r="AX328" s="219" t="e">
        <f>AX65/-AX70</f>
        <v>#DIV/0!</v>
      </c>
      <c r="AY328" s="219" t="e">
        <f>AY65/-AY70</f>
        <v>#DIV/0!</v>
      </c>
      <c r="AZ328" s="219" t="e">
        <f>AZ65/-AZ70</f>
        <v>#DIV/0!</v>
      </c>
      <c r="BB328" s="219" t="e">
        <f>BB65/-BB70</f>
        <v>#DIV/0!</v>
      </c>
      <c r="BC328" s="219" t="e">
        <f>BC65/-BC70</f>
        <v>#DIV/0!</v>
      </c>
      <c r="BD328" s="219" t="e">
        <f>BD65/-BD70</f>
        <v>#DIV/0!</v>
      </c>
      <c r="BE328" s="219" t="e">
        <f>BE65/-BE70</f>
        <v>#DIV/0!</v>
      </c>
      <c r="BG328" s="219" t="e">
        <f>BG65/-BG70</f>
        <v>#DIV/0!</v>
      </c>
      <c r="BH328" s="219" t="e">
        <f>BH65/-BH70</f>
        <v>#DIV/0!</v>
      </c>
      <c r="BI328" s="219" t="e">
        <f>BI65/-BI70</f>
        <v>#DIV/0!</v>
      </c>
      <c r="BJ328" s="219" t="e">
        <f>BJ65/-BJ70</f>
        <v>#DIV/0!</v>
      </c>
      <c r="BL328" s="219" t="e">
        <f>BL65/-BL70</f>
        <v>#DIV/0!</v>
      </c>
      <c r="BM328" s="219" t="e">
        <f>BM65/-BM70</f>
        <v>#DIV/0!</v>
      </c>
      <c r="BN328" s="219" t="e">
        <f>BN65/-BN70</f>
        <v>#DIV/0!</v>
      </c>
      <c r="BO328" s="219" t="e">
        <f>BO65/-BO70</f>
        <v>#DIV/0!</v>
      </c>
      <c r="BQ328" s="219" t="e">
        <f>BQ65/-BQ70</f>
        <v>#DIV/0!</v>
      </c>
      <c r="BR328" s="219" t="e">
        <f>BR65/-BR70</f>
        <v>#DIV/0!</v>
      </c>
      <c r="BS328" s="219" t="e">
        <f>BS65/-BS70</f>
        <v>#DIV/0!</v>
      </c>
      <c r="BT328" s="219" t="e">
        <f>BT65/-BT70</f>
        <v>#DIV/0!</v>
      </c>
      <c r="BV328" s="219" t="e">
        <f>BV65/-BV70</f>
        <v>#DIV/0!</v>
      </c>
      <c r="BW328" s="219" t="e">
        <f>BW65/-BW70</f>
        <v>#DIV/0!</v>
      </c>
      <c r="BX328" s="219" t="e">
        <f>BX65/-BX70</f>
        <v>#DIV/0!</v>
      </c>
      <c r="BY328" s="219" t="e">
        <f>BY65/-BY70</f>
        <v>#DIV/0!</v>
      </c>
      <c r="CA328" s="219" t="e">
        <f>CA65/-CA70</f>
        <v>#DIV/0!</v>
      </c>
      <c r="CB328" s="219" t="e">
        <f>CB65/-CB70</f>
        <v>#DIV/0!</v>
      </c>
      <c r="CC328" s="219" t="e">
        <f>CC65/-CC70</f>
        <v>#DIV/0!</v>
      </c>
      <c r="CD328" s="219" t="e">
        <f>CD65/-CD70</f>
        <v>#DIV/0!</v>
      </c>
      <c r="CF328" s="219" t="e">
        <f>CF65/-CF70</f>
        <v>#DIV/0!</v>
      </c>
      <c r="CG328" s="219" t="e">
        <f>CG65/-CG70</f>
        <v>#DIV/0!</v>
      </c>
      <c r="CH328" s="219" t="e">
        <f>CH65/-CH70</f>
        <v>#DIV/0!</v>
      </c>
      <c r="CI328" s="219" t="e">
        <f>CI65/-CI70</f>
        <v>#DIV/0!</v>
      </c>
      <c r="CK328" s="219" t="e">
        <f>CK65/-CK70</f>
        <v>#DIV/0!</v>
      </c>
      <c r="CL328" s="219" t="e">
        <f>CL65/-CL70</f>
        <v>#DIV/0!</v>
      </c>
      <c r="CM328" s="219" t="e">
        <f>CM65/-CM70</f>
        <v>#DIV/0!</v>
      </c>
      <c r="CN328" s="219" t="e">
        <f>CN65/-CN70</f>
        <v>#DIV/0!</v>
      </c>
      <c r="CP328" s="219" t="e">
        <f>CP65/-CP70</f>
        <v>#DIV/0!</v>
      </c>
      <c r="CQ328" s="219" t="e">
        <f>CQ65/-CQ70</f>
        <v>#DIV/0!</v>
      </c>
      <c r="CR328" s="219" t="e">
        <f>CR65/-CR70</f>
        <v>#DIV/0!</v>
      </c>
      <c r="CS328" s="219" t="e">
        <f>CS65/-CS70</f>
        <v>#DIV/0!</v>
      </c>
      <c r="CU328" s="219" t="e">
        <f>CU65/-CU70</f>
        <v>#DIV/0!</v>
      </c>
      <c r="CV328" s="219" t="e">
        <f>CV65/-CV70</f>
        <v>#DIV/0!</v>
      </c>
      <c r="CW328" s="219" t="e">
        <f>CW65/-CW70</f>
        <v>#DIV/0!</v>
      </c>
      <c r="CX328" s="219" t="e">
        <f>CX65/-CX70</f>
        <v>#DIV/0!</v>
      </c>
    </row>
    <row r="329" customFormat="1" s="233">
      <c r="A329" s="224" t="n"/>
      <c r="B329" s="224" t="n"/>
      <c r="C329" s="233" t="inlineStr">
        <is>
          <t>(EBITDA - CAPEX) / TOTAL INTEREST</t>
        </is>
      </c>
      <c r="D329" s="219">
        <f>(D65-D164)/-D70</f>
        <v>527.857142857143</v>
      </c>
      <c r="E329" s="219">
        <f>(E65-E164)/-E70</f>
        <v>337.076923076923</v>
      </c>
      <c r="F329" s="219">
        <f>(F65-F164)/-F70</f>
        <v>173.4375</v>
      </c>
      <c r="G329" s="219">
        <f>(G65-G164)/-G70</f>
        <v>236.566037735849</v>
      </c>
      <c r="I329" s="219">
        <f>(I65-I164)/-I70</f>
        <v>178.684210526316</v>
      </c>
      <c r="J329" s="219">
        <f>(J65-J164)/-J70</f>
        <v>200.921052631579</v>
      </c>
      <c r="K329" s="219">
        <f>(K65-K164)/-K70</f>
        <v>235.025974025974</v>
      </c>
      <c r="L329" s="219">
        <f>(L65-L164)/-L70</f>
        <v>161.683760683761</v>
      </c>
      <c r="N329" s="219">
        <f>(N65-N164)/-N70</f>
        <v>162.349397590361</v>
      </c>
      <c r="O329" s="219">
        <f>(O65-O164)/-O70</f>
        <v>210.21686746988</v>
      </c>
      <c r="P329" s="219">
        <f>(P65-P164)/-P70</f>
        <v>148.465346534653</v>
      </c>
      <c r="Q329" s="219">
        <f>(Q65-Q164)/-Q70</f>
        <v>153.944444444444</v>
      </c>
      <c r="S329" s="219">
        <f>(S65-S164)/-S70</f>
        <v>156.5375</v>
      </c>
      <c r="T329" s="219">
        <f>(T65-T164)/-T70</f>
        <v>423.023255813954</v>
      </c>
      <c r="U329" s="219">
        <f>(U65-U164)/-U70</f>
        <v>145.224137931034</v>
      </c>
      <c r="V329" s="219">
        <f>(V65-V164)/-V70</f>
        <v>218.217391304348</v>
      </c>
      <c r="X329" s="219">
        <f>(X65-X164)/-X70</f>
        <v>176.968085106383</v>
      </c>
      <c r="Y329" s="219">
        <f>(Y65-Y164)/-Y70</f>
        <v>290.328358208955</v>
      </c>
      <c r="Z329" s="219">
        <f>(Z65-Z164)/-Z70</f>
        <v>340.851851851852</v>
      </c>
      <c r="AA329" s="219">
        <f>(AA65-AA164)/-AA70</f>
        <v>400.11320754717</v>
      </c>
      <c r="AC329" s="219">
        <f>(AC65-AC164)/-AC70</f>
        <v>487.647058823529</v>
      </c>
      <c r="AD329" s="219">
        <f>(AD65-AD164)/-AD70</f>
        <v>50.1992337164751</v>
      </c>
      <c r="AE329" s="219">
        <f>(AE65-AE164)/-AE70</f>
        <v>74.6293706293706</v>
      </c>
      <c r="AF329" s="219">
        <f>(AF65-AF164)/-AF70</f>
        <v>44.0402684563758</v>
      </c>
      <c r="AH329" s="219">
        <f>(AH65-AH164)/-AH70</f>
        <v>9.89305816135084</v>
      </c>
      <c r="AI329" s="219">
        <f>(AI65-AI164)/-AI70</f>
        <v>0.45226917057903</v>
      </c>
      <c r="AJ329" s="219" t="e">
        <f>(AJ65-AJ164)/-AJ70</f>
        <v>#DIV/0!</v>
      </c>
      <c r="AK329" s="219" t="e">
        <f>(AK65-AK164)/-AK70</f>
        <v>#DIV/0!</v>
      </c>
      <c r="AM329" s="219" t="e">
        <f>(AM65-AM164)/-AM70</f>
        <v>#DIV/0!</v>
      </c>
      <c r="AN329" s="219" t="e">
        <f>(AN65-AN164)/-AN70</f>
        <v>#DIV/0!</v>
      </c>
      <c r="AO329" s="219" t="e">
        <f>(AO65-AO164)/-AO70</f>
        <v>#DIV/0!</v>
      </c>
      <c r="AP329" s="219" t="e">
        <f>(AP65-AP164)/-AP70</f>
        <v>#DIV/0!</v>
      </c>
      <c r="AR329" s="219" t="e">
        <f>(AR65-AR164)/-AR70</f>
        <v>#DIV/0!</v>
      </c>
      <c r="AS329" s="219" t="e">
        <f>(AS65-AS164)/-AS70</f>
        <v>#DIV/0!</v>
      </c>
      <c r="AT329" s="219" t="e">
        <f>(AT65-AT164)/-AT70</f>
        <v>#DIV/0!</v>
      </c>
      <c r="AU329" s="219" t="e">
        <f>(AU65-AU164)/-AU70</f>
        <v>#DIV/0!</v>
      </c>
      <c r="AW329" s="219" t="e">
        <f>(AW65-AW164)/-AW70</f>
        <v>#DIV/0!</v>
      </c>
      <c r="AX329" s="219" t="e">
        <f>(AX65-AX164)/-AX70</f>
        <v>#DIV/0!</v>
      </c>
      <c r="AY329" s="219" t="e">
        <f>(AY65-AY164)/-AY70</f>
        <v>#DIV/0!</v>
      </c>
      <c r="AZ329" s="219" t="e">
        <f>(AZ65-AZ164)/-AZ70</f>
        <v>#DIV/0!</v>
      </c>
      <c r="BB329" s="219" t="e">
        <f>(BB65-BB164)/-BB70</f>
        <v>#DIV/0!</v>
      </c>
      <c r="BC329" s="219" t="e">
        <f>(BC65-BC164)/-BC70</f>
        <v>#DIV/0!</v>
      </c>
      <c r="BD329" s="219" t="e">
        <f>(BD65-BD164)/-BD70</f>
        <v>#DIV/0!</v>
      </c>
      <c r="BE329" s="219" t="e">
        <f>(BE65-BE164)/-BE70</f>
        <v>#DIV/0!</v>
      </c>
      <c r="BG329" s="219" t="e">
        <f>(BG65-BG164)/-BG70</f>
        <v>#DIV/0!</v>
      </c>
      <c r="BH329" s="219" t="e">
        <f>(BH65-BH164)/-BH70</f>
        <v>#DIV/0!</v>
      </c>
      <c r="BI329" s="219" t="e">
        <f>(BI65-BI164)/-BI70</f>
        <v>#DIV/0!</v>
      </c>
      <c r="BJ329" s="219" t="e">
        <f>(BJ65-BJ164)/-BJ70</f>
        <v>#DIV/0!</v>
      </c>
      <c r="BL329" s="219" t="e">
        <f>(BL65-BL164)/-BL70</f>
        <v>#DIV/0!</v>
      </c>
      <c r="BM329" s="219" t="e">
        <f>(BM65-BM164)/-BM70</f>
        <v>#DIV/0!</v>
      </c>
      <c r="BN329" s="219" t="e">
        <f>(BN65-BN164)/-BN70</f>
        <v>#DIV/0!</v>
      </c>
      <c r="BO329" s="219" t="e">
        <f>(BO65-BO164)/-BO70</f>
        <v>#DIV/0!</v>
      </c>
      <c r="BQ329" s="219" t="e">
        <f>(BQ65-BQ164)/-BQ70</f>
        <v>#DIV/0!</v>
      </c>
      <c r="BR329" s="219" t="e">
        <f>(BR65-BR164)/-BR70</f>
        <v>#DIV/0!</v>
      </c>
      <c r="BS329" s="219" t="e">
        <f>(BS65-BS164)/-BS70</f>
        <v>#DIV/0!</v>
      </c>
      <c r="BT329" s="219" t="e">
        <f>(BT65-BT164)/-BT70</f>
        <v>#DIV/0!</v>
      </c>
      <c r="BV329" s="219" t="e">
        <f>(BV65-BV164)/-BV70</f>
        <v>#DIV/0!</v>
      </c>
      <c r="BW329" s="219" t="e">
        <f>(BW65-BW164)/-BW70</f>
        <v>#DIV/0!</v>
      </c>
      <c r="BX329" s="219" t="e">
        <f>(BX65-BX164)/-BX70</f>
        <v>#DIV/0!</v>
      </c>
      <c r="BY329" s="219" t="e">
        <f>(BY65-BY164)/-BY70</f>
        <v>#DIV/0!</v>
      </c>
      <c r="CA329" s="219" t="e">
        <f>(CA65-CA164)/-CA70</f>
        <v>#DIV/0!</v>
      </c>
      <c r="CB329" s="219" t="e">
        <f>(CB65-CB164)/-CB70</f>
        <v>#DIV/0!</v>
      </c>
      <c r="CC329" s="219" t="e">
        <f>(CC65-CC164)/-CC70</f>
        <v>#DIV/0!</v>
      </c>
      <c r="CD329" s="219" t="e">
        <f>(CD65-CD164)/-CD70</f>
        <v>#DIV/0!</v>
      </c>
      <c r="CF329" s="219" t="e">
        <f>(CF65-CF164)/-CF70</f>
        <v>#DIV/0!</v>
      </c>
      <c r="CG329" s="219" t="e">
        <f>(CG65-CG164)/-CG70</f>
        <v>#DIV/0!</v>
      </c>
      <c r="CH329" s="219" t="e">
        <f>(CH65-CH164)/-CH70</f>
        <v>#DIV/0!</v>
      </c>
      <c r="CI329" s="219" t="e">
        <f>(CI65-CI164)/-CI70</f>
        <v>#DIV/0!</v>
      </c>
      <c r="CK329" s="219" t="e">
        <f>(CK65-CK164)/-CK70</f>
        <v>#DIV/0!</v>
      </c>
      <c r="CL329" s="219" t="e">
        <f>(CL65-CL164)/-CL70</f>
        <v>#DIV/0!</v>
      </c>
      <c r="CM329" s="219" t="e">
        <f>(CM65-CM164)/-CM70</f>
        <v>#DIV/0!</v>
      </c>
      <c r="CN329" s="219" t="e">
        <f>(CN65-CN164)/-CN70</f>
        <v>#DIV/0!</v>
      </c>
      <c r="CP329" s="219" t="e">
        <f>(CP65-CP164)/-CP70</f>
        <v>#DIV/0!</v>
      </c>
      <c r="CQ329" s="219" t="e">
        <f>(CQ65-CQ164)/-CQ70</f>
        <v>#DIV/0!</v>
      </c>
      <c r="CR329" s="219" t="e">
        <f>(CR65-CR164)/-CR70</f>
        <v>#DIV/0!</v>
      </c>
      <c r="CS329" s="219" t="e">
        <f>(CS65-CS164)/-CS70</f>
        <v>#DIV/0!</v>
      </c>
      <c r="CU329" s="219" t="e">
        <f>(CU65-CU164)/-CU70</f>
        <v>#DIV/0!</v>
      </c>
      <c r="CV329" s="219" t="e">
        <f>(CV65-CV164)/-CV70</f>
        <v>#DIV/0!</v>
      </c>
      <c r="CW329" s="219" t="e">
        <f>(CW65-CW164)/-CW70</f>
        <v>#DIV/0!</v>
      </c>
      <c r="CX329" s="219" t="e">
        <f>(CX65-CX164)/-CX70</f>
        <v>#DIV/0!</v>
      </c>
    </row>
    <row r="330" customFormat="1" s="233">
      <c r="A330" s="224" t="n"/>
      <c r="B330" s="224" t="n"/>
      <c r="C330" s="233" t="inlineStr">
        <is>
          <t>TOTAL DEBT / EBITDA LTM</t>
        </is>
      </c>
      <c r="D330" s="219" t="str">
        <f>""</f>
        <v/>
      </c>
      <c r="E330" s="219" t="str">
        <f>""</f>
        <v/>
      </c>
      <c r="F330" s="219" t="str">
        <f>""</f>
        <v/>
      </c>
      <c r="G330" s="219">
        <f>IFERROR(SUM(G208,G209,G210,G213,G231,G234)/(G65+F65+E65+D65),"")</f>
        <v>0.458171188453458</v>
      </c>
      <c r="I330" s="219">
        <f>IFERROR(SUM(I208,I209,I210,I213,I231,I234)/(I65+G65+F65+E65),"")</f>
        <v>0.40358078323644</v>
      </c>
      <c r="J330" s="219">
        <f>IFERROR(SUM(J208,J209,J210,J213,J231,J234)/(J65+I65+G65+F65),"")</f>
        <v>0.346264712947394</v>
      </c>
      <c r="K330" s="219">
        <f>IFERROR(SUM(K208,K209,K210,K213,K231,K234)/(K65+J65+I65+G65),"")</f>
        <v>0.30534975521284</v>
      </c>
      <c r="L330" s="219">
        <f>IFERROR(SUM(L208,L209,L210,L213,L231,L234)/(L65+K65+J65+I65),"")</f>
        <v>0.290310073225581</v>
      </c>
      <c r="N330" s="219">
        <f>IFERROR(SUM(N208,N209,N210,N213,N231,N234)/(N65+L65+K65+J65),"")</f>
        <v>0.27532844871147</v>
      </c>
      <c r="O330" s="219">
        <f>IFERROR(SUM(O208,O209,O210,O213,O231,O234)/(O65+N65+L65+K65),"")</f>
        <v>0.275173864156915</v>
      </c>
      <c r="P330" s="219">
        <f>IFERROR(SUM(P208,P209,P210,P213,P231,P234)/(P65+O65+N65+L65),"")</f>
        <v>0.286407036256505</v>
      </c>
      <c r="Q330" s="219">
        <f>IFERROR(SUM(Q208,Q209,Q210,Q213,Q231,Q234)/(Q65+P65+O65+N65),"")</f>
        <v>0.301811847463081</v>
      </c>
      <c r="S330" s="219">
        <f>IFERROR(SUM(S208,S209,S210,S213,S231,S234)/(S65+Q65+P65+O65),"")</f>
        <v>0.304835536534014</v>
      </c>
      <c r="T330" s="219">
        <f>IFERROR(SUM(T208,T209,T210,T213,T231,T234)/(T65+S65+Q65+P65),"")</f>
        <v>0.297586769421162</v>
      </c>
      <c r="U330" s="219">
        <f>IFERROR(SUM(U208,U209,U210,U213,U231,U234)/(U65+T65+S65+Q65),"")</f>
        <v>0.283644472212946</v>
      </c>
      <c r="V330" s="219">
        <f>IFERROR(SUM(V208,V209,V210,V213,V231,V234)/(V65+U65+T65+S65),"")</f>
        <v>0.263401591903216</v>
      </c>
      <c r="X330" s="219">
        <f>IFERROR(SUM(X208,X209,X210,X213,X231,X234)/(X65+V65+U65+T65),"")</f>
        <v>0.237529355176414</v>
      </c>
      <c r="Y330" s="219">
        <f>IFERROR(SUM(Y208,Y209,Y210,Y213,Y231,Y234)/(Y65+X65+V65+U65),"")</f>
        <v>0.222642688205632</v>
      </c>
      <c r="Z330" s="219">
        <f>IFERROR(SUM(Z208,Z209,Z210,Z213,Z231,Z234)/(Z65+Y65+X65+V65),"")</f>
        <v>0.200364740624242</v>
      </c>
      <c r="AA330" s="219">
        <f>IFERROR(SUM(AA208,AA209,AA210,AA213,AA231,AA234)/(AA65+Z65+Y65+X65),"")</f>
        <v>0.176772304054001</v>
      </c>
      <c r="AC330" s="219">
        <f>IFERROR(SUM(AC208,AC209,AC210,AC213,AC231,AC234)/(AC65+AA65+Z65+Y65),"")</f>
        <v>0.168502490497278</v>
      </c>
      <c r="AD330" s="219">
        <f>IFERROR(SUM(AD208,AD209,AD210,AD213,AD231,AD234)/(AD65+AC65+AA65+Z65),"")</f>
        <v>0.255737351217232</v>
      </c>
      <c r="AE330" s="219">
        <f>IFERROR(SUM(AE208,AE209,AE210,AE213,AE231,AE234)/(AE65+AD65+AC65+AA65),"")</f>
        <v>0.23513370252061</v>
      </c>
      <c r="AF330" s="219">
        <f>IFERROR(SUM(AF208,AF209,AF210,AF213,AF231,AF234)/(AF65+AE65+AD65+AC65),"")</f>
        <v>0.394812718495089</v>
      </c>
      <c r="AH330" s="219">
        <f>IFERROR(SUM(AH208,AH209,AH210,AH213,AH231,AH234)/(AH65+AF65+AE65+AD65),"")</f>
        <v>0.561106287982141</v>
      </c>
      <c r="AI330" s="219">
        <f>IFERROR(SUM(AI208,AI209,AI210,AI213,AI231,AI234)/(AI65+AH65+AF65+AE65),"")</f>
        <v>0.652277789026119</v>
      </c>
      <c r="AJ330" s="219">
        <f>IFERROR(SUM(AJ208,AJ209,AJ210,AJ213,AJ231,AJ234)/(AJ65+AI65+AH65+AF65),"")</f>
        <v>0.82892976342758</v>
      </c>
      <c r="AK330" s="219">
        <f>IFERROR(SUM(AK208,AK209,AK210,AK213,AK231,AK234)/(AK65+AJ65+AI65+AH65),"")</f>
        <v>1.19886871092587</v>
      </c>
      <c r="AM330" s="219">
        <f>IFERROR(SUM(AM208,AM209,AM210,AM213,AM231,AM234)/(AM65+AK65+AJ65+AI65),"")</f>
        <v>2.35526590633747</v>
      </c>
      <c r="AN330" s="219" t="str">
        <f>IFERROR(SUM(AN208,AN209,AN210,AN213,AN231,AN234)/(AN65+AM65+AK65+AJ65),"")</f>
        <v/>
      </c>
      <c r="AO330" s="219" t="str">
        <f>IFERROR(SUM(AO208,AO209,AO210,AO213,AO231,AO234)/(AO65+AN65+AM65+AK65),"")</f>
        <v/>
      </c>
      <c r="AP330" s="219" t="str">
        <f>IFERROR(SUM(AP208,AP209,AP210,AP213,AP231,AP234)/(AP65+AO65+AN65+AM65),"")</f>
        <v/>
      </c>
      <c r="AR330" s="219" t="str">
        <f>IFERROR(SUM(AR208,AR209,AR210,AR213,AR231,AR234)/(AR65+AP65+AO65+AN65),"")</f>
        <v/>
      </c>
      <c r="AS330" s="219" t="str">
        <f>IFERROR(SUM(AS208,AS209,AS210,AS213,AS231,AS234)/(AS65+AR65+AP65+AO65),"")</f>
        <v/>
      </c>
      <c r="AT330" s="219" t="str">
        <f>IFERROR(SUM(AT208,AT209,AT210,AT213,AT231,AT234)/(AT65+AS65+AR65+AP65),"")</f>
        <v/>
      </c>
      <c r="AU330" s="219" t="str">
        <f>IFERROR(SUM(AU208,AU209,AU210,AU213,AU231,AU234)/(AU65+AT65+AS65+AR65),"")</f>
        <v/>
      </c>
      <c r="AW330" s="219" t="str">
        <f>IFERROR(SUM(AW208,AW209,AW210,AW213,AW231,AW234)/(AW65+AU65+AT65+AS65),"")</f>
        <v/>
      </c>
      <c r="AX330" s="219" t="str">
        <f>IFERROR(SUM(AX208,AX209,AX210,AX213,AX231,AX234)/(AX65+AW65+AU65+AT65),"")</f>
        <v/>
      </c>
      <c r="AY330" s="219" t="str">
        <f>IFERROR(SUM(AY208,AY209,AY210,AY213,AY231,AY234)/(AY65+AX65+AW65+AU65),"")</f>
        <v/>
      </c>
      <c r="AZ330" s="219" t="str">
        <f>IFERROR(SUM(AZ208,AZ209,AZ210,AZ213,AZ231,AZ234)/(AZ65+AY65+AX65+AW65),"")</f>
        <v/>
      </c>
      <c r="BB330" s="219" t="str">
        <f>IFERROR(SUM(BB208,BB209,BB210,BB213,BB231,BB234)/(BB65+AZ65+AY65+AX65),"")</f>
        <v/>
      </c>
      <c r="BC330" s="219" t="str">
        <f>IFERROR(SUM(BC208,BC209,BC210,BC213,BC231,BC234)/(BC65+BB65+AZ65+AY65),"")</f>
        <v/>
      </c>
      <c r="BD330" s="219" t="str">
        <f>IFERROR(SUM(BD208,BD209,BD210,BD213,BD231,BD234)/(BD65+BC65+BB65+AZ65),"")</f>
        <v/>
      </c>
      <c r="BE330" s="219" t="str">
        <f>IFERROR(SUM(BE208,BE209,BE210,BE213,BE231,BE234)/(BE65+BD65+BC65+BB65),"")</f>
        <v/>
      </c>
      <c r="BG330" s="219" t="str">
        <f>IFERROR(SUM(BG208,BG209,BG210,BG213,BG231,BG234)/(BG65+BE65+BD65+BC65),"")</f>
        <v/>
      </c>
      <c r="BH330" s="219" t="str">
        <f>IFERROR(SUM(BH208,BH209,BH210,BH213,BH231,BH234)/(BH65+BG65+BE65+BD65),"")</f>
        <v/>
      </c>
      <c r="BI330" s="219" t="str">
        <f>IFERROR(SUM(BI208,BI209,BI210,BI213,BI231,BI234)/(BI65+BH65+BG65+BE65),"")</f>
        <v/>
      </c>
      <c r="BJ330" s="219" t="str">
        <f>IFERROR(SUM(BJ208,BJ209,BJ210,BJ213,BJ231,BJ234)/(BJ65+BI65+BH65+BG65),"")</f>
        <v/>
      </c>
      <c r="BL330" s="219" t="str">
        <f>IFERROR(SUM(BL208,BL209,BL210,BL213,BL231,BL234)/(BL65+BJ65+BI65+BH65),"")</f>
        <v/>
      </c>
      <c r="BM330" s="219" t="str">
        <f>IFERROR(SUM(BM208,BM209,BM210,BM213,BM231,BM234)/(BM65+BL65+BJ65+BI65),"")</f>
        <v/>
      </c>
      <c r="BN330" s="219" t="str">
        <f>IFERROR(SUM(BN208,BN209,BN210,BN213,BN231,BN234)/(BN65+BM65+BL65+BJ65),"")</f>
        <v/>
      </c>
      <c r="BO330" s="219" t="str">
        <f>IFERROR(SUM(BO208,BO209,BO210,BO213,BO231,BO234)/(BO65+BN65+BM65+BL65),"")</f>
        <v/>
      </c>
      <c r="BQ330" s="219" t="str">
        <f>IFERROR(SUM(BQ208,BQ209,BQ210,BQ213,BQ231,BQ234)/(BQ65+BO65+BN65+BM65),"")</f>
        <v/>
      </c>
      <c r="BR330" s="219" t="str">
        <f>IFERROR(SUM(BR208,BR209,BR210,BR213,BR231,BR234)/(BR65+BQ65+BO65+BN65),"")</f>
        <v/>
      </c>
      <c r="BS330" s="219" t="str">
        <f>IFERROR(SUM(BS208,BS209,BS210,BS213,BS231,BS234)/(BS65+BR65+BQ65+BO65),"")</f>
        <v/>
      </c>
      <c r="BT330" s="219" t="str">
        <f>IFERROR(SUM(BT208,BT209,BT210,BT213,BT231,BT234)/(BT65+BS65+BR65+BQ65),"")</f>
        <v/>
      </c>
      <c r="BV330" s="219" t="str">
        <f>IFERROR(SUM(BV208,BV209,BV210,BV213,BV231,BV234)/(BV65+BT65+BS65+BR65),"")</f>
        <v/>
      </c>
      <c r="BW330" s="219" t="str">
        <f>IFERROR(SUM(BW208,BW209,BW210,BW213,BW231,BW234)/(BW65+BV65+BT65+BS65),"")</f>
        <v/>
      </c>
      <c r="BX330" s="219" t="str">
        <f>IFERROR(SUM(BX208,BX209,BX210,BX213,BX231,BX234)/(BX65+BW65+BV65+BT65),"")</f>
        <v/>
      </c>
      <c r="BY330" s="219" t="str">
        <f>IFERROR(SUM(BY208,BY209,BY210,BY213,BY231,BY234)/(BY65+BX65+BW65+BV65),"")</f>
        <v/>
      </c>
      <c r="CA330" s="219" t="str">
        <f>IFERROR(SUM(CA208,CA209,CA210,CA213,CA231,CA234)/(CA65+BY65+BX65+BW65),"")</f>
        <v/>
      </c>
      <c r="CB330" s="219" t="str">
        <f>IFERROR(SUM(CB208,CB209,CB210,CB213,CB231,CB234)/(CB65+CA65+BY65+BX65),"")</f>
        <v/>
      </c>
      <c r="CC330" s="219" t="str">
        <f>IFERROR(SUM(CC208,CC209,CC210,CC213,CC231,CC234)/(CC65+CB65+CA65+BY65),"")</f>
        <v/>
      </c>
      <c r="CD330" s="219" t="str">
        <f>IFERROR(SUM(CD208,CD209,CD210,CD213,CD231,CD234)/(CD65+CC65+CB65+CA65),"")</f>
        <v/>
      </c>
      <c r="CF330" s="219" t="str">
        <f>IFERROR(SUM(CF208,CF209,CF210,CF213,CF231,CF234)/(CF65+CD65+CC65+CB65),"")</f>
        <v/>
      </c>
      <c r="CG330" s="219" t="str">
        <f>IFERROR(SUM(CG208,CG209,CG210,CG213,CG231,CG234)/(CG65+CF65+CD65+CC65),"")</f>
        <v/>
      </c>
      <c r="CH330" s="219" t="str">
        <f>IFERROR(SUM(CH208,CH209,CH210,CH213,CH231,CH234)/(CH65+CG65+CF65+CD65),"")</f>
        <v/>
      </c>
      <c r="CI330" s="219" t="str">
        <f>IFERROR(SUM(CI208,CI209,CI210,CI213,CI231,CI234)/(CI65+CH65+CG65+CF65),"")</f>
        <v/>
      </c>
      <c r="CK330" s="219" t="str">
        <f>IFERROR(SUM(CK208,CK209,CK210,CK213,CK231,CK234)/(CK65+CI65+CH65+CG65),"")</f>
        <v/>
      </c>
      <c r="CL330" s="219" t="str">
        <f>IFERROR(SUM(CL208,CL209,CL210,CL213,CL231,CL234)/(CL65+CK65+CI65+CH65),"")</f>
        <v/>
      </c>
      <c r="CM330" s="219" t="str">
        <f>IFERROR(SUM(CM208,CM209,CM210,CM213,CM231,CM234)/(CM65+CL65+CK65+CI65),"")</f>
        <v/>
      </c>
      <c r="CN330" s="219" t="str">
        <f>IFERROR(SUM(CN208,CN209,CN210,CN213,CN231,CN234)/(CN65+CM65+CL65+CK65),"")</f>
        <v/>
      </c>
      <c r="CP330" s="219" t="str">
        <f>IFERROR(SUM(CP208,CP209,CP210,CP213,CP231,CP234)/(CP65+CN65+CM65+CL65),"")</f>
        <v/>
      </c>
      <c r="CQ330" s="219" t="str">
        <f>IFERROR(SUM(CQ208,CQ209,CQ210,CQ213,CQ231,CQ234)/(CQ65+CP65+CN65+CM65),"")</f>
        <v/>
      </c>
      <c r="CR330" s="219" t="str">
        <f>IFERROR(SUM(CR208,CR209,CR210,CR213,CR231,CR234)/(CR65+CQ65+CP65+CN65),"")</f>
        <v/>
      </c>
      <c r="CS330" s="219" t="str">
        <f>IFERROR(SUM(CS208,CS209,CS210,CS213,CS231,CS234)/(CS65+CR65+CQ65+CP65),"")</f>
        <v/>
      </c>
      <c r="CU330" s="219" t="str">
        <f>IFERROR(SUM(CU208,CU209,CU210,CU213,CU231,CU234)/(CU65+CS65+CR65+CQ65),"")</f>
        <v/>
      </c>
      <c r="CV330" s="219" t="str">
        <f>IFERROR(SUM(CV208,CV209,CV210,CV213,CV231,CV234)/(CV65+CU65+CS65+CR65),"")</f>
        <v/>
      </c>
      <c r="CW330" s="219" t="str">
        <f>IFERROR(SUM(CW208,CW209,CW210,CW213,CW231,CW234)/(CW65+CV65+CU65+CS65),"")</f>
        <v/>
      </c>
      <c r="CX330" s="219" t="str">
        <f>IFERROR(SUM(CX208,CX209,CX210,CX213,CX231,CX234)/(CX65+CW65+CV65+CU65),"")</f>
        <v/>
      </c>
    </row>
    <row r="331" customFormat="1" s="233">
      <c r="A331" s="224" t="n"/>
      <c r="B331" s="224" t="n"/>
      <c r="C331" s="233" t="inlineStr">
        <is>
          <t>TOTAL DEBT / TOTAL CAPITALIZATION</t>
        </is>
      </c>
      <c r="D331" s="221">
        <f>SUM(D208+D209+D210+D213+D231+D234)/(SUM(D208+D209+D210+D213+D231+D234)+D267)</f>
        <v>0.0706909847548038</v>
      </c>
      <c r="E331" s="221">
        <f>SUM(E208+E209+E210+E213+E231+E234)/(SUM(E208+E209+E210+E213+E231+E234)+E267)</f>
        <v>0.0663231989335687</v>
      </c>
      <c r="F331" s="221">
        <f>SUM(F208+F209+F210+F213+F231+F234)/(SUM(F208+F209+F210+F213+F231+F234)+F267)</f>
        <v>0.104648326787381</v>
      </c>
      <c r="G331" s="221">
        <f>SUM(G208+G209+G210+G213+G231+G234)/(SUM(G208+G209+G210+G213+G231+G234)+G267)</f>
        <v>0.101275330947977</v>
      </c>
      <c r="I331" s="221">
        <f>SUM(I208+I209+I210+I213+I231+I234)/(SUM(I208+I209+I210+I213+I231+I234)+I267)</f>
        <v>0.0989846522669048</v>
      </c>
      <c r="J331" s="221">
        <f>SUM(J208+J209+J210+J213+J231+J234)/(SUM(J208+J209+J210+J213+J231+J234)+J267)</f>
        <v>0.0984661040104436</v>
      </c>
      <c r="K331" s="221">
        <f>SUM(K208+K209+K210+K213+K231+K234)/(SUM(K208+K209+K210+K213+K231+K234)+K267)</f>
        <v>0.0952886514800648</v>
      </c>
      <c r="L331" s="221">
        <f>SUM(L208+L209+L210+L213+L231+L234)/(SUM(L208+L209+L210+L213+L231+L234)+L267)</f>
        <v>0.0943201327377889</v>
      </c>
      <c r="N331" s="221">
        <f>SUM(N208+N209+N210+N213+N231+N234)/(SUM(N208+N209+N210+N213+N231+N234)+N267)</f>
        <v>0.0933544642665924</v>
      </c>
      <c r="O331" s="221">
        <f>SUM(O208+O209+O210+O213+O231+O234)/(SUM(O208+O209+O210+O213+O231+O234)+O267)</f>
        <v>0.0937768316480397</v>
      </c>
      <c r="P331" s="221">
        <f>SUM(P208+P209+P210+P213+P231+P234)/(SUM(P208+P209+P210+P213+P231+P234)+P267)</f>
        <v>0.0950428704466876</v>
      </c>
      <c r="Q331" s="221">
        <f>SUM(Q208+Q209+Q210+Q213+Q231+Q234)/(SUM(Q208+Q209+Q210+Q213+Q231+Q234)+Q267)</f>
        <v>0.0960027669351253</v>
      </c>
      <c r="S331" s="221">
        <f>SUM(S208+S209+S210+S213+S231+S234)/(SUM(S208+S209+S210+S213+S231+S234)+S267)</f>
        <v>0.0921952747138035</v>
      </c>
      <c r="T331" s="221">
        <f>SUM(T208+T209+T210+T213+T231+T234)/(SUM(T208+T209+T210+T213+T231+T234)+T267)</f>
        <v>0.0900944167416006</v>
      </c>
      <c r="U331" s="221">
        <f>SUM(U208+U209+U210+U213+U231+U234)/(SUM(U208+U209+U210+U213+U231+U234)+U267)</f>
        <v>0.0879068416501688</v>
      </c>
      <c r="V331" s="221">
        <f>SUM(V208+V209+V210+V213+V231+V234)/(SUM(V208+V209+V210+V213+V231+V234)+V267)</f>
        <v>0.0831888240394446</v>
      </c>
      <c r="X331" s="221">
        <f>SUM(X208+X209+X210+X213+X231+X234)/(SUM(X208+X209+X210+X213+X231+X234)+X267)</f>
        <v>0.0791908913966965</v>
      </c>
      <c r="Y331" s="221">
        <f>SUM(Y208+Y209+Y210+Y213+Y231+Y234)/(SUM(Y208+Y209+Y210+Y213+Y231+Y234)+Y267)</f>
        <v>0.0765921909493121</v>
      </c>
      <c r="Z331" s="221">
        <f>SUM(Z208+Z209+Z210+Z213+Z231+Z234)/(SUM(Z208+Z209+Z210+Z213+Z231+Z234)+Z267)</f>
        <v>0.0708462744402047</v>
      </c>
      <c r="AA331" s="221">
        <f>SUM(AA208+AA209+AA210+AA213+AA231+AA234)/(SUM(AA208+AA209+AA210+AA213+AA231+AA234)+AA267)</f>
        <v>0.0649316282093322</v>
      </c>
      <c r="AC331" s="221">
        <f>SUM(AC208+AC209+AC210+AC213+AC231+AC234)/(SUM(AC208+AC209+AC210+AC213+AC231+AC234)+AC267)</f>
        <v>0.0613433886757777</v>
      </c>
      <c r="AD331" s="221">
        <f>SUM(AD208+AD209+AD210+AD213+AD231+AD234)/(SUM(AD208+AD209+AD210+AD213+AD231+AD234)+AD267)</f>
        <v>0.0892377188029362</v>
      </c>
      <c r="AE331" s="221">
        <f>SUM(AE208+AE209+AE210+AE213+AE231+AE234)/(SUM(AE208+AE209+AE210+AE213+AE231+AE234)+AE267)</f>
        <v>0.080158352750963</v>
      </c>
      <c r="AF331" s="221">
        <f>SUM(AF208+AF209+AF210+AF213+AF231+AF234)/(SUM(AF208+AF209+AF210+AF213+AF231+AF234)+AF267)</f>
        <v>0.124939943863316</v>
      </c>
      <c r="AH331" s="221">
        <f>SUM(AH208+AH209+AH210+AH213+AH231+AH234)/(SUM(AH208+AH209+AH210+AH213+AH231+AH234)+AH267)</f>
        <v>0.158958593187288</v>
      </c>
      <c r="AI331" s="221">
        <f>SUM(AI208+AI209+AI210+AI213+AI231+AI234)/(SUM(AI208+AI209+AI210+AI213+AI231+AI234)+AI267)</f>
        <v>0.149695447376387</v>
      </c>
      <c r="AJ331" s="221">
        <f>SUM(AJ208+AJ209+AJ210+AJ213+AJ231+AJ234)/(SUM(AJ208+AJ209+AJ210+AJ213+AJ231+AJ234)+AJ267)</f>
        <v>0.142461322703526</v>
      </c>
      <c r="AK331" s="221">
        <f>SUM(AK208+AK209+AK210+AK213+AK231+AK234)/(SUM(AK208+AK209+AK210+AK213+AK231+AK234)+AK267)</f>
        <v>0.126586030136537</v>
      </c>
      <c r="AM331" s="221">
        <f>SUM(AM208+AM209+AM210+AM213+AM231+AM234)/(SUM(AM208+AM209+AM210+AM213+AM231+AM234)+AM267)</f>
        <v>0.113894144182819</v>
      </c>
      <c r="AN331" s="221">
        <f>SUM(AN208+AN209+AN210+AN213+AN231+AN234)/(SUM(AN208+AN209+AN210+AN213+AN231+AN234)+AN267)</f>
        <v>0.0891332754162559</v>
      </c>
      <c r="AO331" s="221">
        <f>SUM(AO208+AO209+AO210+AO213+AO231+AO234)/(SUM(AO208+AO209+AO210+AO213+AO231+AO234)+AO267)</f>
        <v>0.0826482384950978</v>
      </c>
      <c r="AP331" s="221">
        <f>SUM(AP208+AP209+AP210+AP213+AP231+AP234)/(SUM(AP208+AP209+AP210+AP213+AP231+AP234)+AP267)</f>
        <v>0.0687826814729142</v>
      </c>
      <c r="AR331" s="221">
        <f>SUM(AR208+AR209+AR210+AR213+AR231+AR234)/(SUM(AR208+AR209+AR210+AR213+AR231+AR234)+AR267)</f>
        <v>0.0589010869610641</v>
      </c>
      <c r="AS331" s="221">
        <f>SUM(AS208+AS209+AS210+AS213+AS231+AS234)/(SUM(AS208+AS209+AS210+AS213+AS231+AS234)+AS267)</f>
        <v>0.0423434689378833</v>
      </c>
      <c r="AT331" s="221">
        <f>SUM(AT208+AT209+AT210+AT213+AT231+AT234)/(SUM(AT208+AT209+AT210+AT213+AT231+AT234)+AT267)</f>
        <v>0.0383796644553441</v>
      </c>
      <c r="AU331" s="221">
        <f>SUM(AU208+AU209+AU210+AU213+AU231+AU234)/(SUM(AU208+AU209+AU210+AU213+AU231+AU234)+AU267)</f>
        <v>0.0305864251783277</v>
      </c>
      <c r="AW331" s="221">
        <f>SUM(AW208+AW209+AW210+AW213+AW231+AW234)/(SUM(AW208+AW209+AW210+AW213+AW231+AW234)+AW267)</f>
        <v>0.0254239313610674</v>
      </c>
      <c r="AX331" s="221">
        <f>SUM(AX208+AX209+AX210+AX213+AX231+AX234)/(SUM(AX208+AX209+AX210+AX213+AX231+AX234)+AX267)</f>
        <v>0.0173947170388809</v>
      </c>
      <c r="AY331" s="221">
        <f>SUM(AY208+AY209+AY210+AY213+AY231+AY234)/(SUM(AY208+AY209+AY210+AY213+AY231+AY234)+AY267)</f>
        <v>0.0155939348007678</v>
      </c>
      <c r="AZ331" s="221">
        <f>SUM(AZ208+AZ209+AZ210+AZ213+AZ231+AZ234)/(SUM(AZ208+AZ209+AZ210+AZ213+AZ231+AZ234)+AZ267)</f>
        <v>0.0121531497779029</v>
      </c>
      <c r="BB331" s="221">
        <f>SUM(BB208+BB209+BB210+BB213+BB231+BB234)/(SUM(BB208+BB209+BB210+BB213+BB231+BB234)+BB267)</f>
        <v>0.00995630232630422</v>
      </c>
      <c r="BC331" s="221">
        <f>SUM(BC208+BC209+BC210+BC213+BC231+BC234)/(SUM(BC208+BC209+BC210+BC213+BC231+BC234)+BC267)</f>
        <v>0.0066654292189774</v>
      </c>
      <c r="BD331" s="221">
        <f>SUM(BD208+BD209+BD210+BD213+BD231+BD234)/(SUM(BD208+BD209+BD210+BD213+BD231+BD234)+BD267)</f>
        <v>0.00594588483346924</v>
      </c>
      <c r="BE331" s="221">
        <f>SUM(BE208+BE209+BE210+BE213+BE231+BE234)/(SUM(BE208+BE209+BE210+BE213+BE231+BE234)+BE267)</f>
        <v>0.00459194802101848</v>
      </c>
      <c r="BG331" s="221">
        <f>SUM(BG208+BG209+BG210+BG213+BG231+BG234)/(SUM(BG208+BG209+BG210+BG213+BG231+BG234)+BG267)</f>
        <v>0.00374025495671022</v>
      </c>
      <c r="BH331" s="221">
        <f>SUM(BH208+BH209+BH210+BH213+BH231+BH234)/(SUM(BH208+BH209+BH210+BH213+BH231+BH234)+BH267)</f>
        <v>0.00248230884927386</v>
      </c>
      <c r="BI331" s="221">
        <f>SUM(BI208+BI209+BI210+BI213+BI231+BI234)/(SUM(BI208+BI209+BI210+BI213+BI231+BI234)+BI267)</f>
        <v>0.00221023923571779</v>
      </c>
      <c r="BJ331" s="221">
        <f>SUM(BJ208+BJ209+BJ210+BJ213+BJ231+BJ234)/(SUM(BJ208+BJ209+BJ210+BJ213+BJ231+BJ234)+BJ267)</f>
        <v>0.00170088560815696</v>
      </c>
      <c r="BL331" s="221">
        <f>SUM(BL208+BL209+BL210+BL213+BL231+BL234)/(SUM(BL208+BL209+BL210+BL213+BL231+BL234)+BL267)</f>
        <v>0.00138232606702906</v>
      </c>
      <c r="BM331" s="221">
        <f>SUM(BM208+BM209+BM210+BM213+BM231+BM234)/(SUM(BM208+BM209+BM210+BM213+BM231+BM234)+BM267)</f>
        <v>0.000914432162086596</v>
      </c>
      <c r="BN331" s="221">
        <f>SUM(BN208+BN209+BN210+BN213+BN231+BN234)/(SUM(BN208+BN209+BN210+BN213+BN231+BN234)+BN267)</f>
        <v>0.000813627188915898</v>
      </c>
      <c r="BO331" s="221">
        <f>SUM(BO208+BO209+BO210+BO213+BO231+BO234)/(SUM(BO208+BO209+BO210+BO213+BO231+BO234)+BO267)</f>
        <v>0.000625304580606162</v>
      </c>
      <c r="BQ331" s="221">
        <f>SUM(BQ208+BQ209+BQ210+BQ213+BQ231+BQ234)/(SUM(BQ208+BQ209+BQ210+BQ213+BQ231+BQ234)+BQ267)</f>
        <v>0.000507774750335375</v>
      </c>
      <c r="BR331" s="221">
        <f>SUM(BR208+BR209+BR210+BR213+BR231+BR234)/(SUM(BR208+BR209+BR210+BR213+BR231+BR234)+BR267)</f>
        <v>0.000335495173988388</v>
      </c>
      <c r="BS331" s="221">
        <f>SUM(BS208+BS209+BS210+BS213+BS231+BS234)/(SUM(BS208+BS209+BS210+BS213+BS231+BS234)+BS267)</f>
        <v>0.000298433939081851</v>
      </c>
      <c r="BT331" s="221">
        <f>SUM(BT208+BT209+BT210+BT213+BT231+BT234)/(SUM(BT208+BT209+BT210+BT213+BT231+BT234)+BT267)</f>
        <v>0.000229246489503021</v>
      </c>
      <c r="BV331" s="221">
        <f>SUM(BV208+BV209+BV210+BV213+BV231+BV234)/(SUM(BV208+BV209+BV210+BV213+BV231+BV234)+BV267)</f>
        <v>0.000186101611585557</v>
      </c>
      <c r="BW331" s="221">
        <f>SUM(BW208+BW209+BW210+BW213+BW231+BW234)/(SUM(BW208+BW209+BW210+BW213+BW231+BW234)+BW267)</f>
        <v>0.000122905915096887</v>
      </c>
      <c r="BX331" s="221">
        <f>SUM(BX208+BX209+BX210+BX213+BX231+BX234)/(SUM(BX208+BX209+BX210+BX213+BX231+BX234)+BX267)</f>
        <v>0.000109318332428397</v>
      </c>
      <c r="BY331" s="221">
        <f>SUM(BY208+BY209+BY210+BY213+BY231+BY234)/(SUM(BY208+BY209+BY210+BY213+BY231+BY234)+BY267)</f>
        <v>8.39595818948043e-05</v>
      </c>
      <c r="CA331" s="221">
        <f>SUM(CA208+CA209+CA210+CA213+CA231+CA234)/(SUM(CA208+CA209+CA210+CA213+CA231+CA234)+CA267)</f>
        <v>6.81505812441443e-05</v>
      </c>
      <c r="CB331" s="221">
        <f>SUM(CB208+CB209+CB210+CB213+CB231+CB234)/(SUM(CB208+CB209+CB210+CB213+CB231+CB234)+CB267)</f>
        <v>4.50009257923974e-05</v>
      </c>
      <c r="CC331" s="221">
        <f>SUM(CC208+CC209+CC210+CC213+CC231+CC234)/(SUM(CC208+CC209+CC210+CC213+CC231+CC234)+CC267)</f>
        <v>4.00245568951504e-05</v>
      </c>
      <c r="CD331" s="221">
        <f>SUM(CD208+CD209+CD210+CD213+CD231+CD234)/(SUM(CD208+CD209+CD210+CD213+CD231+CD234)+CD267)</f>
        <v>3.07379846633867e-05</v>
      </c>
      <c r="CF331" s="221">
        <f>SUM(CF208+CF209+CF210+CF213+CF231+CF234)/(SUM(CF208+CF209+CF210+CF213+CF231+CF234)+CF267)</f>
        <v>2.49492201412703e-05</v>
      </c>
      <c r="CG331" s="221">
        <f>SUM(CG208+CG209+CG210+CG213+CG231+CG234)/(SUM(CG208+CG209+CG210+CG213+CG231+CG234)+CG267)</f>
        <v>1.6473390542892e-05</v>
      </c>
      <c r="CH331" s="221">
        <f>SUM(CH208+CH209+CH210+CH213+CH231+CH234)/(SUM(CH208+CH209+CH210+CH213+CH231+CH234)+CH267)</f>
        <v>1.46515137252544e-05</v>
      </c>
      <c r="CI331" s="221">
        <f>SUM(CI208+CI209+CI210+CI213+CI231+CI234)/(SUM(CI208+CI209+CI210+CI213+CI231+CI234)+CI267)</f>
        <v>1.12517735548692e-05</v>
      </c>
      <c r="CK331" s="221">
        <f>SUM(CK208+CK209+CK210+CK213+CK231+CK234)/(SUM(CK208+CK209+CK210+CK213+CK231+CK234)+CK267)</f>
        <v>9.13263508594499e-06</v>
      </c>
      <c r="CL331" s="221">
        <f>SUM(CL208+CL209+CL210+CL213+CL231+CL234)/(SUM(CL208+CL209+CL210+CL213+CL231+CL234)+CL267)</f>
        <v>6.02993515004218e-06</v>
      </c>
      <c r="CM331" s="221">
        <f>SUM(CM208+CM209+CM210+CM213+CM231+CM234)/(SUM(CM208+CM209+CM210+CM213+CM231+CM234)+CM267)</f>
        <v>5.36302857430737e-06</v>
      </c>
      <c r="CN331" s="221">
        <f>SUM(CN208+CN209+CN210+CN213+CN231+CN234)/(SUM(CN208+CN209+CN210+CN213+CN231+CN234)+CN267)</f>
        <v>4.11855426877932e-06</v>
      </c>
      <c r="CP331" s="221">
        <f>SUM(CP208+CP209+CP210+CP213+CP231+CP234)/(SUM(CP208+CP209+CP210+CP213+CP231+CP234)+CP267)</f>
        <v>3.34285502859278e-06</v>
      </c>
      <c r="CQ331" s="221">
        <f>SUM(CQ208+CQ209+CQ210+CQ213+CQ231+CQ234)/(SUM(CQ208+CQ209+CQ210+CQ213+CQ231+CQ234)+CQ267)</f>
        <v>2.20714371142882e-06</v>
      </c>
      <c r="CR331" s="221">
        <f>SUM(CR208+CR209+CR210+CR213+CR231+CR234)/(SUM(CR208+CR209+CR210+CR213+CR231+CR234)+CR267)</f>
        <v>1.9630317970348e-06</v>
      </c>
      <c r="CS331" s="221">
        <f>SUM(CS208+CS209+CS210+CS213+CS231+CS234)/(SUM(CS208+CS209+CS210+CS213+CS231+CS234)+CS267)</f>
        <v>1.50751147255845e-06</v>
      </c>
      <c r="CU331" s="221">
        <f>SUM(CU208+CU209+CU210+CU213+CU231+CU234)/(SUM(CU208+CU209+CU210+CU213+CU231+CU234)+CU267)</f>
        <v>1.22358039287488e-06</v>
      </c>
      <c r="CV331" s="221">
        <f>SUM(CV208+CV209+CV210+CV213+CV231+CV234)/(SUM(CV208+CV209+CV210+CV213+CV231+CV234)+CV267)</f>
        <v>8.07875258630174e-07</v>
      </c>
      <c r="CW331" s="221">
        <f>SUM(CW208+CW209+CW210+CW213+CW231+CW234)/(SUM(CW208+CW209+CW210+CW213+CW231+CW234)+CW267)</f>
        <v>7.18523137900197e-07</v>
      </c>
      <c r="CX331" s="221">
        <f>SUM(CX208+CX209+CX210+CX213+CX231+CX234)/(SUM(CX208+CX209+CX210+CX213+CX231+CX234)+CX267)</f>
        <v>5.51789637022296e-07</v>
      </c>
    </row>
    <row r="332" customFormat="1" s="233">
      <c r="A332" s="224" t="n"/>
      <c r="B332" s="224" t="n"/>
      <c r="C332" s="233" t="inlineStr">
        <is>
          <t>NET DEBT / EBITDA LTM (com arrendamentos)</t>
        </is>
      </c>
      <c r="D332" s="219" t="str">
        <f>""</f>
        <v/>
      </c>
      <c r="E332" s="219" t="str">
        <f>""</f>
        <v/>
      </c>
      <c r="F332" s="219" t="str">
        <f>""</f>
        <v/>
      </c>
      <c r="G332" s="219">
        <f>IFERROR((SUM(G208,G209,G210,G213,G231,G234)-G140)/(G65+F65+E65+D65),"")</f>
        <v>-2.0392070887001</v>
      </c>
      <c r="I332" s="219">
        <f>IFERROR((SUM(I208,I209,I210,I213,I231,I234)-I140)/(I65+G65+F65+E65),"")</f>
        <v>-1.75421644413212</v>
      </c>
      <c r="J332" s="219">
        <f>IFERROR((SUM(J208,J209,J210,J213,J231,J234)-J140)/(J65+I65+G65+F65),"")</f>
        <v>-1.46683748365228</v>
      </c>
      <c r="K332" s="219">
        <f>IFERROR((SUM(K208,K209,K210,K213,K231,K234)-K140)/(K65+J65+I65+G65),"")</f>
        <v>-1.3779679702225</v>
      </c>
      <c r="L332" s="219">
        <f>IFERROR((SUM(L208,L209,L210,L213,L231,L234)-L140)/(L65+K65+J65+I65),"")</f>
        <v>-1.25672157662099</v>
      </c>
      <c r="N332" s="219">
        <f>IFERROR((SUM(N208,N209,N210,N213,N231,N234)-N140)/(N65+L65+K65+J65),"")</f>
        <v>-1.13500084217618</v>
      </c>
      <c r="O332" s="219">
        <f>IFERROR((SUM(O208,O209,O210,O213,O231,O234)-O140)/(O65+N65+L65+K65),"")</f>
        <v>-1.02617332278349</v>
      </c>
      <c r="P332" s="219">
        <f>IFERROR((SUM(P208,P209,P210,P213,P231,P234)-P140)/(P65+O65+N65+L65),"")</f>
        <v>-0.963635972646338</v>
      </c>
      <c r="Q332" s="219">
        <f>IFERROR((SUM(Q208,Q209,Q210,Q213,Q231,Q234)-Q140)/(Q65+P65+O65+N65),"")</f>
        <v>-0.960401202720545</v>
      </c>
      <c r="S332" s="219">
        <f>IFERROR((SUM(S208,S209,S210,S213,S231,S234)-S140)/(S65+Q65+P65+O65),"")</f>
        <v>-1.01940887492953</v>
      </c>
      <c r="T332" s="219">
        <f>IFERROR((SUM(T208,T209,T210,T213,T231,T234)-T140)/(T65+S65+Q65+P65),"")</f>
        <v>-1.03370647465827</v>
      </c>
      <c r="U332" s="219">
        <f>IFERROR((SUM(U208,U209,U210,U213,U231,U234)-U140)/(U65+T65+S65+Q65),"")</f>
        <v>-1.00832695974405</v>
      </c>
      <c r="V332" s="219">
        <f>IFERROR((SUM(V208,V209,V210,V213,V231,V234)-V140)/(V65+U65+T65+S65),"")</f>
        <v>-0.872811645273973</v>
      </c>
      <c r="X332" s="219">
        <f>IFERROR((SUM(X208,X209,X210,X213,X231,X234)-X140)/(X65+V65+U65+T65),"")</f>
        <v>-0.781908723085194</v>
      </c>
      <c r="Y332" s="219">
        <f>IFERROR((SUM(Y208,Y209,Y210,Y213,Y231,Y234)-Y140)/(Y65+X65+V65+U65),"")</f>
        <v>-0.676326475969477</v>
      </c>
      <c r="Z332" s="219">
        <f>IFERROR((SUM(Z208,Z209,Z210,Z213,Z231,Z234)-Z140)/(Z65+Y65+X65+V65),"")</f>
        <v>-0.579561140065419</v>
      </c>
      <c r="AA332" s="219">
        <f>IFERROR((SUM(AA208,AA209,AA210,AA213,AA231,AA234)-AA140)/(AA65+Z65+Y65+X65),"")</f>
        <v>-0.57229778936735</v>
      </c>
      <c r="AC332" s="219">
        <f>IFERROR((SUM(AC208,AC209,AC210,AC213,AC231,AC234)-AC140)/(AC65+AA65+Z65+Y65),"")</f>
        <v>-0.543383939839742</v>
      </c>
      <c r="AD332" s="219">
        <f>IFERROR((SUM(AD208,AD209,AD210,AD213,AD231,AD234)-AD140)/(AD65+AC65+AA65+Z65),"")</f>
        <v>-0.428559099572081</v>
      </c>
      <c r="AE332" s="219">
        <f>IFERROR((SUM(AE208,AE209,AE210,AE213,AE231,AE234)-AE140)/(AE65+AD65+AC65+AA65),"")</f>
        <v>-0.451833614641019</v>
      </c>
      <c r="AF332" s="219">
        <f>IFERROR((SUM(AF208,AF209,AF210,AF213,AF231,AF234)-AF140)/(AF65+AE65+AD65+AC65),"")</f>
        <v>-0.449821874479774</v>
      </c>
      <c r="AH332" s="219">
        <f>IFERROR((SUM(AH208,AH209,AH210,AH213,AH231,AH234)-AH140)/(AH65+AF65+AE65+AD65),"")</f>
        <v>-0.22544958452189</v>
      </c>
      <c r="AI332" s="219">
        <f>IFERROR((SUM(AI208,AI209,AI210,AI213,AI231,AI234)-AI140)/(AI65+AH65+AF65+AE65),"")</f>
        <v>-0.750400601625546</v>
      </c>
      <c r="AJ332" s="219">
        <f>IFERROR((SUM(AJ208,AJ209,AJ210,AJ213,AJ231,AJ234)-AJ140)/(AJ65+AI65+AH65+AF65),"")</f>
        <v>-1.00922617734845</v>
      </c>
      <c r="AK332" s="219">
        <f>IFERROR((SUM(AK208,AK209,AK210,AK213,AK231,AK234)-AK140)/(AK65+AJ65+AI65+AH65),"")</f>
        <v>-2.51501297154765</v>
      </c>
      <c r="AM332" s="219" t="str">
        <f>IFERROR((SUM(AM208,AM209,AM210,AM213,AM231,AM234)-AM140)/(AM65+AK65+AJ65+AI65),"")</f>
        <v/>
      </c>
      <c r="AN332" s="219" t="str">
        <f>IFERROR((SUM(AN208,AN209,AN210,AN213,AN231,AN234)-AN140)/(AN65+AM65+AK65+AJ65),"")</f>
        <v/>
      </c>
      <c r="AO332" s="219" t="str">
        <f>IFERROR((SUM(AO208,AO209,AO210,AO213,AO231,AO234)-AO140)/(AO65+AN65+AM65+AK65),"")</f>
        <v/>
      </c>
      <c r="AP332" s="219" t="str">
        <f>IFERROR((SUM(AP208,AP209,AP210,AP213,AP231,AP234)-AP140)/(AP65+AO65+AN65+AM65),"")</f>
        <v/>
      </c>
      <c r="AR332" s="219" t="str">
        <f>IFERROR((SUM(AR208,AR209,AR210,AR213,AR231,AR234)-AR140)/(AR65+AP65+AO65+AN65),"")</f>
        <v/>
      </c>
      <c r="AS332" s="219" t="str">
        <f>IFERROR((SUM(AS208,AS209,AS210,AS213,AS231,AS234)-AS140)/(AS65+AR65+AP65+AO65),"")</f>
        <v/>
      </c>
      <c r="AT332" s="219" t="str">
        <f>IFERROR((SUM(AT208,AT209,AT210,AT213,AT231,AT234)-AT140)/(AT65+AS65+AR65+AP65),"")</f>
        <v/>
      </c>
      <c r="AU332" s="219" t="str">
        <f>IFERROR((SUM(AU208,AU209,AU210,AU213,AU231,AU234)-AU140)/(AU65+AT65+AS65+AR65),"")</f>
        <v/>
      </c>
      <c r="AW332" s="219" t="str">
        <f>IFERROR((SUM(AW208,AW209,AW210,AW213,AW231,AW234)-AW140)/(AW65+AU65+AT65+AS65),"")</f>
        <v/>
      </c>
      <c r="AX332" s="219" t="str">
        <f>IFERROR((SUM(AX208,AX209,AX210,AX213,AX231,AX234)-AX140)/(AX65+AW65+AU65+AT65),"")</f>
        <v/>
      </c>
      <c r="AY332" s="219" t="str">
        <f>IFERROR((SUM(AY208,AY209,AY210,AY213,AY231,AY234)-AY140)/(AY65+AX65+AW65+AU65),"")</f>
        <v/>
      </c>
      <c r="AZ332" s="219" t="str">
        <f>IFERROR((SUM(AZ208,AZ209,AZ210,AZ213,AZ231,AZ234)-AZ140)/(AZ65+AY65+AX65+AW65),"")</f>
        <v/>
      </c>
      <c r="BB332" s="219" t="str">
        <f>IFERROR((SUM(BB208,BB209,BB210,BB213,BB231,BB234)-BB140)/(BB65+AZ65+AY65+AX65),"")</f>
        <v/>
      </c>
      <c r="BC332" s="219" t="str">
        <f>IFERROR((SUM(BC208,BC209,BC210,BC213,BC231,BC234)-BC140)/(BC65+BB65+AZ65+AY65),"")</f>
        <v/>
      </c>
      <c r="BD332" s="219" t="str">
        <f>IFERROR((SUM(BD208,BD209,BD210,BD213,BD231,BD234)-BD140)/(BD65+BC65+BB65+AZ65),"")</f>
        <v/>
      </c>
      <c r="BE332" s="219" t="str">
        <f>IFERROR((SUM(BE208,BE209,BE210,BE213,BE231,BE234)-BE140)/(BE65+BD65+BC65+BB65),"")</f>
        <v/>
      </c>
      <c r="BG332" s="219" t="str">
        <f>IFERROR((SUM(BG208,BG209,BG210,BG213,BG231,BG234)-BG140)/(BG65+BE65+BD65+BC65),"")</f>
        <v/>
      </c>
      <c r="BH332" s="219" t="str">
        <f>IFERROR((SUM(BH208,BH209,BH210,BH213,BH231,BH234)-BH140)/(BH65+BG65+BE65+BD65),"")</f>
        <v/>
      </c>
      <c r="BI332" s="219" t="str">
        <f>IFERROR((SUM(BI208,BI209,BI210,BI213,BI231,BI234)-BI140)/(BI65+BH65+BG65+BE65),"")</f>
        <v/>
      </c>
      <c r="BJ332" s="219" t="str">
        <f>IFERROR((SUM(BJ208,BJ209,BJ210,BJ213,BJ231,BJ234)-BJ140)/(BJ65+BI65+BH65+BG65),"")</f>
        <v/>
      </c>
      <c r="BL332" s="219" t="str">
        <f>IFERROR((SUM(BL208,BL209,BL210,BL213,BL231,BL234)-BL140)/(BL65+BJ65+BI65+BH65),"")</f>
        <v/>
      </c>
      <c r="BM332" s="219" t="str">
        <f>IFERROR((SUM(BM208,BM209,BM210,BM213,BM231,BM234)-BM140)/(BM65+BL65+BJ65+BI65),"")</f>
        <v/>
      </c>
      <c r="BN332" s="219" t="str">
        <f>IFERROR((SUM(BN208,BN209,BN210,BN213,BN231,BN234)-BN140)/(BN65+BM65+BL65+BJ65),"")</f>
        <v/>
      </c>
      <c r="BO332" s="219" t="str">
        <f>IFERROR((SUM(BO208,BO209,BO210,BO213,BO231,BO234)-BO140)/(BO65+BN65+BM65+BL65),"")</f>
        <v/>
      </c>
      <c r="BQ332" s="219" t="str">
        <f>IFERROR((SUM(BQ208,BQ209,BQ210,BQ213,BQ231,BQ234)-BQ140)/(BQ65+BO65+BN65+BM65),"")</f>
        <v/>
      </c>
      <c r="BR332" s="219" t="str">
        <f>IFERROR((SUM(BR208,BR209,BR210,BR213,BR231,BR234)-BR140)/(BR65+BQ65+BO65+BN65),"")</f>
        <v/>
      </c>
      <c r="BS332" s="219" t="str">
        <f>IFERROR((SUM(BS208,BS209,BS210,BS213,BS231,BS234)-BS140)/(BS65+BR65+BQ65+BO65),"")</f>
        <v/>
      </c>
      <c r="BT332" s="219" t="str">
        <f>IFERROR((SUM(BT208,BT209,BT210,BT213,BT231,BT234)-BT140)/(BT65+BS65+BR65+BQ65),"")</f>
        <v/>
      </c>
      <c r="BV332" s="219" t="str">
        <f>IFERROR((SUM(BV208,BV209,BV210,BV213,BV231,BV234)-BV140)/(BV65+BT65+BS65+BR65),"")</f>
        <v/>
      </c>
      <c r="BW332" s="219" t="str">
        <f>IFERROR((SUM(BW208,BW209,BW210,BW213,BW231,BW234)-BW140)/(BW65+BV65+BT65+BS65),"")</f>
        <v/>
      </c>
      <c r="BX332" s="219" t="str">
        <f>IFERROR((SUM(BX208,BX209,BX210,BX213,BX231,BX234)-BX140)/(BX65+BW65+BV65+BT65),"")</f>
        <v/>
      </c>
      <c r="BY332" s="219" t="str">
        <f>IFERROR((SUM(BY208,BY209,BY210,BY213,BY231,BY234)-BY140)/(BY65+BX65+BW65+BV65),"")</f>
        <v/>
      </c>
      <c r="CA332" s="219" t="str">
        <f>IFERROR((SUM(CA208,CA209,CA210,CA213,CA231,CA234)-CA140)/(CA65+BY65+BX65+BW65),"")</f>
        <v/>
      </c>
      <c r="CB332" s="219" t="str">
        <f>IFERROR((SUM(CB208,CB209,CB210,CB213,CB231,CB234)-CB140)/(CB65+CA65+BY65+BX65),"")</f>
        <v/>
      </c>
      <c r="CC332" s="219" t="str">
        <f>IFERROR((SUM(CC208,CC209,CC210,CC213,CC231,CC234)-CC140)/(CC65+CB65+CA65+BY65),"")</f>
        <v/>
      </c>
      <c r="CD332" s="219" t="str">
        <f>IFERROR((SUM(CD208,CD209,CD210,CD213,CD231,CD234)-CD140)/(CD65+CC65+CB65+CA65),"")</f>
        <v/>
      </c>
      <c r="CF332" s="219" t="str">
        <f>IFERROR((SUM(CF208,CF209,CF210,CF213,CF231,CF234)-CF140)/(CF65+CD65+CC65+CB65),"")</f>
        <v/>
      </c>
      <c r="CG332" s="219" t="str">
        <f>IFERROR((SUM(CG208,CG209,CG210,CG213,CG231,CG234)-CG140)/(CG65+CF65+CD65+CC65),"")</f>
        <v/>
      </c>
      <c r="CH332" s="219" t="str">
        <f>IFERROR((SUM(CH208,CH209,CH210,CH213,CH231,CH234)-CH140)/(CH65+CG65+CF65+CD65),"")</f>
        <v/>
      </c>
      <c r="CI332" s="219" t="str">
        <f>IFERROR((SUM(CI208,CI209,CI210,CI213,CI231,CI234)-CI140)/(CI65+CH65+CG65+CF65),"")</f>
        <v/>
      </c>
      <c r="CK332" s="219" t="str">
        <f>IFERROR((SUM(CK208,CK209,CK210,CK213,CK231,CK234)-CK140)/(CK65+CI65+CH65+CG65),"")</f>
        <v/>
      </c>
      <c r="CL332" s="219" t="str">
        <f>IFERROR((SUM(CL208,CL209,CL210,CL213,CL231,CL234)-CL140)/(CL65+CK65+CI65+CH65),"")</f>
        <v/>
      </c>
      <c r="CM332" s="219" t="str">
        <f>IFERROR((SUM(CM208,CM209,CM210,CM213,CM231,CM234)-CM140)/(CM65+CL65+CK65+CI65),"")</f>
        <v/>
      </c>
      <c r="CN332" s="219" t="str">
        <f>IFERROR((SUM(CN208,CN209,CN210,CN213,CN231,CN234)-CN140)/(CN65+CM65+CL65+CK65),"")</f>
        <v/>
      </c>
      <c r="CP332" s="219" t="str">
        <f>IFERROR((SUM(CP208,CP209,CP210,CP213,CP231,CP234)-CP140)/(CP65+CN65+CM65+CL65),"")</f>
        <v/>
      </c>
      <c r="CQ332" s="219" t="str">
        <f>IFERROR((SUM(CQ208,CQ209,CQ210,CQ213,CQ231,CQ234)-CQ140)/(CQ65+CP65+CN65+CM65),"")</f>
        <v/>
      </c>
      <c r="CR332" s="219" t="str">
        <f>IFERROR((SUM(CR208,CR209,CR210,CR213,CR231,CR234)-CR140)/(CR65+CQ65+CP65+CN65),"")</f>
        <v/>
      </c>
      <c r="CS332" s="219" t="str">
        <f>IFERROR((SUM(CS208,CS209,CS210,CS213,CS231,CS234)-CS140)/(CS65+CR65+CQ65+CP65),"")</f>
        <v/>
      </c>
      <c r="CU332" s="219" t="str">
        <f>IFERROR((SUM(CU208,CU209,CU210,CU213,CU231,CU234)-CU140)/(CU65+CS65+CR65+CQ65),"")</f>
        <v/>
      </c>
      <c r="CV332" s="219" t="str">
        <f>IFERROR((SUM(CV208,CV209,CV210,CV213,CV231,CV234)-CV140)/(CV65+CU65+CS65+CR65),"")</f>
        <v/>
      </c>
      <c r="CW332" s="219" t="str">
        <f>IFERROR((SUM(CW208,CW209,CW210,CW213,CW231,CW234)-CW140)/(CW65+CV65+CU65+CS65),"")</f>
        <v/>
      </c>
      <c r="CX332" s="219" t="str">
        <f>IFERROR((SUM(CX208,CX209,CX210,CX213,CX231,CX234)-CX140)/(CX65+CW65+CV65+CU65),"")</f>
        <v/>
      </c>
    </row>
    <row r="333" customFormat="1" s="233">
      <c r="A333" s="224" t="n"/>
      <c r="B333" s="224" t="n"/>
      <c r="C333" s="237" t="inlineStr">
        <is>
          <t>NET DEBT (EX IFRS 16) / EBITDA LTM</t>
        </is>
      </c>
      <c r="D333" s="219" t="str">
        <f>""</f>
        <v/>
      </c>
      <c r="E333" s="219" t="str">
        <f>""</f>
        <v/>
      </c>
      <c r="F333" s="219" t="str">
        <f>""</f>
        <v/>
      </c>
      <c r="G333" s="219">
        <f>IFERROR((SUM(G208,G209,G213,G234)-G140)/(G65+F65+E65+D65),"")</f>
        <v>-2.24284278797844</v>
      </c>
      <c r="I333" s="219">
        <f>IFERROR((SUM(I208,I209,I213,I234)-I140)/(I65+G65+F65+E65),"")</f>
        <v>-1.93600268319172</v>
      </c>
      <c r="J333" s="219">
        <f>IFERROR((SUM(J208,J209,J213,J234)-J140)/(J65+I65+G65+F65),"")</f>
        <v>-1.621893933328</v>
      </c>
      <c r="K333" s="219">
        <f>IFERROR((SUM(K208,K209,K213,K234)-K140)/(K65+J65+I65+G65),"")</f>
        <v>-1.51394634834458</v>
      </c>
      <c r="L333" s="219">
        <f>IFERROR((SUM(L208,L209,L213,L234)-L140)/(L65+K65+J65+I65),"")</f>
        <v>-1.382888920892</v>
      </c>
      <c r="N333" s="219">
        <f>IFERROR((SUM(N208,N209,N213,N234)-N140)/(N65+L65+K65+J65),"")</f>
        <v>-1.25462144180563</v>
      </c>
      <c r="O333" s="219">
        <f>IFERROR((SUM(O208,O209,O213,O234)-O140)/(O65+N65+L65+K65),"")</f>
        <v>-1.14795110981552</v>
      </c>
      <c r="P333" s="219">
        <f>IFERROR((SUM(P208,P209,P213,P234)-P140)/(P65+O65+N65+L65),"")</f>
        <v>-1.09249064556363</v>
      </c>
      <c r="Q333" s="219">
        <f>IFERROR((SUM(Q208,Q209,Q213,Q234)-Q140)/(Q65+P65+O65+N65),"")</f>
        <v>-1.09910239767444</v>
      </c>
      <c r="S333" s="219">
        <f>IFERROR((SUM(S208,S209,S213,S234)-S140)/(S65+Q65+P65+O65),"")</f>
        <v>-1.16666091418447</v>
      </c>
      <c r="T333" s="219">
        <f>IFERROR((SUM(T208,T209,T213,T234)-T140)/(T65+S65+Q65+P65),"")</f>
        <v>-1.17710524835462</v>
      </c>
      <c r="U333" s="219">
        <f>IFERROR((SUM(U208,U209,U213,U234)-U140)/(U65+T65+S65+Q65),"")</f>
        <v>-1.14351886761965</v>
      </c>
      <c r="V333" s="219">
        <f>IFERROR((SUM(V208,V209,V213,V234)-V140)/(V65+U65+T65+S65),"")</f>
        <v>-1.00045073192719</v>
      </c>
      <c r="X333" s="219">
        <f>IFERROR((SUM(X208,X209,X213,X234)-X140)/(X65+V65+U65+T65),"")</f>
        <v>-0.894679757424856</v>
      </c>
      <c r="Y333" s="219">
        <f>IFERROR((SUM(Y208,Y209,Y213,Y234)-Y140)/(Y65+X65+V65+U65),"")</f>
        <v>-0.780820206167165</v>
      </c>
      <c r="Z333" s="219">
        <f>IFERROR((SUM(Z208,Z209,Z213,Z234)-Z140)/(Z65+Y65+X65+V65),"")</f>
        <v>-0.677053966554289</v>
      </c>
      <c r="AA333" s="219">
        <f>IFERROR((SUM(AA208,AA209,AA213,AA234)-AA140)/(AA65+Z65+Y65+X65),"")</f>
        <v>-0.663847581459816</v>
      </c>
      <c r="AC333" s="219">
        <f>IFERROR((SUM(AC208,AC209,AC213,AC234)-AC140)/(AC65+AA65+Z65+Y65),"")</f>
        <v>-0.630592417238573</v>
      </c>
      <c r="AD333" s="219">
        <f>IFERROR((SUM(AD208,AD209,AD213,AD234)-AD140)/(AD65+AC65+AA65+Z65),"")</f>
        <v>-0.514516883023482</v>
      </c>
      <c r="AE333" s="219">
        <f>IFERROR((SUM(AE208,AE209,AE213,AE234)-AE140)/(AE65+AD65+AC65+AA65),"")</f>
        <v>-0.536267767718897</v>
      </c>
      <c r="AF333" s="219">
        <f>IFERROR((SUM(AF208,AF209,AF213,AF234)-AF140)/(AF65+AE65+AD65+AC65),"")</f>
        <v>-0.534682869985018</v>
      </c>
      <c r="AH333" s="219">
        <f>IFERROR((SUM(AH208,AH209,AH213,AH234)-AH140)/(AH65+AF65+AE65+AD65),"")</f>
        <v>-0.305959320352226</v>
      </c>
      <c r="AI333" s="219">
        <f>IFERROR((SUM(AI208,AI209,AI213,AI234)-AI140)/(AI65+AH65+AF65+AE65),"")</f>
        <v>-0.834807508749602</v>
      </c>
      <c r="AJ333" s="219">
        <f>IFERROR((SUM(AJ208,AJ209,AJ213,AJ234)-AJ140)/(AJ65+AI65+AH65+AF65),"")</f>
        <v>-1.11649243526973</v>
      </c>
      <c r="AK333" s="219">
        <f>IFERROR((SUM(AK208,AK209,AK213,AK234)-AK140)/(AK65+AJ65+AI65+AH65),"")</f>
        <v>-2.67015055501212</v>
      </c>
      <c r="AM333" s="219" t="str">
        <f>IFERROR((SUM(AM208,AM209,AM213,AM234)-AM140)/(AM65+AK65+AJ65+AI65),"")</f>
        <v/>
      </c>
      <c r="AN333" s="219" t="str">
        <f>IFERROR((SUM(AN208,AN209,AN213,AN234)-AN140)/(AN65+AM65+AK65+AJ65),"")</f>
        <v/>
      </c>
      <c r="AO333" s="219" t="str">
        <f>IFERROR((SUM(AO208,AO209,AO213,AO234)-AO140)/(AO65+AN65+AM65+AK65),"")</f>
        <v/>
      </c>
      <c r="AP333" s="219" t="str">
        <f>IFERROR((SUM(AP208,AP209,AP213,AP234)-AP140)/(AP65+AO65+AN65+AM65),"")</f>
        <v/>
      </c>
      <c r="AR333" s="219" t="str">
        <f>IFERROR((SUM(AR208,AR209,AR213,AR234)-AR140)/(AR65+AP65+AO65+AN65),"")</f>
        <v/>
      </c>
      <c r="AS333" s="219" t="str">
        <f>IFERROR((SUM(AS208,AS209,AS213,AS234)-AS140)/(AS65+AR65+AP65+AO65),"")</f>
        <v/>
      </c>
      <c r="AT333" s="219" t="str">
        <f>IFERROR((SUM(AT208,AT209,AT213,AT234)-AT140)/(AT65+AS65+AR65+AP65),"")</f>
        <v/>
      </c>
      <c r="AU333" s="219" t="str">
        <f>IFERROR((SUM(AU208,AU209,AU213,AU234)-AU140)/(AU65+AT65+AS65+AR65),"")</f>
        <v/>
      </c>
      <c r="AW333" s="219" t="str">
        <f>IFERROR((SUM(AW208,AW209,AW213,AW234)-AW140)/(AW65+AU65+AT65+AS65),"")</f>
        <v/>
      </c>
      <c r="AX333" s="219" t="str">
        <f>IFERROR((SUM(AX208,AX209,AX213,AX234)-AX140)/(AX65+AW65+AU65+AT65),"")</f>
        <v/>
      </c>
      <c r="AY333" s="219" t="str">
        <f>IFERROR((SUM(AY208,AY209,AY213,AY234)-AY140)/(AY65+AX65+AW65+AU65),"")</f>
        <v/>
      </c>
      <c r="AZ333" s="219" t="str">
        <f>IFERROR((SUM(AZ208,AZ209,AZ213,AZ234)-AZ140)/(AZ65+AY65+AX65+AW65),"")</f>
        <v/>
      </c>
      <c r="BB333" s="219" t="str">
        <f>IFERROR((SUM(BB208,BB209,BB213,BB234)-BB140)/(BB65+AZ65+AY65+AX65),"")</f>
        <v/>
      </c>
      <c r="BC333" s="219" t="str">
        <f>IFERROR((SUM(BC208,BC209,BC213,BC234)-BC140)/(BC65+BB65+AZ65+AY65),"")</f>
        <v/>
      </c>
      <c r="BD333" s="219" t="str">
        <f>IFERROR((SUM(BD208,BD209,BD213,BD234)-BD140)/(BD65+BC65+BB65+AZ65),"")</f>
        <v/>
      </c>
      <c r="BE333" s="219" t="str">
        <f>IFERROR((SUM(BE208,BE209,BE213,BE234)-BE140)/(BE65+BD65+BC65+BB65),"")</f>
        <v/>
      </c>
      <c r="BG333" s="219" t="str">
        <f>IFERROR((SUM(BG208,BG209,BG213,BG234)-BG140)/(BG65+BE65+BD65+BC65),"")</f>
        <v/>
      </c>
      <c r="BH333" s="219" t="str">
        <f>IFERROR((SUM(BH208,BH209,BH213,BH234)-BH140)/(BH65+BG65+BE65+BD65),"")</f>
        <v/>
      </c>
      <c r="BI333" s="219" t="str">
        <f>IFERROR((SUM(BI208,BI209,BI213,BI234)-BI140)/(BI65+BH65+BG65+BE65),"")</f>
        <v/>
      </c>
      <c r="BJ333" s="219" t="str">
        <f>IFERROR((SUM(BJ208,BJ209,BJ213,BJ234)-BJ140)/(BJ65+BI65+BH65+BG65),"")</f>
        <v/>
      </c>
      <c r="BL333" s="219" t="str">
        <f>IFERROR((SUM(BL208,BL209,BL213,BL234)-BL140)/(BL65+BJ65+BI65+BH65),"")</f>
        <v/>
      </c>
      <c r="BM333" s="219" t="str">
        <f>IFERROR((SUM(BM208,BM209,BM213,BM234)-BM140)/(BM65+BL65+BJ65+BI65),"")</f>
        <v/>
      </c>
      <c r="BN333" s="219" t="str">
        <f>IFERROR((SUM(BN208,BN209,BN213,BN234)-BN140)/(BN65+BM65+BL65+BJ65),"")</f>
        <v/>
      </c>
      <c r="BO333" s="219" t="str">
        <f>IFERROR((SUM(BO208,BO209,BO213,BO234)-BO140)/(BO65+BN65+BM65+BL65),"")</f>
        <v/>
      </c>
      <c r="BQ333" s="219" t="str">
        <f>IFERROR((SUM(BQ208,BQ209,BQ213,BQ234)-BQ140)/(BQ65+BO65+BN65+BM65),"")</f>
        <v/>
      </c>
      <c r="BR333" s="219" t="str">
        <f>IFERROR((SUM(BR208,BR209,BR213,BR234)-BR140)/(BR65+BQ65+BO65+BN65),"")</f>
        <v/>
      </c>
      <c r="BS333" s="219" t="str">
        <f>IFERROR((SUM(BS208,BS209,BS213,BS234)-BS140)/(BS65+BR65+BQ65+BO65),"")</f>
        <v/>
      </c>
      <c r="BT333" s="219" t="str">
        <f>IFERROR((SUM(BT208,BT209,BT213,BT234)-BT140)/(BT65+BS65+BR65+BQ65),"")</f>
        <v/>
      </c>
      <c r="BV333" s="219" t="str">
        <f>IFERROR((SUM(BV208,BV209,BV213,BV234)-BV140)/(BV65+BT65+BS65+BR65),"")</f>
        <v/>
      </c>
      <c r="BW333" s="219" t="str">
        <f>IFERROR((SUM(BW208,BW209,BW213,BW234)-BW140)/(BW65+BV65+BT65+BS65),"")</f>
        <v/>
      </c>
      <c r="BX333" s="219" t="str">
        <f>IFERROR((SUM(BX208,BX209,BX213,BX234)-BX140)/(BX65+BW65+BV65+BT65),"")</f>
        <v/>
      </c>
      <c r="BY333" s="219" t="str">
        <f>IFERROR((SUM(BY208,BY209,BY213,BY234)-BY140)/(BY65+BX65+BW65+BV65),"")</f>
        <v/>
      </c>
      <c r="CA333" s="219" t="str">
        <f>IFERROR((SUM(CA208,CA209,CA213,CA234)-CA140)/(CA65+BY65+BX65+BW65),"")</f>
        <v/>
      </c>
      <c r="CB333" s="219" t="str">
        <f>IFERROR((SUM(CB208,CB209,CB213,CB234)-CB140)/(CB65+CA65+BY65+BX65),"")</f>
        <v/>
      </c>
      <c r="CC333" s="219" t="str">
        <f>IFERROR((SUM(CC208,CC209,CC213,CC234)-CC140)/(CC65+CB65+CA65+BY65),"")</f>
        <v/>
      </c>
      <c r="CD333" s="219" t="str">
        <f>IFERROR((SUM(CD208,CD209,CD213,CD234)-CD140)/(CD65+CC65+CB65+CA65),"")</f>
        <v/>
      </c>
      <c r="CF333" s="219" t="str">
        <f>IFERROR((SUM(CF208,CF209,CF213,CF234)-CF140)/(CF65+CD65+CC65+CB65),"")</f>
        <v/>
      </c>
      <c r="CG333" s="219" t="str">
        <f>IFERROR((SUM(CG208,CG209,CG213,CG234)-CG140)/(CG65+CF65+CD65+CC65),"")</f>
        <v/>
      </c>
      <c r="CH333" s="219" t="str">
        <f>IFERROR((SUM(CH208,CH209,CH213,CH234)-CH140)/(CH65+CG65+CF65+CD65),"")</f>
        <v/>
      </c>
      <c r="CI333" s="219" t="str">
        <f>IFERROR((SUM(CI208,CI209,CI213,CI234)-CI140)/(CI65+CH65+CG65+CF65),"")</f>
        <v/>
      </c>
      <c r="CK333" s="219" t="str">
        <f>IFERROR((SUM(CK208,CK209,CK213,CK234)-CK140)/(CK65+CI65+CH65+CG65),"")</f>
        <v/>
      </c>
      <c r="CL333" s="219" t="str">
        <f>IFERROR((SUM(CL208,CL209,CL213,CL234)-CL140)/(CL65+CK65+CI65+CH65),"")</f>
        <v/>
      </c>
      <c r="CM333" s="219" t="str">
        <f>IFERROR((SUM(CM208,CM209,CM213,CM234)-CM140)/(CM65+CL65+CK65+CI65),"")</f>
        <v/>
      </c>
      <c r="CN333" s="219" t="str">
        <f>IFERROR((SUM(CN208,CN209,CN213,CN234)-CN140)/(CN65+CM65+CL65+CK65),"")</f>
        <v/>
      </c>
      <c r="CP333" s="219" t="str">
        <f>IFERROR((SUM(CP208,CP209,CP213,CP234)-CP140)/(CP65+CN65+CM65+CL65),"")</f>
        <v/>
      </c>
      <c r="CQ333" s="219" t="str">
        <f>IFERROR((SUM(CQ208,CQ209,CQ213,CQ234)-CQ140)/(CQ65+CP65+CN65+CM65),"")</f>
        <v/>
      </c>
      <c r="CR333" s="219" t="str">
        <f>IFERROR((SUM(CR208,CR209,CR213,CR234)-CR140)/(CR65+CQ65+CP65+CN65),"")</f>
        <v/>
      </c>
      <c r="CS333" s="219" t="str">
        <f>IFERROR((SUM(CS208,CS209,CS213,CS234)-CS140)/(CS65+CR65+CQ65+CP65),"")</f>
        <v/>
      </c>
      <c r="CU333" s="219" t="str">
        <f>IFERROR((SUM(CU208,CU209,CU213,CU234)-CU140)/(CU65+CS65+CR65+CQ65),"")</f>
        <v/>
      </c>
      <c r="CV333" s="219" t="str">
        <f>IFERROR((SUM(CV208,CV209,CV213,CV234)-CV140)/(CV65+CU65+CS65+CR65),"")</f>
        <v/>
      </c>
      <c r="CW333" s="219" t="str">
        <f>IFERROR((SUM(CW208,CW209,CW213,CW234)-CW140)/(CW65+CV65+CU65+CS65),"")</f>
        <v/>
      </c>
      <c r="CX333" s="219" t="str">
        <f>IFERROR((SUM(CX208,CX209,CX213,CX234)-CX140)/(CX65+CW65+CV65+CU65),"")</f>
        <v/>
      </c>
    </row>
    <row r="334" customFormat="1" s="233">
      <c r="A334" s="224" t="n"/>
      <c r="B334" s="224" t="n"/>
      <c r="C334" s="233" t="inlineStr">
        <is>
          <t>INTEREST COVERAGE</t>
        </is>
      </c>
      <c r="D334" s="219">
        <f>D69/-D70</f>
        <v>379.857142857143</v>
      </c>
      <c r="E334" s="219">
        <f>E69/-E70</f>
        <v>491</v>
      </c>
      <c r="F334" s="219">
        <f>F69/-F70</f>
        <v>233.604166666667</v>
      </c>
      <c r="G334" s="219">
        <f>G69/-G70</f>
        <v>295.301886792453</v>
      </c>
      <c r="I334" s="219">
        <f>I69/-I70</f>
        <v>216.276315789474</v>
      </c>
      <c r="J334" s="219">
        <f>J69/-J70</f>
        <v>254.75</v>
      </c>
      <c r="K334" s="219">
        <f>K69/-K70</f>
        <v>273.12987012987</v>
      </c>
      <c r="L334" s="219">
        <f>L69/-L70</f>
        <v>187.051282051282</v>
      </c>
      <c r="N334" s="219">
        <f>N69/-N70</f>
        <v>242.096385542169</v>
      </c>
      <c r="O334" s="219">
        <f>O69/-O70</f>
        <v>234.373493975904</v>
      </c>
      <c r="P334" s="219">
        <f>P69/-P70</f>
        <v>169.653465346535</v>
      </c>
      <c r="Q334" s="219">
        <f>Q69/-Q70</f>
        <v>201.777777777778</v>
      </c>
      <c r="S334" s="219">
        <f>S69/-S70</f>
        <v>217.6875</v>
      </c>
      <c r="T334" s="219">
        <f>T69/-T70</f>
        <v>507.860465116279</v>
      </c>
      <c r="U334" s="219">
        <f>U69/-U70</f>
        <v>183.991379310345</v>
      </c>
      <c r="V334" s="219">
        <f>V69/-V70</f>
        <v>343.434782608696</v>
      </c>
      <c r="X334" s="219">
        <f>X69/-X70</f>
        <v>270.978723404255</v>
      </c>
      <c r="Y334" s="219">
        <f>Y69/-Y70</f>
        <v>409.328358208955</v>
      </c>
      <c r="Z334" s="219">
        <f>Z69/-Z70</f>
        <v>528.166666666667</v>
      </c>
      <c r="AA334" s="219">
        <f>AA69/-AA70</f>
        <v>584.377358490566</v>
      </c>
      <c r="AC334" s="219">
        <f>AC69/-AC70</f>
        <v>900.176470588235</v>
      </c>
      <c r="AD334" s="219">
        <f>AD69/-AD70</f>
        <v>119.812260536398</v>
      </c>
      <c r="AE334" s="219">
        <f>AE69/-AE70</f>
        <v>218.377622377622</v>
      </c>
      <c r="AF334" s="219">
        <f>AF69/-AF70</f>
        <v>120.58389261745</v>
      </c>
      <c r="AH334" s="219">
        <f>AH69/-AH70</f>
        <v>74.4765478424015</v>
      </c>
      <c r="AI334" s="219">
        <f>AI69/-AI70</f>
        <v>31.9014084507042</v>
      </c>
      <c r="AJ334" s="219" t="e">
        <f>AJ69/-AJ70</f>
        <v>#DIV/0!</v>
      </c>
      <c r="AK334" s="219" t="e">
        <f>AK69/-AK70</f>
        <v>#DIV/0!</v>
      </c>
      <c r="AM334" s="219" t="e">
        <f>AM69/-AM70</f>
        <v>#DIV/0!</v>
      </c>
      <c r="AN334" s="219" t="e">
        <f>AN69/-AN70</f>
        <v>#DIV/0!</v>
      </c>
      <c r="AO334" s="219" t="e">
        <f>AO69/-AO70</f>
        <v>#DIV/0!</v>
      </c>
      <c r="AP334" s="219" t="e">
        <f>AP69/-AP70</f>
        <v>#DIV/0!</v>
      </c>
      <c r="AR334" s="219" t="e">
        <f>AR69/-AR70</f>
        <v>#DIV/0!</v>
      </c>
      <c r="AS334" s="219" t="e">
        <f>AS69/-AS70</f>
        <v>#DIV/0!</v>
      </c>
      <c r="AT334" s="219" t="e">
        <f>AT69/-AT70</f>
        <v>#DIV/0!</v>
      </c>
      <c r="AU334" s="219" t="e">
        <f>AU69/-AU70</f>
        <v>#DIV/0!</v>
      </c>
      <c r="AW334" s="219" t="e">
        <f>AW69/-AW70</f>
        <v>#DIV/0!</v>
      </c>
      <c r="AX334" s="219" t="e">
        <f>AX69/-AX70</f>
        <v>#DIV/0!</v>
      </c>
      <c r="AY334" s="219" t="e">
        <f>AY69/-AY70</f>
        <v>#DIV/0!</v>
      </c>
      <c r="AZ334" s="219" t="e">
        <f>AZ69/-AZ70</f>
        <v>#DIV/0!</v>
      </c>
      <c r="BB334" s="219" t="e">
        <f>BB69/-BB70</f>
        <v>#DIV/0!</v>
      </c>
      <c r="BC334" s="219" t="e">
        <f>BC69/-BC70</f>
        <v>#DIV/0!</v>
      </c>
      <c r="BD334" s="219" t="e">
        <f>BD69/-BD70</f>
        <v>#DIV/0!</v>
      </c>
      <c r="BE334" s="219" t="e">
        <f>BE69/-BE70</f>
        <v>#DIV/0!</v>
      </c>
      <c r="BG334" s="219" t="e">
        <f>BG69/-BG70</f>
        <v>#DIV/0!</v>
      </c>
      <c r="BH334" s="219" t="e">
        <f>BH69/-BH70</f>
        <v>#DIV/0!</v>
      </c>
      <c r="BI334" s="219" t="e">
        <f>BI69/-BI70</f>
        <v>#DIV/0!</v>
      </c>
      <c r="BJ334" s="219" t="e">
        <f>BJ69/-BJ70</f>
        <v>#DIV/0!</v>
      </c>
      <c r="BL334" s="219" t="e">
        <f>BL69/-BL70</f>
        <v>#DIV/0!</v>
      </c>
      <c r="BM334" s="219" t="e">
        <f>BM69/-BM70</f>
        <v>#DIV/0!</v>
      </c>
      <c r="BN334" s="219" t="e">
        <f>BN69/-BN70</f>
        <v>#DIV/0!</v>
      </c>
      <c r="BO334" s="219" t="e">
        <f>BO69/-BO70</f>
        <v>#DIV/0!</v>
      </c>
      <c r="BQ334" s="219" t="e">
        <f>BQ69/-BQ70</f>
        <v>#DIV/0!</v>
      </c>
      <c r="BR334" s="219" t="e">
        <f>BR69/-BR70</f>
        <v>#DIV/0!</v>
      </c>
      <c r="BS334" s="219" t="e">
        <f>BS69/-BS70</f>
        <v>#DIV/0!</v>
      </c>
      <c r="BT334" s="219" t="e">
        <f>BT69/-BT70</f>
        <v>#DIV/0!</v>
      </c>
      <c r="BV334" s="219" t="e">
        <f>BV69/-BV70</f>
        <v>#DIV/0!</v>
      </c>
      <c r="BW334" s="219" t="e">
        <f>BW69/-BW70</f>
        <v>#DIV/0!</v>
      </c>
      <c r="BX334" s="219" t="e">
        <f>BX69/-BX70</f>
        <v>#DIV/0!</v>
      </c>
      <c r="BY334" s="219" t="e">
        <f>BY69/-BY70</f>
        <v>#DIV/0!</v>
      </c>
      <c r="CA334" s="219" t="e">
        <f>CA69/-CA70</f>
        <v>#DIV/0!</v>
      </c>
      <c r="CB334" s="219" t="e">
        <f>CB69/-CB70</f>
        <v>#DIV/0!</v>
      </c>
      <c r="CC334" s="219" t="e">
        <f>CC69/-CC70</f>
        <v>#DIV/0!</v>
      </c>
      <c r="CD334" s="219" t="e">
        <f>CD69/-CD70</f>
        <v>#DIV/0!</v>
      </c>
      <c r="CF334" s="219" t="e">
        <f>CF69/-CF70</f>
        <v>#DIV/0!</v>
      </c>
      <c r="CG334" s="219" t="e">
        <f>CG69/-CG70</f>
        <v>#DIV/0!</v>
      </c>
      <c r="CH334" s="219" t="e">
        <f>CH69/-CH70</f>
        <v>#DIV/0!</v>
      </c>
      <c r="CI334" s="219" t="e">
        <f>CI69/-CI70</f>
        <v>#DIV/0!</v>
      </c>
      <c r="CK334" s="219" t="e">
        <f>CK69/-CK70</f>
        <v>#DIV/0!</v>
      </c>
      <c r="CL334" s="219" t="e">
        <f>CL69/-CL70</f>
        <v>#DIV/0!</v>
      </c>
      <c r="CM334" s="219" t="e">
        <f>CM69/-CM70</f>
        <v>#DIV/0!</v>
      </c>
      <c r="CN334" s="219" t="e">
        <f>CN69/-CN70</f>
        <v>#DIV/0!</v>
      </c>
      <c r="CP334" s="219" t="e">
        <f>CP69/-CP70</f>
        <v>#DIV/0!</v>
      </c>
      <c r="CQ334" s="219" t="e">
        <f>CQ69/-CQ70</f>
        <v>#DIV/0!</v>
      </c>
      <c r="CR334" s="219" t="e">
        <f>CR69/-CR70</f>
        <v>#DIV/0!</v>
      </c>
      <c r="CS334" s="219" t="e">
        <f>CS69/-CS70</f>
        <v>#DIV/0!</v>
      </c>
      <c r="CU334" s="219" t="e">
        <f>CU69/-CU70</f>
        <v>#DIV/0!</v>
      </c>
      <c r="CV334" s="219" t="e">
        <f>CV69/-CV70</f>
        <v>#DIV/0!</v>
      </c>
      <c r="CW334" s="219" t="e">
        <f>CW69/-CW70</f>
        <v>#DIV/0!</v>
      </c>
      <c r="CX334" s="219" t="e">
        <f>CX69/-CX70</f>
        <v>#DIV/0!</v>
      </c>
    </row>
    <row r="335" customFormat="1" s="233">
      <c r="A335" s="224" t="n"/>
      <c r="B335" s="224" t="n"/>
    </row>
    <row r="336" customFormat="1" s="233">
      <c r="A336" s="224" t="n"/>
      <c r="B336" s="224" t="n"/>
      <c r="C336" s="234" t="inlineStr">
        <is>
          <t>INTERNAL LIQUIDITY</t>
        </is>
      </c>
    </row>
    <row r="337" customFormat="1" s="233">
      <c r="A337" s="224" t="n"/>
      <c r="B337" s="224" t="n"/>
      <c r="C337" s="233" t="inlineStr">
        <is>
          <t>CURRENT RATIO</t>
        </is>
      </c>
      <c r="D337" s="219">
        <f>SUM(D140,D141,D145,D149,D150,D151)/SUM(D194,D198,D200,D201)</f>
        <v>3.67632934385031</v>
      </c>
      <c r="E337" s="219">
        <f>SUM(E140,E141,E145,E149,E150,E151)/SUM(E194,E198,E200,E201)</f>
        <v>3.43497182646938</v>
      </c>
      <c r="F337" s="219">
        <f>SUM(F140,F141,F145,F149,F150,F151)/SUM(F194,F198,F200,F201)</f>
        <v>3.4303112033195</v>
      </c>
      <c r="G337" s="219">
        <f>SUM(G140,G141,G145,G149,G150,G151)/SUM(G194,G198,G200,G201)</f>
        <v>3.08582890523278</v>
      </c>
      <c r="I337" s="219">
        <f>SUM(I140,I141,I145,I149,I150,I151)/SUM(I194,I198,I200,I201)</f>
        <v>3.12455593024724</v>
      </c>
      <c r="J337" s="219">
        <f>SUM(J140,J141,J145,J149,J150,J151)/SUM(J194,J198,J200,J201)</f>
        <v>3.17270949570334</v>
      </c>
      <c r="K337" s="219">
        <f>SUM(K140,K141,K145,K149,K150,K151)/SUM(K194,K198,K200,K201)</f>
        <v>2.99933637629083</v>
      </c>
      <c r="L337" s="219">
        <f>SUM(L140,L141,L145,L149,L150,L151)/SUM(L194,L198,L200,L201)</f>
        <v>2.94809661655306</v>
      </c>
      <c r="N337" s="219">
        <f>SUM(N140,N141,N145,N149,N150,N151)/SUM(N194,N198,N200,N201)</f>
        <v>2.89341060244076</v>
      </c>
      <c r="O337" s="219">
        <f>SUM(O140,O141,O145,O149,O150,O151)/SUM(O194,O198,O200,O201)</f>
        <v>2.8337353717769</v>
      </c>
      <c r="P337" s="219">
        <f>SUM(P140,P141,P145,P149,P150,P151)/SUM(P194,P198,P200,P201)</f>
        <v>2.56293669197775</v>
      </c>
      <c r="Q337" s="219">
        <f>SUM(Q140,Q141,Q145,Q149,Q150,Q151)/SUM(Q194,Q198,Q200,Q201)</f>
        <v>2.45391053391053</v>
      </c>
      <c r="S337" s="219">
        <f>SUM(S140,S141,S145,S149,S150,S151)/SUM(S194,S198,S200,S201)</f>
        <v>2.4525808231911</v>
      </c>
      <c r="T337" s="219">
        <f>SUM(T140,T141,T145,T149,T150,T151)/SUM(T194,T198,T200,T201)</f>
        <v>2.29246290648445</v>
      </c>
      <c r="U337" s="219">
        <f>SUM(U140,U141,U145,U149,U150,U151)/SUM(U194,U198,U200,U201)</f>
        <v>2.17038067095428</v>
      </c>
      <c r="V337" s="219">
        <f>SUM(V140,V141,V145,V149,V150,V151)/SUM(V194,V198,V200,V201)</f>
        <v>2.24532476104334</v>
      </c>
      <c r="X337" s="219">
        <f>SUM(X140,X141,X145,X149,X150,X151)/SUM(X194,X198,X200,X201)</f>
        <v>2.30084288998273</v>
      </c>
      <c r="Y337" s="219">
        <f>SUM(Y140,Y141,Y145,Y149,Y150,Y151)/SUM(Y194,Y198,Y200,Y201)</f>
        <v>2.27116142363919</v>
      </c>
      <c r="Z337" s="219">
        <f>SUM(Z140,Z141,Z145,Z149,Z150,Z151)/SUM(Z194,Z198,Z200,Z201)</f>
        <v>2.14665297080554</v>
      </c>
      <c r="AA337" s="219">
        <f>SUM(AA140,AA141,AA145,AA149,AA150,AA151)/SUM(AA194,AA198,AA200,AA201)</f>
        <v>2.02970085949597</v>
      </c>
      <c r="AC337" s="219">
        <f>SUM(AC140,AC141,AC145,AC149,AC150,AC151)/SUM(AC194,AC198,AC200,AC201)</f>
        <v>1.9686865821459</v>
      </c>
      <c r="AD337" s="219">
        <f>SUM(AD140,AD141,AD145,AD149,AD150,AD151)/SUM(AD194,AD198,AD200,AD201)</f>
        <v>2.12467071354942</v>
      </c>
      <c r="AE337" s="219">
        <f>SUM(AE140,AE141,AE145,AE149,AE150,AE151)/SUM(AE194,AE198,AE200,AE201)</f>
        <v>1.8511099949774</v>
      </c>
      <c r="AF337" s="219">
        <f>SUM(AF140,AF141,AF145,AF149,AF150,AF151)/SUM(AF194,AF198,AF200,AF201)</f>
        <v>2.09402890651613</v>
      </c>
      <c r="AH337" s="219">
        <f>SUM(AH140,AH141,AH145,AH149,AH150,AH151)/SUM(AH194,AH198,AH200,AH201)</f>
        <v>1.94038925063856</v>
      </c>
      <c r="AI337" s="219">
        <f>SUM(AI140,AI141,AI145,AI149,AI150,AI151)/SUM(AI194,AI198,AI200,AI201)</f>
        <v>2.73546320305128</v>
      </c>
      <c r="AJ337" s="219">
        <f>SUM(AJ140,AJ141,AJ145,AJ149,AJ150,AJ151)/SUM(AJ194,AJ198,AJ200,AJ201)</f>
        <v>38.2120492032429</v>
      </c>
      <c r="AK337" s="219">
        <f>SUM(AK140,AK141,AK145,AK149,AK150,AK151)/SUM(AK194,AK198,AK200,AK201)</f>
        <v>52.0869443667878</v>
      </c>
      <c r="AM337" s="219" t="e">
        <f>SUM(AM140,AM141,AM145,AM149,AM150,AM151)/SUM(AM194,AM198,AM200,AM201)</f>
        <v>#DIV/0!</v>
      </c>
      <c r="AN337" s="219" t="e">
        <f>SUM(AN140,AN141,AN145,AN149,AN150,AN151)/SUM(AN194,AN198,AN200,AN201)</f>
        <v>#DIV/0!</v>
      </c>
      <c r="AO337" s="219" t="e">
        <f>SUM(AO140,AO141,AO145,AO149,AO150,AO151)/SUM(AO194,AO198,AO200,AO201)</f>
        <v>#DIV/0!</v>
      </c>
      <c r="AP337" s="219" t="e">
        <f>SUM(AP140,AP141,AP145,AP149,AP150,AP151)/SUM(AP194,AP198,AP200,AP201)</f>
        <v>#DIV/0!</v>
      </c>
      <c r="AR337" s="219" t="e">
        <f>SUM(AR140,AR141,AR145,AR149,AR150,AR151)/SUM(AR194,AR198,AR200,AR201)</f>
        <v>#DIV/0!</v>
      </c>
      <c r="AS337" s="219" t="e">
        <f>SUM(AS140,AS141,AS145,AS149,AS150,AS151)/SUM(AS194,AS198,AS200,AS201)</f>
        <v>#DIV/0!</v>
      </c>
      <c r="AT337" s="219" t="e">
        <f>SUM(AT140,AT141,AT145,AT149,AT150,AT151)/SUM(AT194,AT198,AT200,AT201)</f>
        <v>#DIV/0!</v>
      </c>
      <c r="AU337" s="219" t="e">
        <f>SUM(AU140,AU141,AU145,AU149,AU150,AU151)/SUM(AU194,AU198,AU200,AU201)</f>
        <v>#DIV/0!</v>
      </c>
      <c r="AW337" s="219" t="e">
        <f>SUM(AW140,AW141,AW145,AW149,AW150,AW151)/SUM(AW194,AW198,AW200,AW201)</f>
        <v>#DIV/0!</v>
      </c>
      <c r="AX337" s="219" t="e">
        <f>SUM(AX140,AX141,AX145,AX149,AX150,AX151)/SUM(AX194,AX198,AX200,AX201)</f>
        <v>#DIV/0!</v>
      </c>
      <c r="AY337" s="219" t="e">
        <f>SUM(AY140,AY141,AY145,AY149,AY150,AY151)/SUM(AY194,AY198,AY200,AY201)</f>
        <v>#DIV/0!</v>
      </c>
      <c r="AZ337" s="219" t="e">
        <f>SUM(AZ140,AZ141,AZ145,AZ149,AZ150,AZ151)/SUM(AZ194,AZ198,AZ200,AZ201)</f>
        <v>#DIV/0!</v>
      </c>
      <c r="BB337" s="219" t="e">
        <f>SUM(BB140,BB141,BB145,BB149,BB150,BB151)/SUM(BB194,BB198,BB200,BB201)</f>
        <v>#DIV/0!</v>
      </c>
      <c r="BC337" s="219" t="e">
        <f>SUM(BC140,BC141,BC145,BC149,BC150,BC151)/SUM(BC194,BC198,BC200,BC201)</f>
        <v>#DIV/0!</v>
      </c>
      <c r="BD337" s="219" t="e">
        <f>SUM(BD140,BD141,BD145,BD149,BD150,BD151)/SUM(BD194,BD198,BD200,BD201)</f>
        <v>#DIV/0!</v>
      </c>
      <c r="BE337" s="219" t="e">
        <f>SUM(BE140,BE141,BE145,BE149,BE150,BE151)/SUM(BE194,BE198,BE200,BE201)</f>
        <v>#DIV/0!</v>
      </c>
      <c r="BG337" s="219" t="e">
        <f>SUM(BG140,BG141,BG145,BG149,BG150,BG151)/SUM(BG194,BG198,BG200,BG201)</f>
        <v>#DIV/0!</v>
      </c>
      <c r="BH337" s="219" t="e">
        <f>SUM(BH140,BH141,BH145,BH149,BH150,BH151)/SUM(BH194,BH198,BH200,BH201)</f>
        <v>#DIV/0!</v>
      </c>
      <c r="BI337" s="219" t="e">
        <f>SUM(BI140,BI141,BI145,BI149,BI150,BI151)/SUM(BI194,BI198,BI200,BI201)</f>
        <v>#DIV/0!</v>
      </c>
      <c r="BJ337" s="219" t="e">
        <f>SUM(BJ140,BJ141,BJ145,BJ149,BJ150,BJ151)/SUM(BJ194,BJ198,BJ200,BJ201)</f>
        <v>#DIV/0!</v>
      </c>
      <c r="BL337" s="219" t="e">
        <f>SUM(BL140,BL141,BL145,BL149,BL150,BL151)/SUM(BL194,BL198,BL200,BL201)</f>
        <v>#DIV/0!</v>
      </c>
      <c r="BM337" s="219" t="e">
        <f>SUM(BM140,BM141,BM145,BM149,BM150,BM151)/SUM(BM194,BM198,BM200,BM201)</f>
        <v>#DIV/0!</v>
      </c>
      <c r="BN337" s="219" t="e">
        <f>SUM(BN140,BN141,BN145,BN149,BN150,BN151)/SUM(BN194,BN198,BN200,BN201)</f>
        <v>#DIV/0!</v>
      </c>
      <c r="BO337" s="219" t="e">
        <f>SUM(BO140,BO141,BO145,BO149,BO150,BO151)/SUM(BO194,BO198,BO200,BO201)</f>
        <v>#DIV/0!</v>
      </c>
      <c r="BQ337" s="219" t="e">
        <f>SUM(BQ140,BQ141,BQ145,BQ149,BQ150,BQ151)/SUM(BQ194,BQ198,BQ200,BQ201)</f>
        <v>#DIV/0!</v>
      </c>
      <c r="BR337" s="219" t="e">
        <f>SUM(BR140,BR141,BR145,BR149,BR150,BR151)/SUM(BR194,BR198,BR200,BR201)</f>
        <v>#DIV/0!</v>
      </c>
      <c r="BS337" s="219" t="e">
        <f>SUM(BS140,BS141,BS145,BS149,BS150,BS151)/SUM(BS194,BS198,BS200,BS201)</f>
        <v>#DIV/0!</v>
      </c>
      <c r="BT337" s="219" t="e">
        <f>SUM(BT140,BT141,BT145,BT149,BT150,BT151)/SUM(BT194,BT198,BT200,BT201)</f>
        <v>#DIV/0!</v>
      </c>
      <c r="BV337" s="219" t="e">
        <f>SUM(BV140,BV141,BV145,BV149,BV150,BV151)/SUM(BV194,BV198,BV200,BV201)</f>
        <v>#DIV/0!</v>
      </c>
      <c r="BW337" s="219" t="e">
        <f>SUM(BW140,BW141,BW145,BW149,BW150,BW151)/SUM(BW194,BW198,BW200,BW201)</f>
        <v>#DIV/0!</v>
      </c>
      <c r="BX337" s="219" t="e">
        <f>SUM(BX140,BX141,BX145,BX149,BX150,BX151)/SUM(BX194,BX198,BX200,BX201)</f>
        <v>#DIV/0!</v>
      </c>
      <c r="BY337" s="219" t="e">
        <f>SUM(BY140,BY141,BY145,BY149,BY150,BY151)/SUM(BY194,BY198,BY200,BY201)</f>
        <v>#DIV/0!</v>
      </c>
      <c r="CA337" s="219" t="e">
        <f>SUM(CA140,CA141,CA145,CA149,CA150,CA151)/SUM(CA194,CA198,CA200,CA201)</f>
        <v>#DIV/0!</v>
      </c>
      <c r="CB337" s="219" t="e">
        <f>SUM(CB140,CB141,CB145,CB149,CB150,CB151)/SUM(CB194,CB198,CB200,CB201)</f>
        <v>#DIV/0!</v>
      </c>
      <c r="CC337" s="219" t="e">
        <f>SUM(CC140,CC141,CC145,CC149,CC150,CC151)/SUM(CC194,CC198,CC200,CC201)</f>
        <v>#DIV/0!</v>
      </c>
      <c r="CD337" s="219" t="e">
        <f>SUM(CD140,CD141,CD145,CD149,CD150,CD151)/SUM(CD194,CD198,CD200,CD201)</f>
        <v>#DIV/0!</v>
      </c>
      <c r="CF337" s="219" t="e">
        <f>SUM(CF140,CF141,CF145,CF149,CF150,CF151)/SUM(CF194,CF198,CF200,CF201)</f>
        <v>#DIV/0!</v>
      </c>
      <c r="CG337" s="219" t="e">
        <f>SUM(CG140,CG141,CG145,CG149,CG150,CG151)/SUM(CG194,CG198,CG200,CG201)</f>
        <v>#DIV/0!</v>
      </c>
      <c r="CH337" s="219" t="e">
        <f>SUM(CH140,CH141,CH145,CH149,CH150,CH151)/SUM(CH194,CH198,CH200,CH201)</f>
        <v>#DIV/0!</v>
      </c>
      <c r="CI337" s="219" t="e">
        <f>SUM(CI140,CI141,CI145,CI149,CI150,CI151)/SUM(CI194,CI198,CI200,CI201)</f>
        <v>#DIV/0!</v>
      </c>
      <c r="CK337" s="219" t="e">
        <f>SUM(CK140,CK141,CK145,CK149,CK150,CK151)/SUM(CK194,CK198,CK200,CK201)</f>
        <v>#DIV/0!</v>
      </c>
      <c r="CL337" s="219" t="e">
        <f>SUM(CL140,CL141,CL145,CL149,CL150,CL151)/SUM(CL194,CL198,CL200,CL201)</f>
        <v>#DIV/0!</v>
      </c>
      <c r="CM337" s="219" t="e">
        <f>SUM(CM140,CM141,CM145,CM149,CM150,CM151)/SUM(CM194,CM198,CM200,CM201)</f>
        <v>#DIV/0!</v>
      </c>
      <c r="CN337" s="219" t="e">
        <f>SUM(CN140,CN141,CN145,CN149,CN150,CN151)/SUM(CN194,CN198,CN200,CN201)</f>
        <v>#DIV/0!</v>
      </c>
      <c r="CP337" s="219" t="e">
        <f>SUM(CP140,CP141,CP145,CP149,CP150,CP151)/SUM(CP194,CP198,CP200,CP201)</f>
        <v>#DIV/0!</v>
      </c>
      <c r="CQ337" s="219" t="e">
        <f>SUM(CQ140,CQ141,CQ145,CQ149,CQ150,CQ151)/SUM(CQ194,CQ198,CQ200,CQ201)</f>
        <v>#DIV/0!</v>
      </c>
      <c r="CR337" s="219" t="e">
        <f>SUM(CR140,CR141,CR145,CR149,CR150,CR151)/SUM(CR194,CR198,CR200,CR201)</f>
        <v>#DIV/0!</v>
      </c>
      <c r="CS337" s="219" t="e">
        <f>SUM(CS140,CS141,CS145,CS149,CS150,CS151)/SUM(CS194,CS198,CS200,CS201)</f>
        <v>#DIV/0!</v>
      </c>
      <c r="CU337" s="219" t="e">
        <f>SUM(CU140,CU141,CU145,CU149,CU150,CU151)/SUM(CU194,CU198,CU200,CU201)</f>
        <v>#DIV/0!</v>
      </c>
      <c r="CV337" s="219" t="e">
        <f>SUM(CV140,CV141,CV145,CV149,CV150,CV151)/SUM(CV194,CV198,CV200,CV201)</f>
        <v>#DIV/0!</v>
      </c>
      <c r="CW337" s="219" t="e">
        <f>SUM(CW140,CW141,CW145,CW149,CW150,CW151)/SUM(CW194,CW198,CW200,CW201)</f>
        <v>#DIV/0!</v>
      </c>
      <c r="CX337" s="219" t="e">
        <f>SUM(CX140,CX141,CX145,CX149,CX150,CX151)/SUM(CX194,CX198,CX200,CX201)</f>
        <v>#DIV/0!</v>
      </c>
    </row>
    <row r="338" customFormat="1" s="233">
      <c r="A338" s="224" t="n"/>
      <c r="B338" s="224" t="n"/>
      <c r="C338" s="233" t="inlineStr">
        <is>
          <t>CASH RATIO</t>
        </is>
      </c>
      <c r="D338" s="219">
        <f>SUM(D140)/SUM(D194,D198,D200,D201)</f>
        <v>2.91694244693822</v>
      </c>
      <c r="E338" s="219">
        <f>SUM(E140)/SUM(E194,E198,E200,E201)</f>
        <v>2.77337486829447</v>
      </c>
      <c r="F338" s="219">
        <f>SUM(F140)/SUM(F194,F198,F200,F201)</f>
        <v>2.75095435684647</v>
      </c>
      <c r="G338" s="219">
        <f>SUM(G140)/SUM(G194,G198,G200,G201)</f>
        <v>2.40514480768554</v>
      </c>
      <c r="I338" s="219">
        <f>SUM(I140)/SUM(I194,I198,I200,I201)</f>
        <v>2.43636953816746</v>
      </c>
      <c r="J338" s="219">
        <f>SUM(J140)/SUM(J194,J198,J200,J201)</f>
        <v>2.43739796559086</v>
      </c>
      <c r="K338" s="219">
        <f>SUM(K140)/SUM(K194,K198,K200,K201)</f>
        <v>2.29845262374154</v>
      </c>
      <c r="L338" s="219">
        <f>SUM(L140)/SUM(L194,L198,L200,L201)</f>
        <v>2.17338998350297</v>
      </c>
      <c r="N338" s="219">
        <f>SUM(N140)/SUM(N194,N198,N200,N201)</f>
        <v>2.16262026215536</v>
      </c>
      <c r="O338" s="219">
        <f>SUM(O140)/SUM(O194,O198,O200,O201)</f>
        <v>2.03730808097272</v>
      </c>
      <c r="P338" s="219">
        <f>SUM(P140)/SUM(P194,P198,P200,P201)</f>
        <v>1.76206065566317</v>
      </c>
      <c r="Q338" s="219">
        <f>SUM(Q140)/SUM(Q194,Q198,Q200,Q201)</f>
        <v>1.6415873015873</v>
      </c>
      <c r="S338" s="219">
        <f>SUM(S140)/SUM(S194,S198,S200,S201)</f>
        <v>1.67168210997182</v>
      </c>
      <c r="T338" s="219">
        <f>SUM(T140)/SUM(T194,T198,T200,T201)</f>
        <v>1.52275798170096</v>
      </c>
      <c r="U338" s="219">
        <f>SUM(U140)/SUM(U194,U198,U200,U201)</f>
        <v>1.3898255982386</v>
      </c>
      <c r="V338" s="219">
        <f>SUM(V140)/SUM(V194,V198,V200,V201)</f>
        <v>1.35570929180825</v>
      </c>
      <c r="X338" s="219">
        <f>SUM(X140)/SUM(X194,X198,X200,X201)</f>
        <v>1.40382092808811</v>
      </c>
      <c r="Y338" s="219">
        <f>SUM(Y140)/SUM(Y194,Y198,Y200,Y201)</f>
        <v>1.29278810981479</v>
      </c>
      <c r="Z338" s="219">
        <f>SUM(Z140)/SUM(Z194,Z198,Z200,Z201)</f>
        <v>1.15379379478485</v>
      </c>
      <c r="AA338" s="219">
        <f>SUM(AA140)/SUM(AA194,AA198,AA200,AA201)</f>
        <v>1.07332645138125</v>
      </c>
      <c r="AC338" s="219">
        <f>SUM(AC140)/SUM(AC194,AC198,AC200,AC201)</f>
        <v>1.04008553909267</v>
      </c>
      <c r="AD338" s="219">
        <f>SUM(AD140)/SUM(AD194,AD198,AD200,AD201)</f>
        <v>1.08977207650899</v>
      </c>
      <c r="AE338" s="219">
        <f>SUM(AE140)/SUM(AE194,AE198,AE200,AE201)</f>
        <v>0.989412355600201</v>
      </c>
      <c r="AF338" s="219">
        <f>SUM(AF140)/SUM(AF194,AF198,AF200,AF201)</f>
        <v>1.23454182685289</v>
      </c>
      <c r="AH338" s="219">
        <f>SUM(AH140)/SUM(AH194,AH198,AH200,AH201)</f>
        <v>1.14077058675397</v>
      </c>
      <c r="AI338" s="219">
        <f>SUM(AI140)/SUM(AI194,AI198,AI200,AI201)</f>
        <v>1.92270301559737</v>
      </c>
      <c r="AJ338" s="219">
        <f>SUM(AJ140)/SUM(AJ194,AJ198,AJ200,AJ201)</f>
        <v>34.9506569751188</v>
      </c>
      <c r="AK338" s="219">
        <f>SUM(AK140)/SUM(AK194,AK198,AK200,AK201)</f>
        <v>48.8255521386637</v>
      </c>
      <c r="AM338" s="219" t="e">
        <f>SUM(AM140)/SUM(AM194,AM198,AM200,AM201)</f>
        <v>#DIV/0!</v>
      </c>
      <c r="AN338" s="219" t="e">
        <f>SUM(AN140)/SUM(AN194,AN198,AN200,AN201)</f>
        <v>#DIV/0!</v>
      </c>
      <c r="AO338" s="219" t="e">
        <f>SUM(AO140)/SUM(AO194,AO198,AO200,AO201)</f>
        <v>#DIV/0!</v>
      </c>
      <c r="AP338" s="219" t="e">
        <f>SUM(AP140)/SUM(AP194,AP198,AP200,AP201)</f>
        <v>#DIV/0!</v>
      </c>
      <c r="AR338" s="219" t="e">
        <f>SUM(AR140)/SUM(AR194,AR198,AR200,AR201)</f>
        <v>#DIV/0!</v>
      </c>
      <c r="AS338" s="219" t="e">
        <f>SUM(AS140)/SUM(AS194,AS198,AS200,AS201)</f>
        <v>#DIV/0!</v>
      </c>
      <c r="AT338" s="219" t="e">
        <f>SUM(AT140)/SUM(AT194,AT198,AT200,AT201)</f>
        <v>#DIV/0!</v>
      </c>
      <c r="AU338" s="219" t="e">
        <f>SUM(AU140)/SUM(AU194,AU198,AU200,AU201)</f>
        <v>#DIV/0!</v>
      </c>
      <c r="AW338" s="219" t="e">
        <f>SUM(AW140)/SUM(AW194,AW198,AW200,AW201)</f>
        <v>#DIV/0!</v>
      </c>
      <c r="AX338" s="219" t="e">
        <f>SUM(AX140)/SUM(AX194,AX198,AX200,AX201)</f>
        <v>#DIV/0!</v>
      </c>
      <c r="AY338" s="219" t="e">
        <f>SUM(AY140)/SUM(AY194,AY198,AY200,AY201)</f>
        <v>#DIV/0!</v>
      </c>
      <c r="AZ338" s="219" t="e">
        <f>SUM(AZ140)/SUM(AZ194,AZ198,AZ200,AZ201)</f>
        <v>#DIV/0!</v>
      </c>
      <c r="BB338" s="219" t="e">
        <f>SUM(BB140)/SUM(BB194,BB198,BB200,BB201)</f>
        <v>#DIV/0!</v>
      </c>
      <c r="BC338" s="219" t="e">
        <f>SUM(BC140)/SUM(BC194,BC198,BC200,BC201)</f>
        <v>#DIV/0!</v>
      </c>
      <c r="BD338" s="219" t="e">
        <f>SUM(BD140)/SUM(BD194,BD198,BD200,BD201)</f>
        <v>#DIV/0!</v>
      </c>
      <c r="BE338" s="219" t="e">
        <f>SUM(BE140)/SUM(BE194,BE198,BE200,BE201)</f>
        <v>#DIV/0!</v>
      </c>
      <c r="BG338" s="219" t="e">
        <f>SUM(BG140)/SUM(BG194,BG198,BG200,BG201)</f>
        <v>#DIV/0!</v>
      </c>
      <c r="BH338" s="219" t="e">
        <f>SUM(BH140)/SUM(BH194,BH198,BH200,BH201)</f>
        <v>#DIV/0!</v>
      </c>
      <c r="BI338" s="219" t="e">
        <f>SUM(BI140)/SUM(BI194,BI198,BI200,BI201)</f>
        <v>#DIV/0!</v>
      </c>
      <c r="BJ338" s="219" t="e">
        <f>SUM(BJ140)/SUM(BJ194,BJ198,BJ200,BJ201)</f>
        <v>#DIV/0!</v>
      </c>
      <c r="BL338" s="219" t="e">
        <f>SUM(BL140)/SUM(BL194,BL198,BL200,BL201)</f>
        <v>#DIV/0!</v>
      </c>
      <c r="BM338" s="219" t="e">
        <f>SUM(BM140)/SUM(BM194,BM198,BM200,BM201)</f>
        <v>#DIV/0!</v>
      </c>
      <c r="BN338" s="219" t="e">
        <f>SUM(BN140)/SUM(BN194,BN198,BN200,BN201)</f>
        <v>#DIV/0!</v>
      </c>
      <c r="BO338" s="219" t="e">
        <f>SUM(BO140)/SUM(BO194,BO198,BO200,BO201)</f>
        <v>#DIV/0!</v>
      </c>
      <c r="BQ338" s="219" t="e">
        <f>SUM(BQ140)/SUM(BQ194,BQ198,BQ200,BQ201)</f>
        <v>#DIV/0!</v>
      </c>
      <c r="BR338" s="219" t="e">
        <f>SUM(BR140)/SUM(BR194,BR198,BR200,BR201)</f>
        <v>#DIV/0!</v>
      </c>
      <c r="BS338" s="219" t="e">
        <f>SUM(BS140)/SUM(BS194,BS198,BS200,BS201)</f>
        <v>#DIV/0!</v>
      </c>
      <c r="BT338" s="219" t="e">
        <f>SUM(BT140)/SUM(BT194,BT198,BT200,BT201)</f>
        <v>#DIV/0!</v>
      </c>
      <c r="BV338" s="219" t="e">
        <f>SUM(BV140)/SUM(BV194,BV198,BV200,BV201)</f>
        <v>#DIV/0!</v>
      </c>
      <c r="BW338" s="219" t="e">
        <f>SUM(BW140)/SUM(BW194,BW198,BW200,BW201)</f>
        <v>#DIV/0!</v>
      </c>
      <c r="BX338" s="219" t="e">
        <f>SUM(BX140)/SUM(BX194,BX198,BX200,BX201)</f>
        <v>#DIV/0!</v>
      </c>
      <c r="BY338" s="219" t="e">
        <f>SUM(BY140)/SUM(BY194,BY198,BY200,BY201)</f>
        <v>#DIV/0!</v>
      </c>
      <c r="CA338" s="219" t="e">
        <f>SUM(CA140)/SUM(CA194,CA198,CA200,CA201)</f>
        <v>#DIV/0!</v>
      </c>
      <c r="CB338" s="219" t="e">
        <f>SUM(CB140)/SUM(CB194,CB198,CB200,CB201)</f>
        <v>#DIV/0!</v>
      </c>
      <c r="CC338" s="219" t="e">
        <f>SUM(CC140)/SUM(CC194,CC198,CC200,CC201)</f>
        <v>#DIV/0!</v>
      </c>
      <c r="CD338" s="219" t="e">
        <f>SUM(CD140)/SUM(CD194,CD198,CD200,CD201)</f>
        <v>#DIV/0!</v>
      </c>
      <c r="CF338" s="219" t="e">
        <f>SUM(CF140)/SUM(CF194,CF198,CF200,CF201)</f>
        <v>#DIV/0!</v>
      </c>
      <c r="CG338" s="219" t="e">
        <f>SUM(CG140)/SUM(CG194,CG198,CG200,CG201)</f>
        <v>#DIV/0!</v>
      </c>
      <c r="CH338" s="219" t="e">
        <f>SUM(CH140)/SUM(CH194,CH198,CH200,CH201)</f>
        <v>#DIV/0!</v>
      </c>
      <c r="CI338" s="219" t="e">
        <f>SUM(CI140)/SUM(CI194,CI198,CI200,CI201)</f>
        <v>#DIV/0!</v>
      </c>
      <c r="CK338" s="219" t="e">
        <f>SUM(CK140)/SUM(CK194,CK198,CK200,CK201)</f>
        <v>#DIV/0!</v>
      </c>
      <c r="CL338" s="219" t="e">
        <f>SUM(CL140)/SUM(CL194,CL198,CL200,CL201)</f>
        <v>#DIV/0!</v>
      </c>
      <c r="CM338" s="219" t="e">
        <f>SUM(CM140)/SUM(CM194,CM198,CM200,CM201)</f>
        <v>#DIV/0!</v>
      </c>
      <c r="CN338" s="219" t="e">
        <f>SUM(CN140)/SUM(CN194,CN198,CN200,CN201)</f>
        <v>#DIV/0!</v>
      </c>
      <c r="CP338" s="219" t="e">
        <f>SUM(CP140)/SUM(CP194,CP198,CP200,CP201)</f>
        <v>#DIV/0!</v>
      </c>
      <c r="CQ338" s="219" t="e">
        <f>SUM(CQ140)/SUM(CQ194,CQ198,CQ200,CQ201)</f>
        <v>#DIV/0!</v>
      </c>
      <c r="CR338" s="219" t="e">
        <f>SUM(CR140)/SUM(CR194,CR198,CR200,CR201)</f>
        <v>#DIV/0!</v>
      </c>
      <c r="CS338" s="219" t="e">
        <f>SUM(CS140)/SUM(CS194,CS198,CS200,CS201)</f>
        <v>#DIV/0!</v>
      </c>
      <c r="CU338" s="219" t="e">
        <f>SUM(CU140)/SUM(CU194,CU198,CU200,CU201)</f>
        <v>#DIV/0!</v>
      </c>
      <c r="CV338" s="219" t="e">
        <f>SUM(CV140)/SUM(CV194,CV198,CV200,CV201)</f>
        <v>#DIV/0!</v>
      </c>
      <c r="CW338" s="219" t="e">
        <f>SUM(CW140)/SUM(CW194,CW198,CW200,CW201)</f>
        <v>#DIV/0!</v>
      </c>
      <c r="CX338" s="219" t="e">
        <f>SUM(CX140)/SUM(CX194,CX198,CX200,CX201)</f>
        <v>#DIV/0!</v>
      </c>
    </row>
    <row r="339" customFormat="1" s="233">
      <c r="A339" s="224" t="n"/>
      <c r="B339" s="224" t="n"/>
    </row>
    <row r="340" customFormat="1" s="233">
      <c r="A340" s="224" t="n"/>
      <c r="B340" s="224" t="n"/>
      <c r="C340" s="234" t="inlineStr">
        <is>
          <t>OPERATING EFFICIENCY</t>
        </is>
      </c>
    </row>
    <row r="341" customFormat="1" s="238">
      <c r="A341" s="222" t="n"/>
      <c r="B341" s="222" t="n"/>
      <c r="C341" s="238" t="inlineStr">
        <is>
          <t>RETURN ON CAPITAL (ROIC)</t>
        </is>
      </c>
      <c r="D341" s="238">
        <f>D343/D346</f>
        <v>0.0675943411790535</v>
      </c>
      <c r="E341" s="238">
        <f>E343/E346</f>
        <v>0.052221491681917</v>
      </c>
      <c r="F341" s="238">
        <f>F343/F346</f>
        <v>0.0880762182332984</v>
      </c>
      <c r="G341" s="238">
        <f>G343/G346</f>
        <v>0.111379846004906</v>
      </c>
      <c r="H341" s="238">
        <f>H343/H346</f>
        <v>0.301560662114396</v>
      </c>
      <c r="I341" s="222">
        <f>I343/I346</f>
        <v>0.111149555205228</v>
      </c>
      <c r="J341" s="222">
        <f>J343/J346</f>
        <v>0.123261946956207</v>
      </c>
      <c r="K341" s="222">
        <f>K343/K346</f>
        <v>0.130934580018889</v>
      </c>
      <c r="L341" s="222">
        <f>L343/L346</f>
        <v>0.129055160956968</v>
      </c>
      <c r="M341" s="222">
        <f>M343/M346</f>
        <v>0.459818591541299</v>
      </c>
      <c r="N341" s="222">
        <f>N343/N346</f>
        <v>0.117042487199962</v>
      </c>
      <c r="O341" s="222">
        <f>O343/O346</f>
        <v>0.103763274676937</v>
      </c>
      <c r="P341" s="222">
        <f>P343/P346</f>
        <v>0.0892687292914156</v>
      </c>
      <c r="Q341" s="222">
        <f>Q343/Q346</f>
        <v>0.0848268078186137</v>
      </c>
      <c r="R341" s="222">
        <f>R343/R346</f>
        <v>0.369942871214541</v>
      </c>
      <c r="S341" s="222">
        <f>S343/S346</f>
        <v>0.0833065254575976</v>
      </c>
      <c r="T341" s="222">
        <f>T343/T346</f>
        <v>0.104161636306111</v>
      </c>
      <c r="U341" s="222">
        <f>U343/U346</f>
        <v>0.110059698473056</v>
      </c>
      <c r="V341" s="222">
        <f>V343/V346</f>
        <v>0.101082250954426</v>
      </c>
      <c r="W341" s="222">
        <f>W343/W346</f>
        <v>0.365290912097326</v>
      </c>
      <c r="X341" s="222">
        <f>X343/X346</f>
        <v>0.101158083846481</v>
      </c>
      <c r="Y341" s="222">
        <f>Y343/Y346</f>
        <v>0.104173327071026</v>
      </c>
      <c r="Z341" s="222">
        <f>Z343/Z346</f>
        <v>0.0963524341814048</v>
      </c>
      <c r="AA341" s="222">
        <f>AA343/AA346</f>
        <v>0.101150259587805</v>
      </c>
      <c r="AB341" s="222">
        <f>AB343/AB346</f>
        <v>0.372671670688866</v>
      </c>
      <c r="AC341" s="222">
        <f>AC343/AC346</f>
        <v>0.0928315582794413</v>
      </c>
      <c r="AD341" s="222">
        <f>AD343/AD346</f>
        <v>0.0856635256220122</v>
      </c>
      <c r="AE341" s="222">
        <f>AE343/AE346</f>
        <v>0.0771006546805977</v>
      </c>
      <c r="AF341" s="222">
        <f>AF343/AF346</f>
        <v>0.0910272347150767</v>
      </c>
      <c r="AG341" s="222">
        <f>AG343/AG346</f>
        <v>0.308824219396964</v>
      </c>
      <c r="AH341" s="222">
        <f>AH343/AH346</f>
        <v>0.0725362060687612</v>
      </c>
      <c r="AI341" s="222">
        <f>AI343/AI346</f>
        <v>0.0617822519274734</v>
      </c>
      <c r="AJ341" s="222">
        <f>AJ343/AJ346</f>
        <v>0</v>
      </c>
      <c r="AK341" s="222">
        <f>AK343/AK346</f>
        <v>0</v>
      </c>
      <c r="AL341" s="222">
        <f>AL343/AL346</f>
        <v>0.125912532749041</v>
      </c>
      <c r="AM341" s="222" t="e">
        <f>AM343/AM346</f>
        <v>#DIV/0!</v>
      </c>
      <c r="AN341" s="222">
        <f>AN343/AN346</f>
        <v>0</v>
      </c>
      <c r="AO341" s="222" t="e">
        <f>AO343/AO346</f>
        <v>#DIV/0!</v>
      </c>
      <c r="AP341" s="222" t="e">
        <f>AP343/AP346</f>
        <v>#DIV/0!</v>
      </c>
      <c r="AQ341" s="222" t="e">
        <f>AQ343/AQ346</f>
        <v>#DIV/0!</v>
      </c>
      <c r="AR341" s="222" t="e">
        <f>AR343/AR346</f>
        <v>#DIV/0!</v>
      </c>
      <c r="AS341" s="222" t="e">
        <f>AS343/AS346</f>
        <v>#DIV/0!</v>
      </c>
      <c r="AT341" s="222" t="e">
        <f>AT343/AT346</f>
        <v>#DIV/0!</v>
      </c>
      <c r="AU341" s="222" t="e">
        <f>AU343/AU346</f>
        <v>#DIV/0!</v>
      </c>
      <c r="AV341" s="222" t="e">
        <f>AV343/AV346</f>
        <v>#DIV/0!</v>
      </c>
      <c r="AW341" s="222" t="e">
        <f>AW343/AW346</f>
        <v>#DIV/0!</v>
      </c>
      <c r="AX341" s="222" t="e">
        <f>AX343/AX346</f>
        <v>#DIV/0!</v>
      </c>
      <c r="AY341" s="222" t="e">
        <f>AY343/AY346</f>
        <v>#DIV/0!</v>
      </c>
      <c r="AZ341" s="222" t="e">
        <f>AZ343/AZ346</f>
        <v>#DIV/0!</v>
      </c>
      <c r="BA341" s="222" t="e">
        <f>BA343/BA346</f>
        <v>#DIV/0!</v>
      </c>
      <c r="BB341" s="222" t="e">
        <f>BB343/BB346</f>
        <v>#DIV/0!</v>
      </c>
      <c r="BC341" s="222" t="e">
        <f>BC343/BC346</f>
        <v>#DIV/0!</v>
      </c>
      <c r="BD341" s="222" t="e">
        <f>BD343/BD346</f>
        <v>#DIV/0!</v>
      </c>
      <c r="BE341" s="222" t="e">
        <f>BE343/BE346</f>
        <v>#DIV/0!</v>
      </c>
      <c r="BF341" s="222" t="e">
        <f>BF343/BF346</f>
        <v>#DIV/0!</v>
      </c>
      <c r="BG341" s="222" t="e">
        <f>BG343/BG346</f>
        <v>#DIV/0!</v>
      </c>
      <c r="BH341" s="222" t="e">
        <f>BH343/BH346</f>
        <v>#DIV/0!</v>
      </c>
      <c r="BI341" s="222" t="e">
        <f>BI343/BI346</f>
        <v>#DIV/0!</v>
      </c>
      <c r="BJ341" s="222" t="e">
        <f>BJ343/BJ346</f>
        <v>#DIV/0!</v>
      </c>
      <c r="BK341" s="222" t="e">
        <f>BK343/BK346</f>
        <v>#DIV/0!</v>
      </c>
      <c r="BL341" s="222" t="e">
        <f>BL343/BL346</f>
        <v>#DIV/0!</v>
      </c>
      <c r="BM341" s="222" t="e">
        <f>BM343/BM346</f>
        <v>#DIV/0!</v>
      </c>
      <c r="BN341" s="222" t="e">
        <f>BN343/BN346</f>
        <v>#DIV/0!</v>
      </c>
      <c r="BO341" s="222" t="e">
        <f>BO343/BO346</f>
        <v>#DIV/0!</v>
      </c>
      <c r="BP341" s="222" t="e">
        <f>BP343/BP346</f>
        <v>#DIV/0!</v>
      </c>
      <c r="BQ341" s="222" t="e">
        <f>BQ343/BQ346</f>
        <v>#DIV/0!</v>
      </c>
      <c r="BR341" s="222" t="e">
        <f>BR343/BR346</f>
        <v>#DIV/0!</v>
      </c>
      <c r="BS341" s="222" t="e">
        <f>BS343/BS346</f>
        <v>#DIV/0!</v>
      </c>
      <c r="BT341" s="222" t="e">
        <f>BT343/BT346</f>
        <v>#DIV/0!</v>
      </c>
      <c r="BU341" s="222" t="e">
        <f>BU343/BU346</f>
        <v>#DIV/0!</v>
      </c>
      <c r="BV341" s="222" t="e">
        <f>BV343/BV346</f>
        <v>#DIV/0!</v>
      </c>
      <c r="BW341" s="222" t="e">
        <f>BW343/BW346</f>
        <v>#DIV/0!</v>
      </c>
      <c r="BX341" s="222" t="e">
        <f>BX343/BX346</f>
        <v>#DIV/0!</v>
      </c>
      <c r="BY341" s="222" t="e">
        <f>BY343/BY346</f>
        <v>#DIV/0!</v>
      </c>
      <c r="BZ341" s="222" t="e">
        <f>BZ343/BZ346</f>
        <v>#DIV/0!</v>
      </c>
      <c r="CA341" s="222" t="e">
        <f>CA343/CA346</f>
        <v>#DIV/0!</v>
      </c>
      <c r="CB341" s="222" t="e">
        <f>CB343/CB346</f>
        <v>#DIV/0!</v>
      </c>
      <c r="CC341" s="222" t="e">
        <f>CC343/CC346</f>
        <v>#DIV/0!</v>
      </c>
      <c r="CD341" s="222" t="e">
        <f>CD343/CD346</f>
        <v>#DIV/0!</v>
      </c>
      <c r="CE341" s="222" t="e">
        <f>CE343/CE346</f>
        <v>#DIV/0!</v>
      </c>
      <c r="CF341" s="222" t="e">
        <f>CF343/CF346</f>
        <v>#DIV/0!</v>
      </c>
      <c r="CG341" s="222" t="e">
        <f>CG343/CG346</f>
        <v>#DIV/0!</v>
      </c>
      <c r="CH341" s="222" t="e">
        <f>CH343/CH346</f>
        <v>#DIV/0!</v>
      </c>
      <c r="CI341" s="222" t="e">
        <f>CI343/CI346</f>
        <v>#DIV/0!</v>
      </c>
      <c r="CJ341" s="222" t="e">
        <f>CJ343/CJ346</f>
        <v>#DIV/0!</v>
      </c>
      <c r="CK341" s="222" t="e">
        <f>CK343/CK346</f>
        <v>#DIV/0!</v>
      </c>
      <c r="CL341" s="222" t="e">
        <f>CL343/CL346</f>
        <v>#DIV/0!</v>
      </c>
      <c r="CM341" s="222" t="e">
        <f>CM343/CM346</f>
        <v>#DIV/0!</v>
      </c>
      <c r="CN341" s="222" t="e">
        <f>CN343/CN346</f>
        <v>#DIV/0!</v>
      </c>
      <c r="CO341" s="222" t="e">
        <f>CO343/CO346</f>
        <v>#DIV/0!</v>
      </c>
      <c r="CP341" s="222" t="e">
        <f>CP343/CP346</f>
        <v>#DIV/0!</v>
      </c>
      <c r="CQ341" s="222" t="e">
        <f>CQ343/CQ346</f>
        <v>#DIV/0!</v>
      </c>
      <c r="CR341" s="222" t="e">
        <f>CR343/CR346</f>
        <v>#DIV/0!</v>
      </c>
      <c r="CS341" s="222" t="e">
        <f>CS343/CS346</f>
        <v>#DIV/0!</v>
      </c>
      <c r="CT341" s="222" t="e">
        <f>CT343/CT346</f>
        <v>#DIV/0!</v>
      </c>
      <c r="CU341" s="222" t="e">
        <f>CU343/CU346</f>
        <v>#DIV/0!</v>
      </c>
      <c r="CV341" s="222" t="e">
        <f>CV343/CV346</f>
        <v>#DIV/0!</v>
      </c>
      <c r="CW341" s="222" t="e">
        <f>CW343/CW346</f>
        <v>#DIV/0!</v>
      </c>
      <c r="CX341" s="222" t="e">
        <f>CX343/CX346</f>
        <v>#DIV/0!</v>
      </c>
      <c r="CY341" s="222" t="e">
        <f>CY343/CY346</f>
        <v>#DIV/0!</v>
      </c>
    </row>
    <row r="342" customFormat="1" s="238">
      <c r="A342" s="222" t="n"/>
      <c r="B342" s="222" t="n"/>
      <c r="C342" s="238" t="inlineStr">
        <is>
          <t>RETURN ON CAPITAL (ROIC) - EX GOODWILL</t>
        </is>
      </c>
      <c r="D342" s="238">
        <f>D343/D347</f>
        <v>0.0844257518220032</v>
      </c>
      <c r="E342" s="238">
        <f>E343/E347</f>
        <v>0.0654925900537439</v>
      </c>
      <c r="F342" s="238">
        <f>F343/F347</f>
        <v>0.109372554527124</v>
      </c>
      <c r="G342" s="238">
        <f>G343/G347</f>
        <v>0.136654384007284</v>
      </c>
      <c r="H342" s="238">
        <f>H343/H347</f>
        <v>0.369991412272704</v>
      </c>
      <c r="I342" s="222">
        <f>I343/I347</f>
        <v>0.135436716310047</v>
      </c>
      <c r="J342" s="222">
        <f>J343/J347</f>
        <v>0.148381616462153</v>
      </c>
      <c r="K342" s="222">
        <f>K343/K347</f>
        <v>0.158047677416326</v>
      </c>
      <c r="L342" s="222">
        <f>L343/L347</f>
        <v>0.153642400671542</v>
      </c>
      <c r="M342" s="222">
        <f>M343/M347</f>
        <v>0.54742198416512</v>
      </c>
      <c r="N342" s="222">
        <f>N343/N347</f>
        <v>0.138413112972422</v>
      </c>
      <c r="O342" s="222">
        <f>O343/O347</f>
        <v>0.122332084382215</v>
      </c>
      <c r="P342" s="222">
        <f>P343/P347</f>
        <v>0.108244405244917</v>
      </c>
      <c r="Q342" s="222">
        <f>Q343/Q347</f>
        <v>0.102232356674535</v>
      </c>
      <c r="R342" s="222">
        <f>R343/R347</f>
        <v>0.445851170541251</v>
      </c>
      <c r="S342" s="222">
        <f>S343/S347</f>
        <v>0.100099187928172</v>
      </c>
      <c r="T342" s="222">
        <f>T343/T347</f>
        <v>0.124914674315643</v>
      </c>
      <c r="U342" s="222">
        <f>U343/U347</f>
        <v>0.131306221003826</v>
      </c>
      <c r="V342" s="222">
        <f>V343/V347</f>
        <v>0.11849843952283</v>
      </c>
      <c r="W342" s="222">
        <f>W343/W347</f>
        <v>0.42822951256715</v>
      </c>
      <c r="X342" s="222">
        <f>X343/X347</f>
        <v>0.117446230969619</v>
      </c>
      <c r="Y342" s="222">
        <f>Y343/Y347</f>
        <v>0.119645111904914</v>
      </c>
      <c r="Z342" s="222">
        <f>Z343/Z347</f>
        <v>0.110757193232124</v>
      </c>
      <c r="AA342" s="222">
        <f>AA343/AA347</f>
        <v>0.115802424932247</v>
      </c>
      <c r="AB342" s="222">
        <f>AB343/AB347</f>
        <v>0.426655189469483</v>
      </c>
      <c r="AC342" s="222">
        <f>AC343/AC347</f>
        <v>0.105258927831825</v>
      </c>
      <c r="AD342" s="222">
        <f>AD343/AD347</f>
        <v>0.0958849716462039</v>
      </c>
      <c r="AE342" s="222">
        <f>AE343/AE347</f>
        <v>0.0859819859153632</v>
      </c>
      <c r="AF342" s="222">
        <f>AF343/AF347</f>
        <v>0.100693700198463</v>
      </c>
      <c r="AG342" s="222">
        <f>AG343/AG347</f>
        <v>0.341619224832189</v>
      </c>
      <c r="AH342" s="222">
        <f>AH343/AH347</f>
        <v>0.0834320262359321</v>
      </c>
      <c r="AI342" s="222">
        <f>AI343/AI347</f>
        <v>0.0692919135890119</v>
      </c>
      <c r="AJ342" s="222">
        <f>AJ343/AJ347</f>
        <v>0</v>
      </c>
      <c r="AK342" s="222">
        <f>AK343/AK347</f>
        <v>0</v>
      </c>
      <c r="AL342" s="222">
        <f>AL343/AL347</f>
        <v>0.140289920635463</v>
      </c>
      <c r="AM342" s="222" t="e">
        <f>AM343/AM347</f>
        <v>#DIV/0!</v>
      </c>
      <c r="AN342" s="222">
        <f>AN343/AN347</f>
        <v>0</v>
      </c>
      <c r="AO342" s="222" t="e">
        <f>AO343/AO347</f>
        <v>#DIV/0!</v>
      </c>
      <c r="AP342" s="222" t="e">
        <f>AP343/AP347</f>
        <v>#DIV/0!</v>
      </c>
      <c r="AQ342" s="222" t="e">
        <f>AQ343/AQ347</f>
        <v>#DIV/0!</v>
      </c>
      <c r="AR342" s="222" t="e">
        <f>AR343/AR347</f>
        <v>#DIV/0!</v>
      </c>
      <c r="AS342" s="222" t="e">
        <f>AS343/AS347</f>
        <v>#DIV/0!</v>
      </c>
      <c r="AT342" s="222" t="e">
        <f>AT343/AT347</f>
        <v>#DIV/0!</v>
      </c>
      <c r="AU342" s="222" t="e">
        <f>AU343/AU347</f>
        <v>#DIV/0!</v>
      </c>
      <c r="AV342" s="222" t="e">
        <f>AV343/AV347</f>
        <v>#DIV/0!</v>
      </c>
      <c r="AW342" s="222" t="e">
        <f>AW343/AW347</f>
        <v>#DIV/0!</v>
      </c>
      <c r="AX342" s="222" t="e">
        <f>AX343/AX347</f>
        <v>#DIV/0!</v>
      </c>
      <c r="AY342" s="222" t="e">
        <f>AY343/AY347</f>
        <v>#DIV/0!</v>
      </c>
      <c r="AZ342" s="222" t="e">
        <f>AZ343/AZ347</f>
        <v>#DIV/0!</v>
      </c>
      <c r="BA342" s="222" t="e">
        <f>BA343/BA347</f>
        <v>#DIV/0!</v>
      </c>
      <c r="BB342" s="222" t="e">
        <f>BB343/BB347</f>
        <v>#DIV/0!</v>
      </c>
      <c r="BC342" s="222" t="e">
        <f>BC343/BC347</f>
        <v>#DIV/0!</v>
      </c>
      <c r="BD342" s="222" t="e">
        <f>BD343/BD347</f>
        <v>#DIV/0!</v>
      </c>
      <c r="BE342" s="222" t="e">
        <f>BE343/BE347</f>
        <v>#DIV/0!</v>
      </c>
      <c r="BF342" s="222" t="e">
        <f>BF343/BF347</f>
        <v>#DIV/0!</v>
      </c>
      <c r="BG342" s="222" t="e">
        <f>BG343/BG347</f>
        <v>#DIV/0!</v>
      </c>
      <c r="BH342" s="222" t="e">
        <f>BH343/BH347</f>
        <v>#DIV/0!</v>
      </c>
      <c r="BI342" s="222" t="e">
        <f>BI343/BI347</f>
        <v>#DIV/0!</v>
      </c>
      <c r="BJ342" s="222" t="e">
        <f>BJ343/BJ347</f>
        <v>#DIV/0!</v>
      </c>
      <c r="BK342" s="222" t="e">
        <f>BK343/BK347</f>
        <v>#DIV/0!</v>
      </c>
      <c r="BL342" s="222" t="e">
        <f>BL343/BL347</f>
        <v>#DIV/0!</v>
      </c>
      <c r="BM342" s="222" t="e">
        <f>BM343/BM347</f>
        <v>#DIV/0!</v>
      </c>
      <c r="BN342" s="222" t="e">
        <f>BN343/BN347</f>
        <v>#DIV/0!</v>
      </c>
      <c r="BO342" s="222" t="e">
        <f>BO343/BO347</f>
        <v>#DIV/0!</v>
      </c>
      <c r="BP342" s="222" t="e">
        <f>BP343/BP347</f>
        <v>#DIV/0!</v>
      </c>
      <c r="BQ342" s="222" t="e">
        <f>BQ343/BQ347</f>
        <v>#DIV/0!</v>
      </c>
      <c r="BR342" s="222" t="e">
        <f>BR343/BR347</f>
        <v>#DIV/0!</v>
      </c>
      <c r="BS342" s="222" t="e">
        <f>BS343/BS347</f>
        <v>#DIV/0!</v>
      </c>
      <c r="BT342" s="222" t="e">
        <f>BT343/BT347</f>
        <v>#DIV/0!</v>
      </c>
      <c r="BU342" s="222" t="e">
        <f>BU343/BU347</f>
        <v>#DIV/0!</v>
      </c>
      <c r="BV342" s="222" t="e">
        <f>BV343/BV347</f>
        <v>#DIV/0!</v>
      </c>
      <c r="BW342" s="222" t="e">
        <f>BW343/BW347</f>
        <v>#DIV/0!</v>
      </c>
      <c r="BX342" s="222" t="e">
        <f>BX343/BX347</f>
        <v>#DIV/0!</v>
      </c>
      <c r="BY342" s="222" t="e">
        <f>BY343/BY347</f>
        <v>#DIV/0!</v>
      </c>
      <c r="BZ342" s="222" t="e">
        <f>BZ343/BZ347</f>
        <v>#DIV/0!</v>
      </c>
      <c r="CA342" s="222" t="e">
        <f>CA343/CA347</f>
        <v>#DIV/0!</v>
      </c>
      <c r="CB342" s="222" t="e">
        <f>CB343/CB347</f>
        <v>#DIV/0!</v>
      </c>
      <c r="CC342" s="222" t="e">
        <f>CC343/CC347</f>
        <v>#DIV/0!</v>
      </c>
      <c r="CD342" s="222" t="e">
        <f>CD343/CD347</f>
        <v>#DIV/0!</v>
      </c>
      <c r="CE342" s="222" t="e">
        <f>CE343/CE347</f>
        <v>#DIV/0!</v>
      </c>
      <c r="CF342" s="222" t="e">
        <f>CF343/CF347</f>
        <v>#DIV/0!</v>
      </c>
      <c r="CG342" s="222" t="e">
        <f>CG343/CG347</f>
        <v>#DIV/0!</v>
      </c>
      <c r="CH342" s="222" t="e">
        <f>CH343/CH347</f>
        <v>#DIV/0!</v>
      </c>
      <c r="CI342" s="222" t="e">
        <f>CI343/CI347</f>
        <v>#DIV/0!</v>
      </c>
      <c r="CJ342" s="222" t="e">
        <f>CJ343/CJ347</f>
        <v>#DIV/0!</v>
      </c>
      <c r="CK342" s="222" t="e">
        <f>CK343/CK347</f>
        <v>#DIV/0!</v>
      </c>
      <c r="CL342" s="222" t="e">
        <f>CL343/CL347</f>
        <v>#DIV/0!</v>
      </c>
      <c r="CM342" s="222" t="e">
        <f>CM343/CM347</f>
        <v>#DIV/0!</v>
      </c>
      <c r="CN342" s="222" t="e">
        <f>CN343/CN347</f>
        <v>#DIV/0!</v>
      </c>
      <c r="CO342" s="222" t="e">
        <f>CO343/CO347</f>
        <v>#DIV/0!</v>
      </c>
      <c r="CP342" s="222" t="e">
        <f>CP343/CP347</f>
        <v>#DIV/0!</v>
      </c>
      <c r="CQ342" s="222" t="e">
        <f>CQ343/CQ347</f>
        <v>#DIV/0!</v>
      </c>
      <c r="CR342" s="222" t="e">
        <f>CR343/CR347</f>
        <v>#DIV/0!</v>
      </c>
      <c r="CS342" s="222" t="e">
        <f>CS343/CS347</f>
        <v>#DIV/0!</v>
      </c>
      <c r="CT342" s="222" t="e">
        <f>CT343/CT347</f>
        <v>#DIV/0!</v>
      </c>
      <c r="CU342" s="222" t="e">
        <f>CU343/CU347</f>
        <v>#DIV/0!</v>
      </c>
      <c r="CV342" s="222" t="e">
        <f>CV343/CV347</f>
        <v>#DIV/0!</v>
      </c>
      <c r="CW342" s="222" t="e">
        <f>CW343/CW347</f>
        <v>#DIV/0!</v>
      </c>
      <c r="CX342" s="222" t="e">
        <f>CX343/CX347</f>
        <v>#DIV/0!</v>
      </c>
      <c r="CY342" s="222" t="e">
        <f>CY343/CY347</f>
        <v>#DIV/0!</v>
      </c>
    </row>
    <row r="343" customFormat="1" s="233">
      <c r="A343" s="224" t="n"/>
      <c r="B343" s="224" t="n"/>
      <c r="C343" s="233" t="inlineStr">
        <is>
          <t>NOPLAT</t>
        </is>
      </c>
      <c r="D343" s="233">
        <f>D344*(1-D345)</f>
        <v>7029.87907696274</v>
      </c>
      <c r="E343" s="233">
        <f>E344*(1-E345)</f>
        <v>5366.59381418388</v>
      </c>
      <c r="F343" s="233">
        <f>F344*(1-F345)</f>
        <v>9440.27329889962</v>
      </c>
      <c r="G343" s="233">
        <f>G344*(1-G345)</f>
        <v>12751.7671892557</v>
      </c>
      <c r="H343" s="233">
        <f>H344*(1-H345)</f>
        <v>34525.3786448151</v>
      </c>
      <c r="I343" s="223">
        <f>I344*(1-I345)</f>
        <v>13847.4561856881</v>
      </c>
      <c r="J343" s="224">
        <f>J344*(1-J345)</f>
        <v>16313.9652035479</v>
      </c>
      <c r="K343" s="224">
        <f>K344*(1-K345)</f>
        <v>17266.866805411</v>
      </c>
      <c r="L343" s="224">
        <f>L344*(1-L345)</f>
        <v>18512.8337841161</v>
      </c>
      <c r="M343" s="224">
        <f>M344*(1-M345)</f>
        <v>65960.5171380078</v>
      </c>
      <c r="N343" s="223">
        <f>N344*(1-N345)</f>
        <v>17442.9589098975</v>
      </c>
      <c r="O343" s="224">
        <f>O344*(1-O345)</f>
        <v>16371.4581887031</v>
      </c>
      <c r="P343" s="224">
        <f>P344*(1-P345)</f>
        <v>14682.920593852</v>
      </c>
      <c r="Q343" s="224">
        <f>Q344*(1-Q345)</f>
        <v>14428.8703563306</v>
      </c>
      <c r="R343" s="224">
        <f>R344*(1-R345)</f>
        <v>62926.5425078511</v>
      </c>
      <c r="S343" s="223">
        <f>S344*(1-S345)</f>
        <v>14397.8667948366</v>
      </c>
      <c r="T343" s="224">
        <f>T344*(1-T345)</f>
        <v>18313.4905720678</v>
      </c>
      <c r="U343" s="224">
        <f>U344*(1-U345)</f>
        <v>19824.6132471576</v>
      </c>
      <c r="V343" s="224">
        <f>V344*(1-V345)</f>
        <v>20081.1010568573</v>
      </c>
      <c r="W343" s="224">
        <f>W344*(1-W345)</f>
        <v>72569.0578881669</v>
      </c>
      <c r="X343" s="223">
        <f>X344*(1-X345)</f>
        <v>21286.1897933957</v>
      </c>
      <c r="Y343" s="224">
        <f>Y344*(1-Y345)</f>
        <v>23510.9823599869</v>
      </c>
      <c r="Z343" s="224">
        <f>Z344*(1-Z345)</f>
        <v>23658.9548035072</v>
      </c>
      <c r="AA343" s="224">
        <f>AA344*(1-AA345)</f>
        <v>25489.9665663865</v>
      </c>
      <c r="AB343" s="224">
        <f>AB344*(1-AB345)</f>
        <v>93913.6336852648</v>
      </c>
      <c r="AC343" s="223">
        <f>AC344*(1-AC345)</f>
        <v>25296.8781258226</v>
      </c>
      <c r="AD343" s="224">
        <f>AD344*(1-AD345)</f>
        <v>25984.0602363481</v>
      </c>
      <c r="AE343" s="224">
        <f>AE344*(1-AE345)</f>
        <v>24832.8872621456</v>
      </c>
      <c r="AF343" s="224">
        <f>AF344*(1-AF345)</f>
        <v>31651.3528644835</v>
      </c>
      <c r="AG343" s="224">
        <f>AG344*(1-AG345)</f>
        <v>107382.195799176</v>
      </c>
      <c r="AH343" s="223">
        <f>AH344*(1-AH345)</f>
        <v>32089.2922027593</v>
      </c>
      <c r="AI343" s="224">
        <f>AI344*(1-AI345)</f>
        <v>32965.8357657132</v>
      </c>
      <c r="AJ343" s="224">
        <f>AJ344*(1-AJ345)</f>
        <v>0</v>
      </c>
      <c r="AK343" s="224">
        <f>AK344*(1-AK345)</f>
        <v>0</v>
      </c>
      <c r="AL343" s="224">
        <f>AL344*(1-AL345)</f>
        <v>71048.2871167032</v>
      </c>
      <c r="AM343" s="223">
        <f>AM344*(1-AM345)</f>
        <v>0</v>
      </c>
      <c r="AN343" s="224">
        <f>AN344*(1-AN345)</f>
        <v>0</v>
      </c>
      <c r="AO343" s="224">
        <f>AO344*(1-AO345)</f>
        <v>0</v>
      </c>
      <c r="AP343" s="224">
        <f>AP344*(1-AP345)</f>
        <v>0</v>
      </c>
      <c r="AQ343" s="224">
        <f>AQ344*(1-AQ345)</f>
        <v>0</v>
      </c>
      <c r="AR343" s="223">
        <f>AR344*(1-AR345)</f>
        <v>0</v>
      </c>
      <c r="AS343" s="224">
        <f>AS344*(1-AS345)</f>
        <v>0</v>
      </c>
      <c r="AT343" s="224">
        <f>AT344*(1-AT345)</f>
        <v>0</v>
      </c>
      <c r="AU343" s="224">
        <f>AU344*(1-AU345)</f>
        <v>0</v>
      </c>
      <c r="AV343" s="224">
        <f>AV344*(1-AV345)</f>
        <v>0</v>
      </c>
      <c r="AW343" s="223">
        <f>AW344*(1-AW345)</f>
        <v>0</v>
      </c>
      <c r="AX343" s="224">
        <f>AX344*(1-AX345)</f>
        <v>0</v>
      </c>
      <c r="AY343" s="224">
        <f>AY344*(1-AY345)</f>
        <v>0</v>
      </c>
      <c r="AZ343" s="224">
        <f>AZ344*(1-AZ345)</f>
        <v>0</v>
      </c>
      <c r="BA343" s="224">
        <f>BA344*(1-BA345)</f>
        <v>0</v>
      </c>
      <c r="BB343" s="223">
        <f>BB344*(1-BB345)</f>
        <v>0</v>
      </c>
      <c r="BC343" s="224">
        <f>BC344*(1-BC345)</f>
        <v>0</v>
      </c>
      <c r="BD343" s="224">
        <f>BD344*(1-BD345)</f>
        <v>0</v>
      </c>
      <c r="BE343" s="224">
        <f>BE344*(1-BE345)</f>
        <v>0</v>
      </c>
      <c r="BF343" s="224">
        <f>BF344*(1-BF345)</f>
        <v>0</v>
      </c>
      <c r="BG343" s="223">
        <f>BG344*(1-BG345)</f>
        <v>0</v>
      </c>
      <c r="BH343" s="224">
        <f>BH344*(1-BH345)</f>
        <v>0</v>
      </c>
      <c r="BI343" s="224">
        <f>BI344*(1-BI345)</f>
        <v>0</v>
      </c>
      <c r="BJ343" s="224">
        <f>BJ344*(1-BJ345)</f>
        <v>0</v>
      </c>
      <c r="BK343" s="224">
        <f>BK344*(1-BK345)</f>
        <v>0</v>
      </c>
      <c r="BL343" s="223">
        <f>BL344*(1-BL345)</f>
        <v>0</v>
      </c>
      <c r="BM343" s="224">
        <f>BM344*(1-BM345)</f>
        <v>0</v>
      </c>
      <c r="BN343" s="224">
        <f>BN344*(1-BN345)</f>
        <v>0</v>
      </c>
      <c r="BO343" s="224">
        <f>BO344*(1-BO345)</f>
        <v>0</v>
      </c>
      <c r="BP343" s="224">
        <f>BP344*(1-BP345)</f>
        <v>0</v>
      </c>
      <c r="BQ343" s="223">
        <f>BQ344*(1-BQ345)</f>
        <v>0</v>
      </c>
      <c r="BR343" s="224">
        <f>BR344*(1-BR345)</f>
        <v>0</v>
      </c>
      <c r="BS343" s="224">
        <f>BS344*(1-BS345)</f>
        <v>0</v>
      </c>
      <c r="BT343" s="224">
        <f>BT344*(1-BT345)</f>
        <v>0</v>
      </c>
      <c r="BU343" s="224">
        <f>BU344*(1-BU345)</f>
        <v>0</v>
      </c>
      <c r="BV343" s="223">
        <f>BV344*(1-BV345)</f>
        <v>0</v>
      </c>
      <c r="BW343" s="224">
        <f>BW344*(1-BW345)</f>
        <v>0</v>
      </c>
      <c r="BX343" s="224">
        <f>BX344*(1-BX345)</f>
        <v>0</v>
      </c>
      <c r="BY343" s="224">
        <f>BY344*(1-BY345)</f>
        <v>0</v>
      </c>
      <c r="BZ343" s="224">
        <f>BZ344*(1-BZ345)</f>
        <v>0</v>
      </c>
      <c r="CA343" s="223">
        <f>CA344*(1-CA345)</f>
        <v>0</v>
      </c>
      <c r="CB343" s="224">
        <f>CB344*(1-CB345)</f>
        <v>0</v>
      </c>
      <c r="CC343" s="224">
        <f>CC344*(1-CC345)</f>
        <v>0</v>
      </c>
      <c r="CD343" s="224">
        <f>CD344*(1-CD345)</f>
        <v>0</v>
      </c>
      <c r="CE343" s="224">
        <f>CE344*(1-CE345)</f>
        <v>0</v>
      </c>
      <c r="CF343" s="223">
        <f>CF344*(1-CF345)</f>
        <v>0</v>
      </c>
      <c r="CG343" s="224">
        <f>CG344*(1-CG345)</f>
        <v>0</v>
      </c>
      <c r="CH343" s="224">
        <f>CH344*(1-CH345)</f>
        <v>0</v>
      </c>
      <c r="CI343" s="224">
        <f>CI344*(1-CI345)</f>
        <v>0</v>
      </c>
      <c r="CJ343" s="224">
        <f>CJ344*(1-CJ345)</f>
        <v>0</v>
      </c>
      <c r="CK343" s="223">
        <f>CK344*(1-CK345)</f>
        <v>0</v>
      </c>
      <c r="CL343" s="224">
        <f>CL344*(1-CL345)</f>
        <v>0</v>
      </c>
      <c r="CM343" s="224">
        <f>CM344*(1-CM345)</f>
        <v>0</v>
      </c>
      <c r="CN343" s="224">
        <f>CN344*(1-CN345)</f>
        <v>0</v>
      </c>
      <c r="CO343" s="224">
        <f>CO344*(1-CO345)</f>
        <v>0</v>
      </c>
      <c r="CP343" s="223">
        <f>CP344*(1-CP345)</f>
        <v>0</v>
      </c>
      <c r="CQ343" s="224">
        <f>CQ344*(1-CQ345)</f>
        <v>0</v>
      </c>
      <c r="CR343" s="224">
        <f>CR344*(1-CR345)</f>
        <v>0</v>
      </c>
      <c r="CS343" s="224">
        <f>CS344*(1-CS345)</f>
        <v>0</v>
      </c>
      <c r="CT343" s="224">
        <f>CT344*(1-CT345)</f>
        <v>0</v>
      </c>
      <c r="CU343" s="223">
        <f>CU344*(1-CU345)</f>
        <v>0</v>
      </c>
      <c r="CV343" s="224">
        <f>CV344*(1-CV345)</f>
        <v>0</v>
      </c>
      <c r="CW343" s="224">
        <f>CW344*(1-CW345)</f>
        <v>0</v>
      </c>
      <c r="CX343" s="224">
        <f>CX344*(1-CX345)</f>
        <v>0</v>
      </c>
      <c r="CY343" s="224">
        <f>CY344*(1-CY345)</f>
        <v>0</v>
      </c>
    </row>
    <row r="344" customFormat="1" s="233">
      <c r="A344" s="224" t="n"/>
      <c r="B344" s="224" t="n"/>
      <c r="C344" s="233" t="inlineStr">
        <is>
          <t>EBIT</t>
        </is>
      </c>
      <c r="D344" s="239">
        <f>D69</f>
        <v>7977</v>
      </c>
      <c r="E344" s="239">
        <f>E69</f>
        <v>6383</v>
      </c>
      <c r="F344" s="239">
        <f>F69</f>
        <v>11213</v>
      </c>
      <c r="G344" s="239">
        <f>G69</f>
        <v>15651</v>
      </c>
      <c r="H344" s="239">
        <f>H69</f>
        <v>41224</v>
      </c>
      <c r="I344" s="36">
        <f>I69</f>
        <v>16437</v>
      </c>
      <c r="J344" s="36">
        <f>J69</f>
        <v>19361</v>
      </c>
      <c r="K344" s="36">
        <f>K69</f>
        <v>21031</v>
      </c>
      <c r="L344" s="36">
        <f>L69</f>
        <v>21885</v>
      </c>
      <c r="M344" s="36">
        <f>M69</f>
        <v>78714</v>
      </c>
      <c r="N344" s="36">
        <f>N69</f>
        <v>20094</v>
      </c>
      <c r="O344" s="36">
        <f>O69</f>
        <v>19453</v>
      </c>
      <c r="P344" s="36">
        <f>P69</f>
        <v>17135</v>
      </c>
      <c r="Q344" s="36">
        <f>Q69</f>
        <v>18160</v>
      </c>
      <c r="R344" s="36">
        <f>R69</f>
        <v>74842</v>
      </c>
      <c r="S344" s="36">
        <f>S69</f>
        <v>17415</v>
      </c>
      <c r="T344" s="36">
        <f>T69</f>
        <v>21838</v>
      </c>
      <c r="U344" s="36">
        <f>U69</f>
        <v>21343</v>
      </c>
      <c r="V344" s="36">
        <f>V69</f>
        <v>23697</v>
      </c>
      <c r="W344" s="36">
        <f>W69</f>
        <v>84293</v>
      </c>
      <c r="X344" s="36">
        <f>X69</f>
        <v>25472</v>
      </c>
      <c r="Y344" s="36">
        <f>Y69</f>
        <v>27425</v>
      </c>
      <c r="Z344" s="36">
        <f>Z69</f>
        <v>28521</v>
      </c>
      <c r="AA344" s="36">
        <f>AA69</f>
        <v>30972</v>
      </c>
      <c r="AB344" s="36">
        <f>AB69</f>
        <v>112390</v>
      </c>
      <c r="AC344" s="36">
        <f>AC69</f>
        <v>30606</v>
      </c>
      <c r="AD344" s="36">
        <f>AD69</f>
        <v>31271</v>
      </c>
      <c r="AE344" s="36">
        <f>AE69</f>
        <v>31228</v>
      </c>
      <c r="AF344" s="36">
        <f>AF69</f>
        <v>35934</v>
      </c>
      <c r="AG344" s="36">
        <f>AG69</f>
        <v>129039</v>
      </c>
      <c r="AH344" s="36">
        <f>AH69</f>
        <v>39696</v>
      </c>
      <c r="AI344" s="36">
        <f>AI69</f>
        <v>40770</v>
      </c>
      <c r="AJ344" s="36">
        <f>AJ69</f>
        <v>0</v>
      </c>
      <c r="AK344" s="36">
        <f>AK69</f>
        <v>0</v>
      </c>
      <c r="AL344" s="36">
        <f>AL69</f>
        <v>80466</v>
      </c>
      <c r="AM344" s="36">
        <f>AM69</f>
        <v>0</v>
      </c>
      <c r="AN344" s="36">
        <f>AN69</f>
        <v>0</v>
      </c>
      <c r="AO344" s="36">
        <f>AO69</f>
        <v>0</v>
      </c>
      <c r="AP344" s="36">
        <f>AP69</f>
        <v>0</v>
      </c>
      <c r="AQ344" s="36">
        <f>AQ69</f>
        <v>0</v>
      </c>
      <c r="AR344" s="36">
        <f>AR69</f>
        <v>0</v>
      </c>
      <c r="AS344" s="36">
        <f>AS69</f>
        <v>0</v>
      </c>
      <c r="AT344" s="36">
        <f>AT69</f>
        <v>0</v>
      </c>
      <c r="AU344" s="36">
        <f>AU69</f>
        <v>0</v>
      </c>
      <c r="AV344" s="36">
        <f>AV69</f>
        <v>0</v>
      </c>
      <c r="AW344" s="36">
        <f>AW69</f>
        <v>0</v>
      </c>
      <c r="AX344" s="36">
        <f>AX69</f>
        <v>0</v>
      </c>
      <c r="AY344" s="36">
        <f>AY69</f>
        <v>0</v>
      </c>
      <c r="AZ344" s="36">
        <f>AZ69</f>
        <v>0</v>
      </c>
      <c r="BA344" s="36">
        <f>BA69</f>
        <v>0</v>
      </c>
      <c r="BB344" s="36">
        <f>BB69</f>
        <v>0</v>
      </c>
      <c r="BC344" s="36">
        <f>BC69</f>
        <v>0</v>
      </c>
      <c r="BD344" s="36">
        <f>BD69</f>
        <v>0</v>
      </c>
      <c r="BE344" s="36">
        <f>BE69</f>
        <v>0</v>
      </c>
      <c r="BF344" s="36">
        <f>BF69</f>
        <v>0</v>
      </c>
      <c r="BG344" s="36">
        <f>BG69</f>
        <v>0</v>
      </c>
      <c r="BH344" s="36">
        <f>BH69</f>
        <v>0</v>
      </c>
      <c r="BI344" s="36">
        <f>BI69</f>
        <v>0</v>
      </c>
      <c r="BJ344" s="36">
        <f>BJ69</f>
        <v>0</v>
      </c>
      <c r="BK344" s="36">
        <f>BK69</f>
        <v>0</v>
      </c>
      <c r="BL344" s="36">
        <f>BL69</f>
        <v>0</v>
      </c>
      <c r="BM344" s="36">
        <f>BM69</f>
        <v>0</v>
      </c>
      <c r="BN344" s="36">
        <f>BN69</f>
        <v>0</v>
      </c>
      <c r="BO344" s="36">
        <f>BO69</f>
        <v>0</v>
      </c>
      <c r="BP344" s="36">
        <f>BP69</f>
        <v>0</v>
      </c>
      <c r="BQ344" s="36">
        <f>BQ69</f>
        <v>0</v>
      </c>
      <c r="BR344" s="36">
        <f>BR69</f>
        <v>0</v>
      </c>
      <c r="BS344" s="36">
        <f>BS69</f>
        <v>0</v>
      </c>
      <c r="BT344" s="36">
        <f>BT69</f>
        <v>0</v>
      </c>
      <c r="BU344" s="36">
        <f>BU69</f>
        <v>0</v>
      </c>
      <c r="BV344" s="36">
        <f>BV69</f>
        <v>0</v>
      </c>
      <c r="BW344" s="36">
        <f>BW69</f>
        <v>0</v>
      </c>
      <c r="BX344" s="36">
        <f>BX69</f>
        <v>0</v>
      </c>
      <c r="BY344" s="36">
        <f>BY69</f>
        <v>0</v>
      </c>
      <c r="BZ344" s="36">
        <f>BZ69</f>
        <v>0</v>
      </c>
      <c r="CA344" s="36">
        <f>CA69</f>
        <v>0</v>
      </c>
      <c r="CB344" s="36">
        <f>CB69</f>
        <v>0</v>
      </c>
      <c r="CC344" s="36">
        <f>CC69</f>
        <v>0</v>
      </c>
      <c r="CD344" s="36">
        <f>CD69</f>
        <v>0</v>
      </c>
      <c r="CE344" s="36">
        <f>CE69</f>
        <v>0</v>
      </c>
      <c r="CF344" s="36">
        <f>CF69</f>
        <v>0</v>
      </c>
      <c r="CG344" s="36">
        <f>CG69</f>
        <v>0</v>
      </c>
      <c r="CH344" s="36">
        <f>CH69</f>
        <v>0</v>
      </c>
      <c r="CI344" s="36">
        <f>CI69</f>
        <v>0</v>
      </c>
      <c r="CJ344" s="36">
        <f>CJ69</f>
        <v>0</v>
      </c>
      <c r="CK344" s="36">
        <f>CK69</f>
        <v>0</v>
      </c>
      <c r="CL344" s="36">
        <f>CL69</f>
        <v>0</v>
      </c>
      <c r="CM344" s="36">
        <f>CM69</f>
        <v>0</v>
      </c>
      <c r="CN344" s="36">
        <f>CN69</f>
        <v>0</v>
      </c>
      <c r="CO344" s="36">
        <f>CO69</f>
        <v>0</v>
      </c>
      <c r="CP344" s="36">
        <f>CP69</f>
        <v>0</v>
      </c>
      <c r="CQ344" s="36">
        <f>CQ69</f>
        <v>0</v>
      </c>
      <c r="CR344" s="36">
        <f>CR69</f>
        <v>0</v>
      </c>
      <c r="CS344" s="36">
        <f>CS69</f>
        <v>0</v>
      </c>
      <c r="CT344" s="36">
        <f>CT69</f>
        <v>0</v>
      </c>
      <c r="CU344" s="36">
        <f>CU69</f>
        <v>0</v>
      </c>
      <c r="CV344" s="36">
        <f>CV69</f>
        <v>0</v>
      </c>
      <c r="CW344" s="36">
        <f>CW69</f>
        <v>0</v>
      </c>
      <c r="CX344" s="36">
        <f>CX69</f>
        <v>0</v>
      </c>
      <c r="CY344" s="36">
        <f>CY69</f>
        <v>0</v>
      </c>
    </row>
    <row r="345" customFormat="1" s="233">
      <c r="A345" s="224" t="n"/>
      <c r="B345" s="224" t="n"/>
      <c r="C345" s="233" t="inlineStr">
        <is>
          <t>ETR</t>
        </is>
      </c>
      <c r="D345" s="240">
        <f>D128</f>
        <v>0.118731468351167</v>
      </c>
      <c r="E345" s="240">
        <f>E128</f>
        <v>0.159236438323064</v>
      </c>
      <c r="F345" s="240">
        <f>F128</f>
        <v>0.158095665843252</v>
      </c>
      <c r="G345" s="240">
        <f>G128</f>
        <v>0.185242656107871</v>
      </c>
      <c r="H345" s="240">
        <f>H128</f>
        <v>0.162493240713781</v>
      </c>
      <c r="I345" s="225">
        <f>I128</f>
        <v>0.157543579382606</v>
      </c>
      <c r="J345" s="225">
        <f>J128</f>
        <v>0.157380031839891</v>
      </c>
      <c r="K345" s="225">
        <f>K128</f>
        <v>0.1789802289282</v>
      </c>
      <c r="L345" s="225">
        <f>L128</f>
        <v>0.154085730677813</v>
      </c>
      <c r="M345" s="225">
        <f>M128</f>
        <v>0.162023056406639</v>
      </c>
      <c r="N345" s="225">
        <f>N128</f>
        <v>0.13193197422626</v>
      </c>
      <c r="O345" s="225">
        <f>O128</f>
        <v>0.158409592931524</v>
      </c>
      <c r="P345" s="225">
        <f>P128</f>
        <v>0.143103554487772</v>
      </c>
      <c r="Q345" s="225">
        <f>Q128</f>
        <v>0.205458680818802</v>
      </c>
      <c r="R345" s="225">
        <f>R128</f>
        <v>0.159208165096456</v>
      </c>
      <c r="S345" s="225">
        <f>S128</f>
        <v>0.17324910738808</v>
      </c>
      <c r="T345" s="225">
        <f>T128</f>
        <v>0.161393416426973</v>
      </c>
      <c r="U345" s="225">
        <f>U128</f>
        <v>0.0711421427560504</v>
      </c>
      <c r="V345" s="225">
        <f>V128</f>
        <v>0.152588890709487</v>
      </c>
      <c r="W345" s="225">
        <f>W128</f>
        <v>0.139085595622805</v>
      </c>
      <c r="X345" s="225">
        <f>X128</f>
        <v>0.164329860497969</v>
      </c>
      <c r="Y345" s="225">
        <f>Y128</f>
        <v>0.142717142753439</v>
      </c>
      <c r="Z345" s="225">
        <f>Z128</f>
        <v>0.170472465779348</v>
      </c>
      <c r="AA345" s="225">
        <f>AA128</f>
        <v>0.176999658840679</v>
      </c>
      <c r="AB345" s="225">
        <f>AB128</f>
        <v>0.16439510912657</v>
      </c>
      <c r="AC345" s="225">
        <f>AC128</f>
        <v>0.173466701763622</v>
      </c>
      <c r="AD345" s="225">
        <f>AD128</f>
        <v>0.169068458432794</v>
      </c>
      <c r="AE345" s="225">
        <f>AE128</f>
        <v>0.204787778207198</v>
      </c>
      <c r="AF345" s="225">
        <f>AF128</f>
        <v>0.119180918782115</v>
      </c>
      <c r="AG345" s="225">
        <f>AG128</f>
        <v>0.167831463362422</v>
      </c>
      <c r="AH345" s="225">
        <f>AH128</f>
        <v>0.191624037616907</v>
      </c>
      <c r="AI345" s="225">
        <f>AI128</f>
        <v>0.19141928462808</v>
      </c>
      <c r="AJ345" s="225">
        <f>AJ128</f>
        <v>0</v>
      </c>
      <c r="AK345" s="225">
        <f>AK128</f>
        <v>0</v>
      </c>
      <c r="AL345" s="225">
        <f>AL128</f>
        <v>0.117039655050541</v>
      </c>
      <c r="AM345" s="225">
        <f>AM128</f>
        <v>0</v>
      </c>
      <c r="AN345" s="225">
        <f>AN128</f>
        <v>0</v>
      </c>
      <c r="AO345" s="225">
        <f>AO128</f>
        <v>0</v>
      </c>
      <c r="AP345" s="225">
        <f>AP128</f>
        <v>0</v>
      </c>
      <c r="AQ345" s="225">
        <f>AQ128</f>
        <v>0</v>
      </c>
      <c r="AR345" s="225">
        <f>AR128</f>
        <v>0</v>
      </c>
      <c r="AS345" s="225">
        <f>AS128</f>
        <v>0</v>
      </c>
      <c r="AT345" s="225">
        <f>AT128</f>
        <v>0</v>
      </c>
      <c r="AU345" s="225">
        <f>AU128</f>
        <v>0</v>
      </c>
      <c r="AV345" s="225">
        <f>AV128</f>
        <v>0</v>
      </c>
      <c r="AW345" s="225">
        <f>AW128</f>
        <v>0</v>
      </c>
      <c r="AX345" s="225">
        <f>AX128</f>
        <v>0</v>
      </c>
      <c r="AY345" s="225">
        <f>AY128</f>
        <v>0</v>
      </c>
      <c r="AZ345" s="225">
        <f>AZ128</f>
        <v>0</v>
      </c>
      <c r="BA345" s="225">
        <f>BA128</f>
        <v>0</v>
      </c>
      <c r="BB345" s="225">
        <f>BB128</f>
        <v>0</v>
      </c>
      <c r="BC345" s="225">
        <f>BC128</f>
        <v>0</v>
      </c>
      <c r="BD345" s="225">
        <f>BD128</f>
        <v>0</v>
      </c>
      <c r="BE345" s="225">
        <f>BE128</f>
        <v>0</v>
      </c>
      <c r="BF345" s="225">
        <f>BF128</f>
        <v>0</v>
      </c>
      <c r="BG345" s="225">
        <f>BG128</f>
        <v>0</v>
      </c>
      <c r="BH345" s="225">
        <f>BH128</f>
        <v>0</v>
      </c>
      <c r="BI345" s="225">
        <f>BI128</f>
        <v>0</v>
      </c>
      <c r="BJ345" s="225">
        <f>BJ128</f>
        <v>0</v>
      </c>
      <c r="BK345" s="225">
        <f>BK128</f>
        <v>0</v>
      </c>
      <c r="BL345" s="225">
        <f>BL128</f>
        <v>0</v>
      </c>
      <c r="BM345" s="225">
        <f>BM128</f>
        <v>0</v>
      </c>
      <c r="BN345" s="225">
        <f>BN128</f>
        <v>0</v>
      </c>
      <c r="BO345" s="225">
        <f>BO128</f>
        <v>0</v>
      </c>
      <c r="BP345" s="225">
        <f>BP128</f>
        <v>0</v>
      </c>
      <c r="BQ345" s="225">
        <f>BQ128</f>
        <v>0</v>
      </c>
      <c r="BR345" s="225">
        <f>BR128</f>
        <v>0</v>
      </c>
      <c r="BS345" s="225">
        <f>BS128</f>
        <v>0</v>
      </c>
      <c r="BT345" s="225">
        <f>BT128</f>
        <v>0</v>
      </c>
      <c r="BU345" s="225">
        <f>BU128</f>
        <v>0</v>
      </c>
      <c r="BV345" s="225">
        <f>BV128</f>
        <v>0</v>
      </c>
      <c r="BW345" s="225">
        <f>BW128</f>
        <v>0</v>
      </c>
      <c r="BX345" s="225">
        <f>BX128</f>
        <v>0</v>
      </c>
      <c r="BY345" s="225">
        <f>BY128</f>
        <v>0</v>
      </c>
      <c r="BZ345" s="225">
        <f>BZ128</f>
        <v>0</v>
      </c>
      <c r="CA345" s="225">
        <f>CA128</f>
        <v>0</v>
      </c>
      <c r="CB345" s="225">
        <f>CB128</f>
        <v>0</v>
      </c>
      <c r="CC345" s="225">
        <f>CC128</f>
        <v>0</v>
      </c>
      <c r="CD345" s="225">
        <f>CD128</f>
        <v>0</v>
      </c>
      <c r="CE345" s="225">
        <f>CE128</f>
        <v>0</v>
      </c>
      <c r="CF345" s="225">
        <f>CF128</f>
        <v>0</v>
      </c>
      <c r="CG345" s="225">
        <f>CG128</f>
        <v>0</v>
      </c>
      <c r="CH345" s="225">
        <f>CH128</f>
        <v>0</v>
      </c>
      <c r="CI345" s="225">
        <f>CI128</f>
        <v>0</v>
      </c>
      <c r="CJ345" s="225">
        <f>CJ128</f>
        <v>0</v>
      </c>
      <c r="CK345" s="225">
        <f>CK128</f>
        <v>0</v>
      </c>
      <c r="CL345" s="225">
        <f>CL128</f>
        <v>0</v>
      </c>
      <c r="CM345" s="225">
        <f>CM128</f>
        <v>0</v>
      </c>
      <c r="CN345" s="225">
        <f>CN128</f>
        <v>0</v>
      </c>
      <c r="CO345" s="225">
        <f>CO128</f>
        <v>0</v>
      </c>
      <c r="CP345" s="225">
        <f>CP128</f>
        <v>0</v>
      </c>
      <c r="CQ345" s="225">
        <f>CQ128</f>
        <v>0</v>
      </c>
      <c r="CR345" s="225">
        <f>CR128</f>
        <v>0</v>
      </c>
      <c r="CS345" s="225">
        <f>CS128</f>
        <v>0</v>
      </c>
      <c r="CT345" s="225">
        <f>CT128</f>
        <v>0</v>
      </c>
      <c r="CU345" s="225">
        <f>CU128</f>
        <v>0</v>
      </c>
      <c r="CV345" s="225">
        <f>CV128</f>
        <v>0</v>
      </c>
      <c r="CW345" s="225">
        <f>CW128</f>
        <v>0</v>
      </c>
      <c r="CX345" s="225">
        <f>CX128</f>
        <v>0</v>
      </c>
      <c r="CY345" s="225">
        <f>CY128</f>
        <v>0</v>
      </c>
    </row>
    <row r="346" customFormat="1" s="233">
      <c r="A346" s="224" t="n"/>
      <c r="B346" s="224" t="n"/>
      <c r="C346" s="233" t="inlineStr">
        <is>
          <t>INVESTED CAPITAL</t>
        </is>
      </c>
      <c r="D346" s="239">
        <f>D349-D350+D351</f>
        <v>104001</v>
      </c>
      <c r="E346" s="239">
        <f>E349-E350+E351</f>
        <v>102766</v>
      </c>
      <c r="F346" s="239">
        <f>F349-F350+F351</f>
        <v>107183</v>
      </c>
      <c r="G346" s="239">
        <f>G349-G350+G351</f>
        <v>114489</v>
      </c>
      <c r="H346" s="239">
        <f>H349-H350+H351</f>
        <v>114489</v>
      </c>
      <c r="I346" s="36">
        <f>I349-I350+I351</f>
        <v>124584</v>
      </c>
      <c r="J346" s="36">
        <f>J349-J350+J351</f>
        <v>132352</v>
      </c>
      <c r="K346" s="36">
        <f>K349-K350+K351</f>
        <v>131874</v>
      </c>
      <c r="L346" s="36">
        <f>L349-L350+L351</f>
        <v>143449</v>
      </c>
      <c r="M346" s="36">
        <f>M349-M350+M351</f>
        <v>143449</v>
      </c>
      <c r="N346" s="36">
        <f>N349-N350+N351</f>
        <v>149031</v>
      </c>
      <c r="O346" s="36">
        <f>O349-O350+O351</f>
        <v>157777</v>
      </c>
      <c r="P346" s="36">
        <f>P349-P350+P351</f>
        <v>164480</v>
      </c>
      <c r="Q346" s="36">
        <f>Q349-Q350+Q351</f>
        <v>170098</v>
      </c>
      <c r="R346" s="36">
        <f>R349-R350+R351</f>
        <v>170098</v>
      </c>
      <c r="S346" s="36">
        <f>S349-S350+S351</f>
        <v>172830</v>
      </c>
      <c r="T346" s="36">
        <f>T349-T350+T351</f>
        <v>175818</v>
      </c>
      <c r="U346" s="36">
        <f>U349-U350+U351</f>
        <v>180126</v>
      </c>
      <c r="V346" s="36">
        <f>V349-V350+V351</f>
        <v>198661</v>
      </c>
      <c r="W346" s="36">
        <f>W349-W350+W351</f>
        <v>198661</v>
      </c>
      <c r="X346" s="36">
        <f>X349-X350+X351</f>
        <v>210425</v>
      </c>
      <c r="Y346" s="36">
        <f>Y349-Y350+Y351</f>
        <v>225691</v>
      </c>
      <c r="Z346" s="36">
        <f>Z349-Z350+Z351</f>
        <v>245546</v>
      </c>
      <c r="AA346" s="36">
        <f>AA349-AA350+AA351</f>
        <v>252001</v>
      </c>
      <c r="AB346" s="36">
        <f>AB349-AB350+AB351</f>
        <v>252001</v>
      </c>
      <c r="AC346" s="36">
        <f>AC349-AC350+AC351</f>
        <v>272503</v>
      </c>
      <c r="AD346" s="36">
        <f>AD349-AD350+AD351</f>
        <v>303327</v>
      </c>
      <c r="AE346" s="36">
        <f>AE349-AE350+AE351</f>
        <v>322084</v>
      </c>
      <c r="AF346" s="36">
        <f>AF349-AF350+AF351</f>
        <v>347713</v>
      </c>
      <c r="AG346" s="36">
        <f>AG349-AG350+AG351</f>
        <v>347713</v>
      </c>
      <c r="AH346" s="36">
        <f>AH349-AH350+AH351</f>
        <v>442390</v>
      </c>
      <c r="AI346" s="36">
        <f>AI349-AI350+AI351</f>
        <v>533581</v>
      </c>
      <c r="AJ346" s="36">
        <f>AJ349-AJ350+AJ351</f>
        <v>564267</v>
      </c>
      <c r="AK346" s="36">
        <f>AK349-AK350+AK351</f>
        <v>564267</v>
      </c>
      <c r="AL346" s="36">
        <f>AL349-AL350+AL351</f>
        <v>564267</v>
      </c>
      <c r="AM346" s="36" t="e">
        <f>AM349-AM350+AM351</f>
        <v>#DIV/0!</v>
      </c>
      <c r="AN346" s="36">
        <f>AN349-AN350+AN351</f>
        <v>564267</v>
      </c>
      <c r="AO346" s="36" t="e">
        <f>AO349-AO350+AO351</f>
        <v>#DIV/0!</v>
      </c>
      <c r="AP346" s="36" t="e">
        <f>AP349-AP350+AP351</f>
        <v>#DIV/0!</v>
      </c>
      <c r="AQ346" s="36" t="e">
        <f>AQ349-AQ350+AQ351</f>
        <v>#DIV/0!</v>
      </c>
      <c r="AR346" s="36" t="e">
        <f>AR349-AR350+AR351</f>
        <v>#DIV/0!</v>
      </c>
      <c r="AS346" s="36" t="e">
        <f>AS349-AS350+AS351</f>
        <v>#DIV/0!</v>
      </c>
      <c r="AT346" s="36" t="e">
        <f>AT349-AT350+AT351</f>
        <v>#DIV/0!</v>
      </c>
      <c r="AU346" s="36" t="e">
        <f>AU349-AU350+AU351</f>
        <v>#DIV/0!</v>
      </c>
      <c r="AV346" s="36" t="e">
        <f>AV349-AV350+AV351</f>
        <v>#DIV/0!</v>
      </c>
      <c r="AW346" s="36" t="e">
        <f>AW349-AW350+AW351</f>
        <v>#DIV/0!</v>
      </c>
      <c r="AX346" s="36" t="e">
        <f>AX349-AX350+AX351</f>
        <v>#DIV/0!</v>
      </c>
      <c r="AY346" s="36" t="e">
        <f>AY349-AY350+AY351</f>
        <v>#DIV/0!</v>
      </c>
      <c r="AZ346" s="36" t="e">
        <f>AZ349-AZ350+AZ351</f>
        <v>#DIV/0!</v>
      </c>
      <c r="BA346" s="36" t="e">
        <f>BA349-BA350+BA351</f>
        <v>#DIV/0!</v>
      </c>
      <c r="BB346" s="36" t="e">
        <f>BB349-BB350+BB351</f>
        <v>#DIV/0!</v>
      </c>
      <c r="BC346" s="36" t="e">
        <f>BC349-BC350+BC351</f>
        <v>#DIV/0!</v>
      </c>
      <c r="BD346" s="36" t="e">
        <f>BD349-BD350+BD351</f>
        <v>#DIV/0!</v>
      </c>
      <c r="BE346" s="36" t="e">
        <f>BE349-BE350+BE351</f>
        <v>#DIV/0!</v>
      </c>
      <c r="BF346" s="36" t="e">
        <f>BF349-BF350+BF351</f>
        <v>#DIV/0!</v>
      </c>
      <c r="BG346" s="36" t="e">
        <f>BG349-BG350+BG351</f>
        <v>#DIV/0!</v>
      </c>
      <c r="BH346" s="36" t="e">
        <f>BH349-BH350+BH351</f>
        <v>#DIV/0!</v>
      </c>
      <c r="BI346" s="36" t="e">
        <f>BI349-BI350+BI351</f>
        <v>#DIV/0!</v>
      </c>
      <c r="BJ346" s="36" t="e">
        <f>BJ349-BJ350+BJ351</f>
        <v>#DIV/0!</v>
      </c>
      <c r="BK346" s="36" t="e">
        <f>BK349-BK350+BK351</f>
        <v>#DIV/0!</v>
      </c>
      <c r="BL346" s="36" t="e">
        <f>BL349-BL350+BL351</f>
        <v>#DIV/0!</v>
      </c>
      <c r="BM346" s="36" t="e">
        <f>BM349-BM350+BM351</f>
        <v>#DIV/0!</v>
      </c>
      <c r="BN346" s="36" t="e">
        <f>BN349-BN350+BN351</f>
        <v>#DIV/0!</v>
      </c>
      <c r="BO346" s="36" t="e">
        <f>BO349-BO350+BO351</f>
        <v>#DIV/0!</v>
      </c>
      <c r="BP346" s="36" t="e">
        <f>BP349-BP350+BP351</f>
        <v>#DIV/0!</v>
      </c>
      <c r="BQ346" s="36" t="e">
        <f>BQ349-BQ350+BQ351</f>
        <v>#DIV/0!</v>
      </c>
      <c r="BR346" s="36" t="e">
        <f>BR349-BR350+BR351</f>
        <v>#DIV/0!</v>
      </c>
      <c r="BS346" s="36" t="e">
        <f>BS349-BS350+BS351</f>
        <v>#DIV/0!</v>
      </c>
      <c r="BT346" s="36" t="e">
        <f>BT349-BT350+BT351</f>
        <v>#DIV/0!</v>
      </c>
      <c r="BU346" s="36" t="e">
        <f>BU349-BU350+BU351</f>
        <v>#DIV/0!</v>
      </c>
      <c r="BV346" s="36" t="e">
        <f>BV349-BV350+BV351</f>
        <v>#DIV/0!</v>
      </c>
      <c r="BW346" s="36" t="e">
        <f>BW349-BW350+BW351</f>
        <v>#DIV/0!</v>
      </c>
      <c r="BX346" s="36" t="e">
        <f>BX349-BX350+BX351</f>
        <v>#DIV/0!</v>
      </c>
      <c r="BY346" s="36" t="e">
        <f>BY349-BY350+BY351</f>
        <v>#DIV/0!</v>
      </c>
      <c r="BZ346" s="36" t="e">
        <f>BZ349-BZ350+BZ351</f>
        <v>#DIV/0!</v>
      </c>
      <c r="CA346" s="36" t="e">
        <f>CA349-CA350+CA351</f>
        <v>#DIV/0!</v>
      </c>
      <c r="CB346" s="36" t="e">
        <f>CB349-CB350+CB351</f>
        <v>#DIV/0!</v>
      </c>
      <c r="CC346" s="36" t="e">
        <f>CC349-CC350+CC351</f>
        <v>#DIV/0!</v>
      </c>
      <c r="CD346" s="36" t="e">
        <f>CD349-CD350+CD351</f>
        <v>#DIV/0!</v>
      </c>
      <c r="CE346" s="36" t="e">
        <f>CE349-CE350+CE351</f>
        <v>#DIV/0!</v>
      </c>
      <c r="CF346" s="36" t="e">
        <f>CF349-CF350+CF351</f>
        <v>#DIV/0!</v>
      </c>
      <c r="CG346" s="36" t="e">
        <f>CG349-CG350+CG351</f>
        <v>#DIV/0!</v>
      </c>
      <c r="CH346" s="36" t="e">
        <f>CH349-CH350+CH351</f>
        <v>#DIV/0!</v>
      </c>
      <c r="CI346" s="36" t="e">
        <f>CI349-CI350+CI351</f>
        <v>#DIV/0!</v>
      </c>
      <c r="CJ346" s="36" t="e">
        <f>CJ349-CJ350+CJ351</f>
        <v>#DIV/0!</v>
      </c>
      <c r="CK346" s="36" t="e">
        <f>CK349-CK350+CK351</f>
        <v>#DIV/0!</v>
      </c>
      <c r="CL346" s="36" t="e">
        <f>CL349-CL350+CL351</f>
        <v>#DIV/0!</v>
      </c>
      <c r="CM346" s="36" t="e">
        <f>CM349-CM350+CM351</f>
        <v>#DIV/0!</v>
      </c>
      <c r="CN346" s="36" t="e">
        <f>CN349-CN350+CN351</f>
        <v>#DIV/0!</v>
      </c>
      <c r="CO346" s="36" t="e">
        <f>CO349-CO350+CO351</f>
        <v>#DIV/0!</v>
      </c>
      <c r="CP346" s="36" t="e">
        <f>CP349-CP350+CP351</f>
        <v>#DIV/0!</v>
      </c>
      <c r="CQ346" s="36" t="e">
        <f>CQ349-CQ350+CQ351</f>
        <v>#DIV/0!</v>
      </c>
      <c r="CR346" s="36" t="e">
        <f>CR349-CR350+CR351</f>
        <v>#DIV/0!</v>
      </c>
      <c r="CS346" s="36" t="e">
        <f>CS349-CS350+CS351</f>
        <v>#DIV/0!</v>
      </c>
      <c r="CT346" s="36" t="e">
        <f>CT349-CT350+CT351</f>
        <v>#DIV/0!</v>
      </c>
      <c r="CU346" s="36" t="e">
        <f>CU349-CU350+CU351</f>
        <v>#DIV/0!</v>
      </c>
      <c r="CV346" s="36" t="e">
        <f>CV349-CV350+CV351</f>
        <v>#DIV/0!</v>
      </c>
      <c r="CW346" s="36" t="e">
        <f>CW349-CW350+CW351</f>
        <v>#DIV/0!</v>
      </c>
      <c r="CX346" s="36" t="e">
        <f>CX349-CX350+CX351</f>
        <v>#DIV/0!</v>
      </c>
      <c r="CY346" s="36" t="e">
        <f>CY349-CY350+CY351</f>
        <v>#DIV/0!</v>
      </c>
    </row>
    <row r="347" customFormat="1" s="233">
      <c r="A347" s="224" t="n"/>
      <c r="B347" s="224" t="n"/>
      <c r="C347" s="233" t="inlineStr">
        <is>
          <t>INVESTED CAPITAL - EX GOODWILL</t>
        </is>
      </c>
      <c r="D347" s="241">
        <f>D346-D175</f>
        <v>83267</v>
      </c>
      <c r="E347" s="241">
        <f>E346-E175</f>
        <v>81942</v>
      </c>
      <c r="F347" s="241">
        <f>F346-F175</f>
        <v>86313</v>
      </c>
      <c r="G347" s="241">
        <f>G346-G175</f>
        <v>93314</v>
      </c>
      <c r="H347" s="241">
        <f>H346-H175</f>
        <v>93314</v>
      </c>
      <c r="I347" s="226">
        <f>I346-I175</f>
        <v>102243</v>
      </c>
      <c r="J347" s="226">
        <f>J346-J175</f>
        <v>109946</v>
      </c>
      <c r="K347" s="226">
        <f>K346-K175</f>
        <v>109251</v>
      </c>
      <c r="L347" s="226">
        <f>L346-L175</f>
        <v>120493</v>
      </c>
      <c r="M347" s="226">
        <f>M346-M175</f>
        <v>120493</v>
      </c>
      <c r="N347" s="226">
        <f>N346-N175</f>
        <v>126021</v>
      </c>
      <c r="O347" s="226">
        <f>O346-O175</f>
        <v>133828</v>
      </c>
      <c r="P347" s="226">
        <f>P346-P175</f>
        <v>135646</v>
      </c>
      <c r="Q347" s="226">
        <f>Q346-Q175</f>
        <v>141138</v>
      </c>
      <c r="R347" s="226">
        <f>R346-R175</f>
        <v>141138</v>
      </c>
      <c r="S347" s="226">
        <f>S346-S175</f>
        <v>143836</v>
      </c>
      <c r="T347" s="226">
        <f>T346-T175</f>
        <v>146608</v>
      </c>
      <c r="U347" s="226">
        <f>U346-U175</f>
        <v>150980</v>
      </c>
      <c r="V347" s="226">
        <f>V346-V175</f>
        <v>169463</v>
      </c>
      <c r="W347" s="226">
        <f>W346-W175</f>
        <v>169463</v>
      </c>
      <c r="X347" s="226">
        <f>X346-X175</f>
        <v>181242</v>
      </c>
      <c r="Y347" s="226">
        <f>Y346-Y175</f>
        <v>196506</v>
      </c>
      <c r="Z347" s="226">
        <f>Z346-Z175</f>
        <v>213611</v>
      </c>
      <c r="AA347" s="226">
        <f>AA346-AA175</f>
        <v>220116</v>
      </c>
      <c r="AB347" s="226">
        <f>AB346-AB175</f>
        <v>220116</v>
      </c>
      <c r="AC347" s="226">
        <f>AC346-AC175</f>
        <v>240330</v>
      </c>
      <c r="AD347" s="226">
        <f>AD346-AD175</f>
        <v>270992</v>
      </c>
      <c r="AE347" s="226">
        <f>AE346-AE175</f>
        <v>288815</v>
      </c>
      <c r="AF347" s="226">
        <f>AF346-AF175</f>
        <v>314333</v>
      </c>
      <c r="AG347" s="226">
        <f>AG346-AG175</f>
        <v>314333</v>
      </c>
      <c r="AH347" s="226">
        <f>AH346-AH175</f>
        <v>384616</v>
      </c>
      <c r="AI347" s="226">
        <f>AI346-AI175</f>
        <v>475753</v>
      </c>
      <c r="AJ347" s="226">
        <f>AJ346-AJ175</f>
        <v>506439</v>
      </c>
      <c r="AK347" s="226">
        <f>AK346-AK175</f>
        <v>506439</v>
      </c>
      <c r="AL347" s="226">
        <f>AL346-AL175</f>
        <v>506439</v>
      </c>
      <c r="AM347" s="226" t="e">
        <f>AM346-AM175</f>
        <v>#DIV/0!</v>
      </c>
      <c r="AN347" s="226">
        <f>AN346-AN175</f>
        <v>506439</v>
      </c>
      <c r="AO347" s="226" t="e">
        <f>AO346-AO175</f>
        <v>#DIV/0!</v>
      </c>
      <c r="AP347" s="226" t="e">
        <f>AP346-AP175</f>
        <v>#DIV/0!</v>
      </c>
      <c r="AQ347" s="226" t="e">
        <f>AQ346-AQ175</f>
        <v>#DIV/0!</v>
      </c>
      <c r="AR347" s="226" t="e">
        <f>AR346-AR175</f>
        <v>#DIV/0!</v>
      </c>
      <c r="AS347" s="226" t="e">
        <f>AS346-AS175</f>
        <v>#DIV/0!</v>
      </c>
      <c r="AT347" s="226" t="e">
        <f>AT346-AT175</f>
        <v>#DIV/0!</v>
      </c>
      <c r="AU347" s="226" t="e">
        <f>AU346-AU175</f>
        <v>#DIV/0!</v>
      </c>
      <c r="AV347" s="226" t="e">
        <f>AV346-AV175</f>
        <v>#DIV/0!</v>
      </c>
      <c r="AW347" s="226" t="e">
        <f>AW346-AW175</f>
        <v>#DIV/0!</v>
      </c>
      <c r="AX347" s="226" t="e">
        <f>AX346-AX175</f>
        <v>#DIV/0!</v>
      </c>
      <c r="AY347" s="226" t="e">
        <f>AY346-AY175</f>
        <v>#DIV/0!</v>
      </c>
      <c r="AZ347" s="226" t="e">
        <f>AZ346-AZ175</f>
        <v>#DIV/0!</v>
      </c>
      <c r="BA347" s="226" t="e">
        <f>BA346-BA175</f>
        <v>#DIV/0!</v>
      </c>
      <c r="BB347" s="226" t="e">
        <f>BB346-BB175</f>
        <v>#DIV/0!</v>
      </c>
      <c r="BC347" s="226" t="e">
        <f>BC346-BC175</f>
        <v>#DIV/0!</v>
      </c>
      <c r="BD347" s="226" t="e">
        <f>BD346-BD175</f>
        <v>#DIV/0!</v>
      </c>
      <c r="BE347" s="226" t="e">
        <f>BE346-BE175</f>
        <v>#DIV/0!</v>
      </c>
      <c r="BF347" s="226" t="e">
        <f>BF346-BF175</f>
        <v>#DIV/0!</v>
      </c>
      <c r="BG347" s="226" t="e">
        <f>BG346-BG175</f>
        <v>#DIV/0!</v>
      </c>
      <c r="BH347" s="226" t="e">
        <f>BH346-BH175</f>
        <v>#DIV/0!</v>
      </c>
      <c r="BI347" s="226" t="e">
        <f>BI346-BI175</f>
        <v>#DIV/0!</v>
      </c>
      <c r="BJ347" s="226" t="e">
        <f>BJ346-BJ175</f>
        <v>#DIV/0!</v>
      </c>
      <c r="BK347" s="226" t="e">
        <f>BK346-BK175</f>
        <v>#DIV/0!</v>
      </c>
      <c r="BL347" s="226" t="e">
        <f>BL346-BL175</f>
        <v>#DIV/0!</v>
      </c>
      <c r="BM347" s="226" t="e">
        <f>BM346-BM175</f>
        <v>#DIV/0!</v>
      </c>
      <c r="BN347" s="226" t="e">
        <f>BN346-BN175</f>
        <v>#DIV/0!</v>
      </c>
      <c r="BO347" s="226" t="e">
        <f>BO346-BO175</f>
        <v>#DIV/0!</v>
      </c>
      <c r="BP347" s="226" t="e">
        <f>BP346-BP175</f>
        <v>#DIV/0!</v>
      </c>
      <c r="BQ347" s="226" t="e">
        <f>BQ346-BQ175</f>
        <v>#DIV/0!</v>
      </c>
      <c r="BR347" s="226" t="e">
        <f>BR346-BR175</f>
        <v>#DIV/0!</v>
      </c>
      <c r="BS347" s="226" t="e">
        <f>BS346-BS175</f>
        <v>#DIV/0!</v>
      </c>
      <c r="BT347" s="226" t="e">
        <f>BT346-BT175</f>
        <v>#DIV/0!</v>
      </c>
      <c r="BU347" s="226" t="e">
        <f>BU346-BU175</f>
        <v>#DIV/0!</v>
      </c>
      <c r="BV347" s="226" t="e">
        <f>BV346-BV175</f>
        <v>#DIV/0!</v>
      </c>
      <c r="BW347" s="226" t="e">
        <f>BW346-BW175</f>
        <v>#DIV/0!</v>
      </c>
      <c r="BX347" s="226" t="e">
        <f>BX346-BX175</f>
        <v>#DIV/0!</v>
      </c>
      <c r="BY347" s="226" t="e">
        <f>BY346-BY175</f>
        <v>#DIV/0!</v>
      </c>
      <c r="BZ347" s="226" t="e">
        <f>BZ346-BZ175</f>
        <v>#DIV/0!</v>
      </c>
      <c r="CA347" s="226" t="e">
        <f>CA346-CA175</f>
        <v>#DIV/0!</v>
      </c>
      <c r="CB347" s="226" t="e">
        <f>CB346-CB175</f>
        <v>#DIV/0!</v>
      </c>
      <c r="CC347" s="226" t="e">
        <f>CC346-CC175</f>
        <v>#DIV/0!</v>
      </c>
      <c r="CD347" s="226" t="e">
        <f>CD346-CD175</f>
        <v>#DIV/0!</v>
      </c>
      <c r="CE347" s="226" t="e">
        <f>CE346-CE175</f>
        <v>#DIV/0!</v>
      </c>
      <c r="CF347" s="226" t="e">
        <f>CF346-CF175</f>
        <v>#DIV/0!</v>
      </c>
      <c r="CG347" s="226" t="e">
        <f>CG346-CG175</f>
        <v>#DIV/0!</v>
      </c>
      <c r="CH347" s="226" t="e">
        <f>CH346-CH175</f>
        <v>#DIV/0!</v>
      </c>
      <c r="CI347" s="226" t="e">
        <f>CI346-CI175</f>
        <v>#DIV/0!</v>
      </c>
      <c r="CJ347" s="226" t="e">
        <f>CJ346-CJ175</f>
        <v>#DIV/0!</v>
      </c>
      <c r="CK347" s="226" t="e">
        <f>CK346-CK175</f>
        <v>#DIV/0!</v>
      </c>
      <c r="CL347" s="226" t="e">
        <f>CL346-CL175</f>
        <v>#DIV/0!</v>
      </c>
      <c r="CM347" s="226" t="e">
        <f>CM346-CM175</f>
        <v>#DIV/0!</v>
      </c>
      <c r="CN347" s="226" t="e">
        <f>CN346-CN175</f>
        <v>#DIV/0!</v>
      </c>
      <c r="CO347" s="226" t="e">
        <f>CO346-CO175</f>
        <v>#DIV/0!</v>
      </c>
      <c r="CP347" s="226" t="e">
        <f>CP346-CP175</f>
        <v>#DIV/0!</v>
      </c>
      <c r="CQ347" s="226" t="e">
        <f>CQ346-CQ175</f>
        <v>#DIV/0!</v>
      </c>
      <c r="CR347" s="226" t="e">
        <f>CR346-CR175</f>
        <v>#DIV/0!</v>
      </c>
      <c r="CS347" s="226" t="e">
        <f>CS346-CS175</f>
        <v>#DIV/0!</v>
      </c>
      <c r="CT347" s="226" t="e">
        <f>CT346-CT175</f>
        <v>#DIV/0!</v>
      </c>
      <c r="CU347" s="226" t="e">
        <f>CU346-CU175</f>
        <v>#DIV/0!</v>
      </c>
      <c r="CV347" s="226" t="e">
        <f>CV346-CV175</f>
        <v>#DIV/0!</v>
      </c>
      <c r="CW347" s="226" t="e">
        <f>CW346-CW175</f>
        <v>#DIV/0!</v>
      </c>
      <c r="CX347" s="226" t="e">
        <f>CX346-CX175</f>
        <v>#DIV/0!</v>
      </c>
      <c r="CY347" s="226" t="e">
        <f>CY346-CY175</f>
        <v>#DIV/0!</v>
      </c>
    </row>
    <row r="348" customFormat="1" s="233">
      <c r="A348" s="224" t="n"/>
      <c r="B348" s="224" t="n"/>
      <c r="C348" s="233" t="inlineStr">
        <is>
          <t>OPERATING WORKING CAPITAL</t>
        </is>
      </c>
      <c r="D348" s="242">
        <f>D349-D350</f>
        <v>-9670</v>
      </c>
      <c r="E348" s="242">
        <f>E349-E350</f>
        <v>-14774</v>
      </c>
      <c r="F348" s="242">
        <f>F349-F350</f>
        <v>-15455</v>
      </c>
      <c r="G348" s="242">
        <f>G349-G350</f>
        <v>-18148</v>
      </c>
      <c r="H348" s="242">
        <f>H349-H350</f>
        <v>-18148</v>
      </c>
      <c r="I348" s="36">
        <f>I349-I350</f>
        <v>-17291</v>
      </c>
      <c r="J348" s="36">
        <f>J349-J350</f>
        <v>-14754</v>
      </c>
      <c r="K348" s="36">
        <f>K349-K350</f>
        <v>-18480</v>
      </c>
      <c r="L348" s="36">
        <f>L349-L350</f>
        <v>-14476</v>
      </c>
      <c r="M348" s="36">
        <f>M349-M350</f>
        <v>-14476</v>
      </c>
      <c r="N348" s="36">
        <f>N349-N350</f>
        <v>-16677</v>
      </c>
      <c r="O348" s="36">
        <f>O349-O350</f>
        <v>-12490</v>
      </c>
      <c r="P348" s="36">
        <f>P349-P350</f>
        <v>-13138</v>
      </c>
      <c r="Q348" s="36">
        <f>Q349-Q350</f>
        <v>-13006</v>
      </c>
      <c r="R348" s="36">
        <f>R349-R350</f>
        <v>-13006</v>
      </c>
      <c r="S348" s="36">
        <f>S349-S350</f>
        <v>-15086</v>
      </c>
      <c r="T348" s="36">
        <f>T349-T350</f>
        <v>-17896</v>
      </c>
      <c r="U348" s="36">
        <f>U349-U350</f>
        <v>-18937</v>
      </c>
      <c r="V348" s="36">
        <f>V349-V350</f>
        <v>-9031</v>
      </c>
      <c r="W348" s="36">
        <f>W349-W350</f>
        <v>-9031</v>
      </c>
      <c r="X348" s="36">
        <f>X349-X350</f>
        <v>-7929</v>
      </c>
      <c r="Y348" s="36">
        <f>Y349-Y350</f>
        <v>-1685</v>
      </c>
      <c r="Z348" s="36">
        <f>Z349-Z350</f>
        <v>-577</v>
      </c>
      <c r="AA348" s="36">
        <f>AA349-AA350</f>
        <v>-3888</v>
      </c>
      <c r="AB348" s="36">
        <f>AB349-AB350</f>
        <v>-3888</v>
      </c>
      <c r="AC348" s="36">
        <f>AC349-AC350</f>
        <v>-6544</v>
      </c>
      <c r="AD348" s="36">
        <f>AD349-AD350</f>
        <v>3047</v>
      </c>
      <c r="AE348" s="36">
        <f>AE349-AE350</f>
        <v>-13768</v>
      </c>
      <c r="AF348" s="36">
        <f>AF349-AF350</f>
        <v>-14437</v>
      </c>
      <c r="AG348" s="36">
        <f>AG349-AG350</f>
        <v>-14437</v>
      </c>
      <c r="AH348" s="36">
        <f>AH349-AH350</f>
        <v>-22280</v>
      </c>
      <c r="AI348" s="36">
        <f>AI349-AI350</f>
        <v>-23613</v>
      </c>
      <c r="AJ348" s="36">
        <f>AJ349-AJ350</f>
        <v>16178</v>
      </c>
      <c r="AK348" s="36">
        <f>AK349-AK350</f>
        <v>16178</v>
      </c>
      <c r="AL348" s="36">
        <f>AL349-AL350</f>
        <v>16178</v>
      </c>
      <c r="AM348" s="36" t="e">
        <f>AM349-AM350</f>
        <v>#DIV/0!</v>
      </c>
      <c r="AN348" s="36">
        <f>AN349-AN350</f>
        <v>16178</v>
      </c>
      <c r="AO348" s="36" t="e">
        <f>AO349-AO350</f>
        <v>#DIV/0!</v>
      </c>
      <c r="AP348" s="36" t="e">
        <f>AP349-AP350</f>
        <v>#DIV/0!</v>
      </c>
      <c r="AQ348" s="36" t="e">
        <f>AQ349-AQ350</f>
        <v>#DIV/0!</v>
      </c>
      <c r="AR348" s="36" t="e">
        <f>AR349-AR350</f>
        <v>#DIV/0!</v>
      </c>
      <c r="AS348" s="36" t="e">
        <f>AS349-AS350</f>
        <v>#DIV/0!</v>
      </c>
      <c r="AT348" s="36" t="e">
        <f>AT349-AT350</f>
        <v>#DIV/0!</v>
      </c>
      <c r="AU348" s="36" t="e">
        <f>AU349-AU350</f>
        <v>#DIV/0!</v>
      </c>
      <c r="AV348" s="36" t="e">
        <f>AV349-AV350</f>
        <v>#DIV/0!</v>
      </c>
      <c r="AW348" s="36" t="e">
        <f>AW349-AW350</f>
        <v>#DIV/0!</v>
      </c>
      <c r="AX348" s="36" t="e">
        <f>AX349-AX350</f>
        <v>#DIV/0!</v>
      </c>
      <c r="AY348" s="36" t="e">
        <f>AY349-AY350</f>
        <v>#DIV/0!</v>
      </c>
      <c r="AZ348" s="36" t="e">
        <f>AZ349-AZ350</f>
        <v>#DIV/0!</v>
      </c>
      <c r="BA348" s="36" t="e">
        <f>BA349-BA350</f>
        <v>#DIV/0!</v>
      </c>
      <c r="BB348" s="36" t="e">
        <f>BB349-BB350</f>
        <v>#DIV/0!</v>
      </c>
      <c r="BC348" s="36" t="e">
        <f>BC349-BC350</f>
        <v>#DIV/0!</v>
      </c>
      <c r="BD348" s="36" t="e">
        <f>BD349-BD350</f>
        <v>#DIV/0!</v>
      </c>
      <c r="BE348" s="36" t="e">
        <f>BE349-BE350</f>
        <v>#DIV/0!</v>
      </c>
      <c r="BF348" s="36" t="e">
        <f>BF349-BF350</f>
        <v>#DIV/0!</v>
      </c>
      <c r="BG348" s="36" t="e">
        <f>BG349-BG350</f>
        <v>#DIV/0!</v>
      </c>
      <c r="BH348" s="36" t="e">
        <f>BH349-BH350</f>
        <v>#DIV/0!</v>
      </c>
      <c r="BI348" s="36" t="e">
        <f>BI349-BI350</f>
        <v>#DIV/0!</v>
      </c>
      <c r="BJ348" s="36" t="e">
        <f>BJ349-BJ350</f>
        <v>#DIV/0!</v>
      </c>
      <c r="BK348" s="36" t="e">
        <f>BK349-BK350</f>
        <v>#DIV/0!</v>
      </c>
      <c r="BL348" s="36" t="e">
        <f>BL349-BL350</f>
        <v>#DIV/0!</v>
      </c>
      <c r="BM348" s="36" t="e">
        <f>BM349-BM350</f>
        <v>#DIV/0!</v>
      </c>
      <c r="BN348" s="36" t="e">
        <f>BN349-BN350</f>
        <v>#DIV/0!</v>
      </c>
      <c r="BO348" s="36" t="e">
        <f>BO349-BO350</f>
        <v>#DIV/0!</v>
      </c>
      <c r="BP348" s="36" t="e">
        <f>BP349-BP350</f>
        <v>#DIV/0!</v>
      </c>
      <c r="BQ348" s="36" t="e">
        <f>BQ349-BQ350</f>
        <v>#DIV/0!</v>
      </c>
      <c r="BR348" s="36" t="e">
        <f>BR349-BR350</f>
        <v>#DIV/0!</v>
      </c>
      <c r="BS348" s="36" t="e">
        <f>BS349-BS350</f>
        <v>#DIV/0!</v>
      </c>
      <c r="BT348" s="36" t="e">
        <f>BT349-BT350</f>
        <v>#DIV/0!</v>
      </c>
      <c r="BU348" s="36" t="e">
        <f>BU349-BU350</f>
        <v>#DIV/0!</v>
      </c>
      <c r="BV348" s="36" t="e">
        <f>BV349-BV350</f>
        <v>#DIV/0!</v>
      </c>
      <c r="BW348" s="36" t="e">
        <f>BW349-BW350</f>
        <v>#DIV/0!</v>
      </c>
      <c r="BX348" s="36" t="e">
        <f>BX349-BX350</f>
        <v>#DIV/0!</v>
      </c>
      <c r="BY348" s="36" t="e">
        <f>BY349-BY350</f>
        <v>#DIV/0!</v>
      </c>
      <c r="BZ348" s="36" t="e">
        <f>BZ349-BZ350</f>
        <v>#DIV/0!</v>
      </c>
      <c r="CA348" s="36" t="e">
        <f>CA349-CA350</f>
        <v>#DIV/0!</v>
      </c>
      <c r="CB348" s="36" t="e">
        <f>CB349-CB350</f>
        <v>#DIV/0!</v>
      </c>
      <c r="CC348" s="36" t="e">
        <f>CC349-CC350</f>
        <v>#DIV/0!</v>
      </c>
      <c r="CD348" s="36" t="e">
        <f>CD349-CD350</f>
        <v>#DIV/0!</v>
      </c>
      <c r="CE348" s="36" t="e">
        <f>CE349-CE350</f>
        <v>#DIV/0!</v>
      </c>
      <c r="CF348" s="36" t="e">
        <f>CF349-CF350</f>
        <v>#DIV/0!</v>
      </c>
      <c r="CG348" s="36" t="e">
        <f>CG349-CG350</f>
        <v>#DIV/0!</v>
      </c>
      <c r="CH348" s="36" t="e">
        <f>CH349-CH350</f>
        <v>#DIV/0!</v>
      </c>
      <c r="CI348" s="36" t="e">
        <f>CI349-CI350</f>
        <v>#DIV/0!</v>
      </c>
      <c r="CJ348" s="36" t="e">
        <f>CJ349-CJ350</f>
        <v>#DIV/0!</v>
      </c>
      <c r="CK348" s="36" t="e">
        <f>CK349-CK350</f>
        <v>#DIV/0!</v>
      </c>
      <c r="CL348" s="36" t="e">
        <f>CL349-CL350</f>
        <v>#DIV/0!</v>
      </c>
      <c r="CM348" s="36" t="e">
        <f>CM349-CM350</f>
        <v>#DIV/0!</v>
      </c>
      <c r="CN348" s="36" t="e">
        <f>CN349-CN350</f>
        <v>#DIV/0!</v>
      </c>
      <c r="CO348" s="36" t="e">
        <f>CO349-CO350</f>
        <v>#DIV/0!</v>
      </c>
      <c r="CP348" s="36" t="e">
        <f>CP349-CP350</f>
        <v>#DIV/0!</v>
      </c>
      <c r="CQ348" s="36" t="e">
        <f>CQ349-CQ350</f>
        <v>#DIV/0!</v>
      </c>
      <c r="CR348" s="36" t="e">
        <f>CR349-CR350</f>
        <v>#DIV/0!</v>
      </c>
      <c r="CS348" s="36" t="e">
        <f>CS349-CS350</f>
        <v>#DIV/0!</v>
      </c>
      <c r="CT348" s="36" t="e">
        <f>CT349-CT350</f>
        <v>#DIV/0!</v>
      </c>
      <c r="CU348" s="36" t="e">
        <f>CU349-CU350</f>
        <v>#DIV/0!</v>
      </c>
      <c r="CV348" s="36" t="e">
        <f>CV349-CV350</f>
        <v>#DIV/0!</v>
      </c>
      <c r="CW348" s="36" t="e">
        <f>CW349-CW350</f>
        <v>#DIV/0!</v>
      </c>
      <c r="CX348" s="36" t="e">
        <f>CX349-CX350</f>
        <v>#DIV/0!</v>
      </c>
      <c r="CY348" s="36" t="e">
        <f>CY349-CY350</f>
        <v>#DIV/0!</v>
      </c>
    </row>
    <row r="349" customFormat="1" s="233">
      <c r="A349" s="224" t="n"/>
      <c r="B349" s="224" t="n"/>
      <c r="C349" s="233" t="inlineStr">
        <is>
          <t>CURRENT ASSETS</t>
        </is>
      </c>
      <c r="D349" s="241">
        <f>D141+D145+D149+D150+D151</f>
        <v>30519</v>
      </c>
      <c r="E349" s="241">
        <f>E141+E145+E149+E150+E151</f>
        <v>28884</v>
      </c>
      <c r="F349" s="241">
        <f>F141+F145+F149+F150+F151</f>
        <v>32745</v>
      </c>
      <c r="G349" s="241">
        <f>G141+G145+G149+G150+G151</f>
        <v>38686</v>
      </c>
      <c r="H349" s="241">
        <f>H141+H145+H149+H150+H151</f>
        <v>38686</v>
      </c>
      <c r="I349" s="226">
        <f>I141+I145+I149+I150+I151</f>
        <v>38162</v>
      </c>
      <c r="J349" s="226">
        <f>J141+J145+J149+J150+J151</f>
        <v>40987</v>
      </c>
      <c r="K349" s="226">
        <f>K141+K145+K149+K150+K151</f>
        <v>43302</v>
      </c>
      <c r="L349" s="226">
        <f>L141+L145+L149+L150+L151</f>
        <v>49778</v>
      </c>
      <c r="M349" s="226">
        <f>M141+M145+M149+M150+M151</f>
        <v>49778</v>
      </c>
      <c r="N349" s="226">
        <f>N141+N145+N149+N150+N151</f>
        <v>45271</v>
      </c>
      <c r="O349" s="226">
        <f>O141+O145+O149+O150+O151</f>
        <v>48864</v>
      </c>
      <c r="P349" s="226">
        <f>P141+P145+P149+P150+P151</f>
        <v>52841</v>
      </c>
      <c r="Q349" s="226">
        <f>Q141+Q145+Q149+Q150+Q151</f>
        <v>56294</v>
      </c>
      <c r="R349" s="226">
        <f>R141+R145+R149+R150+R151</f>
        <v>56294</v>
      </c>
      <c r="S349" s="226">
        <f>S141+S145+S149+S150+S151</f>
        <v>53768</v>
      </c>
      <c r="T349" s="226">
        <f>T141+T145+T149+T150+T151</f>
        <v>59813</v>
      </c>
      <c r="U349" s="226">
        <f>U141+U145+U149+U150+U151</f>
        <v>67358</v>
      </c>
      <c r="V349" s="226">
        <f>V141+V145+V149+V150+V151</f>
        <v>72783</v>
      </c>
      <c r="W349" s="226">
        <f>W141+W145+W149+W150+W151</f>
        <v>72783</v>
      </c>
      <c r="X349" s="226">
        <f>X141+X145+X149+X150+X151</f>
        <v>69068</v>
      </c>
      <c r="Y349" s="226">
        <f>Y141+Y145+Y149+Y150+Y151</f>
        <v>76228</v>
      </c>
      <c r="Z349" s="226">
        <f>Z141+Z145+Z149+Z150+Z151</f>
        <v>80226</v>
      </c>
      <c r="AA349" s="226">
        <f>AA141+AA145+AA149+AA150+AA151</f>
        <v>85234</v>
      </c>
      <c r="AB349" s="226">
        <f>AB141+AB145+AB149+AB150+AB151</f>
        <v>85234</v>
      </c>
      <c r="AC349" s="226">
        <f>AC141+AC145+AC149+AC150+AC151</f>
        <v>85110</v>
      </c>
      <c r="AD349" s="226">
        <f>AD141+AD145+AD149+AD150+AD151</f>
        <v>90357</v>
      </c>
      <c r="AE349" s="226">
        <f>AE141+AE145+AE149+AE150+AE151</f>
        <v>85782</v>
      </c>
      <c r="AF349" s="226">
        <f>AF141+AF145+AF149+AF150+AF151</f>
        <v>88308</v>
      </c>
      <c r="AG349" s="226">
        <f>AG141+AG145+AG149+AG150+AG151</f>
        <v>88308</v>
      </c>
      <c r="AH349" s="226">
        <f>AH141+AH145+AH149+AH150+AH151</f>
        <v>88908</v>
      </c>
      <c r="AI349" s="226">
        <f>AI141+AI145+AI149+AI150+AI151</f>
        <v>102498</v>
      </c>
      <c r="AJ349" s="226">
        <f>AJ141+AJ145+AJ149+AJ150+AJ151</f>
        <v>23332</v>
      </c>
      <c r="AK349" s="226">
        <f>AK141+AK145+AK149+AK150+AK151</f>
        <v>23332</v>
      </c>
      <c r="AL349" s="226">
        <f>AL141+AL145+AL149+AL150+AL151</f>
        <v>23332</v>
      </c>
      <c r="AM349" s="226">
        <f>AM141+AM145+AM149+AM150+AM151</f>
        <v>23332</v>
      </c>
      <c r="AN349" s="226">
        <f>AN141+AN145+AN149+AN150+AN151</f>
        <v>23332</v>
      </c>
      <c r="AO349" s="226">
        <f>AO141+AO145+AO149+AO150+AO151</f>
        <v>23332</v>
      </c>
      <c r="AP349" s="226">
        <f>AP141+AP145+AP149+AP150+AP151</f>
        <v>23332</v>
      </c>
      <c r="AQ349" s="226">
        <f>AQ141+AQ145+AQ149+AQ150+AQ151</f>
        <v>23332</v>
      </c>
      <c r="AR349" s="226">
        <f>AR141+AR145+AR149+AR150+AR151</f>
        <v>23332</v>
      </c>
      <c r="AS349" s="226">
        <f>AS141+AS145+AS149+AS150+AS151</f>
        <v>23332</v>
      </c>
      <c r="AT349" s="226">
        <f>AT141+AT145+AT149+AT150+AT151</f>
        <v>23332</v>
      </c>
      <c r="AU349" s="226">
        <f>AU141+AU145+AU149+AU150+AU151</f>
        <v>23332</v>
      </c>
      <c r="AV349" s="226">
        <f>AV141+AV145+AV149+AV150+AV151</f>
        <v>23332</v>
      </c>
      <c r="AW349" s="226">
        <f>AW141+AW145+AW149+AW150+AW151</f>
        <v>23332</v>
      </c>
      <c r="AX349" s="226">
        <f>AX141+AX145+AX149+AX150+AX151</f>
        <v>23332</v>
      </c>
      <c r="AY349" s="226">
        <f>AY141+AY145+AY149+AY150+AY151</f>
        <v>23332</v>
      </c>
      <c r="AZ349" s="226">
        <f>AZ141+AZ145+AZ149+AZ150+AZ151</f>
        <v>23332</v>
      </c>
      <c r="BA349" s="226">
        <f>BA141+BA145+BA149+BA150+BA151</f>
        <v>23332</v>
      </c>
      <c r="BB349" s="226">
        <f>BB141+BB145+BB149+BB150+BB151</f>
        <v>23332</v>
      </c>
      <c r="BC349" s="226">
        <f>BC141+BC145+BC149+BC150+BC151</f>
        <v>23332</v>
      </c>
      <c r="BD349" s="226">
        <f>BD141+BD145+BD149+BD150+BD151</f>
        <v>23332</v>
      </c>
      <c r="BE349" s="226">
        <f>BE141+BE145+BE149+BE150+BE151</f>
        <v>23332</v>
      </c>
      <c r="BF349" s="226">
        <f>BF141+BF145+BF149+BF150+BF151</f>
        <v>23332</v>
      </c>
      <c r="BG349" s="226">
        <f>BG141+BG145+BG149+BG150+BG151</f>
        <v>23332</v>
      </c>
      <c r="BH349" s="226">
        <f>BH141+BH145+BH149+BH150+BH151</f>
        <v>23332</v>
      </c>
      <c r="BI349" s="226">
        <f>BI141+BI145+BI149+BI150+BI151</f>
        <v>23332</v>
      </c>
      <c r="BJ349" s="226">
        <f>BJ141+BJ145+BJ149+BJ150+BJ151</f>
        <v>23332</v>
      </c>
      <c r="BK349" s="226">
        <f>BK141+BK145+BK149+BK150+BK151</f>
        <v>23332</v>
      </c>
      <c r="BL349" s="226">
        <f>BL141+BL145+BL149+BL150+BL151</f>
        <v>23332</v>
      </c>
      <c r="BM349" s="226">
        <f>BM141+BM145+BM149+BM150+BM151</f>
        <v>23332</v>
      </c>
      <c r="BN349" s="226">
        <f>BN141+BN145+BN149+BN150+BN151</f>
        <v>23332</v>
      </c>
      <c r="BO349" s="226">
        <f>BO141+BO145+BO149+BO150+BO151</f>
        <v>23332</v>
      </c>
      <c r="BP349" s="226">
        <f>BP141+BP145+BP149+BP150+BP151</f>
        <v>23332</v>
      </c>
      <c r="BQ349" s="226">
        <f>BQ141+BQ145+BQ149+BQ150+BQ151</f>
        <v>23332</v>
      </c>
      <c r="BR349" s="226">
        <f>BR141+BR145+BR149+BR150+BR151</f>
        <v>23332</v>
      </c>
      <c r="BS349" s="226">
        <f>BS141+BS145+BS149+BS150+BS151</f>
        <v>23332</v>
      </c>
      <c r="BT349" s="226">
        <f>BT141+BT145+BT149+BT150+BT151</f>
        <v>23332</v>
      </c>
      <c r="BU349" s="226">
        <f>BU141+BU145+BU149+BU150+BU151</f>
        <v>23332</v>
      </c>
      <c r="BV349" s="226">
        <f>BV141+BV145+BV149+BV150+BV151</f>
        <v>23332</v>
      </c>
      <c r="BW349" s="226">
        <f>BW141+BW145+BW149+BW150+BW151</f>
        <v>23332</v>
      </c>
      <c r="BX349" s="226">
        <f>BX141+BX145+BX149+BX150+BX151</f>
        <v>23332</v>
      </c>
      <c r="BY349" s="226">
        <f>BY141+BY145+BY149+BY150+BY151</f>
        <v>23332</v>
      </c>
      <c r="BZ349" s="226">
        <f>BZ141+BZ145+BZ149+BZ150+BZ151</f>
        <v>23332</v>
      </c>
      <c r="CA349" s="226">
        <f>CA141+CA145+CA149+CA150+CA151</f>
        <v>23332</v>
      </c>
      <c r="CB349" s="226">
        <f>CB141+CB145+CB149+CB150+CB151</f>
        <v>23332</v>
      </c>
      <c r="CC349" s="226">
        <f>CC141+CC145+CC149+CC150+CC151</f>
        <v>23332</v>
      </c>
      <c r="CD349" s="226">
        <f>CD141+CD145+CD149+CD150+CD151</f>
        <v>23332</v>
      </c>
      <c r="CE349" s="226">
        <f>CE141+CE145+CE149+CE150+CE151</f>
        <v>23332</v>
      </c>
      <c r="CF349" s="226">
        <f>CF141+CF145+CF149+CF150+CF151</f>
        <v>23332</v>
      </c>
      <c r="CG349" s="226">
        <f>CG141+CG145+CG149+CG150+CG151</f>
        <v>23332</v>
      </c>
      <c r="CH349" s="226">
        <f>CH141+CH145+CH149+CH150+CH151</f>
        <v>23332</v>
      </c>
      <c r="CI349" s="226">
        <f>CI141+CI145+CI149+CI150+CI151</f>
        <v>23332</v>
      </c>
      <c r="CJ349" s="226">
        <f>CJ141+CJ145+CJ149+CJ150+CJ151</f>
        <v>23332</v>
      </c>
      <c r="CK349" s="226">
        <f>CK141+CK145+CK149+CK150+CK151</f>
        <v>23332</v>
      </c>
      <c r="CL349" s="226">
        <f>CL141+CL145+CL149+CL150+CL151</f>
        <v>23332</v>
      </c>
      <c r="CM349" s="226">
        <f>CM141+CM145+CM149+CM150+CM151</f>
        <v>23332</v>
      </c>
      <c r="CN349" s="226">
        <f>CN141+CN145+CN149+CN150+CN151</f>
        <v>23332</v>
      </c>
      <c r="CO349" s="226">
        <f>CO141+CO145+CO149+CO150+CO151</f>
        <v>23332</v>
      </c>
      <c r="CP349" s="226">
        <f>CP141+CP145+CP149+CP150+CP151</f>
        <v>23332</v>
      </c>
      <c r="CQ349" s="226">
        <f>CQ141+CQ145+CQ149+CQ150+CQ151</f>
        <v>23332</v>
      </c>
      <c r="CR349" s="226">
        <f>CR141+CR145+CR149+CR150+CR151</f>
        <v>23332</v>
      </c>
      <c r="CS349" s="226">
        <f>CS141+CS145+CS149+CS150+CS151</f>
        <v>23332</v>
      </c>
      <c r="CT349" s="226">
        <f>CT141+CT145+CT149+CT150+CT151</f>
        <v>23332</v>
      </c>
      <c r="CU349" s="226">
        <f>CU141+CU145+CU149+CU150+CU151</f>
        <v>23332</v>
      </c>
      <c r="CV349" s="226">
        <f>CV141+CV145+CV149+CV150+CV151</f>
        <v>23332</v>
      </c>
      <c r="CW349" s="226">
        <f>CW141+CW145+CW149+CW150+CW151</f>
        <v>23332</v>
      </c>
      <c r="CX349" s="226">
        <f>CX141+CX145+CX149+CX150+CX151</f>
        <v>23332</v>
      </c>
      <c r="CY349" s="226">
        <f>CY141+CY145+CY149+CY150+CY151</f>
        <v>23332</v>
      </c>
    </row>
    <row r="350" customFormat="1" s="233">
      <c r="A350" s="224" t="n"/>
      <c r="B350" s="224" t="n"/>
      <c r="C350" s="233" t="inlineStr">
        <is>
          <t>CURRENT LIABILITIES</t>
        </is>
      </c>
      <c r="D350" s="241">
        <f>D194+D198+D200+D201</f>
        <v>40189</v>
      </c>
      <c r="E350" s="241">
        <f>E194+E198+E200+E201</f>
        <v>43658</v>
      </c>
      <c r="F350" s="241">
        <f>F194+F198+F200+F201</f>
        <v>48200</v>
      </c>
      <c r="G350" s="241">
        <f>G194+G198+G200+G201</f>
        <v>56834</v>
      </c>
      <c r="H350" s="241">
        <f>H194+H198+H200+H201</f>
        <v>56834</v>
      </c>
      <c r="I350" s="226">
        <f>I194+I198+I200+I201</f>
        <v>55453</v>
      </c>
      <c r="J350" s="226">
        <f>J194+J198+J200+J201</f>
        <v>55741</v>
      </c>
      <c r="K350" s="226">
        <f>K194+K198+K200+K201</f>
        <v>61782</v>
      </c>
      <c r="L350" s="226">
        <f>L194+L198+L200+L201</f>
        <v>64254</v>
      </c>
      <c r="M350" s="226">
        <f>M194+M198+M200+M201</f>
        <v>64254</v>
      </c>
      <c r="N350" s="226">
        <f>N194+N198+N200+N201</f>
        <v>61948</v>
      </c>
      <c r="O350" s="226">
        <f>O194+O198+O200+O201</f>
        <v>61354</v>
      </c>
      <c r="P350" s="226">
        <f>P194+P198+P200+P201</f>
        <v>65979</v>
      </c>
      <c r="Q350" s="226">
        <f>Q194+Q198+Q200+Q201</f>
        <v>69300</v>
      </c>
      <c r="R350" s="226">
        <f>R194+R198+R200+R201</f>
        <v>69300</v>
      </c>
      <c r="S350" s="226">
        <f>S194+S198+S200+S201</f>
        <v>68854</v>
      </c>
      <c r="T350" s="226">
        <f>T194+T198+T200+T201</f>
        <v>77709</v>
      </c>
      <c r="U350" s="226">
        <f>U194+U198+U200+U201</f>
        <v>86295</v>
      </c>
      <c r="V350" s="226">
        <f>V194+V198+V200+V201</f>
        <v>81814</v>
      </c>
      <c r="W350" s="226">
        <f>W194+W198+W200+W201</f>
        <v>81814</v>
      </c>
      <c r="X350" s="226">
        <f>X194+X198+X200+X201</f>
        <v>76997</v>
      </c>
      <c r="Y350" s="226">
        <f>Y194+Y198+Y200+Y201</f>
        <v>77913</v>
      </c>
      <c r="Z350" s="226">
        <f>Z194+Z198+Z200+Z201</f>
        <v>80803</v>
      </c>
      <c r="AA350" s="226">
        <f>AA194+AA198+AA200+AA201</f>
        <v>89122</v>
      </c>
      <c r="AB350" s="226">
        <f>AB194+AB198+AB200+AB201</f>
        <v>89122</v>
      </c>
      <c r="AC350" s="226">
        <f>AC194+AC198+AC200+AC201</f>
        <v>91654</v>
      </c>
      <c r="AD350" s="226">
        <f>AD194+AD198+AD200+AD201</f>
        <v>87310</v>
      </c>
      <c r="AE350" s="226">
        <f>AE194+AE198+AE200+AE201</f>
        <v>99550</v>
      </c>
      <c r="AF350" s="226">
        <f>AF194+AF198+AF200+AF201</f>
        <v>102745</v>
      </c>
      <c r="AG350" s="226">
        <f>AG194+AG198+AG200+AG201</f>
        <v>102745</v>
      </c>
      <c r="AH350" s="226">
        <f>AH194+AH198+AH200+AH201</f>
        <v>111188</v>
      </c>
      <c r="AI350" s="226">
        <f>AI194+AI198+AI200+AI201</f>
        <v>126111</v>
      </c>
      <c r="AJ350" s="226">
        <f>AJ194+AJ198+AJ200+AJ201</f>
        <v>7154</v>
      </c>
      <c r="AK350" s="226">
        <f>AK194+AK198+AK200+AK201</f>
        <v>7154</v>
      </c>
      <c r="AL350" s="226">
        <f>AL194+AL198+AL200+AL201</f>
        <v>7154</v>
      </c>
      <c r="AM350" s="226" t="e">
        <f>AM194+AM198+AM200+AM201</f>
        <v>#DIV/0!</v>
      </c>
      <c r="AN350" s="226">
        <f>AN194+AN198+AN200+AN201</f>
        <v>7154</v>
      </c>
      <c r="AO350" s="226" t="e">
        <f>AO194+AO198+AO200+AO201</f>
        <v>#DIV/0!</v>
      </c>
      <c r="AP350" s="226" t="e">
        <f>AP194+AP198+AP200+AP201</f>
        <v>#DIV/0!</v>
      </c>
      <c r="AQ350" s="226" t="e">
        <f>AQ194+AQ198+AQ200+AQ201</f>
        <v>#DIV/0!</v>
      </c>
      <c r="AR350" s="226" t="e">
        <f>AR194+AR198+AR200+AR201</f>
        <v>#DIV/0!</v>
      </c>
      <c r="AS350" s="226" t="e">
        <f>AS194+AS198+AS200+AS201</f>
        <v>#DIV/0!</v>
      </c>
      <c r="AT350" s="226" t="e">
        <f>AT194+AT198+AT200+AT201</f>
        <v>#DIV/0!</v>
      </c>
      <c r="AU350" s="226" t="e">
        <f>AU194+AU198+AU200+AU201</f>
        <v>#DIV/0!</v>
      </c>
      <c r="AV350" s="226" t="e">
        <f>AV194+AV198+AV200+AV201</f>
        <v>#DIV/0!</v>
      </c>
      <c r="AW350" s="226" t="e">
        <f>AW194+AW198+AW200+AW201</f>
        <v>#DIV/0!</v>
      </c>
      <c r="AX350" s="226" t="e">
        <f>AX194+AX198+AX200+AX201</f>
        <v>#DIV/0!</v>
      </c>
      <c r="AY350" s="226" t="e">
        <f>AY194+AY198+AY200+AY201</f>
        <v>#DIV/0!</v>
      </c>
      <c r="AZ350" s="226" t="e">
        <f>AZ194+AZ198+AZ200+AZ201</f>
        <v>#DIV/0!</v>
      </c>
      <c r="BA350" s="226" t="e">
        <f>BA194+BA198+BA200+BA201</f>
        <v>#DIV/0!</v>
      </c>
      <c r="BB350" s="226" t="e">
        <f>BB194+BB198+BB200+BB201</f>
        <v>#DIV/0!</v>
      </c>
      <c r="BC350" s="226" t="e">
        <f>BC194+BC198+BC200+BC201</f>
        <v>#DIV/0!</v>
      </c>
      <c r="BD350" s="226" t="e">
        <f>BD194+BD198+BD200+BD201</f>
        <v>#DIV/0!</v>
      </c>
      <c r="BE350" s="226" t="e">
        <f>BE194+BE198+BE200+BE201</f>
        <v>#DIV/0!</v>
      </c>
      <c r="BF350" s="226" t="e">
        <f>BF194+BF198+BF200+BF201</f>
        <v>#DIV/0!</v>
      </c>
      <c r="BG350" s="226" t="e">
        <f>BG194+BG198+BG200+BG201</f>
        <v>#DIV/0!</v>
      </c>
      <c r="BH350" s="226" t="e">
        <f>BH194+BH198+BH200+BH201</f>
        <v>#DIV/0!</v>
      </c>
      <c r="BI350" s="226" t="e">
        <f>BI194+BI198+BI200+BI201</f>
        <v>#DIV/0!</v>
      </c>
      <c r="BJ350" s="226" t="e">
        <f>BJ194+BJ198+BJ200+BJ201</f>
        <v>#DIV/0!</v>
      </c>
      <c r="BK350" s="226" t="e">
        <f>BK194+BK198+BK200+BK201</f>
        <v>#DIV/0!</v>
      </c>
      <c r="BL350" s="226" t="e">
        <f>BL194+BL198+BL200+BL201</f>
        <v>#DIV/0!</v>
      </c>
      <c r="BM350" s="226" t="e">
        <f>BM194+BM198+BM200+BM201</f>
        <v>#DIV/0!</v>
      </c>
      <c r="BN350" s="226" t="e">
        <f>BN194+BN198+BN200+BN201</f>
        <v>#DIV/0!</v>
      </c>
      <c r="BO350" s="226" t="e">
        <f>BO194+BO198+BO200+BO201</f>
        <v>#DIV/0!</v>
      </c>
      <c r="BP350" s="226" t="e">
        <f>BP194+BP198+BP200+BP201</f>
        <v>#DIV/0!</v>
      </c>
      <c r="BQ350" s="226" t="e">
        <f>BQ194+BQ198+BQ200+BQ201</f>
        <v>#DIV/0!</v>
      </c>
      <c r="BR350" s="226" t="e">
        <f>BR194+BR198+BR200+BR201</f>
        <v>#DIV/0!</v>
      </c>
      <c r="BS350" s="226" t="e">
        <f>BS194+BS198+BS200+BS201</f>
        <v>#DIV/0!</v>
      </c>
      <c r="BT350" s="226" t="e">
        <f>BT194+BT198+BT200+BT201</f>
        <v>#DIV/0!</v>
      </c>
      <c r="BU350" s="226" t="e">
        <f>BU194+BU198+BU200+BU201</f>
        <v>#DIV/0!</v>
      </c>
      <c r="BV350" s="226" t="e">
        <f>BV194+BV198+BV200+BV201</f>
        <v>#DIV/0!</v>
      </c>
      <c r="BW350" s="226" t="e">
        <f>BW194+BW198+BW200+BW201</f>
        <v>#DIV/0!</v>
      </c>
      <c r="BX350" s="226" t="e">
        <f>BX194+BX198+BX200+BX201</f>
        <v>#DIV/0!</v>
      </c>
      <c r="BY350" s="226" t="e">
        <f>BY194+BY198+BY200+BY201</f>
        <v>#DIV/0!</v>
      </c>
      <c r="BZ350" s="226" t="e">
        <f>BZ194+BZ198+BZ200+BZ201</f>
        <v>#DIV/0!</v>
      </c>
      <c r="CA350" s="226" t="e">
        <f>CA194+CA198+CA200+CA201</f>
        <v>#DIV/0!</v>
      </c>
      <c r="CB350" s="226" t="e">
        <f>CB194+CB198+CB200+CB201</f>
        <v>#DIV/0!</v>
      </c>
      <c r="CC350" s="226" t="e">
        <f>CC194+CC198+CC200+CC201</f>
        <v>#DIV/0!</v>
      </c>
      <c r="CD350" s="226" t="e">
        <f>CD194+CD198+CD200+CD201</f>
        <v>#DIV/0!</v>
      </c>
      <c r="CE350" s="226" t="e">
        <f>CE194+CE198+CE200+CE201</f>
        <v>#DIV/0!</v>
      </c>
      <c r="CF350" s="226" t="e">
        <f>CF194+CF198+CF200+CF201</f>
        <v>#DIV/0!</v>
      </c>
      <c r="CG350" s="226" t="e">
        <f>CG194+CG198+CG200+CG201</f>
        <v>#DIV/0!</v>
      </c>
      <c r="CH350" s="226" t="e">
        <f>CH194+CH198+CH200+CH201</f>
        <v>#DIV/0!</v>
      </c>
      <c r="CI350" s="226" t="e">
        <f>CI194+CI198+CI200+CI201</f>
        <v>#DIV/0!</v>
      </c>
      <c r="CJ350" s="226" t="e">
        <f>CJ194+CJ198+CJ200+CJ201</f>
        <v>#DIV/0!</v>
      </c>
      <c r="CK350" s="226" t="e">
        <f>CK194+CK198+CK200+CK201</f>
        <v>#DIV/0!</v>
      </c>
      <c r="CL350" s="226" t="e">
        <f>CL194+CL198+CL200+CL201</f>
        <v>#DIV/0!</v>
      </c>
      <c r="CM350" s="226" t="e">
        <f>CM194+CM198+CM200+CM201</f>
        <v>#DIV/0!</v>
      </c>
      <c r="CN350" s="226" t="e">
        <f>CN194+CN198+CN200+CN201</f>
        <v>#DIV/0!</v>
      </c>
      <c r="CO350" s="226" t="e">
        <f>CO194+CO198+CO200+CO201</f>
        <v>#DIV/0!</v>
      </c>
      <c r="CP350" s="226" t="e">
        <f>CP194+CP198+CP200+CP201</f>
        <v>#DIV/0!</v>
      </c>
      <c r="CQ350" s="226" t="e">
        <f>CQ194+CQ198+CQ200+CQ201</f>
        <v>#DIV/0!</v>
      </c>
      <c r="CR350" s="226" t="e">
        <f>CR194+CR198+CR200+CR201</f>
        <v>#DIV/0!</v>
      </c>
      <c r="CS350" s="226" t="e">
        <f>CS194+CS198+CS200+CS201</f>
        <v>#DIV/0!</v>
      </c>
      <c r="CT350" s="226" t="e">
        <f>CT194+CT198+CT200+CT201</f>
        <v>#DIV/0!</v>
      </c>
      <c r="CU350" s="226" t="e">
        <f>CU194+CU198+CU200+CU201</f>
        <v>#DIV/0!</v>
      </c>
      <c r="CV350" s="226" t="e">
        <f>CV194+CV198+CV200+CV201</f>
        <v>#DIV/0!</v>
      </c>
      <c r="CW350" s="226" t="e">
        <f>CW194+CW198+CW200+CW201</f>
        <v>#DIV/0!</v>
      </c>
      <c r="CX350" s="226" t="e">
        <f>CX194+CX198+CX200+CX201</f>
        <v>#DIV/0!</v>
      </c>
      <c r="CY350" s="226" t="e">
        <f>CY194+CY198+CY200+CY201</f>
        <v>#DIV/0!</v>
      </c>
    </row>
    <row r="351" customFormat="1" s="233">
      <c r="A351" s="224" t="n"/>
      <c r="B351" s="224" t="n"/>
      <c r="C351" s="233" t="inlineStr">
        <is>
          <t>FIXED ASSETS</t>
        </is>
      </c>
      <c r="D351" s="241">
        <f>D162+D172+D175+D176+D185-D236</f>
        <v>113671</v>
      </c>
      <c r="E351" s="241">
        <f>E162+E172+E175+E176+E185-E236</f>
        <v>117540</v>
      </c>
      <c r="F351" s="241">
        <f>F162+F172+F175+F176+F185-F236</f>
        <v>122638</v>
      </c>
      <c r="G351" s="241">
        <f>G162+G172+G175+G176+G185-G236</f>
        <v>132637</v>
      </c>
      <c r="H351" s="241">
        <f>H162+H172+H175+H176+H185-H236</f>
        <v>132637</v>
      </c>
      <c r="I351" s="226">
        <f>I162+I172+I175+I176+I185-I236</f>
        <v>141875</v>
      </c>
      <c r="J351" s="226">
        <f>J162+J172+J175+J176+J185-J236</f>
        <v>147106</v>
      </c>
      <c r="K351" s="226">
        <f>K162+K172+K175+K176+K185-K236</f>
        <v>150354</v>
      </c>
      <c r="L351" s="226">
        <f>L162+L172+L175+L176+L185-L236</f>
        <v>157925</v>
      </c>
      <c r="M351" s="226">
        <f>M162+M172+M175+M176+M185-M236</f>
        <v>157925</v>
      </c>
      <c r="N351" s="226">
        <f>N162+N172+N175+N176+N185-N236</f>
        <v>165708</v>
      </c>
      <c r="O351" s="226">
        <f>O162+O172+O175+O176+O185-O236</f>
        <v>170267</v>
      </c>
      <c r="P351" s="226">
        <f>P162+P172+P175+P176+P185-P236</f>
        <v>177618</v>
      </c>
      <c r="Q351" s="226">
        <f>Q162+Q172+Q175+Q176+Q185-Q236</f>
        <v>183104</v>
      </c>
      <c r="R351" s="226">
        <f>R162+R172+R175+R176+R185-R236</f>
        <v>183104</v>
      </c>
      <c r="S351" s="226">
        <f>S162+S172+S175+S176+S185-S236</f>
        <v>187916</v>
      </c>
      <c r="T351" s="226">
        <f>T162+T172+T175+T176+T185-T236</f>
        <v>193714</v>
      </c>
      <c r="U351" s="226">
        <f>U162+U172+U175+U176+U185-U236</f>
        <v>199063</v>
      </c>
      <c r="V351" s="226">
        <f>V162+V172+V175+V176+V185-V236</f>
        <v>207692</v>
      </c>
      <c r="W351" s="226">
        <f>W162+W172+W175+W176+W185-W236</f>
        <v>207692</v>
      </c>
      <c r="X351" s="226">
        <f>X162+X172+X175+X176+X185-X236</f>
        <v>218354</v>
      </c>
      <c r="Y351" s="226">
        <f>Y162+Y172+Y175+Y176+Y185-Y236</f>
        <v>227376</v>
      </c>
      <c r="Z351" s="226">
        <f>Z162+Z172+Z175+Z176+Z185-Z236</f>
        <v>246123</v>
      </c>
      <c r="AA351" s="226">
        <f>AA162+AA172+AA175+AA176+AA185-AA236</f>
        <v>255889</v>
      </c>
      <c r="AB351" s="226">
        <f>AB162+AB172+AB175+AB176+AB185-AB236</f>
        <v>255889</v>
      </c>
      <c r="AC351" s="226">
        <f>AC162+AC172+AC175+AC176+AC185-AC236</f>
        <v>279047</v>
      </c>
      <c r="AD351" s="226">
        <f>AD162+AD172+AD175+AD176+AD185-AD236</f>
        <v>300280</v>
      </c>
      <c r="AE351" s="226">
        <f>AE162+AE172+AE175+AE176+AE185-AE236</f>
        <v>335852</v>
      </c>
      <c r="AF351" s="226">
        <f>AF162+AF172+AF175+AF176+AF185-AF236</f>
        <v>362150</v>
      </c>
      <c r="AG351" s="226">
        <f>AG162+AG172+AG175+AG176+AG185-AG236</f>
        <v>362150</v>
      </c>
      <c r="AH351" s="226">
        <f>AH162+AH172+AH175+AH176+AH185-AH236</f>
        <v>464670</v>
      </c>
      <c r="AI351" s="226">
        <f>AI162+AI172+AI175+AI176+AI185-AI236</f>
        <v>557194</v>
      </c>
      <c r="AJ351" s="226">
        <f>AJ162+AJ172+AJ175+AJ176+AJ185-AJ236</f>
        <v>548089</v>
      </c>
      <c r="AK351" s="226">
        <f>AK162+AK172+AK175+AK176+AK185-AK236</f>
        <v>548089</v>
      </c>
      <c r="AL351" s="226">
        <f>AL162+AL172+AL175+AL176+AL185-AL236</f>
        <v>548089</v>
      </c>
      <c r="AM351" s="226">
        <f>AM162+AM172+AM175+AM176+AM185-AM236</f>
        <v>548089</v>
      </c>
      <c r="AN351" s="226">
        <f>AN162+AN172+AN175+AN176+AN185-AN236</f>
        <v>548089</v>
      </c>
      <c r="AO351" s="226">
        <f>AO162+AO172+AO175+AO176+AO185-AO236</f>
        <v>548089</v>
      </c>
      <c r="AP351" s="226">
        <f>AP162+AP172+AP175+AP176+AP185-AP236</f>
        <v>548089</v>
      </c>
      <c r="AQ351" s="226">
        <f>AQ162+AQ172+AQ175+AQ176+AQ185-AQ236</f>
        <v>548089</v>
      </c>
      <c r="AR351" s="226">
        <f>AR162+AR172+AR175+AR176+AR185-AR236</f>
        <v>548089</v>
      </c>
      <c r="AS351" s="226">
        <f>AS162+AS172+AS175+AS176+AS185-AS236</f>
        <v>548089</v>
      </c>
      <c r="AT351" s="226">
        <f>AT162+AT172+AT175+AT176+AT185-AT236</f>
        <v>548089</v>
      </c>
      <c r="AU351" s="226">
        <f>AU162+AU172+AU175+AU176+AU185-AU236</f>
        <v>548089</v>
      </c>
      <c r="AV351" s="226">
        <f>AV162+AV172+AV175+AV176+AV185-AV236</f>
        <v>548089</v>
      </c>
      <c r="AW351" s="226">
        <f>AW162+AW172+AW175+AW176+AW185-AW236</f>
        <v>548089</v>
      </c>
      <c r="AX351" s="226">
        <f>AX162+AX172+AX175+AX176+AX185-AX236</f>
        <v>548089</v>
      </c>
      <c r="AY351" s="226">
        <f>AY162+AY172+AY175+AY176+AY185-AY236</f>
        <v>548089</v>
      </c>
      <c r="AZ351" s="226">
        <f>AZ162+AZ172+AZ175+AZ176+AZ185-AZ236</f>
        <v>548089</v>
      </c>
      <c r="BA351" s="226">
        <f>BA162+BA172+BA175+BA176+BA185-BA236</f>
        <v>548089</v>
      </c>
      <c r="BB351" s="226">
        <f>BB162+BB172+BB175+BB176+BB185-BB236</f>
        <v>548089</v>
      </c>
      <c r="BC351" s="226">
        <f>BC162+BC172+BC175+BC176+BC185-BC236</f>
        <v>548089</v>
      </c>
      <c r="BD351" s="226">
        <f>BD162+BD172+BD175+BD176+BD185-BD236</f>
        <v>548089</v>
      </c>
      <c r="BE351" s="226">
        <f>BE162+BE172+BE175+BE176+BE185-BE236</f>
        <v>548089</v>
      </c>
      <c r="BF351" s="226">
        <f>BF162+BF172+BF175+BF176+BF185-BF236</f>
        <v>548089</v>
      </c>
      <c r="BG351" s="226">
        <f>BG162+BG172+BG175+BG176+BG185-BG236</f>
        <v>548089</v>
      </c>
      <c r="BH351" s="226">
        <f>BH162+BH172+BH175+BH176+BH185-BH236</f>
        <v>548089</v>
      </c>
      <c r="BI351" s="226">
        <f>BI162+BI172+BI175+BI176+BI185-BI236</f>
        <v>548089</v>
      </c>
      <c r="BJ351" s="226">
        <f>BJ162+BJ172+BJ175+BJ176+BJ185-BJ236</f>
        <v>548089</v>
      </c>
      <c r="BK351" s="226">
        <f>BK162+BK172+BK175+BK176+BK185-BK236</f>
        <v>548089</v>
      </c>
      <c r="BL351" s="226">
        <f>BL162+BL172+BL175+BL176+BL185-BL236</f>
        <v>548089</v>
      </c>
      <c r="BM351" s="226">
        <f>BM162+BM172+BM175+BM176+BM185-BM236</f>
        <v>548089</v>
      </c>
      <c r="BN351" s="226">
        <f>BN162+BN172+BN175+BN176+BN185-BN236</f>
        <v>548089</v>
      </c>
      <c r="BO351" s="226">
        <f>BO162+BO172+BO175+BO176+BO185-BO236</f>
        <v>548089</v>
      </c>
      <c r="BP351" s="226">
        <f>BP162+BP172+BP175+BP176+BP185-BP236</f>
        <v>548089</v>
      </c>
      <c r="BQ351" s="226">
        <f>BQ162+BQ172+BQ175+BQ176+BQ185-BQ236</f>
        <v>548089</v>
      </c>
      <c r="BR351" s="226">
        <f>BR162+BR172+BR175+BR176+BR185-BR236</f>
        <v>548089</v>
      </c>
      <c r="BS351" s="226">
        <f>BS162+BS172+BS175+BS176+BS185-BS236</f>
        <v>548089</v>
      </c>
      <c r="BT351" s="226">
        <f>BT162+BT172+BT175+BT176+BT185-BT236</f>
        <v>548089</v>
      </c>
      <c r="BU351" s="226">
        <f>BU162+BU172+BU175+BU176+BU185-BU236</f>
        <v>548089</v>
      </c>
      <c r="BV351" s="226">
        <f>BV162+BV172+BV175+BV176+BV185-BV236</f>
        <v>548089</v>
      </c>
      <c r="BW351" s="226">
        <f>BW162+BW172+BW175+BW176+BW185-BW236</f>
        <v>548089</v>
      </c>
      <c r="BX351" s="226">
        <f>BX162+BX172+BX175+BX176+BX185-BX236</f>
        <v>548089</v>
      </c>
      <c r="BY351" s="226">
        <f>BY162+BY172+BY175+BY176+BY185-BY236</f>
        <v>548089</v>
      </c>
      <c r="BZ351" s="226">
        <f>BZ162+BZ172+BZ175+BZ176+BZ185-BZ236</f>
        <v>548089</v>
      </c>
      <c r="CA351" s="226">
        <f>CA162+CA172+CA175+CA176+CA185-CA236</f>
        <v>548089</v>
      </c>
      <c r="CB351" s="226">
        <f>CB162+CB172+CB175+CB176+CB185-CB236</f>
        <v>548089</v>
      </c>
      <c r="CC351" s="226">
        <f>CC162+CC172+CC175+CC176+CC185-CC236</f>
        <v>548089</v>
      </c>
      <c r="CD351" s="226">
        <f>CD162+CD172+CD175+CD176+CD185-CD236</f>
        <v>548089</v>
      </c>
      <c r="CE351" s="226">
        <f>CE162+CE172+CE175+CE176+CE185-CE236</f>
        <v>548089</v>
      </c>
      <c r="CF351" s="226">
        <f>CF162+CF172+CF175+CF176+CF185-CF236</f>
        <v>548089</v>
      </c>
      <c r="CG351" s="226">
        <f>CG162+CG172+CG175+CG176+CG185-CG236</f>
        <v>548089</v>
      </c>
      <c r="CH351" s="226">
        <f>CH162+CH172+CH175+CH176+CH185-CH236</f>
        <v>548089</v>
      </c>
      <c r="CI351" s="226">
        <f>CI162+CI172+CI175+CI176+CI185-CI236</f>
        <v>548089</v>
      </c>
      <c r="CJ351" s="226">
        <f>CJ162+CJ172+CJ175+CJ176+CJ185-CJ236</f>
        <v>548089</v>
      </c>
      <c r="CK351" s="226">
        <f>CK162+CK172+CK175+CK176+CK185-CK236</f>
        <v>548089</v>
      </c>
      <c r="CL351" s="226">
        <f>CL162+CL172+CL175+CL176+CL185-CL236</f>
        <v>548089</v>
      </c>
      <c r="CM351" s="226">
        <f>CM162+CM172+CM175+CM176+CM185-CM236</f>
        <v>548089</v>
      </c>
      <c r="CN351" s="226">
        <f>CN162+CN172+CN175+CN176+CN185-CN236</f>
        <v>548089</v>
      </c>
      <c r="CO351" s="226">
        <f>CO162+CO172+CO175+CO176+CO185-CO236</f>
        <v>548089</v>
      </c>
      <c r="CP351" s="226">
        <f>CP162+CP172+CP175+CP176+CP185-CP236</f>
        <v>548089</v>
      </c>
      <c r="CQ351" s="226">
        <f>CQ162+CQ172+CQ175+CQ176+CQ185-CQ236</f>
        <v>548089</v>
      </c>
      <c r="CR351" s="226">
        <f>CR162+CR172+CR175+CR176+CR185-CR236</f>
        <v>548089</v>
      </c>
      <c r="CS351" s="226">
        <f>CS162+CS172+CS175+CS176+CS185-CS236</f>
        <v>548089</v>
      </c>
      <c r="CT351" s="226">
        <f>CT162+CT172+CT175+CT176+CT185-CT236</f>
        <v>548089</v>
      </c>
      <c r="CU351" s="226">
        <f>CU162+CU172+CU175+CU176+CU185-CU236</f>
        <v>548089</v>
      </c>
      <c r="CV351" s="226">
        <f>CV162+CV172+CV175+CV176+CV185-CV236</f>
        <v>548089</v>
      </c>
      <c r="CW351" s="226">
        <f>CW162+CW172+CW175+CW176+CW185-CW236</f>
        <v>548089</v>
      </c>
      <c r="CX351" s="226">
        <f>CX162+CX172+CX175+CX176+CX185-CX236</f>
        <v>548089</v>
      </c>
      <c r="CY351" s="226">
        <f>CY162+CY172+CY175+CY176+CY185-CY236</f>
        <v>548089</v>
      </c>
    </row>
    <row r="352" customFormat="1" s="233">
      <c r="A352" s="224" t="n"/>
      <c r="B352" s="224" t="n"/>
    </row>
    <row r="353" customFormat="1" s="233">
      <c r="A353" s="224" t="n"/>
      <c r="B353" s="224" t="n"/>
    </row>
    <row r="354" customFormat="1" s="233">
      <c r="A354" s="224" t="n"/>
      <c r="B354" s="224" t="n"/>
    </row>
    <row r="355" customFormat="1" s="233">
      <c r="A355" s="224" t="n"/>
      <c r="B355" s="224" t="n"/>
    </row>
    <row r="356" customFormat="1" s="233">
      <c r="A356" s="224" t="n"/>
      <c r="B356" s="224" t="n"/>
    </row>
    <row r="357" customFormat="1" s="233">
      <c r="A357" s="224" t="n"/>
      <c r="B357" s="224" t="n"/>
    </row>
    <row r="358" customFormat="1" s="233">
      <c r="A358" s="224" t="n"/>
      <c r="B358" s="224" t="n"/>
    </row>
    <row r="359" customFormat="1" s="233">
      <c r="A359" s="224" t="n"/>
      <c r="B359" s="224" t="n"/>
      <c r="C359" s="234" t="inlineStr">
        <is>
          <t>DUPONT ANALYSIS</t>
        </is>
      </c>
    </row>
    <row r="360" customFormat="1" s="233">
      <c r="A360" s="224" t="n"/>
      <c r="B360" s="224" t="n"/>
      <c r="C360" s="233" t="inlineStr">
        <is>
          <t>NET PROFIT MARGIN</t>
        </is>
      </c>
      <c r="D360" s="238">
        <f>D133/D15</f>
        <v>0.166087611458004</v>
      </c>
      <c r="E360" s="238">
        <f>E133/E15</f>
        <v>0.181711361203227</v>
      </c>
      <c r="F360" s="238">
        <f>F133/F15</f>
        <v>0.243583912676239</v>
      </c>
      <c r="G360" s="238">
        <f>G133/G15</f>
        <v>0.267619248479736</v>
      </c>
      <c r="I360" s="222">
        <f>I133/I15</f>
        <v>0.324149401598149</v>
      </c>
      <c r="J360" s="222">
        <f>J133/J15</f>
        <v>0.29936974789916</v>
      </c>
      <c r="K360" s="222">
        <f>K133/K15</f>
        <v>0.290795171841887</v>
      </c>
      <c r="L360" s="222">
        <f>L133/L15</f>
        <v>0.274039163624295</v>
      </c>
      <c r="N360" s="222">
        <f>N133/N15</f>
        <v>0.241666789195865</v>
      </c>
      <c r="O360" s="222">
        <f>O133/O15</f>
        <v>0.229633350075339</v>
      </c>
      <c r="P360" s="222">
        <f>P133/P15</f>
        <v>0.201325768540497</v>
      </c>
      <c r="Q360" s="222">
        <f>Q133/Q15</f>
        <v>0.179150010519672</v>
      </c>
      <c r="S360" s="222">
        <f>S133/S15</f>
        <v>0.215670540358519</v>
      </c>
      <c r="T360" s="222">
        <f>T133/T15</f>
        <v>0.246206637713796</v>
      </c>
      <c r="U360" s="222">
        <f>U133/U15</f>
        <v>0.256724864068429</v>
      </c>
      <c r="V360" s="222">
        <f>V133/V15</f>
        <v>0.23968253968254</v>
      </c>
      <c r="X360" s="222">
        <f>X133/X15</f>
        <v>0.293795552465265</v>
      </c>
      <c r="Y360" s="222">
        <f>Y133/Y15</f>
        <v>0.278716575015931</v>
      </c>
      <c r="Z360" s="222">
        <f>Z133/Z15</f>
        <v>0.297967553360221</v>
      </c>
      <c r="AA360" s="222">
        <f>AA133/AA15</f>
        <v>0.275072821320839</v>
      </c>
      <c r="AC360" s="222">
        <f>AC133/AC15</f>
        <v>0.382782543165547</v>
      </c>
      <c r="AD360" s="222">
        <f>AD133/AD15</f>
        <v>0.29240469573153</v>
      </c>
      <c r="AE360" s="222">
        <f>AE133/AE15</f>
        <v>0.341772028218006</v>
      </c>
      <c r="AF360" s="222">
        <f>AF133/AF15</f>
        <v>0.302690878422898</v>
      </c>
      <c r="AH360" s="222">
        <f>AH133/AH15</f>
        <v>0.569429278590668</v>
      </c>
      <c r="AI360" s="222">
        <f>AI133/AI15</f>
        <v>0.936533774082607</v>
      </c>
      <c r="AJ360" s="222">
        <f>AJ133/AJ15</f>
        <v>0.373722470834229</v>
      </c>
      <c r="AK360" s="222">
        <f>AK133/AK15</f>
        <v>0.87201855414701</v>
      </c>
      <c r="AM360" s="222">
        <f>AM133/AM15</f>
        <v>0.903226687049574</v>
      </c>
      <c r="AN360" s="222">
        <f>AN133/AN15</f>
        <v>2.29573608467728</v>
      </c>
      <c r="AO360" s="222">
        <f>AO133/AO15</f>
        <v>0.969857151232095</v>
      </c>
      <c r="AP360" s="222">
        <f>AP133/AP15</f>
        <v>2.41608026074199</v>
      </c>
      <c r="AR360" s="222">
        <f>AR133/AR15</f>
        <v>2.50254786343452</v>
      </c>
      <c r="AS360" s="222">
        <f>AS133/AS15</f>
        <v>6.24863935356773</v>
      </c>
      <c r="AT360" s="222">
        <f>AT133/AT15</f>
        <v>2.68715924413265</v>
      </c>
      <c r="AU360" s="222">
        <f>AU133/AU15</f>
        <v>6.576197629778</v>
      </c>
      <c r="AW360" s="222">
        <f>AW133/AW15</f>
        <v>6.81154910096819</v>
      </c>
      <c r="AX360" s="222">
        <f>AX133/AX15</f>
        <v>17.08875087649</v>
      </c>
      <c r="AY360" s="222">
        <f>AY133/AY15</f>
        <v>7.31403279072949</v>
      </c>
      <c r="AZ360" s="222">
        <f>AZ133/AZ15</f>
        <v>17.98455578104</v>
      </c>
      <c r="BB360" s="222">
        <f>BB133/BB15</f>
        <v>18.6281939288054</v>
      </c>
      <c r="BC360" s="222">
        <f>BC133/BC15</f>
        <v>46.6747804601155</v>
      </c>
      <c r="BD360" s="222">
        <f>BD133/BD15</f>
        <v>20.0023840697243</v>
      </c>
      <c r="BE360" s="222">
        <f>BE133/BE15</f>
        <v>49.121506821636</v>
      </c>
      <c r="BG360" s="222">
        <f>BG133/BG15</f>
        <v>50.8794860595472</v>
      </c>
      <c r="BH360" s="222">
        <f>BH133/BH15</f>
        <v>127.527062673211</v>
      </c>
      <c r="BI360" s="222">
        <f>BI133/BI15</f>
        <v>54.6328337209075</v>
      </c>
      <c r="BJ360" s="222">
        <f>BJ133/BJ15</f>
        <v>134.212125205352</v>
      </c>
      <c r="BL360" s="222">
        <f>BL133/BL15</f>
        <v>139.015359976705</v>
      </c>
      <c r="BM360" s="222">
        <f>BM133/BM15</f>
        <v>348.403686266653</v>
      </c>
      <c r="BN360" s="222">
        <f>BN133/BN15</f>
        <v>149.270435581264</v>
      </c>
      <c r="BO360" s="222">
        <f>BO133/BO15</f>
        <v>366.667264053976</v>
      </c>
      <c r="BQ360" s="222">
        <f>BQ133/BQ15</f>
        <v>379.789692072505</v>
      </c>
      <c r="BR360" s="222">
        <f>BR133/BR15</f>
        <v>951.861497879729</v>
      </c>
      <c r="BS360" s="222">
        <f>BS133/BS15</f>
        <v>407.806538604342</v>
      </c>
      <c r="BT360" s="222">
        <f>BT133/BT15</f>
        <v>1001.75877851866</v>
      </c>
      <c r="BV360" s="222">
        <f>BV133/BV15</f>
        <v>1037.61010409842</v>
      </c>
      <c r="BW360" s="222">
        <f>BW133/BW15</f>
        <v>2600.53036829276</v>
      </c>
      <c r="BX360" s="222">
        <f>BX133/BX15</f>
        <v>1114.15394837121</v>
      </c>
      <c r="BY360" s="222">
        <f>BY133/BY15</f>
        <v>2736.85208514526</v>
      </c>
      <c r="CA360" s="222">
        <f>CA133/CA15</f>
        <v>2834.79959234185</v>
      </c>
      <c r="CB360" s="222">
        <f>CB133/CB15</f>
        <v>7104.78373234499</v>
      </c>
      <c r="CC360" s="222">
        <f>CC133/CC15</f>
        <v>3043.92097395111</v>
      </c>
      <c r="CD360" s="222">
        <f>CD133/CD15</f>
        <v>7477.22172732783</v>
      </c>
      <c r="CF360" s="222">
        <f>CF133/CF15</f>
        <v>7744.81939288054</v>
      </c>
      <c r="CG360" s="222">
        <f>CG133/CG15</f>
        <v>19410.6282012755</v>
      </c>
      <c r="CH360" s="222">
        <f>CH133/CH15</f>
        <v>8316.14984464464</v>
      </c>
      <c r="CI360" s="222">
        <f>CI133/CI15</f>
        <v>20428.1476249462</v>
      </c>
      <c r="CK360" s="222">
        <f>CK133/CK15</f>
        <v>21159.2379704448</v>
      </c>
      <c r="CL360" s="222">
        <f>CL133/CL15</f>
        <v>53030.823867241</v>
      </c>
      <c r="CM360" s="222">
        <f>CM133/CM15</f>
        <v>22720.1416371915</v>
      </c>
      <c r="CN360" s="222">
        <f>CN133/CN15</f>
        <v>55810.7387045481</v>
      </c>
      <c r="CP360" s="222">
        <f>CP133/CP15</f>
        <v>57808.1147266507</v>
      </c>
      <c r="CQ360" s="222">
        <f>CQ133/CQ15</f>
        <v>144882.904137033</v>
      </c>
      <c r="CR360" s="222">
        <f>CR133/CR15</f>
        <v>62072.5829636723</v>
      </c>
      <c r="CS360" s="222">
        <f>CS133/CS15</f>
        <v>152477.772658988</v>
      </c>
      <c r="CU360" s="222">
        <f>CU133/CU15</f>
        <v>157934.705394191</v>
      </c>
      <c r="CV360" s="222">
        <f>CV133/CV15</f>
        <v>395827.456008548</v>
      </c>
      <c r="CW360" s="222">
        <f>CW133/CW15</f>
        <v>169585.449201727</v>
      </c>
      <c r="CX360" s="222">
        <f>CX133/CX15</f>
        <v>416577.022727073</v>
      </c>
    </row>
    <row r="361" customFormat="1" s="233">
      <c r="A361" s="224" t="n"/>
      <c r="B361" s="224" t="n"/>
      <c r="C361" s="233" t="inlineStr">
        <is>
          <t>ASSET TURNOVER</t>
        </is>
      </c>
      <c r="D361" s="238">
        <f>D133/D193</f>
        <v>0.0250033832840166</v>
      </c>
      <c r="E361" s="238">
        <f>E133/E193</f>
        <v>0.0249881504675179</v>
      </c>
      <c r="F361" s="238">
        <f>F133/F193</f>
        <v>0.0375848390772717</v>
      </c>
      <c r="G361" s="238">
        <f>G133/G193</f>
        <v>0.0476415448538246</v>
      </c>
      <c r="I361" s="222">
        <f>I133/I193</f>
        <v>0.0548158791788318</v>
      </c>
      <c r="J361" s="222">
        <f>J133/J193</f>
        <v>0.0552346990193418</v>
      </c>
      <c r="K361" s="222">
        <f>K133/K193</f>
        <v>0.0545073013186415</v>
      </c>
      <c r="L361" s="222">
        <f>L133/L193</f>
        <v>0.0574557155104268</v>
      </c>
      <c r="N361" s="222">
        <f>N133/N193</f>
        <v>0.0460268387212402</v>
      </c>
      <c r="O361" s="222">
        <f>O133/O193</f>
        <v>0.0450525782338781</v>
      </c>
      <c r="P361" s="222">
        <f>P133/P193</f>
        <v>0.03882709243416</v>
      </c>
      <c r="Q361" s="222">
        <f>Q133/Q193</f>
        <v>0.037299049454641</v>
      </c>
      <c r="S361" s="222">
        <f>S133/S193</f>
        <v>0.0407344157232517</v>
      </c>
      <c r="T361" s="222">
        <f>T133/T193</f>
        <v>0.0479527156149163</v>
      </c>
      <c r="U361" s="222">
        <f>U133/U193</f>
        <v>0.0496305875057662</v>
      </c>
      <c r="V361" s="222">
        <f>V133/V193</f>
        <v>0.0514100677945884</v>
      </c>
      <c r="X361" s="222">
        <f>X133/X193</f>
        <v>0.0580876396219467</v>
      </c>
      <c r="Y361" s="222">
        <f>Y133/Y193</f>
        <v>0.0569448127878101</v>
      </c>
      <c r="Z361" s="222">
        <f>Z133/Z193</f>
        <v>0.0611273026453403</v>
      </c>
      <c r="AA361" s="222">
        <f>AA133/AA193</f>
        <v>0.05893536121673</v>
      </c>
      <c r="AC361" s="222">
        <f>AC133/AC193</f>
        <v>0.0726585804019572</v>
      </c>
      <c r="AD361" s="222">
        <f>AD133/AD193</f>
        <v>0.0561614012863184</v>
      </c>
      <c r="AE361" s="222">
        <f>AE133/AE193</f>
        <v>0.0652022763663884</v>
      </c>
      <c r="AF361" s="222">
        <f>AF133/AF193</f>
        <v>0.0578802279931663</v>
      </c>
      <c r="AH361" s="222">
        <f>AH133/AH193</f>
        <v>0.0888994330313573</v>
      </c>
      <c r="AI361" s="222">
        <f>AI133/AI193</f>
        <v>0.121686625458387</v>
      </c>
      <c r="AJ361" s="222">
        <f>AJ133/AJ193</f>
        <v>0.0454655136548691</v>
      </c>
      <c r="AK361" s="222">
        <f>AK133/AK193</f>
        <v>0.105536630176835</v>
      </c>
      <c r="AM361" s="222" t="e">
        <f>AM133/AM193</f>
        <v>#DIV/0!</v>
      </c>
      <c r="AN361" s="222" t="e">
        <f>AN133/AN193</f>
        <v>#DIV/0!</v>
      </c>
      <c r="AO361" s="222" t="e">
        <f>AO133/AO193</f>
        <v>#DIV/0!</v>
      </c>
      <c r="AP361" s="222" t="e">
        <f>AP133/AP193</f>
        <v>#DIV/0!</v>
      </c>
      <c r="AR361" s="222" t="e">
        <f>AR133/AR193</f>
        <v>#DIV/0!</v>
      </c>
      <c r="AS361" s="222" t="e">
        <f>AS133/AS193</f>
        <v>#DIV/0!</v>
      </c>
      <c r="AT361" s="222" t="e">
        <f>AT133/AT193</f>
        <v>#DIV/0!</v>
      </c>
      <c r="AU361" s="222" t="e">
        <f>AU133/AU193</f>
        <v>#DIV/0!</v>
      </c>
      <c r="AW361" s="222" t="e">
        <f>AW133/AW193</f>
        <v>#DIV/0!</v>
      </c>
      <c r="AX361" s="222" t="e">
        <f>AX133/AX193</f>
        <v>#DIV/0!</v>
      </c>
      <c r="AY361" s="222" t="e">
        <f>AY133/AY193</f>
        <v>#DIV/0!</v>
      </c>
      <c r="AZ361" s="222" t="e">
        <f>AZ133/AZ193</f>
        <v>#DIV/0!</v>
      </c>
      <c r="BB361" s="222" t="e">
        <f>BB133/BB193</f>
        <v>#DIV/0!</v>
      </c>
      <c r="BC361" s="222" t="e">
        <f>BC133/BC193</f>
        <v>#DIV/0!</v>
      </c>
      <c r="BD361" s="222" t="e">
        <f>BD133/BD193</f>
        <v>#DIV/0!</v>
      </c>
      <c r="BE361" s="222" t="e">
        <f>BE133/BE193</f>
        <v>#DIV/0!</v>
      </c>
      <c r="BG361" s="222" t="e">
        <f>BG133/BG193</f>
        <v>#DIV/0!</v>
      </c>
      <c r="BH361" s="222" t="e">
        <f>BH133/BH193</f>
        <v>#DIV/0!</v>
      </c>
      <c r="BI361" s="222" t="e">
        <f>BI133/BI193</f>
        <v>#DIV/0!</v>
      </c>
      <c r="BJ361" s="222" t="e">
        <f>BJ133/BJ193</f>
        <v>#DIV/0!</v>
      </c>
      <c r="BL361" s="222" t="e">
        <f>BL133/BL193</f>
        <v>#DIV/0!</v>
      </c>
      <c r="BM361" s="222" t="e">
        <f>BM133/BM193</f>
        <v>#DIV/0!</v>
      </c>
      <c r="BN361" s="222" t="e">
        <f>BN133/BN193</f>
        <v>#DIV/0!</v>
      </c>
      <c r="BO361" s="222" t="e">
        <f>BO133/BO193</f>
        <v>#DIV/0!</v>
      </c>
      <c r="BQ361" s="222" t="e">
        <f>BQ133/BQ193</f>
        <v>#DIV/0!</v>
      </c>
      <c r="BR361" s="222" t="e">
        <f>BR133/BR193</f>
        <v>#DIV/0!</v>
      </c>
      <c r="BS361" s="222" t="e">
        <f>BS133/BS193</f>
        <v>#DIV/0!</v>
      </c>
      <c r="BT361" s="222" t="e">
        <f>BT133/BT193</f>
        <v>#DIV/0!</v>
      </c>
      <c r="BV361" s="222" t="e">
        <f>BV133/BV193</f>
        <v>#DIV/0!</v>
      </c>
      <c r="BW361" s="222" t="e">
        <f>BW133/BW193</f>
        <v>#DIV/0!</v>
      </c>
      <c r="BX361" s="222" t="e">
        <f>BX133/BX193</f>
        <v>#DIV/0!</v>
      </c>
      <c r="BY361" s="222" t="e">
        <f>BY133/BY193</f>
        <v>#DIV/0!</v>
      </c>
      <c r="CA361" s="222" t="e">
        <f>CA133/CA193</f>
        <v>#DIV/0!</v>
      </c>
      <c r="CB361" s="222" t="e">
        <f>CB133/CB193</f>
        <v>#DIV/0!</v>
      </c>
      <c r="CC361" s="222" t="e">
        <f>CC133/CC193</f>
        <v>#DIV/0!</v>
      </c>
      <c r="CD361" s="222" t="e">
        <f>CD133/CD193</f>
        <v>#DIV/0!</v>
      </c>
      <c r="CF361" s="222" t="e">
        <f>CF133/CF193</f>
        <v>#DIV/0!</v>
      </c>
      <c r="CG361" s="222" t="e">
        <f>CG133/CG193</f>
        <v>#DIV/0!</v>
      </c>
      <c r="CH361" s="222" t="e">
        <f>CH133/CH193</f>
        <v>#DIV/0!</v>
      </c>
      <c r="CI361" s="222" t="e">
        <f>CI133/CI193</f>
        <v>#DIV/0!</v>
      </c>
      <c r="CK361" s="222" t="e">
        <f>CK133/CK193</f>
        <v>#DIV/0!</v>
      </c>
      <c r="CL361" s="222" t="e">
        <f>CL133/CL193</f>
        <v>#DIV/0!</v>
      </c>
      <c r="CM361" s="222" t="e">
        <f>CM133/CM193</f>
        <v>#DIV/0!</v>
      </c>
      <c r="CN361" s="222" t="e">
        <f>CN133/CN193</f>
        <v>#DIV/0!</v>
      </c>
      <c r="CP361" s="222" t="e">
        <f>CP133/CP193</f>
        <v>#DIV/0!</v>
      </c>
      <c r="CQ361" s="222" t="e">
        <f>CQ133/CQ193</f>
        <v>#DIV/0!</v>
      </c>
      <c r="CR361" s="222" t="e">
        <f>CR133/CR193</f>
        <v>#DIV/0!</v>
      </c>
      <c r="CS361" s="222" t="e">
        <f>CS133/CS193</f>
        <v>#DIV/0!</v>
      </c>
      <c r="CU361" s="222" t="e">
        <f>CU133/CU193</f>
        <v>#DIV/0!</v>
      </c>
      <c r="CV361" s="222" t="e">
        <f>CV133/CV193</f>
        <v>#DIV/0!</v>
      </c>
      <c r="CW361" s="222" t="e">
        <f>CW133/CW193</f>
        <v>#DIV/0!</v>
      </c>
      <c r="CX361" s="222" t="e">
        <f>CX133/CX193</f>
        <v>#DIV/0!</v>
      </c>
    </row>
    <row r="362" customFormat="1" s="233">
      <c r="A362" s="224" t="n"/>
      <c r="B362" s="224" t="n"/>
      <c r="C362" s="233" t="inlineStr">
        <is>
          <t>EQUITY MULTIPLIER</t>
        </is>
      </c>
      <c r="D362" s="238">
        <f>D193/D267</f>
        <v>1.34245478962383</v>
      </c>
      <c r="E362" s="238">
        <f>E193/E267</f>
        <v>1.34328243022931</v>
      </c>
      <c r="F362" s="238">
        <f>F193/F267</f>
        <v>1.40542457260943</v>
      </c>
      <c r="G362" s="238">
        <f>G193/G267</f>
        <v>1.43619239341434</v>
      </c>
      <c r="I362" s="222">
        <f>I193/I267</f>
        <v>1.42207179594197</v>
      </c>
      <c r="J362" s="222">
        <f>J193/J267</f>
        <v>1.41176941047713</v>
      </c>
      <c r="K362" s="222">
        <f>K193/K267</f>
        <v>1.42048191293183</v>
      </c>
      <c r="L362" s="222">
        <f>L193/L267</f>
        <v>1.42773461561389</v>
      </c>
      <c r="N362" s="222">
        <f>N193/N267</f>
        <v>1.4058676241319</v>
      </c>
      <c r="O362" s="222">
        <f>O193/O267</f>
        <v>1.39059741052937</v>
      </c>
      <c r="P362" s="222">
        <f>P193/P267</f>
        <v>1.41253262678117</v>
      </c>
      <c r="Q362" s="222">
        <f>Q193/Q267</f>
        <v>1.42601036916734</v>
      </c>
      <c r="S362" s="222">
        <f>S193/S267</f>
        <v>1.41624951129578</v>
      </c>
      <c r="T362" s="222">
        <f>T193/T267</f>
        <v>1.43386451349662</v>
      </c>
      <c r="U362" s="222">
        <f>U193/U267</f>
        <v>1.4520794137671</v>
      </c>
      <c r="V362" s="222">
        <f>V193/V267</f>
        <v>1.41997819175027</v>
      </c>
      <c r="X362" s="222">
        <f>X193/X267</f>
        <v>1.39101364549043</v>
      </c>
      <c r="Y362" s="222">
        <f>Y193/Y267</f>
        <v>1.37910511283345</v>
      </c>
      <c r="Z362" s="222">
        <f>Z193/Z267</f>
        <v>1.36975477446445</v>
      </c>
      <c r="AA362" s="222">
        <f>AA193/AA267</f>
        <v>1.38504509603672</v>
      </c>
      <c r="AC362" s="222">
        <f>AC193/AC267</f>
        <v>1.37683010539669</v>
      </c>
      <c r="AD362" s="222">
        <f>AD193/AD267</f>
        <v>1.38338623813775</v>
      </c>
      <c r="AE362" s="222">
        <f>AE193/AE267</f>
        <v>1.38670137282322</v>
      </c>
      <c r="AF362" s="222">
        <f>AF193/AF267</f>
        <v>1.43349668284108</v>
      </c>
      <c r="AH362" s="222">
        <f>AH193/AH267</f>
        <v>1.47033917776859</v>
      </c>
      <c r="AI362" s="222">
        <f>AI193/AI267</f>
        <v>1.4395187984012</v>
      </c>
      <c r="AJ362" s="222">
        <f>AJ193/AJ267</f>
        <v>1.23948586254602</v>
      </c>
      <c r="AK362" s="222">
        <f>AK193/AK267</f>
        <v>1.20893070605021</v>
      </c>
      <c r="AM362" s="222" t="e">
        <f>AM193/AM267</f>
        <v>#DIV/0!</v>
      </c>
      <c r="AN362" s="222" t="e">
        <f>AN193/AN267</f>
        <v>#DIV/0!</v>
      </c>
      <c r="AO362" s="222" t="e">
        <f>AO193/AO267</f>
        <v>#DIV/0!</v>
      </c>
      <c r="AP362" s="222" t="e">
        <f>AP193/AP267</f>
        <v>#DIV/0!</v>
      </c>
      <c r="AR362" s="222" t="e">
        <f>AR193/AR267</f>
        <v>#DIV/0!</v>
      </c>
      <c r="AS362" s="222" t="e">
        <f>AS193/AS267</f>
        <v>#DIV/0!</v>
      </c>
      <c r="AT362" s="222" t="e">
        <f>AT193/AT267</f>
        <v>#DIV/0!</v>
      </c>
      <c r="AU362" s="222" t="e">
        <f>AU193/AU267</f>
        <v>#DIV/0!</v>
      </c>
      <c r="AW362" s="222" t="e">
        <f>AW193/AW267</f>
        <v>#DIV/0!</v>
      </c>
      <c r="AX362" s="222" t="e">
        <f>AX193/AX267</f>
        <v>#DIV/0!</v>
      </c>
      <c r="AY362" s="222" t="e">
        <f>AY193/AY267</f>
        <v>#DIV/0!</v>
      </c>
      <c r="AZ362" s="222" t="e">
        <f>AZ193/AZ267</f>
        <v>#DIV/0!</v>
      </c>
      <c r="BB362" s="222" t="e">
        <f>BB193/BB267</f>
        <v>#DIV/0!</v>
      </c>
      <c r="BC362" s="222" t="e">
        <f>BC193/BC267</f>
        <v>#DIV/0!</v>
      </c>
      <c r="BD362" s="222" t="e">
        <f>BD193/BD267</f>
        <v>#DIV/0!</v>
      </c>
      <c r="BE362" s="222" t="e">
        <f>BE193/BE267</f>
        <v>#DIV/0!</v>
      </c>
      <c r="BG362" s="222" t="e">
        <f>BG193/BG267</f>
        <v>#DIV/0!</v>
      </c>
      <c r="BH362" s="222" t="e">
        <f>BH193/BH267</f>
        <v>#DIV/0!</v>
      </c>
      <c r="BI362" s="222" t="e">
        <f>BI193/BI267</f>
        <v>#DIV/0!</v>
      </c>
      <c r="BJ362" s="222" t="e">
        <f>BJ193/BJ267</f>
        <v>#DIV/0!</v>
      </c>
      <c r="BL362" s="222" t="e">
        <f>BL193/BL267</f>
        <v>#DIV/0!</v>
      </c>
      <c r="BM362" s="222" t="e">
        <f>BM193/BM267</f>
        <v>#DIV/0!</v>
      </c>
      <c r="BN362" s="222" t="e">
        <f>BN193/BN267</f>
        <v>#DIV/0!</v>
      </c>
      <c r="BO362" s="222" t="e">
        <f>BO193/BO267</f>
        <v>#DIV/0!</v>
      </c>
      <c r="BQ362" s="222" t="e">
        <f>BQ193/BQ267</f>
        <v>#DIV/0!</v>
      </c>
      <c r="BR362" s="222" t="e">
        <f>BR193/BR267</f>
        <v>#DIV/0!</v>
      </c>
      <c r="BS362" s="222" t="e">
        <f>BS193/BS267</f>
        <v>#DIV/0!</v>
      </c>
      <c r="BT362" s="222" t="e">
        <f>BT193/BT267</f>
        <v>#DIV/0!</v>
      </c>
      <c r="BV362" s="222" t="e">
        <f>BV193/BV267</f>
        <v>#DIV/0!</v>
      </c>
      <c r="BW362" s="222" t="e">
        <f>BW193/BW267</f>
        <v>#DIV/0!</v>
      </c>
      <c r="BX362" s="222" t="e">
        <f>BX193/BX267</f>
        <v>#DIV/0!</v>
      </c>
      <c r="BY362" s="222" t="e">
        <f>BY193/BY267</f>
        <v>#DIV/0!</v>
      </c>
      <c r="CA362" s="222" t="e">
        <f>CA193/CA267</f>
        <v>#DIV/0!</v>
      </c>
      <c r="CB362" s="222" t="e">
        <f>CB193/CB267</f>
        <v>#DIV/0!</v>
      </c>
      <c r="CC362" s="222" t="e">
        <f>CC193/CC267</f>
        <v>#DIV/0!</v>
      </c>
      <c r="CD362" s="222" t="e">
        <f>CD193/CD267</f>
        <v>#DIV/0!</v>
      </c>
      <c r="CF362" s="222" t="e">
        <f>CF193/CF267</f>
        <v>#DIV/0!</v>
      </c>
      <c r="CG362" s="222" t="e">
        <f>CG193/CG267</f>
        <v>#DIV/0!</v>
      </c>
      <c r="CH362" s="222" t="e">
        <f>CH193/CH267</f>
        <v>#DIV/0!</v>
      </c>
      <c r="CI362" s="222" t="e">
        <f>CI193/CI267</f>
        <v>#DIV/0!</v>
      </c>
      <c r="CK362" s="222" t="e">
        <f>CK193/CK267</f>
        <v>#DIV/0!</v>
      </c>
      <c r="CL362" s="222" t="e">
        <f>CL193/CL267</f>
        <v>#DIV/0!</v>
      </c>
      <c r="CM362" s="222" t="e">
        <f>CM193/CM267</f>
        <v>#DIV/0!</v>
      </c>
      <c r="CN362" s="222" t="e">
        <f>CN193/CN267</f>
        <v>#DIV/0!</v>
      </c>
      <c r="CP362" s="222" t="e">
        <f>CP193/CP267</f>
        <v>#DIV/0!</v>
      </c>
      <c r="CQ362" s="222" t="e">
        <f>CQ193/CQ267</f>
        <v>#DIV/0!</v>
      </c>
      <c r="CR362" s="222" t="e">
        <f>CR193/CR267</f>
        <v>#DIV/0!</v>
      </c>
      <c r="CS362" s="222" t="e">
        <f>CS193/CS267</f>
        <v>#DIV/0!</v>
      </c>
      <c r="CU362" s="222" t="e">
        <f>CU193/CU267</f>
        <v>#DIV/0!</v>
      </c>
      <c r="CV362" s="222" t="e">
        <f>CV193/CV267</f>
        <v>#DIV/0!</v>
      </c>
      <c r="CW362" s="222" t="e">
        <f>CW193/CW267</f>
        <v>#DIV/0!</v>
      </c>
      <c r="CX362" s="222" t="e">
        <f>CX193/CX267</f>
        <v>#DIV/0!</v>
      </c>
    </row>
    <row r="363" customFormat="1" s="233">
      <c r="A363" s="224" t="n"/>
      <c r="B363" s="224" t="n"/>
      <c r="C363" s="233" t="inlineStr">
        <is>
          <t>ROE - DUPONT</t>
        </is>
      </c>
      <c r="D363" s="238">
        <f>PRODUCT(D360:D362)</f>
        <v>0.00557488209176573</v>
      </c>
      <c r="E363" s="238">
        <f>PRODUCT(E360:E362)</f>
        <v>0.00609934962335526</v>
      </c>
      <c r="F363" s="238">
        <f>PRODUCT(F360:F362)</f>
        <v>0.0128667493230775</v>
      </c>
      <c r="G363" s="238">
        <f>PRODUCT(G360:G362)</f>
        <v>0.0183111577782413</v>
      </c>
      <c r="I363" s="222">
        <f>PRODUCT(I360:I362)</f>
        <v>0.0252681316736654</v>
      </c>
      <c r="J363" s="222">
        <f>PRODUCT(J360:J362)</f>
        <v>0.0233444513284025</v>
      </c>
      <c r="K363" s="222">
        <f>PRODUCT(K360:K362)</f>
        <v>0.0225152918177758</v>
      </c>
      <c r="L363" s="222">
        <f>PRODUCT(L360:L362)</f>
        <v>0.022479847459744</v>
      </c>
      <c r="N363" s="222">
        <f>PRODUCT(N360:N362)</f>
        <v>0.0156376881750809</v>
      </c>
      <c r="O363" s="222">
        <f>PRODUCT(O360:O362)</f>
        <v>0.014386529067554</v>
      </c>
      <c r="P363" s="222">
        <f>PRODUCT(P360:P362)</f>
        <v>0.0110416181322038</v>
      </c>
      <c r="Q363" s="222">
        <f>PRODUCT(Q360:Q362)</f>
        <v>0.00952877968377166</v>
      </c>
      <c r="S363" s="222">
        <f>PRODUCT(S360:S362)</f>
        <v>0.0124420542555064</v>
      </c>
      <c r="T363" s="222">
        <f>PRODUCT(T360:T362)</f>
        <v>0.0169286014558866</v>
      </c>
      <c r="U363" s="222">
        <f>PRODUCT(U360:U362)</f>
        <v>0.0185015331097257</v>
      </c>
      <c r="V363" s="222">
        <f>PRODUCT(V360:V362)</f>
        <v>0.0174971070489087</v>
      </c>
      <c r="X363" s="222">
        <f>PRODUCT(X360:X362)</f>
        <v>0.0237388861046602</v>
      </c>
      <c r="Y363" s="222">
        <f>PRODUCT(Y360:Y362)</f>
        <v>0.021888416026777</v>
      </c>
      <c r="Z363" s="222">
        <f>PRODUCT(Z360:Z362)</f>
        <v>0.0249486488271234</v>
      </c>
      <c r="AA363" s="222">
        <f>PRODUCT(AA360:AA362)</f>
        <v>0.022453680853471</v>
      </c>
      <c r="AC363" s="222">
        <f>PRODUCT(AC360:AC362)</f>
        <v>0.0382929994495217</v>
      </c>
      <c r="AD363" s="222">
        <f>PRODUCT(AD360:AD362)</f>
        <v>0.0227177716078823</v>
      </c>
      <c r="AE363" s="222">
        <f>PRODUCT(AE360:AE362)</f>
        <v>0.0309016891464964</v>
      </c>
      <c r="AF363" s="222">
        <f>PRODUCT(AF360:AF362)</f>
        <v>0.0251145996317073</v>
      </c>
      <c r="AH363" s="222">
        <f>PRODUCT(AH360:AH362)</f>
        <v>0.0744314216633597</v>
      </c>
      <c r="AI363" s="222">
        <f>PRODUCT(AI360:AI362)</f>
        <v>0.164052794334952</v>
      </c>
      <c r="AJ363" s="222">
        <f>PRODUCT(AJ360:AJ362)</f>
        <v>0.021060704326673</v>
      </c>
      <c r="AK363" s="222">
        <f>PRODUCT(AK360:AK362)</f>
        <v>0.111257771569283</v>
      </c>
      <c r="AM363" s="222" t="e">
        <f>PRODUCT(AM360:AM362)</f>
        <v>#DIV/0!</v>
      </c>
      <c r="AN363" s="222" t="e">
        <f>PRODUCT(AN360:AN362)</f>
        <v>#DIV/0!</v>
      </c>
      <c r="AO363" s="222" t="e">
        <f>PRODUCT(AO360:AO362)</f>
        <v>#DIV/0!</v>
      </c>
      <c r="AP363" s="222" t="e">
        <f>PRODUCT(AP360:AP362)</f>
        <v>#DIV/0!</v>
      </c>
      <c r="AR363" s="222" t="e">
        <f>PRODUCT(AR360:AR362)</f>
        <v>#DIV/0!</v>
      </c>
      <c r="AS363" s="222" t="e">
        <f>PRODUCT(AS360:AS362)</f>
        <v>#DIV/0!</v>
      </c>
      <c r="AT363" s="222" t="e">
        <f>PRODUCT(AT360:AT362)</f>
        <v>#DIV/0!</v>
      </c>
      <c r="AU363" s="222" t="e">
        <f>PRODUCT(AU360:AU362)</f>
        <v>#DIV/0!</v>
      </c>
      <c r="AW363" s="222" t="e">
        <f>PRODUCT(AW360:AW362)</f>
        <v>#DIV/0!</v>
      </c>
      <c r="AX363" s="222" t="e">
        <f>PRODUCT(AX360:AX362)</f>
        <v>#DIV/0!</v>
      </c>
      <c r="AY363" s="222" t="e">
        <f>PRODUCT(AY360:AY362)</f>
        <v>#DIV/0!</v>
      </c>
      <c r="AZ363" s="222" t="e">
        <f>PRODUCT(AZ360:AZ362)</f>
        <v>#DIV/0!</v>
      </c>
      <c r="BB363" s="222" t="e">
        <f>PRODUCT(BB360:BB362)</f>
        <v>#DIV/0!</v>
      </c>
      <c r="BC363" s="222" t="e">
        <f>PRODUCT(BC360:BC362)</f>
        <v>#DIV/0!</v>
      </c>
      <c r="BD363" s="222" t="e">
        <f>PRODUCT(BD360:BD362)</f>
        <v>#DIV/0!</v>
      </c>
      <c r="BE363" s="222" t="e">
        <f>PRODUCT(BE360:BE362)</f>
        <v>#DIV/0!</v>
      </c>
      <c r="BG363" s="222" t="e">
        <f>PRODUCT(BG360:BG362)</f>
        <v>#DIV/0!</v>
      </c>
      <c r="BH363" s="222" t="e">
        <f>PRODUCT(BH360:BH362)</f>
        <v>#DIV/0!</v>
      </c>
      <c r="BI363" s="222" t="e">
        <f>PRODUCT(BI360:BI362)</f>
        <v>#DIV/0!</v>
      </c>
      <c r="BJ363" s="222" t="e">
        <f>PRODUCT(BJ360:BJ362)</f>
        <v>#DIV/0!</v>
      </c>
      <c r="BL363" s="222" t="e">
        <f>PRODUCT(BL360:BL362)</f>
        <v>#DIV/0!</v>
      </c>
      <c r="BM363" s="222" t="e">
        <f>PRODUCT(BM360:BM362)</f>
        <v>#DIV/0!</v>
      </c>
      <c r="BN363" s="222" t="e">
        <f>PRODUCT(BN360:BN362)</f>
        <v>#DIV/0!</v>
      </c>
      <c r="BO363" s="222" t="e">
        <f>PRODUCT(BO360:BO362)</f>
        <v>#DIV/0!</v>
      </c>
      <c r="BQ363" s="222" t="e">
        <f>PRODUCT(BQ360:BQ362)</f>
        <v>#DIV/0!</v>
      </c>
      <c r="BR363" s="222" t="e">
        <f>PRODUCT(BR360:BR362)</f>
        <v>#DIV/0!</v>
      </c>
      <c r="BS363" s="222" t="e">
        <f>PRODUCT(BS360:BS362)</f>
        <v>#DIV/0!</v>
      </c>
      <c r="BT363" s="222" t="e">
        <f>PRODUCT(BT360:BT362)</f>
        <v>#DIV/0!</v>
      </c>
      <c r="BV363" s="222" t="e">
        <f>PRODUCT(BV360:BV362)</f>
        <v>#DIV/0!</v>
      </c>
      <c r="BW363" s="222" t="e">
        <f>PRODUCT(BW360:BW362)</f>
        <v>#DIV/0!</v>
      </c>
      <c r="BX363" s="222" t="e">
        <f>PRODUCT(BX360:BX362)</f>
        <v>#DIV/0!</v>
      </c>
      <c r="BY363" s="222" t="e">
        <f>PRODUCT(BY360:BY362)</f>
        <v>#DIV/0!</v>
      </c>
      <c r="CA363" s="222" t="e">
        <f>PRODUCT(CA360:CA362)</f>
        <v>#DIV/0!</v>
      </c>
      <c r="CB363" s="222" t="e">
        <f>PRODUCT(CB360:CB362)</f>
        <v>#DIV/0!</v>
      </c>
      <c r="CC363" s="222" t="e">
        <f>PRODUCT(CC360:CC362)</f>
        <v>#DIV/0!</v>
      </c>
      <c r="CD363" s="222" t="e">
        <f>PRODUCT(CD360:CD362)</f>
        <v>#DIV/0!</v>
      </c>
      <c r="CF363" s="222" t="e">
        <f>PRODUCT(CF360:CF362)</f>
        <v>#DIV/0!</v>
      </c>
      <c r="CG363" s="222" t="e">
        <f>PRODUCT(CG360:CG362)</f>
        <v>#DIV/0!</v>
      </c>
      <c r="CH363" s="222" t="e">
        <f>PRODUCT(CH360:CH362)</f>
        <v>#DIV/0!</v>
      </c>
      <c r="CI363" s="222" t="e">
        <f>PRODUCT(CI360:CI362)</f>
        <v>#DIV/0!</v>
      </c>
      <c r="CK363" s="222" t="e">
        <f>PRODUCT(CK360:CK362)</f>
        <v>#DIV/0!</v>
      </c>
      <c r="CL363" s="222" t="e">
        <f>PRODUCT(CL360:CL362)</f>
        <v>#DIV/0!</v>
      </c>
      <c r="CM363" s="222" t="e">
        <f>PRODUCT(CM360:CM362)</f>
        <v>#DIV/0!</v>
      </c>
      <c r="CN363" s="222" t="e">
        <f>PRODUCT(CN360:CN362)</f>
        <v>#DIV/0!</v>
      </c>
      <c r="CP363" s="222" t="e">
        <f>PRODUCT(CP360:CP362)</f>
        <v>#DIV/0!</v>
      </c>
      <c r="CQ363" s="222" t="e">
        <f>PRODUCT(CQ360:CQ362)</f>
        <v>#DIV/0!</v>
      </c>
      <c r="CR363" s="222" t="e">
        <f>PRODUCT(CR360:CR362)</f>
        <v>#DIV/0!</v>
      </c>
      <c r="CS363" s="222" t="e">
        <f>PRODUCT(CS360:CS362)</f>
        <v>#DIV/0!</v>
      </c>
      <c r="CU363" s="222" t="e">
        <f>PRODUCT(CU360:CU362)</f>
        <v>#DIV/0!</v>
      </c>
      <c r="CV363" s="222" t="e">
        <f>PRODUCT(CV360:CV362)</f>
        <v>#DIV/0!</v>
      </c>
      <c r="CW363" s="222" t="e">
        <f>PRODUCT(CW360:CW362)</f>
        <v>#DIV/0!</v>
      </c>
      <c r="CX363" s="222" t="e">
        <f>PRODUCT(CX360:CX362)</f>
        <v>#DIV/0!</v>
      </c>
    </row>
    <row r="364" customFormat="1" s="233">
      <c r="A364" s="224" t="n"/>
      <c r="B364" s="224" t="n"/>
      <c r="C364" s="233" t="inlineStr">
        <is>
          <t>ROE</t>
        </is>
      </c>
      <c r="D364" s="238">
        <f>D133/D267</f>
        <v>0.0335659116464286</v>
      </c>
      <c r="E364" s="238">
        <f>E133/E267</f>
        <v>0.033566143486943</v>
      </c>
      <c r="F364" s="238">
        <f>F133/F267</f>
        <v>0.0528226563967687</v>
      </c>
      <c r="G364" s="238">
        <f>G133/G267</f>
        <v>0.0684224243295708</v>
      </c>
      <c r="I364" s="222">
        <f>I133/I267</f>
        <v>0.0779521157499793</v>
      </c>
      <c r="J364" s="222">
        <f>J133/J267</f>
        <v>0.0779786584724181</v>
      </c>
      <c r="K364" s="222">
        <f>K133/K267</f>
        <v>0.0774266356458557</v>
      </c>
      <c r="L364" s="222">
        <f>L133/L267</f>
        <v>0.0820315138990999</v>
      </c>
      <c r="N364" s="222">
        <f>N133/N267</f>
        <v>0.0647076423993323</v>
      </c>
      <c r="O364" s="222">
        <f>O133/O267</f>
        <v>0.0626499986297026</v>
      </c>
      <c r="P364" s="222">
        <f>P133/P267</f>
        <v>0.0548445348662992</v>
      </c>
      <c r="Q364" s="222">
        <f>Q133/Q267</f>
        <v>0.0531888312824037</v>
      </c>
      <c r="S364" s="222">
        <f>S133/S267</f>
        <v>0.0576900963609742</v>
      </c>
      <c r="T364" s="222">
        <f>T133/T267</f>
        <v>0.0687576972460236</v>
      </c>
      <c r="U364" s="222">
        <f>U133/U267</f>
        <v>0.0720675544102898</v>
      </c>
      <c r="V364" s="222">
        <f>V133/V267</f>
        <v>0.0730011751047184</v>
      </c>
      <c r="X364" s="222">
        <f>X133/X267</f>
        <v>0.0808006993484586</v>
      </c>
      <c r="Y364" s="222">
        <f>Y133/Y267</f>
        <v>0.0785328824650128</v>
      </c>
      <c r="Z364" s="222">
        <f>Z133/Z267</f>
        <v>0.0837294146485886</v>
      </c>
      <c r="AA364" s="222">
        <f>AA133/AA267</f>
        <v>0.0816281330363844</v>
      </c>
      <c r="AC364" s="222">
        <f>AC133/AC267</f>
        <v>0.100038520912801</v>
      </c>
      <c r="AD364" s="222">
        <f>AD133/AD267</f>
        <v>0.0776929096540246</v>
      </c>
      <c r="AE364" s="222">
        <f>AE133/AE267</f>
        <v>0.0904160861484696</v>
      </c>
      <c r="AF364" s="222">
        <f>AF133/AF267</f>
        <v>0.0829711148302891</v>
      </c>
      <c r="AH364" s="222">
        <f>AH133/AH267</f>
        <v>0.130712319267419</v>
      </c>
      <c r="AI364" s="222">
        <f>AI133/AI267</f>
        <v>0.175170184861354</v>
      </c>
      <c r="AJ364" s="222">
        <f>AJ133/AJ267</f>
        <v>0.0563538614086034</v>
      </c>
      <c r="AK364" s="222">
        <f>AK133/AK267</f>
        <v>0.127586472833841</v>
      </c>
      <c r="AM364" s="222">
        <f>AM133/AM267</f>
        <v>0.113150056255279</v>
      </c>
      <c r="AN364" s="222">
        <f>AN133/AN267</f>
        <v>0.238676491901645</v>
      </c>
      <c r="AO364" s="222">
        <f>AO133/AO267</f>
        <v>0.0793115957082999</v>
      </c>
      <c r="AP364" s="222">
        <f>AP133/AP267</f>
        <v>0.18015763629408</v>
      </c>
      <c r="AR364" s="222">
        <f>AR133/AR267</f>
        <v>0.152655569691358</v>
      </c>
      <c r="AS364" s="222">
        <f>AS133/AS267</f>
        <v>0.293538300340296</v>
      </c>
      <c r="AT364" s="222">
        <f>AT133/AT267</f>
        <v>0.0973469056908048</v>
      </c>
      <c r="AU364" s="222">
        <f>AU133/AU267</f>
        <v>0.209463203007738</v>
      </c>
      <c r="AW364" s="222">
        <f>AW133/AW267</f>
        <v>0.173186916713825</v>
      </c>
      <c r="AX364" s="222">
        <f>AX133/AX267</f>
        <v>0.321403978558875</v>
      </c>
      <c r="AY364" s="222">
        <f>AY133/AY267</f>
        <v>0.105164593894581</v>
      </c>
      <c r="AZ364" s="222">
        <f>AZ133/AZ267</f>
        <v>0.223363499719809</v>
      </c>
      <c r="BB364" s="222">
        <f>BB133/BB267</f>
        <v>0.18258146476576</v>
      </c>
      <c r="BC364" s="222">
        <f>BC133/BC267</f>
        <v>0.33274957592885</v>
      </c>
      <c r="BD364" s="222">
        <f>BD133/BD267</f>
        <v>0.108597403165082</v>
      </c>
      <c r="BE364" s="222">
        <f>BE133/BE267</f>
        <v>0.228760350865709</v>
      </c>
      <c r="BG364" s="222">
        <f>BG133/BG267</f>
        <v>0.186171657235309</v>
      </c>
      <c r="BH364" s="222">
        <f>BH133/BH267</f>
        <v>0.33716324244196</v>
      </c>
      <c r="BI364" s="222">
        <f>BI133/BI267</f>
        <v>0.109846236344688</v>
      </c>
      <c r="BJ364" s="222">
        <f>BJ133/BJ267</f>
        <v>0.230844447807674</v>
      </c>
      <c r="BL364" s="222">
        <f>BL133/BL267</f>
        <v>0.187549651963613</v>
      </c>
      <c r="BM364" s="222">
        <f>BM133/BM267</f>
        <v>0.338792825334353</v>
      </c>
      <c r="BN364" s="222">
        <f>BN133/BN267</f>
        <v>0.11032754730934</v>
      </c>
      <c r="BO364" s="222">
        <f>BO133/BO267</f>
        <v>0.231605388251266</v>
      </c>
      <c r="BQ364" s="222">
        <f>BQ133/BQ267</f>
        <v>0.188051619829399</v>
      </c>
      <c r="BR364" s="222">
        <f>BR133/BR267</f>
        <v>0.339397330405628</v>
      </c>
      <c r="BS364" s="222">
        <f>BS133/BS267</f>
        <v>0.11050024385717</v>
      </c>
      <c r="BT364" s="222">
        <f>BT133/BT267</f>
        <v>0.231888217568614</v>
      </c>
      <c r="BV364" s="222">
        <f>BV133/BV267</f>
        <v>0.188238035124886</v>
      </c>
      <c r="BW364" s="222">
        <f>BW133/BW267</f>
        <v>0.339618040004254</v>
      </c>
      <c r="BX364" s="222">
        <f>BX133/BX267</f>
        <v>0.110564802288423</v>
      </c>
      <c r="BY364" s="222">
        <f>BY133/BY267</f>
        <v>0.231991096635784</v>
      </c>
      <c r="CA364" s="222">
        <f>CA133/CA267</f>
        <v>0.188305822395377</v>
      </c>
      <c r="CB364" s="222">
        <f>CB133/CB267</f>
        <v>0.339699190115789</v>
      </c>
      <c r="CC364" s="222">
        <f>CC133/CC267</f>
        <v>0.110588126678498</v>
      </c>
      <c r="CD364" s="222">
        <f>CD133/CD267</f>
        <v>0.232028994484089</v>
      </c>
      <c r="CF364" s="222">
        <f>CF133/CF267</f>
        <v>0.188330790527581</v>
      </c>
      <c r="CG364" s="222">
        <f>CG133/CG267</f>
        <v>0.339728824321401</v>
      </c>
      <c r="CH364" s="222">
        <f>CH133/CH267</f>
        <v>0.110596753384687</v>
      </c>
      <c r="CI364" s="222">
        <f>CI133/CI267</f>
        <v>0.232042810570632</v>
      </c>
      <c r="CK364" s="222">
        <f>CK133/CK267</f>
        <v>0.188339892558733</v>
      </c>
      <c r="CL364" s="222">
        <f>CL133/CL267</f>
        <v>0.339739693516286</v>
      </c>
      <c r="CM364" s="222">
        <f>CM133/CM267</f>
        <v>0.110599888025055</v>
      </c>
      <c r="CN364" s="222">
        <f>CN133/CN267</f>
        <v>0.232047883717429</v>
      </c>
      <c r="CP364" s="222">
        <f>CP133/CP267</f>
        <v>0.188343234694155</v>
      </c>
      <c r="CQ364" s="222">
        <f>CQ133/CQ267</f>
        <v>0.339743666456775</v>
      </c>
      <c r="CR364" s="222">
        <f>CR133/CR267</f>
        <v>0.110601041667733</v>
      </c>
      <c r="CS364" s="222">
        <f>CS133/CS267</f>
        <v>0.232049736467628</v>
      </c>
      <c r="CU364" s="222">
        <f>CU133/CU267</f>
        <v>0.188344455259518</v>
      </c>
      <c r="CV364" s="222">
        <f>CV133/CV267</f>
        <v>0.339745122186982</v>
      </c>
      <c r="CW364" s="222">
        <f>CW133/CW267</f>
        <v>0.110601462264229</v>
      </c>
      <c r="CX364" s="222">
        <f>CX133/CX267</f>
        <v>0.232050415755614</v>
      </c>
    </row>
    <row r="366">
      <c r="C366" s="53" t="inlineStr">
        <is>
          <t>Scenario Analysis</t>
        </is>
      </c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  <c r="CO366" s="53" t="n"/>
      <c r="CP366" s="53" t="n"/>
      <c r="CQ366" s="53" t="n"/>
      <c r="CR366" s="53" t="n"/>
      <c r="CS366" s="53" t="n"/>
      <c r="CT366" s="53" t="n"/>
      <c r="CU366" s="53" t="n"/>
      <c r="CV366" s="53" t="n"/>
      <c r="CW366" s="53" t="n"/>
      <c r="CX366" s="53" t="n"/>
      <c r="CY366" s="53" t="n"/>
    </row>
    <row r="369">
      <c r="C369" s="4" t="inlineStr">
        <is>
          <t>Bull case</t>
        </is>
      </c>
    </row>
    <row r="370">
      <c r="C370" s="4" t="inlineStr">
        <is>
          <t>Base case</t>
        </is>
      </c>
    </row>
    <row r="371">
      <c r="C371" s="4" t="inlineStr">
        <is>
          <t>Bear case</t>
        </is>
      </c>
    </row>
    <row r="374">
      <c r="C374" s="4" t="inlineStr">
        <is>
          <t>Bull case</t>
        </is>
      </c>
    </row>
    <row r="375">
      <c r="C375" s="4" t="inlineStr">
        <is>
          <t>Base case</t>
        </is>
      </c>
    </row>
    <row r="376">
      <c r="C376" s="4" t="inlineStr">
        <is>
          <t>Bear case</t>
        </is>
      </c>
    </row>
    <row r="379">
      <c r="C379" s="4" t="inlineStr">
        <is>
          <t>% Gross Margin</t>
        </is>
      </c>
    </row>
    <row r="380">
      <c r="C380" s="4" t="inlineStr">
        <is>
          <t>Bull case</t>
        </is>
      </c>
    </row>
    <row r="381">
      <c r="C381" s="4" t="inlineStr">
        <is>
          <t>Base case</t>
        </is>
      </c>
    </row>
    <row r="382">
      <c r="C382" s="4" t="inlineStr">
        <is>
          <t>Bear case</t>
        </is>
      </c>
    </row>
    <row r="385">
      <c r="C385" s="4" t="inlineStr">
        <is>
          <t>Capital expenditures</t>
        </is>
      </c>
    </row>
    <row r="386">
      <c r="C386" s="4" t="inlineStr">
        <is>
          <t>Bull case</t>
        </is>
      </c>
    </row>
    <row r="387">
      <c r="C387" s="4" t="inlineStr">
        <is>
          <t>Base case</t>
        </is>
      </c>
    </row>
    <row r="388">
      <c r="C388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11:G311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11:L311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11:Q311">
    <cfRule type="cellIs" priority="44" operator="notEqual" dxfId="0">
      <formula>0</formula>
    </cfRule>
  </conditionalFormatting>
  <conditionalFormatting sqref="S311:V311">
    <cfRule type="cellIs" priority="43" operator="notEqual" dxfId="0">
      <formula>0</formula>
    </cfRule>
  </conditionalFormatting>
  <conditionalFormatting sqref="X311:AA311">
    <cfRule type="cellIs" priority="42" operator="notEqual" dxfId="0">
      <formula>0</formula>
    </cfRule>
  </conditionalFormatting>
  <conditionalFormatting sqref="AC311:AF311">
    <cfRule type="cellIs" priority="41" operator="notEqual" dxfId="0">
      <formula>0</formula>
    </cfRule>
  </conditionalFormatting>
  <conditionalFormatting sqref="AH311:AK311">
    <cfRule type="cellIs" priority="14" operator="notEqual" dxfId="0">
      <formula>0</formula>
    </cfRule>
  </conditionalFormatting>
  <conditionalFormatting sqref="AM311:AP311">
    <cfRule type="cellIs" priority="13" operator="notEqual" dxfId="0">
      <formula>0</formula>
    </cfRule>
  </conditionalFormatting>
  <conditionalFormatting sqref="AR311:AU311">
    <cfRule type="cellIs" priority="12" operator="notEqual" dxfId="0">
      <formula>0</formula>
    </cfRule>
  </conditionalFormatting>
  <conditionalFormatting sqref="AW311:AZ311">
    <cfRule type="cellIs" priority="11" operator="notEqual" dxfId="0">
      <formula>0</formula>
    </cfRule>
  </conditionalFormatting>
  <conditionalFormatting sqref="BB311:BE311">
    <cfRule type="cellIs" priority="10" operator="notEqual" dxfId="0">
      <formula>0</formula>
    </cfRule>
  </conditionalFormatting>
  <conditionalFormatting sqref="BG311:BJ311">
    <cfRule type="cellIs" priority="9" operator="notEqual" dxfId="0">
      <formula>0</formula>
    </cfRule>
  </conditionalFormatting>
  <conditionalFormatting sqref="BL311:BO311">
    <cfRule type="cellIs" priority="8" operator="notEqual" dxfId="0">
      <formula>0</formula>
    </cfRule>
  </conditionalFormatting>
  <conditionalFormatting sqref="BQ311:BT311">
    <cfRule type="cellIs" priority="7" operator="notEqual" dxfId="0">
      <formula>0</formula>
    </cfRule>
  </conditionalFormatting>
  <conditionalFormatting sqref="BV311:BY311">
    <cfRule type="cellIs" priority="6" operator="notEqual" dxfId="0">
      <formula>0</formula>
    </cfRule>
  </conditionalFormatting>
  <conditionalFormatting sqref="CA311:CD311">
    <cfRule type="cellIs" priority="5" operator="notEqual" dxfId="0">
      <formula>0</formula>
    </cfRule>
  </conditionalFormatting>
  <conditionalFormatting sqref="CF311:CI311">
    <cfRule type="cellIs" priority="4" operator="notEqual" dxfId="0">
      <formula>0</formula>
    </cfRule>
  </conditionalFormatting>
  <conditionalFormatting sqref="CK311:CN311">
    <cfRule type="cellIs" priority="3" operator="notEqual" dxfId="0">
      <formula>0</formula>
    </cfRule>
  </conditionalFormatting>
  <conditionalFormatting sqref="CP311:CS311">
    <cfRule type="cellIs" priority="2" operator="notEqual" dxfId="0">
      <formula>0</formula>
    </cfRule>
  </conditionalFormatting>
  <conditionalFormatting sqref="CU311:CX311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61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307394</v>
      </c>
      <c r="E18" s="83">
        <f>Model!AB15</f>
        <v>350018</v>
      </c>
      <c r="F18" s="83">
        <f>Model!AG15</f>
        <v>402837</v>
      </c>
      <c r="G18" s="83">
        <f>Model!AL15</f>
        <v>445867</v>
      </c>
      <c r="H18" s="83">
        <f>Model!AQ15</f>
        <v>445867</v>
      </c>
      <c r="I18" s="83">
        <f>Model!AV15</f>
        <v>445867</v>
      </c>
      <c r="J18" s="83">
        <f>Model!BA15</f>
        <v>445867</v>
      </c>
      <c r="K18" s="83">
        <f>Model!BF15</f>
        <v>445867</v>
      </c>
      <c r="L18" s="83">
        <f>Model!BK15</f>
        <v>445867</v>
      </c>
      <c r="M18" s="83">
        <f>Model!BP15</f>
        <v>445867</v>
      </c>
      <c r="N18" s="83">
        <f>Model!BU15</f>
        <v>445867</v>
      </c>
      <c r="O18" s="83">
        <f>Model!BZ15</f>
        <v>445867</v>
      </c>
      <c r="P18" s="83">
        <f>Model!CE15</f>
        <v>445867</v>
      </c>
      <c r="Q18" s="83">
        <f>Model!CJ15</f>
        <v>445867</v>
      </c>
      <c r="R18" s="83">
        <f>Model!CO15</f>
        <v>445867</v>
      </c>
      <c r="S18" s="83" t="n"/>
      <c r="T18" s="83" t="n"/>
      <c r="U18" s="83" t="n"/>
      <c r="V18" s="84" t="n"/>
      <c r="X18" s="85">
        <f>((L18/F18)^(1/6))-1</f>
        <v>0.0170586461897961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0.138662433229016</v>
      </c>
      <c r="F19" s="87">
        <f>F18/E18-1</f>
        <v>0.15090366781137</v>
      </c>
      <c r="G19" s="87">
        <f>G18/F18-1</f>
        <v>0.106817397607469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Model!W65</f>
        <v>97619</v>
      </c>
      <c r="E20" s="83">
        <f>Model!AB65</f>
        <v>127701</v>
      </c>
      <c r="F20" s="83">
        <f>Model!AG65</f>
        <v>150175</v>
      </c>
      <c r="G20" s="83">
        <f>Model!AL65</f>
        <v>94052</v>
      </c>
      <c r="H20" s="83">
        <f>Model!AQ65</f>
        <v>0</v>
      </c>
      <c r="I20" s="83">
        <f>Model!BA65</f>
        <v>0</v>
      </c>
      <c r="J20" s="83">
        <f>Model!BA65</f>
        <v>0</v>
      </c>
      <c r="K20" s="83">
        <f>Model!BF65</f>
        <v>0</v>
      </c>
      <c r="L20" s="83">
        <f>Model!BK65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0.31756963375993</v>
      </c>
      <c r="E21" s="92">
        <f>E20/E18</f>
        <v>0.364841236736396</v>
      </c>
      <c r="F21" s="92">
        <f>F20/F18</f>
        <v>0.372793462368154</v>
      </c>
      <c r="G21" s="92">
        <f>G20/G18</f>
        <v>0.210941827944208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Model!W69</f>
        <v>84293</v>
      </c>
      <c r="E22" s="83">
        <f>Model!AB69</f>
        <v>112390</v>
      </c>
      <c r="F22" s="83">
        <f>Model!AG69</f>
        <v>129039</v>
      </c>
      <c r="G22" s="83">
        <f>Model!AL69</f>
        <v>80466</v>
      </c>
      <c r="H22" s="83">
        <f>Model!AQ69</f>
        <v>0</v>
      </c>
      <c r="I22" s="83">
        <f>Model!AV69</f>
        <v>0</v>
      </c>
      <c r="J22" s="83">
        <f>Model!BA69</f>
        <v>0</v>
      </c>
      <c r="K22" s="83">
        <f>Model!BF69</f>
        <v>0</v>
      </c>
      <c r="L22" s="83">
        <f>Model!BK69</f>
        <v>0</v>
      </c>
      <c r="M22" s="83">
        <f>Model!BP69</f>
        <v>0</v>
      </c>
      <c r="N22" s="83">
        <f>Model!BU69</f>
        <v>0</v>
      </c>
      <c r="O22" s="83">
        <f>Model!BZ69</f>
        <v>0</v>
      </c>
      <c r="P22" s="83">
        <f>Model!CE69</f>
        <v>0</v>
      </c>
      <c r="Q22" s="83">
        <f>Model!CJ69</f>
        <v>0</v>
      </c>
      <c r="R22" s="83">
        <f>Model!CO69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0.274218104452266</v>
      </c>
      <c r="E23" s="92">
        <f>E22/E18</f>
        <v>0.321097772114577</v>
      </c>
      <c r="F23" s="92">
        <f>F22/F18</f>
        <v>0.320325590747623</v>
      </c>
      <c r="G23" s="92">
        <f>G22/G18</f>
        <v>0.180470857901572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Model!W128</f>
        <v>0.139085595622805</v>
      </c>
      <c r="E24" s="95">
        <f>Model!AB128</f>
        <v>0.16439510912657</v>
      </c>
      <c r="F24" s="95">
        <f>Model!AG128</f>
        <v>0.167831463362422</v>
      </c>
      <c r="G24" s="95">
        <f>Model!AL128</f>
        <v>0.117039655050541</v>
      </c>
      <c r="H24" s="95">
        <f>Model!AQ128</f>
        <v>0</v>
      </c>
      <c r="I24" s="95">
        <f>Model!AV128</f>
        <v>0</v>
      </c>
      <c r="J24" s="95">
        <f>Model!BA128</f>
        <v>0</v>
      </c>
      <c r="K24" s="95">
        <f>Model!BF128</f>
        <v>0</v>
      </c>
      <c r="L24" s="95">
        <f>Model!BK128</f>
        <v>0</v>
      </c>
      <c r="M24" s="95">
        <f>Model!BP128</f>
        <v>0</v>
      </c>
      <c r="N24" s="95">
        <f>Model!BU128</f>
        <v>0</v>
      </c>
      <c r="O24" s="95">
        <f>Model!BZ128</f>
        <v>0</v>
      </c>
      <c r="P24" s="95">
        <f>Model!CE128</f>
        <v>0</v>
      </c>
      <c r="Q24" s="95">
        <f>Model!CJ128</f>
        <v>0</v>
      </c>
      <c r="R24" s="95">
        <f>Model!CO128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72569.0578881669</v>
      </c>
      <c r="E25" s="97">
        <f>E22*(1-E24)</f>
        <v>93913.6336852648</v>
      </c>
      <c r="F25" s="97">
        <f>F22*(1-F24)</f>
        <v>107382.195799176</v>
      </c>
      <c r="G25" s="97">
        <f>G22*(1-G24)</f>
        <v>71048.2871167032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Model!W66</f>
        <v>-13326</v>
      </c>
      <c r="E26" s="100">
        <f>Model!AB66</f>
        <v>-15311</v>
      </c>
      <c r="F26" s="100">
        <f>Model!AG66</f>
        <v>-21136</v>
      </c>
      <c r="G26" s="100">
        <f>Model!AL66</f>
        <v>-13586</v>
      </c>
      <c r="H26" s="100">
        <f>Model!AQ66</f>
        <v>0</v>
      </c>
      <c r="I26" s="100">
        <f>Model!AV66</f>
        <v>0</v>
      </c>
      <c r="J26" s="100">
        <f>Model!BA66</f>
        <v>0</v>
      </c>
      <c r="K26" s="100">
        <f>Model!BF66</f>
        <v>0</v>
      </c>
      <c r="L26" s="101">
        <f>Model!BK66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-9051</v>
      </c>
      <c r="E27" s="103">
        <f>SUM(E28:E39)</f>
        <v>-14950</v>
      </c>
      <c r="F27" s="103">
        <f>SUM(F28:F39)</f>
        <v>-17023</v>
      </c>
      <c r="G27" s="103">
        <f>SUM(G28:G39)</f>
        <v>-92199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Model!W276</f>
        <v>-7706</v>
      </c>
      <c r="E28" s="106">
        <f>Model!AB276</f>
        <v>-4376</v>
      </c>
      <c r="F28" s="106">
        <f>Model!AG276</f>
        <v>-10546</v>
      </c>
      <c r="G28" s="106">
        <f>Model!AL276</f>
        <v>62886</v>
      </c>
      <c r="H28" s="106">
        <f>Model!AQ276</f>
        <v>0</v>
      </c>
      <c r="I28" s="106">
        <f>Model!AV276</f>
        <v>0</v>
      </c>
      <c r="J28" s="106">
        <f>Model!BA276</f>
        <v>0</v>
      </c>
      <c r="K28" s="106">
        <f>Model!BF276</f>
        <v>0</v>
      </c>
      <c r="L28" s="107">
        <f>Model!BK276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Model!W277</f>
        <v>2670</v>
      </c>
      <c r="E29" s="106">
        <f>Model!AB277</f>
        <v>0</v>
      </c>
      <c r="F29" s="106">
        <f>Model!AG277</f>
        <v>0</v>
      </c>
      <c r="G29" s="106">
        <f>Model!AL277</f>
        <v>0</v>
      </c>
      <c r="H29" s="106">
        <f>Model!AQ277</f>
        <v>0</v>
      </c>
      <c r="I29" s="106">
        <f>Model!AV277</f>
        <v>0</v>
      </c>
      <c r="J29" s="106">
        <f>Model!BA277</f>
        <v>0</v>
      </c>
      <c r="K29" s="106">
        <f>Model!BF277</f>
        <v>0</v>
      </c>
      <c r="L29" s="107">
        <f>Model!BK277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Model!W278</f>
        <v>-6908</v>
      </c>
      <c r="E30" s="106">
        <f>Model!AB278</f>
        <v>-5011</v>
      </c>
      <c r="F30" s="106">
        <f>Model!AG278</f>
        <v>8067</v>
      </c>
      <c r="G30" s="106">
        <f>Model!AL278</f>
        <v>7665</v>
      </c>
      <c r="H30" s="106">
        <f>Model!AQ278</f>
        <v>0</v>
      </c>
      <c r="I30" s="106">
        <f>Model!AV278</f>
        <v>0</v>
      </c>
      <c r="J30" s="106">
        <f>Model!BA278</f>
        <v>0</v>
      </c>
      <c r="K30" s="106">
        <f>Model!BF278</f>
        <v>0</v>
      </c>
      <c r="L30" s="107">
        <f>Model!BK278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Model!W279</f>
        <v>0</v>
      </c>
      <c r="E31" s="106">
        <f>Model!AB279</f>
        <v>0</v>
      </c>
      <c r="F31" s="106">
        <f>Model!AG279</f>
        <v>0</v>
      </c>
      <c r="G31" s="106">
        <f>Model!AL279</f>
        <v>0</v>
      </c>
      <c r="H31" s="106">
        <f>Model!AQ279</f>
        <v>0</v>
      </c>
      <c r="I31" s="106">
        <f>Model!AV279</f>
        <v>0</v>
      </c>
      <c r="J31" s="106">
        <f>Model!BA279</f>
        <v>0</v>
      </c>
      <c r="K31" s="106">
        <f>Model!BF279</f>
        <v>0</v>
      </c>
      <c r="L31" s="107">
        <f>Model!BK279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Model!W280</f>
        <v>-4545</v>
      </c>
      <c r="E32" s="106">
        <f>Model!AB280</f>
        <v>-3064</v>
      </c>
      <c r="F32" s="106">
        <f>Model!AG280</f>
        <v>-595</v>
      </c>
      <c r="G32" s="106">
        <f>Model!AL280</f>
        <v>-5575</v>
      </c>
      <c r="H32" s="106">
        <f>Model!AQ280</f>
        <v>0</v>
      </c>
      <c r="I32" s="106">
        <f>Model!AV280</f>
        <v>0</v>
      </c>
      <c r="J32" s="106">
        <f>Model!BA280</f>
        <v>0</v>
      </c>
      <c r="K32" s="106">
        <f>Model!BF280</f>
        <v>0</v>
      </c>
      <c r="L32" s="107">
        <f>Model!BK280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Model!W281</f>
        <v>2365</v>
      </c>
      <c r="E33" s="106">
        <f>Model!AB281</f>
        <v>494</v>
      </c>
      <c r="F33" s="106">
        <f>Model!AG281</f>
        <v>4213</v>
      </c>
      <c r="G33" s="106">
        <f>Model!AL281</f>
        <v>-12200</v>
      </c>
      <c r="H33" s="106">
        <f>Model!AQ281</f>
        <v>0</v>
      </c>
      <c r="I33" s="106">
        <f>Model!AV281</f>
        <v>0</v>
      </c>
      <c r="J33" s="106">
        <f>Model!BA281</f>
        <v>0</v>
      </c>
      <c r="K33" s="106">
        <f>Model!BF281</f>
        <v>0</v>
      </c>
      <c r="L33" s="107">
        <f>Model!BK281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Model!W282</f>
        <v>9920</v>
      </c>
      <c r="E34" s="106">
        <f>Model!AB282</f>
        <v>5915</v>
      </c>
      <c r="F34" s="106">
        <f>Model!AG282</f>
        <v>7868</v>
      </c>
      <c r="G34" s="106">
        <f>Model!AL282</f>
        <v>-83967</v>
      </c>
      <c r="H34" s="106" t="e">
        <f>Model!AQ282</f>
        <v>#DIV/0!</v>
      </c>
      <c r="I34" s="106" t="e">
        <f>Model!AV282</f>
        <v>#DIV/0!</v>
      </c>
      <c r="J34" s="106" t="e">
        <f>Model!BA282</f>
        <v>#DIV/0!</v>
      </c>
      <c r="K34" s="106" t="e">
        <f>Model!BF282</f>
        <v>#DIV/0!</v>
      </c>
      <c r="L34" s="107" t="e">
        <f>Model!BK282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Model!W283</f>
        <v>0</v>
      </c>
      <c r="E35" s="106">
        <f>Model!AB283</f>
        <v>0</v>
      </c>
      <c r="F35" s="106">
        <f>Model!AG283</f>
        <v>0</v>
      </c>
      <c r="G35" s="106">
        <f>Model!AL283</f>
        <v>0</v>
      </c>
      <c r="H35" s="106" t="e">
        <f>Model!AQ283</f>
        <v>#DIV/0!</v>
      </c>
      <c r="I35" s="106" t="e">
        <f>Model!AV283</f>
        <v>#DIV/0!</v>
      </c>
      <c r="J35" s="106" t="e">
        <f>Model!BA283</f>
        <v>#DIV/0!</v>
      </c>
      <c r="K35" s="106" t="e">
        <f>Model!BF283</f>
        <v>#DIV/0!</v>
      </c>
      <c r="L35" s="107" t="e">
        <f>Model!BK283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Model!W284</f>
        <v>229</v>
      </c>
      <c r="E36" s="106">
        <f>Model!AB284</f>
        <v>899</v>
      </c>
      <c r="F36" s="106">
        <f>Model!AG284</f>
        <v>1542</v>
      </c>
      <c r="G36" s="106">
        <f>Model!AL284</f>
        <v>576</v>
      </c>
      <c r="H36" s="106">
        <f>Model!AQ284</f>
        <v>0</v>
      </c>
      <c r="I36" s="106">
        <f>Model!AV284</f>
        <v>0</v>
      </c>
      <c r="J36" s="106">
        <f>Model!BA284</f>
        <v>0</v>
      </c>
      <c r="K36" s="106">
        <f>Model!BF284</f>
        <v>0</v>
      </c>
      <c r="L36" s="107">
        <f>Model!BK284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Model!W285</f>
        <v>-29</v>
      </c>
      <c r="E37" s="106">
        <f>Model!AB285</f>
        <v>-485</v>
      </c>
      <c r="F37" s="106">
        <f>Model!AG285</f>
        <v>0</v>
      </c>
      <c r="G37" s="106">
        <f>Model!AL285</f>
        <v>22819</v>
      </c>
      <c r="H37" s="106">
        <f>Model!AQ285</f>
        <v>0</v>
      </c>
      <c r="I37" s="106">
        <f>Model!AV285</f>
        <v>0</v>
      </c>
      <c r="J37" s="106">
        <f>Model!BA285</f>
        <v>0</v>
      </c>
      <c r="K37" s="106">
        <f>Model!BF285</f>
        <v>0</v>
      </c>
      <c r="L37" s="107">
        <f>Model!BK285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(Model!W185-Model!R185)*-1</f>
        <v>-3944</v>
      </c>
      <c r="E38" s="106">
        <f>(Model!AB185-Model!W185)*-1</f>
        <v>-11797</v>
      </c>
      <c r="F38" s="106">
        <f>(Model!AG185-Model!AB185)*-1</f>
        <v>-32076</v>
      </c>
      <c r="G38" s="106">
        <f>(Model!AL185-Model!AG185)*-1</f>
        <v>-86240</v>
      </c>
      <c r="H38" s="106">
        <f>(Model!AQ185-Model!AL185)*-1</f>
        <v>0</v>
      </c>
      <c r="I38" s="106">
        <f>(Model!AV185-Model!AQ185)*-1</f>
        <v>0</v>
      </c>
      <c r="J38" s="106">
        <f>(Model!BA185-Model!AV185)*-1</f>
        <v>0</v>
      </c>
      <c r="K38" s="106">
        <f>(Model!BF185-Model!BA185)*-1</f>
        <v>0</v>
      </c>
      <c r="L38" s="107">
        <f>(Model!BK185-Model!BF185)*-1</f>
        <v>0</v>
      </c>
      <c r="M38">
        <f>(Model!BP185-Model!BK185)*-1</f>
        <v>0</v>
      </c>
      <c r="N38">
        <f>(Model!BU185-Model!BP185)*-1</f>
        <v>0</v>
      </c>
      <c r="O38">
        <f>(Model!BZ185-Model!BU185)*-1</f>
        <v>0</v>
      </c>
      <c r="P38">
        <f>(Model!CE185-Model!BZ185)*-1</f>
        <v>0</v>
      </c>
      <c r="Q38">
        <f>(Model!CJ185-Model!CE185)*-1</f>
        <v>0</v>
      </c>
      <c r="R38">
        <f>(Model!CO185-Model!CJ185)*-1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Model!W236-Model!R236</f>
        <v>-1103</v>
      </c>
      <c r="E39" s="106">
        <f>Model!AB236-Model!W236</f>
        <v>2475</v>
      </c>
      <c r="F39" s="106">
        <f>Model!AG236-Model!AB236</f>
        <v>4504</v>
      </c>
      <c r="G39" s="106">
        <f>Model!AL236-Model!AG236</f>
        <v>1837</v>
      </c>
      <c r="H39" s="106">
        <f>Model!AQ236-Model!AL236</f>
        <v>0</v>
      </c>
      <c r="I39" s="106">
        <f>Model!AV236-Model!AQ236</f>
        <v>0</v>
      </c>
      <c r="J39" s="106">
        <f>Model!BA236-Model!AV236</f>
        <v>0</v>
      </c>
      <c r="K39" s="106">
        <f>Model!BF236-Model!BA236</f>
        <v>0</v>
      </c>
      <c r="L39" s="107">
        <f>Model!BK236-Model!BF236</f>
        <v>0</v>
      </c>
      <c r="M39">
        <f>Model!BP236-Model!BK236</f>
        <v>0</v>
      </c>
      <c r="N39">
        <f>Model!BU236-Model!BP236</f>
        <v>0</v>
      </c>
      <c r="O39">
        <f>Model!BZ236-Model!BU236</f>
        <v>0</v>
      </c>
      <c r="P39">
        <f>Model!CE236-Model!BZ236</f>
        <v>0</v>
      </c>
      <c r="Q39">
        <f>Model!CJ236-Model!CE236</f>
        <v>0</v>
      </c>
      <c r="R39">
        <f>Model!CO236-Model!CJ236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-22377</v>
      </c>
      <c r="E44" s="103">
        <f>SUM(E27+E40+E41+E42+E26)</f>
        <v>-30261</v>
      </c>
      <c r="F44" s="103">
        <f>SUM(F27+F40+F41+F42+F26)</f>
        <v>-38159</v>
      </c>
      <c r="G44" s="103">
        <f>SUM(G27+G40+G41+G42+G26)</f>
        <v>-105785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Model!W346</f>
        <v>198661</v>
      </c>
      <c r="E46" s="106">
        <f>Model!AB346</f>
        <v>252001</v>
      </c>
      <c r="F46" s="106">
        <f>Model!AG346</f>
        <v>347713</v>
      </c>
      <c r="G46" s="106">
        <f>Model!AL346</f>
        <v>564267</v>
      </c>
      <c r="H46" s="106" t="e">
        <f>Model!AQ346</f>
        <v>#DIV/0!</v>
      </c>
      <c r="I46" s="106" t="e">
        <f>Model!AV346</f>
        <v>#DIV/0!</v>
      </c>
      <c r="J46" s="106" t="e">
        <f>Model!BA346</f>
        <v>#DIV/0!</v>
      </c>
      <c r="K46" s="106" t="e">
        <f>Model!BF346</f>
        <v>#DIV/0!</v>
      </c>
      <c r="L46" s="106" t="e">
        <f>Model!BK346</f>
        <v>#DIV/0!</v>
      </c>
      <c r="M46" s="115" t="e">
        <f>Model!BP346</f>
        <v>#DIV/0!</v>
      </c>
      <c r="N46" s="115" t="e">
        <f>Model!BU346</f>
        <v>#DIV/0!</v>
      </c>
      <c r="O46" s="115" t="e">
        <f>Model!BZ346</f>
        <v>#DIV/0!</v>
      </c>
      <c r="P46" s="115" t="e">
        <f>Model!CE346</f>
        <v>#DIV/0!</v>
      </c>
      <c r="Q46" s="115" t="e">
        <f>Model!CJ346</f>
        <v>#DIV/0!</v>
      </c>
      <c r="R46" s="115" t="e">
        <f>Model!CO346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Model!W347</f>
        <v>169463</v>
      </c>
      <c r="E47" s="106">
        <f>Model!AB347</f>
        <v>220116</v>
      </c>
      <c r="F47" s="106">
        <f>Model!AG347</f>
        <v>314333</v>
      </c>
      <c r="G47" s="106">
        <f>Model!AL347</f>
        <v>506439</v>
      </c>
      <c r="H47" s="106" t="e">
        <f>Model!AQ347</f>
        <v>#DIV/0!</v>
      </c>
      <c r="I47" s="106" t="e">
        <f>Model!AV347</f>
        <v>#DIV/0!</v>
      </c>
      <c r="J47" s="106" t="e">
        <f>Model!BA347</f>
        <v>#DIV/0!</v>
      </c>
      <c r="K47" s="106" t="e">
        <f>Model!BF347</f>
        <v>#DIV/0!</v>
      </c>
      <c r="L47" s="106" t="e">
        <f>Model!BK347</f>
        <v>#DIV/0!</v>
      </c>
      <c r="M47" t="e">
        <f>Model!BP347</f>
        <v>#DIV/0!</v>
      </c>
      <c r="N47" t="e">
        <f>Model!BU347</f>
        <v>#DIV/0!</v>
      </c>
      <c r="O47" t="e">
        <f>Model!BZ347</f>
        <v>#DIV/0!</v>
      </c>
      <c r="P47" t="e">
        <f>Model!CE347</f>
        <v>#DIV/0!</v>
      </c>
      <c r="Q47" t="e">
        <f>Model!CJ347</f>
        <v>#DIV/0!</v>
      </c>
      <c r="R47" t="e">
        <f>Model!CO347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0.646274813431622</v>
      </c>
      <c r="E48" s="92">
        <f>E46/E18</f>
        <v>0.719965830328726</v>
      </c>
      <c r="F48" s="92">
        <f>F46/F18</f>
        <v>0.863160533913221</v>
      </c>
      <c r="G48" s="92">
        <f>G46/G18</f>
        <v>1.26555004070721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0.155811064095053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1.54732937013304</v>
      </c>
      <c r="E51" s="124">
        <f>E18/E46</f>
        <v>1.3889548057349</v>
      </c>
      <c r="F51" s="124">
        <f>F18/F46</f>
        <v>1.15853304305562</v>
      </c>
      <c r="G51" s="124">
        <f>G18/G46</f>
        <v>0.790170256279385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50192.0578881669</v>
      </c>
      <c r="E53" s="125">
        <f>E25+E44</f>
        <v>63652.6336852648</v>
      </c>
      <c r="F53" s="125">
        <f>F25+F44</f>
        <v>69223.1957991765</v>
      </c>
      <c r="G53" s="126">
        <f>(G25+G44)*stub_year_fraction</f>
        <v>-9041.06225729643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0.167831463362422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2026-10-14T11:05:08Z</dcterms:modified>
  <cp:lastModifiedBy>Lucas Nascimento</cp:lastModifiedBy>
</cp:coreProperties>
</file>