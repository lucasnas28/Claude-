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BI330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BTG Pactual (BPAC11). Fontes: (1) Planilha Séries Históricas 2T26 do RI (ri.btgpactual.com &gt; Apresentações e Planilhas): balanço consolidado, units, proventos, funcionários e memórias; (2) IF.data do Banco Central (API Olinda), conglomerado prudencial C0080336: DRE detalhada (lucro = lucro contábil do release em todos os trimestres), capital regulatório e carteira. Tudo em R$ milhões (IF.data convertido de R$). Modo histórico: premissas e valuation vazios.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disp</t>
        </is>
      </c>
      <c r="C6" s="9" t="inlineStr">
        <is>
          <t>Disponibilidades</t>
        </is>
      </c>
      <c r="D6" s="2" t="inlineStr">
        <is>
          <t>Planilha Séries Históricas 2T26 (RI), aba InputSite_BalanceSheet l.8 · fonte · moeda</t>
        </is>
      </c>
      <c r="E6" t="n">
        <v>2257.558344</v>
      </c>
      <c r="F6" t="n">
        <v>3682.122579</v>
      </c>
      <c r="G6" t="n">
        <v>3510.456871</v>
      </c>
      <c r="H6" t="n">
        <v>1794.058697</v>
      </c>
      <c r="I6" t="n">
        <v>2606.660517</v>
      </c>
      <c r="J6" t="n">
        <v>5295.510858</v>
      </c>
      <c r="K6" t="n">
        <v>2513.133324</v>
      </c>
      <c r="L6" t="n">
        <v>3219.641364</v>
      </c>
      <c r="M6" t="n">
        <v>3535.68684</v>
      </c>
      <c r="N6" t="n">
        <v>2489.023904</v>
      </c>
      <c r="O6" t="n">
        <v>2818.790043</v>
      </c>
      <c r="P6" t="n">
        <v>3068.945717</v>
      </c>
      <c r="Q6" t="n">
        <v>3239.32</v>
      </c>
      <c r="R6" t="n">
        <v>3813.399</v>
      </c>
      <c r="S6" t="n">
        <v>2283.264</v>
      </c>
      <c r="T6" t="n">
        <v>2439.095</v>
      </c>
      <c r="U6" t="n">
        <v>2903.932</v>
      </c>
      <c r="V6" t="n">
        <v>4267.504</v>
      </c>
      <c r="W6" t="n">
        <v>5377.551</v>
      </c>
      <c r="X6" t="n">
        <v>4614.304</v>
      </c>
      <c r="Y6" t="n">
        <v>5138.768</v>
      </c>
      <c r="Z6" t="n">
        <v>3681.182</v>
      </c>
      <c r="AA6" t="n">
        <v>5777.333</v>
      </c>
      <c r="AB6" t="n">
        <v>5577.129</v>
      </c>
      <c r="AC6" t="n">
        <v>4848.422</v>
      </c>
      <c r="AD6" t="n">
        <v>4705.439</v>
      </c>
    </row>
    <row r="7">
      <c r="B7" s="8" t="inlineStr">
        <is>
          <t>aplic_mo</t>
        </is>
      </c>
      <c r="C7" s="9" t="inlineStr">
        <is>
          <t>Aplicações no Mercado Aberto</t>
        </is>
      </c>
      <c r="D7" s="2" t="inlineStr">
        <is>
          <t>Planilha Séries Históricas 2T26 (RI), aba InputSite_BalanceSheet l.9 Aplicações interfinanceiras de liquidez (TOTAL: a fonte não separa mercado aberto x depósitos interfinanceiros) · fonte · moeda</t>
        </is>
      </c>
      <c r="E7" t="n">
        <v>57779.812313</v>
      </c>
      <c r="F7" t="n">
        <v>61794.762416</v>
      </c>
      <c r="G7" t="n">
        <v>67204.015319</v>
      </c>
      <c r="H7" t="n">
        <v>51690.227632</v>
      </c>
      <c r="I7" t="n">
        <v>47931.115981</v>
      </c>
      <c r="J7" t="n">
        <v>41838.747005</v>
      </c>
      <c r="K7" t="n">
        <v>55427.324006</v>
      </c>
      <c r="L7" t="n">
        <v>54140.778704</v>
      </c>
      <c r="M7" t="n">
        <v>47938.753523</v>
      </c>
      <c r="N7" t="n">
        <v>53736.272309</v>
      </c>
      <c r="O7" t="n">
        <v>58237.524762</v>
      </c>
      <c r="P7" t="n">
        <v>74114.27263799999</v>
      </c>
      <c r="Q7" t="n">
        <v>78789.02800000001</v>
      </c>
      <c r="R7" t="n">
        <v>60410.954</v>
      </c>
      <c r="S7" t="n">
        <v>72736.395</v>
      </c>
      <c r="T7" t="n">
        <v>73564.489</v>
      </c>
      <c r="U7" t="n">
        <v>97244.516</v>
      </c>
      <c r="V7" t="n">
        <v>66020.91499999999</v>
      </c>
      <c r="W7" t="n">
        <v>98728.962</v>
      </c>
      <c r="X7" t="n">
        <v>99780.437173</v>
      </c>
      <c r="Y7" t="n">
        <v>81278.943</v>
      </c>
      <c r="Z7" t="n">
        <v>66993.091</v>
      </c>
      <c r="AA7" t="n">
        <v>80082.355</v>
      </c>
      <c r="AB7" t="n">
        <v>90736.599</v>
      </c>
      <c r="AC7" t="n">
        <v>95212.288</v>
      </c>
      <c r="AD7" t="n">
        <v>163864.029</v>
      </c>
    </row>
    <row r="8">
      <c r="B8" s="8" t="inlineStr">
        <is>
          <t>aplic_di</t>
        </is>
      </c>
      <c r="C8" s="9" t="inlineStr">
        <is>
          <t>Aplicações em Depósitos Interfinanceiros</t>
        </is>
      </c>
      <c r="D8" s="2" t="inlineStr">
        <is>
          <t>[vazio] dentro de aplic_mo (fonte só traz o total)</t>
        </is>
      </c>
    </row>
    <row r="9">
      <c r="B9" s="8" t="inlineStr">
        <is>
          <t>aplic_rg</t>
        </is>
      </c>
      <c r="C9" s="9" t="inlineStr">
        <is>
          <t>Recursos Garantidores das Provisões Técnicas</t>
        </is>
      </c>
      <c r="D9" s="2" t="inlineStr">
        <is>
          <t>[vazio] banco sem seguradora no balanço consolidado</t>
        </is>
      </c>
    </row>
    <row r="10">
      <c r="B10" s="8" t="inlineStr">
        <is>
          <t>aplic_pdd</t>
        </is>
      </c>
      <c r="C10" s="9" t="inlineStr">
        <is>
          <t>(Provisão para Perda de Crédito Esperada)</t>
        </is>
      </c>
      <c r="D10" s="2" t="inlineStr">
        <is>
          <t>[vazio] não divulgada</t>
        </is>
      </c>
    </row>
    <row r="11">
      <c r="B11" s="8" t="inlineStr">
        <is>
          <t>tvm_prop</t>
        </is>
      </c>
      <c r="C11" s="9" t="inlineStr">
        <is>
          <t>Carteira própria</t>
        </is>
      </c>
      <c r="D11" s="2" t="inlineStr">
        <is>
          <t>Planilha Séries Históricas 2T26 (RI), aba InputSite_BalanceSheet l.10 TVM e instrumentos financeiros derivativos (TOTAL: a fonte não separa carteira própria, vinculados nem derivativos) · fonte · moeda</t>
        </is>
      </c>
      <c r="E11" t="n">
        <v>39364.95913</v>
      </c>
      <c r="F11" t="n">
        <v>48107.44272</v>
      </c>
      <c r="G11" t="n">
        <v>62706.793819</v>
      </c>
      <c r="H11" t="n">
        <v>83343.216307</v>
      </c>
      <c r="I11" t="n">
        <v>87902.230842</v>
      </c>
      <c r="J11" t="n">
        <v>126670.740304</v>
      </c>
      <c r="K11" t="n">
        <v>156489.533476</v>
      </c>
      <c r="L11" t="n">
        <v>111514.488596</v>
      </c>
      <c r="M11" t="n">
        <v>157664.213294</v>
      </c>
      <c r="N11" t="n">
        <v>164762.027305</v>
      </c>
      <c r="O11" t="n">
        <v>164981.760258</v>
      </c>
      <c r="P11" t="n">
        <v>138662.248617</v>
      </c>
      <c r="Q11" t="n">
        <v>171690.83</v>
      </c>
      <c r="R11" t="n">
        <v>197870.153</v>
      </c>
      <c r="S11" t="n">
        <v>208631.606</v>
      </c>
      <c r="T11" t="n">
        <v>200892.878</v>
      </c>
      <c r="U11" t="n">
        <v>226862.589</v>
      </c>
      <c r="V11" t="n">
        <v>266374.219</v>
      </c>
      <c r="W11" t="n">
        <v>237992.909</v>
      </c>
      <c r="X11" t="n">
        <v>188935.328989</v>
      </c>
      <c r="Y11" t="n">
        <v>225313.554</v>
      </c>
      <c r="Z11" t="n">
        <v>276788.34</v>
      </c>
      <c r="AA11" t="n">
        <v>284658.445</v>
      </c>
      <c r="AB11" t="n">
        <v>371140.448</v>
      </c>
      <c r="AC11" t="n">
        <v>387625.587</v>
      </c>
      <c r="AD11" t="n">
        <v>388360.666</v>
      </c>
    </row>
    <row r="12">
      <c r="B12" s="8" t="inlineStr">
        <is>
          <t>tvm_vinc</t>
        </is>
      </c>
      <c r="C12" s="9" t="inlineStr">
        <is>
          <t>Vinculados</t>
        </is>
      </c>
      <c r="D12" s="2" t="inlineStr">
        <is>
          <t>[vazio] dentro de tvm_prop (fonte só traz o total)</t>
        </is>
      </c>
    </row>
    <row r="13">
      <c r="B13" s="8" t="inlineStr">
        <is>
          <t>tvm_rg</t>
        </is>
      </c>
      <c r="C13" s="9" t="inlineStr">
        <is>
          <t>Recursos Garantidores das Provisões Técnicas</t>
        </is>
      </c>
      <c r="D13" s="2" t="inlineStr">
        <is>
          <t>[vazio] não se aplica</t>
        </is>
      </c>
    </row>
    <row r="14">
      <c r="B14" s="8" t="inlineStr">
        <is>
          <t>tvm_pdd</t>
        </is>
      </c>
      <c r="C14" s="9" t="inlineStr">
        <is>
          <t>(Provisão para Perda de Crédito Esperada)</t>
        </is>
      </c>
      <c r="D14" s="2" t="inlineStr">
        <is>
          <t>[vazio] não divulgada</t>
        </is>
      </c>
    </row>
    <row r="15">
      <c r="B15" s="8" t="inlineStr">
        <is>
          <t>deriv_a</t>
        </is>
      </c>
      <c r="C15" s="9" t="inlineStr">
        <is>
          <t>Derivativos</t>
        </is>
      </c>
      <c r="D15" s="2" t="inlineStr">
        <is>
          <t>[vazio] dentro de tvm_prop (fonte junta TVM e derivativos)</t>
        </is>
      </c>
    </row>
    <row r="16">
      <c r="B16" s="8" t="inlineStr">
        <is>
          <t>cred_op</t>
        </is>
      </c>
      <c r="C16" s="9" t="inlineStr">
        <is>
          <t>Operações de Crédito, Arrendamentos e Outros Créditos</t>
        </is>
      </c>
      <c r="D16" s="2" t="inlineStr">
        <is>
          <t>Planilha Séries Históricas 2T26 (RI), aba InputSite_BalanceSheet l.12 Operações de crédito (saldo do balanço consolidado; provisão não aberta no balanço da planilha) · fonte · moeda</t>
        </is>
      </c>
      <c r="E16" t="n">
        <v>30342.883703</v>
      </c>
      <c r="F16" t="n">
        <v>38550.644264</v>
      </c>
      <c r="G16" t="n">
        <v>45445.566266</v>
      </c>
      <c r="H16" t="n">
        <v>48783.638192</v>
      </c>
      <c r="I16" t="n">
        <v>54397.799688</v>
      </c>
      <c r="J16" t="n">
        <v>87543.44037700001</v>
      </c>
      <c r="K16" t="n">
        <v>93898.152218</v>
      </c>
      <c r="L16" t="n">
        <v>99077.839282</v>
      </c>
      <c r="M16" t="n">
        <v>102349.40524</v>
      </c>
      <c r="N16" t="n">
        <v>107121.146908</v>
      </c>
      <c r="O16" t="n">
        <v>108808.359407</v>
      </c>
      <c r="P16" t="n">
        <v>114623.018619</v>
      </c>
      <c r="Q16" t="n">
        <v>109751.917</v>
      </c>
      <c r="R16" t="n">
        <v>107930.649</v>
      </c>
      <c r="S16" t="n">
        <v>112798.762</v>
      </c>
      <c r="T16" t="n">
        <v>122501.747</v>
      </c>
      <c r="U16" t="n">
        <v>133043.216</v>
      </c>
      <c r="V16" t="n">
        <v>142951.459</v>
      </c>
      <c r="W16" t="n">
        <v>148808.452</v>
      </c>
      <c r="X16" t="n">
        <v>155578.870099</v>
      </c>
      <c r="Y16" t="n">
        <v>161955.365</v>
      </c>
      <c r="Z16" t="n">
        <v>165278.649</v>
      </c>
      <c r="AA16" t="n">
        <v>172245.565</v>
      </c>
      <c r="AB16" t="n">
        <v>188259.036</v>
      </c>
      <c r="AC16" t="n">
        <v>196218.844</v>
      </c>
      <c r="AD16" t="n">
        <v>198573.334</v>
      </c>
    </row>
    <row r="17">
      <c r="B17" s="8" t="inlineStr">
        <is>
          <t>cred_tvm</t>
        </is>
      </c>
      <c r="C17" s="9" t="inlineStr">
        <is>
          <t>Títulos e Valores Mobiliários</t>
        </is>
      </c>
      <c r="D17" s="2" t="inlineStr">
        <is>
          <t>[vazio] não aberto no balanço da planilha</t>
        </is>
      </c>
    </row>
    <row r="18">
      <c r="B18" s="8" t="inlineStr">
        <is>
          <t>cred_pdd</t>
        </is>
      </c>
      <c r="C18" s="9" t="inlineStr">
        <is>
          <t>(Provisão para Perda de Crédito Esperada)</t>
        </is>
      </c>
      <c r="D18" s="2" t="inlineStr">
        <is>
          <t>[vazio] balanço da planilha não abre a provisão; saldo do conglomerado prudencial em prov_tot</t>
        </is>
      </c>
    </row>
    <row r="19">
      <c r="B19" s="8" t="inlineStr">
        <is>
          <t>rel_a</t>
        </is>
      </c>
      <c r="C19" s="9" t="inlineStr">
        <is>
          <t>Relações Interfinanceiras e Interdependências</t>
        </is>
      </c>
      <c r="D19" s="2" t="inlineStr">
        <is>
          <t>Planilha Séries Históricas 2T26 (RI), aba InputSite_BalanceSheet l.11 Relações interfinanceiras · fonte · moeda</t>
        </is>
      </c>
      <c r="E19" t="n">
        <v>569.258429</v>
      </c>
      <c r="F19" t="n">
        <v>2290.961294</v>
      </c>
      <c r="G19" t="n">
        <v>3817.112545</v>
      </c>
      <c r="H19" t="n">
        <v>5188.885418</v>
      </c>
      <c r="I19" t="n">
        <v>5945.232163</v>
      </c>
      <c r="J19" t="n">
        <v>8549.505362</v>
      </c>
      <c r="K19" t="n">
        <v>9757.335811000001</v>
      </c>
      <c r="L19" t="n">
        <v>12737.217119</v>
      </c>
      <c r="M19" t="n">
        <v>12624.433595</v>
      </c>
      <c r="N19" t="n">
        <v>16404.365192</v>
      </c>
      <c r="O19" t="n">
        <v>33467.512277</v>
      </c>
      <c r="P19" t="n">
        <v>23786.65476</v>
      </c>
      <c r="Q19" t="n">
        <v>18078.672</v>
      </c>
      <c r="R19" t="n">
        <v>22279.713</v>
      </c>
      <c r="S19" t="n">
        <v>25154.662</v>
      </c>
      <c r="T19" t="n">
        <v>23712.4</v>
      </c>
      <c r="U19" t="n">
        <v>24875.212</v>
      </c>
      <c r="V19" t="n">
        <v>28207.713</v>
      </c>
      <c r="W19" t="n">
        <v>40030.847</v>
      </c>
      <c r="X19" t="n">
        <v>33336.119</v>
      </c>
      <c r="Y19" t="n">
        <v>35173.808</v>
      </c>
      <c r="Z19" t="n">
        <v>35199.32</v>
      </c>
      <c r="AA19" t="n">
        <v>37382.376</v>
      </c>
      <c r="AB19" t="n">
        <v>31265.668</v>
      </c>
      <c r="AC19" t="n">
        <v>39736.289</v>
      </c>
      <c r="AD19" t="n">
        <v>42184.342</v>
      </c>
    </row>
    <row r="20">
      <c r="B20" s="8" t="inlineStr">
        <is>
          <t>fisc_a</t>
        </is>
      </c>
      <c r="C20" s="9" t="inlineStr">
        <is>
          <t>Ativos Fiscais Correntes e Diferidos</t>
        </is>
      </c>
      <c r="D20" s="2" t="inlineStr">
        <is>
          <t>[vazio] dentro de out_a</t>
        </is>
      </c>
    </row>
    <row r="21">
      <c r="B21" s="8" t="inlineStr">
        <is>
          <t>out_a</t>
        </is>
      </c>
      <c r="C21" s="9" t="inlineStr">
        <is>
          <t>Outros Ativos</t>
        </is>
      </c>
      <c r="D21" s="2" t="inlineStr">
        <is>
          <t>Planilha Séries Históricas 2T26 (RI), aba InputSite_BalanceSheet l.13 Outros créditos + l.14 Outros valores e bens (inclui ativos fiscais, não abertos) · fonte · moeda</t>
        </is>
      </c>
      <c r="E21" t="n">
        <v>60500.409672</v>
      </c>
      <c r="F21" t="n">
        <v>66432.287335</v>
      </c>
      <c r="G21" t="n">
        <v>60483.720789</v>
      </c>
      <c r="H21" t="n">
        <v>41195.936325</v>
      </c>
      <c r="I21" t="n">
        <v>67996.23533</v>
      </c>
      <c r="J21" t="n">
        <v>55756.925043</v>
      </c>
      <c r="K21" t="n">
        <v>43700.638289</v>
      </c>
      <c r="L21" t="n">
        <v>53392.615509</v>
      </c>
      <c r="M21" t="n">
        <v>54641.239747</v>
      </c>
      <c r="N21" t="n">
        <v>97229.41095999999</v>
      </c>
      <c r="O21" t="n">
        <v>58757.492257</v>
      </c>
      <c r="P21" t="n">
        <v>83566.632813</v>
      </c>
      <c r="Q21" t="n">
        <v>76059.139</v>
      </c>
      <c r="R21" t="n">
        <v>69332.36</v>
      </c>
      <c r="S21" t="n">
        <v>62306.881</v>
      </c>
      <c r="T21" t="n">
        <v>58019.495</v>
      </c>
      <c r="U21" t="n">
        <v>70396.92</v>
      </c>
      <c r="V21" t="n">
        <v>79852.281</v>
      </c>
      <c r="W21" t="n">
        <v>67450.928</v>
      </c>
      <c r="X21" t="n">
        <v>90965.336568</v>
      </c>
      <c r="Y21" t="n">
        <v>83518.40399999999</v>
      </c>
      <c r="Z21" t="n">
        <v>92177.07000000001</v>
      </c>
      <c r="AA21" t="n">
        <v>88052.32000000001</v>
      </c>
      <c r="AB21" t="n">
        <v>101875.469</v>
      </c>
      <c r="AC21" t="n">
        <v>105362.356</v>
      </c>
      <c r="AD21" t="n">
        <v>110832.548</v>
      </c>
    </row>
    <row r="22">
      <c r="B22" s="8" t="inlineStr">
        <is>
          <t>inv_col</t>
        </is>
      </c>
      <c r="C22" s="9" t="inlineStr">
        <is>
          <t>Coligadas e Entidades Controladas em Conjunto</t>
        </is>
      </c>
      <c r="D22" s="2" t="inlineStr">
        <is>
          <t>Planilha Séries Históricas 2T26 (RI), aba InputSite_BalanceSheet l.15 Ativo permanente TOTAL (investimentos + imobilizado + intangível: a fonte não abre) · fonte · moeda</t>
        </is>
      </c>
      <c r="E22" t="n">
        <v>9542.165023</v>
      </c>
      <c r="F22" t="n">
        <v>9552.954276</v>
      </c>
      <c r="G22" t="n">
        <v>10044.220103</v>
      </c>
      <c r="H22" t="n">
        <v>12929.374395</v>
      </c>
      <c r="I22" t="n">
        <v>13024.452938</v>
      </c>
      <c r="J22" t="n">
        <v>9540.471261000001</v>
      </c>
      <c r="K22" t="n">
        <v>10448.566771</v>
      </c>
      <c r="L22" t="n">
        <v>12060.088866</v>
      </c>
      <c r="M22" t="n">
        <v>12595.327542</v>
      </c>
      <c r="N22" t="n">
        <v>13084.442573</v>
      </c>
      <c r="O22" t="n">
        <v>12833.278373</v>
      </c>
      <c r="P22" t="n">
        <v>12790.314434</v>
      </c>
      <c r="Q22" t="n">
        <v>12792.57</v>
      </c>
      <c r="R22" t="n">
        <v>12914.92</v>
      </c>
      <c r="S22" t="n">
        <v>12527.554</v>
      </c>
      <c r="T22" t="n">
        <v>12102.745</v>
      </c>
      <c r="U22" t="n">
        <v>12350.901</v>
      </c>
      <c r="V22" t="n">
        <v>12688.544</v>
      </c>
      <c r="W22" t="n">
        <v>12997.381</v>
      </c>
      <c r="X22" t="n">
        <v>13953.493</v>
      </c>
      <c r="Y22" t="n">
        <v>16062.879</v>
      </c>
      <c r="Z22" t="n">
        <v>15953.698</v>
      </c>
      <c r="AA22" t="n">
        <v>16761.628</v>
      </c>
      <c r="AB22" t="n">
        <v>17113.99</v>
      </c>
      <c r="AC22" t="n">
        <v>16571.017</v>
      </c>
      <c r="AD22" t="n">
        <v>16698.208</v>
      </c>
    </row>
    <row r="23">
      <c r="B23" s="8" t="inlineStr">
        <is>
          <t>inv_out</t>
        </is>
      </c>
      <c r="C23" s="9" t="inlineStr">
        <is>
          <t>Outros Investimentos</t>
        </is>
      </c>
      <c r="D23" s="2" t="inlineStr">
        <is>
          <t>[vazio] dentro de inv_col</t>
        </is>
      </c>
    </row>
    <row r="24">
      <c r="B24" s="8" t="inlineStr">
        <is>
          <t>imob</t>
        </is>
      </c>
      <c r="C24" s="9" t="inlineStr">
        <is>
          <t>Imobilizado</t>
        </is>
      </c>
      <c r="D24" s="2" t="inlineStr">
        <is>
          <t>[vazio] dentro de inv_col (permanente total)</t>
        </is>
      </c>
    </row>
    <row r="25">
      <c r="B25" s="8" t="inlineStr">
        <is>
          <t>intang</t>
        </is>
      </c>
      <c r="C25" s="9" t="inlineStr">
        <is>
          <t>Ágio e Intangível</t>
        </is>
      </c>
      <c r="D25" s="2" t="inlineStr">
        <is>
          <t>[vazio] dentro de inv_col (permanente total)</t>
        </is>
      </c>
    </row>
    <row r="26"/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dep_vista</t>
        </is>
      </c>
      <c r="C28" s="9" t="inlineStr">
        <is>
          <t>Depósitos à Vista</t>
        </is>
      </c>
      <c r="D28" s="2" t="inlineStr">
        <is>
          <t>[vazio] dentro de dep_prazo (depósitos total)</t>
        </is>
      </c>
    </row>
    <row r="29">
      <c r="B29" s="8" t="inlineStr">
        <is>
          <t>dep_poup</t>
        </is>
      </c>
      <c r="C29" s="9" t="inlineStr">
        <is>
          <t>Depósitos de Poupança</t>
        </is>
      </c>
      <c r="D29" s="2" t="inlineStr">
        <is>
          <t>[vazio] BTG não capta poupança</t>
        </is>
      </c>
    </row>
    <row r="30">
      <c r="B30" s="8" t="inlineStr">
        <is>
          <t>dep_inter</t>
        </is>
      </c>
      <c r="C30" s="9" t="inlineStr">
        <is>
          <t>Depósitos Interfinanceiros</t>
        </is>
      </c>
      <c r="D30" s="2" t="inlineStr">
        <is>
          <t>[vazio] dentro de dep_prazo</t>
        </is>
      </c>
    </row>
    <row r="31">
      <c r="B31" s="8" t="inlineStr">
        <is>
          <t>dep_prazo</t>
        </is>
      </c>
      <c r="C31" s="9" t="inlineStr">
        <is>
          <t>Depósitos a Prazo</t>
        </is>
      </c>
      <c r="D31" s="2" t="inlineStr">
        <is>
          <t>Planilha Séries Históricas 2T26 (RI), aba InputSite_BalanceSheet l.19 Depósitos TOTAL (a planilha não abre à vista/interfinanceiros/a prazo; abertura gerencial do funding nas memórias) · fonte · moeda</t>
        </is>
      </c>
      <c r="E31" t="n">
        <v>24912.340654</v>
      </c>
      <c r="F31" t="n">
        <v>38428.598984</v>
      </c>
      <c r="G31" t="n">
        <v>52495.199546</v>
      </c>
      <c r="H31" t="n">
        <v>56964.334237</v>
      </c>
      <c r="I31" t="n">
        <v>62793.797768</v>
      </c>
      <c r="J31" t="n">
        <v>97775.53443699999</v>
      </c>
      <c r="K31" t="n">
        <v>114133.119824</v>
      </c>
      <c r="L31" t="n">
        <v>109554.771336</v>
      </c>
      <c r="M31" t="n">
        <v>107202.07082</v>
      </c>
      <c r="N31" t="n">
        <v>112604.01044</v>
      </c>
      <c r="O31" t="n">
        <v>115490.906119</v>
      </c>
      <c r="P31" t="n">
        <v>115749.671751</v>
      </c>
      <c r="Q31" t="n">
        <v>118309.723</v>
      </c>
      <c r="R31" t="n">
        <v>124030.275</v>
      </c>
      <c r="S31" t="n">
        <v>129490.998</v>
      </c>
      <c r="T31" t="n">
        <v>133273.103</v>
      </c>
      <c r="U31" t="n">
        <v>150565.998</v>
      </c>
      <c r="V31" t="n">
        <v>152982.557</v>
      </c>
      <c r="W31" t="n">
        <v>153616.642</v>
      </c>
      <c r="X31" t="n">
        <v>149890.06</v>
      </c>
      <c r="Y31" t="n">
        <v>144743.573</v>
      </c>
      <c r="Z31" t="n">
        <v>148266.457</v>
      </c>
      <c r="AA31" t="n">
        <v>168944.088</v>
      </c>
      <c r="AB31" t="n">
        <v>176167.03</v>
      </c>
      <c r="AC31" t="n">
        <v>190145.823</v>
      </c>
      <c r="AD31" t="n">
        <v>206472.06</v>
      </c>
    </row>
    <row r="32">
      <c r="B32" s="8" t="inlineStr">
        <is>
          <t>dep_out</t>
        </is>
      </c>
      <c r="C32" s="9" t="inlineStr">
        <is>
          <t>Outros Depósitos</t>
        </is>
      </c>
      <c r="D32" s="2" t="inlineStr">
        <is>
          <t>[vazio] dentro de dep_prazo</t>
        </is>
      </c>
    </row>
    <row r="33">
      <c r="B33" s="8" t="inlineStr">
        <is>
          <t>mo_prop</t>
        </is>
      </c>
      <c r="C33" s="9" t="inlineStr">
        <is>
          <t>Carteira Própria</t>
        </is>
      </c>
      <c r="D33" s="2" t="inlineStr">
        <is>
          <t>Planilha Séries Históricas 2T26 (RI), aba InputSite_BalanceSheet l.20 Captações no mercado aberto TOTAL · fonte · moeda</t>
        </is>
      </c>
      <c r="E33" t="n">
        <v>55035.52921</v>
      </c>
      <c r="F33" t="n">
        <v>49940.440696</v>
      </c>
      <c r="G33" t="n">
        <v>56049.778817</v>
      </c>
      <c r="H33" t="n">
        <v>60161.895695</v>
      </c>
      <c r="I33" t="n">
        <v>54066.088143</v>
      </c>
      <c r="J33" t="n">
        <v>62908.367229</v>
      </c>
      <c r="K33" t="n">
        <v>77420.386681</v>
      </c>
      <c r="L33" t="n">
        <v>60160.547837</v>
      </c>
      <c r="M33" t="n">
        <v>75886.278393</v>
      </c>
      <c r="N33" t="n">
        <v>89337.94377699999</v>
      </c>
      <c r="O33" t="n">
        <v>98400.78954899999</v>
      </c>
      <c r="P33" t="n">
        <v>87139.331976</v>
      </c>
      <c r="Q33" t="n">
        <v>91991.66800000001</v>
      </c>
      <c r="R33" t="n">
        <v>98021.212</v>
      </c>
      <c r="S33" t="n">
        <v>103659.546</v>
      </c>
      <c r="T33" t="n">
        <v>97075.86199999999</v>
      </c>
      <c r="U33" t="n">
        <v>114533.195</v>
      </c>
      <c r="V33" t="n">
        <v>131886.941</v>
      </c>
      <c r="W33" t="n">
        <v>122187.034</v>
      </c>
      <c r="X33" t="n">
        <v>113780.403</v>
      </c>
      <c r="Y33" t="n">
        <v>111927.713</v>
      </c>
      <c r="Z33" t="n">
        <v>123104.355</v>
      </c>
      <c r="AA33" t="n">
        <v>125519.304</v>
      </c>
      <c r="AB33" t="n">
        <v>201795.177</v>
      </c>
      <c r="AC33" t="n">
        <v>199244.323</v>
      </c>
      <c r="AD33" t="n">
        <v>232533.847</v>
      </c>
    </row>
    <row r="34">
      <c r="B34" s="8" t="inlineStr">
        <is>
          <t>mo_terc</t>
        </is>
      </c>
      <c r="C34" s="9" t="inlineStr">
        <is>
          <t>Carteira de Terceiros</t>
        </is>
      </c>
      <c r="D34" s="2" t="inlineStr">
        <is>
          <t>[vazio] dentro de mo_prop</t>
        </is>
      </c>
    </row>
    <row r="35">
      <c r="B35" s="8" t="inlineStr">
        <is>
          <t>mo_livre</t>
        </is>
      </c>
      <c r="C35" s="9" t="inlineStr">
        <is>
          <t>Carteira de Livre Movimentação</t>
        </is>
      </c>
      <c r="D35" s="2" t="inlineStr">
        <is>
          <t>[vazio] dentro de mo_prop</t>
        </is>
      </c>
    </row>
    <row r="36">
      <c r="B36" s="8" t="inlineStr">
        <is>
          <t>div_emis</t>
        </is>
      </c>
      <c r="C36" s="9" t="inlineStr">
        <is>
          <t>Recursos de Emissões (LF, LCI, LCA, LIG)</t>
        </is>
      </c>
      <c r="D36" s="2" t="inlineStr">
        <is>
          <t>Planilha Séries Históricas 2T26 (RI), aba InputSite_BalanceSheet l.21 Recursos de aceites e emissão de títulos (LF, LCA, LCI, exterior, COE: não abertos) · fonte · moeda</t>
        </is>
      </c>
      <c r="E36" t="n">
        <v>24939.539329</v>
      </c>
      <c r="F36" t="n">
        <v>36217.271369</v>
      </c>
      <c r="G36" t="n">
        <v>41747.411729</v>
      </c>
      <c r="H36" t="n">
        <v>42314.111071</v>
      </c>
      <c r="I36" t="n">
        <v>49174.084614</v>
      </c>
      <c r="J36" t="n">
        <v>57980.765753</v>
      </c>
      <c r="K36" t="n">
        <v>62281.703655</v>
      </c>
      <c r="L36" t="n">
        <v>57463.393117</v>
      </c>
      <c r="M36" t="n">
        <v>60322.364616</v>
      </c>
      <c r="N36" t="n">
        <v>65807.492341</v>
      </c>
      <c r="O36" t="n">
        <v>69648.066852</v>
      </c>
      <c r="P36" t="n">
        <v>67944.67913600001</v>
      </c>
      <c r="Q36" t="n">
        <v>69351.106</v>
      </c>
      <c r="R36" t="n">
        <v>68167.246</v>
      </c>
      <c r="S36" t="n">
        <v>71190.28599999999</v>
      </c>
      <c r="T36" t="n">
        <v>73531.52099999999</v>
      </c>
      <c r="U36" t="n">
        <v>83536.17999999999</v>
      </c>
      <c r="V36" t="n">
        <v>88066.02800000001</v>
      </c>
      <c r="W36" t="n">
        <v>101571.087</v>
      </c>
      <c r="X36" t="n">
        <v>107173.422</v>
      </c>
      <c r="Y36" t="n">
        <v>105344.664</v>
      </c>
      <c r="Z36" t="n">
        <v>109987.476</v>
      </c>
      <c r="AA36" t="n">
        <v>114365.286</v>
      </c>
      <c r="AB36" t="n">
        <v>118824.365</v>
      </c>
      <c r="AC36" t="n">
        <v>122147.58</v>
      </c>
      <c r="AD36" t="n">
        <v>128809.321</v>
      </c>
    </row>
    <row r="37">
      <c r="B37" s="8" t="inlineStr">
        <is>
          <t>div_ext</t>
        </is>
      </c>
      <c r="C37" s="9" t="inlineStr">
        <is>
          <t>Obrigações por TVM no Exterior</t>
        </is>
      </c>
      <c r="D37" s="2" t="inlineStr">
        <is>
          <t>[vazio] dentro de div_emis</t>
        </is>
      </c>
    </row>
    <row r="38">
      <c r="B38" s="8" t="inlineStr">
        <is>
          <t>div_coe</t>
        </is>
      </c>
      <c r="C38" s="9" t="inlineStr">
        <is>
          <t>Captação por Certificados de Operações Estruturadas</t>
        </is>
      </c>
      <c r="D38" s="2" t="inlineStr">
        <is>
          <t>[vazio] dentro de div_emis</t>
        </is>
      </c>
    </row>
    <row r="39">
      <c r="B39" s="8" t="inlineStr">
        <is>
          <t>div_sub</t>
        </is>
      </c>
      <c r="C39" s="9" t="inlineStr">
        <is>
          <t>Instrumentos de Dívida Subordinada</t>
        </is>
      </c>
      <c r="D39" s="2" t="inlineStr">
        <is>
          <t>Planilha Séries Históricas 2T26 (RI), aba InputSite_BalanceSheet l.25 Dívida subordinada · fonte · moeda</t>
        </is>
      </c>
      <c r="E39" t="n">
        <v>2658.438325</v>
      </c>
      <c r="F39" t="n">
        <v>4205.590807</v>
      </c>
      <c r="G39" t="n">
        <v>4274.251345</v>
      </c>
      <c r="H39" t="n">
        <v>3430.653118</v>
      </c>
      <c r="I39" t="n">
        <v>3688.594789</v>
      </c>
      <c r="J39" t="n">
        <v>2237.251342</v>
      </c>
      <c r="K39" t="n">
        <v>2373.446987</v>
      </c>
      <c r="L39" t="n">
        <v>2512.089352</v>
      </c>
      <c r="M39" t="n">
        <v>2207.102329</v>
      </c>
      <c r="N39" t="n">
        <v>2262.793462</v>
      </c>
      <c r="O39" t="n">
        <v>534.287867</v>
      </c>
      <c r="P39" t="n">
        <v>580.620682</v>
      </c>
      <c r="Q39" t="n">
        <v>579.83</v>
      </c>
      <c r="R39" t="n">
        <v>560.39</v>
      </c>
      <c r="S39" t="n">
        <v>535.672</v>
      </c>
      <c r="T39" t="n">
        <v>1131.533114</v>
      </c>
      <c r="U39" t="n">
        <v>510.825</v>
      </c>
      <c r="V39" t="n">
        <v>559.301</v>
      </c>
      <c r="W39" t="n">
        <v>583.248</v>
      </c>
      <c r="X39" t="n">
        <v>604.5549999999999</v>
      </c>
      <c r="Y39" t="n">
        <v>593.093</v>
      </c>
      <c r="Z39" t="n">
        <v>579.918</v>
      </c>
      <c r="AA39" t="n">
        <v>553.729</v>
      </c>
      <c r="AB39" t="n">
        <v>2001.693</v>
      </c>
      <c r="AC39" t="n">
        <v>1864.365</v>
      </c>
      <c r="AD39" t="n">
        <v>1873.771</v>
      </c>
    </row>
    <row r="40">
      <c r="B40" s="8" t="inlineStr">
        <is>
          <t>emp_empr</t>
        </is>
      </c>
      <c r="C40" s="9" t="inlineStr">
        <is>
          <t>Empréstimos</t>
        </is>
      </c>
      <c r="D40" s="2" t="inlineStr">
        <is>
          <t>Planilha Séries Históricas 2T26 (RI), aba InputSite_BalanceSheet l.23 Obrigações por empréstimos e repasses TOTAL · fonte · moeda</t>
        </is>
      </c>
      <c r="E40" t="n">
        <v>4889.578528</v>
      </c>
      <c r="F40" t="n">
        <v>4504.549972</v>
      </c>
      <c r="G40" t="n">
        <v>5251.928044</v>
      </c>
      <c r="H40" t="n">
        <v>6643.207482</v>
      </c>
      <c r="I40" t="n">
        <v>6811.059926</v>
      </c>
      <c r="J40" t="n">
        <v>5822.560322</v>
      </c>
      <c r="K40" t="n">
        <v>8085.948347</v>
      </c>
      <c r="L40" t="n">
        <v>8997.270006000001</v>
      </c>
      <c r="M40" t="n">
        <v>13959.244477</v>
      </c>
      <c r="N40" t="n">
        <v>14289.717961</v>
      </c>
      <c r="O40" t="n">
        <v>14829.773423</v>
      </c>
      <c r="P40" t="n">
        <v>17693.932502</v>
      </c>
      <c r="Q40" t="n">
        <v>14446.604</v>
      </c>
      <c r="R40" t="n">
        <v>12659.707</v>
      </c>
      <c r="S40" t="n">
        <v>12892.453</v>
      </c>
      <c r="T40" t="n">
        <v>17582.218</v>
      </c>
      <c r="U40" t="n">
        <v>15719.019</v>
      </c>
      <c r="V40" t="n">
        <v>16792.207</v>
      </c>
      <c r="W40" t="n">
        <v>22985.585</v>
      </c>
      <c r="X40" t="n">
        <v>23036.225</v>
      </c>
      <c r="Y40" t="n">
        <v>24855.595</v>
      </c>
      <c r="Z40" t="n">
        <v>31209.446</v>
      </c>
      <c r="AA40" t="n">
        <v>30917.302</v>
      </c>
      <c r="AB40" t="n">
        <v>44922.895</v>
      </c>
      <c r="AC40" t="n">
        <v>45229.127</v>
      </c>
      <c r="AD40" t="n">
        <v>45057.213</v>
      </c>
    </row>
    <row r="41">
      <c r="B41" s="8" t="inlineStr">
        <is>
          <t>emp_rep</t>
        </is>
      </c>
      <c r="C41" s="9" t="inlineStr">
        <is>
          <t>Repasses</t>
        </is>
      </c>
      <c r="D41" s="2" t="inlineStr">
        <is>
          <t>[vazio] dentro de emp_empr</t>
        </is>
      </c>
    </row>
    <row r="42">
      <c r="B42" s="8" t="inlineStr">
        <is>
          <t>deriv_p</t>
        </is>
      </c>
      <c r="C42" s="9" t="inlineStr">
        <is>
          <t>Derivativos</t>
        </is>
      </c>
      <c r="D42" s="2" t="inlineStr">
        <is>
          <t>Planilha Séries Históricas 2T26 (RI), aba InputSite_BalanceSheet l.24 Instrumentos financeiros derivativos · fonte · moeda</t>
        </is>
      </c>
      <c r="E42" t="n">
        <v>8134.868933</v>
      </c>
      <c r="F42" t="n">
        <v>10081.923142</v>
      </c>
      <c r="G42" t="n">
        <v>9706.078819</v>
      </c>
      <c r="H42" t="n">
        <v>7723.33872</v>
      </c>
      <c r="I42" t="n">
        <v>6682.922882</v>
      </c>
      <c r="J42" t="n">
        <v>16558.778835</v>
      </c>
      <c r="K42" t="n">
        <v>24613.828632</v>
      </c>
      <c r="L42" t="n">
        <v>8120.097721</v>
      </c>
      <c r="M42" t="n">
        <v>26229.570584</v>
      </c>
      <c r="N42" t="n">
        <v>18088.453741</v>
      </c>
      <c r="O42" t="n">
        <v>22647.023306</v>
      </c>
      <c r="P42" t="n">
        <v>13760.428873</v>
      </c>
      <c r="Q42" t="n">
        <v>38159.461</v>
      </c>
      <c r="R42" t="n">
        <v>29784.946</v>
      </c>
      <c r="S42" t="n">
        <v>38669.105</v>
      </c>
      <c r="T42" t="n">
        <v>25488.283</v>
      </c>
      <c r="U42" t="n">
        <v>45727.601</v>
      </c>
      <c r="V42" t="n">
        <v>37775.461</v>
      </c>
      <c r="W42" t="n">
        <v>31785.577</v>
      </c>
      <c r="X42" t="n">
        <v>23038.943862</v>
      </c>
      <c r="Y42" t="n">
        <v>48927.696</v>
      </c>
      <c r="Z42" t="n">
        <v>55157.264</v>
      </c>
      <c r="AA42" t="n">
        <v>51412.674</v>
      </c>
      <c r="AB42" t="n">
        <v>45337.313</v>
      </c>
      <c r="AC42" t="n">
        <v>60032.449</v>
      </c>
      <c r="AD42" t="n">
        <v>69372.917</v>
      </c>
    </row>
    <row r="43">
      <c r="B43" s="8" t="inlineStr">
        <is>
          <t>rel_p</t>
        </is>
      </c>
      <c r="C43" s="9" t="inlineStr">
        <is>
          <t>Relações Interfinanceiras e Interdependências</t>
        </is>
      </c>
      <c r="D43" s="2" t="inlineStr">
        <is>
          <t>Planilha Séries Históricas 2T26 (RI), aba InputSite_BalanceSheet l.22 Relações interfinanceiras · fonte · moeda</t>
        </is>
      </c>
      <c r="E43" t="n">
        <v>43.73839</v>
      </c>
      <c r="F43" t="n">
        <v>362.582573</v>
      </c>
      <c r="G43" t="n">
        <v>75.859476</v>
      </c>
      <c r="H43" t="n">
        <v>433.126908</v>
      </c>
      <c r="I43" t="n">
        <v>386.206573</v>
      </c>
      <c r="J43" t="n">
        <v>2462.068779</v>
      </c>
      <c r="K43" t="n">
        <v>2924.135076</v>
      </c>
      <c r="L43" t="n">
        <v>3801.739049</v>
      </c>
      <c r="M43" t="n">
        <v>4076.123813</v>
      </c>
      <c r="N43" t="n">
        <v>3941.067808</v>
      </c>
      <c r="O43" t="n">
        <v>3913.910727</v>
      </c>
      <c r="P43" t="n">
        <v>3497.419973</v>
      </c>
      <c r="Q43" t="n">
        <v>3230.084</v>
      </c>
      <c r="R43" t="n">
        <v>3650.434</v>
      </c>
      <c r="S43" t="n">
        <v>3135.059</v>
      </c>
      <c r="T43" t="n">
        <v>3452.403</v>
      </c>
      <c r="U43" t="n">
        <v>3429.14</v>
      </c>
      <c r="V43" t="n">
        <v>3565.008</v>
      </c>
      <c r="W43" t="n">
        <v>3788.48</v>
      </c>
      <c r="X43" t="n">
        <v>4937.891</v>
      </c>
      <c r="Y43" t="n">
        <v>4982.752</v>
      </c>
      <c r="Z43" t="n">
        <v>5325.121</v>
      </c>
      <c r="AA43" t="n">
        <v>5533.529</v>
      </c>
      <c r="AB43" t="n">
        <v>5705.277</v>
      </c>
      <c r="AC43" t="n">
        <v>5522.484</v>
      </c>
      <c r="AD43" t="n">
        <v>5732.639</v>
      </c>
    </row>
    <row r="44">
      <c r="B44" s="8" t="inlineStr">
        <is>
          <t>prov_gar</t>
        </is>
      </c>
      <c r="C44" s="9" t="inlineStr">
        <is>
          <t>Provisões p/ Garantias Financeiras e Compromissos de Crédito</t>
        </is>
      </c>
      <c r="D44" s="2" t="inlineStr">
        <is>
          <t>[vazio] dentro de out_p</t>
        </is>
      </c>
    </row>
    <row r="45">
      <c r="B45" s="8" t="inlineStr">
        <is>
          <t>prov_tec</t>
        </is>
      </c>
      <c r="C45" s="9" t="inlineStr">
        <is>
          <t>Provisões Técnicas de Seguros, Previdência e Capitalização</t>
        </is>
      </c>
      <c r="D45" s="2" t="inlineStr">
        <is>
          <t>[vazio] não se aplica</t>
        </is>
      </c>
    </row>
    <row r="46">
      <c r="B46" s="8" t="inlineStr">
        <is>
          <t>prov_dem</t>
        </is>
      </c>
      <c r="C46" s="9" t="inlineStr">
        <is>
          <t>Demais Provisões</t>
        </is>
      </c>
      <c r="D46" s="2" t="inlineStr">
        <is>
          <t>[vazio] dentro de out_p</t>
        </is>
      </c>
    </row>
    <row r="47">
      <c r="B47" s="8" t="inlineStr">
        <is>
          <t>fisc_p</t>
        </is>
      </c>
      <c r="C47" s="9" t="inlineStr">
        <is>
          <t>Obrigações Fiscais Correntes e Diferidas</t>
        </is>
      </c>
      <c r="D47" s="2" t="inlineStr">
        <is>
          <t>[vazio] dentro de out_p</t>
        </is>
      </c>
    </row>
    <row r="48">
      <c r="B48" s="8" t="inlineStr">
        <is>
          <t>out_p</t>
        </is>
      </c>
      <c r="C48" s="9" t="inlineStr">
        <is>
          <t>Outros Passivos</t>
        </is>
      </c>
      <c r="D48" s="2" t="inlineStr">
        <is>
          <t>Planilha Séries Históricas 2T26 (RI), aba InputSite_BalanceSheet l.26 Outras obrigações + l.27 Resultados de exercícios futuros (inclui provisões e obrigações fiscais, não abertas) · fonte · moeda</t>
        </is>
      </c>
      <c r="E48" t="n">
        <v>57399.716735</v>
      </c>
      <c r="F48" t="n">
        <v>60724.280921</v>
      </c>
      <c r="G48" t="n">
        <v>57141.052526</v>
      </c>
      <c r="H48" t="n">
        <v>40128.71917</v>
      </c>
      <c r="I48" t="n">
        <v>65228.174051</v>
      </c>
      <c r="J48" t="n">
        <v>52136.988853</v>
      </c>
      <c r="K48" t="n">
        <v>41020.796609</v>
      </c>
      <c r="L48" t="n">
        <v>55017.918358</v>
      </c>
      <c r="M48" t="n">
        <v>57853.129221</v>
      </c>
      <c r="N48" t="n">
        <v>102862.248472</v>
      </c>
      <c r="O48" t="n">
        <v>67408.369062</v>
      </c>
      <c r="P48" t="n">
        <v>97632.691487</v>
      </c>
      <c r="Q48" t="n">
        <v>85734.06600000001</v>
      </c>
      <c r="R48" t="n">
        <v>86238.36199999999</v>
      </c>
      <c r="S48" t="n">
        <v>85169.819</v>
      </c>
      <c r="T48" t="n">
        <v>88162.458422</v>
      </c>
      <c r="U48" t="n">
        <v>97669.008745</v>
      </c>
      <c r="V48" t="n">
        <v>110930.627</v>
      </c>
      <c r="W48" t="n">
        <v>112324.112</v>
      </c>
      <c r="X48" t="n">
        <v>102381.988765</v>
      </c>
      <c r="Y48" t="n">
        <v>101605.325</v>
      </c>
      <c r="Z48" t="n">
        <v>112692.287</v>
      </c>
      <c r="AA48" t="n">
        <v>115077.435</v>
      </c>
      <c r="AB48" t="n">
        <v>134304.433</v>
      </c>
      <c r="AC48" t="n">
        <v>141164.309</v>
      </c>
      <c r="AD48" t="n">
        <v>149004.948</v>
      </c>
    </row>
    <row r="49"/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cap_social</t>
        </is>
      </c>
      <c r="C51" s="9" t="inlineStr">
        <is>
          <t>Capital Social</t>
        </is>
      </c>
      <c r="D51" s="2" t="inlineStr">
        <is>
          <t>[vazio] PL total em res_luc (fonte não abre)</t>
        </is>
      </c>
    </row>
    <row r="52">
      <c r="B52" s="8" t="inlineStr">
        <is>
          <t>res_cap</t>
        </is>
      </c>
      <c r="C52" s="9" t="inlineStr">
        <is>
          <t>Reservas de Capital</t>
        </is>
      </c>
      <c r="D52" s="2" t="inlineStr">
        <is>
          <t>[vazio] idem</t>
        </is>
      </c>
    </row>
    <row r="53">
      <c r="B53" s="8" t="inlineStr">
        <is>
          <t>res_luc</t>
        </is>
      </c>
      <c r="C53" s="9" t="inlineStr">
        <is>
          <t>Reservas de Lucros</t>
        </is>
      </c>
      <c r="D53" s="2" t="inlineStr">
        <is>
          <t>Planilha Séries Históricas 2T26 (RI), aba InputSite_BalanceSheet l.28 Patrimônio líquido dos controladores TOTAL (a planilha não abre capital/reservas/ORA/tesouraria): lançado aqui · fonte · moeda</t>
        </is>
      </c>
      <c r="E53" t="n">
        <v>22053.349793</v>
      </c>
      <c r="F53" t="n">
        <v>25627.624414</v>
      </c>
      <c r="G53" t="n">
        <v>26048.840987</v>
      </c>
      <c r="H53" t="n">
        <v>26680.655492</v>
      </c>
      <c r="I53" t="n">
        <v>30414.346321</v>
      </c>
      <c r="J53" t="n">
        <v>35040.323136</v>
      </c>
      <c r="K53" t="n">
        <v>36259.35351</v>
      </c>
      <c r="L53" t="n">
        <v>37379.746545</v>
      </c>
      <c r="M53" t="n">
        <v>39299.529933</v>
      </c>
      <c r="N53" t="n">
        <v>41358.735022</v>
      </c>
      <c r="O53" t="n">
        <v>42261.952898</v>
      </c>
      <c r="P53" t="n">
        <v>42371.76767</v>
      </c>
      <c r="Q53" t="n">
        <v>44207.586</v>
      </c>
      <c r="R53" t="n">
        <v>46708.474</v>
      </c>
      <c r="S53" t="n">
        <v>47772.327</v>
      </c>
      <c r="T53" t="n">
        <v>49381.806</v>
      </c>
      <c r="U53" t="n">
        <v>51962.107415</v>
      </c>
      <c r="V53" t="n">
        <v>53075.585</v>
      </c>
      <c r="W53" t="n">
        <v>56270.405</v>
      </c>
      <c r="X53" t="n">
        <v>56479.414972</v>
      </c>
      <c r="Y53" t="n">
        <v>59778.576</v>
      </c>
      <c r="Z53" t="n">
        <v>63703.322</v>
      </c>
      <c r="AA53" t="n">
        <v>65605.493</v>
      </c>
      <c r="AB53" t="n">
        <v>69969.626</v>
      </c>
      <c r="AC53" t="n">
        <v>74510.367</v>
      </c>
      <c r="AD53" t="n">
        <v>79553.489</v>
      </c>
    </row>
    <row r="54">
      <c r="B54" s="8" t="inlineStr">
        <is>
          <t>ora</t>
        </is>
      </c>
      <c r="C54" s="9" t="inlineStr">
        <is>
          <t>Outros Resultados Abrangentes</t>
        </is>
      </c>
      <c r="D54" s="2" t="inlineStr">
        <is>
          <t>[vazio] idem</t>
        </is>
      </c>
    </row>
    <row r="55">
      <c r="B55" s="8" t="inlineStr">
        <is>
          <t>tesour</t>
        </is>
      </c>
      <c r="C55" s="9" t="inlineStr">
        <is>
          <t>(Ações em Tesouraria)</t>
        </is>
      </c>
      <c r="D55" s="2" t="inlineStr">
        <is>
          <t>[vazio] idem</t>
        </is>
      </c>
    </row>
    <row r="56">
      <c r="B56" s="8" t="inlineStr">
        <is>
          <t>minor</t>
        </is>
      </c>
      <c r="C56" s="9" t="inlineStr">
        <is>
          <t>Participação de Acionistas Não Controladores</t>
        </is>
      </c>
      <c r="D56" s="2" t="inlineStr">
        <is>
          <t>Planilha Séries Históricas 2T26 (RI), aba InputSite_BalanceSheet l.29 Participação de não controladores · fonte · moeda</t>
        </is>
      </c>
      <c r="E56" t="n">
        <v>289.946717</v>
      </c>
      <c r="F56" t="n">
        <v>318.312</v>
      </c>
      <c r="G56" t="n">
        <v>421.484399</v>
      </c>
      <c r="H56" t="n">
        <v>445.295073</v>
      </c>
      <c r="I56" t="n">
        <v>558.452393</v>
      </c>
      <c r="J56" t="n">
        <v>2272.701525</v>
      </c>
      <c r="K56" t="n">
        <v>3121.964578</v>
      </c>
      <c r="L56" t="n">
        <v>3135.09612</v>
      </c>
      <c r="M56" t="n">
        <v>4313.645598</v>
      </c>
      <c r="N56" t="n">
        <v>4274.22613</v>
      </c>
      <c r="O56" t="n">
        <v>4769.637579</v>
      </c>
      <c r="P56" t="n">
        <v>4241.54355</v>
      </c>
      <c r="Q56" t="n">
        <v>4391.348</v>
      </c>
      <c r="R56" t="n">
        <v>4731.102</v>
      </c>
      <c r="S56" t="n">
        <v>3923.859</v>
      </c>
      <c r="T56" t="n">
        <v>4153.662</v>
      </c>
      <c r="U56" t="n">
        <v>4024.213</v>
      </c>
      <c r="V56" t="n">
        <v>4728.92</v>
      </c>
      <c r="W56" t="n">
        <v>6274.86</v>
      </c>
      <c r="X56" t="n">
        <v>5840.985229</v>
      </c>
      <c r="Y56" t="n">
        <v>5682.734</v>
      </c>
      <c r="Z56" t="n">
        <v>6045.704</v>
      </c>
      <c r="AA56" t="n">
        <v>7031.182</v>
      </c>
      <c r="AB56" t="n">
        <v>6940.53</v>
      </c>
      <c r="AC56" t="n">
        <v>5713.976</v>
      </c>
      <c r="AD56" t="n">
        <v>6808.361</v>
      </c>
    </row>
    <row r="57"/>
    <row r="58">
      <c r="B58" s="7" t="n"/>
      <c r="C58" s="7" t="inlineStr">
        <is>
          <t>DEMONSTRAÇÃO DO RESULTADO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rec_cred</t>
        </is>
      </c>
      <c r="C59" s="9" t="inlineStr">
        <is>
          <t>Resultado com Operações de Concessão de Crédito</t>
        </is>
      </c>
      <c r="D59" s="2" t="inlineStr">
        <is>
          <t>IF.data/BCB, conglomerado prudencial C0080336, rel. 4 (DRE): Rendas de operações de crédito + arrendamento (até 4T24: a1+a2 | 2025+: c+d+e, inclui outras operações com característica de crédito) · derivada (desacumula a linha 152) · moeda</t>
        </is>
      </c>
      <c r="E59">
        <f>E152</f>
        <v>1643.719197</v>
      </c>
      <c r="F59">
        <f>F152-E152</f>
        <v>1217.794065</v>
      </c>
      <c r="G59">
        <f>G152</f>
        <v>1430.599123</v>
      </c>
      <c r="H59">
        <f>H152-G152</f>
        <v>1682.669529</v>
      </c>
      <c r="I59">
        <f>I152</f>
        <v>1427.842052</v>
      </c>
      <c r="J59">
        <f>J152-I152</f>
        <v>6340.011986</v>
      </c>
      <c r="K59">
        <f>K152</f>
        <v>4878.774514</v>
      </c>
      <c r="L59">
        <f>L152-K152</f>
        <v>5573.613644</v>
      </c>
      <c r="M59">
        <f>M152</f>
        <v>6572.414365</v>
      </c>
      <c r="N59">
        <f>N152-M152</f>
        <v>6564.057323</v>
      </c>
      <c r="O59">
        <f>O152</f>
        <v>7662.778206</v>
      </c>
      <c r="P59">
        <f>P152-O152</f>
        <v>7260.341677</v>
      </c>
      <c r="Q59">
        <f>Q152</f>
        <v>7960.624555</v>
      </c>
      <c r="R59">
        <f>R152-Q152</f>
        <v>10295.393923</v>
      </c>
      <c r="S59">
        <f>S152</f>
        <v>7630.740871</v>
      </c>
      <c r="T59">
        <f>T152-S152</f>
        <v>7918.961685</v>
      </c>
      <c r="U59">
        <f>U152</f>
        <v>6979.77663</v>
      </c>
      <c r="V59">
        <f>V152-U152</f>
        <v>5004.145727</v>
      </c>
      <c r="W59">
        <f>W152</f>
        <v>7643.59128</v>
      </c>
      <c r="X59">
        <f>X152-W152</f>
        <v>7511.605719</v>
      </c>
      <c r="Y59">
        <f>Y152</f>
        <v>9595.836265</v>
      </c>
      <c r="Z59">
        <f>Z152-Y152</f>
        <v>8937.363072</v>
      </c>
      <c r="AA59">
        <f>AA152</f>
        <v>9637.563211</v>
      </c>
      <c r="AB59">
        <f>AB152-AA152</f>
        <v>9325.211199</v>
      </c>
      <c r="AC59">
        <f>AC152</f>
        <v>9207.301834</v>
      </c>
      <c r="AD59">
        <f>AD152-AC152</f>
        <v>10331.561766</v>
      </c>
    </row>
    <row r="60">
      <c r="B60" s="8" t="inlineStr">
        <is>
          <t>rec_tvm</t>
        </is>
      </c>
      <c r="C60" s="9" t="inlineStr">
        <is>
          <t>Resultado de TVM, Derivativos e Outros</t>
        </is>
      </c>
      <c r="D60" s="2" t="inlineStr">
        <is>
          <t>IF.data/BCB, conglomerado prudencial C0080336, rel. 4 (DRE): Rendas de TVM + derivativos + câmbio (até 4T24: a3+a4+a5+b4, TVM inclui aplicações interfinanceiras | 2025+: b+i+j) · derivada (desacumula a linha 153) · moeda</t>
        </is>
      </c>
      <c r="E60">
        <f>E153</f>
        <v>2170.428305</v>
      </c>
      <c r="F60">
        <f>F153-E153</f>
        <v>1528.947875</v>
      </c>
      <c r="G60">
        <f>G153</f>
        <v>3474.579355</v>
      </c>
      <c r="H60">
        <f>H153-G153</f>
        <v>1123.186722</v>
      </c>
      <c r="I60">
        <f>I153</f>
        <v>2821.099175</v>
      </c>
      <c r="J60">
        <f>J153-I153</f>
        <v>1992.04893</v>
      </c>
      <c r="K60">
        <f>K153</f>
        <v>3372.007423</v>
      </c>
      <c r="L60">
        <f>L153-K153</f>
        <v>4636.626097</v>
      </c>
      <c r="M60">
        <f>M153</f>
        <v>5416.744641</v>
      </c>
      <c r="N60">
        <f>N153-M153</f>
        <v>13384.054688</v>
      </c>
      <c r="O60">
        <f>O153</f>
        <v>7221.392473</v>
      </c>
      <c r="P60">
        <f>P153-O153</f>
        <v>4908.485832</v>
      </c>
      <c r="Q60">
        <f>Q153</f>
        <v>7126.408638</v>
      </c>
      <c r="R60">
        <f>R153-Q153</f>
        <v>7233.575705</v>
      </c>
      <c r="S60">
        <f>S153</f>
        <v>11944.696462</v>
      </c>
      <c r="T60">
        <f>T153-S153</f>
        <v>12371.414842</v>
      </c>
      <c r="U60">
        <f>U153</f>
        <v>7781.71788</v>
      </c>
      <c r="V60">
        <f>V153-U153</f>
        <v>10056.964751</v>
      </c>
      <c r="W60">
        <f>W153</f>
        <v>8142.195455</v>
      </c>
      <c r="X60">
        <f>X153-W153</f>
        <v>13478.465557</v>
      </c>
      <c r="Y60">
        <f>Y153</f>
        <v>6369.952884</v>
      </c>
      <c r="Z60">
        <f>Z153-Y153</f>
        <v>10006.341185</v>
      </c>
      <c r="AA60">
        <f>AA153</f>
        <v>12164.973166</v>
      </c>
      <c r="AB60">
        <f>AB153-AA153</f>
        <v>14020.134001</v>
      </c>
      <c r="AC60">
        <f>AC153</f>
        <v>20451.61631</v>
      </c>
      <c r="AD60">
        <f>AD153-AC153</f>
        <v>17321.255624</v>
      </c>
    </row>
    <row r="61">
      <c r="B61" s="8" t="inlineStr">
        <is>
          <t>rec_rg</t>
        </is>
      </c>
      <c r="C61" s="9" t="inlineStr">
        <is>
          <t>Receitas Fin. de Recursos Garantidores de Prov. Técnicas</t>
        </is>
      </c>
      <c r="D61" s="2" t="inlineStr">
        <is>
          <t>[vazio] não se aplica (sem seguradora)</t>
        </is>
      </c>
    </row>
    <row r="62">
      <c r="B62" s="8" t="inlineStr">
        <is>
          <t>rec_aplic</t>
        </is>
      </c>
      <c r="C62" s="9" t="inlineStr">
        <is>
          <t>Resultado das Aplicações Interfinanceiras de Liquidez</t>
        </is>
      </c>
      <c r="D62" s="2" t="inlineStr">
        <is>
          <t>IF.data/BCB, conglomerado prudencial C0080336, rel. 4 (DRE): Aplicações (até 4T24: a6 rendas de aplicações compulsórias; as interfinanceiras estão em TVM | 2025+: a rendas de aplicações interfinanceiras) · derivada (desacumula a linha 154) · moeda</t>
        </is>
      </c>
      <c r="E62">
        <f>E154</f>
        <v>11.215696</v>
      </c>
      <c r="F62">
        <f>F154-E154</f>
        <v>4.319558</v>
      </c>
      <c r="G62">
        <f>G154</f>
        <v>14.066914</v>
      </c>
      <c r="H62">
        <f>H154-G154</f>
        <v>18.61529</v>
      </c>
      <c r="I62">
        <f>I154</f>
        <v>25.105174</v>
      </c>
      <c r="J62">
        <f>J154-I154</f>
        <v>53.599398</v>
      </c>
      <c r="K62">
        <f>K154</f>
        <v>107.254998</v>
      </c>
      <c r="L62">
        <f>L154-K154</f>
        <v>214.795489</v>
      </c>
      <c r="M62">
        <f>M154</f>
        <v>293.425117</v>
      </c>
      <c r="N62">
        <f>N154-M154</f>
        <v>396.635045</v>
      </c>
      <c r="O62">
        <f>O154</f>
        <v>453.710147</v>
      </c>
      <c r="P62">
        <f>P154-O154</f>
        <v>770.688997</v>
      </c>
      <c r="Q62">
        <f>Q154</f>
        <v>893.574905</v>
      </c>
      <c r="R62">
        <f>R154-Q154</f>
        <v>622.807443</v>
      </c>
      <c r="S62">
        <f>S154</f>
        <v>691.343021</v>
      </c>
      <c r="T62">
        <f>T154-S154</f>
        <v>755.242737</v>
      </c>
      <c r="U62">
        <f>U154</f>
        <v>604.00402</v>
      </c>
      <c r="V62">
        <f>V154-U154</f>
        <v>930.412438</v>
      </c>
      <c r="W62">
        <f>W154</f>
        <v>1029.416197</v>
      </c>
      <c r="X62">
        <f>X154-W154</f>
        <v>1133.555811</v>
      </c>
      <c r="Y62">
        <f>Y154</f>
        <v>967.352303</v>
      </c>
      <c r="Z62">
        <f>Z154-Y154</f>
        <v>1414.992691</v>
      </c>
      <c r="AA62">
        <f>AA154</f>
        <v>1273.170542</v>
      </c>
      <c r="AB62">
        <f>AB154-AA154</f>
        <v>2126.138997</v>
      </c>
      <c r="AC62">
        <f>AC154</f>
        <v>2076.269046</v>
      </c>
      <c r="AD62">
        <f>AD154-AC154</f>
        <v>2570.909034</v>
      </c>
    </row>
    <row r="63">
      <c r="B63" s="8" t="inlineStr">
        <is>
          <t>desp_dep</t>
        </is>
      </c>
      <c r="C63" s="9" t="inlineStr">
        <is>
          <t>(Depósitos e Captações no Mercado Aberto)</t>
        </is>
      </c>
      <c r="D63" s="2" t="inlineStr">
        <is>
          <t>IF.data/BCB, conglomerado prudencial C0080336, rel. 4 (DRE): Despesas de captação (até 4T24: b1 | 2025+: g; inclui depósitos, compromissadas e emissões, não abertos) · derivada (desacumula a linha 155) · moeda</t>
        </is>
      </c>
      <c r="E63">
        <f>E155</f>
        <v>-956.808674</v>
      </c>
      <c r="F63">
        <f>F155-E155</f>
        <v>-1233.744631</v>
      </c>
      <c r="G63">
        <f>G155</f>
        <v>-1576.022503</v>
      </c>
      <c r="H63">
        <f>H155-G155</f>
        <v>-1405.589856</v>
      </c>
      <c r="I63">
        <f>I155</f>
        <v>-1066.874847</v>
      </c>
      <c r="J63">
        <f>J155-I155</f>
        <v>-2781.782822</v>
      </c>
      <c r="K63">
        <f>K155</f>
        <v>-3537.402932</v>
      </c>
      <c r="L63">
        <f>L155-K155</f>
        <v>-4795.625066</v>
      </c>
      <c r="M63">
        <f>M155</f>
        <v>-6313.821225</v>
      </c>
      <c r="N63">
        <f>N155-M155</f>
        <v>-11951.42661</v>
      </c>
      <c r="O63">
        <f>O155</f>
        <v>-8445.370332</v>
      </c>
      <c r="P63">
        <f>P155-O155</f>
        <v>-8754.497445</v>
      </c>
      <c r="Q63">
        <f>Q155</f>
        <v>-7101.747082</v>
      </c>
      <c r="R63">
        <f>R155-Q155</f>
        <v>-11688.655608</v>
      </c>
      <c r="S63">
        <f>S155</f>
        <v>-9230.622337</v>
      </c>
      <c r="T63">
        <f>T155-S155</f>
        <v>-10319.895786</v>
      </c>
      <c r="U63">
        <f>U155</f>
        <v>-8453.356021</v>
      </c>
      <c r="V63">
        <f>V155-U155</f>
        <v>-8166.057495</v>
      </c>
      <c r="W63">
        <f>W155</f>
        <v>-10249.492922</v>
      </c>
      <c r="X63">
        <f>X155-W155</f>
        <v>-8268.490604</v>
      </c>
      <c r="Y63">
        <f>Y155</f>
        <v>-11438.304889</v>
      </c>
      <c r="Z63">
        <f>Z155-Y155</f>
        <v>-12798.373634</v>
      </c>
      <c r="AA63">
        <f>AA155</f>
        <v>-12991.374564</v>
      </c>
      <c r="AB63">
        <f>AB155-AA155</f>
        <v>-15748.677506</v>
      </c>
      <c r="AC63">
        <f>AC155</f>
        <v>-20009.871761</v>
      </c>
      <c r="AD63">
        <f>AD155-AC155</f>
        <v>-18446.946379</v>
      </c>
    </row>
    <row r="64">
      <c r="B64" s="8" t="inlineStr">
        <is>
          <t>desp_div</t>
        </is>
      </c>
      <c r="C64" s="9" t="inlineStr">
        <is>
          <t>(Instrumentos de Dívida)</t>
        </is>
      </c>
      <c r="D64" s="2" t="inlineStr">
        <is>
          <t>IF.data/BCB, conglomerado prudencial C0080336, rel. 4 (DRE): Despesas de instrumentos de dívida elegíveis a capital (só 2025+: h) · derivada (desacumula a linha 156) · moeda</t>
        </is>
      </c>
      <c r="E64">
        <f>E156</f>
        <v>0</v>
      </c>
      <c r="F64">
        <f>F156-E156</f>
        <v>0</v>
      </c>
      <c r="G64">
        <f>G156</f>
        <v>0</v>
      </c>
      <c r="H64">
        <f>H156-G156</f>
        <v>0</v>
      </c>
      <c r="I64">
        <f>I156</f>
        <v>0</v>
      </c>
      <c r="J64">
        <f>J156-I156</f>
        <v>0</v>
      </c>
      <c r="K64">
        <f>K156</f>
        <v>0</v>
      </c>
      <c r="L64">
        <f>L156-K156</f>
        <v>0</v>
      </c>
      <c r="M64">
        <f>M156</f>
        <v>0</v>
      </c>
      <c r="N64">
        <f>N156-M156</f>
        <v>0</v>
      </c>
      <c r="O64">
        <f>O156</f>
        <v>0</v>
      </c>
      <c r="P64">
        <f>P156-O156</f>
        <v>0</v>
      </c>
      <c r="Q64">
        <f>Q156</f>
        <v>0</v>
      </c>
      <c r="R64">
        <f>R156-Q156</f>
        <v>0</v>
      </c>
      <c r="S64">
        <f>S156</f>
        <v>0</v>
      </c>
      <c r="T64">
        <f>T156-S156</f>
        <v>0</v>
      </c>
      <c r="U64">
        <f>U156</f>
        <v>0</v>
      </c>
      <c r="V64">
        <f>V156-U156</f>
        <v>0</v>
      </c>
      <c r="W64">
        <f>W156</f>
        <v>0</v>
      </c>
      <c r="X64">
        <f>X156-W156</f>
        <v>0</v>
      </c>
      <c r="Y64">
        <f>Y156</f>
        <v>-635.791382</v>
      </c>
      <c r="Z64">
        <f>Z156-Y156</f>
        <v>-665.054921</v>
      </c>
      <c r="AA64">
        <f>AA156</f>
        <v>-751.587553</v>
      </c>
      <c r="AB64">
        <f>AB156-AA156</f>
        <v>-1162.107538</v>
      </c>
      <c r="AC64">
        <f>AC156</f>
        <v>-1257.698261</v>
      </c>
      <c r="AD64">
        <f>AD156-AC156</f>
        <v>-666.694149</v>
      </c>
    </row>
    <row r="65">
      <c r="B65" s="8" t="inlineStr">
        <is>
          <t>desp_emp</t>
        </is>
      </c>
      <c r="C65" s="9" t="inlineStr">
        <is>
          <t>(Empréstimos e Repasses)</t>
        </is>
      </c>
      <c r="D65" s="2" t="inlineStr">
        <is>
          <t>IF.data/BCB, conglomerado prudencial C0080336, rel. 4 (DRE): Despesas de empréstimos e repasses + arrendamento (até 4T24: b2+b3 | 2025+: dentro de captações) · derivada (desacumula a linha 157) · moeda</t>
        </is>
      </c>
      <c r="E65">
        <f>E157</f>
        <v>-3176.62525</v>
      </c>
      <c r="F65">
        <f>F157-E157</f>
        <v>-1324.367378</v>
      </c>
      <c r="G65">
        <f>G157</f>
        <v>-1712.415092</v>
      </c>
      <c r="H65">
        <f>H157-G157</f>
        <v>147.510066</v>
      </c>
      <c r="I65">
        <f>I157</f>
        <v>-5308.086275</v>
      </c>
      <c r="J65">
        <f>J157-I157</f>
        <v>2465.213961</v>
      </c>
      <c r="K65">
        <f>K157</f>
        <v>-2241.373797</v>
      </c>
      <c r="L65">
        <f>L157-K157</f>
        <v>-2785.93247</v>
      </c>
      <c r="M65">
        <f>M157</f>
        <v>-3182.340904</v>
      </c>
      <c r="N65">
        <f>N157-M157</f>
        <v>-7001.55344</v>
      </c>
      <c r="O65">
        <f>O157</f>
        <v>-3338.052831</v>
      </c>
      <c r="P65">
        <f>P157-O157</f>
        <v>-2931.637102</v>
      </c>
      <c r="Q65">
        <f>Q157</f>
        <v>-2987.604827</v>
      </c>
      <c r="R65">
        <f>R157-Q157</f>
        <v>-2189.317425</v>
      </c>
      <c r="S65">
        <f>S157</f>
        <v>-3471.924484</v>
      </c>
      <c r="T65">
        <f>T157-S157</f>
        <v>-3707.79853</v>
      </c>
      <c r="U65">
        <f>U157</f>
        <v>-2810.762227</v>
      </c>
      <c r="V65">
        <f>V157-U157</f>
        <v>-3802.735883</v>
      </c>
      <c r="W65">
        <f>W157</f>
        <v>-2137.526311</v>
      </c>
      <c r="X65">
        <f>X157-W157</f>
        <v>-6811.856691</v>
      </c>
      <c r="Y65">
        <f>Y157</f>
        <v>0</v>
      </c>
      <c r="Z65">
        <f>Z157-Y157</f>
        <v>0</v>
      </c>
      <c r="AA65">
        <f>AA157</f>
        <v>0</v>
      </c>
      <c r="AB65">
        <f>AB157-AA157</f>
        <v>0</v>
      </c>
      <c r="AC65">
        <f>AC157</f>
        <v>0</v>
      </c>
      <c r="AD65">
        <f>AD157-AC157</f>
        <v>0</v>
      </c>
    </row>
    <row r="66">
      <c r="B66" s="8" t="inlineStr">
        <is>
          <t>desp_prov_tec</t>
        </is>
      </c>
      <c r="C66" s="9" t="inlineStr">
        <is>
          <t>(Despesas Fin. de Provisões Técnicas)</t>
        </is>
      </c>
      <c r="D66" s="2" t="inlineStr">
        <is>
          <t>[vazio] não se aplica</t>
        </is>
      </c>
    </row>
    <row r="67">
      <c r="B67" s="8" t="inlineStr">
        <is>
          <t>pdd_desp</t>
        </is>
      </c>
      <c r="C67" s="9" t="inlineStr">
        <is>
          <t>(Despesa de Provisão para Perda Esperada)</t>
        </is>
      </c>
      <c r="D67" s="2" t="inlineStr">
        <is>
          <t>IF.data/BCB, conglomerado prudencial C0080336, rel. 4 (DRE): Provisão/perda esperada de crédito (até 4T24: b5 | 2025+: f) · derivada (desacumula a linha 158) · moeda</t>
        </is>
      </c>
      <c r="E67">
        <f>E158</f>
        <v>-133.685954</v>
      </c>
      <c r="F67">
        <f>F158-E158</f>
        <v>-64.211218</v>
      </c>
      <c r="G67">
        <f>G158</f>
        <v>-13.072771</v>
      </c>
      <c r="H67">
        <f>H158-G158</f>
        <v>-71.463108</v>
      </c>
      <c r="I67">
        <f>I158</f>
        <v>630.721357</v>
      </c>
      <c r="J67">
        <f>J158-I158</f>
        <v>-825.531835</v>
      </c>
      <c r="K67">
        <f>K158</f>
        <v>-868.240459</v>
      </c>
      <c r="L67">
        <f>L158-K158</f>
        <v>-696.256887</v>
      </c>
      <c r="M67">
        <f>M158</f>
        <v>-817.605987</v>
      </c>
      <c r="N67">
        <f>N158-M158</f>
        <v>-536.103212</v>
      </c>
      <c r="O67">
        <f>O158</f>
        <v>-588.230618</v>
      </c>
      <c r="P67">
        <f>P158-O158</f>
        <v>-1943.934668</v>
      </c>
      <c r="Q67">
        <f>Q158</f>
        <v>-694.453168</v>
      </c>
      <c r="R67">
        <f>R158-Q158</f>
        <v>-497.567383</v>
      </c>
      <c r="S67">
        <f>S158</f>
        <v>-583.392927</v>
      </c>
      <c r="T67">
        <f>T158-S158</f>
        <v>-482.471903</v>
      </c>
      <c r="U67">
        <f>U158</f>
        <v>-487.841968</v>
      </c>
      <c r="V67">
        <f>V158-U158</f>
        <v>-726.681212</v>
      </c>
      <c r="W67">
        <f>W158</f>
        <v>208.397934</v>
      </c>
      <c r="X67">
        <f>X158-W158</f>
        <v>-804.304264</v>
      </c>
      <c r="Y67">
        <f>Y158</f>
        <v>-1361.289903</v>
      </c>
      <c r="Z67">
        <f>Z158-Y158</f>
        <v>-1879.336349</v>
      </c>
      <c r="AA67">
        <f>AA158</f>
        <v>-1927.119569</v>
      </c>
      <c r="AB67">
        <f>AB158-AA158</f>
        <v>-67.547014</v>
      </c>
      <c r="AC67">
        <f>AC158</f>
        <v>-1804.278565</v>
      </c>
      <c r="AD67">
        <f>AD158-AC158</f>
        <v>-1181.276501</v>
      </c>
    </row>
    <row r="68">
      <c r="B68" s="8" t="inlineStr">
        <is>
          <t>pdd_recup</t>
        </is>
      </c>
      <c r="C68" s="9" t="inlineStr">
        <is>
          <t>Recuperação de Créditos Baixados como Prejuízo</t>
        </is>
      </c>
      <c r="D68" s="2" t="inlineStr">
        <is>
          <t>[vazio] IF.data não separa recuperações (líquidas dentro da PDD)</t>
        </is>
      </c>
    </row>
    <row r="69">
      <c r="B69" s="8" t="inlineStr">
        <is>
          <t>serv</t>
        </is>
      </c>
      <c r="C69" s="9" t="inlineStr">
        <is>
          <t>Receitas de Prestação de Serviços e Tarifas Bancárias</t>
        </is>
      </c>
      <c r="D69" s="2" t="inlineStr">
        <is>
          <t>IF.data/BCB, conglomerado prudencial C0080336, rel. 4 (DRE): Rendas de prestação de serviços + tarifas (até 4T24: d1+d2 | 2025+: l+m+n, inclui transações de pagamento) · derivada (desacumula a linha 159) · moeda</t>
        </is>
      </c>
      <c r="E69">
        <f>E159</f>
        <v>774.701843</v>
      </c>
      <c r="F69">
        <f>F159-E159</f>
        <v>729.063037</v>
      </c>
      <c r="G69">
        <f>G159</f>
        <v>972.842382</v>
      </c>
      <c r="H69">
        <f>H159-G159</f>
        <v>1251.322965</v>
      </c>
      <c r="I69">
        <f>I159</f>
        <v>1163.406397</v>
      </c>
      <c r="J69">
        <f>J159-I159</f>
        <v>1818.081933</v>
      </c>
      <c r="K69">
        <f>K159</f>
        <v>1727.115981</v>
      </c>
      <c r="L69">
        <f>L159-K159</f>
        <v>1531.248668</v>
      </c>
      <c r="M69">
        <f>M159</f>
        <v>1488.411515</v>
      </c>
      <c r="N69">
        <f>N159-M159</f>
        <v>1646.617645</v>
      </c>
      <c r="O69">
        <f>O159</f>
        <v>1820.980038</v>
      </c>
      <c r="P69">
        <f>P159-O159</f>
        <v>1917.704039</v>
      </c>
      <c r="Q69">
        <f>Q159</f>
        <v>1566.835316</v>
      </c>
      <c r="R69">
        <f>R159-Q159</f>
        <v>1662.965533</v>
      </c>
      <c r="S69">
        <f>S159</f>
        <v>1801.341213</v>
      </c>
      <c r="T69">
        <f>T159-S159</f>
        <v>1689.467781</v>
      </c>
      <c r="U69">
        <f>U159</f>
        <v>1822.841251</v>
      </c>
      <c r="V69">
        <f>V159-U159</f>
        <v>2079.219643</v>
      </c>
      <c r="W69">
        <f>W159</f>
        <v>1994.418238</v>
      </c>
      <c r="X69">
        <f>X159-W159</f>
        <v>2209.515522</v>
      </c>
      <c r="Y69">
        <f>Y159</f>
        <v>1760.39034</v>
      </c>
      <c r="Z69">
        <f>Z159-Y159</f>
        <v>1938.301291</v>
      </c>
      <c r="AA69">
        <f>AA159</f>
        <v>2224.609555</v>
      </c>
      <c r="AB69">
        <f>AB159-AA159</f>
        <v>2026.449236</v>
      </c>
      <c r="AC69">
        <f>AC159</f>
        <v>2226.584411</v>
      </c>
      <c r="AD69">
        <f>AD159-AC159</f>
        <v>2258.584748</v>
      </c>
    </row>
    <row r="70">
      <c r="B70" s="8" t="inlineStr">
        <is>
          <t>seguros</t>
        </is>
      </c>
      <c r="C70" s="9" t="inlineStr">
        <is>
          <t>Resultado de Seguros, Previdência e Capitalização</t>
        </is>
      </c>
      <c r="D70" s="2" t="inlineStr">
        <is>
          <t>[vazio] não se aplica</t>
        </is>
      </c>
    </row>
    <row r="71">
      <c r="B71" s="8" t="inlineStr">
        <is>
          <t>pessoal</t>
        </is>
      </c>
      <c r="C71" s="9" t="inlineStr">
        <is>
          <t>(Despesas de Pessoal)</t>
        </is>
      </c>
      <c r="D71" s="2" t="inlineStr">
        <is>
          <t>IF.data/BCB, conglomerado prudencial C0080336, rel. 4 (DRE): Despesas de pessoal + participação nos lucros (até 4T24: d3+i | 2025+: o+y). PLR incluída aqui para o lucro fechar; também em pes_plr · derivada (desacumula a linha 160) · moeda</t>
        </is>
      </c>
      <c r="E71">
        <f>E160</f>
        <v>-720.355302</v>
      </c>
      <c r="F71">
        <f>F160-E160</f>
        <v>-635.703927</v>
      </c>
      <c r="G71">
        <f>G160</f>
        <v>-652.28305</v>
      </c>
      <c r="H71">
        <f>H160-G160</f>
        <v>-546.473292</v>
      </c>
      <c r="I71">
        <f>I160</f>
        <v>-1256.734101</v>
      </c>
      <c r="J71">
        <f>J160-I160</f>
        <v>-1276.450495</v>
      </c>
      <c r="K71">
        <f>K160</f>
        <v>-1135.747431</v>
      </c>
      <c r="L71">
        <f>L160-K160</f>
        <v>-880.75662</v>
      </c>
      <c r="M71">
        <f>M160</f>
        <v>-1082.563152</v>
      </c>
      <c r="N71">
        <f>N160-M160</f>
        <v>-1106.694833</v>
      </c>
      <c r="O71">
        <f>O160</f>
        <v>-1169.802078</v>
      </c>
      <c r="P71">
        <f>P160-O160</f>
        <v>-1044.339098</v>
      </c>
      <c r="Q71">
        <f>Q160</f>
        <v>-1171.138576</v>
      </c>
      <c r="R71">
        <f>R160-Q160</f>
        <v>-1333.516544</v>
      </c>
      <c r="S71">
        <f>S160</f>
        <v>-1406.325073</v>
      </c>
      <c r="T71">
        <f>T160-S160</f>
        <v>-1207.638057</v>
      </c>
      <c r="U71">
        <f>U160</f>
        <v>-1447.814161</v>
      </c>
      <c r="V71">
        <f>V160-U160</f>
        <v>-1290.188312</v>
      </c>
      <c r="W71">
        <f>W160</f>
        <v>-1426.283893</v>
      </c>
      <c r="X71">
        <f>X160-W160</f>
        <v>-1481.930059</v>
      </c>
      <c r="Y71">
        <f>Y160</f>
        <v>-1399.246542</v>
      </c>
      <c r="Z71">
        <f>Z160-Y160</f>
        <v>-2848.08369</v>
      </c>
      <c r="AA71">
        <f>AA160</f>
        <v>-1656.553701</v>
      </c>
      <c r="AB71">
        <f>AB160-AA160</f>
        <v>-1718.801452</v>
      </c>
      <c r="AC71">
        <f>AC160</f>
        <v>-3646.088282</v>
      </c>
      <c r="AD71">
        <f>AD160-AC160</f>
        <v>-1682.07427</v>
      </c>
    </row>
    <row r="72">
      <c r="B72" s="8" t="inlineStr">
        <is>
          <t>admin</t>
        </is>
      </c>
      <c r="C72" s="9" t="inlineStr">
        <is>
          <t>(Outras Despesas Administrativas)</t>
        </is>
      </c>
      <c r="D72" s="2" t="inlineStr">
        <is>
          <t>IF.data/BCB, conglomerado prudencial C0080336, rel. 4 (DRE): Despesas administrativas (até 4T24: d4 | 2025+: p) · derivada (desacumula a linha 161) · moeda</t>
        </is>
      </c>
      <c r="E72">
        <f>E161</f>
        <v>-400.569445</v>
      </c>
      <c r="F72">
        <f>F161-E161</f>
        <v>-473.289323</v>
      </c>
      <c r="G72">
        <f>G161</f>
        <v>-422.666107</v>
      </c>
      <c r="H72">
        <f>H161-G161</f>
        <v>-570.626724</v>
      </c>
      <c r="I72">
        <f>I161</f>
        <v>-507.502903</v>
      </c>
      <c r="J72">
        <f>J161-I161</f>
        <v>-2648.293997</v>
      </c>
      <c r="K72">
        <f>K161</f>
        <v>-1833.336728</v>
      </c>
      <c r="L72">
        <f>L161-K161</f>
        <v>-2035.107835</v>
      </c>
      <c r="M72">
        <f>M161</f>
        <v>-2617.801421</v>
      </c>
      <c r="N72">
        <f>N161-M161</f>
        <v>-2389.603739</v>
      </c>
      <c r="O72">
        <f>O161</f>
        <v>-2271.979576</v>
      </c>
      <c r="P72">
        <f>P161-O161</f>
        <v>-2370.212438</v>
      </c>
      <c r="Q72">
        <f>Q161</f>
        <v>-2384.91654</v>
      </c>
      <c r="R72">
        <f>R161-Q161</f>
        <v>-2202.841625</v>
      </c>
      <c r="S72">
        <f>S161</f>
        <v>-2285.476792</v>
      </c>
      <c r="T72">
        <f>T161-S161</f>
        <v>-2455.218378</v>
      </c>
      <c r="U72">
        <f>U161</f>
        <v>-2681.519639</v>
      </c>
      <c r="V72">
        <f>V161-U161</f>
        <v>-2719.31968</v>
      </c>
      <c r="W72">
        <f>W161</f>
        <v>-2722.877244</v>
      </c>
      <c r="X72">
        <f>X161-W161</f>
        <v>-2968.927482</v>
      </c>
      <c r="Y72">
        <f>Y161</f>
        <v>-2260.824475</v>
      </c>
      <c r="Z72">
        <f>Z161-Y161</f>
        <v>-3093.952506</v>
      </c>
      <c r="AA72">
        <f>AA161</f>
        <v>-2510.292596</v>
      </c>
      <c r="AB72">
        <f>AB161-AA161</f>
        <v>-2653.758162</v>
      </c>
      <c r="AC72">
        <f>AC161</f>
        <v>-2776.18402</v>
      </c>
      <c r="AD72">
        <f>AD161-AC161</f>
        <v>-4188.383168</v>
      </c>
    </row>
    <row r="73">
      <c r="B73" s="8" t="inlineStr">
        <is>
          <t>prov_civ</t>
        </is>
      </c>
      <c r="C73" s="9" t="inlineStr">
        <is>
          <t>(Provisões Cíveis)</t>
        </is>
      </c>
      <c r="D73" s="2" t="inlineStr">
        <is>
          <t>[vazio] dentro de outras despesas operacionais</t>
        </is>
      </c>
    </row>
    <row r="74">
      <c r="B74" s="8" t="inlineStr">
        <is>
          <t>prov_trab</t>
        </is>
      </c>
      <c r="C74" s="9" t="inlineStr">
        <is>
          <t>(Provisões Trabalhistas)</t>
        </is>
      </c>
      <c r="D74" s="2" t="inlineStr">
        <is>
          <t>[vazio] idem</t>
        </is>
      </c>
    </row>
    <row r="75">
      <c r="B75" s="8" t="inlineStr">
        <is>
          <t>prov_fisc</t>
        </is>
      </c>
      <c r="C75" s="9" t="inlineStr">
        <is>
          <t>(Provisões Fiscais, Previdenciárias e Outros Riscos)</t>
        </is>
      </c>
      <c r="D75" s="2" t="inlineStr">
        <is>
          <t>[vazio] idem</t>
        </is>
      </c>
    </row>
    <row r="76">
      <c r="B76" s="8" t="inlineStr">
        <is>
          <t>desp_trib</t>
        </is>
      </c>
      <c r="C76" s="9" t="inlineStr">
        <is>
          <t>(Despesas Tributárias)</t>
        </is>
      </c>
      <c r="D76" s="2" t="inlineStr">
        <is>
          <t>IF.data/BCB, conglomerado prudencial C0080336, rel. 4 (DRE): Despesas tributárias (d5 | r) · derivada (desacumula a linha 162) · moeda</t>
        </is>
      </c>
      <c r="E76">
        <f>E162</f>
        <v>-184.377976</v>
      </c>
      <c r="F76">
        <f>F162-E162</f>
        <v>-129.769024</v>
      </c>
      <c r="G76">
        <f>G162</f>
        <v>-129.939053</v>
      </c>
      <c r="H76">
        <f>H162-G162</f>
        <v>-139.724926</v>
      </c>
      <c r="I76">
        <f>I162</f>
        <v>-118.620039</v>
      </c>
      <c r="J76">
        <f>J162-I162</f>
        <v>-259.522911</v>
      </c>
      <c r="K76">
        <f>K162</f>
        <v>-240.182617</v>
      </c>
      <c r="L76">
        <f>L162-K162</f>
        <v>-275.710644</v>
      </c>
      <c r="M76">
        <f>M162</f>
        <v>-200.000494</v>
      </c>
      <c r="N76">
        <f>N162-M162</f>
        <v>-282.869648</v>
      </c>
      <c r="O76">
        <f>O162</f>
        <v>-334.50331</v>
      </c>
      <c r="P76">
        <f>P162-O162</f>
        <v>-343.121731</v>
      </c>
      <c r="Q76">
        <f>Q162</f>
        <v>-289.620359</v>
      </c>
      <c r="R76">
        <f>R162-Q162</f>
        <v>-295.62012</v>
      </c>
      <c r="S76">
        <f>S162</f>
        <v>-416.024731</v>
      </c>
      <c r="T76">
        <f>T162-S162</f>
        <v>-362.371502</v>
      </c>
      <c r="U76">
        <f>U162</f>
        <v>-427.009139</v>
      </c>
      <c r="V76">
        <f>V162-U162</f>
        <v>-287.441345</v>
      </c>
      <c r="W76">
        <f>W162</f>
        <v>-406.550595</v>
      </c>
      <c r="X76">
        <f>X162-W162</f>
        <v>-524.559686</v>
      </c>
      <c r="Y76">
        <f>Y162</f>
        <v>-387.212524</v>
      </c>
      <c r="Z76">
        <f>Z162-Y162</f>
        <v>-466.420682</v>
      </c>
      <c r="AA76">
        <f>AA162</f>
        <v>-668.498183</v>
      </c>
      <c r="AB76">
        <f>AB162-AA162</f>
        <v>-447.616059</v>
      </c>
      <c r="AC76">
        <f>AC162</f>
        <v>-548.617112</v>
      </c>
      <c r="AD76">
        <f>AD162-AC162</f>
        <v>-518.951667</v>
      </c>
    </row>
    <row r="77">
      <c r="B77" s="8" t="inlineStr">
        <is>
          <t>res_part</t>
        </is>
      </c>
      <c r="C77" s="9" t="inlineStr">
        <is>
          <t>Resultado de Participações em Coligadas e Controladas</t>
        </is>
      </c>
      <c r="D77" s="2" t="inlineStr">
        <is>
          <t>IF.data/BCB, conglomerado prudencial C0080336, rel. 4 (DRE): Resultado de participações (d6 | s) · derivada (desacumula a linha 163) · moeda</t>
        </is>
      </c>
      <c r="E77">
        <f>E163</f>
        <v>487.39456</v>
      </c>
      <c r="F77">
        <f>F163-E163</f>
        <v>895.102749</v>
      </c>
      <c r="G77">
        <f>G163</f>
        <v>125.403722</v>
      </c>
      <c r="H77">
        <f>H163-G163</f>
        <v>428.847227</v>
      </c>
      <c r="I77">
        <f>I163</f>
        <v>457.095582</v>
      </c>
      <c r="J77">
        <f>J163-I163</f>
        <v>161.616827</v>
      </c>
      <c r="K77">
        <f>K163</f>
        <v>179.143405</v>
      </c>
      <c r="L77">
        <f>L163-K163</f>
        <v>465.192328</v>
      </c>
      <c r="M77">
        <f>M163</f>
        <v>163.219082</v>
      </c>
      <c r="N77">
        <f>N163-M163</f>
        <v>206.880073</v>
      </c>
      <c r="O77">
        <f>O163</f>
        <v>159.589254</v>
      </c>
      <c r="P77">
        <f>P163-O163</f>
        <v>719.694623</v>
      </c>
      <c r="Q77">
        <f>Q163</f>
        <v>636.4</v>
      </c>
      <c r="R77">
        <f>R163-Q163</f>
        <v>877.915808</v>
      </c>
      <c r="S77">
        <f>S163</f>
        <v>1353.423759</v>
      </c>
      <c r="T77">
        <f>T163-S163</f>
        <v>424.448136</v>
      </c>
      <c r="U77">
        <f>U163</f>
        <v>1130.428498</v>
      </c>
      <c r="V77">
        <f>V163-U163</f>
        <v>877.616836</v>
      </c>
      <c r="W77">
        <f>W163</f>
        <v>1198.443845</v>
      </c>
      <c r="X77">
        <f>X163-W163</f>
        <v>912.547322</v>
      </c>
      <c r="Y77">
        <f>Y163</f>
        <v>314.979071</v>
      </c>
      <c r="Z77">
        <f>Z163-Y163</f>
        <v>755.322021</v>
      </c>
      <c r="AA77">
        <f>AA163</f>
        <v>-65.913095</v>
      </c>
      <c r="AB77">
        <f>AB163-AA163</f>
        <v>684.924733</v>
      </c>
      <c r="AC77">
        <f>AC163</f>
        <v>866.586983</v>
      </c>
      <c r="AD77">
        <f>AD163-AC163</f>
        <v>980.767307</v>
      </c>
    </row>
    <row r="78">
      <c r="B78" s="8" t="inlineStr">
        <is>
          <t>out_rec</t>
        </is>
      </c>
      <c r="C78" s="9" t="inlineStr">
        <is>
          <t>Outras Receitas Operacionais</t>
        </is>
      </c>
      <c r="D78" s="2" t="inlineStr">
        <is>
          <t>IF.data/BCB, conglomerado prudencial C0080336, rel. 4 (DRE): Outras receitas operacionais (d7 | t) · derivada (desacumula a linha 164) · moeda</t>
        </is>
      </c>
      <c r="E78">
        <f>E164</f>
        <v>1069.945301</v>
      </c>
      <c r="F78">
        <f>F164-E164</f>
        <v>455.426165</v>
      </c>
      <c r="G78">
        <f>G164</f>
        <v>1152.658393</v>
      </c>
      <c r="H78">
        <f>H164-G164</f>
        <v>42.9286140000002</v>
      </c>
      <c r="I78">
        <f>I164</f>
        <v>4270.790907</v>
      </c>
      <c r="J78">
        <f>J164-I164</f>
        <v>-1707.99735</v>
      </c>
      <c r="K78">
        <f>K164</f>
        <v>980.436174</v>
      </c>
      <c r="L78">
        <f>L164-K164</f>
        <v>1868.153879</v>
      </c>
      <c r="M78">
        <f>M164</f>
        <v>11892.384856</v>
      </c>
      <c r="N78">
        <f>N164-M164</f>
        <v>14405.100331</v>
      </c>
      <c r="O78">
        <f>O164</f>
        <v>11872.503763</v>
      </c>
      <c r="P78">
        <f>P164-O164</f>
        <v>10565.417825</v>
      </c>
      <c r="Q78">
        <f>Q164</f>
        <v>13492.459957</v>
      </c>
      <c r="R78">
        <f>R164-Q164</f>
        <v>15292.883996</v>
      </c>
      <c r="S78">
        <f>S164</f>
        <v>4396.26786</v>
      </c>
      <c r="T78">
        <f>T164-S164</f>
        <v>650.813148</v>
      </c>
      <c r="U78">
        <f>U164</f>
        <v>2120.930516</v>
      </c>
      <c r="V78">
        <f>V164-U164</f>
        <v>3435.899887</v>
      </c>
      <c r="W78">
        <f>W164</f>
        <v>2252.756652</v>
      </c>
      <c r="X78">
        <f>X164-W164</f>
        <v>3072.938374</v>
      </c>
      <c r="Y78">
        <f>Y164</f>
        <v>5621.464203</v>
      </c>
      <c r="Z78">
        <f>Z164-Y164</f>
        <v>6276.197236</v>
      </c>
      <c r="AA78">
        <f>AA164</f>
        <v>4326.041114</v>
      </c>
      <c r="AB78">
        <f>AB164-AA164</f>
        <v>4489.233089</v>
      </c>
      <c r="AC78">
        <f>AC164</f>
        <v>7544.767116</v>
      </c>
      <c r="AD78">
        <f>AD164-AC164</f>
        <v>5573.554465</v>
      </c>
    </row>
    <row r="79">
      <c r="B79" s="8" t="inlineStr">
        <is>
          <t>out_desp</t>
        </is>
      </c>
      <c r="C79" s="9" t="inlineStr">
        <is>
          <t>(Outras Despesas Operacionais)</t>
        </is>
      </c>
      <c r="D79" s="2" t="inlineStr">
        <is>
          <t>IF.data/BCB, conglomerado prudencial C0080336, rel. 4 (DRE): Outras despesas operacionais (d8 | 2025+: u + q perdas esperadas de outras operações) · derivada (desacumula a linha 165) · moeda</t>
        </is>
      </c>
      <c r="E79">
        <f>E165</f>
        <v>-247.364549</v>
      </c>
      <c r="F79">
        <f>F165-E165</f>
        <v>23.33657</v>
      </c>
      <c r="G79">
        <f>G165</f>
        <v>-1287.926464</v>
      </c>
      <c r="H79">
        <f>H165-G165</f>
        <v>94.3263829999999</v>
      </c>
      <c r="I79">
        <f>I165</f>
        <v>-1024.278696</v>
      </c>
      <c r="J79">
        <f>J165-I165</f>
        <v>-973.874999</v>
      </c>
      <c r="K79">
        <f>K165</f>
        <v>-648.522306</v>
      </c>
      <c r="L79">
        <f>L165-K165</f>
        <v>-723.229438</v>
      </c>
      <c r="M79">
        <f>M165</f>
        <v>-9920.101748</v>
      </c>
      <c r="N79">
        <f>N165-M165</f>
        <v>-10852.310741</v>
      </c>
      <c r="O79">
        <f>O165</f>
        <v>-10448.334586</v>
      </c>
      <c r="P79">
        <f>P165-O165</f>
        <v>-7210.974957</v>
      </c>
      <c r="Q79">
        <f>Q165</f>
        <v>-14470.660693</v>
      </c>
      <c r="R79">
        <f>R165-Q165</f>
        <v>-15038.682036</v>
      </c>
      <c r="S79">
        <f>S165</f>
        <v>-7443.148242</v>
      </c>
      <c r="T79">
        <f>T165-S165</f>
        <v>-2459.905611</v>
      </c>
      <c r="U79">
        <f>U165</f>
        <v>-1219.469408</v>
      </c>
      <c r="V79">
        <f>V165-U165</f>
        <v>-2179.07177</v>
      </c>
      <c r="W79">
        <f>W165</f>
        <v>-2340.806314</v>
      </c>
      <c r="X79">
        <f>X165-W165</f>
        <v>-4486.909692</v>
      </c>
      <c r="Y79">
        <f>Y165</f>
        <v>-3304.097296</v>
      </c>
      <c r="Z79">
        <f>Z165-Y165</f>
        <v>-3496.100999</v>
      </c>
      <c r="AA79">
        <f>AA165</f>
        <v>-3734.781387</v>
      </c>
      <c r="AB79">
        <f>AB165-AA165</f>
        <v>-7240.803953</v>
      </c>
      <c r="AC79">
        <f>AC165</f>
        <v>-7014.864563</v>
      </c>
      <c r="AD79">
        <f>AD165-AC165</f>
        <v>-6534.5303</v>
      </c>
    </row>
    <row r="80">
      <c r="B80" s="8" t="inlineStr">
        <is>
          <t>nao_op</t>
        </is>
      </c>
      <c r="C80" s="9" t="inlineStr">
        <is>
          <t>Resultado Não Operacional</t>
        </is>
      </c>
      <c r="D80" s="2" t="inlineStr">
        <is>
          <t>IF.data/BCB, conglomerado prudencial C0080336, rel. 4 (DRE): Resultado não operacional (até 4T24: f | 2025+: dentro de outras receitas/despesas) · derivada (desacumula a linha 166) · moeda</t>
        </is>
      </c>
      <c r="E80">
        <f>E166</f>
        <v>-87.503271</v>
      </c>
      <c r="F80">
        <f>F166-E166</f>
        <v>203.153774</v>
      </c>
      <c r="G80">
        <f>G166</f>
        <v>-117.606725</v>
      </c>
      <c r="H80">
        <f>H166-G166</f>
        <v>48.448371</v>
      </c>
      <c r="I80">
        <f>I166</f>
        <v>0.397585</v>
      </c>
      <c r="J80">
        <f>J166-I166</f>
        <v>89.403145</v>
      </c>
      <c r="K80">
        <f>K166</f>
        <v>1411.552639</v>
      </c>
      <c r="L80">
        <f>L166-K166</f>
        <v>9.77762400000006</v>
      </c>
      <c r="M80">
        <f>M166</f>
        <v>929.987044</v>
      </c>
      <c r="N80">
        <f>N166-M166</f>
        <v>-1.46030399999995</v>
      </c>
      <c r="O80">
        <f>O166</f>
        <v>37.771878</v>
      </c>
      <c r="P80">
        <f>P166-O166</f>
        <v>15.040256</v>
      </c>
      <c r="Q80">
        <f>Q166</f>
        <v>11.966439</v>
      </c>
      <c r="R80">
        <f>R166-Q166</f>
        <v>51.252892</v>
      </c>
      <c r="S80">
        <f>S166</f>
        <v>111.381546</v>
      </c>
      <c r="T80">
        <f>T166-S166</f>
        <v>-91.651881</v>
      </c>
      <c r="U80">
        <f>U166</f>
        <v>28.342396</v>
      </c>
      <c r="V80">
        <f>V166-U166</f>
        <v>-20.751763</v>
      </c>
      <c r="W80">
        <f>W166</f>
        <v>18.146897</v>
      </c>
      <c r="X80">
        <f>X166-W166</f>
        <v>595.877724</v>
      </c>
      <c r="Y80">
        <f>Y166</f>
        <v>0</v>
      </c>
      <c r="Z80">
        <f>Z166-Y166</f>
        <v>0</v>
      </c>
      <c r="AA80">
        <f>AA166</f>
        <v>0</v>
      </c>
      <c r="AB80">
        <f>AB166-AA166</f>
        <v>0</v>
      </c>
      <c r="AC80">
        <f>AC166</f>
        <v>0</v>
      </c>
      <c r="AD80">
        <f>AD166-AC166</f>
        <v>0</v>
      </c>
    </row>
    <row r="81">
      <c r="B81" s="8" t="inlineStr">
        <is>
          <t>ir_corr</t>
        </is>
      </c>
      <c r="C81" s="9" t="inlineStr">
        <is>
          <t>(Devidos sobre Operações do Período)</t>
        </is>
      </c>
      <c r="D81" s="2" t="inlineStr">
        <is>
          <t>IF.data/BCB, conglomerado prudencial C0080336, rel. 4 (DRE): IR e CSLL TOTAL (h | x; IF.data não separa corrente x diferido) · derivada (desacumula a linha 167) · moeda</t>
        </is>
      </c>
      <c r="E81">
        <f>E167</f>
        <v>517.81277</v>
      </c>
      <c r="F81">
        <f>F167-E167</f>
        <v>-218.708293</v>
      </c>
      <c r="G81">
        <f>G167</f>
        <v>-256.249298</v>
      </c>
      <c r="H81">
        <f>H167-G167</f>
        <v>-874.840303</v>
      </c>
      <c r="I81">
        <f>I167</f>
        <v>-337.86487</v>
      </c>
      <c r="J81">
        <f>J167-I167</f>
        <v>-768.124927</v>
      </c>
      <c r="K81">
        <f>K167</f>
        <v>-408.298401</v>
      </c>
      <c r="L81">
        <f>L167-K167</f>
        <v>-362.70855</v>
      </c>
      <c r="M81">
        <f>M167</f>
        <v>-679.766934</v>
      </c>
      <c r="N81">
        <f>N167-M167</f>
        <v>-414.025145</v>
      </c>
      <c r="O81">
        <f>O167</f>
        <v>-451.643849</v>
      </c>
      <c r="P81">
        <f>P167-O167</f>
        <v>92.490391</v>
      </c>
      <c r="Q81">
        <f>Q167</f>
        <v>-454.905374</v>
      </c>
      <c r="R81">
        <f>R167-Q167</f>
        <v>-349.348612</v>
      </c>
      <c r="S81">
        <f>S167</f>
        <v>-469.730474</v>
      </c>
      <c r="T81">
        <f>T167-S167</f>
        <v>4.15000500000002</v>
      </c>
      <c r="U81">
        <f>U167</f>
        <v>-166.597009</v>
      </c>
      <c r="V81">
        <f>V167-U167</f>
        <v>-368.626101</v>
      </c>
      <c r="W81">
        <f>W167</f>
        <v>-135.720582</v>
      </c>
      <c r="X81">
        <f>X167-W167</f>
        <v>-443.306469</v>
      </c>
      <c r="Y81">
        <f>Y167</f>
        <v>-633.286485</v>
      </c>
      <c r="Z81">
        <f>Z167-Y167</f>
        <v>-71.9713280000001</v>
      </c>
      <c r="AA81">
        <f>AA167</f>
        <v>-982.860412</v>
      </c>
      <c r="AB81">
        <f>AB167-AA167</f>
        <v>757.748538</v>
      </c>
      <c r="AC81">
        <f>AC167</f>
        <v>-745.127441</v>
      </c>
      <c r="AD81">
        <f>AD167-AC167</f>
        <v>-916.631883</v>
      </c>
    </row>
    <row r="82">
      <c r="B82" s="8" t="inlineStr">
        <is>
          <t>ir_dif</t>
        </is>
      </c>
      <c r="C82" s="9" t="inlineStr">
        <is>
          <t>Referentes a Diferenças Temporárias</t>
        </is>
      </c>
      <c r="D82" s="2" t="inlineStr">
        <is>
          <t>[vazio] IR total em ir_corr (IF.data não separa)</t>
        </is>
      </c>
    </row>
    <row r="83">
      <c r="B83" s="8" t="inlineStr">
        <is>
          <t>ll_minor</t>
        </is>
      </c>
      <c r="C83" s="9" t="inlineStr">
        <is>
          <t>(Participação de Não Controladores)</t>
        </is>
      </c>
      <c r="D83" s="2" t="inlineStr">
        <is>
          <t>[vazio] lucro do IF.data já é o atribuível (= lucro contábil do release)</t>
        </is>
      </c>
    </row>
    <row r="84"/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cart_ampl</t>
        </is>
      </c>
      <c r="C86" s="9" t="inlineStr">
        <is>
          <t>Carteira de crédito ampliada</t>
        </is>
      </c>
      <c r="D86" s="2" t="inlineStr">
        <is>
          <t>IF.data/BCB carteira ativa (rel. 11/13/14; até 4T24 conglomerado financeiro C0049944, 2025+ prudencial): PF + PJ (carteira classificada; a carteira gerencial ampliada do RI está nas memórias) · fonte · moeda</t>
        </is>
      </c>
      <c r="E86" t="n">
        <v>30671.388739</v>
      </c>
      <c r="F86" t="n">
        <v>38759.423051</v>
      </c>
      <c r="G86" t="n">
        <v>46220.072138</v>
      </c>
      <c r="H86" t="n">
        <v>50099.739686</v>
      </c>
      <c r="I86" t="n">
        <v>53501.65386</v>
      </c>
      <c r="J86" t="n">
        <v>90581.50516099999</v>
      </c>
      <c r="K86" t="n">
        <v>94638.93965299999</v>
      </c>
      <c r="L86" t="n">
        <v>101348.91233</v>
      </c>
      <c r="M86" t="n">
        <v>105776.344829</v>
      </c>
      <c r="N86" t="n">
        <v>109552.68778</v>
      </c>
      <c r="O86" t="n">
        <v>110615.669317</v>
      </c>
      <c r="P86" t="n">
        <v>118145.132908</v>
      </c>
      <c r="Q86" t="n">
        <v>113380.852935</v>
      </c>
      <c r="R86" t="n">
        <v>101198.419292</v>
      </c>
      <c r="S86" t="n">
        <v>105693.918686</v>
      </c>
      <c r="T86" t="n">
        <v>105975.196262</v>
      </c>
      <c r="U86" t="n">
        <v>107345.685375</v>
      </c>
      <c r="V86" t="n">
        <v>122962.952516</v>
      </c>
      <c r="W86" t="n">
        <v>127914.86089</v>
      </c>
      <c r="X86" t="n">
        <v>173858.632422</v>
      </c>
      <c r="Y86" t="n">
        <v>142626.697071</v>
      </c>
      <c r="Z86" t="n">
        <v>140462.54605</v>
      </c>
      <c r="AA86" t="n">
        <v>149894.098549</v>
      </c>
      <c r="AB86" t="n">
        <v>165294.151385</v>
      </c>
      <c r="AC86" t="n">
        <v>175252.834503</v>
      </c>
      <c r="AD86" t="n">
        <v>163081.780756</v>
      </c>
    </row>
    <row r="87">
      <c r="B87" s="8" t="inlineStr">
        <is>
          <t>cart_pf</t>
        </is>
      </c>
      <c r="C87" s="9" t="inlineStr">
        <is>
          <t>Pessoa física</t>
        </is>
      </c>
      <c r="D87" s="2" t="inlineStr">
        <is>
          <t>IF.data/BCB carteira ativa (rel. 11/13/14; até 4T24 conglomerado financeiro C0049944, 2025+ prudencial) rel.11 total PF · fonte · moeda</t>
        </is>
      </c>
      <c r="E87" t="n">
        <v>2001.15787</v>
      </c>
      <c r="F87" t="n">
        <v>1049.289113</v>
      </c>
      <c r="G87" t="n">
        <v>1535.434157</v>
      </c>
      <c r="H87" t="n">
        <v>1777.823971</v>
      </c>
      <c r="I87" t="n">
        <v>2546.746393</v>
      </c>
      <c r="J87" t="n">
        <v>33448.231581</v>
      </c>
      <c r="K87" t="n">
        <v>35073.770274</v>
      </c>
      <c r="L87" t="n">
        <v>36951.269659</v>
      </c>
      <c r="M87" t="n">
        <v>38628.305404</v>
      </c>
      <c r="N87" t="n">
        <v>38458.785156</v>
      </c>
      <c r="O87" t="n">
        <v>39107.768211</v>
      </c>
      <c r="P87" t="n">
        <v>43670.883829</v>
      </c>
      <c r="Q87" t="n">
        <v>47387.200664</v>
      </c>
      <c r="R87" t="n">
        <v>40437.823697</v>
      </c>
      <c r="S87" t="n">
        <v>41289.735655</v>
      </c>
      <c r="T87" t="n">
        <v>44282.253712</v>
      </c>
      <c r="U87" t="n">
        <v>49371.321511</v>
      </c>
      <c r="V87" t="n">
        <v>52943.653781</v>
      </c>
      <c r="W87" t="n">
        <v>54478.932972</v>
      </c>
      <c r="X87" t="n">
        <v>58119.070428</v>
      </c>
      <c r="Y87" t="n">
        <v>60013.193324</v>
      </c>
      <c r="Z87" t="n">
        <v>63784.558525</v>
      </c>
      <c r="AA87" t="n">
        <v>68765.25212600001</v>
      </c>
      <c r="AB87" t="n">
        <v>72612.534806</v>
      </c>
      <c r="AC87" t="n">
        <v>78082.893226</v>
      </c>
      <c r="AD87" t="n">
        <v>64157.793872</v>
      </c>
    </row>
    <row r="88">
      <c r="B88" s="8" t="inlineStr">
        <is>
          <t>cart_pj</t>
        </is>
      </c>
      <c r="C88" s="9" t="inlineStr">
        <is>
          <t>Pessoa jurídica</t>
        </is>
      </c>
      <c r="D88" s="2" t="inlineStr">
        <is>
          <t>IF.data/BCB carteira ativa (rel. 11/13/14; até 4T24 conglomerado financeiro C0049944, 2025+ prudencial) rel.13 total PJ (inclui exterior) · fonte · moeda</t>
        </is>
      </c>
      <c r="E88" t="n">
        <v>28670.230868</v>
      </c>
      <c r="F88" t="n">
        <v>37710.133938</v>
      </c>
      <c r="G88" t="n">
        <v>44684.637981</v>
      </c>
      <c r="H88" t="n">
        <v>48321.915715</v>
      </c>
      <c r="I88" t="n">
        <v>50954.907467</v>
      </c>
      <c r="J88" t="n">
        <v>57133.273579</v>
      </c>
      <c r="K88" t="n">
        <v>59565.169379</v>
      </c>
      <c r="L88" t="n">
        <v>64397.642671</v>
      </c>
      <c r="M88" t="n">
        <v>67148.039425</v>
      </c>
      <c r="N88" t="n">
        <v>71093.902623</v>
      </c>
      <c r="O88" t="n">
        <v>71507.901106</v>
      </c>
      <c r="P88" t="n">
        <v>74474.249079</v>
      </c>
      <c r="Q88" t="n">
        <v>65993.652271</v>
      </c>
      <c r="R88" t="n">
        <v>60760.595595</v>
      </c>
      <c r="S88" t="n">
        <v>64404.183031</v>
      </c>
      <c r="T88" t="n">
        <v>61692.942549</v>
      </c>
      <c r="U88" t="n">
        <v>57974.363864</v>
      </c>
      <c r="V88" t="n">
        <v>70019.298735</v>
      </c>
      <c r="W88" t="n">
        <v>73435.927918</v>
      </c>
      <c r="X88" t="n">
        <v>115739.561995</v>
      </c>
      <c r="Y88" t="n">
        <v>82613.503748</v>
      </c>
      <c r="Z88" t="n">
        <v>76677.987524</v>
      </c>
      <c r="AA88" t="n">
        <v>81128.846423</v>
      </c>
      <c r="AB88" t="n">
        <v>92681.61657899999</v>
      </c>
      <c r="AC88" t="n">
        <v>97169.94127700001</v>
      </c>
      <c r="AD88" t="n">
        <v>98923.98688300001</v>
      </c>
    </row>
    <row r="89">
      <c r="B89" s="8" t="inlineStr">
        <is>
          <t>est1</t>
        </is>
      </c>
      <c r="C89" s="9" t="inlineStr">
        <is>
          <t>Carteira em Estágio 1</t>
        </is>
      </c>
      <c r="D89" s="2" t="inlineStr">
        <is>
          <t>[vazio] IF.data não abre estágios; BTG não divulga na planilha</t>
        </is>
      </c>
    </row>
    <row r="90">
      <c r="B90" s="8" t="inlineStr">
        <is>
          <t>est2</t>
        </is>
      </c>
      <c r="C90" s="9" t="inlineStr">
        <is>
          <t>Carteira em Estágio 2</t>
        </is>
      </c>
      <c r="D90" s="2" t="inlineStr">
        <is>
          <t>[vazio] idem</t>
        </is>
      </c>
    </row>
    <row r="91">
      <c r="B91" s="8" t="inlineStr">
        <is>
          <t>est3</t>
        </is>
      </c>
      <c r="C91" s="9" t="inlineStr">
        <is>
          <t>Carteira em Estágio 3</t>
        </is>
      </c>
      <c r="D91" s="2" t="inlineStr">
        <is>
          <t>[vazio] idem</t>
        </is>
      </c>
    </row>
    <row r="92">
      <c r="B92" s="8" t="inlineStr">
        <is>
          <t>prov_e1</t>
        </is>
      </c>
      <c r="C92" s="9" t="inlineStr">
        <is>
          <t>Saldo de provisão — Estágio 1</t>
        </is>
      </c>
      <c r="D92" s="2" t="inlineStr">
        <is>
          <t>[vazio] idem</t>
        </is>
      </c>
    </row>
    <row r="93">
      <c r="B93" s="8" t="inlineStr">
        <is>
          <t>prov_e2</t>
        </is>
      </c>
      <c r="C93" s="9" t="inlineStr">
        <is>
          <t>Saldo de provisão — Estágio 2</t>
        </is>
      </c>
      <c r="D93" s="2" t="inlineStr">
        <is>
          <t>[vazio] idem</t>
        </is>
      </c>
    </row>
    <row r="94">
      <c r="B94" s="8" t="inlineStr">
        <is>
          <t>prov_e3</t>
        </is>
      </c>
      <c r="C94" s="9" t="inlineStr">
        <is>
          <t>Saldo de provisão — Estágio 3</t>
        </is>
      </c>
      <c r="D94" s="2" t="inlineStr">
        <is>
          <t>[vazio] idem</t>
        </is>
      </c>
    </row>
    <row r="95">
      <c r="B95" s="8" t="inlineStr">
        <is>
          <t>prov_tot</t>
        </is>
      </c>
      <c r="C95" s="9" t="inlineStr">
        <is>
          <t>Saldo total de provisão</t>
        </is>
      </c>
      <c r="D95" s="2" t="inlineStr">
        <is>
          <t>IF.data/BCB rel. 2, conglomerado prudencial: provisão/perda esperada de crédito (até 4T24 d2+e4 | 2025+ e2+f2+g2+h2), saldo positivo · fonte · moeda</t>
        </is>
      </c>
      <c r="E95" t="n">
        <v>1305.841168</v>
      </c>
      <c r="F95" t="n">
        <v>1682.91021</v>
      </c>
      <c r="G95" t="n">
        <v>1738.590349</v>
      </c>
      <c r="H95" t="n">
        <v>1804.55984</v>
      </c>
      <c r="I95" t="n">
        <v>1196.132689</v>
      </c>
      <c r="J95" t="n">
        <v>2954.942464</v>
      </c>
      <c r="K95" t="n">
        <v>2936.508597</v>
      </c>
      <c r="L95" t="n">
        <v>3239.091495</v>
      </c>
      <c r="M95" t="n">
        <v>3651.977227</v>
      </c>
      <c r="N95" t="n">
        <v>3656.901994</v>
      </c>
      <c r="O95" t="n">
        <v>3809.141601</v>
      </c>
      <c r="P95" t="n">
        <v>5267.689492</v>
      </c>
      <c r="Q95" t="n">
        <v>4313.396665</v>
      </c>
      <c r="R95" t="n">
        <v>4018.675361</v>
      </c>
      <c r="S95" t="n">
        <v>3962.96142</v>
      </c>
      <c r="T95" t="n">
        <v>3843.323891</v>
      </c>
      <c r="U95" t="n">
        <v>4041.110673</v>
      </c>
      <c r="V95" t="n">
        <v>4740.445212</v>
      </c>
      <c r="W95" t="n">
        <v>4992.15067</v>
      </c>
      <c r="X95" t="n">
        <v>5124.332088</v>
      </c>
      <c r="Y95" t="n">
        <v>9251.787392</v>
      </c>
      <c r="Z95" t="n">
        <v>10968.378812</v>
      </c>
      <c r="AA95" t="n">
        <v>12269.616337</v>
      </c>
      <c r="AB95" t="n">
        <v>13225.041209</v>
      </c>
      <c r="AC95" t="n">
        <v>14071.148596</v>
      </c>
      <c r="AD95" t="n">
        <v>15743.367736</v>
      </c>
    </row>
    <row r="96">
      <c r="B96" s="8" t="inlineStr">
        <is>
          <t>npl90</t>
        </is>
      </c>
      <c r="C96" s="9" t="inlineStr">
        <is>
          <t>Operações vencidas acima de 90 dias</t>
        </is>
      </c>
      <c r="D96" s="2" t="inlineStr">
        <is>
          <t>IF.data/BCB rel. 16 "Inadimplência" (só desde 1T25, Res. 4.966) · fonte · moeda</t>
        </is>
      </c>
      <c r="Y96" t="n">
        <v>6400.442958</v>
      </c>
      <c r="Z96" t="n">
        <v>7788.402894</v>
      </c>
      <c r="AA96" t="n">
        <v>8746.991683</v>
      </c>
      <c r="AB96" t="n">
        <v>8815.711654999999</v>
      </c>
      <c r="AC96" t="n">
        <v>10067.567808</v>
      </c>
      <c r="AD96" t="n">
        <v>10828.503001</v>
      </c>
    </row>
    <row r="97">
      <c r="B97" s="8" t="inlineStr">
        <is>
          <t>npl15</t>
        </is>
      </c>
      <c r="C97" s="9" t="inlineStr">
        <is>
          <t>Operações vencidas de 15 a 90 dias</t>
        </is>
      </c>
      <c r="D97" s="2" t="inlineStr">
        <is>
          <t>[vazio] não divulgado</t>
        </is>
      </c>
    </row>
    <row r="98">
      <c r="B98" s="8" t="inlineStr">
        <is>
          <t>wo</t>
        </is>
      </c>
      <c r="C98" s="9" t="inlineStr">
        <is>
          <t>Write-off do período</t>
        </is>
      </c>
      <c r="D98" s="2" t="inlineStr">
        <is>
          <t>[vazio] não divulgado</t>
        </is>
      </c>
    </row>
    <row r="99">
      <c r="B99" s="8" t="inlineStr">
        <is>
          <t>reneg</t>
        </is>
      </c>
      <c r="C99" s="9" t="inlineStr">
        <is>
          <t>Carteira renegociada</t>
        </is>
      </c>
      <c r="D99" s="2" t="inlineStr">
        <is>
          <t>[vazio] não divulgado</t>
        </is>
      </c>
    </row>
    <row r="100">
      <c r="B100" s="8" t="inlineStr">
        <is>
          <t>mf_cli</t>
        </is>
      </c>
      <c r="C100" s="9" t="inlineStr">
        <is>
          <t>Margem financeira com clientes (reportada)</t>
        </is>
      </c>
      <c r="D100" s="2" t="inlineStr">
        <is>
          <t>[vazio] BTG não divulga margem com clientes x mercado (receita por área nas memórias)</t>
        </is>
      </c>
    </row>
    <row r="101">
      <c r="B101" s="8" t="inlineStr">
        <is>
          <t>mf_mkt</t>
        </is>
      </c>
      <c r="C101" s="9" t="inlineStr">
        <is>
          <t>Margem financeira com o mercado (reportada)</t>
        </is>
      </c>
      <c r="D101" s="2" t="inlineStr">
        <is>
          <t>[vazio] idem</t>
        </is>
      </c>
    </row>
    <row r="102">
      <c r="B102" s="8" t="inlineStr">
        <is>
          <t>at_rent</t>
        </is>
      </c>
      <c r="C102" s="9" t="inlineStr">
        <is>
          <t>Ativos rentáveis (saldo fim de período)</t>
        </is>
      </c>
      <c r="D102" s="2" t="inlineStr">
        <is>
          <t>[vazio] não divulgado</t>
        </is>
      </c>
    </row>
    <row r="103">
      <c r="B103" s="8" t="inlineStr">
        <is>
          <t>pas_oner</t>
        </is>
      </c>
      <c r="C103" s="9" t="inlineStr">
        <is>
          <t>Passivos onerosos (saldo fim de período)</t>
        </is>
      </c>
      <c r="D103" s="2" t="inlineStr">
        <is>
          <t>[vazio] não divulgado</t>
        </is>
      </c>
    </row>
    <row r="104">
      <c r="B104" s="8" t="inlineStr">
        <is>
          <t>rwa</t>
        </is>
      </c>
      <c r="C104" s="9" t="inlineStr">
        <is>
          <t>Ativos Ponderados pelo Risco (RWA)</t>
        </is>
      </c>
      <c r="D104" s="2" t="inlineStr">
        <is>
          <t>IF.data/BCB rel. 5 (capital), conglomerado prudencial: "Ativos Ponderados pelo Risco" (localizado pelo nome; as letras mudam entre layouts) · fonte · moeda</t>
        </is>
      </c>
      <c r="E104" t="n">
        <v>115434.263481</v>
      </c>
      <c r="F104" t="n">
        <v>135333.949981</v>
      </c>
      <c r="G104" t="n">
        <v>152143.079182</v>
      </c>
      <c r="H104" t="n">
        <v>156882.035431</v>
      </c>
      <c r="I104" t="n">
        <v>176416.184574</v>
      </c>
      <c r="J104" t="n">
        <v>203238.532331</v>
      </c>
      <c r="K104" t="n">
        <v>225765.15386</v>
      </c>
      <c r="L104" t="n">
        <v>247493.322207</v>
      </c>
      <c r="M104" t="n">
        <v>263120.157217</v>
      </c>
      <c r="N104" t="n">
        <v>281403.569011</v>
      </c>
      <c r="O104" t="n">
        <v>300745.849577</v>
      </c>
      <c r="P104" t="n">
        <v>308025.510637</v>
      </c>
      <c r="Q104" t="n">
        <v>305107.314266</v>
      </c>
      <c r="R104" t="n">
        <v>345553.511295</v>
      </c>
      <c r="S104" t="n">
        <v>338941.241979</v>
      </c>
      <c r="T104" t="n">
        <v>365907.126599</v>
      </c>
      <c r="U104" t="n">
        <v>383828.202452</v>
      </c>
      <c r="V104" t="n">
        <v>404601.320168</v>
      </c>
      <c r="W104" t="n">
        <v>428700.986167</v>
      </c>
      <c r="X104" t="n">
        <v>456270.599296</v>
      </c>
      <c r="Y104" t="n">
        <v>471654.868097</v>
      </c>
      <c r="Z104" t="n">
        <v>493090.147479</v>
      </c>
      <c r="AA104" t="n">
        <v>541869.358479</v>
      </c>
      <c r="AB104" t="n">
        <v>582741.932473</v>
      </c>
      <c r="AC104" t="n">
        <v>608004.244432</v>
      </c>
      <c r="AD104" t="n">
        <v>641034.11015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IF.data/BCB rel. 5 (capital), conglomerado prudencial: "RWA para Risco de Crédito" (localizado pelo nome; as letras mudam entre layouts) · fonte · moeda</t>
        </is>
      </c>
      <c r="E105" t="n">
        <v>76582.03991000001</v>
      </c>
      <c r="F105" t="n">
        <v>97693.46548699999</v>
      </c>
      <c r="G105" t="n">
        <v>110036.813761</v>
      </c>
      <c r="H105" t="n">
        <v>120997.355603</v>
      </c>
      <c r="I105" t="n">
        <v>136582.109531</v>
      </c>
      <c r="J105" t="n">
        <v>167996.503249</v>
      </c>
      <c r="K105" t="n">
        <v>183481.647767</v>
      </c>
      <c r="L105" t="n">
        <v>203488.396424</v>
      </c>
      <c r="M105" t="n">
        <v>200431.705379</v>
      </c>
      <c r="N105" t="n">
        <v>217914.973986</v>
      </c>
      <c r="O105" t="n">
        <v>224504.929496</v>
      </c>
      <c r="P105" t="n">
        <v>236140.756022</v>
      </c>
      <c r="Q105" t="n">
        <v>234534.152737</v>
      </c>
      <c r="R105" t="n">
        <v>240865.534174</v>
      </c>
      <c r="S105" t="n">
        <v>229488.210236</v>
      </c>
      <c r="T105" t="n">
        <v>242672.327409</v>
      </c>
      <c r="U105" t="n">
        <v>258812.381636</v>
      </c>
      <c r="V105" t="n">
        <v>283646.226089</v>
      </c>
      <c r="W105" t="n">
        <v>294381.809169</v>
      </c>
      <c r="X105" t="n">
        <v>307257.117131</v>
      </c>
      <c r="Y105" t="n">
        <v>326250.630288</v>
      </c>
      <c r="Z105" t="n">
        <v>328185.509045</v>
      </c>
      <c r="AA105" t="n">
        <v>358548.369746</v>
      </c>
      <c r="AB105" t="n">
        <v>389349.144066</v>
      </c>
      <c r="AC105" t="n">
        <v>427027.220914</v>
      </c>
      <c r="AD105" t="n">
        <v>442169.648425</v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IF.data/BCB rel. 5 (capital), conglomerado prudencial: "RWA para Risco de Mercado" (localizado pelo nome; as letras mudam entre layouts) · fonte · moeda</t>
        </is>
      </c>
      <c r="E106" t="n">
        <v>30892.9</v>
      </c>
      <c r="F106" t="n">
        <v>29681.160923</v>
      </c>
      <c r="G106" t="n">
        <v>35081.01054</v>
      </c>
      <c r="H106" t="n">
        <v>28859.424946</v>
      </c>
      <c r="I106" t="n">
        <v>29891.053898</v>
      </c>
      <c r="J106" t="n">
        <v>25299.007937</v>
      </c>
      <c r="K106" t="n">
        <v>25089.624634</v>
      </c>
      <c r="L106" t="n">
        <v>26811.044325</v>
      </c>
      <c r="M106" t="n">
        <v>39133.155013</v>
      </c>
      <c r="N106" t="n">
        <v>39933.298201</v>
      </c>
      <c r="O106" t="n">
        <v>52713.323529</v>
      </c>
      <c r="P106" t="n">
        <v>48357.158063</v>
      </c>
      <c r="Q106" t="n">
        <v>44958.138975</v>
      </c>
      <c r="R106" t="n">
        <v>79072.954566</v>
      </c>
      <c r="S106" t="n">
        <v>79608.416989</v>
      </c>
      <c r="T106" t="n">
        <v>93390.184436</v>
      </c>
      <c r="U106" t="n">
        <v>91260.63294</v>
      </c>
      <c r="V106" t="n">
        <v>87199.90620300001</v>
      </c>
      <c r="W106" t="n">
        <v>97278.620312</v>
      </c>
      <c r="X106" t="n">
        <v>111972.925479</v>
      </c>
      <c r="Y106" t="n">
        <v>103581.209444</v>
      </c>
      <c r="Z106" t="n">
        <v>123081.61007</v>
      </c>
      <c r="AA106" t="n">
        <v>139928.205399</v>
      </c>
      <c r="AB106" t="n">
        <v>149873.297504</v>
      </c>
      <c r="AC106" t="n">
        <v>134373.283303</v>
      </c>
      <c r="AD106" t="n">
        <v>152260.72151</v>
      </c>
    </row>
    <row r="107">
      <c r="B107" s="8" t="inlineStr">
        <is>
          <t>rwa_op</t>
        </is>
      </c>
      <c r="C107" s="9" t="inlineStr">
        <is>
          <t>RWA operacional</t>
        </is>
      </c>
      <c r="D107" s="2" t="inlineStr">
        <is>
          <t>IF.data/BCB rel. 5 (capital), conglomerado prudencial: "RWA para Risco Operacional" (localizado pelo nome; as letras mudam entre layouts) · fonte · moeda</t>
        </is>
      </c>
      <c r="E107" t="n">
        <v>7959.323571</v>
      </c>
      <c r="F107" t="n">
        <v>7959.323571</v>
      </c>
      <c r="G107" t="n">
        <v>7025.254881</v>
      </c>
      <c r="H107" t="n">
        <v>7025.254881</v>
      </c>
      <c r="I107" t="n">
        <v>9943.021145000001</v>
      </c>
      <c r="J107" t="n">
        <v>9943.021145000001</v>
      </c>
      <c r="K107" t="n">
        <v>17193.881458</v>
      </c>
      <c r="L107" t="n">
        <v>17193.881458</v>
      </c>
      <c r="M107" t="n">
        <v>23555.296824</v>
      </c>
      <c r="N107" t="n">
        <v>23555.296824</v>
      </c>
      <c r="O107" t="n">
        <v>23527.596552</v>
      </c>
      <c r="P107" t="n">
        <v>23527.596552</v>
      </c>
      <c r="Q107" t="n">
        <v>25615.022554</v>
      </c>
      <c r="R107" t="n">
        <v>25615.022554</v>
      </c>
      <c r="S107" t="n">
        <v>29844.614754</v>
      </c>
      <c r="T107" t="n">
        <v>29844.614754</v>
      </c>
      <c r="U107" t="n">
        <v>33755.187876</v>
      </c>
      <c r="V107" t="n">
        <v>33755.187876</v>
      </c>
      <c r="W107" t="n">
        <v>37040.556686</v>
      </c>
      <c r="X107" t="n">
        <v>37040.556686</v>
      </c>
      <c r="Y107" t="n">
        <v>41823.028364</v>
      </c>
      <c r="Z107" t="n">
        <v>41823.028364</v>
      </c>
      <c r="AA107" t="n">
        <v>43392.783334</v>
      </c>
      <c r="AB107" t="n">
        <v>43519.490903</v>
      </c>
      <c r="AC107" t="n">
        <v>46603.740215</v>
      </c>
      <c r="AD107" t="n">
        <v>46603.740215</v>
      </c>
    </row>
    <row r="108">
      <c r="B108" s="8" t="inlineStr">
        <is>
          <t>pr</t>
        </is>
      </c>
      <c r="C108" s="9" t="inlineStr">
        <is>
          <t>Patrimônio de Referência (PR)</t>
        </is>
      </c>
      <c r="D108" s="2" t="inlineStr">
        <is>
          <t>IF.data/BCB rel. 5 (capital), conglomerado prudencial: "Patrimônio de Referência para Comparação" (localizado pelo nome; as letras mudam entre layouts) · fonte · moeda</t>
        </is>
      </c>
      <c r="E108" t="n">
        <v>22375.204425</v>
      </c>
      <c r="F108" t="n">
        <v>26570.917951</v>
      </c>
      <c r="G108" t="n">
        <v>26635.597338</v>
      </c>
      <c r="H108" t="n">
        <v>26132.889887</v>
      </c>
      <c r="I108" t="n">
        <v>31160.09666</v>
      </c>
      <c r="J108" t="n">
        <v>35059.517741</v>
      </c>
      <c r="K108" t="n">
        <v>36249.23098</v>
      </c>
      <c r="L108" t="n">
        <v>38792.959422</v>
      </c>
      <c r="M108" t="n">
        <v>39418.68975</v>
      </c>
      <c r="N108" t="n">
        <v>42721.454425</v>
      </c>
      <c r="O108" t="n">
        <v>45711.203752</v>
      </c>
      <c r="P108" t="n">
        <v>46453.352959</v>
      </c>
      <c r="Q108" t="n">
        <v>47341.30194</v>
      </c>
      <c r="R108" t="n">
        <v>53311.7418</v>
      </c>
      <c r="S108" t="n">
        <v>58872.342786</v>
      </c>
      <c r="T108" t="n">
        <v>64105.878261</v>
      </c>
      <c r="U108" t="n">
        <v>62939.203914</v>
      </c>
      <c r="V108" t="n">
        <v>65366.845493</v>
      </c>
      <c r="W108" t="n">
        <v>70400.63849899999</v>
      </c>
      <c r="X108" t="n">
        <v>71663.40510600001</v>
      </c>
      <c r="Y108" t="n">
        <v>73909.798119</v>
      </c>
      <c r="Z108" t="n">
        <v>79635.809821</v>
      </c>
      <c r="AA108" t="n">
        <v>84234.939102</v>
      </c>
      <c r="AB108" t="n">
        <v>90343.985686</v>
      </c>
      <c r="AC108" t="n">
        <v>96751.380323</v>
      </c>
      <c r="AD108" t="n">
        <v>102835.686087</v>
      </c>
    </row>
    <row r="109">
      <c r="B109" s="8" t="inlineStr">
        <is>
          <t>nivel1</t>
        </is>
      </c>
      <c r="C109" s="9" t="inlineStr">
        <is>
          <t>Capital Nível I</t>
        </is>
      </c>
      <c r="D109" s="2" t="inlineStr">
        <is>
          <t>IF.data/BCB rel. 5 (capital), conglomerado prudencial: "Patrimônio de Referência Nível I" (localizado pelo nome; as letras mudam entre layouts) · fonte · moeda</t>
        </is>
      </c>
      <c r="E109" t="n">
        <v>17662.414275</v>
      </c>
      <c r="F109" t="n">
        <v>21642.348268</v>
      </c>
      <c r="G109" t="n">
        <v>21905.699545</v>
      </c>
      <c r="H109" t="n">
        <v>22087.705038</v>
      </c>
      <c r="I109" t="n">
        <v>26842.803273</v>
      </c>
      <c r="J109" t="n">
        <v>31212.868991</v>
      </c>
      <c r="K109" t="n">
        <v>32539.244414</v>
      </c>
      <c r="L109" t="n">
        <v>33657.719972</v>
      </c>
      <c r="M109" t="n">
        <v>34791.993557</v>
      </c>
      <c r="N109" t="n">
        <v>37608.179084</v>
      </c>
      <c r="O109" t="n">
        <v>39068.098748</v>
      </c>
      <c r="P109" t="n">
        <v>39362.81435</v>
      </c>
      <c r="Q109" t="n">
        <v>40209.067161</v>
      </c>
      <c r="R109" t="n">
        <v>42722.741891</v>
      </c>
      <c r="S109" t="n">
        <v>44325.439443</v>
      </c>
      <c r="T109" t="n">
        <v>46334.52649</v>
      </c>
      <c r="U109" t="n">
        <v>48073.66064</v>
      </c>
      <c r="V109" t="n">
        <v>49965.65829</v>
      </c>
      <c r="W109" t="n">
        <v>55077.705835</v>
      </c>
      <c r="X109" t="n">
        <v>56350.257601</v>
      </c>
      <c r="Y109" t="n">
        <v>58513.128728</v>
      </c>
      <c r="Z109" t="n">
        <v>64226.639412</v>
      </c>
      <c r="AA109" t="n">
        <v>67217.987824</v>
      </c>
      <c r="AB109" t="n">
        <v>72486.620152</v>
      </c>
      <c r="AC109" t="n">
        <v>75635.919778</v>
      </c>
      <c r="AD109" t="n">
        <v>80799.775869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IF.data/BCB rel. 5 (capital), conglomerado prudencial: "Capital Principal para Comparação" (localizado pelo nome; as letras mudam entre layouts) · fonte · moeda</t>
        </is>
      </c>
      <c r="E110" t="n">
        <v>17281.598536</v>
      </c>
      <c r="F110" t="n">
        <v>21262.101932</v>
      </c>
      <c r="G110" t="n">
        <v>21529.284524</v>
      </c>
      <c r="H110" t="n">
        <v>21710.355365</v>
      </c>
      <c r="I110" t="n">
        <v>26468.338766</v>
      </c>
      <c r="J110" t="n">
        <v>30829.226074</v>
      </c>
      <c r="K110" t="n">
        <v>32157.332122</v>
      </c>
      <c r="L110" t="n">
        <v>33266.891465</v>
      </c>
      <c r="M110" t="n">
        <v>34407.196718</v>
      </c>
      <c r="N110" t="n">
        <v>37208.617994</v>
      </c>
      <c r="O110" t="n">
        <v>38680.630435</v>
      </c>
      <c r="P110" t="n">
        <v>38933.970292</v>
      </c>
      <c r="Q110" t="n">
        <v>39785.439761</v>
      </c>
      <c r="R110" t="n">
        <v>42284.456686</v>
      </c>
      <c r="S110" t="n">
        <v>43901.620634</v>
      </c>
      <c r="T110" t="n">
        <v>45911.863447</v>
      </c>
      <c r="U110" t="n">
        <v>47665.611969</v>
      </c>
      <c r="V110" t="n">
        <v>49547.709792</v>
      </c>
      <c r="W110" t="n">
        <v>52617.05149</v>
      </c>
      <c r="X110" t="n">
        <v>53817.134667</v>
      </c>
      <c r="Y110" t="n">
        <v>55259.44117</v>
      </c>
      <c r="Z110" t="n">
        <v>59317.603052</v>
      </c>
      <c r="AA110" t="n">
        <v>62303.65326</v>
      </c>
      <c r="AB110" t="n">
        <v>65950.61442500001</v>
      </c>
      <c r="AC110" t="n">
        <v>69045.748551</v>
      </c>
      <c r="AD110" t="n">
        <v>74275.831341</v>
      </c>
    </row>
    <row r="111">
      <c r="B111" s="8" t="inlineStr">
        <is>
          <t>ib_rep</t>
        </is>
      </c>
      <c r="C111" s="9" t="inlineStr">
        <is>
          <t>Índice de Basileia reportado (%)</t>
        </is>
      </c>
      <c r="D111" s="2" t="inlineStr">
        <is>
          <t>IF.data/BCB rel. 5 (capital), conglomerado prudencial: "Índice de Basileia" (localizado pelo nome; as letras mudam entre layouts) · fonte · pct</t>
        </is>
      </c>
      <c r="E111" t="n">
        <v>0.193835</v>
      </c>
      <c r="F111" t="n">
        <v>0.196336</v>
      </c>
      <c r="G111" t="n">
        <v>0.175069</v>
      </c>
      <c r="H111" t="n">
        <v>0.166577</v>
      </c>
      <c r="I111" t="n">
        <v>0.176628</v>
      </c>
      <c r="J111" t="n">
        <v>0.172504</v>
      </c>
      <c r="K111" t="n">
        <v>0.160562</v>
      </c>
      <c r="L111" t="n">
        <v>0.156743</v>
      </c>
      <c r="M111" t="n">
        <v>0.149813</v>
      </c>
      <c r="N111" t="n">
        <v>0.151816</v>
      </c>
      <c r="O111" t="n">
        <v>0.151993</v>
      </c>
      <c r="P111" t="n">
        <v>0.15081</v>
      </c>
      <c r="Q111" t="n">
        <v>0.155163</v>
      </c>
      <c r="R111" t="n">
        <v>0.154279</v>
      </c>
      <c r="S111" t="n">
        <v>0.173695</v>
      </c>
      <c r="T111" t="n">
        <v>0.175197</v>
      </c>
      <c r="U111" t="n">
        <v>0.163978</v>
      </c>
      <c r="V111" t="n">
        <v>0.161559</v>
      </c>
      <c r="W111" t="n">
        <v>0.164219</v>
      </c>
      <c r="X111" t="n">
        <v>0.157063</v>
      </c>
      <c r="Y111" t="n">
        <v>0.156703</v>
      </c>
      <c r="Z111" t="n">
        <v>0.161504</v>
      </c>
      <c r="AA111" t="n">
        <v>0.155452</v>
      </c>
      <c r="AB111" t="n">
        <v>0.155033</v>
      </c>
      <c r="AC111" t="n">
        <v>0.159129</v>
      </c>
      <c r="AD111" t="n">
        <v>0.160422</v>
      </c>
    </row>
    <row r="112">
      <c r="B112" s="8" t="inlineStr">
        <is>
          <t>in1_rep</t>
        </is>
      </c>
      <c r="C112" s="9" t="inlineStr">
        <is>
          <t>Índice de Nível I reportado (%)</t>
        </is>
      </c>
      <c r="D112" s="2" t="inlineStr">
        <is>
          <t>IF.data/BCB rel. 5 (capital), conglomerado prudencial: "Índice de Capital Nível I" (localizado pelo nome; as letras mudam entre layouts) · fonte · pct</t>
        </is>
      </c>
      <c r="E112" t="n">
        <v>0.153008</v>
      </c>
      <c r="F112" t="n">
        <v>0.159918</v>
      </c>
      <c r="G112" t="n">
        <v>0.143981</v>
      </c>
      <c r="H112" t="n">
        <v>0.140792</v>
      </c>
      <c r="I112" t="n">
        <v>0.152156</v>
      </c>
      <c r="J112" t="n">
        <v>0.153578</v>
      </c>
      <c r="K112" t="n">
        <v>0.144129</v>
      </c>
      <c r="L112" t="n">
        <v>0.135994</v>
      </c>
      <c r="M112" t="n">
        <v>0.132229</v>
      </c>
      <c r="N112" t="n">
        <v>0.133645</v>
      </c>
      <c r="O112" t="n">
        <v>0.129904</v>
      </c>
      <c r="P112" t="n">
        <v>0.127791</v>
      </c>
      <c r="Q112" t="n">
        <v>0.131787</v>
      </c>
      <c r="R112" t="n">
        <v>0.123636</v>
      </c>
      <c r="S112" t="n">
        <v>0.130776</v>
      </c>
      <c r="T112" t="n">
        <v>0.126629</v>
      </c>
      <c r="U112" t="n">
        <v>0.125248</v>
      </c>
      <c r="V112" t="n">
        <v>0.123494</v>
      </c>
      <c r="W112" t="n">
        <v>0.128476</v>
      </c>
      <c r="X112" t="n">
        <v>0.123502</v>
      </c>
      <c r="Y112" t="n">
        <v>0.124059</v>
      </c>
      <c r="Z112" t="n">
        <v>0.130253</v>
      </c>
      <c r="AA112" t="n">
        <v>0.124048</v>
      </c>
      <c r="AB112" t="n">
        <v>0.124389</v>
      </c>
      <c r="AC112" t="n">
        <v>0.1244</v>
      </c>
      <c r="AD112" t="n">
        <v>0.126046</v>
      </c>
    </row>
    <row r="113">
      <c r="B113" s="8" t="inlineStr">
        <is>
          <t>icp_rep</t>
        </is>
      </c>
      <c r="C113" s="9" t="inlineStr">
        <is>
          <t>Índice de Capital Principal reportado (%)</t>
        </is>
      </c>
      <c r="D113" s="2" t="inlineStr">
        <is>
          <t>IF.data/BCB rel. 5 (capital), conglomerado prudencial: "Índice de Capital Principal" (localizado pelo nome; as letras mudam entre layouts) · fonte · pct</t>
        </is>
      </c>
      <c r="E113" t="n">
        <v>0.149709</v>
      </c>
      <c r="F113" t="n">
        <v>0.157108</v>
      </c>
      <c r="G113" t="n">
        <v>0.141507</v>
      </c>
      <c r="H113" t="n">
        <v>0.138386</v>
      </c>
      <c r="I113" t="n">
        <v>0.150034</v>
      </c>
      <c r="J113" t="n">
        <v>0.15169</v>
      </c>
      <c r="K113" t="n">
        <v>0.142437</v>
      </c>
      <c r="L113" t="n">
        <v>0.134415</v>
      </c>
      <c r="M113" t="n">
        <v>0.130766</v>
      </c>
      <c r="N113" t="n">
        <v>0.132225</v>
      </c>
      <c r="O113" t="n">
        <v>0.128616</v>
      </c>
      <c r="P113" t="n">
        <v>0.126399</v>
      </c>
      <c r="Q113" t="n">
        <v>0.130398</v>
      </c>
      <c r="R113" t="n">
        <v>0.122367</v>
      </c>
      <c r="S113" t="n">
        <v>0.129526</v>
      </c>
      <c r="T113" t="n">
        <v>0.125474</v>
      </c>
      <c r="U113" t="n">
        <v>0.124185</v>
      </c>
      <c r="V113" t="n">
        <v>0.122461</v>
      </c>
      <c r="W113" t="n">
        <v>0.122736</v>
      </c>
      <c r="X113" t="n">
        <v>0.11795</v>
      </c>
      <c r="Y113" t="n">
        <v>0.117161</v>
      </c>
      <c r="Z113" t="n">
        <v>0.120298</v>
      </c>
      <c r="AA113" t="n">
        <v>0.114979</v>
      </c>
      <c r="AB113" t="n">
        <v>0.113173</v>
      </c>
      <c r="AC113" t="n">
        <v>0.113561</v>
      </c>
      <c r="AD113" t="n">
        <v>0.115869</v>
      </c>
    </row>
    <row r="114">
      <c r="B114" s="8" t="inlineStr">
        <is>
          <t>alav</t>
        </is>
      </c>
      <c r="C114" s="9" t="inlineStr">
        <is>
          <t>Razão de Alavancagem (%)</t>
        </is>
      </c>
      <c r="D114" s="2" t="inlineStr">
        <is>
          <t>IF.data/BCB rel. 5 (capital), conglomerado prudencial: "Razão de Alavancagem" (localizado pelo nome; as letras mudam entre layouts) · fonte · pct</t>
        </is>
      </c>
      <c r="E114" t="n">
        <v>0.071559</v>
      </c>
      <c r="F114" t="n">
        <v>0.078848</v>
      </c>
      <c r="G114" t="n">
        <v>0.081612</v>
      </c>
      <c r="H114" t="n">
        <v>0.073682</v>
      </c>
      <c r="I114" t="n">
        <v>0.07829800000000001</v>
      </c>
      <c r="J114" t="n">
        <v>0.07081899999999999</v>
      </c>
      <c r="K114" t="n">
        <v>0.07302500000000001</v>
      </c>
      <c r="L114" t="n">
        <v>0.08343299999999999</v>
      </c>
      <c r="M114" t="n">
        <v>0.079805</v>
      </c>
      <c r="N114" t="n">
        <v>0.07146</v>
      </c>
      <c r="O114" t="n">
        <v>0.07236099999999999</v>
      </c>
      <c r="P114" t="n">
        <v>0.075308</v>
      </c>
      <c r="Q114" t="n">
        <v>0.073949</v>
      </c>
      <c r="R114" t="n">
        <v>0.075461</v>
      </c>
      <c r="S114" t="n">
        <v>0.08194899999999999</v>
      </c>
      <c r="T114" t="n">
        <v>0.08203199999999999</v>
      </c>
      <c r="U114" t="n">
        <v>0.078108</v>
      </c>
      <c r="V114" t="n">
        <v>0.076003</v>
      </c>
      <c r="W114" t="n">
        <v>0.07964</v>
      </c>
      <c r="X114" t="n">
        <v>0.083768</v>
      </c>
      <c r="Y114" t="n">
        <v>0.086603</v>
      </c>
      <c r="Z114" t="n">
        <v>0.09113400000000001</v>
      </c>
      <c r="AA114" t="n">
        <v>0.090986</v>
      </c>
      <c r="AB114" t="n">
        <v>0.085855</v>
      </c>
      <c r="AC114" t="n">
        <v>0.101605</v>
      </c>
      <c r="AD114" t="n">
        <v>0.09257899999999999</v>
      </c>
    </row>
    <row r="115">
      <c r="B115" s="8" t="inlineStr">
        <is>
          <t>lcr</t>
        </is>
      </c>
      <c r="C115" s="9" t="inlineStr">
        <is>
          <t>LCR (%)</t>
        </is>
      </c>
      <c r="D115" s="2" t="inlineStr">
        <is>
          <t>[vazio] não está na planilha</t>
        </is>
      </c>
    </row>
    <row r="116">
      <c r="B116" s="8" t="inlineStr">
        <is>
          <t>nsfr</t>
        </is>
      </c>
      <c r="C116" s="9" t="inlineStr">
        <is>
          <t>NSFR (%)</t>
        </is>
      </c>
      <c r="D116" s="2" t="inlineStr">
        <is>
          <t>[vazio] idem</t>
        </is>
      </c>
    </row>
    <row r="117">
      <c r="B117" s="8" t="inlineStr">
        <is>
          <t>acoes</t>
        </is>
      </c>
      <c r="C117" s="9" t="inlineStr">
        <is>
          <t>Ações ex-tesouraria no fim do período (milhões)</t>
        </is>
      </c>
      <c r="D117" s="2" t="inlineStr">
        <is>
          <t>Planilha Séries Históricas 2T26 (RI), aba InputSite_Highlights l.27 BPAC11 total de UNITS ex-tesouraria (milhões; 1 unit = 1 ON + 2 PN) · fonte · un</t>
        </is>
      </c>
      <c r="E117" t="n">
        <v>3506.366529</v>
      </c>
      <c r="F117" t="n">
        <v>3616.942629</v>
      </c>
      <c r="G117" t="n">
        <v>3616.942629</v>
      </c>
      <c r="H117" t="n">
        <v>3616.942629</v>
      </c>
      <c r="I117" t="n">
        <v>3728.053741</v>
      </c>
      <c r="J117" t="n">
        <v>3825.661741</v>
      </c>
      <c r="K117" t="n">
        <v>3825.661741</v>
      </c>
      <c r="L117" t="n">
        <v>3835.373309</v>
      </c>
      <c r="M117" t="n">
        <v>3834.525409</v>
      </c>
      <c r="N117" t="n">
        <v>3832.160409</v>
      </c>
      <c r="O117" t="n">
        <v>3830.825509</v>
      </c>
      <c r="P117" t="n">
        <v>3825.373309</v>
      </c>
      <c r="Q117" t="n">
        <v>3811.253709</v>
      </c>
      <c r="R117" t="n">
        <v>3811.253709</v>
      </c>
      <c r="S117" t="n">
        <v>3811.253709</v>
      </c>
      <c r="T117" t="n">
        <v>3811.253709</v>
      </c>
      <c r="U117" t="n">
        <v>3811.253709</v>
      </c>
      <c r="V117" t="n">
        <v>3811.253709</v>
      </c>
      <c r="W117" t="n">
        <v>3811.253709</v>
      </c>
      <c r="X117" t="n">
        <v>3807.903709</v>
      </c>
      <c r="Y117" t="n">
        <v>3807.903709</v>
      </c>
      <c r="Z117" t="n">
        <v>3807.903709</v>
      </c>
      <c r="AA117" t="n">
        <v>3807.903709</v>
      </c>
      <c r="AB117" t="n">
        <v>3862.551555</v>
      </c>
      <c r="AC117" t="n">
        <v>3862.551555</v>
      </c>
      <c r="AD117" t="n">
        <v>3862.551555</v>
      </c>
    </row>
    <row r="118">
      <c r="B118" s="8" t="inlineStr">
        <is>
          <t>div_decl</t>
        </is>
      </c>
      <c r="C118" s="9" t="inlineStr">
        <is>
          <t>Dividendos declarados no período</t>
        </is>
      </c>
      <c r="D118" s="2" t="inlineStr">
        <is>
          <t>Planilha Séries Históricas 2T26 (RI), aba InputSite_Highlights l.20 Dividendos · fonte · moeda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B119" s="8" t="inlineStr">
        <is>
          <t>jcp_decl</t>
        </is>
      </c>
      <c r="C119" s="9" t="inlineStr">
        <is>
          <t>Juros sobre capital próprio declarados</t>
        </is>
      </c>
      <c r="D119" s="2" t="inlineStr">
        <is>
          <t>Planilha Séries Históricas 2T26 (RI), aba InputSite_Highlights l.21 Juros sobre capital próprio · fonte · moeda</t>
        </is>
      </c>
      <c r="E119" t="n">
        <v>0</v>
      </c>
      <c r="F119" t="n">
        <v>0</v>
      </c>
      <c r="G119" t="n">
        <v>532.999901</v>
      </c>
      <c r="H119" t="n">
        <v>563</v>
      </c>
      <c r="I119" t="n">
        <v>0</v>
      </c>
      <c r="J119" t="n">
        <v>0</v>
      </c>
      <c r="K119" t="n">
        <v>650.000511</v>
      </c>
      <c r="L119" t="n">
        <v>825</v>
      </c>
      <c r="M119" t="n">
        <v>0</v>
      </c>
      <c r="N119" t="n">
        <v>0</v>
      </c>
      <c r="O119" t="n">
        <v>1200</v>
      </c>
      <c r="P119" t="n">
        <v>1315</v>
      </c>
      <c r="Q119" t="n">
        <v>0</v>
      </c>
      <c r="R119" t="n">
        <v>0</v>
      </c>
      <c r="S119" t="n">
        <v>1530</v>
      </c>
      <c r="T119" t="n">
        <v>1445</v>
      </c>
      <c r="U119" t="n">
        <v>0</v>
      </c>
      <c r="V119" t="n">
        <v>1550</v>
      </c>
      <c r="W119" t="n">
        <v>0</v>
      </c>
      <c r="X119" t="n">
        <v>1719.817618</v>
      </c>
      <c r="Y119" t="n">
        <v>0</v>
      </c>
      <c r="Z119" t="n">
        <v>0</v>
      </c>
      <c r="AA119" t="n">
        <v>2299.999698</v>
      </c>
      <c r="AB119" t="n">
        <v>2449.998216</v>
      </c>
      <c r="AC119" t="n">
        <v>0</v>
      </c>
      <c r="AD119" t="n">
        <v>0</v>
      </c>
    </row>
    <row r="120">
      <c r="B120" s="8" t="inlineStr">
        <is>
          <t>preco</t>
        </is>
      </c>
      <c r="C120" s="9" t="inlineStr">
        <is>
          <t>Preço da ação no fechamento</t>
        </is>
      </c>
      <c r="D120" s="2" t="inlineStr">
        <is>
          <t>[vazio] não está na fonte (preencher)</t>
        </is>
      </c>
    </row>
    <row r="121">
      <c r="B121" s="8" t="inlineStr">
        <is>
          <t>funcion</t>
        </is>
      </c>
      <c r="C121" s="9" t="inlineStr">
        <is>
          <t>Número de colaboradores</t>
        </is>
      </c>
      <c r="D121" s="2" t="inlineStr">
        <is>
          <t>Planilha Séries Históricas 2T26 (RI), aba InputSite_Highlights l.41 Funcionários · fonte · un</t>
        </is>
      </c>
      <c r="E121" t="n">
        <v>2773</v>
      </c>
      <c r="F121" t="n">
        <v>2855</v>
      </c>
      <c r="G121" t="n">
        <v>3173</v>
      </c>
      <c r="H121" t="n">
        <v>3515</v>
      </c>
      <c r="I121" t="n">
        <v>3824</v>
      </c>
      <c r="J121" t="n">
        <v>4175</v>
      </c>
      <c r="K121" t="n">
        <v>4903</v>
      </c>
      <c r="L121" t="n">
        <v>5211</v>
      </c>
      <c r="M121" t="n">
        <v>6293</v>
      </c>
      <c r="N121" t="n">
        <v>6430</v>
      </c>
      <c r="O121" t="n">
        <v>6695</v>
      </c>
      <c r="P121" t="n">
        <v>6963</v>
      </c>
      <c r="Q121" t="n">
        <v>7097</v>
      </c>
      <c r="R121" t="n">
        <v>7122</v>
      </c>
      <c r="S121" t="n">
        <v>7162</v>
      </c>
      <c r="T121" t="n">
        <v>7177</v>
      </c>
      <c r="U121" t="n">
        <v>7514</v>
      </c>
      <c r="V121" t="n">
        <v>7560</v>
      </c>
      <c r="W121" t="n">
        <v>7633</v>
      </c>
      <c r="X121" t="n">
        <v>8188</v>
      </c>
      <c r="Y121" t="n">
        <v>8543</v>
      </c>
      <c r="Z121" t="n">
        <v>8854</v>
      </c>
      <c r="AA121" t="n">
        <v>9367</v>
      </c>
      <c r="AB121" t="n">
        <v>9509</v>
      </c>
      <c r="AC121" t="n">
        <v>11829</v>
      </c>
      <c r="AD121" t="n">
        <v>12169</v>
      </c>
    </row>
    <row r="122">
      <c r="B122" s="8" t="inlineStr">
        <is>
          <t>agencias</t>
        </is>
      </c>
      <c r="C122" s="9" t="inlineStr">
        <is>
          <t>Número de agências e postos de atendimento</t>
        </is>
      </c>
      <c r="D122" s="2" t="inlineStr">
        <is>
          <t>[vazio] não se aplica</t>
        </is>
      </c>
    </row>
    <row r="123">
      <c r="B123" s="8" t="inlineStr">
        <is>
          <t>clientes</t>
        </is>
      </c>
      <c r="C123" s="9" t="inlineStr">
        <is>
          <t>Base de clientes (mil)</t>
        </is>
      </c>
      <c r="D123" s="2" t="inlineStr">
        <is>
          <t>[vazio] não divulgado na planilha</t>
        </is>
      </c>
    </row>
    <row r="124">
      <c r="B124" s="8" t="inlineStr">
        <is>
          <t>cart_cartao</t>
        </is>
      </c>
      <c r="C124" s="9" t="inlineStr">
        <is>
          <t>Cartão de crédito</t>
        </is>
      </c>
      <c r="D124" s="2" t="inlineStr">
        <is>
          <t>IF.data/BCB carteira ativa (rel. 11/13/14; até 4T24 conglomerado financeiro C0049944, 2025+ prudencial) rel.11 PF grupo "Cartão de Crédito" · fonte · moeda</t>
        </is>
      </c>
      <c r="E124" t="n">
        <v>0.00357</v>
      </c>
      <c r="F124" t="n">
        <v>0.5813739999999999</v>
      </c>
      <c r="G124" t="n">
        <v>7.080304</v>
      </c>
      <c r="H124" t="n">
        <v>41.845996</v>
      </c>
      <c r="I124" t="n">
        <v>139.799449</v>
      </c>
      <c r="J124" t="n">
        <v>5048.370174</v>
      </c>
      <c r="K124" t="n">
        <v>5748.726961</v>
      </c>
      <c r="L124" t="n">
        <v>6522.409533</v>
      </c>
      <c r="M124" t="n">
        <v>6883.135877</v>
      </c>
      <c r="N124" t="n">
        <v>7322.905259</v>
      </c>
      <c r="O124" t="n">
        <v>8275.890454</v>
      </c>
      <c r="P124" t="n">
        <v>9283.380601000001</v>
      </c>
      <c r="Q124" t="n">
        <v>9356.483823</v>
      </c>
      <c r="R124" t="n">
        <v>9133.91937</v>
      </c>
      <c r="S124" t="n">
        <v>7593.324475</v>
      </c>
      <c r="T124" t="n">
        <v>7069.694081</v>
      </c>
      <c r="U124" t="n">
        <v>6593.517315</v>
      </c>
      <c r="V124" t="n">
        <v>6427.8467</v>
      </c>
      <c r="W124" t="n">
        <v>6023.816019</v>
      </c>
      <c r="X124" t="n">
        <v>6502.349371</v>
      </c>
      <c r="Y124" t="n">
        <v>7089.690982</v>
      </c>
      <c r="Z124" t="n">
        <v>7456.402335</v>
      </c>
      <c r="AA124" t="n">
        <v>7823.440807</v>
      </c>
      <c r="AB124" t="n">
        <v>7925.424055</v>
      </c>
      <c r="AC124" t="n">
        <v>8006.81614</v>
      </c>
      <c r="AD124" t="n">
        <v>8269.569495</v>
      </c>
    </row>
    <row r="125">
      <c r="B125" s="8" t="inlineStr">
        <is>
          <t>cart_consig</t>
        </is>
      </c>
      <c r="C125" s="9" t="inlineStr">
        <is>
          <t>Crédito consignado</t>
        </is>
      </c>
      <c r="D125" s="2" t="inlineStr">
        <is>
          <t>IF.data/BCB carteira ativa (rel. 11/13/14; até 4T24 conglomerado financeiro C0049944, 2025+ prudencial) rel.11 PF grupo "Empréstimo com Consignação" · fonte · moeda</t>
        </is>
      </c>
      <c r="E125" t="n">
        <v>114.380945</v>
      </c>
      <c r="F125" t="n">
        <v>89.775138</v>
      </c>
      <c r="G125" t="n">
        <v>69.81479299999999</v>
      </c>
      <c r="H125" t="n">
        <v>58.768283</v>
      </c>
      <c r="I125" t="n">
        <v>53.625673</v>
      </c>
      <c r="J125" t="n">
        <v>11760.409058</v>
      </c>
      <c r="K125" t="n">
        <v>9996.202804</v>
      </c>
      <c r="L125" t="n">
        <v>8162.335844</v>
      </c>
      <c r="M125" t="n">
        <v>7868.717501</v>
      </c>
      <c r="N125" t="n">
        <v>8279.8207</v>
      </c>
      <c r="O125" t="n">
        <v>8362.828495</v>
      </c>
      <c r="P125" t="n">
        <v>11236.313947</v>
      </c>
      <c r="Q125" t="n">
        <v>13003.658779</v>
      </c>
      <c r="R125" t="n">
        <v>8457.215555999999</v>
      </c>
      <c r="S125" t="n">
        <v>9113.018770999999</v>
      </c>
      <c r="T125" t="n">
        <v>10422.293889</v>
      </c>
      <c r="U125" t="n">
        <v>12838.764497</v>
      </c>
      <c r="V125" t="n">
        <v>14443.207784</v>
      </c>
      <c r="W125" t="n">
        <v>15343.612561</v>
      </c>
      <c r="X125" t="n">
        <v>14890.882703</v>
      </c>
      <c r="Y125" t="n">
        <v>14734.88671</v>
      </c>
      <c r="Z125" t="n">
        <v>15367.201814</v>
      </c>
      <c r="AA125" t="n">
        <v>16513.894657</v>
      </c>
      <c r="AB125" t="n">
        <v>17616.031346</v>
      </c>
      <c r="AC125" t="n">
        <v>22457.89419</v>
      </c>
      <c r="AD125" t="n">
        <v>23261.095994</v>
      </c>
    </row>
    <row r="126">
      <c r="B126" s="8" t="inlineStr">
        <is>
          <t>cart_veic</t>
        </is>
      </c>
      <c r="C126" s="9" t="inlineStr">
        <is>
          <t>Veículos</t>
        </is>
      </c>
      <c r="D126" s="2" t="inlineStr">
        <is>
          <t>IF.data/BCB carteira ativa (rel. 11/13/14; até 4T24 conglomerado financeiro C0049944, 2025+ prudencial) rel.11 PF grupo "Veículos" · fonte · moeda</t>
        </is>
      </c>
      <c r="J126" t="n">
        <v>13479.422848</v>
      </c>
      <c r="K126" t="n">
        <v>14146.233796</v>
      </c>
      <c r="L126" t="n">
        <v>14782.696751</v>
      </c>
      <c r="M126" t="n">
        <v>15119.598961</v>
      </c>
      <c r="N126" t="n">
        <v>15203.950413</v>
      </c>
      <c r="O126" t="n">
        <v>15699.11374</v>
      </c>
      <c r="P126" t="n">
        <v>16449.357513</v>
      </c>
      <c r="Q126" t="n">
        <v>17497.359476</v>
      </c>
      <c r="R126" t="n">
        <v>18510.491841</v>
      </c>
      <c r="S126" t="n">
        <v>19608.885446</v>
      </c>
      <c r="T126" t="n">
        <v>21584.741614</v>
      </c>
      <c r="U126" t="n">
        <v>24050.335452</v>
      </c>
      <c r="V126" t="n">
        <v>26099.117524</v>
      </c>
      <c r="W126" t="n">
        <v>27724.020714</v>
      </c>
      <c r="X126" t="n">
        <v>29471.729576</v>
      </c>
      <c r="Y126" t="n">
        <v>31220.72335</v>
      </c>
      <c r="Z126" t="n">
        <v>33242.186079</v>
      </c>
      <c r="AA126" t="n">
        <v>35369.989173</v>
      </c>
      <c r="AB126" t="n">
        <v>37742.963025</v>
      </c>
      <c r="AC126" t="n">
        <v>38615.319602</v>
      </c>
      <c r="AD126" t="n">
        <v>23678.6333</v>
      </c>
    </row>
    <row r="127">
      <c r="B127" s="8" t="inlineStr">
        <is>
          <t>cart_imob</t>
        </is>
      </c>
      <c r="C127" s="9" t="inlineStr">
        <is>
          <t>Imobiliário</t>
        </is>
      </c>
      <c r="D127" s="2" t="inlineStr">
        <is>
          <t>IF.data/BCB carteira ativa (rel. 11/13/14; até 4T24 conglomerado financeiro C0049944, 2025+ prudencial) rel.11 PF grupo "Habitação" · fonte · moeda</t>
        </is>
      </c>
      <c r="E127" t="n">
        <v>4.966208</v>
      </c>
      <c r="F127" t="n">
        <v>4.991559</v>
      </c>
      <c r="G127" t="n">
        <v>5.129265</v>
      </c>
      <c r="H127" t="n">
        <v>5.350251</v>
      </c>
      <c r="I127" t="n">
        <v>5.526818</v>
      </c>
      <c r="J127" t="n">
        <v>79.419398</v>
      </c>
      <c r="K127" t="n">
        <v>68.915913</v>
      </c>
      <c r="L127" t="n">
        <v>63.695267</v>
      </c>
      <c r="M127" t="n">
        <v>62.319693</v>
      </c>
      <c r="N127" t="n">
        <v>61.466287</v>
      </c>
      <c r="O127" t="n">
        <v>57.826653</v>
      </c>
      <c r="P127" t="n">
        <v>53.960043</v>
      </c>
      <c r="Q127" t="n">
        <v>52.678982</v>
      </c>
      <c r="R127" t="n">
        <v>50.922257</v>
      </c>
      <c r="S127" t="n">
        <v>48.591004</v>
      </c>
      <c r="T127" t="n">
        <v>46.747227</v>
      </c>
      <c r="U127" t="n">
        <v>43.357907</v>
      </c>
      <c r="V127" t="n">
        <v>41.75429</v>
      </c>
      <c r="W127" t="n">
        <v>40.155751</v>
      </c>
      <c r="X127" t="n">
        <v>70.66568100000001</v>
      </c>
      <c r="Y127" t="n">
        <v>78.585733</v>
      </c>
      <c r="Z127" t="n">
        <v>105.989296</v>
      </c>
      <c r="AA127" t="n">
        <v>131.132159</v>
      </c>
      <c r="AB127" t="n">
        <v>163.761494</v>
      </c>
      <c r="AC127" t="n">
        <v>184.668804</v>
      </c>
      <c r="AD127" t="n">
        <v>204.909794</v>
      </c>
    </row>
    <row r="128">
      <c r="B128" s="8" t="inlineStr">
        <is>
          <t>cart_rural</t>
        </is>
      </c>
      <c r="C128" s="9" t="inlineStr">
        <is>
          <t>Rural e agronegócio</t>
        </is>
      </c>
      <c r="D128" s="2" t="inlineStr">
        <is>
          <t>IF.data/BCB carteira ativa (rel. 11/13/14; até 4T24 conglomerado financeiro C0049944, 2025+ prudencial) rel.11 PF grupo "Rural" · fonte · moeda</t>
        </is>
      </c>
      <c r="E128" t="n">
        <v>34.194782</v>
      </c>
      <c r="F128" t="n">
        <v>35.433154</v>
      </c>
      <c r="G128" t="n">
        <v>36.595262</v>
      </c>
      <c r="H128" t="n">
        <v>33.797461</v>
      </c>
      <c r="I128" t="n">
        <v>36.292704</v>
      </c>
      <c r="J128" t="n">
        <v>239.763943</v>
      </c>
      <c r="K128" t="n">
        <v>311.610545</v>
      </c>
      <c r="L128" t="n">
        <v>415.932206</v>
      </c>
      <c r="M128" t="n">
        <v>416.741588</v>
      </c>
      <c r="N128" t="n">
        <v>336.711078</v>
      </c>
      <c r="O128" t="n">
        <v>317.371605</v>
      </c>
      <c r="P128" t="n">
        <v>180.762941</v>
      </c>
      <c r="Q128" t="n">
        <v>160.053977</v>
      </c>
      <c r="R128" t="n">
        <v>130.908269</v>
      </c>
      <c r="S128" t="n">
        <v>110.98561</v>
      </c>
      <c r="T128" t="n">
        <v>144.050379</v>
      </c>
      <c r="U128" t="n">
        <v>174.974907</v>
      </c>
      <c r="V128" t="n">
        <v>167.860533</v>
      </c>
      <c r="W128" t="n">
        <v>58.903097</v>
      </c>
      <c r="X128" t="n">
        <v>57.316607</v>
      </c>
      <c r="Y128" t="n">
        <v>52.087611</v>
      </c>
      <c r="Z128" t="n">
        <v>51.404276</v>
      </c>
      <c r="AA128" t="n">
        <v>115.849467</v>
      </c>
      <c r="AB128" t="n">
        <v>288.743232</v>
      </c>
      <c r="AC128" t="n">
        <v>276.506922</v>
      </c>
      <c r="AD128" t="n">
        <v>371.054393</v>
      </c>
    </row>
    <row r="129">
      <c r="B129" s="8" t="inlineStr">
        <is>
          <t>cart_pf_out</t>
        </is>
      </c>
      <c r="C129" s="9" t="inlineStr">
        <is>
          <t>Demais pessoa física</t>
        </is>
      </c>
      <c r="D129" s="2" t="inlineStr">
        <is>
          <t>IF.data/BCB carteira ativa (rel. 11/13/14; até 4T24 conglomerado financeiro C0049944, 2025+ prudencial): PF total menos as modalidades acima (sem consignação, outros, exterior) · derivada · moeda</t>
        </is>
      </c>
      <c r="E129" t="n">
        <v>1847.612365</v>
      </c>
      <c r="F129" t="n">
        <v>918.507889</v>
      </c>
      <c r="G129" t="n">
        <v>1416.814533</v>
      </c>
      <c r="H129" t="n">
        <v>1638.06198</v>
      </c>
      <c r="I129" t="n">
        <v>2311.501749</v>
      </c>
      <c r="J129" t="n">
        <v>2840.846161</v>
      </c>
      <c r="K129" t="n">
        <v>4802.080255</v>
      </c>
      <c r="L129" t="n">
        <v>7004.200057</v>
      </c>
      <c r="M129" t="n">
        <v>8277.791784999999</v>
      </c>
      <c r="N129" t="n">
        <v>7253.93142</v>
      </c>
      <c r="O129" t="n">
        <v>6394.737263</v>
      </c>
      <c r="P129" t="n">
        <v>6467.108784</v>
      </c>
      <c r="Q129" t="n">
        <v>7316.965627</v>
      </c>
      <c r="R129" t="n">
        <v>4154.366404</v>
      </c>
      <c r="S129" t="n">
        <v>4814.930349</v>
      </c>
      <c r="T129" t="n">
        <v>5014.726521</v>
      </c>
      <c r="U129" t="n">
        <v>5670.371433</v>
      </c>
      <c r="V129" t="n">
        <v>5763.86695</v>
      </c>
      <c r="W129" t="n">
        <v>5288.42483</v>
      </c>
      <c r="X129" t="n">
        <v>7126.126489</v>
      </c>
      <c r="Y129" t="n">
        <v>6837.218938</v>
      </c>
      <c r="Z129" t="n">
        <v>7561.374726</v>
      </c>
      <c r="AA129" t="n">
        <v>8810.945863999999</v>
      </c>
      <c r="AB129" t="n">
        <v>8875.611654</v>
      </c>
      <c r="AC129" t="n">
        <v>8541.687567000001</v>
      </c>
      <c r="AD129" t="n">
        <v>8372.530897000001</v>
      </c>
    </row>
    <row r="130">
      <c r="B130" s="8" t="inlineStr">
        <is>
          <t>cart_mpe</t>
        </is>
      </c>
      <c r="C130" s="9" t="inlineStr">
        <is>
          <t>Micro, pequenas e médias empresas</t>
        </is>
      </c>
      <c r="D130" s="2" t="inlineStr">
        <is>
          <t>IF.data/BCB carteira ativa (rel. 11/13/14; até 4T24 conglomerado financeiro C0049944, 2025+ prudencial) rel.14 porte micro+pequena+média · fonte · moeda</t>
        </is>
      </c>
      <c r="E130" t="n">
        <v>3178.812711</v>
      </c>
      <c r="F130" t="n">
        <v>5776.619579</v>
      </c>
      <c r="G130" t="n">
        <v>9480.750754000001</v>
      </c>
      <c r="H130" t="n">
        <v>13375.121477</v>
      </c>
      <c r="I130" t="n">
        <v>11304.688458</v>
      </c>
      <c r="J130" t="n">
        <v>19002.157511</v>
      </c>
      <c r="K130" t="n">
        <v>22354.293619</v>
      </c>
      <c r="L130" t="n">
        <v>17033.152336</v>
      </c>
      <c r="M130" t="n">
        <v>23453.063874</v>
      </c>
      <c r="N130" t="n">
        <v>21369.233215</v>
      </c>
      <c r="O130" t="n">
        <v>18908.379074</v>
      </c>
      <c r="P130" t="n">
        <v>20318.301299</v>
      </c>
      <c r="Q130" t="n">
        <v>14117.003529</v>
      </c>
      <c r="R130" t="n">
        <v>9247.979213000001</v>
      </c>
      <c r="S130" t="n">
        <v>10094.22875</v>
      </c>
      <c r="T130" t="n">
        <v>9706.908901000001</v>
      </c>
      <c r="U130" t="n">
        <v>11581.170343</v>
      </c>
      <c r="V130" t="n">
        <v>11875.279695</v>
      </c>
      <c r="W130" t="n">
        <v>8040.194236</v>
      </c>
      <c r="X130" t="n">
        <v>13986.13339</v>
      </c>
      <c r="Y130" t="n">
        <v>8534.924023</v>
      </c>
      <c r="Z130" t="n">
        <v>9897.159498999999</v>
      </c>
      <c r="AA130" t="n">
        <v>6505.751748</v>
      </c>
      <c r="AB130" t="n">
        <v>6756.673834</v>
      </c>
      <c r="AC130" t="n">
        <v>10289.357304</v>
      </c>
      <c r="AD130" t="n">
        <v>12317.98739</v>
      </c>
    </row>
    <row r="131">
      <c r="B131" s="8" t="inlineStr">
        <is>
          <t>cart_grandes</t>
        </is>
      </c>
      <c r="C131" s="9" t="inlineStr">
        <is>
          <t>Grandes empresas</t>
        </is>
      </c>
      <c r="D131" s="2" t="inlineStr">
        <is>
          <t>IF.data/BCB carteira ativa (rel. 11/13/14; até 4T24 conglomerado financeiro C0049944, 2025+ prudencial) rel.14 porte grande · fonte · moeda</t>
        </is>
      </c>
      <c r="E131" t="n">
        <v>12675.495485</v>
      </c>
      <c r="F131" t="n">
        <v>16491.340533</v>
      </c>
      <c r="G131" t="n">
        <v>18346.572857</v>
      </c>
      <c r="H131" t="n">
        <v>18730.841088</v>
      </c>
      <c r="I131" t="n">
        <v>22282.358379</v>
      </c>
      <c r="J131" t="n">
        <v>19676.197012</v>
      </c>
      <c r="K131" t="n">
        <v>19413.271316</v>
      </c>
      <c r="L131" t="n">
        <v>27462.521556</v>
      </c>
      <c r="M131" t="n">
        <v>24983.160761</v>
      </c>
      <c r="N131" t="n">
        <v>27781.649066</v>
      </c>
      <c r="O131" t="n">
        <v>28855.375348</v>
      </c>
      <c r="P131" t="n">
        <v>27626.953518</v>
      </c>
      <c r="Q131" t="n">
        <v>24545.822439</v>
      </c>
      <c r="R131" t="n">
        <v>23951.891982</v>
      </c>
      <c r="S131" t="n">
        <v>23005.228009</v>
      </c>
      <c r="T131" t="n">
        <v>21337.632154</v>
      </c>
      <c r="U131" t="n">
        <v>22338.613587</v>
      </c>
      <c r="V131" t="n">
        <v>20658.965484</v>
      </c>
      <c r="W131" t="n">
        <v>27001.30941</v>
      </c>
      <c r="X131" t="n">
        <v>28541.767458</v>
      </c>
      <c r="Y131" t="n">
        <v>29979.810356</v>
      </c>
      <c r="Z131" t="n">
        <v>24332.182018</v>
      </c>
      <c r="AA131" t="n">
        <v>32483.645969</v>
      </c>
      <c r="AB131" t="n">
        <v>34653.479862</v>
      </c>
      <c r="AC131" t="n">
        <v>34024.160649</v>
      </c>
      <c r="AD131" t="n">
        <v>29875.152798</v>
      </c>
    </row>
    <row r="132">
      <c r="B132" s="8" t="inlineStr">
        <is>
          <t>cart_pj_out</t>
        </is>
      </c>
      <c r="C132" s="9" t="inlineStr">
        <is>
          <t>Demais pessoa jurídica</t>
        </is>
      </c>
      <c r="D132" s="2" t="inlineStr">
        <is>
          <t>IF.data/BCB carteira ativa (rel. 11/13/14; até 4T24 conglomerado financeiro C0049944, 2025+ prudencial): PJ total menos porte (indisponível + exterior + não individualizado) · derivada · moeda</t>
        </is>
      </c>
      <c r="E132" t="n">
        <v>12815.922673</v>
      </c>
      <c r="F132" t="n">
        <v>15442.173825</v>
      </c>
      <c r="G132" t="n">
        <v>16857.31437</v>
      </c>
      <c r="H132" t="n">
        <v>16215.95315</v>
      </c>
      <c r="I132" t="n">
        <v>17367.86063</v>
      </c>
      <c r="J132" t="n">
        <v>18454.919056</v>
      </c>
      <c r="K132" t="n">
        <v>17797.604445</v>
      </c>
      <c r="L132" t="n">
        <v>19901.968779</v>
      </c>
      <c r="M132" t="n">
        <v>18711.81479</v>
      </c>
      <c r="N132" t="n">
        <v>21943.020342</v>
      </c>
      <c r="O132" t="n">
        <v>23744.146684</v>
      </c>
      <c r="P132" t="n">
        <v>26528.994261</v>
      </c>
      <c r="Q132" t="n">
        <v>27330.826304</v>
      </c>
      <c r="R132" t="n">
        <v>27560.724399</v>
      </c>
      <c r="S132" t="n">
        <v>31304.726272</v>
      </c>
      <c r="T132" t="n">
        <v>30648.401494</v>
      </c>
      <c r="U132" t="n">
        <v>24054.579934</v>
      </c>
      <c r="V132" t="n">
        <v>37485.053557</v>
      </c>
      <c r="W132" t="n">
        <v>38394.424272</v>
      </c>
      <c r="X132" t="n">
        <v>73211.66114700001</v>
      </c>
      <c r="Y132" t="n">
        <v>44098.769368</v>
      </c>
      <c r="Z132" t="n">
        <v>42448.646007</v>
      </c>
      <c r="AA132" t="n">
        <v>42139.448706</v>
      </c>
      <c r="AB132" t="n">
        <v>51271.462883</v>
      </c>
      <c r="AC132" t="n">
        <v>52856.423324</v>
      </c>
      <c r="AD132" t="n">
        <v>56730.846695</v>
      </c>
    </row>
    <row r="133">
      <c r="B133" s="8" t="inlineStr">
        <is>
          <t>serv_tarifas</t>
        </is>
      </c>
      <c r="C133" s="9" t="inlineStr">
        <is>
          <t>Tarifas de conta e pacotes</t>
        </is>
      </c>
      <c r="D133" s="2" t="inlineStr">
        <is>
          <t>IF.data/BCB, conglomerado prudencial C0080336, rel. 4 (DRE): Rendas de tarifas bancárias (d2 | m) · derivada (desacumula a linha 168) · moeda</t>
        </is>
      </c>
      <c r="E133">
        <f>E168</f>
        <v>12.977657</v>
      </c>
      <c r="F133">
        <f>F168-E168</f>
        <v>19.219464</v>
      </c>
      <c r="G133">
        <f>G168</f>
        <v>26.1435</v>
      </c>
      <c r="H133">
        <f>H168-G168</f>
        <v>34.602016</v>
      </c>
      <c r="I133">
        <f>I168</f>
        <v>50.483929</v>
      </c>
      <c r="J133">
        <f>J168-I168</f>
        <v>292.193311</v>
      </c>
      <c r="K133">
        <f>K168</f>
        <v>180.342762</v>
      </c>
      <c r="L133">
        <f>L168-K168</f>
        <v>188.371721</v>
      </c>
      <c r="M133">
        <f>M168</f>
        <v>179.502106</v>
      </c>
      <c r="N133">
        <f>N168-M168</f>
        <v>170.917712</v>
      </c>
      <c r="O133">
        <f>O168</f>
        <v>187.032834</v>
      </c>
      <c r="P133">
        <f>P168-O168</f>
        <v>196.986355</v>
      </c>
      <c r="Q133">
        <f>Q168</f>
        <v>206.592311</v>
      </c>
      <c r="R133">
        <f>R168-Q168</f>
        <v>218.624158</v>
      </c>
      <c r="S133">
        <f>S168</f>
        <v>246.037672</v>
      </c>
      <c r="T133">
        <f>T168-S168</f>
        <v>275.715028</v>
      </c>
      <c r="U133">
        <f>U168</f>
        <v>295.879092</v>
      </c>
      <c r="V133">
        <f>V168-U168</f>
        <v>300.867421</v>
      </c>
      <c r="W133">
        <f>W168</f>
        <v>302.334963</v>
      </c>
      <c r="X133">
        <f>X168-W168</f>
        <v>309.926587</v>
      </c>
      <c r="Y133">
        <f>Y168</f>
        <v>161.033524</v>
      </c>
      <c r="Z133">
        <f>Z168-Y168</f>
        <v>170.378593</v>
      </c>
      <c r="AA133">
        <f>AA168</f>
        <v>198.983999</v>
      </c>
      <c r="AB133">
        <f>AB168-AA168</f>
        <v>218.654936</v>
      </c>
      <c r="AC133">
        <f>AC168</f>
        <v>207.695705</v>
      </c>
      <c r="AD133">
        <f>AD168-AC168</f>
        <v>194.509997</v>
      </c>
    </row>
    <row r="134">
      <c r="B134" s="8" t="inlineStr">
        <is>
          <t>serv_cartoes</t>
        </is>
      </c>
      <c r="C134" s="9" t="inlineStr">
        <is>
          <t>Cartões</t>
        </is>
      </c>
      <c r="D134" s="2" t="inlineStr">
        <is>
          <t>[vazio] IF.data só separa tarifas x demais serviços</t>
        </is>
      </c>
    </row>
    <row r="135">
      <c r="B135" s="8" t="inlineStr">
        <is>
          <t>serv_adm_rec</t>
        </is>
      </c>
      <c r="C135" s="9" t="inlineStr">
        <is>
          <t>Administração de recursos e fundos</t>
        </is>
      </c>
      <c r="D135" s="2" t="inlineStr">
        <is>
          <t>[vazio] idem</t>
        </is>
      </c>
    </row>
    <row r="136">
      <c r="B136" s="8" t="inlineStr">
        <is>
          <t>serv_seg_corr</t>
        </is>
      </c>
      <c r="C136" s="9" t="inlineStr">
        <is>
          <t>Corretagem de seguros e previdência</t>
        </is>
      </c>
      <c r="D136" s="2" t="inlineStr">
        <is>
          <t>[vazio] idem</t>
        </is>
      </c>
    </row>
    <row r="137">
      <c r="B137" s="8" t="inlineStr">
        <is>
          <t>serv_merc_cap</t>
        </is>
      </c>
      <c r="C137" s="9" t="inlineStr">
        <is>
          <t>Mercado de capitais e banco de investimento</t>
        </is>
      </c>
      <c r="D137" s="2" t="inlineStr">
        <is>
          <t>[vazio] idem</t>
        </is>
      </c>
    </row>
    <row r="138">
      <c r="B138" s="8" t="inlineStr">
        <is>
          <t>serv_out</t>
        </is>
      </c>
      <c r="C138" s="9" t="inlineStr">
        <is>
          <t>Demais serviços</t>
        </is>
      </c>
      <c r="D138" s="2" t="inlineStr">
        <is>
          <t>IF.data/BCB, conglomerado prudencial C0080336, rel. 4 (DRE): Outras rendas de serviços (d1 | l+n) · derivada (desacumula a linha 169) · moeda</t>
        </is>
      </c>
      <c r="E138">
        <f>E169</f>
        <v>761.724186</v>
      </c>
      <c r="F138">
        <f>F169-E169</f>
        <v>709.843573</v>
      </c>
      <c r="G138">
        <f>G169</f>
        <v>946.698881</v>
      </c>
      <c r="H138">
        <f>H169-G169</f>
        <v>1216.72095</v>
      </c>
      <c r="I138">
        <f>I169</f>
        <v>1112.922468</v>
      </c>
      <c r="J138">
        <f>J169-I169</f>
        <v>1525.888622</v>
      </c>
      <c r="K138">
        <f>K169</f>
        <v>1546.773219</v>
      </c>
      <c r="L138">
        <f>L169-K169</f>
        <v>1342.876947</v>
      </c>
      <c r="M138">
        <f>M169</f>
        <v>1308.909409</v>
      </c>
      <c r="N138">
        <f>N169-M169</f>
        <v>1475.699933</v>
      </c>
      <c r="O138">
        <f>O169</f>
        <v>1633.947204</v>
      </c>
      <c r="P138">
        <f>P169-O169</f>
        <v>1720.717685</v>
      </c>
      <c r="Q138">
        <f>Q169</f>
        <v>1360.243005</v>
      </c>
      <c r="R138">
        <f>R169-Q169</f>
        <v>1444.341375</v>
      </c>
      <c r="S138">
        <f>S169</f>
        <v>1555.303541</v>
      </c>
      <c r="T138">
        <f>T169-S169</f>
        <v>1413.752754</v>
      </c>
      <c r="U138">
        <f>U169</f>
        <v>1526.962159</v>
      </c>
      <c r="V138">
        <f>V169-U169</f>
        <v>1778.352222</v>
      </c>
      <c r="W138">
        <f>W169</f>
        <v>1692.083275</v>
      </c>
      <c r="X138">
        <f>X169-W169</f>
        <v>1899.588935</v>
      </c>
      <c r="Y138">
        <f>Y169</f>
        <v>1599.356816</v>
      </c>
      <c r="Z138">
        <f>Z169-Y169</f>
        <v>1767.922697</v>
      </c>
      <c r="AA138">
        <f>AA169</f>
        <v>2025.625555</v>
      </c>
      <c r="AB138">
        <f>AB169-AA169</f>
        <v>1807.794301</v>
      </c>
      <c r="AC138">
        <f>AC169</f>
        <v>2018.888706</v>
      </c>
      <c r="AD138">
        <f>AD169-AC169</f>
        <v>2064.074752</v>
      </c>
    </row>
    <row r="139">
      <c r="B139" s="8" t="inlineStr">
        <is>
          <t>pes_proventos</t>
        </is>
      </c>
      <c r="C139" s="9" t="inlineStr">
        <is>
          <t>(Proventos e encargos)</t>
        </is>
      </c>
      <c r="D139" s="2" t="inlineStr">
        <is>
          <t>[vazio] IF.data não abre</t>
        </is>
      </c>
    </row>
    <row r="140">
      <c r="B140" s="8" t="inlineStr">
        <is>
          <t>pes_benef</t>
        </is>
      </c>
      <c r="C140" s="9" t="inlineStr">
        <is>
          <t>(Benefícios)</t>
        </is>
      </c>
      <c r="D140" s="2" t="inlineStr">
        <is>
          <t>[vazio] idem</t>
        </is>
      </c>
    </row>
    <row r="141">
      <c r="B141" s="8" t="inlineStr">
        <is>
          <t>pes_plr</t>
        </is>
      </c>
      <c r="C141" s="9" t="inlineStr">
        <is>
          <t>(Participação nos lucros)</t>
        </is>
      </c>
      <c r="D141" s="2" t="inlineStr">
        <is>
          <t>IF.data/BCB, conglomerado prudencial C0080336, rel. 4 (DRE): Participação nos lucros (i | y) · derivada (desacumula a linha 170) · moeda</t>
        </is>
      </c>
      <c r="E141">
        <f>E170</f>
        <v>-516.708568</v>
      </c>
      <c r="F141">
        <f>F170-E170</f>
        <v>-413.690482</v>
      </c>
      <c r="G141">
        <f>G170</f>
        <v>-434.660781</v>
      </c>
      <c r="H141">
        <f>H170-G170</f>
        <v>-266.235716</v>
      </c>
      <c r="I141">
        <f>I170</f>
        <v>-979.87</v>
      </c>
      <c r="J141">
        <f>J170-I170</f>
        <v>-604.972613</v>
      </c>
      <c r="K141">
        <f>K170</f>
        <v>-617.648411</v>
      </c>
      <c r="L141">
        <f>L170-K170</f>
        <v>-230.860171</v>
      </c>
      <c r="M141">
        <f>M170</f>
        <v>-475.157782</v>
      </c>
      <c r="N141">
        <f>N170-M170</f>
        <v>-504.423179</v>
      </c>
      <c r="O141">
        <f>O170</f>
        <v>-529.323316</v>
      </c>
      <c r="P141">
        <f>P170-O170</f>
        <v>-319.194516</v>
      </c>
      <c r="Q141">
        <f>Q170</f>
        <v>-461.50917</v>
      </c>
      <c r="R141">
        <f>R170-Q170</f>
        <v>-636.004445</v>
      </c>
      <c r="S141">
        <f>S170</f>
        <v>-680.253763</v>
      </c>
      <c r="T141">
        <f>T170-S170</f>
        <v>-486.128933</v>
      </c>
      <c r="U141">
        <f>U170</f>
        <v>-626.457797</v>
      </c>
      <c r="V141">
        <f>V170-U170</f>
        <v>-509.972459</v>
      </c>
      <c r="W141">
        <f>W170</f>
        <v>-627.67468</v>
      </c>
      <c r="X141">
        <f>X170-W170</f>
        <v>-631.542922</v>
      </c>
      <c r="Y141">
        <f>Y170</f>
        <v>-578.929043</v>
      </c>
      <c r="Z141">
        <f>Z170-Y170</f>
        <v>-866.537384</v>
      </c>
      <c r="AA141">
        <f>AA170</f>
        <v>-835.451791</v>
      </c>
      <c r="AB141">
        <f>AB170-AA170</f>
        <v>-884.649359</v>
      </c>
      <c r="AC141">
        <f>AC170</f>
        <v>-996.870396</v>
      </c>
      <c r="AD141">
        <f>AD170-AC170</f>
        <v>-785.706563</v>
      </c>
    </row>
    <row r="142">
      <c r="B142" s="8" t="inlineStr">
        <is>
          <t>pes_out</t>
        </is>
      </c>
      <c r="C142" s="9" t="inlineStr">
        <is>
          <t>(Demais despesas de pessoal)</t>
        </is>
      </c>
      <c r="D142" s="2" t="inlineStr">
        <is>
          <t>[vazio] idem</t>
        </is>
      </c>
    </row>
    <row r="143">
      <c r="B143" s="8" t="inlineStr">
        <is>
          <t>adm_proc</t>
        </is>
      </c>
      <c r="C143" s="9" t="inlineStr">
        <is>
          <t>(Processamento de dados e tecnologia)</t>
        </is>
      </c>
      <c r="D143" s="2" t="inlineStr">
        <is>
          <t>[vazio] IF.data não abre</t>
        </is>
      </c>
    </row>
    <row r="144">
      <c r="B144" s="8" t="inlineStr">
        <is>
          <t>adm_alug</t>
        </is>
      </c>
      <c r="C144" s="9" t="inlineStr">
        <is>
          <t>(Aluguéis e manutenção)</t>
        </is>
      </c>
      <c r="D144" s="2" t="inlineStr">
        <is>
          <t>[vazio] idem</t>
        </is>
      </c>
    </row>
    <row r="145">
      <c r="B145" s="8" t="inlineStr">
        <is>
          <t>adm_mkt</t>
        </is>
      </c>
      <c r="C145" s="9" t="inlineStr">
        <is>
          <t>(Propaganda e marketing)</t>
        </is>
      </c>
      <c r="D145" s="2" t="inlineStr">
        <is>
          <t>[vazio] idem</t>
        </is>
      </c>
    </row>
    <row r="146">
      <c r="B146" s="8" t="inlineStr">
        <is>
          <t>adm_terc</t>
        </is>
      </c>
      <c r="C146" s="9" t="inlineStr">
        <is>
          <t>(Serviços de terceiros)</t>
        </is>
      </c>
      <c r="D146" s="2" t="inlineStr">
        <is>
          <t>[vazio] idem</t>
        </is>
      </c>
    </row>
    <row r="147">
      <c r="B147" s="8" t="inlineStr">
        <is>
          <t>adm_deprec</t>
        </is>
      </c>
      <c r="C147" s="9" t="inlineStr">
        <is>
          <t>(Depreciação e amortização)</t>
        </is>
      </c>
      <c r="D147" s="2" t="inlineStr">
        <is>
          <t>[vazio] idem</t>
        </is>
      </c>
    </row>
    <row r="148">
      <c r="B148" s="8" t="inlineStr">
        <is>
          <t>adm_out</t>
        </is>
      </c>
      <c r="C148" s="9" t="inlineStr">
        <is>
          <t>(Demais despesas administrativas)</t>
        </is>
      </c>
      <c r="D148" s="2" t="inlineStr">
        <is>
          <t>[vazio] idem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DRE IF.data ACUMULADA NO SEMESTRE (como publicada pelo BCB: mar = 1T, jun = 1S, set = 3T, dez = 2S). Sem código: só memória. As linhas com código acima desacumulam por fórmula.</t>
        </is>
      </c>
    </row>
    <row r="152">
      <c r="C152" t="inlineStr">
        <is>
          <t>[acum. semestre] Rendas de operações de crédito + arrendamento (até 4T24: a1+a2 | 2025+: c+d+e, inclui outras operações com característica de crédito)</t>
        </is>
      </c>
      <c r="D152" t="inlineStr">
        <is>
          <t>IF.data/BCB, conglomerado prudencial C0080336, rel. 4 (DRE) · memoria · moeda (R$ convertido para R$ milhões)</t>
        </is>
      </c>
      <c r="E152" t="n">
        <v>1643.719197</v>
      </c>
      <c r="F152" t="n">
        <v>2861.513262</v>
      </c>
      <c r="G152" t="n">
        <v>1430.599123</v>
      </c>
      <c r="H152" t="n">
        <v>3113.268652</v>
      </c>
      <c r="I152" t="n">
        <v>1427.842052</v>
      </c>
      <c r="J152" t="n">
        <v>7767.854038</v>
      </c>
      <c r="K152" t="n">
        <v>4878.774514</v>
      </c>
      <c r="L152" t="n">
        <v>10452.388158</v>
      </c>
      <c r="M152" t="n">
        <v>6572.414365</v>
      </c>
      <c r="N152" t="n">
        <v>13136.471688</v>
      </c>
      <c r="O152" t="n">
        <v>7662.778206</v>
      </c>
      <c r="P152" t="n">
        <v>14923.119883</v>
      </c>
      <c r="Q152" t="n">
        <v>7960.624555</v>
      </c>
      <c r="R152" t="n">
        <v>18256.018478</v>
      </c>
      <c r="S152" t="n">
        <v>7630.740871</v>
      </c>
      <c r="T152" t="n">
        <v>15549.702556</v>
      </c>
      <c r="U152" t="n">
        <v>6979.77663</v>
      </c>
      <c r="V152" t="n">
        <v>11983.922357</v>
      </c>
      <c r="W152" t="n">
        <v>7643.59128</v>
      </c>
      <c r="X152" t="n">
        <v>15155.196999</v>
      </c>
      <c r="Y152" t="n">
        <v>9595.836265</v>
      </c>
      <c r="Z152" t="n">
        <v>18533.199337</v>
      </c>
      <c r="AA152" t="n">
        <v>9637.563211000001</v>
      </c>
      <c r="AB152" t="n">
        <v>18962.77441</v>
      </c>
      <c r="AC152" t="n">
        <v>9207.301834</v>
      </c>
      <c r="AD152" t="n">
        <v>19538.8636</v>
      </c>
    </row>
    <row r="153">
      <c r="C153" s="2" t="inlineStr">
        <is>
          <t>[acum. semestre] Rendas de TVM + derivativos + câmbio (até 4T24: a3+a4+a5+b4, TVM inclui aplicações interfinanceiras | 2025+: b+i+j)</t>
        </is>
      </c>
      <c r="D153" t="inlineStr">
        <is>
          <t>IF.data/BCB, conglomerado prudencial C0080336, rel. 4 (DRE) · memoria · moeda (R$ convertido para R$ milhões)</t>
        </is>
      </c>
      <c r="E153" t="n">
        <v>2170.428305</v>
      </c>
      <c r="F153" t="n">
        <v>3699.37618</v>
      </c>
      <c r="G153" t="n">
        <v>3474.579355</v>
      </c>
      <c r="H153" t="n">
        <v>4597.766077</v>
      </c>
      <c r="I153" t="n">
        <v>2821.099175</v>
      </c>
      <c r="J153" t="n">
        <v>4813.148105</v>
      </c>
      <c r="K153" t="n">
        <v>3372.007423</v>
      </c>
      <c r="L153" t="n">
        <v>8008.63352</v>
      </c>
      <c r="M153" t="n">
        <v>5416.744641</v>
      </c>
      <c r="N153" t="n">
        <v>18800.799329</v>
      </c>
      <c r="O153" t="n">
        <v>7221.392473</v>
      </c>
      <c r="P153" t="n">
        <v>12129.878305</v>
      </c>
      <c r="Q153" t="n">
        <v>7126.408638</v>
      </c>
      <c r="R153" t="n">
        <v>14359.984343</v>
      </c>
      <c r="S153" t="n">
        <v>11944.696462</v>
      </c>
      <c r="T153" t="n">
        <v>24316.111304</v>
      </c>
      <c r="U153" t="n">
        <v>7781.71788</v>
      </c>
      <c r="V153" t="n">
        <v>17838.682631</v>
      </c>
      <c r="W153" t="n">
        <v>8142.195455</v>
      </c>
      <c r="X153" t="n">
        <v>21620.661012</v>
      </c>
      <c r="Y153" t="n">
        <v>6369.952884</v>
      </c>
      <c r="Z153" t="n">
        <v>16376.294069</v>
      </c>
      <c r="AA153" t="n">
        <v>12164.973166</v>
      </c>
      <c r="AB153" t="n">
        <v>26185.107167</v>
      </c>
      <c r="AC153" t="n">
        <v>20451.61631</v>
      </c>
      <c r="AD153" t="n">
        <v>37772.871934</v>
      </c>
    </row>
    <row r="154">
      <c r="C154" t="inlineStr">
        <is>
          <t>[acum. semestre] Aplicações (até 4T24: a6 rendas de aplicações compulsórias; as interfinanceiras estão em TVM | 2025+: a rendas de aplicações interfinanceiras)</t>
        </is>
      </c>
      <c r="D154" t="inlineStr">
        <is>
          <t>IF.data/BCB, conglomerado prudencial C0080336, rel. 4 (DRE) · memoria · moeda (R$ convertido para R$ milhões)</t>
        </is>
      </c>
      <c r="E154" t="n">
        <v>11.215696</v>
      </c>
      <c r="F154" t="n">
        <v>15.535254</v>
      </c>
      <c r="G154" t="n">
        <v>14.066914</v>
      </c>
      <c r="H154" t="n">
        <v>32.682204</v>
      </c>
      <c r="I154" t="n">
        <v>25.105174</v>
      </c>
      <c r="J154" t="n">
        <v>78.704572</v>
      </c>
      <c r="K154" t="n">
        <v>107.254998</v>
      </c>
      <c r="L154" t="n">
        <v>322.050487</v>
      </c>
      <c r="M154" t="n">
        <v>293.425117</v>
      </c>
      <c r="N154" t="n">
        <v>690.060162</v>
      </c>
      <c r="O154" t="n">
        <v>453.710147</v>
      </c>
      <c r="P154" t="n">
        <v>1224.399144</v>
      </c>
      <c r="Q154" t="n">
        <v>893.5749049999999</v>
      </c>
      <c r="R154" t="n">
        <v>1516.382348</v>
      </c>
      <c r="S154" t="n">
        <v>691.343021</v>
      </c>
      <c r="T154" t="n">
        <v>1446.585758</v>
      </c>
      <c r="U154" t="n">
        <v>604.00402</v>
      </c>
      <c r="V154" t="n">
        <v>1534.416458</v>
      </c>
      <c r="W154" t="n">
        <v>1029.416197</v>
      </c>
      <c r="X154" t="n">
        <v>2162.972008</v>
      </c>
      <c r="Y154" t="n">
        <v>967.352303</v>
      </c>
      <c r="Z154" t="n">
        <v>2382.344994</v>
      </c>
      <c r="AA154" t="n">
        <v>1273.170542</v>
      </c>
      <c r="AB154" t="n">
        <v>3399.309539</v>
      </c>
      <c r="AC154" t="n">
        <v>2076.269046</v>
      </c>
      <c r="AD154" t="n">
        <v>4647.17808</v>
      </c>
    </row>
    <row r="155">
      <c r="C155" t="inlineStr">
        <is>
          <t>[acum. semestre] Despesas de captação (até 4T24: b1 | 2025+: g; inclui depósitos, compromissadas e emissões, não abertos)</t>
        </is>
      </c>
      <c r="D155" t="inlineStr">
        <is>
          <t>IF.data/BCB, conglomerado prudencial C0080336, rel. 4 (DRE) · memoria · moeda (R$ convertido para R$ milhões)</t>
        </is>
      </c>
      <c r="E155" t="n">
        <v>-956.808674</v>
      </c>
      <c r="F155" t="n">
        <v>-2190.553305</v>
      </c>
      <c r="G155" t="n">
        <v>-1576.022503</v>
      </c>
      <c r="H155" t="n">
        <v>-2981.612359</v>
      </c>
      <c r="I155" t="n">
        <v>-1066.874847</v>
      </c>
      <c r="J155" t="n">
        <v>-3848.657669</v>
      </c>
      <c r="K155" t="n">
        <v>-3537.402932</v>
      </c>
      <c r="L155" t="n">
        <v>-8333.027998</v>
      </c>
      <c r="M155" t="n">
        <v>-6313.821225</v>
      </c>
      <c r="N155" t="n">
        <v>-18265.247835</v>
      </c>
      <c r="O155" t="n">
        <v>-8445.370332</v>
      </c>
      <c r="P155" t="n">
        <v>-17199.867777</v>
      </c>
      <c r="Q155" t="n">
        <v>-7101.747082</v>
      </c>
      <c r="R155" t="n">
        <v>-18790.40269</v>
      </c>
      <c r="S155" t="n">
        <v>-9230.622337000001</v>
      </c>
      <c r="T155" t="n">
        <v>-19550.518123</v>
      </c>
      <c r="U155" t="n">
        <v>-8453.356021</v>
      </c>
      <c r="V155" t="n">
        <v>-16619.413516</v>
      </c>
      <c r="W155" t="n">
        <v>-10249.492922</v>
      </c>
      <c r="X155" t="n">
        <v>-18517.983526</v>
      </c>
      <c r="Y155" t="n">
        <v>-11438.304889</v>
      </c>
      <c r="Z155" t="n">
        <v>-24236.678523</v>
      </c>
      <c r="AA155" t="n">
        <v>-12991.374564</v>
      </c>
      <c r="AB155" t="n">
        <v>-28740.05207</v>
      </c>
      <c r="AC155" t="n">
        <v>-20009.871761</v>
      </c>
      <c r="AD155" t="n">
        <v>-38456.81814</v>
      </c>
    </row>
    <row r="156">
      <c r="C156" t="inlineStr">
        <is>
          <t>[acum. semestre] Despesas de instrumentos de dívida elegíveis a capital (só 2025+: h)</t>
        </is>
      </c>
      <c r="D156" t="inlineStr">
        <is>
          <t>IF.data/BCB, conglomerado prudencial C0080336, rel. 4 (DRE) · memoria · moeda (R$ convertido para R$ milhões)</t>
        </is>
      </c>
      <c r="Y156" t="n">
        <v>-635.791382</v>
      </c>
      <c r="Z156" t="n">
        <v>-1300.846303</v>
      </c>
      <c r="AA156" t="n">
        <v>-751.587553</v>
      </c>
      <c r="AB156" t="n">
        <v>-1913.695091</v>
      </c>
      <c r="AC156" t="n">
        <v>-1257.698261</v>
      </c>
      <c r="AD156" t="n">
        <v>-1924.39241</v>
      </c>
    </row>
    <row r="157">
      <c r="C157" t="inlineStr">
        <is>
          <t>[acum. semestre] Despesas de empréstimos e repasses + arrendamento (até 4T24: b2+b3 | 2025+: dentro de captações)</t>
        </is>
      </c>
      <c r="D157" t="inlineStr">
        <is>
          <t>IF.data/BCB, conglomerado prudencial C0080336, rel. 4 (DRE) · memoria · moeda (R$ convertido para R$ milhões)</t>
        </is>
      </c>
      <c r="E157" t="n">
        <v>-3176.62525</v>
      </c>
      <c r="F157" t="n">
        <v>-4500.992628</v>
      </c>
      <c r="G157" t="n">
        <v>-1712.415092</v>
      </c>
      <c r="H157" t="n">
        <v>-1564.905026</v>
      </c>
      <c r="I157" t="n">
        <v>-5308.086275</v>
      </c>
      <c r="J157" t="n">
        <v>-2842.872314</v>
      </c>
      <c r="K157" t="n">
        <v>-2241.373797</v>
      </c>
      <c r="L157" t="n">
        <v>-5027.306267</v>
      </c>
      <c r="M157" t="n">
        <v>-3182.340904</v>
      </c>
      <c r="N157" t="n">
        <v>-10183.894344</v>
      </c>
      <c r="O157" t="n">
        <v>-3338.052831</v>
      </c>
      <c r="P157" t="n">
        <v>-6269.689933</v>
      </c>
      <c r="Q157" t="n">
        <v>-2987.604827</v>
      </c>
      <c r="R157" t="n">
        <v>-5176.922252</v>
      </c>
      <c r="S157" t="n">
        <v>-3471.924484</v>
      </c>
      <c r="T157" t="n">
        <v>-7179.723014</v>
      </c>
      <c r="U157" t="n">
        <v>-2810.762227</v>
      </c>
      <c r="V157" t="n">
        <v>-6613.49811</v>
      </c>
      <c r="W157" t="n">
        <v>-2137.526311</v>
      </c>
      <c r="X157" t="n">
        <v>-8949.383002</v>
      </c>
    </row>
    <row r="158">
      <c r="C158" t="inlineStr">
        <is>
          <t>[acum. semestre] Provisão/perda esperada de crédito (até 4T24: b5 | 2025+: f)</t>
        </is>
      </c>
      <c r="D158" t="inlineStr">
        <is>
          <t>IF.data/BCB, conglomerado prudencial C0080336, rel. 4 (DRE) · memoria · moeda (R$ convertido para R$ milhões)</t>
        </is>
      </c>
      <c r="E158" t="n">
        <v>-133.685954</v>
      </c>
      <c r="F158" t="n">
        <v>-197.897172</v>
      </c>
      <c r="G158" t="n">
        <v>-13.072771</v>
      </c>
      <c r="H158" t="n">
        <v>-84.53587899999999</v>
      </c>
      <c r="I158" t="n">
        <v>630.721357</v>
      </c>
      <c r="J158" t="n">
        <v>-194.810478</v>
      </c>
      <c r="K158" t="n">
        <v>-868.240459</v>
      </c>
      <c r="L158" t="n">
        <v>-1564.497346</v>
      </c>
      <c r="M158" t="n">
        <v>-817.605987</v>
      </c>
      <c r="N158" t="n">
        <v>-1353.709199</v>
      </c>
      <c r="O158" t="n">
        <v>-588.230618</v>
      </c>
      <c r="P158" t="n">
        <v>-2532.165286</v>
      </c>
      <c r="Q158" t="n">
        <v>-694.453168</v>
      </c>
      <c r="R158" t="n">
        <v>-1192.020551</v>
      </c>
      <c r="S158" t="n">
        <v>-583.392927</v>
      </c>
      <c r="T158" t="n">
        <v>-1065.86483</v>
      </c>
      <c r="U158" t="n">
        <v>-487.841968</v>
      </c>
      <c r="V158" t="n">
        <v>-1214.52318</v>
      </c>
      <c r="W158" t="n">
        <v>208.397934</v>
      </c>
      <c r="X158" t="n">
        <v>-595.90633</v>
      </c>
      <c r="Y158" t="n">
        <v>-1361.289903</v>
      </c>
      <c r="Z158" t="n">
        <v>-3240.626252</v>
      </c>
      <c r="AA158" t="n">
        <v>-1927.119569</v>
      </c>
      <c r="AB158" t="n">
        <v>-1994.666583</v>
      </c>
      <c r="AC158" t="n">
        <v>-1804.278565</v>
      </c>
      <c r="AD158" t="n">
        <v>-2985.555066</v>
      </c>
    </row>
    <row r="159">
      <c r="C159" t="inlineStr">
        <is>
          <t>[acum. semestre] Rendas de prestação de serviços + tarifas (até 4T24: d1+d2 | 2025+: l+m+n, inclui transações de pagamento)</t>
        </is>
      </c>
      <c r="D159" t="inlineStr">
        <is>
          <t>IF.data/BCB, conglomerado prudencial C0080336, rel. 4 (DRE) · memoria · moeda (R$ convertido para R$ milhões)</t>
        </is>
      </c>
      <c r="E159" t="n">
        <v>774.7018430000001</v>
      </c>
      <c r="F159" t="n">
        <v>1503.76488</v>
      </c>
      <c r="G159" t="n">
        <v>972.842382</v>
      </c>
      <c r="H159" t="n">
        <v>2224.165347</v>
      </c>
      <c r="I159" t="n">
        <v>1163.406397</v>
      </c>
      <c r="J159" t="n">
        <v>2981.48833</v>
      </c>
      <c r="K159" t="n">
        <v>1727.115981</v>
      </c>
      <c r="L159" t="n">
        <v>3258.364649</v>
      </c>
      <c r="M159" t="n">
        <v>1488.411515</v>
      </c>
      <c r="N159" t="n">
        <v>3135.02916</v>
      </c>
      <c r="O159" t="n">
        <v>1820.980038</v>
      </c>
      <c r="P159" t="n">
        <v>3738.684077</v>
      </c>
      <c r="Q159" t="n">
        <v>1566.835316</v>
      </c>
      <c r="R159" t="n">
        <v>3229.800849</v>
      </c>
      <c r="S159" t="n">
        <v>1801.341213</v>
      </c>
      <c r="T159" t="n">
        <v>3490.808994</v>
      </c>
      <c r="U159" t="n">
        <v>1822.841251</v>
      </c>
      <c r="V159" t="n">
        <v>3902.060894</v>
      </c>
      <c r="W159" t="n">
        <v>1994.418238</v>
      </c>
      <c r="X159" t="n">
        <v>4203.93376</v>
      </c>
      <c r="Y159" t="n">
        <v>1760.39034</v>
      </c>
      <c r="Z159" t="n">
        <v>3698.691631</v>
      </c>
      <c r="AA159" t="n">
        <v>2224.609555</v>
      </c>
      <c r="AB159" t="n">
        <v>4251.058791</v>
      </c>
      <c r="AC159" t="n">
        <v>2226.584411</v>
      </c>
      <c r="AD159" t="n">
        <v>4485.169159</v>
      </c>
    </row>
    <row r="160">
      <c r="C160" t="inlineStr">
        <is>
          <t>[acum. semestre] Despesas de pessoal + participação nos lucros (até 4T24: d3+i | 2025+: o+y). PLR incluída aqui para o lucro fechar; também em pes_plr</t>
        </is>
      </c>
      <c r="D160" t="inlineStr">
        <is>
          <t>IF.data/BCB, conglomerado prudencial C0080336, rel. 4 (DRE) · memoria · moeda (R$ convertido para R$ milhões)</t>
        </is>
      </c>
      <c r="E160" t="n">
        <v>-720.3553020000001</v>
      </c>
      <c r="F160" t="n">
        <v>-1356.059229</v>
      </c>
      <c r="G160" t="n">
        <v>-652.28305</v>
      </c>
      <c r="H160" t="n">
        <v>-1198.756342</v>
      </c>
      <c r="I160" t="n">
        <v>-1256.734101</v>
      </c>
      <c r="J160" t="n">
        <v>-2533.184596</v>
      </c>
      <c r="K160" t="n">
        <v>-1135.747431</v>
      </c>
      <c r="L160" t="n">
        <v>-2016.504051</v>
      </c>
      <c r="M160" t="n">
        <v>-1082.563152</v>
      </c>
      <c r="N160" t="n">
        <v>-2189.257985</v>
      </c>
      <c r="O160" t="n">
        <v>-1169.802078</v>
      </c>
      <c r="P160" t="n">
        <v>-2214.141176</v>
      </c>
      <c r="Q160" t="n">
        <v>-1171.138576</v>
      </c>
      <c r="R160" t="n">
        <v>-2504.65512</v>
      </c>
      <c r="S160" t="n">
        <v>-1406.325073</v>
      </c>
      <c r="T160" t="n">
        <v>-2613.96313</v>
      </c>
      <c r="U160" t="n">
        <v>-1447.814161</v>
      </c>
      <c r="V160" t="n">
        <v>-2738.002473</v>
      </c>
      <c r="W160" t="n">
        <v>-1426.283893</v>
      </c>
      <c r="X160" t="n">
        <v>-2908.213952</v>
      </c>
      <c r="Y160" t="n">
        <v>-1399.246542</v>
      </c>
      <c r="Z160" t="n">
        <v>-4247.330232</v>
      </c>
      <c r="AA160" t="n">
        <v>-1656.553701</v>
      </c>
      <c r="AB160" t="n">
        <v>-3375.355153</v>
      </c>
      <c r="AC160" t="n">
        <v>-3646.088282</v>
      </c>
      <c r="AD160" t="n">
        <v>-5328.162552</v>
      </c>
    </row>
    <row r="161">
      <c r="C161" t="inlineStr">
        <is>
          <t>[acum. semestre] Despesas administrativas (até 4T24: d4 | 2025+: p)</t>
        </is>
      </c>
      <c r="D161" t="inlineStr">
        <is>
          <t>IF.data/BCB, conglomerado prudencial C0080336, rel. 4 (DRE) · memoria · moeda (R$ convertido para R$ milhões)</t>
        </is>
      </c>
      <c r="E161" t="n">
        <v>-400.569445</v>
      </c>
      <c r="F161" t="n">
        <v>-873.8587680000001</v>
      </c>
      <c r="G161" t="n">
        <v>-422.666107</v>
      </c>
      <c r="H161" t="n">
        <v>-993.292831</v>
      </c>
      <c r="I161" t="n">
        <v>-507.502903</v>
      </c>
      <c r="J161" t="n">
        <v>-3155.7969</v>
      </c>
      <c r="K161" t="n">
        <v>-1833.336728</v>
      </c>
      <c r="L161" t="n">
        <v>-3868.444563</v>
      </c>
      <c r="M161" t="n">
        <v>-2617.801421</v>
      </c>
      <c r="N161" t="n">
        <v>-5007.40516</v>
      </c>
      <c r="O161" t="n">
        <v>-2271.979576</v>
      </c>
      <c r="P161" t="n">
        <v>-4642.192014</v>
      </c>
      <c r="Q161" t="n">
        <v>-2384.91654</v>
      </c>
      <c r="R161" t="n">
        <v>-4587.758165</v>
      </c>
      <c r="S161" t="n">
        <v>-2285.476792</v>
      </c>
      <c r="T161" t="n">
        <v>-4740.69517</v>
      </c>
      <c r="U161" t="n">
        <v>-2681.519639</v>
      </c>
      <c r="V161" t="n">
        <v>-5400.839319</v>
      </c>
      <c r="W161" t="n">
        <v>-2722.877244</v>
      </c>
      <c r="X161" t="n">
        <v>-5691.804726</v>
      </c>
      <c r="Y161" t="n">
        <v>-2260.824475</v>
      </c>
      <c r="Z161" t="n">
        <v>-5354.776981</v>
      </c>
      <c r="AA161" t="n">
        <v>-2510.292596</v>
      </c>
      <c r="AB161" t="n">
        <v>-5164.050758</v>
      </c>
      <c r="AC161" t="n">
        <v>-2776.18402</v>
      </c>
      <c r="AD161" t="n">
        <v>-6964.567188</v>
      </c>
    </row>
    <row r="162">
      <c r="C162" t="inlineStr">
        <is>
          <t>[acum. semestre] Despesas tributárias (d5 | r)</t>
        </is>
      </c>
      <c r="D162" t="inlineStr">
        <is>
          <t>IF.data/BCB, conglomerado prudencial C0080336, rel. 4 (DRE) · memoria · moeda (R$ convertido para R$ milhões)</t>
        </is>
      </c>
      <c r="E162" t="n">
        <v>-184.377976</v>
      </c>
      <c r="F162" t="n">
        <v>-314.147</v>
      </c>
      <c r="G162" t="n">
        <v>-129.939053</v>
      </c>
      <c r="H162" t="n">
        <v>-269.663979</v>
      </c>
      <c r="I162" t="n">
        <v>-118.620039</v>
      </c>
      <c r="J162" t="n">
        <v>-378.14295</v>
      </c>
      <c r="K162" t="n">
        <v>-240.182617</v>
      </c>
      <c r="L162" t="n">
        <v>-515.8932610000001</v>
      </c>
      <c r="M162" t="n">
        <v>-200.000494</v>
      </c>
      <c r="N162" t="n">
        <v>-482.870142</v>
      </c>
      <c r="O162" t="n">
        <v>-334.50331</v>
      </c>
      <c r="P162" t="n">
        <v>-677.625041</v>
      </c>
      <c r="Q162" t="n">
        <v>-289.620359</v>
      </c>
      <c r="R162" t="n">
        <v>-585.2404790000001</v>
      </c>
      <c r="S162" t="n">
        <v>-416.024731</v>
      </c>
      <c r="T162" t="n">
        <v>-778.3962330000001</v>
      </c>
      <c r="U162" t="n">
        <v>-427.009139</v>
      </c>
      <c r="V162" t="n">
        <v>-714.450484</v>
      </c>
      <c r="W162" t="n">
        <v>-406.550595</v>
      </c>
      <c r="X162" t="n">
        <v>-931.110281</v>
      </c>
      <c r="Y162" t="n">
        <v>-387.212524</v>
      </c>
      <c r="Z162" t="n">
        <v>-853.633206</v>
      </c>
      <c r="AA162" t="n">
        <v>-668.498183</v>
      </c>
      <c r="AB162" t="n">
        <v>-1116.114242</v>
      </c>
      <c r="AC162" t="n">
        <v>-548.617112</v>
      </c>
      <c r="AD162" t="n">
        <v>-1067.568779</v>
      </c>
    </row>
    <row r="163">
      <c r="C163" t="inlineStr">
        <is>
          <t>[acum. semestre] Resultado de participações (d6 | s)</t>
        </is>
      </c>
      <c r="D163" t="inlineStr">
        <is>
          <t>IF.data/BCB, conglomerado prudencial C0080336, rel. 4 (DRE) · memoria · moeda (R$ convertido para R$ milhões)</t>
        </is>
      </c>
      <c r="E163" t="n">
        <v>487.39456</v>
      </c>
      <c r="F163" t="n">
        <v>1382.497309</v>
      </c>
      <c r="G163" t="n">
        <v>125.403722</v>
      </c>
      <c r="H163" t="n">
        <v>554.250949</v>
      </c>
      <c r="I163" t="n">
        <v>457.095582</v>
      </c>
      <c r="J163" t="n">
        <v>618.712409</v>
      </c>
      <c r="K163" t="n">
        <v>179.143405</v>
      </c>
      <c r="L163" t="n">
        <v>644.335733</v>
      </c>
      <c r="M163" t="n">
        <v>163.219082</v>
      </c>
      <c r="N163" t="n">
        <v>370.099155</v>
      </c>
      <c r="O163" t="n">
        <v>159.589254</v>
      </c>
      <c r="P163" t="n">
        <v>879.283877</v>
      </c>
      <c r="Q163" t="n">
        <v>636.4</v>
      </c>
      <c r="R163" t="n">
        <v>1514.315808</v>
      </c>
      <c r="S163" t="n">
        <v>1353.423759</v>
      </c>
      <c r="T163" t="n">
        <v>1777.871895</v>
      </c>
      <c r="U163" t="n">
        <v>1130.428498</v>
      </c>
      <c r="V163" t="n">
        <v>2008.045334</v>
      </c>
      <c r="W163" t="n">
        <v>1198.443845</v>
      </c>
      <c r="X163" t="n">
        <v>2110.991167</v>
      </c>
      <c r="Y163" t="n">
        <v>314.979071</v>
      </c>
      <c r="Z163" t="n">
        <v>1070.301092</v>
      </c>
      <c r="AA163" t="n">
        <v>-65.913095</v>
      </c>
      <c r="AB163" t="n">
        <v>619.0116379999999</v>
      </c>
      <c r="AC163" t="n">
        <v>866.586983</v>
      </c>
      <c r="AD163" t="n">
        <v>1847.35429</v>
      </c>
    </row>
    <row r="164">
      <c r="C164" t="inlineStr">
        <is>
          <t>[acum. semestre] Outras receitas operacionais (d7 | t)</t>
        </is>
      </c>
      <c r="D164" t="inlineStr">
        <is>
          <t>IF.data/BCB, conglomerado prudencial C0080336, rel. 4 (DRE) · memoria · moeda (R$ convertido para R$ milhões)</t>
        </is>
      </c>
      <c r="E164" t="n">
        <v>1069.945301</v>
      </c>
      <c r="F164" t="n">
        <v>1525.371466</v>
      </c>
      <c r="G164" t="n">
        <v>1152.658393</v>
      </c>
      <c r="H164" t="n">
        <v>1195.587007</v>
      </c>
      <c r="I164" t="n">
        <v>4270.790907</v>
      </c>
      <c r="J164" t="n">
        <v>2562.793557</v>
      </c>
      <c r="K164" t="n">
        <v>980.4361740000001</v>
      </c>
      <c r="L164" t="n">
        <v>2848.590053</v>
      </c>
      <c r="M164" t="n">
        <v>11892.384856</v>
      </c>
      <c r="N164" t="n">
        <v>26297.485187</v>
      </c>
      <c r="O164" t="n">
        <v>11872.503763</v>
      </c>
      <c r="P164" t="n">
        <v>22437.921588</v>
      </c>
      <c r="Q164" t="n">
        <v>13492.459957</v>
      </c>
      <c r="R164" t="n">
        <v>28785.343953</v>
      </c>
      <c r="S164" t="n">
        <v>4396.26786</v>
      </c>
      <c r="T164" t="n">
        <v>5047.081008</v>
      </c>
      <c r="U164" t="n">
        <v>2120.930516</v>
      </c>
      <c r="V164" t="n">
        <v>5556.830403</v>
      </c>
      <c r="W164" t="n">
        <v>2252.756652</v>
      </c>
      <c r="X164" t="n">
        <v>5325.695026</v>
      </c>
      <c r="Y164" t="n">
        <v>5621.464203</v>
      </c>
      <c r="Z164" t="n">
        <v>11897.661439</v>
      </c>
      <c r="AA164" t="n">
        <v>4326.041114</v>
      </c>
      <c r="AB164" t="n">
        <v>8815.274203000001</v>
      </c>
      <c r="AC164" t="n">
        <v>7544.767116</v>
      </c>
      <c r="AD164" t="n">
        <v>13118.321581</v>
      </c>
    </row>
    <row r="165">
      <c r="C165" t="inlineStr">
        <is>
          <t>[acum. semestre] Outras despesas operacionais (d8 | 2025+: u + q perdas esperadas de outras operações)</t>
        </is>
      </c>
      <c r="D165" t="inlineStr">
        <is>
          <t>IF.data/BCB, conglomerado prudencial C0080336, rel. 4 (DRE) · memoria · moeda (R$ convertido para R$ milhões)</t>
        </is>
      </c>
      <c r="E165" t="n">
        <v>-247.364549</v>
      </c>
      <c r="F165" t="n">
        <v>-224.027979</v>
      </c>
      <c r="G165" t="n">
        <v>-1287.926464</v>
      </c>
      <c r="H165" t="n">
        <v>-1193.600081</v>
      </c>
      <c r="I165" t="n">
        <v>-1024.278696</v>
      </c>
      <c r="J165" t="n">
        <v>-1998.153695</v>
      </c>
      <c r="K165" t="n">
        <v>-648.522306</v>
      </c>
      <c r="L165" t="n">
        <v>-1371.751744</v>
      </c>
      <c r="M165" t="n">
        <v>-9920.101747999999</v>
      </c>
      <c r="N165" t="n">
        <v>-20772.412489</v>
      </c>
      <c r="O165" t="n">
        <v>-10448.334586</v>
      </c>
      <c r="P165" t="n">
        <v>-17659.309543</v>
      </c>
      <c r="Q165" t="n">
        <v>-14470.660693</v>
      </c>
      <c r="R165" t="n">
        <v>-29509.342729</v>
      </c>
      <c r="S165" t="n">
        <v>-7443.148242</v>
      </c>
      <c r="T165" t="n">
        <v>-9903.053852999999</v>
      </c>
      <c r="U165" t="n">
        <v>-1219.469408</v>
      </c>
      <c r="V165" t="n">
        <v>-3398.541178</v>
      </c>
      <c r="W165" t="n">
        <v>-2340.806314</v>
      </c>
      <c r="X165" t="n">
        <v>-6827.716006</v>
      </c>
      <c r="Y165" t="n">
        <v>-3304.097296</v>
      </c>
      <c r="Z165" t="n">
        <v>-6800.198295</v>
      </c>
      <c r="AA165" t="n">
        <v>-3734.781387</v>
      </c>
      <c r="AB165" t="n">
        <v>-10975.58534</v>
      </c>
      <c r="AC165" t="n">
        <v>-7014.864563</v>
      </c>
      <c r="AD165" t="n">
        <v>-13549.394863</v>
      </c>
    </row>
    <row r="166">
      <c r="C166" t="inlineStr">
        <is>
          <t>[acum. semestre] Resultado não operacional (até 4T24: f | 2025+: dentro de outras receitas/despesas)</t>
        </is>
      </c>
      <c r="D166" t="inlineStr">
        <is>
          <t>IF.data/BCB, conglomerado prudencial C0080336, rel. 4 (DRE) · memoria · moeda (R$ convertido para R$ milhões)</t>
        </is>
      </c>
      <c r="E166" t="n">
        <v>-87.503271</v>
      </c>
      <c r="F166" t="n">
        <v>115.650503</v>
      </c>
      <c r="G166" t="n">
        <v>-117.606725</v>
      </c>
      <c r="H166" t="n">
        <v>-69.158354</v>
      </c>
      <c r="I166" t="n">
        <v>0.397585</v>
      </c>
      <c r="J166" t="n">
        <v>89.80073</v>
      </c>
      <c r="K166" t="n">
        <v>1411.552639</v>
      </c>
      <c r="L166" t="n">
        <v>1421.330263</v>
      </c>
      <c r="M166" t="n">
        <v>929.987044</v>
      </c>
      <c r="N166" t="n">
        <v>928.52674</v>
      </c>
      <c r="O166" t="n">
        <v>37.771878</v>
      </c>
      <c r="P166" t="n">
        <v>52.812134</v>
      </c>
      <c r="Q166" t="n">
        <v>11.966439</v>
      </c>
      <c r="R166" t="n">
        <v>63.219331</v>
      </c>
      <c r="S166" t="n">
        <v>111.381546</v>
      </c>
      <c r="T166" t="n">
        <v>19.729665</v>
      </c>
      <c r="U166" t="n">
        <v>28.342396</v>
      </c>
      <c r="V166" t="n">
        <v>7.590633</v>
      </c>
      <c r="W166" t="n">
        <v>18.146897</v>
      </c>
      <c r="X166" t="n">
        <v>614.024621</v>
      </c>
    </row>
    <row r="167">
      <c r="C167" t="inlineStr">
        <is>
          <t>[acum. semestre] IR e CSLL TOTAL (h | x; IF.data não separa corrente x diferido)</t>
        </is>
      </c>
      <c r="D167" t="inlineStr">
        <is>
          <t>IF.data/BCB, conglomerado prudencial C0080336, rel. 4 (DRE) · memoria · moeda (R$ convertido para R$ milhões)</t>
        </is>
      </c>
      <c r="E167" t="n">
        <v>517.81277</v>
      </c>
      <c r="F167" t="n">
        <v>299.104477</v>
      </c>
      <c r="G167" t="n">
        <v>-256.249298</v>
      </c>
      <c r="H167" t="n">
        <v>-1131.089601</v>
      </c>
      <c r="I167" t="n">
        <v>-337.86487</v>
      </c>
      <c r="J167" t="n">
        <v>-1105.989797</v>
      </c>
      <c r="K167" t="n">
        <v>-408.298401</v>
      </c>
      <c r="L167" t="n">
        <v>-771.006951</v>
      </c>
      <c r="M167" t="n">
        <v>-679.766934</v>
      </c>
      <c r="N167" t="n">
        <v>-1093.792079</v>
      </c>
      <c r="O167" t="n">
        <v>-451.643849</v>
      </c>
      <c r="P167" t="n">
        <v>-359.153458</v>
      </c>
      <c r="Q167" t="n">
        <v>-454.905374</v>
      </c>
      <c r="R167" t="n">
        <v>-804.2539860000001</v>
      </c>
      <c r="S167" t="n">
        <v>-469.730474</v>
      </c>
      <c r="T167" t="n">
        <v>-465.580469</v>
      </c>
      <c r="U167" t="n">
        <v>-166.597009</v>
      </c>
      <c r="V167" t="n">
        <v>-535.22311</v>
      </c>
      <c r="W167" t="n">
        <v>-135.720582</v>
      </c>
      <c r="X167" t="n">
        <v>-579.027051</v>
      </c>
      <c r="Y167" t="n">
        <v>-633.286485</v>
      </c>
      <c r="Z167" t="n">
        <v>-705.2578130000001</v>
      </c>
      <c r="AA167" t="n">
        <v>-982.860412</v>
      </c>
      <c r="AB167" t="n">
        <v>-225.111874</v>
      </c>
      <c r="AC167" t="n">
        <v>-745.127441</v>
      </c>
      <c r="AD167" t="n">
        <v>-1661.759324</v>
      </c>
    </row>
    <row r="168">
      <c r="C168" t="inlineStr">
        <is>
          <t>[acum. semestre] Rendas de tarifas bancárias (d2 | m)</t>
        </is>
      </c>
      <c r="D168" t="inlineStr">
        <is>
          <t>IF.data/BCB, conglomerado prudencial C0080336, rel. 4 (DRE) · memoria · moeda (R$ convertido para R$ milhões)</t>
        </is>
      </c>
      <c r="E168" t="n">
        <v>12.977657</v>
      </c>
      <c r="F168" t="n">
        <v>32.197121</v>
      </c>
      <c r="G168" t="n">
        <v>26.1435</v>
      </c>
      <c r="H168" t="n">
        <v>60.745516</v>
      </c>
      <c r="I168" t="n">
        <v>50.483929</v>
      </c>
      <c r="J168" t="n">
        <v>342.67724</v>
      </c>
      <c r="K168" t="n">
        <v>180.342762</v>
      </c>
      <c r="L168" t="n">
        <v>368.714483</v>
      </c>
      <c r="M168" t="n">
        <v>179.502106</v>
      </c>
      <c r="N168" t="n">
        <v>350.419818</v>
      </c>
      <c r="O168" t="n">
        <v>187.032834</v>
      </c>
      <c r="P168" t="n">
        <v>384.019189</v>
      </c>
      <c r="Q168" t="n">
        <v>206.592311</v>
      </c>
      <c r="R168" t="n">
        <v>425.216469</v>
      </c>
      <c r="S168" t="n">
        <v>246.037672</v>
      </c>
      <c r="T168" t="n">
        <v>521.7527</v>
      </c>
      <c r="U168" t="n">
        <v>295.879092</v>
      </c>
      <c r="V168" t="n">
        <v>596.746513</v>
      </c>
      <c r="W168" t="n">
        <v>302.334963</v>
      </c>
      <c r="X168" t="n">
        <v>612.2615500000001</v>
      </c>
      <c r="Y168" t="n">
        <v>161.033524</v>
      </c>
      <c r="Z168" t="n">
        <v>331.412117</v>
      </c>
      <c r="AA168" t="n">
        <v>198.983999</v>
      </c>
      <c r="AB168" t="n">
        <v>417.638935</v>
      </c>
      <c r="AC168" t="n">
        <v>207.695705</v>
      </c>
      <c r="AD168" t="n">
        <v>402.205702</v>
      </c>
    </row>
    <row r="169">
      <c r="C169" t="inlineStr">
        <is>
          <t>[acum. semestre] Outras rendas de serviços (d1 | l+n)</t>
        </is>
      </c>
      <c r="D169" t="inlineStr">
        <is>
          <t>IF.data/BCB, conglomerado prudencial C0080336, rel. 4 (DRE) · memoria · moeda (R$ convertido para R$ milhões)</t>
        </is>
      </c>
      <c r="E169" t="n">
        <v>761.724186</v>
      </c>
      <c r="F169" t="n">
        <v>1471.567759</v>
      </c>
      <c r="G169" t="n">
        <v>946.698881</v>
      </c>
      <c r="H169" t="n">
        <v>2163.419831</v>
      </c>
      <c r="I169" t="n">
        <v>1112.922468</v>
      </c>
      <c r="J169" t="n">
        <v>2638.81109</v>
      </c>
      <c r="K169" t="n">
        <v>1546.773219</v>
      </c>
      <c r="L169" t="n">
        <v>2889.650166</v>
      </c>
      <c r="M169" t="n">
        <v>1308.909409</v>
      </c>
      <c r="N169" t="n">
        <v>2784.609342</v>
      </c>
      <c r="O169" t="n">
        <v>1633.947204</v>
      </c>
      <c r="P169" t="n">
        <v>3354.664889</v>
      </c>
      <c r="Q169" t="n">
        <v>1360.243005</v>
      </c>
      <c r="R169" t="n">
        <v>2804.58438</v>
      </c>
      <c r="S169" t="n">
        <v>1555.303541</v>
      </c>
      <c r="T169" t="n">
        <v>2969.056295</v>
      </c>
      <c r="U169" t="n">
        <v>1526.962159</v>
      </c>
      <c r="V169" t="n">
        <v>3305.314381</v>
      </c>
      <c r="W169" t="n">
        <v>1692.083275</v>
      </c>
      <c r="X169" t="n">
        <v>3591.67221</v>
      </c>
      <c r="Y169" t="n">
        <v>1599.356816</v>
      </c>
      <c r="Z169" t="n">
        <v>3367.279513</v>
      </c>
      <c r="AA169" t="n">
        <v>2025.625555</v>
      </c>
      <c r="AB169" t="n">
        <v>3833.419856</v>
      </c>
      <c r="AC169" t="n">
        <v>2018.888706</v>
      </c>
      <c r="AD169" t="n">
        <v>4082.963458</v>
      </c>
    </row>
    <row r="170">
      <c r="C170" t="inlineStr">
        <is>
          <t>[acum. semestre] Participação nos lucros (i | y)</t>
        </is>
      </c>
      <c r="D170" t="inlineStr">
        <is>
          <t>IF.data/BCB, conglomerado prudencial C0080336, rel. 4 (DRE) · memoria · moeda (R$ convertido para R$ milhões)</t>
        </is>
      </c>
      <c r="E170" t="n">
        <v>-516.708568</v>
      </c>
      <c r="F170" t="n">
        <v>-930.39905</v>
      </c>
      <c r="G170" t="n">
        <v>-434.660781</v>
      </c>
      <c r="H170" t="n">
        <v>-700.896497</v>
      </c>
      <c r="I170" t="n">
        <v>-979.87</v>
      </c>
      <c r="J170" t="n">
        <v>-1584.842613</v>
      </c>
      <c r="K170" t="n">
        <v>-617.648411</v>
      </c>
      <c r="L170" t="n">
        <v>-848.508582</v>
      </c>
      <c r="M170" t="n">
        <v>-475.157782</v>
      </c>
      <c r="N170" t="n">
        <v>-979.580961</v>
      </c>
      <c r="O170" t="n">
        <v>-529.323316</v>
      </c>
      <c r="P170" t="n">
        <v>-848.517832</v>
      </c>
      <c r="Q170" t="n">
        <v>-461.50917</v>
      </c>
      <c r="R170" t="n">
        <v>-1097.513615</v>
      </c>
      <c r="S170" t="n">
        <v>-680.253763</v>
      </c>
      <c r="T170" t="n">
        <v>-1166.382696</v>
      </c>
      <c r="U170" t="n">
        <v>-626.457797</v>
      </c>
      <c r="V170" t="n">
        <v>-1136.430256</v>
      </c>
      <c r="W170" t="n">
        <v>-627.67468</v>
      </c>
      <c r="X170" t="n">
        <v>-1259.217602</v>
      </c>
      <c r="Y170" t="n">
        <v>-578.929043</v>
      </c>
      <c r="Z170" t="n">
        <v>-1445.466427</v>
      </c>
      <c r="AA170" t="n">
        <v>-835.451791</v>
      </c>
      <c r="AB170" t="n">
        <v>-1720.10115</v>
      </c>
      <c r="AC170" t="n">
        <v>-996.870396</v>
      </c>
      <c r="AD170" t="n">
        <v>-1782.576959</v>
      </c>
    </row>
    <row r="171">
      <c r="C171" t="inlineStr">
        <is>
          <t>[acum. semestre] Lucro líquido (j | z) - memória para conferência</t>
        </is>
      </c>
      <c r="D171" t="inlineStr">
        <is>
          <t>IF.data/BCB, conglomerado prudencial C0080336, rel. 4 (DRE) · memoria · moeda</t>
        </is>
      </c>
      <c r="E171" t="n">
        <v>767.92725</v>
      </c>
      <c r="F171" t="n">
        <v>1745.277251</v>
      </c>
      <c r="G171" t="n">
        <v>1001.968825</v>
      </c>
      <c r="H171" t="n">
        <v>2231.105784</v>
      </c>
      <c r="I171" t="n">
        <v>1176.496498</v>
      </c>
      <c r="J171" t="n">
        <v>2854.893342</v>
      </c>
      <c r="K171" t="n">
        <v>1743.180466</v>
      </c>
      <c r="L171" t="n">
        <v>3487.260679</v>
      </c>
      <c r="M171" t="n">
        <v>1942.584755</v>
      </c>
      <c r="N171" t="n">
        <v>4009.88219</v>
      </c>
      <c r="O171" t="n">
        <v>2180.808578</v>
      </c>
      <c r="P171" t="n">
        <v>3831.954781</v>
      </c>
      <c r="Q171" t="n">
        <v>2133.223192</v>
      </c>
      <c r="R171" t="n">
        <v>4574.469139</v>
      </c>
      <c r="S171" t="n">
        <v>2622.549673</v>
      </c>
      <c r="T171" t="n">
        <v>5350.096358</v>
      </c>
      <c r="U171" t="n">
        <v>2773.67162</v>
      </c>
      <c r="V171" t="n">
        <v>5597.05734</v>
      </c>
      <c r="W171" t="n">
        <v>3068.108638</v>
      </c>
      <c r="X171" t="n">
        <v>6192.329719</v>
      </c>
      <c r="Y171" t="n">
        <v>3209.921571</v>
      </c>
      <c r="Z171" t="n">
        <v>7219.144956</v>
      </c>
      <c r="AA171" t="n">
        <v>4337.376528</v>
      </c>
      <c r="AB171" t="n">
        <v>8727.904638</v>
      </c>
      <c r="AC171" t="n">
        <v>4570.395695</v>
      </c>
      <c r="AD171" t="n">
        <v>9471.540322000001</v>
      </c>
    </row>
    <row r="172">
      <c r="C172" t="inlineStr">
        <is>
          <t>MEMÓRIAS DO RI (sem código; não entram no modelo): visão gerencial do BTG e perímetro consolidado</t>
        </is>
      </c>
    </row>
    <row r="173">
      <c r="C173" t="inlineStr">
        <is>
          <t>Lucro líquido contábil (RI, Resumo contábil l.21) - confere com o IF.data</t>
        </is>
      </c>
      <c r="D173" t="inlineStr">
        <is>
          <t>Planilha Séries Históricas 2T26 (RI) · memoria · moeda</t>
        </is>
      </c>
      <c r="E173" t="n">
        <v>767.922946890033</v>
      </c>
      <c r="F173" t="n">
        <v>977.3542951299061</v>
      </c>
      <c r="G173" t="n">
        <v>1001.884292274948</v>
      </c>
      <c r="H173" t="n">
        <v>1229.221500693765</v>
      </c>
      <c r="I173" t="n">
        <v>1176.49762902862</v>
      </c>
      <c r="J173" t="n">
        <v>1678.396844030989</v>
      </c>
      <c r="K173" t="n">
        <v>1743.178465528878</v>
      </c>
      <c r="L173" t="n">
        <v>1744.08272527</v>
      </c>
      <c r="M173" t="n">
        <v>1942.586</v>
      </c>
      <c r="N173" t="n">
        <v>2067.298000000002</v>
      </c>
      <c r="O173" t="n">
        <v>2187.6615440724</v>
      </c>
      <c r="P173" t="n">
        <v>1644.291455927594</v>
      </c>
      <c r="Q173" t="n">
        <v>2133.223999999999</v>
      </c>
      <c r="R173" t="n">
        <v>2441.244000000001</v>
      </c>
      <c r="S173" t="n">
        <v>2622.551000000003</v>
      </c>
      <c r="T173" t="n">
        <v>2727.546999999999</v>
      </c>
      <c r="U173" t="n">
        <v>2773.874000000001</v>
      </c>
      <c r="V173" t="n">
        <v>2822.873999999997</v>
      </c>
      <c r="W173" t="n">
        <v>3068.285000000001</v>
      </c>
      <c r="X173" t="n">
        <v>3124.045000000001</v>
      </c>
      <c r="Y173" t="n">
        <v>3209.919999999999</v>
      </c>
      <c r="Z173" t="n">
        <v>4009.226000000001</v>
      </c>
      <c r="AA173" t="n">
        <v>4337.375</v>
      </c>
      <c r="AB173" t="n">
        <v>4390.529</v>
      </c>
      <c r="AC173" t="n">
        <v>4570.395999999998</v>
      </c>
      <c r="AD173" t="n">
        <v>4901.146000000002</v>
      </c>
    </row>
    <row r="174">
      <c r="C174" t="inlineStr">
        <is>
          <t>Lucro líquido ajustado (RI Highlights l.17)</t>
        </is>
      </c>
      <c r="D174" t="inlineStr">
        <is>
          <t>Planilha Séries Históricas 2T26 (RI) · memoria · moeda</t>
        </is>
      </c>
      <c r="E174" t="n">
        <v>789.3556751386145</v>
      </c>
      <c r="F174" t="n">
        <v>986.7711485929032</v>
      </c>
      <c r="G174" t="n">
        <v>1015.721048476439</v>
      </c>
      <c r="H174" t="n">
        <v>1258.070015116271</v>
      </c>
      <c r="I174" t="n">
        <v>1197.426699697557</v>
      </c>
      <c r="J174" t="n">
        <v>1718.913755721126</v>
      </c>
      <c r="K174" t="n">
        <v>1794.227490149958</v>
      </c>
      <c r="L174" t="n">
        <v>1782.471093385155</v>
      </c>
      <c r="M174" t="n">
        <v>2061.735442838989</v>
      </c>
      <c r="N174" t="n">
        <v>2175.321273927432</v>
      </c>
      <c r="O174" t="n">
        <v>2302.020709468536</v>
      </c>
      <c r="P174" t="n">
        <v>1767.385657826085</v>
      </c>
      <c r="Q174" t="n">
        <v>2262.624857902749</v>
      </c>
      <c r="R174" t="n">
        <v>2574.945170318153</v>
      </c>
      <c r="S174" t="n">
        <v>2734.278990404857</v>
      </c>
      <c r="T174" t="n">
        <v>2847.25814724058</v>
      </c>
      <c r="U174" t="n">
        <v>2889.43036698787</v>
      </c>
      <c r="V174" t="n">
        <v>2949.046672958916</v>
      </c>
      <c r="W174" t="n">
        <v>3207.320759664442</v>
      </c>
      <c r="X174" t="n">
        <v>3275.749507569692</v>
      </c>
      <c r="Y174" t="n">
        <v>3379.23598962492</v>
      </c>
      <c r="Z174" t="n">
        <v>4194.417865959836</v>
      </c>
      <c r="AA174" t="n">
        <v>4551.093697828835</v>
      </c>
      <c r="AB174" t="n">
        <v>4609.677047857428</v>
      </c>
      <c r="AC174" t="n">
        <v>4808.053138124264</v>
      </c>
      <c r="AD174" t="n">
        <v>5142.440932260794</v>
      </c>
    </row>
    <row r="175">
      <c r="C175" t="inlineStr">
        <is>
          <t>Carteira de crédito gerencial ampliada (RI Highlights l.51)</t>
        </is>
      </c>
      <c r="D175" t="inlineStr">
        <is>
          <t>Planilha Séries Históricas 2T26 (RI) · memoria · moeda</t>
        </is>
      </c>
      <c r="E175" t="n">
        <v>32920.5631147187</v>
      </c>
      <c r="F175" t="n">
        <v>41337.72460741603</v>
      </c>
      <c r="G175" t="n">
        <v>49613.49213755881</v>
      </c>
      <c r="H175" t="n">
        <v>54041.31585652696</v>
      </c>
      <c r="I175" t="n">
        <v>59270.84785300524</v>
      </c>
      <c r="J175" t="n">
        <v>62133.42340062338</v>
      </c>
      <c r="K175" t="n">
        <v>74713.36741239855</v>
      </c>
      <c r="L175" t="n">
        <v>83922.37239036485</v>
      </c>
      <c r="M175" t="n">
        <v>85221.5804909172</v>
      </c>
      <c r="N175" t="n">
        <v>90441.96813848321</v>
      </c>
      <c r="O175" t="n">
        <v>97238.93418330845</v>
      </c>
      <c r="P175" t="n">
        <v>104039.6171163567</v>
      </c>
      <c r="Q175" t="n">
        <v>104893.4381085108</v>
      </c>
      <c r="R175" t="n">
        <v>109079.3644125053</v>
      </c>
      <c r="S175" t="n">
        <v>116345.06</v>
      </c>
      <c r="T175" t="n">
        <v>125757.0534146166</v>
      </c>
      <c r="U175" t="n">
        <v>131230.2082127167</v>
      </c>
      <c r="V175" t="n">
        <v>140425.0503357116</v>
      </c>
      <c r="W175" t="n">
        <v>156108.5497881708</v>
      </c>
      <c r="X175" t="n">
        <v>162978.039366569</v>
      </c>
      <c r="Y175" t="n">
        <v>170207.505549617</v>
      </c>
      <c r="Z175" t="n">
        <v>176945.2220943244</v>
      </c>
      <c r="AA175" t="n">
        <v>178907.5196518486</v>
      </c>
      <c r="AB175" t="n">
        <v>197084.2168716817</v>
      </c>
      <c r="AC175" t="n">
        <v>274229.2164368688</v>
      </c>
      <c r="AD175" t="n">
        <v>281478.216207358</v>
      </c>
    </row>
    <row r="176">
      <c r="C176" t="inlineStr">
        <is>
          <t>AuM e AuA (R$ bilhões; RI Highlights l.39)</t>
        </is>
      </c>
      <c r="D176" t="inlineStr">
        <is>
          <t>Planilha Séries Históricas 2T26 (RI) · memoria · moeda</t>
        </is>
      </c>
      <c r="E176" t="n">
        <v>268.7719549414341</v>
      </c>
      <c r="F176" t="n">
        <v>303.9639147755182</v>
      </c>
      <c r="G176" t="n">
        <v>329.2562907563661</v>
      </c>
      <c r="H176" t="n">
        <v>377.0894306590196</v>
      </c>
      <c r="I176" t="n">
        <v>449.8837331759927</v>
      </c>
      <c r="J176" t="n">
        <v>501.4065518769032</v>
      </c>
      <c r="K176" t="n">
        <v>541.9191831556541</v>
      </c>
      <c r="L176" t="n">
        <v>552.6711610816668</v>
      </c>
      <c r="M176" t="n">
        <v>585.7098033086273</v>
      </c>
      <c r="N176" t="n">
        <v>605.0830934481033</v>
      </c>
      <c r="O176" t="n">
        <v>665.489169815405</v>
      </c>
      <c r="P176" t="n">
        <v>707.2896854306308</v>
      </c>
      <c r="Q176" t="n">
        <v>716.8428914098963</v>
      </c>
      <c r="R176" t="n">
        <v>767.8178925674706</v>
      </c>
      <c r="S176" t="n">
        <v>807.5266931357323</v>
      </c>
      <c r="T176" t="n">
        <v>855.7652612288435</v>
      </c>
      <c r="U176" t="n">
        <v>879.6114742290697</v>
      </c>
      <c r="V176" t="n">
        <v>919.9258331307501</v>
      </c>
      <c r="W176" t="n">
        <v>969.8815872896544</v>
      </c>
      <c r="X176" t="n">
        <v>991.75853195402</v>
      </c>
      <c r="Y176" t="n">
        <v>1026.233335698836</v>
      </c>
      <c r="Z176" t="n">
        <v>1090.432248464092</v>
      </c>
      <c r="AA176" t="n">
        <v>1151.820712533693</v>
      </c>
      <c r="AB176" t="n">
        <v>1248.019349595862</v>
      </c>
      <c r="AC176" t="n">
        <v>1314.76226395059</v>
      </c>
      <c r="AD176" t="n">
        <v>1361.247407153177</v>
      </c>
    </row>
    <row r="177">
      <c r="C177" t="inlineStr">
        <is>
          <t>WuM (R$ bilhões; RI Highlights l.40)</t>
        </is>
      </c>
      <c r="D177" t="inlineStr">
        <is>
          <t>Planilha Séries Históricas 2T26 (RI) · memoria · moeda</t>
        </is>
      </c>
      <c r="E177" t="n">
        <v>160.6478880010291</v>
      </c>
      <c r="F177" t="n">
        <v>193.3894644619978</v>
      </c>
      <c r="G177" t="n">
        <v>221.5313998007236</v>
      </c>
      <c r="H177" t="n">
        <v>258.3543658109313</v>
      </c>
      <c r="I177" t="n">
        <v>317.3748598279069</v>
      </c>
      <c r="J177" t="n">
        <v>378.899491690813</v>
      </c>
      <c r="K177" t="n">
        <v>399.9634818245439</v>
      </c>
      <c r="L177" t="n">
        <v>427.783120440117</v>
      </c>
      <c r="M177" t="n">
        <v>458.0616771340777</v>
      </c>
      <c r="N177" t="n">
        <v>462.541512406262</v>
      </c>
      <c r="O177" t="n">
        <v>508.6328613938935</v>
      </c>
      <c r="P177" t="n">
        <v>546.475037395334</v>
      </c>
      <c r="Q177" t="n">
        <v>568.2764256534647</v>
      </c>
      <c r="R177" t="n">
        <v>630.2394383816923</v>
      </c>
      <c r="S177" t="n">
        <v>665.8497850641284</v>
      </c>
      <c r="T177" t="n">
        <v>713.1907364957393</v>
      </c>
      <c r="U177" t="n">
        <v>756.3536573919598</v>
      </c>
      <c r="V177" t="n">
        <v>799.0161033277049</v>
      </c>
      <c r="W177" t="n">
        <v>857.4384833467249</v>
      </c>
      <c r="X177" t="n">
        <v>900.9981404516112</v>
      </c>
      <c r="Y177" t="n">
        <v>999.5614614838089</v>
      </c>
      <c r="Z177" t="n">
        <v>1056.109456069044</v>
      </c>
      <c r="AA177" t="n">
        <v>1135.751689971266</v>
      </c>
      <c r="AB177" t="n">
        <v>1233.790731438173</v>
      </c>
      <c r="AC177" t="n">
        <v>1279.498830203199</v>
      </c>
      <c r="AD177" t="n">
        <v>1314.073582120186</v>
      </c>
    </row>
    <row r="178">
      <c r="C178" t="inlineStr">
        <is>
          <t>Receita gerencial - Investment Banking (RI Income Statement l.24)</t>
        </is>
      </c>
      <c r="D178" t="inlineStr">
        <is>
          <t>Planilha Séries Históricas 2T26 (RI) · memoria · moeda</t>
        </is>
      </c>
      <c r="E178" t="n">
        <v>188.5676998333263</v>
      </c>
      <c r="F178" t="n">
        <v>221.6688146405301</v>
      </c>
      <c r="G178" t="n">
        <v>402.1129772415454</v>
      </c>
      <c r="H178" t="n">
        <v>514.6855531809506</v>
      </c>
      <c r="I178" t="n">
        <v>483.5969196207888</v>
      </c>
      <c r="J178" t="n">
        <v>685.1988537242494</v>
      </c>
      <c r="K178" t="n">
        <v>726.5560685877124</v>
      </c>
      <c r="L178" t="n">
        <v>414.5913971181194</v>
      </c>
      <c r="M178" t="n">
        <v>350.8895490211779</v>
      </c>
      <c r="N178" t="n">
        <v>485.3201505012211</v>
      </c>
      <c r="O178" t="n">
        <v>524.8009151237172</v>
      </c>
      <c r="P178" t="n">
        <v>484.7030077299297</v>
      </c>
      <c r="Q178" t="n">
        <v>260.1796720276004</v>
      </c>
      <c r="R178" t="n">
        <v>305.6122451081753</v>
      </c>
      <c r="S178" t="n">
        <v>590.070181497069</v>
      </c>
      <c r="T178" t="n">
        <v>463.7813965368613</v>
      </c>
      <c r="U178" t="n">
        <v>654.0458709345046</v>
      </c>
      <c r="V178" t="n">
        <v>557.6624827249329</v>
      </c>
      <c r="W178" t="n">
        <v>379.9713441243879</v>
      </c>
      <c r="X178" t="n">
        <v>509.9124512355049</v>
      </c>
      <c r="Y178" t="n">
        <v>380.4154386229374</v>
      </c>
      <c r="Z178" t="n">
        <v>782.1060611948549</v>
      </c>
      <c r="AA178" t="n">
        <v>642.9693726161688</v>
      </c>
      <c r="AB178" t="n">
        <v>692.3897594827215</v>
      </c>
      <c r="AC178" t="n">
        <v>627.9327067508558</v>
      </c>
      <c r="AD178" t="n">
        <v>421.4407730856605</v>
      </c>
    </row>
    <row r="179">
      <c r="C179" t="inlineStr">
        <is>
          <t>Receita gerencial - Corporate Lending &amp; Business Banking (RI Income Statement l.25)</t>
        </is>
      </c>
      <c r="D179" t="inlineStr">
        <is>
          <t>Planilha Séries Históricas 2T26 (RI) · memoria · moeda</t>
        </is>
      </c>
      <c r="E179" t="n">
        <v>266.6099729756911</v>
      </c>
      <c r="F179" t="n">
        <v>302.7126424347998</v>
      </c>
      <c r="G179" t="n">
        <v>425.1086736935774</v>
      </c>
      <c r="H179" t="n">
        <v>596.4831692777543</v>
      </c>
      <c r="I179" t="n">
        <v>554.8362542747552</v>
      </c>
      <c r="J179" t="n">
        <v>655</v>
      </c>
      <c r="K179" t="n">
        <v>642.3447433212959</v>
      </c>
      <c r="L179" t="n">
        <v>742.7548753691957</v>
      </c>
      <c r="M179" t="n">
        <v>816.626080394085</v>
      </c>
      <c r="N179" t="n">
        <v>877.5276940475412</v>
      </c>
      <c r="O179" t="n">
        <v>936.8603388058057</v>
      </c>
      <c r="P179" t="n">
        <v>105.1426771551515</v>
      </c>
      <c r="Q179" t="n">
        <v>1191.911514790848</v>
      </c>
      <c r="R179" t="n">
        <v>1277.319554505777</v>
      </c>
      <c r="S179" t="n">
        <v>1322.022773560705</v>
      </c>
      <c r="T179" t="n">
        <v>1353.179732821731</v>
      </c>
      <c r="U179" t="n">
        <v>1436.194785606689</v>
      </c>
      <c r="V179" t="n">
        <v>1533.954557220264</v>
      </c>
      <c r="W179" t="n">
        <v>1711.54063690601</v>
      </c>
      <c r="X179" t="n">
        <v>1830.450549524734</v>
      </c>
      <c r="Y179" t="n">
        <v>1932.16916335287</v>
      </c>
      <c r="Z179" t="n">
        <v>2106.797229332851</v>
      </c>
      <c r="AA179" t="n">
        <v>2153.73279585052</v>
      </c>
      <c r="AB179" t="n">
        <v>2239.175740860972</v>
      </c>
      <c r="AC179" t="n">
        <v>2332.338983784122</v>
      </c>
      <c r="AD179" t="n">
        <v>2499.981343334311</v>
      </c>
    </row>
    <row r="180">
      <c r="C180" t="inlineStr">
        <is>
          <t>Receita gerencial - Sales &amp; Trading (RI Income Statement l.26)</t>
        </is>
      </c>
      <c r="D180" t="inlineStr">
        <is>
          <t>Planilha Séries Históricas 2T26 (RI) · memoria · moeda</t>
        </is>
      </c>
      <c r="E180" t="n">
        <v>454.9828079327246</v>
      </c>
      <c r="F180" t="n">
        <v>1017.536405693983</v>
      </c>
      <c r="G180" t="n">
        <v>893.0441698411455</v>
      </c>
      <c r="H180" t="n">
        <v>751.5985572066759</v>
      </c>
      <c r="I180" t="n">
        <v>810.8835693913229</v>
      </c>
      <c r="J180" t="n">
        <v>1254.993589394877</v>
      </c>
      <c r="K180" t="n">
        <v>1305.274491042759</v>
      </c>
      <c r="L180" t="n">
        <v>916.6660366229082</v>
      </c>
      <c r="M180" t="n">
        <v>1481.004784437604</v>
      </c>
      <c r="N180" t="n">
        <v>1309.538288464903</v>
      </c>
      <c r="O180" t="n">
        <v>1383.967154566763</v>
      </c>
      <c r="P180" t="n">
        <v>1133.714121875998</v>
      </c>
      <c r="Q180" t="n">
        <v>1485.315831491312</v>
      </c>
      <c r="R180" t="n">
        <v>1887.179301177149</v>
      </c>
      <c r="S180" t="n">
        <v>1455.600638251649</v>
      </c>
      <c r="T180" t="n">
        <v>1406.708975616456</v>
      </c>
      <c r="U180" t="n">
        <v>1371.262509019835</v>
      </c>
      <c r="V180" t="n">
        <v>1387.627649173173</v>
      </c>
      <c r="W180" t="n">
        <v>1672.303063616478</v>
      </c>
      <c r="X180" t="n">
        <v>1549.687916100031</v>
      </c>
      <c r="Y180" t="n">
        <v>1311.676693526151</v>
      </c>
      <c r="Z180" t="n">
        <v>1913.015512809172</v>
      </c>
      <c r="AA180" t="n">
        <v>1940.633147426315</v>
      </c>
      <c r="AB180" t="n">
        <v>2009.866820813926</v>
      </c>
      <c r="AC180" t="n">
        <v>1876.957726204694</v>
      </c>
      <c r="AD180" t="n">
        <v>1858.378617117136</v>
      </c>
    </row>
    <row r="181">
      <c r="C181" t="inlineStr">
        <is>
          <t>Receita gerencial - Asset Management (RI Income Statement l.27)</t>
        </is>
      </c>
      <c r="D181" t="inlineStr">
        <is>
          <t>Planilha Séries Históricas 2T26 (RI) · memoria · moeda</t>
        </is>
      </c>
      <c r="E181" t="n">
        <v>214.0137618519755</v>
      </c>
      <c r="F181" t="n">
        <v>195.2094039377488</v>
      </c>
      <c r="G181" t="n">
        <v>254.459118734732</v>
      </c>
      <c r="H181" t="n">
        <v>349.6948234975441</v>
      </c>
      <c r="I181" t="n">
        <v>264.6730422753197</v>
      </c>
      <c r="J181" t="n">
        <v>269.8657313412804</v>
      </c>
      <c r="K181" t="n">
        <v>290.7515369527745</v>
      </c>
      <c r="L181" t="n">
        <v>360.3565718851363</v>
      </c>
      <c r="M181" t="n">
        <v>313.0576215169053</v>
      </c>
      <c r="N181" t="n">
        <v>404.3755577789136</v>
      </c>
      <c r="O181" t="n">
        <v>407.4329702408119</v>
      </c>
      <c r="P181" t="n">
        <v>429.2095442695197</v>
      </c>
      <c r="Q181" t="n">
        <v>442.5640871860271</v>
      </c>
      <c r="R181" t="n">
        <v>430.7153462633408</v>
      </c>
      <c r="S181" t="n">
        <v>467.4284840790332</v>
      </c>
      <c r="T181" t="n">
        <v>508.5328092888709</v>
      </c>
      <c r="U181" t="n">
        <v>574.4478692477657</v>
      </c>
      <c r="V181" t="n">
        <v>547.8333541137044</v>
      </c>
      <c r="W181" t="n">
        <v>606.397172811702</v>
      </c>
      <c r="X181" t="n">
        <v>660.7784195841261</v>
      </c>
      <c r="Y181" t="n">
        <v>735.322355462944</v>
      </c>
      <c r="Z181" t="n">
        <v>624.066740466087</v>
      </c>
      <c r="AA181" t="n">
        <v>747.450581851287</v>
      </c>
      <c r="AB181" t="n">
        <v>859.9846383360398</v>
      </c>
      <c r="AC181" t="n">
        <v>783.3933979630638</v>
      </c>
      <c r="AD181" t="n">
        <v>793.5059201340889</v>
      </c>
    </row>
    <row r="182">
      <c r="C182" t="inlineStr">
        <is>
          <t>Receita gerencial - Wealth Management &amp; Personal Banking (RI Income Statement l.28)</t>
        </is>
      </c>
      <c r="D182" t="inlineStr">
        <is>
          <t>Planilha Séries Históricas 2T26 (RI) · memoria · moeda</t>
        </is>
      </c>
      <c r="E182" t="n">
        <v>169.8354161602865</v>
      </c>
      <c r="F182" t="n">
        <v>198.5907555470758</v>
      </c>
      <c r="G182" t="n">
        <v>233.9020649088128</v>
      </c>
      <c r="H182" t="n">
        <v>247.2224406736866</v>
      </c>
      <c r="I182" t="n">
        <v>294.7012939888329</v>
      </c>
      <c r="J182" t="n">
        <v>374.9142122547306</v>
      </c>
      <c r="K182" t="n">
        <v>409.604296337318</v>
      </c>
      <c r="L182" t="n">
        <v>447.1169025842406</v>
      </c>
      <c r="M182" t="n">
        <v>570.3644185636712</v>
      </c>
      <c r="N182" t="n">
        <v>621.4524081944132</v>
      </c>
      <c r="O182" t="n">
        <v>655.3685873568147</v>
      </c>
      <c r="P182" t="n">
        <v>686.0956636610514</v>
      </c>
      <c r="Q182" t="n">
        <v>693.8457101523443</v>
      </c>
      <c r="R182" t="n">
        <v>727.1220419719905</v>
      </c>
      <c r="S182" t="n">
        <v>791.6830507036759</v>
      </c>
      <c r="T182" t="n">
        <v>861.7596541899243</v>
      </c>
      <c r="U182" t="n">
        <v>879.1419208639609</v>
      </c>
      <c r="V182" t="n">
        <v>928.121841864472</v>
      </c>
      <c r="W182" t="n">
        <v>1006.58208143165</v>
      </c>
      <c r="X182" t="n">
        <v>963.6631516668493</v>
      </c>
      <c r="Y182" t="n">
        <v>1048.16808104852</v>
      </c>
      <c r="Z182" t="n">
        <v>1238.95648943062</v>
      </c>
      <c r="AA182" t="n">
        <v>1365.76534909071</v>
      </c>
      <c r="AB182" t="n">
        <v>1369.80155878485</v>
      </c>
      <c r="AC182" t="n">
        <v>1516.127198825124</v>
      </c>
      <c r="AD182" t="n">
        <v>1447.47780160791</v>
      </c>
    </row>
    <row r="183">
      <c r="C183" t="inlineStr">
        <is>
          <t>Receita gerencial - Principal Investments (RI Income Statement l.29)</t>
        </is>
      </c>
      <c r="D183" t="inlineStr">
        <is>
          <t>Planilha Séries Históricas 2T26 (RI) · memoria · moeda</t>
        </is>
      </c>
      <c r="E183" t="n">
        <v>-17.77465740698843</v>
      </c>
      <c r="F183" t="n">
        <v>395.4631537049239</v>
      </c>
      <c r="G183" t="n">
        <v>131.0423991047451</v>
      </c>
      <c r="H183" t="n">
        <v>221.3540748525938</v>
      </c>
      <c r="I183" t="n">
        <v>238.3890350714291</v>
      </c>
      <c r="J183" t="n">
        <v>241.9839975761055</v>
      </c>
      <c r="K183" t="n">
        <v>135.8995722728694</v>
      </c>
      <c r="L183" t="n">
        <v>76.95287689665223</v>
      </c>
      <c r="M183" t="n">
        <v>218.8048923632282</v>
      </c>
      <c r="N183" t="n">
        <v>46.43062812358963</v>
      </c>
      <c r="O183" t="n">
        <v>41.44370364328793</v>
      </c>
      <c r="P183" t="n">
        <v>52.99966914023695</v>
      </c>
      <c r="Q183" t="n">
        <v>53.68876418824859</v>
      </c>
      <c r="R183" t="n">
        <v>71.85590001346527</v>
      </c>
      <c r="S183" t="n">
        <v>48.03295956230762</v>
      </c>
      <c r="T183" t="n">
        <v>117.1540728773251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C184" t="inlineStr">
        <is>
          <t>Receita gerencial - Participations (RI Income Statement l.30)</t>
        </is>
      </c>
      <c r="D184" t="inlineStr">
        <is>
          <t>Planilha Séries Históricas 2T26 (RI) · memoria · moeda</t>
        </is>
      </c>
      <c r="E184" t="n">
        <v>97.6976863754296</v>
      </c>
      <c r="F184" t="n">
        <v>71.49384992808471</v>
      </c>
      <c r="G184" t="n">
        <v>92.28889503181944</v>
      </c>
      <c r="H184" t="n">
        <v>100.6555523224938</v>
      </c>
      <c r="I184" t="n">
        <v>115.9418252762515</v>
      </c>
      <c r="J184" t="n">
        <v>158.8241609801501</v>
      </c>
      <c r="K184" t="n">
        <v>90.692353330811</v>
      </c>
      <c r="L184" t="n">
        <v>106.32187455</v>
      </c>
      <c r="M184" t="n">
        <v>122.4620898513884</v>
      </c>
      <c r="N184" t="n">
        <v>98.85538855712069</v>
      </c>
      <c r="O184" t="n">
        <v>99.68747614925789</v>
      </c>
      <c r="P184" t="n">
        <v>6.89033727612262</v>
      </c>
      <c r="Q184" t="n">
        <v>-69.95295538230255</v>
      </c>
      <c r="R184" t="n">
        <v>-54.20710953613009</v>
      </c>
      <c r="S184" t="n">
        <v>108.8969535580752</v>
      </c>
      <c r="T184" t="n">
        <v>49.51682113142971</v>
      </c>
      <c r="U184" t="n">
        <v>175.6970022460756</v>
      </c>
      <c r="V184" t="n">
        <v>224.4698522479858</v>
      </c>
      <c r="W184" t="n">
        <v>217.4305831451031</v>
      </c>
      <c r="X184" t="n">
        <v>297.6010350396196</v>
      </c>
      <c r="Y184" t="n">
        <v>289.7094091556021</v>
      </c>
      <c r="Z184" t="n">
        <v>278.64911633</v>
      </c>
      <c r="AA184" t="n">
        <v>324.79172909</v>
      </c>
      <c r="AB184" t="n">
        <v>176.92957296</v>
      </c>
      <c r="AC184" t="n">
        <v>0</v>
      </c>
      <c r="AD184" t="n">
        <v>0</v>
      </c>
    </row>
    <row r="185">
      <c r="C185" t="inlineStr">
        <is>
          <t>Receita gerencial - Consumer Finance &amp; Banking (RI Income Statement l.31)</t>
        </is>
      </c>
      <c r="D185" t="inlineStr">
        <is>
          <t>Planilha Séries Históricas 2T26 (RI) · memoria · moeda</t>
        </is>
      </c>
      <c r="AC185" t="n">
        <v>1124.98170586</v>
      </c>
      <c r="AD185" t="n">
        <v>1545.733846780001</v>
      </c>
    </row>
    <row r="186">
      <c r="C186" t="inlineStr">
        <is>
          <t>Receita gerencial - Interest and other (RI Income Statement l.32)</t>
        </is>
      </c>
      <c r="D186" t="inlineStr">
        <is>
          <t>Planilha Séries Históricas 2T26 (RI) · memoria · moeda</t>
        </is>
      </c>
      <c r="E186" t="n">
        <v>143.6947137917176</v>
      </c>
      <c r="F186" t="n">
        <v>79.80908849530587</v>
      </c>
      <c r="G186" t="n">
        <v>46.10742783640397</v>
      </c>
      <c r="H186" t="n">
        <v>43.66972608446747</v>
      </c>
      <c r="I186" t="n">
        <v>32.79508615169441</v>
      </c>
      <c r="J186" t="n">
        <v>130.1903625755034</v>
      </c>
      <c r="K186" t="n">
        <v>244.1972755819937</v>
      </c>
      <c r="L186" t="n">
        <v>423.758313945029</v>
      </c>
      <c r="M186" t="n">
        <v>478.1794545564231</v>
      </c>
      <c r="N186" t="n">
        <v>669.2946270990223</v>
      </c>
      <c r="O186" t="n">
        <v>706.8716179135785</v>
      </c>
      <c r="P186" t="n">
        <v>727.6848803672815</v>
      </c>
      <c r="Q186" t="n">
        <v>745.2908398396395</v>
      </c>
      <c r="R186" t="n">
        <v>797.1532911378849</v>
      </c>
      <c r="S186" t="n">
        <v>876.1013009013689</v>
      </c>
      <c r="T186" t="n">
        <v>892.8526003935303</v>
      </c>
      <c r="U186" t="n">
        <v>800.7082740233647</v>
      </c>
      <c r="V186" t="n">
        <v>810.0913921558179</v>
      </c>
      <c r="W186" t="n">
        <v>851.0294360407941</v>
      </c>
      <c r="X186" t="n">
        <v>915.714641454128</v>
      </c>
      <c r="Y186" t="n">
        <v>1139.75525491096</v>
      </c>
      <c r="Z186" t="n">
        <v>1350.505286520213</v>
      </c>
      <c r="AA186" t="n">
        <v>1643.06535526734</v>
      </c>
      <c r="AB186" t="n">
        <v>1741.462034278902</v>
      </c>
      <c r="AC186" t="n">
        <v>1705.965491684406</v>
      </c>
      <c r="AD186" t="n">
        <v>1804.665876195131</v>
      </c>
    </row>
    <row r="187">
      <c r="C187" t="inlineStr">
        <is>
          <t>Receita gerencial - Total revenues (RI Income Statement l.33)</t>
        </is>
      </c>
      <c r="D187" t="inlineStr">
        <is>
          <t>Planilha Séries Históricas 2T26 (RI) · memoria · moeda</t>
        </is>
      </c>
      <c r="E187" t="n">
        <v>1517.627401514163</v>
      </c>
      <c r="F187" t="n">
        <v>2482.484114382452</v>
      </c>
      <c r="G187" t="n">
        <v>2478.065726392781</v>
      </c>
      <c r="H187" t="n">
        <v>2825.363897096167</v>
      </c>
      <c r="I187" t="n">
        <v>2795.817026050394</v>
      </c>
      <c r="J187" t="n">
        <v>3770.970907846897</v>
      </c>
      <c r="K187" t="n">
        <v>3845.320337427534</v>
      </c>
      <c r="L187" t="n">
        <v>3488.518848971281</v>
      </c>
      <c r="M187" t="n">
        <v>4351.388890704483</v>
      </c>
      <c r="N187" t="n">
        <v>4512.794742766724</v>
      </c>
      <c r="O187" t="n">
        <v>4756.432763800036</v>
      </c>
      <c r="P187" t="n">
        <v>3626.439901475291</v>
      </c>
      <c r="Q187" t="n">
        <v>4802.843464293717</v>
      </c>
      <c r="R187" t="n">
        <v>5442.750570641654</v>
      </c>
      <c r="S187" t="n">
        <v>5659.836342113884</v>
      </c>
      <c r="T187" t="n">
        <v>5653.486062856128</v>
      </c>
      <c r="U187" t="n">
        <v>5891.498231942195</v>
      </c>
      <c r="V187" t="n">
        <v>5989.76112950035</v>
      </c>
      <c r="W187" t="n">
        <v>6445.254318076125</v>
      </c>
      <c r="X187" t="n">
        <v>6727.808164604992</v>
      </c>
      <c r="Y187" t="n">
        <v>6837.216396079984</v>
      </c>
      <c r="Z187" t="n">
        <v>8294.096436083797</v>
      </c>
      <c r="AA187" t="n">
        <v>8818.40833119234</v>
      </c>
      <c r="AB187" t="n">
        <v>9089.610125517413</v>
      </c>
      <c r="AC187" t="n">
        <v>9967.697211072264</v>
      </c>
      <c r="AD187" t="n">
        <v>10371.18417825424</v>
      </c>
    </row>
    <row r="188">
      <c r="C188" t="inlineStr">
        <is>
          <t>Espaço livre até a linha 190 (linhas 188 a 190) para novas linhas de origem; qualquer linha com código existente é somada pela Inputs (2).</t>
        </is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Banco BTG Pactual S.A.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BPAC11</t>
        </is>
      </c>
    </row>
    <row r="199">
      <c r="C199" s="11" t="inlineStr">
        <is>
          <t>Segmento / norma contábil</t>
        </is>
      </c>
      <c r="D199" s="12" t="inlineStr">
        <is>
          <t>Segment / accounting standard</t>
        </is>
      </c>
      <c r="E199" s="13" t="inlineStr">
        <is>
          <t>Banco de investimento / BR GAAP (COSIF). DRE: conglomerado prudencial (IF.data); balanço: consolidado (RI)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R$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R$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6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6" t="n">
        <v>43921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(R$)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(milhões)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ex-tesouraria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(R$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1</v>
      </c>
      <c r="F217" s="27">
        <f>IF(AND(F214&gt;=Inputs!$E$204,F214&lt;=Inputs!$E$203),1,0)</f>
        <v>1</v>
      </c>
      <c r="G217" s="27">
        <f>IF(AND(G214&gt;=Inputs!$E$204,G214&lt;=Inputs!$E$203),1,0)</f>
        <v>1</v>
      </c>
      <c r="H217" s="27">
        <f>IF(AND(H214&gt;=Inputs!$E$204,H214&lt;=Inputs!$E$203),1,0)</f>
        <v>1</v>
      </c>
      <c r="I217" s="27">
        <f>IF(AND(I214&gt;=Inputs!$E$204,I214&lt;=Inputs!$E$203),1,0)</f>
        <v>1</v>
      </c>
      <c r="J217" s="27">
        <f>IF(AND(J214&gt;=Inputs!$E$204,J214&lt;=Inputs!$E$203),1,0)</f>
        <v>1</v>
      </c>
      <c r="K217" s="27">
        <f>IF(AND(K214&gt;=Inputs!$E$204,K214&lt;=Inputs!$E$203),1,0)</f>
        <v>1</v>
      </c>
      <c r="L217" s="27">
        <f>IF(AND(L214&gt;=Inputs!$E$204,L214&lt;=Inputs!$E$203),1,0)</f>
        <v>1</v>
      </c>
      <c r="M217" s="27">
        <f>IF(AND(M214&gt;=Inputs!$E$204,M214&lt;=Inputs!$E$203),1,0)</f>
        <v>1</v>
      </c>
      <c r="N217" s="27">
        <f>IF(AND(N214&gt;=Inputs!$E$204,N214&lt;=Inputs!$E$203),1,0)</f>
        <v>1</v>
      </c>
      <c r="O217" s="27">
        <f>IF(AND(O214&gt;=Inputs!$E$204,O214&lt;=Inputs!$E$203),1,0)</f>
        <v>1</v>
      </c>
      <c r="P217" s="27">
        <f>IF(AND(P214&gt;=Inputs!$E$204,P214&lt;=Inputs!$E$203),1,0)</f>
        <v>1</v>
      </c>
      <c r="Q217" s="27">
        <f>IF(AND(Q214&gt;=Inputs!$E$204,Q214&lt;=Inputs!$E$203),1,0)</f>
        <v>1</v>
      </c>
      <c r="R217" s="27">
        <f>IF(AND(R214&gt;=Inputs!$E$204,R214&lt;=Inputs!$E$203),1,0)</f>
        <v>1</v>
      </c>
      <c r="S217" s="27">
        <f>IF(AND(S214&gt;=Inputs!$E$204,S214&lt;=Inputs!$E$203),1,0)</f>
        <v>1</v>
      </c>
      <c r="T217" s="27">
        <f>IF(AND(T214&gt;=Inputs!$E$204,T214&lt;=Inputs!$E$203),1,0)</f>
        <v>1</v>
      </c>
      <c r="U217" s="27">
        <f>IF(AND(U214&gt;=Inputs!$E$204,U214&lt;=Inputs!$E$203),1,0)</f>
        <v>1</v>
      </c>
      <c r="V217" s="27">
        <f>IF(AND(V214&gt;=Inputs!$E$204,V214&lt;=Inputs!$E$203),1,0)</f>
        <v>1</v>
      </c>
      <c r="W217" s="27">
        <f>IF(AND(W214&gt;=Inputs!$E$204,W214&lt;=Inputs!$E$203),1,0)</f>
        <v>1</v>
      </c>
      <c r="X217" s="27">
        <f>IF(AND(X214&gt;=Inputs!$E$204,X214&lt;=Inputs!$E$203),1,0)</f>
        <v>1</v>
      </c>
      <c r="Y217" s="27">
        <f>IF(AND(Y214&gt;=Inputs!$E$204,Y214&lt;=Inputs!$E$203),1,0)</f>
        <v>1</v>
      </c>
      <c r="Z217" s="27">
        <f>IF(AND(Z214&gt;=Inputs!$E$204,Z214&lt;=Inputs!$E$203),1,0)</f>
        <v>1</v>
      </c>
      <c r="AA217" s="27">
        <f>IF(AND(AA214&gt;=Inputs!$E$204,AA214&lt;=Inputs!$E$203),1,0)</f>
        <v>1</v>
      </c>
      <c r="AB217" s="27">
        <f>IF(AND(AB214&gt;=Inputs!$E$204,AB214&lt;=Inputs!$E$203),1,0)</f>
        <v>1</v>
      </c>
      <c r="AC217" s="27">
        <f>IF(AND(AC214&gt;=Inputs!$E$204,AC214&lt;=Inputs!$E$203),1,0)</f>
        <v>1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>
        <f>IFERROR(IF(('Inputs (2)'!E18+'Inputs (2)'!E19)=0,"",('Inputs (2)'!F18+'Inputs (2)'!F19)/('Inputs (2)'!E18+'Inputs (2)'!E19)-1),"")</f>
        <v>0.270500346682227</v>
      </c>
      <c r="G221" s="32">
        <f>IFERROR(IF(('Inputs (2)'!F18+'Inputs (2)'!F19)=0,"",('Inputs (2)'!G18+'Inputs (2)'!G19)/('Inputs (2)'!F18+'Inputs (2)'!F19)-1),"")</f>
        <v>0.178853612790039</v>
      </c>
      <c r="H221" s="32">
        <f>IFERROR(IF(('Inputs (2)'!G18+'Inputs (2)'!G19)=0,"",('Inputs (2)'!H18+'Inputs (2)'!H19)/('Inputs (2)'!G18+'Inputs (2)'!G19)-1),"")</f>
        <v>0.0734520922560793</v>
      </c>
      <c r="I221" s="33" t="n"/>
      <c r="J221" s="32">
        <f>IFERROR(IF(('Inputs (2)'!H18+'Inputs (2)'!H19)=0,"",('Inputs (2)'!J18+'Inputs (2)'!J19)/('Inputs (2)'!H18+'Inputs (2)'!H19)-1),"")</f>
        <v>0.115082878277837</v>
      </c>
      <c r="K221" s="32">
        <f>IFERROR(IF(('Inputs (2)'!J18+'Inputs (2)'!J19)=0,"",('Inputs (2)'!K18+'Inputs (2)'!K19)/('Inputs (2)'!J18+'Inputs (2)'!J19)-1),"")</f>
        <v>0.609319510699104</v>
      </c>
      <c r="L221" s="32">
        <f>IFERROR(IF(('Inputs (2)'!K18+'Inputs (2)'!K19)=0,"",('Inputs (2)'!L18+'Inputs (2)'!L19)/('Inputs (2)'!K18+'Inputs (2)'!K19)-1),"")</f>
        <v>0.0725892404231985</v>
      </c>
      <c r="M221" s="32">
        <f>IFERROR(IF(('Inputs (2)'!L18+'Inputs (2)'!L19)=0,"",('Inputs (2)'!M18+'Inputs (2)'!M19)/('Inputs (2)'!L18+'Inputs (2)'!L19)-1),"")</f>
        <v>0.0551628220752896</v>
      </c>
      <c r="N221" s="34">
        <f>IFERROR(IF(('Inputs (2)'!I18+'Inputs (2)'!I19)=0,"",('Inputs (2)'!N18+'Inputs (2)'!N19)/('Inputs (2)'!I18+'Inputs (2)'!I19)-1),"")</f>
        <v>1.03096453962812</v>
      </c>
      <c r="O221" s="32">
        <f>IFERROR(IF(('Inputs (2)'!M18+'Inputs (2)'!M19)=0,"",('Inputs (2)'!O18+'Inputs (2)'!O19)/('Inputs (2)'!M18+'Inputs (2)'!M19)-1),"")</f>
        <v>0.0330201585108079</v>
      </c>
      <c r="P221" s="32">
        <f>IFERROR(IF(('Inputs (2)'!O18+'Inputs (2)'!O19)=0,"",('Inputs (2)'!P18+'Inputs (2)'!P19)/('Inputs (2)'!O18+'Inputs (2)'!O19)-1),"")</f>
        <v>0.0466220752022026</v>
      </c>
      <c r="Q221" s="32">
        <f>IFERROR(IF(('Inputs (2)'!P18+'Inputs (2)'!P19)=0,"",('Inputs (2)'!Q18+'Inputs (2)'!Q19)/('Inputs (2)'!P18+'Inputs (2)'!P19)-1),"")</f>
        <v>0.0157505081648262</v>
      </c>
      <c r="R221" s="32">
        <f>IFERROR(IF(('Inputs (2)'!Q18+'Inputs (2)'!Q19)=0,"",('Inputs (2)'!R18+'Inputs (2)'!R19)/('Inputs (2)'!Q18+'Inputs (2)'!Q19)-1),"")</f>
        <v>0.0534394530318221</v>
      </c>
      <c r="S221" s="34">
        <f>IFERROR(IF(('Inputs (2)'!N18+'Inputs (2)'!N19)=0,"",('Inputs (2)'!S18+'Inputs (2)'!S19)/('Inputs (2)'!N18+'Inputs (2)'!N19)-1),"")</f>
        <v>0.156898651097493</v>
      </c>
      <c r="T221" s="32">
        <f>IFERROR(IF(('Inputs (2)'!R18+'Inputs (2)'!R19)=0,"",('Inputs (2)'!T18+'Inputs (2)'!T19)/('Inputs (2)'!R18+'Inputs (2)'!R19)-1),"")</f>
        <v>-0.0424967138161947</v>
      </c>
      <c r="U221" s="32">
        <f>IFERROR(IF(('Inputs (2)'!T18+'Inputs (2)'!T19)=0,"",('Inputs (2)'!U18+'Inputs (2)'!U19)/('Inputs (2)'!T18+'Inputs (2)'!T19)-1),"")</f>
        <v>-0.0165944071847055</v>
      </c>
      <c r="V221" s="32">
        <f>IFERROR(IF(('Inputs (2)'!U18+'Inputs (2)'!U19)=0,"",('Inputs (2)'!V18+'Inputs (2)'!V19)/('Inputs (2)'!U18+'Inputs (2)'!U19)-1),"")</f>
        <v>0.0451040834564054</v>
      </c>
      <c r="W221" s="32">
        <f>IFERROR(IF(('Inputs (2)'!V18+'Inputs (2)'!V19)=0,"",('Inputs (2)'!W18+'Inputs (2)'!W19)/('Inputs (2)'!V18+'Inputs (2)'!V19)-1),"")</f>
        <v>0.0860203146555811</v>
      </c>
      <c r="X221" s="34">
        <f>IFERROR(IF(('Inputs (2)'!S18+'Inputs (2)'!S19)=0,"",('Inputs (2)'!X18+'Inputs (2)'!X19)/('Inputs (2)'!S18+'Inputs (2)'!S19)-1),"")</f>
        <v>0.0687360050007793</v>
      </c>
      <c r="Y221" s="32">
        <f>IFERROR(IF(('Inputs (2)'!W18+'Inputs (2)'!W19)=0,"",('Inputs (2)'!Y18+'Inputs (2)'!Y19)/('Inputs (2)'!W18+'Inputs (2)'!W19)-1),"")</f>
        <v>0.0860515809623514</v>
      </c>
      <c r="Z221" s="32">
        <f>IFERROR(IF(('Inputs (2)'!Y18+'Inputs (2)'!Y19)=0,"",('Inputs (2)'!Z18+'Inputs (2)'!Z19)/('Inputs (2)'!Y18+'Inputs (2)'!Y19)-1),"")</f>
        <v>0.0744738687014301</v>
      </c>
      <c r="AA221" s="32">
        <f>IFERROR(IF(('Inputs (2)'!Z18+'Inputs (2)'!Z19)=0,"",('Inputs (2)'!AA18+'Inputs (2)'!AA19)/('Inputs (2)'!Z18+'Inputs (2)'!Z19)-1),"")</f>
        <v>0.0409719008184448</v>
      </c>
      <c r="AB221" s="32">
        <f>IFERROR(IF(('Inputs (2)'!AA18+'Inputs (2)'!AA19)=0,"",('Inputs (2)'!AB18+'Inputs (2)'!AB19)/('Inputs (2)'!AA18+'Inputs (2)'!AA19)-1),"")</f>
        <v>0.0454975373240225</v>
      </c>
      <c r="AC221" s="34">
        <f>IFERROR(IF(('Inputs (2)'!X18+'Inputs (2)'!X19)=0,"",('Inputs (2)'!AC18+'Inputs (2)'!AC19)/('Inputs (2)'!X18+'Inputs (2)'!X19)-1),"")</f>
        <v>0.270013480697545</v>
      </c>
      <c r="AD221" s="32">
        <f>IFERROR(IF(('Inputs (2)'!AB18+'Inputs (2)'!AB19)=0,"",('Inputs (2)'!AD18+'Inputs (2)'!AD19)/('Inputs (2)'!AB18+'Inputs (2)'!AB19)-1),"")</f>
        <v>0.040985610044233</v>
      </c>
      <c r="AE221" s="32">
        <f>IFERROR(IF(('Inputs (2)'!AD18+'Inputs (2)'!AD19)=0,"",('Inputs (2)'!AE18+'Inputs (2)'!AE19)/('Inputs (2)'!AD18+'Inputs (2)'!AD19)-1),"")</f>
        <v>0.0205197524638965</v>
      </c>
      <c r="AF221" s="32">
        <f>IFERROR(IF(('Inputs (2)'!AE18+'Inputs (2)'!AE19)=0,"",('Inputs (2)'!AF18+'Inputs (2)'!AF19)/('Inputs (2)'!AE18+'Inputs (2)'!AE19)-1),"")</f>
        <v>0.0421525468785746</v>
      </c>
      <c r="AG221" s="32">
        <f>IFERROR(IF(('Inputs (2)'!AF18+'Inputs (2)'!AF19)=0,"",('Inputs (2)'!AG18+'Inputs (2)'!AG19)/('Inputs (2)'!AF18+'Inputs (2)'!AF19)-1),"")</f>
        <v>0.0929688436390219</v>
      </c>
      <c r="AH221" s="34">
        <f>IFERROR(IF(('Inputs (2)'!AC18+'Inputs (2)'!AC19)=0,"",('Inputs (2)'!AH18+'Inputs (2)'!AH19)/('Inputs (2)'!AC18+'Inputs (2)'!AC19)-1),"")</f>
        <v>0.210055297870492</v>
      </c>
      <c r="AI221" s="32">
        <f>IFERROR(IF(('Inputs (2)'!AG18+'Inputs (2)'!AG19)=0,"",('Inputs (2)'!AI18+'Inputs (2)'!AI19)/('Inputs (2)'!AG18+'Inputs (2)'!AG19)-1),"")</f>
        <v>0.0422811471317639</v>
      </c>
      <c r="AJ221" s="32">
        <f>IFERROR(IF(('Inputs (2)'!AI18+'Inputs (2)'!AI19)=0,"",('Inputs (2)'!AJ18+'Inputs (2)'!AJ19)/('Inputs (2)'!AI18+'Inputs (2)'!AI19)-1),"")</f>
        <v>0.0119993062440016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Taxa média da carteira de crédito (% a.a.)</t>
        </is>
      </c>
      <c r="D222" s="12" t="inlineStr">
        <is>
          <t>Average loan yield</t>
        </is>
      </c>
      <c r="E222" s="32">
        <f>IFERROR(IF(OR(('Inputs (2)'!E18+'Inputs (2)'!E19)=0,('Inputs (2)'!E71)=0),"",('Inputs (2)'!E71)*4/('Inputs (2)'!E18+'Inputs (2)'!E19)),"")</f>
        <v>0.21668595682453</v>
      </c>
      <c r="F222" s="32">
        <f>IFERROR(IF(OR(AVERAGE(('Inputs (2)'!E18+'Inputs (2)'!E19),('Inputs (2)'!F18+'Inputs (2)'!F19))=0,('Inputs (2)'!F71)=0),"",('Inputs (2)'!F71)*4/AVERAGE(('Inputs (2)'!E18+'Inputs (2)'!E19),('Inputs (2)'!F18+'Inputs (2)'!F19))),"")</f>
        <v>0.141411723386652</v>
      </c>
      <c r="G222" s="32">
        <f>IFERROR(IF(OR(AVERAGE(('Inputs (2)'!F18+'Inputs (2)'!F19),('Inputs (2)'!G18+'Inputs (2)'!G19))=0,('Inputs (2)'!G71)=0),"",('Inputs (2)'!G71)*4/AVERAGE(('Inputs (2)'!F18+'Inputs (2)'!F19),('Inputs (2)'!G18+'Inputs (2)'!G19))),"")</f>
        <v>0.136253682300494</v>
      </c>
      <c r="H222" s="32">
        <f>IFERROR(IF(OR(AVERAGE(('Inputs (2)'!G18+'Inputs (2)'!G19),('Inputs (2)'!H18+'Inputs (2)'!H19))=0,('Inputs (2)'!H71)=0),"",('Inputs (2)'!H71)*4/AVERAGE(('Inputs (2)'!G18+'Inputs (2)'!G19),('Inputs (2)'!H18+'Inputs (2)'!H19))),"")</f>
        <v>0.142857581250195</v>
      </c>
      <c r="I222" s="34">
        <f>IFERROR(IF(OR(('Inputs (2)'!I18+'Inputs (2)'!I19)=0,('Inputs (2)'!I71)=0),"",('Inputs (2)'!I71)/('Inputs (2)'!I18+'Inputs (2)'!I19)),"")</f>
        <v>0.1224751194342</v>
      </c>
      <c r="J222" s="32">
        <f>IFERROR(IF(OR(AVERAGE(('Inputs (2)'!H18+'Inputs (2)'!H19),('Inputs (2)'!J18+'Inputs (2)'!J19))=0,('Inputs (2)'!J71)=0),"",('Inputs (2)'!J71)*4/AVERAGE(('Inputs (2)'!H18+'Inputs (2)'!H19),('Inputs (2)'!J18+'Inputs (2)'!J19))),"")</f>
        <v>0.1107053424598</v>
      </c>
      <c r="K222" s="32">
        <f>IFERROR(IF(OR(AVERAGE(('Inputs (2)'!J18+'Inputs (2)'!J19),('Inputs (2)'!K18+'Inputs (2)'!K19))=0,('Inputs (2)'!K71)=0),"",('Inputs (2)'!K71)*4/AVERAGE(('Inputs (2)'!J18+'Inputs (2)'!J19),('Inputs (2)'!K18+'Inputs (2)'!K19))),"")</f>
        <v>0.357331638534181</v>
      </c>
      <c r="L222" s="32">
        <f>IFERROR(IF(OR(AVERAGE(('Inputs (2)'!K18+'Inputs (2)'!K19),('Inputs (2)'!L18+'Inputs (2)'!L19))=0,('Inputs (2)'!L71)=0),"",('Inputs (2)'!L71)*4/AVERAGE(('Inputs (2)'!K18+'Inputs (2)'!K19),('Inputs (2)'!L18+'Inputs (2)'!L19))),"")</f>
        <v>0.215111626577927</v>
      </c>
      <c r="M222" s="32">
        <f>IFERROR(IF(OR(AVERAGE(('Inputs (2)'!L18+'Inputs (2)'!L19),('Inputs (2)'!M18+'Inputs (2)'!M19))=0,('Inputs (2)'!M71)=0),"",('Inputs (2)'!M71)*4/AVERAGE(('Inputs (2)'!L18+'Inputs (2)'!L19),('Inputs (2)'!M18+'Inputs (2)'!M19))),"")</f>
        <v>0.23105936031426</v>
      </c>
      <c r="N222" s="34">
        <f>IFERROR(IF(OR(AVERAGE(('Inputs (2)'!I18+'Inputs (2)'!I19),('Inputs (2)'!N18+'Inputs (2)'!N19))=0,('Inputs (2)'!N71)=0),"",('Inputs (2)'!N71)/AVERAGE(('Inputs (2)'!I18+'Inputs (2)'!I19),('Inputs (2)'!N18+'Inputs (2)'!N19))),"")</f>
        <v>0.246450157367105</v>
      </c>
      <c r="O222" s="32">
        <f>IFERROR(IF(OR(AVERAGE(('Inputs (2)'!M18+'Inputs (2)'!M19),('Inputs (2)'!O18+'Inputs (2)'!O19))=0,('Inputs (2)'!O71)=0),"",('Inputs (2)'!O71)*4/AVERAGE(('Inputs (2)'!M18+'Inputs (2)'!M19),('Inputs (2)'!O18+'Inputs (2)'!O19))),"")</f>
        <v>0.261033779441178</v>
      </c>
      <c r="P222" s="32">
        <f>IFERROR(IF(OR(AVERAGE(('Inputs (2)'!O18+'Inputs (2)'!O19),('Inputs (2)'!P18+'Inputs (2)'!P19))=0,('Inputs (2)'!P71)=0),"",('Inputs (2)'!P71)*4/AVERAGE(('Inputs (2)'!O18+'Inputs (2)'!O19),('Inputs (2)'!P18+'Inputs (2)'!P19))),"")</f>
        <v>0.250691364707425</v>
      </c>
      <c r="Q222" s="32">
        <f>IFERROR(IF(OR(AVERAGE(('Inputs (2)'!P18+'Inputs (2)'!P19),('Inputs (2)'!Q18+'Inputs (2)'!Q19))=0,('Inputs (2)'!Q71)=0),"",('Inputs (2)'!Q71)*4/AVERAGE(('Inputs (2)'!P18+'Inputs (2)'!P19),('Inputs (2)'!Q18+'Inputs (2)'!Q19))),"")</f>
        <v>0.283899253484013</v>
      </c>
      <c r="R222" s="32">
        <f>IFERROR(IF(OR(AVERAGE(('Inputs (2)'!Q18+'Inputs (2)'!Q19),('Inputs (2)'!R18+'Inputs (2)'!R19))=0,('Inputs (2)'!R71)=0),"",('Inputs (2)'!R71)*4/AVERAGE(('Inputs (2)'!Q18+'Inputs (2)'!Q19),('Inputs (2)'!R18+'Inputs (2)'!R19))),"")</f>
        <v>0.259957817604478</v>
      </c>
      <c r="S222" s="34">
        <f>IFERROR(IF(OR(AVERAGE(('Inputs (2)'!N18+'Inputs (2)'!N19),('Inputs (2)'!S18+'Inputs (2)'!S19))=0,('Inputs (2)'!S71)=0),"",('Inputs (2)'!S71)/AVERAGE(('Inputs (2)'!N18+'Inputs (2)'!N19),('Inputs (2)'!S18+'Inputs (2)'!S19))),"")</f>
        <v>0.26260626042034</v>
      </c>
      <c r="T222" s="32">
        <f>IFERROR(IF(OR(AVERAGE(('Inputs (2)'!R18+'Inputs (2)'!R19),('Inputs (2)'!T18+'Inputs (2)'!T19))=0,('Inputs (2)'!T71)=0),"",('Inputs (2)'!T71)*4/AVERAGE(('Inputs (2)'!R18+'Inputs (2)'!R19),('Inputs (2)'!T18+'Inputs (2)'!T19))),"")</f>
        <v>0.283832934656036</v>
      </c>
      <c r="U222" s="32">
        <f>IFERROR(IF(OR(AVERAGE(('Inputs (2)'!T18+'Inputs (2)'!T19),('Inputs (2)'!U18+'Inputs (2)'!U19))=0,('Inputs (2)'!U71)=0),"",('Inputs (2)'!U71)*4/AVERAGE(('Inputs (2)'!T18+'Inputs (2)'!T19),('Inputs (2)'!U18+'Inputs (2)'!U19))),"")</f>
        <v>0.378363563501911</v>
      </c>
      <c r="V222" s="32">
        <f>IFERROR(IF(OR(AVERAGE(('Inputs (2)'!U18+'Inputs (2)'!U19),('Inputs (2)'!V18+'Inputs (2)'!V19))=0,('Inputs (2)'!V71)=0),"",('Inputs (2)'!V71)*4/AVERAGE(('Inputs (2)'!U18+'Inputs (2)'!U19),('Inputs (2)'!V18+'Inputs (2)'!V19))),"")</f>
        <v>0.276564535244467</v>
      </c>
      <c r="W222" s="32">
        <f>IFERROR(IF(OR(AVERAGE(('Inputs (2)'!V18+'Inputs (2)'!V19),('Inputs (2)'!W18+'Inputs (2)'!W19))=0,('Inputs (2)'!W71)=0),"",('Inputs (2)'!W71)*4/AVERAGE(('Inputs (2)'!V18+'Inputs (2)'!V19),('Inputs (2)'!W18+'Inputs (2)'!W19))),"")</f>
        <v>0.269237383927631</v>
      </c>
      <c r="X222" s="34">
        <f>IFERROR(IF(OR(AVERAGE(('Inputs (2)'!S18+'Inputs (2)'!S19),('Inputs (2)'!X18+'Inputs (2)'!X19))=0,('Inputs (2)'!X71)=0),"",('Inputs (2)'!X71)/AVERAGE(('Inputs (2)'!S18+'Inputs (2)'!S19),('Inputs (2)'!X18+'Inputs (2)'!X19))),"")</f>
        <v>0.285130243108536</v>
      </c>
      <c r="Y222" s="32">
        <f>IFERROR(IF(OR(AVERAGE(('Inputs (2)'!W18+'Inputs (2)'!W19),('Inputs (2)'!Y18+'Inputs (2)'!Y19))=0,('Inputs (2)'!Y71)=0),"",('Inputs (2)'!Y71)*4/AVERAGE(('Inputs (2)'!W18+'Inputs (2)'!W19),('Inputs (2)'!Y18+'Inputs (2)'!Y19))),"")</f>
        <v>0.218506412274696</v>
      </c>
      <c r="Z222" s="32">
        <f>IFERROR(IF(OR(AVERAGE(('Inputs (2)'!Y18+'Inputs (2)'!Y19),('Inputs (2)'!Z18+'Inputs (2)'!Z19))=0,('Inputs (2)'!Z71)=0),"",('Inputs (2)'!Z71)*4/AVERAGE(('Inputs (2)'!Y18+'Inputs (2)'!Y19),('Inputs (2)'!Z18+'Inputs (2)'!Z19))),"")</f>
        <v>0.145050500760567</v>
      </c>
      <c r="AA222" s="32">
        <f>IFERROR(IF(OR(AVERAGE(('Inputs (2)'!Z18+'Inputs (2)'!Z19),('Inputs (2)'!AA18+'Inputs (2)'!AA19))=0,('Inputs (2)'!AA71)=0),"",('Inputs (2)'!AA71)*4/AVERAGE(('Inputs (2)'!Z18+'Inputs (2)'!Z19),('Inputs (2)'!AA18+'Inputs (2)'!AA19))),"")</f>
        <v>0.209585785896404</v>
      </c>
      <c r="AB222" s="32">
        <f>IFERROR(IF(OR(AVERAGE(('Inputs (2)'!AA18+'Inputs (2)'!AA19),('Inputs (2)'!AB18+'Inputs (2)'!AB19))=0,('Inputs (2)'!AB71)=0),"",('Inputs (2)'!AB71)*4/AVERAGE(('Inputs (2)'!AA18+'Inputs (2)'!AA19),('Inputs (2)'!AB18+'Inputs (2)'!AB19))),"")</f>
        <v>0.197422301749004</v>
      </c>
      <c r="AC222" s="34">
        <f>IFERROR(IF(OR(AVERAGE(('Inputs (2)'!X18+'Inputs (2)'!X19),('Inputs (2)'!AC18+'Inputs (2)'!AC19))=0,('Inputs (2)'!AC71)=0),"",('Inputs (2)'!AC71)/AVERAGE(('Inputs (2)'!X18+'Inputs (2)'!X19),('Inputs (2)'!AC18+'Inputs (2)'!AC19))),"")</f>
        <v>0.195188860260175</v>
      </c>
      <c r="AD222" s="32">
        <f>IFERROR(IF(OR(AVERAGE(('Inputs (2)'!AB18+'Inputs (2)'!AB19),('Inputs (2)'!AD18+'Inputs (2)'!AD19))=0,('Inputs (2)'!AD71)=0),"",('Inputs (2)'!AD71)*4/AVERAGE(('Inputs (2)'!AB18+'Inputs (2)'!AB19),('Inputs (2)'!AD18+'Inputs (2)'!AD19))),"")</f>
        <v>0.241758782627221</v>
      </c>
      <c r="AE222" s="32">
        <f>IFERROR(IF(OR(AVERAGE(('Inputs (2)'!AD18+'Inputs (2)'!AD19),('Inputs (2)'!AE18+'Inputs (2)'!AE19))=0,('Inputs (2)'!AE71)=0),"",('Inputs (2)'!AE71)*4/AVERAGE(('Inputs (2)'!AD18+'Inputs (2)'!AD19),('Inputs (2)'!AE18+'Inputs (2)'!AE19))),"")</f>
        <v>0.218494720955261</v>
      </c>
      <c r="AF222" s="32">
        <f>IFERROR(IF(OR(AVERAGE(('Inputs (2)'!AE18+'Inputs (2)'!AE19),('Inputs (2)'!AF18+'Inputs (2)'!AF19))=0,('Inputs (2)'!AF71)=0),"",('Inputs (2)'!AF71)*4/AVERAGE(('Inputs (2)'!AE18+'Inputs (2)'!AE19),('Inputs (2)'!AF18+'Inputs (2)'!AF19))),"")</f>
        <v>0.228429554058602</v>
      </c>
      <c r="AG222" s="32">
        <f>IFERROR(IF(OR(AVERAGE(('Inputs (2)'!AF18+'Inputs (2)'!AF19),('Inputs (2)'!AG18+'Inputs (2)'!AG19))=0,('Inputs (2)'!AG71)=0),"",('Inputs (2)'!AG71)*4/AVERAGE(('Inputs (2)'!AF18+'Inputs (2)'!AF19),('Inputs (2)'!AG18+'Inputs (2)'!AG19))),"")</f>
        <v>0.206936858461898</v>
      </c>
      <c r="AH222" s="34">
        <f>IFERROR(IF(OR(AVERAGE(('Inputs (2)'!AC18+'Inputs (2)'!AC19),('Inputs (2)'!AH18+'Inputs (2)'!AH19))=0,('Inputs (2)'!AH71)=0),"",('Inputs (2)'!AH71)/AVERAGE(('Inputs (2)'!AC18+'Inputs (2)'!AC19),('Inputs (2)'!AH18+'Inputs (2)'!AH19))),"")</f>
        <v>0.218102618017944</v>
      </c>
      <c r="AI222" s="32">
        <f>IFERROR(IF(OR(AVERAGE(('Inputs (2)'!AG18+'Inputs (2)'!AG19),('Inputs (2)'!AI18+'Inputs (2)'!AI19))=0,('Inputs (2)'!AI71)=0),"",('Inputs (2)'!AI71)*4/AVERAGE(('Inputs (2)'!AG18+'Inputs (2)'!AG19),('Inputs (2)'!AI18+'Inputs (2)'!AI19))),"")</f>
        <v>0.191580370428593</v>
      </c>
      <c r="AJ222" s="32">
        <f>IFERROR(IF(OR(AVERAGE(('Inputs (2)'!AI18+'Inputs (2)'!AI19),('Inputs (2)'!AJ18+'Inputs (2)'!AJ19))=0,('Inputs (2)'!AJ71)=0),"",('Inputs (2)'!AJ71)*4/AVERAGE(('Inputs (2)'!AI18+'Inputs (2)'!AI19),('Inputs (2)'!AJ18+'Inputs (2)'!AJ19))),"")</f>
        <v>0.209356969904302</v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>
        <f>IFERROR(IF(OR(AVERAGE(('Inputs (2)'!AH18+'Inputs (2)'!AH19),('Inputs (2)'!AM18+'Inputs (2)'!AM19))=0,('Inputs (2)'!AM71)=0),"",('Inputs (2)'!AM71)/AVERAGE(('Inputs (2)'!AH18+'Inputs (2)'!AH19),('Inputs (2)'!AM18+'Inputs (2)'!AM19))),"")</f>
        <v>0.207574244669988</v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>
        <f>IFERROR(IF(OR(ABS(('Inputs (2)'!E18+'Inputs (2)'!E19))=0,('Inputs (2)'!E82)=0),"",ABS('Inputs (2)'!E82)*4/ABS(('Inputs (2)'!E18+'Inputs (2)'!E19))),"")</f>
        <v>0.01762336834014</v>
      </c>
      <c r="F223" s="32">
        <f>IFERROR(IF(OR(ABS(AVERAGE(('Inputs (2)'!E18+'Inputs (2)'!E19),('Inputs (2)'!F18+'Inputs (2)'!F19)))=0,('Inputs (2)'!F82)=0),"",ABS('Inputs (2)'!F82)*4/ABS(AVERAGE(('Inputs (2)'!E18+'Inputs (2)'!E19),('Inputs (2)'!F18+'Inputs (2)'!F19)))),"")</f>
        <v>0.00745628448939438</v>
      </c>
      <c r="G223" s="32">
        <f>IFERROR(IF(OR(ABS(AVERAGE(('Inputs (2)'!F18+'Inputs (2)'!F19),('Inputs (2)'!G18+'Inputs (2)'!G19)))=0,('Inputs (2)'!G82)=0),"",ABS('Inputs (2)'!G82)*4/ABS(AVERAGE(('Inputs (2)'!F18+'Inputs (2)'!F19),('Inputs (2)'!G18+'Inputs (2)'!G19)))),"")</f>
        <v>0.00124508197858102</v>
      </c>
      <c r="H223" s="32">
        <f>IFERROR(IF(OR(ABS(AVERAGE(('Inputs (2)'!G18+'Inputs (2)'!G19),('Inputs (2)'!H18+'Inputs (2)'!H19)))=0,('Inputs (2)'!H82)=0),"",ABS('Inputs (2)'!H82)*4/ABS(AVERAGE(('Inputs (2)'!G18+'Inputs (2)'!G19),('Inputs (2)'!H18+'Inputs (2)'!H19)))),"")</f>
        <v>0.00606717277608792</v>
      </c>
      <c r="I223" s="34">
        <f>IFERROR(IF(OR(ABS(('Inputs (2)'!I18+'Inputs (2)'!I19))=0,('Inputs (2)'!I82)=0),"",ABS('Inputs (2)'!I82)/ABS(('Inputs (2)'!I18+'Inputs (2)'!I19))),"")</f>
        <v>0.00578950364235679</v>
      </c>
      <c r="J223" s="32">
        <f>IFERROR(IF(OR(ABS(AVERAGE(('Inputs (2)'!H18+'Inputs (2)'!H19),('Inputs (2)'!J18+'Inputs (2)'!J19)))=0,('Inputs (2)'!J82)=0),"",ABS('Inputs (2)'!J82)*4/ABS(AVERAGE(('Inputs (2)'!H18+'Inputs (2)'!H19),('Inputs (2)'!J18+'Inputs (2)'!J19)))),"")</f>
        <v>0.0489019242188525</v>
      </c>
      <c r="K223" s="32">
        <f>IFERROR(IF(OR(ABS(AVERAGE(('Inputs (2)'!J18+'Inputs (2)'!J19),('Inputs (2)'!K18+'Inputs (2)'!K19)))=0,('Inputs (2)'!K82)=0),"",ABS('Inputs (2)'!K82)*4/ABS(AVERAGE(('Inputs (2)'!J18+'Inputs (2)'!J19),('Inputs (2)'!K18+'Inputs (2)'!K19)))),"")</f>
        <v>0.046528089207729</v>
      </c>
      <c r="L223" s="32">
        <f>IFERROR(IF(OR(ABS(AVERAGE(('Inputs (2)'!K18+'Inputs (2)'!K19),('Inputs (2)'!L18+'Inputs (2)'!L19)))=0,('Inputs (2)'!L82)=0),"",ABS('Inputs (2)'!L82)*4/ABS(AVERAGE(('Inputs (2)'!K18+'Inputs (2)'!K19),('Inputs (2)'!L18+'Inputs (2)'!L19)))),"")</f>
        <v>0.0382818711666854</v>
      </c>
      <c r="M223" s="32">
        <f>IFERROR(IF(OR(ABS(AVERAGE(('Inputs (2)'!L18+'Inputs (2)'!L19),('Inputs (2)'!M18+'Inputs (2)'!M19)))=0,('Inputs (2)'!M82)=0),"",ABS('Inputs (2)'!M82)*4/ABS(AVERAGE(('Inputs (2)'!L18+'Inputs (2)'!L19),('Inputs (2)'!M18+'Inputs (2)'!M19)))),"")</f>
        <v>0.0288639796728289</v>
      </c>
      <c r="N223" s="34">
        <f>IFERROR(IF(OR(ABS(AVERAGE(('Inputs (2)'!I18+'Inputs (2)'!I19),('Inputs (2)'!N18+'Inputs (2)'!N19)))=0,('Inputs (2)'!N82)=0),"",ABS('Inputs (2)'!N82)/ABS(AVERAGE(('Inputs (2)'!I18+'Inputs (2)'!I19),('Inputs (2)'!N18+'Inputs (2)'!N19)))),"")</f>
        <v>0.0237967028878006</v>
      </c>
      <c r="O223" s="32">
        <f>IFERROR(IF(OR(ABS(AVERAGE(('Inputs (2)'!M18+'Inputs (2)'!M19),('Inputs (2)'!O18+'Inputs (2)'!O19)))=0,('Inputs (2)'!O82)=0),"",ABS('Inputs (2)'!O82)*4/ABS(AVERAGE(('Inputs (2)'!M18+'Inputs (2)'!M19),('Inputs (2)'!O18+'Inputs (2)'!O19)))),"")</f>
        <v>0.0324725084311304</v>
      </c>
      <c r="P223" s="32">
        <f>IFERROR(IF(OR(ABS(AVERAGE(('Inputs (2)'!O18+'Inputs (2)'!O19),('Inputs (2)'!P18+'Inputs (2)'!P19)))=0,('Inputs (2)'!P82)=0),"",ABS('Inputs (2)'!P82)*4/ABS(AVERAGE(('Inputs (2)'!O18+'Inputs (2)'!O19),('Inputs (2)'!P18+'Inputs (2)'!P19)))),"")</f>
        <v>0.0204745996610051</v>
      </c>
      <c r="Q223" s="32">
        <f>IFERROR(IF(OR(ABS(AVERAGE(('Inputs (2)'!P18+'Inputs (2)'!P19),('Inputs (2)'!Q18+'Inputs (2)'!Q19)))=0,('Inputs (2)'!Q82)=0),"",ABS('Inputs (2)'!Q82)*4/ABS(AVERAGE(('Inputs (2)'!P18+'Inputs (2)'!P19),('Inputs (2)'!Q18+'Inputs (2)'!Q19)))),"")</f>
        <v>0.0217934316819818</v>
      </c>
      <c r="R223" s="32">
        <f>IFERROR(IF(OR(ABS(AVERAGE(('Inputs (2)'!Q18+'Inputs (2)'!Q19),('Inputs (2)'!R18+'Inputs (2)'!R19)))=0,('Inputs (2)'!R82)=0),"",ABS('Inputs (2)'!R82)*4/ABS(AVERAGE(('Inputs (2)'!Q18+'Inputs (2)'!Q19),('Inputs (2)'!R18+'Inputs (2)'!R19)))),"")</f>
        <v>0.0696029245372614</v>
      </c>
      <c r="S223" s="34">
        <f>IFERROR(IF(OR(ABS(AVERAGE(('Inputs (2)'!N18+'Inputs (2)'!N19),('Inputs (2)'!S18+'Inputs (2)'!S19)))=0,('Inputs (2)'!S82)=0),"",ABS('Inputs (2)'!S82)/ABS(AVERAGE(('Inputs (2)'!N18+'Inputs (2)'!N19),('Inputs (2)'!S18+'Inputs (2)'!S19)))),"")</f>
        <v>0.0363674205444714</v>
      </c>
      <c r="T223" s="32">
        <f>IFERROR(IF(OR(ABS(AVERAGE(('Inputs (2)'!R18+'Inputs (2)'!R19),('Inputs (2)'!T18+'Inputs (2)'!T19)))=0,('Inputs (2)'!T82)=0),"",ABS('Inputs (2)'!T82)*4/ABS(AVERAGE(('Inputs (2)'!R18+'Inputs (2)'!R19),('Inputs (2)'!T18+'Inputs (2)'!T19)))),"")</f>
        <v>0.0247604543202354</v>
      </c>
      <c r="U223" s="32">
        <f>IFERROR(IF(OR(ABS(AVERAGE(('Inputs (2)'!T18+'Inputs (2)'!T19),('Inputs (2)'!U18+'Inputs (2)'!U19)))=0,('Inputs (2)'!U82)=0),"",ABS('Inputs (2)'!U82)*4/ABS(AVERAGE(('Inputs (2)'!T18+'Inputs (2)'!T19),('Inputs (2)'!U18+'Inputs (2)'!U19)))),"")</f>
        <v>0.0182859800724694</v>
      </c>
      <c r="V223" s="32">
        <f>IFERROR(IF(OR(ABS(AVERAGE(('Inputs (2)'!U18+'Inputs (2)'!U19),('Inputs (2)'!V18+'Inputs (2)'!V19)))=0,('Inputs (2)'!V82)=0),"",ABS('Inputs (2)'!V82)*4/ABS(AVERAGE(('Inputs (2)'!U18+'Inputs (2)'!U19),('Inputs (2)'!V18+'Inputs (2)'!V19)))),"")</f>
        <v>0.0211441846143467</v>
      </c>
      <c r="W223" s="32">
        <f>IFERROR(IF(OR(ABS(AVERAGE(('Inputs (2)'!V18+'Inputs (2)'!V19),('Inputs (2)'!W18+'Inputs (2)'!W19)))=0,('Inputs (2)'!W82)=0),"",ABS('Inputs (2)'!W82)*4/ABS(AVERAGE(('Inputs (2)'!V18+'Inputs (2)'!V19),('Inputs (2)'!W18+'Inputs (2)'!W19)))),"")</f>
        <v>0.016403599126936</v>
      </c>
      <c r="X223" s="34">
        <f>IFERROR(IF(OR(ABS(AVERAGE(('Inputs (2)'!S18+'Inputs (2)'!S19),('Inputs (2)'!X18+'Inputs (2)'!X19)))=0,('Inputs (2)'!X82)=0),"",ABS('Inputs (2)'!X82)/ABS(AVERAGE(('Inputs (2)'!S18+'Inputs (2)'!S19),('Inputs (2)'!X18+'Inputs (2)'!X19)))),"")</f>
        <v>0.0190438596753564</v>
      </c>
      <c r="Y223" s="32">
        <f>IFERROR(IF(OR(ABS(AVERAGE(('Inputs (2)'!W18+'Inputs (2)'!W19),('Inputs (2)'!Y18+'Inputs (2)'!Y19)))=0,('Inputs (2)'!Y82)=0),"",ABS('Inputs (2)'!Y82)*4/ABS(AVERAGE(('Inputs (2)'!W18+'Inputs (2)'!W19),('Inputs (2)'!Y18+'Inputs (2)'!Y19)))),"")</f>
        <v>0.0152722076701625</v>
      </c>
      <c r="Z223" s="32">
        <f>IFERROR(IF(OR(ABS(AVERAGE(('Inputs (2)'!Y18+'Inputs (2)'!Y19),('Inputs (2)'!Z18+'Inputs (2)'!Z19)))=0,('Inputs (2)'!Z82)=0),"",ABS('Inputs (2)'!Z82)*4/ABS(AVERAGE(('Inputs (2)'!Y18+'Inputs (2)'!Y19),('Inputs (2)'!Z18+'Inputs (2)'!Z19)))),"")</f>
        <v>0.021063629926918</v>
      </c>
      <c r="AA223" s="32">
        <f>IFERROR(IF(OR(ABS(AVERAGE(('Inputs (2)'!Z18+'Inputs (2)'!Z19),('Inputs (2)'!AA18+'Inputs (2)'!AA19)))=0,('Inputs (2)'!AA82)=0),"",ABS('Inputs (2)'!AA82)*4/ABS(AVERAGE(('Inputs (2)'!Z18+'Inputs (2)'!Z19),('Inputs (2)'!AA18+'Inputs (2)'!AA19)))),"")</f>
        <v>0.00571423080808384</v>
      </c>
      <c r="AB223" s="32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>0.0211389688231077</v>
      </c>
      <c r="AC223" s="34">
        <f>IFERROR(IF(OR(ABS(AVERAGE(('Inputs (2)'!X18+'Inputs (2)'!X19),('Inputs (2)'!AC18+'Inputs (2)'!AC19)))=0,('Inputs (2)'!AC82)=0),"",ABS('Inputs (2)'!AC82)/ABS(AVERAGE(('Inputs (2)'!X18+'Inputs (2)'!X19),('Inputs (2)'!AC18+'Inputs (2)'!AC19)))),"")</f>
        <v>0.0130208968096145</v>
      </c>
      <c r="AD223" s="32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>0.0342965199346289</v>
      </c>
      <c r="AE223" s="32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>0.0459447678076644</v>
      </c>
      <c r="AF223" s="32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>0.0456765941894764</v>
      </c>
      <c r="AG223" s="32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>0.00149894373192757</v>
      </c>
      <c r="AH223" s="34">
        <f>IFERROR(IF(OR(ABS(AVERAGE(('Inputs (2)'!AC18+'Inputs (2)'!AC19),('Inputs (2)'!AH18+'Inputs (2)'!AH19)))=0,('Inputs (2)'!AH82)=0),"",ABS('Inputs (2)'!AH82)/ABS(AVERAGE(('Inputs (2)'!AC18+'Inputs (2)'!AC19),('Inputs (2)'!AH18+'Inputs (2)'!AH19)))),"")</f>
        <v>0.0304520981668183</v>
      </c>
      <c r="AI223" s="32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>0.0375424160162348</v>
      </c>
      <c r="AJ223" s="32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>0.0239371814707028</v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(2)'!AM82)=0),"",ABS('Inputs (2)'!AM82)/ABS(AVERAGE(('Inputs (2)'!AH18+'Inputs (2)'!AH19),('Inputs (2)'!AM18+'Inputs (2)'!AM19)))),"")</f>
        <v>0.0317175220848363</v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(2)'!Y123)=0),"",ABS('Inputs (2)'!Y123)*4/ABS(AVERAGE(('Inputs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(2)'!Z123)=0),"",ABS('Inputs (2)'!Z123)*4/ABS(AVERAGE(('Inputs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(2)'!AA123)=0),"",ABS('Inputs (2)'!AA123)*4/ABS(AVERAGE(('Inputs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(2)'!AC123)=0),"",ABS('Inputs (2)'!AC123)/ABS(AVERAGE(('Inputs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hidden="1" outlineLevel="1">
      <c r="C225" s="30" t="inlineStr">
        <is>
          <t>Recuperação de créditos baixados (% da despesa de PDD)</t>
        </is>
      </c>
      <c r="D225" s="12" t="inlineStr">
        <is>
          <t>Recoveries</t>
        </is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 t="str">
        <f>IFERROR(IF(OR(ABS('Inputs (2)'!J82)=0,('Inputs (2)'!J83)=0),"",ABS('Inputs (2)'!J83)/ABS('Inputs (2)'!J82)),"")</f>
        <v/>
      </c>
      <c r="K225" s="32" t="str">
        <f>IFERROR(IF(OR(ABS('Inputs (2)'!K82)=0,('Inputs (2)'!K83)=0),"",ABS('Inputs (2)'!K83)/ABS('Inputs (2)'!K82)),"")</f>
        <v/>
      </c>
      <c r="L225" s="32" t="str">
        <f>IFERROR(IF(OR(ABS('Inputs (2)'!L82)=0,('Inputs (2)'!L83)=0),"",ABS('Inputs (2)'!L83)/ABS('Inputs (2)'!L82)),"")</f>
        <v/>
      </c>
      <c r="M225" s="32" t="str">
        <f>IFERROR(IF(OR(ABS('Inputs (2)'!M82)=0,('Inputs (2)'!M83)=0),"",ABS('Inputs (2)'!M83)/ABS('Inputs (2)'!M82)),"")</f>
        <v/>
      </c>
      <c r="N225" s="34" t="str">
        <f>IFERROR(IF(OR(ABS('Inputs (2)'!N82)=0,('Inputs (2)'!N83)=0),"",ABS('Inputs (2)'!N83)/ABS('Inputs (2)'!N82)),"")</f>
        <v/>
      </c>
      <c r="O225" s="32" t="str">
        <f>IFERROR(IF(OR(ABS('Inputs (2)'!O82)=0,('Inputs (2)'!O83)=0),"",ABS('Inputs (2)'!O83)/ABS('Inputs (2)'!O82)),"")</f>
        <v/>
      </c>
      <c r="P225" s="32" t="str">
        <f>IFERROR(IF(OR(ABS('Inputs (2)'!P82)=0,('Inputs (2)'!P83)=0),"",ABS('Inputs (2)'!P83)/ABS('Inputs (2)'!P82)),"")</f>
        <v/>
      </c>
      <c r="Q225" s="32" t="str">
        <f>IFERROR(IF(OR(ABS('Inputs (2)'!Q82)=0,('Inputs (2)'!Q83)=0),"",ABS('Inputs (2)'!Q83)/ABS('Inputs (2)'!Q82)),"")</f>
        <v/>
      </c>
      <c r="R225" s="32" t="str">
        <f>IFERROR(IF(OR(ABS('Inputs (2)'!R82)=0,('Inputs (2)'!R83)=0),"",ABS('Inputs (2)'!R83)/ABS('Inputs (2)'!R82)),"")</f>
        <v/>
      </c>
      <c r="S225" s="34" t="str">
        <f>IFERROR(IF(OR(ABS('Inputs (2)'!S82)=0,('Inputs (2)'!S83)=0),"",ABS('Inputs (2)'!S83)/ABS('Inputs (2)'!S82)),"")</f>
        <v/>
      </c>
      <c r="T225" s="32" t="str">
        <f>IFERROR(IF(OR(ABS('Inputs (2)'!T82)=0,('Inputs (2)'!T83)=0),"",ABS('Inputs (2)'!T83)/ABS('Inputs (2)'!T82)),"")</f>
        <v/>
      </c>
      <c r="U225" s="32" t="str">
        <f>IFERROR(IF(OR(ABS('Inputs (2)'!U82)=0,('Inputs (2)'!U83)=0),"",ABS('Inputs (2)'!U83)/ABS('Inputs (2)'!U82)),"")</f>
        <v/>
      </c>
      <c r="V225" s="32" t="str">
        <f>IFERROR(IF(OR(ABS('Inputs (2)'!V82)=0,('Inputs (2)'!V83)=0),"",ABS('Inputs (2)'!V83)/ABS('Inputs (2)'!V82)),"")</f>
        <v/>
      </c>
      <c r="W225" s="32" t="str">
        <f>IFERROR(IF(OR(ABS('Inputs (2)'!W82)=0,('Inputs (2)'!W83)=0),"",ABS('Inputs (2)'!W83)/ABS('Inputs (2)'!W82)),"")</f>
        <v/>
      </c>
      <c r="X225" s="34" t="str">
        <f>IFERROR(IF(OR(ABS('Inputs (2)'!X82)=0,('Inputs (2)'!X83)=0),"",ABS('Inputs (2)'!X83)/ABS('Inputs (2)'!X82)),"")</f>
        <v/>
      </c>
      <c r="Y225" s="32" t="str">
        <f>IFERROR(IF(OR(ABS('Inputs (2)'!Y82)=0,('Inputs (2)'!Y83)=0),"",ABS('Inputs (2)'!Y83)/ABS('Inputs (2)'!Y82)),"")</f>
        <v/>
      </c>
      <c r="Z225" s="32" t="str">
        <f>IFERROR(IF(OR(ABS('Inputs (2)'!Z82)=0,('Inputs (2)'!Z83)=0),"",ABS('Inputs (2)'!Z83)/ABS('Inputs (2)'!Z82)),"")</f>
        <v/>
      </c>
      <c r="AA225" s="32" t="str">
        <f>IFERROR(IF(OR(ABS('Inputs (2)'!AA82)=0,('Inputs (2)'!AA83)=0),"",ABS('Inputs (2)'!AA83)/ABS('Inputs (2)'!AA82)),"")</f>
        <v/>
      </c>
      <c r="AB225" s="32" t="str">
        <f>IFERROR(IF(OR(ABS('Inputs (2)'!AB82)=0,('Inputs (2)'!AB83)=0),"",ABS('Inputs (2)'!AB83)/ABS('Inputs (2)'!AB82)),"")</f>
        <v/>
      </c>
      <c r="AC225" s="34" t="str">
        <f>IFERROR(IF(OR(ABS('Inputs (2)'!AC82)=0,('Inputs (2)'!AC83)=0),"",ABS('Inputs (2)'!AC83)/ABS('Inputs (2)'!AC82)),"")</f>
        <v/>
      </c>
      <c r="AD225" s="32" t="str">
        <f>IFERROR(IF(OR(ABS('Inputs (2)'!AD82)=0,('Inputs (2)'!AD83)=0),"",ABS('Inputs (2)'!AD83)/ABS('Inputs (2)'!AD82)),"")</f>
        <v/>
      </c>
      <c r="AE225" s="32" t="str">
        <f>IFERROR(IF(OR(ABS('Inputs (2)'!AE82)=0,('Inputs (2)'!AE83)=0),"",ABS('Inputs (2)'!AE83)/ABS('Inputs (2)'!AE82)),"")</f>
        <v/>
      </c>
      <c r="AF225" s="32" t="str">
        <f>IFERROR(IF(OR(ABS('Inputs (2)'!AF82)=0,('Inputs (2)'!AF83)=0),"",ABS('Inputs (2)'!AF83)/ABS('Inputs (2)'!AF82)),"")</f>
        <v/>
      </c>
      <c r="AG225" s="32" t="str">
        <f>IFERROR(IF(OR(ABS('Inputs (2)'!AG82)=0,('Inputs (2)'!AG83)=0),"",ABS('Inputs (2)'!AG83)/ABS('Inputs (2)'!AG82)),"")</f>
        <v/>
      </c>
      <c r="AH225" s="34" t="str">
        <f>IFERROR(IF(OR(ABS('Inputs (2)'!AH82)=0,('Inputs (2)'!AH83)=0),"",ABS('Inputs (2)'!AH83)/ABS('Inputs (2)'!AH82)),"")</f>
        <v/>
      </c>
      <c r="AI225" s="32" t="str">
        <f>IFERROR(IF(OR(ABS('Inputs (2)'!AI82)=0,('Inputs (2)'!AI83)=0),"",ABS('Inputs (2)'!AI83)/ABS('Inputs (2)'!AI82)),"")</f>
        <v/>
      </c>
      <c r="AJ225" s="32" t="str">
        <f>IFERROR(IF(OR(ABS('Inputs (2)'!AJ82)=0,('Inputs (2)'!AJ83)=0),"",ABS('Inputs (2)'!AJ83)/ABS('Inputs (2)'!AJ82)),"")</f>
        <v/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 t="str">
        <f>IFERROR(IF(OR(ABS('Inputs (2)'!AM82)=0,('Inputs (2)'!AM83)=0),"",ABS('Inputs (2)'!AM83)/ABS('Inputs (2)'!AM82)),"")</f>
        <v/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>
        <f>IFERROR(IF(('Inputs (2)'!E11+'Inputs (2)'!E6)=0,"",('Inputs (2)'!F11+'Inputs (2)'!F6)/('Inputs (2)'!E11+'Inputs (2)'!E6)-1),"")</f>
        <v>0.131323935436767</v>
      </c>
      <c r="G226" s="32">
        <f>IFERROR(IF(('Inputs (2)'!F11+'Inputs (2)'!F6)=0,"",('Inputs (2)'!G11+'Inputs (2)'!G6)/('Inputs (2)'!F11+'Inputs (2)'!F6)-1),"")</f>
        <v>0.182058257859704</v>
      </c>
      <c r="H226" s="32">
        <f>IFERROR(IF(('Inputs (2)'!G11+'Inputs (2)'!G6)=0,"",('Inputs (2)'!H11+'Inputs (2)'!H6)/('Inputs (2)'!G11+'Inputs (2)'!G6)-1),"")</f>
        <v>0.0394319366878733</v>
      </c>
      <c r="I226" s="33" t="n"/>
      <c r="J226" s="32">
        <f>IFERROR(IF(('Inputs (2)'!H11+'Inputs (2)'!H6)=0,"",('Inputs (2)'!J11+'Inputs (2)'!J6)/('Inputs (2)'!H11+'Inputs (2)'!H6)-1),"")</f>
        <v>0.00592373904320587</v>
      </c>
      <c r="K226" s="32">
        <f>IFERROR(IF(('Inputs (2)'!J11+'Inputs (2)'!J6)=0,"",('Inputs (2)'!K11+'Inputs (2)'!K6)/('Inputs (2)'!J11+'Inputs (2)'!J6)-1),"")</f>
        <v>0.240560519565046</v>
      </c>
      <c r="L226" s="32">
        <f>IFERROR(IF(('Inputs (2)'!K11+'Inputs (2)'!K6)=0,"",('Inputs (2)'!L11+'Inputs (2)'!L6)/('Inputs (2)'!K11+'Inputs (2)'!K6)-1),"")</f>
        <v>0.257596001662523</v>
      </c>
      <c r="M226" s="32">
        <f>IFERROR(IF(('Inputs (2)'!L11+'Inputs (2)'!L6)=0,"",('Inputs (2)'!M11+'Inputs (2)'!M6)/('Inputs (2)'!L11+'Inputs (2)'!L6)-1),"")</f>
        <v>-0.218300661550389</v>
      </c>
      <c r="N226" s="34">
        <f>IFERROR(IF(('Inputs (2)'!I11+'Inputs (2)'!I6)=0,"",('Inputs (2)'!N11+'Inputs (2)'!N6)/('Inputs (2)'!I11+'Inputs (2)'!I6)-1),"")</f>
        <v>0.226772142276347</v>
      </c>
      <c r="O226" s="32">
        <f>IFERROR(IF(('Inputs (2)'!M11+'Inputs (2)'!M6)=0,"",('Inputs (2)'!O11+'Inputs (2)'!O6)/('Inputs (2)'!M11+'Inputs (2)'!M6)-1),"")</f>
        <v>0.24114958834756</v>
      </c>
      <c r="P226" s="32">
        <f>IFERROR(IF(('Inputs (2)'!O11+'Inputs (2)'!O6)=0,"",('Inputs (2)'!P11+'Inputs (2)'!P6)/('Inputs (2)'!O11+'Inputs (2)'!O6)-1),"")</f>
        <v>0.062719585211422</v>
      </c>
      <c r="Q226" s="32">
        <f>IFERROR(IF(('Inputs (2)'!P11+'Inputs (2)'!P6)=0,"",('Inputs (2)'!Q11+'Inputs (2)'!Q6)/('Inputs (2)'!P11+'Inputs (2)'!P6)-1),"")</f>
        <v>0.0216065086746218</v>
      </c>
      <c r="R226" s="32">
        <f>IFERROR(IF(('Inputs (2)'!Q11+'Inputs (2)'!Q6)=0,"",('Inputs (2)'!R11+'Inputs (2)'!R6)/('Inputs (2)'!Q11+'Inputs (2)'!Q6)-1),"")</f>
        <v>-0.0467825338839535</v>
      </c>
      <c r="S226" s="34">
        <f>IFERROR(IF(('Inputs (2)'!N11+'Inputs (2)'!N6)=0,"",('Inputs (2)'!S11+'Inputs (2)'!S6)/('Inputs (2)'!N11+'Inputs (2)'!N6)-1),"")</f>
        <v>0.284453701491205</v>
      </c>
      <c r="T226" s="32">
        <f>IFERROR(IF(('Inputs (2)'!R11+'Inputs (2)'!R6)=0,"",('Inputs (2)'!T11+'Inputs (2)'!T6)/('Inputs (2)'!R11+'Inputs (2)'!R6)-1),"")</f>
        <v>0.177196884894151</v>
      </c>
      <c r="U226" s="32">
        <f>IFERROR(IF(('Inputs (2)'!T11+'Inputs (2)'!T6)=0,"",('Inputs (2)'!U11+'Inputs (2)'!U6)/('Inputs (2)'!T11+'Inputs (2)'!T6)-1),"")</f>
        <v>0.0311452148779163</v>
      </c>
      <c r="V226" s="32">
        <f>IFERROR(IF(('Inputs (2)'!U11+'Inputs (2)'!U6)=0,"",('Inputs (2)'!V11+'Inputs (2)'!V6)/('Inputs (2)'!U11+'Inputs (2)'!U6)-1),"")</f>
        <v>0.0893866929260141</v>
      </c>
      <c r="W226" s="32">
        <f>IFERROR(IF(('Inputs (2)'!V11+'Inputs (2)'!V6)=0,"",('Inputs (2)'!W11+'Inputs (2)'!W6)/('Inputs (2)'!V11+'Inputs (2)'!V6)-1),"")</f>
        <v>-0.0245608383875892</v>
      </c>
      <c r="X226" s="34">
        <f>IFERROR(IF(('Inputs (2)'!S11+'Inputs (2)'!S6)=0,"",('Inputs (2)'!X11+'Inputs (2)'!X6)/('Inputs (2)'!S11+'Inputs (2)'!S6)-1),"")</f>
        <v>0.289885582211767</v>
      </c>
      <c r="Y226" s="32">
        <f>IFERROR(IF(('Inputs (2)'!W11+'Inputs (2)'!W6)=0,"",('Inputs (2)'!Y11+'Inputs (2)'!Y6)/('Inputs (2)'!W11+'Inputs (2)'!W6)-1),"")</f>
        <v>0.180901458549662</v>
      </c>
      <c r="Z226" s="32">
        <f>IFERROR(IF(('Inputs (2)'!Y11+'Inputs (2)'!Y6)=0,"",('Inputs (2)'!Z11+'Inputs (2)'!Z6)/('Inputs (2)'!Y11+'Inputs (2)'!Y6)-1),"")</f>
        <v>0.0255718830971015</v>
      </c>
      <c r="AA226" s="32">
        <f>IFERROR(IF(('Inputs (2)'!Z11+'Inputs (2)'!Z6)=0,"",('Inputs (2)'!AA11+'Inputs (2)'!AA6)/('Inputs (2)'!Z11+'Inputs (2)'!Z6)-1),"")</f>
        <v>0.0130168481948958</v>
      </c>
      <c r="AB226" s="32">
        <f>IFERROR(IF(('Inputs (2)'!AA11+'Inputs (2)'!AA6)=0,"",('Inputs (2)'!AB11+'Inputs (2)'!AB6)/('Inputs (2)'!AA11+'Inputs (2)'!AA6)-1),"")</f>
        <v>-0.142569013101023</v>
      </c>
      <c r="AC226" s="34">
        <f>IFERROR(IF(('Inputs (2)'!X11+'Inputs (2)'!X6)=0,"",('Inputs (2)'!AC11+'Inputs (2)'!AC6)/('Inputs (2)'!X11+'Inputs (2)'!X6)-1),"")</f>
        <v>0.0519512349690363</v>
      </c>
      <c r="AD226" s="32">
        <f>IFERROR(IF(('Inputs (2)'!AB11+'Inputs (2)'!AB6)=0,"",('Inputs (2)'!AD11+'Inputs (2)'!AD6)/('Inputs (2)'!AB11+'Inputs (2)'!AB6)-1),"")</f>
        <v>0.0619180970808821</v>
      </c>
      <c r="AE226" s="32">
        <f>IFERROR(IF(('Inputs (2)'!AD11+'Inputs (2)'!AD6)=0,"",('Inputs (2)'!AE11+'Inputs (2)'!AE6)/('Inputs (2)'!AD11+'Inputs (2)'!AD6)-1),"")</f>
        <v>0.121297599790904</v>
      </c>
      <c r="AF226" s="32">
        <f>IFERROR(IF(('Inputs (2)'!AE11+'Inputs (2)'!AE6)=0,"",('Inputs (2)'!AF11+'Inputs (2)'!AF6)/('Inputs (2)'!AE11+'Inputs (2)'!AE6)-1),"")</f>
        <v>0.0609671352493728</v>
      </c>
      <c r="AG226" s="32">
        <f>IFERROR(IF(('Inputs (2)'!AF11+'Inputs (2)'!AF6)=0,"",('Inputs (2)'!AG11+'Inputs (2)'!AG6)/('Inputs (2)'!AF11+'Inputs (2)'!AF6)-1),"")</f>
        <v>0.266315824826836</v>
      </c>
      <c r="AH226" s="34">
        <f>IFERROR(IF(('Inputs (2)'!AC11+'Inputs (2)'!AC6)=0,"",('Inputs (2)'!AH11+'Inputs (2)'!AH6)/('Inputs (2)'!AC11+'Inputs (2)'!AC6)-1),"")</f>
        <v>0.599763854741615</v>
      </c>
      <c r="AI226" s="32">
        <f>IFERROR(IF(('Inputs (2)'!AG11+'Inputs (2)'!AG6)=0,"",('Inputs (2)'!AI11+'Inputs (2)'!AI6)/('Inputs (2)'!AG11+'Inputs (2)'!AG6)-1),"")</f>
        <v>0.0453818351358777</v>
      </c>
      <c r="AJ226" s="32">
        <f>IFERROR(IF(('Inputs (2)'!AI11+'Inputs (2)'!AI6)=0,"",('Inputs (2)'!AJ11+'Inputs (2)'!AJ6)/('Inputs (2)'!AI11+'Inputs (2)'!AI6)-1),"")</f>
        <v>0.14370624922496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>
        <f>IFERROR(IF(OR(('Inputs (2)'!E11+'Inputs (2)'!E6)=0,('Inputs (2)'!E72+'Inputs (2)'!E74)=0),"",('Inputs (2)'!E72+'Inputs (2)'!E74)*4/('Inputs (2)'!E11+'Inputs (2)'!E6)),"")</f>
        <v>0.0898306298360107</v>
      </c>
      <c r="F227" s="32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>0.0592432677195834</v>
      </c>
      <c r="G227" s="32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>0.116378880589492</v>
      </c>
      <c r="H227" s="32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>0.0344767474286196</v>
      </c>
      <c r="I227" s="34">
        <f>IFERROR(IF(OR(('Inputs (2)'!I11+'Inputs (2)'!I6)=0,('Inputs (2)'!I72+'Inputs (2)'!I74)=0),"",('Inputs (2)'!I72+'Inputs (2)'!I74)/('Inputs (2)'!I11+'Inputs (2)'!I6)),"")</f>
        <v>0.0618021689409768</v>
      </c>
      <c r="J227" s="32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>0.0840621130702094</v>
      </c>
      <c r="K227" s="32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>0.0537722094580419</v>
      </c>
      <c r="L227" s="32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>0.0731655411070219</v>
      </c>
      <c r="M227" s="32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>0.102791943950864</v>
      </c>
      <c r="N227" s="34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>0.0879483411899037</v>
      </c>
      <c r="O227" s="32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>0.12304470006611</v>
      </c>
      <c r="P227" s="32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>0.259950928210531</v>
      </c>
      <c r="Q227" s="32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>0.139004701410916</v>
      </c>
      <c r="R227" s="32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>0.104206045053891</v>
      </c>
      <c r="S227" s="34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>0.173585506996733</v>
      </c>
      <c r="T227" s="32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>0.138497538764994</v>
      </c>
      <c r="U227" s="32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>0.123537514683345</v>
      </c>
      <c r="V227" s="32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>0.187322306968401</v>
      </c>
      <c r="W227" s="32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>0.18893211191469</v>
      </c>
      <c r="X227" s="34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>0.170920228484631</v>
      </c>
      <c r="Y227" s="32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>0.112077776644251</v>
      </c>
      <c r="Z227" s="32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>0.133889897536206</v>
      </c>
      <c r="AA227" s="32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>0.109656297280922</v>
      </c>
      <c r="AB227" s="32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>0.186903000392542</v>
      </c>
      <c r="AC227" s="34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>0.15326275195939</v>
      </c>
      <c r="AD227" s="32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>0.0986017583297454</v>
      </c>
      <c r="AE227" s="32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>0.140489443186905</v>
      </c>
      <c r="AF227" s="32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>0.15173151237932</v>
      </c>
      <c r="AG227" s="32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>0.156263483123175</v>
      </c>
      <c r="AH227" s="34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>0.128812999328748</v>
      </c>
      <c r="AI227" s="32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>0.19076980647925</v>
      </c>
      <c r="AJ227" s="32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>0.153746567479491</v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>0.183685464733648</v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>
        <f>IFERROR(IF(('Inputs (2)'!E32)=0,"",('Inputs (2)'!F32)/('Inputs (2)'!E32)-1),"")</f>
        <v>0.542552725884863</v>
      </c>
      <c r="G228" s="32">
        <f>IFERROR(IF(('Inputs (2)'!F32)=0,"",('Inputs (2)'!G32)/('Inputs (2)'!F32)-1),"")</f>
        <v>0.366045105309635</v>
      </c>
      <c r="H228" s="32">
        <f>IFERROR(IF(('Inputs (2)'!G32)=0,"",('Inputs (2)'!H32)/('Inputs (2)'!G32)-1),"")</f>
        <v>0.0851341594974571</v>
      </c>
      <c r="I228" s="33" t="n"/>
      <c r="J228" s="32">
        <f>IFERROR(IF(('Inputs (2)'!H32)=0,"",('Inputs (2)'!J32)/('Inputs (2)'!H32)-1),"")</f>
        <v>0.102335322778399</v>
      </c>
      <c r="K228" s="32">
        <f>IFERROR(IF(('Inputs (2)'!J32)=0,"",('Inputs (2)'!K32)/('Inputs (2)'!J32)-1),"")</f>
        <v>0.557089042428118</v>
      </c>
      <c r="L228" s="32">
        <f>IFERROR(IF(('Inputs (2)'!K32)=0,"",('Inputs (2)'!L32)/('Inputs (2)'!K32)-1),"")</f>
        <v>0.167297325258188</v>
      </c>
      <c r="M228" s="32">
        <f>IFERROR(IF(('Inputs (2)'!L32)=0,"",('Inputs (2)'!M32)/('Inputs (2)'!L32)-1),"")</f>
        <v>-0.0401141096910351</v>
      </c>
      <c r="N228" s="34">
        <f>IFERROR(IF(('Inputs (2)'!I32)=0,"",('Inputs (2)'!N32)/('Inputs (2)'!I32)-1),"")</f>
        <v>0.923216918154395</v>
      </c>
      <c r="O228" s="32">
        <f>IFERROR(IF(('Inputs (2)'!M32)=0,"",('Inputs (2)'!O32)/('Inputs (2)'!M32)-1),"")</f>
        <v>-0.0214751077229158</v>
      </c>
      <c r="P228" s="32">
        <f>IFERROR(IF(('Inputs (2)'!O32)=0,"",('Inputs (2)'!P32)/('Inputs (2)'!O32)-1),"")</f>
        <v>0.0503902543922892</v>
      </c>
      <c r="Q228" s="32">
        <f>IFERROR(IF(('Inputs (2)'!P32)=0,"",('Inputs (2)'!Q32)/('Inputs (2)'!P32)-1),"")</f>
        <v>0.0256375920157681</v>
      </c>
      <c r="R228" s="32">
        <f>IFERROR(IF(('Inputs (2)'!Q32)=0,"",('Inputs (2)'!R32)/('Inputs (2)'!Q32)-1),"")</f>
        <v>0.00224057149342438</v>
      </c>
      <c r="S228" s="34">
        <f>IFERROR(IF(('Inputs (2)'!N32)=0,"",('Inputs (2)'!S32)/('Inputs (2)'!N32)-1),"")</f>
        <v>0.0565461489212595</v>
      </c>
      <c r="T228" s="32">
        <f>IFERROR(IF(('Inputs (2)'!R32)=0,"",('Inputs (2)'!T32)/('Inputs (2)'!R32)-1),"")</f>
        <v>0.0221171361462447</v>
      </c>
      <c r="U228" s="32">
        <f>IFERROR(IF(('Inputs (2)'!T32)=0,"",('Inputs (2)'!U32)/('Inputs (2)'!T32)-1),"")</f>
        <v>0.0483523404073898</v>
      </c>
      <c r="V228" s="32">
        <f>IFERROR(IF(('Inputs (2)'!U32)=0,"",('Inputs (2)'!V32)/('Inputs (2)'!U32)-1),"")</f>
        <v>0.0440273392927655</v>
      </c>
      <c r="W228" s="32">
        <f>IFERROR(IF(('Inputs (2)'!V32)=0,"",('Inputs (2)'!W32)/('Inputs (2)'!V32)-1),"")</f>
        <v>0.0292074743296056</v>
      </c>
      <c r="X228" s="34">
        <f>IFERROR(IF(('Inputs (2)'!S32)=0,"",('Inputs (2)'!X32)/('Inputs (2)'!S32)-1),"")</f>
        <v>0.151390764085243</v>
      </c>
      <c r="Y228" s="32">
        <f>IFERROR(IF(('Inputs (2)'!W32)=0,"",('Inputs (2)'!Y32)/('Inputs (2)'!W32)-1),"")</f>
        <v>0.129755326549274</v>
      </c>
      <c r="Z228" s="32">
        <f>IFERROR(IF(('Inputs (2)'!Y32)=0,"",('Inputs (2)'!Z32)/('Inputs (2)'!Y32)-1),"")</f>
        <v>0.0160498321805698</v>
      </c>
      <c r="AA228" s="32">
        <f>IFERROR(IF(('Inputs (2)'!Z32)=0,"",('Inputs (2)'!AA32)/('Inputs (2)'!Z32)-1),"")</f>
        <v>0.0041448189416784</v>
      </c>
      <c r="AB228" s="32">
        <f>IFERROR(IF(('Inputs (2)'!AA32)=0,"",('Inputs (2)'!AB32)/('Inputs (2)'!AA32)-1),"")</f>
        <v>-0.0242589731911989</v>
      </c>
      <c r="AC228" s="34">
        <f>IFERROR(IF(('Inputs (2)'!X32)=0,"",('Inputs (2)'!AC32)/('Inputs (2)'!X32)-1),"")</f>
        <v>0.124683500465957</v>
      </c>
      <c r="AD228" s="32">
        <f>IFERROR(IF(('Inputs (2)'!AB32)=0,"",('Inputs (2)'!AD32)/('Inputs (2)'!AB32)-1),"")</f>
        <v>-0.0343350786569836</v>
      </c>
      <c r="AE228" s="32">
        <f>IFERROR(IF(('Inputs (2)'!AD32)=0,"",('Inputs (2)'!AE32)/('Inputs (2)'!AD32)-1),"")</f>
        <v>0.024338793958057</v>
      </c>
      <c r="AF228" s="32">
        <f>IFERROR(IF(('Inputs (2)'!AE32)=0,"",('Inputs (2)'!AF32)/('Inputs (2)'!AE32)-1),"")</f>
        <v>0.139462636515284</v>
      </c>
      <c r="AG228" s="32">
        <f>IFERROR(IF(('Inputs (2)'!AF32)=0,"",('Inputs (2)'!AG32)/('Inputs (2)'!AF32)-1),"")</f>
        <v>0.0427534463354529</v>
      </c>
      <c r="AH228" s="34">
        <f>IFERROR(IF(('Inputs (2)'!AC32)=0,"",('Inputs (2)'!AH32)/('Inputs (2)'!AC32)-1),"")</f>
        <v>0.175308289288829</v>
      </c>
      <c r="AI228" s="32">
        <f>IFERROR(IF(('Inputs (2)'!AG32)=0,"",('Inputs (2)'!AI32)/('Inputs (2)'!AG32)-1),"")</f>
        <v>0.0793496546998607</v>
      </c>
      <c r="AJ228" s="32">
        <f>IFERROR(IF(('Inputs (2)'!AI32)=0,"",('Inputs (2)'!AJ32)/('Inputs (2)'!AI32)-1),"")</f>
        <v>0.0858616652336348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>
        <f>IFERROR(IF(('Inputs (2)'!E42)=0,"",('Inputs (2)'!F42)/('Inputs (2)'!E42)-1),"")</f>
        <v>0.464703779486581</v>
      </c>
      <c r="G229" s="32">
        <f>IFERROR(IF(('Inputs (2)'!F42)=0,"",('Inputs (2)'!G42)/('Inputs (2)'!F42)-1),"")</f>
        <v>0.138505800841686</v>
      </c>
      <c r="H229" s="32">
        <f>IFERROR(IF(('Inputs (2)'!G42)=0,"",('Inputs (2)'!H42)/('Inputs (2)'!G42)-1),"")</f>
        <v>-0.0060167074917471</v>
      </c>
      <c r="I229" s="33" t="n"/>
      <c r="J229" s="32">
        <f>IFERROR(IF(('Inputs (2)'!H42)=0,"",('Inputs (2)'!J42)/('Inputs (2)'!H42)-1),"")</f>
        <v>0.155600653762067</v>
      </c>
      <c r="K229" s="32">
        <f>IFERROR(IF(('Inputs (2)'!J42)=0,"",('Inputs (2)'!K42)/('Inputs (2)'!J42)-1),"")</f>
        <v>0.139140463084105</v>
      </c>
      <c r="L229" s="32">
        <f>IFERROR(IF(('Inputs (2)'!K42)=0,"",('Inputs (2)'!L42)/('Inputs (2)'!K42)-1),"")</f>
        <v>0.0736844844957278</v>
      </c>
      <c r="M229" s="32">
        <f>IFERROR(IF(('Inputs (2)'!L42)=0,"",('Inputs (2)'!M42)/('Inputs (2)'!L42)-1),"")</f>
        <v>-0.0723788921150558</v>
      </c>
      <c r="N229" s="34">
        <f>IFERROR(IF(('Inputs (2)'!I42)=0,"",('Inputs (2)'!N42)/('Inputs (2)'!I42)-1),"")</f>
        <v>0.311089553794705</v>
      </c>
      <c r="O229" s="32">
        <f>IFERROR(IF(('Inputs (2)'!M42)=0,"",('Inputs (2)'!O42)/('Inputs (2)'!M42)-1),"")</f>
        <v>0.0425838087641912</v>
      </c>
      <c r="P229" s="32">
        <f>IFERROR(IF(('Inputs (2)'!O42)=0,"",('Inputs (2)'!P42)/('Inputs (2)'!O42)-1),"")</f>
        <v>0.0886113240478066</v>
      </c>
      <c r="Q229" s="32">
        <f>IFERROR(IF(('Inputs (2)'!P42)=0,"",('Inputs (2)'!Q42)/('Inputs (2)'!P42)-1),"")</f>
        <v>0.0310277662431515</v>
      </c>
      <c r="R229" s="32">
        <f>IFERROR(IF(('Inputs (2)'!Q42)=0,"",('Inputs (2)'!R42)/('Inputs (2)'!Q42)-1),"")</f>
        <v>-0.0236107053921832</v>
      </c>
      <c r="S229" s="34">
        <f>IFERROR(IF(('Inputs (2)'!N42)=0,"",('Inputs (2)'!S42)/('Inputs (2)'!N42)-1),"")</f>
        <v>0.14255520751199</v>
      </c>
      <c r="T229" s="32">
        <f>IFERROR(IF(('Inputs (2)'!R42)=0,"",('Inputs (2)'!T42)/('Inputs (2)'!R42)-1),"")</f>
        <v>0.0205126600793182</v>
      </c>
      <c r="U229" s="32">
        <f>IFERROR(IF(('Inputs (2)'!T42)=0,"",('Inputs (2)'!U42)/('Inputs (2)'!T42)-1),"")</f>
        <v>-0.0172069768950326</v>
      </c>
      <c r="V229" s="32">
        <f>IFERROR(IF(('Inputs (2)'!U42)=0,"",('Inputs (2)'!V42)/('Inputs (2)'!U42)-1),"")</f>
        <v>0.0436261477115261</v>
      </c>
      <c r="W229" s="32">
        <f>IFERROR(IF(('Inputs (2)'!V42)=0,"",('Inputs (2)'!W42)/('Inputs (2)'!V42)-1),"")</f>
        <v>0.0409488586266076</v>
      </c>
      <c r="X229" s="34">
        <f>IFERROR(IF(('Inputs (2)'!S42)=0,"",('Inputs (2)'!X42)/('Inputs (2)'!S42)-1),"")</f>
        <v>0.0895691709821276</v>
      </c>
      <c r="Y229" s="32">
        <f>IFERROR(IF(('Inputs (2)'!W42)=0,"",('Inputs (2)'!Y42)/('Inputs (2)'!W42)-1),"")</f>
        <v>0.125683994545308</v>
      </c>
      <c r="Z229" s="32">
        <f>IFERROR(IF(('Inputs (2)'!Y42)=0,"",('Inputs (2)'!Z42)/('Inputs (2)'!Y42)-1),"")</f>
        <v>0.0544733747502368</v>
      </c>
      <c r="AA229" s="32">
        <f>IFERROR(IF(('Inputs (2)'!Z42)=0,"",('Inputs (2)'!AA42)/('Inputs (2)'!Z42)-1),"")</f>
        <v>0.1526539438855</v>
      </c>
      <c r="AB229" s="32">
        <f>IFERROR(IF(('Inputs (2)'!AA42)=0,"",('Inputs (2)'!AB42)/('Inputs (2)'!AA42)-1),"")</f>
        <v>0.0550504489114436</v>
      </c>
      <c r="AC229" s="34">
        <f>IFERROR(IF(('Inputs (2)'!X42)=0,"",('Inputs (2)'!AC42)/('Inputs (2)'!X42)-1),"")</f>
        <v>0.443524890308374</v>
      </c>
      <c r="AD229" s="32">
        <f>IFERROR(IF(('Inputs (2)'!AB42)=0,"",('Inputs (2)'!AD42)/('Inputs (2)'!AB42)-1),"")</f>
        <v>-0.0170741746247474</v>
      </c>
      <c r="AE229" s="32">
        <f>IFERROR(IF(('Inputs (2)'!AD42)=0,"",('Inputs (2)'!AE42)/('Inputs (2)'!AD42)-1),"")</f>
        <v>0.043701482182599</v>
      </c>
      <c r="AF229" s="32">
        <f>IFERROR(IF(('Inputs (2)'!AE42)=0,"",('Inputs (2)'!AF42)/('Inputs (2)'!AE42)-1),"")</f>
        <v>0.0393571815575213</v>
      </c>
      <c r="AG229" s="32">
        <f>IFERROR(IF(('Inputs (2)'!AF42)=0,"",('Inputs (2)'!AG42)/('Inputs (2)'!AF42)-1),"")</f>
        <v>0.0514017893383441</v>
      </c>
      <c r="AH229" s="34">
        <f>IFERROR(IF(('Inputs (2)'!AC42)=0,"",('Inputs (2)'!AH42)/('Inputs (2)'!AC42)-1),"")</f>
        <v>0.121064445290154</v>
      </c>
      <c r="AI229" s="32">
        <f>IFERROR(IF(('Inputs (2)'!AG42)=0,"",('Inputs (2)'!AI42)/('Inputs (2)'!AG42)-1),"")</f>
        <v>0.026367548960341</v>
      </c>
      <c r="AJ229" s="32">
        <f>IFERROR(IF(('Inputs (2)'!AI42)=0,"",('Inputs (2)'!AJ42)/('Inputs (2)'!AI42)-1),"")</f>
        <v>0.0537943905322991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>
        <f>IFERROR(IF(('Inputs (2)'!E47)=0,"",('Inputs (2)'!F47)/('Inputs (2)'!E47)-1),"")</f>
        <v>-0.0787447330675124</v>
      </c>
      <c r="G230" s="32">
        <f>IFERROR(IF(('Inputs (2)'!F47)=0,"",('Inputs (2)'!G47)/('Inputs (2)'!F47)-1),"")</f>
        <v>0.165916257261137</v>
      </c>
      <c r="H230" s="32">
        <f>IFERROR(IF(('Inputs (2)'!G47)=0,"",('Inputs (2)'!H47)/('Inputs (2)'!G47)-1),"")</f>
        <v>0.264908320590845</v>
      </c>
      <c r="I230" s="33" t="n"/>
      <c r="J230" s="32">
        <f>IFERROR(IF(('Inputs (2)'!H47)=0,"",('Inputs (2)'!J47)/('Inputs (2)'!H47)-1),"")</f>
        <v>0.025266777299189</v>
      </c>
      <c r="K230" s="32">
        <f>IFERROR(IF(('Inputs (2)'!J47)=0,"",('Inputs (2)'!K47)/('Inputs (2)'!J47)-1),"")</f>
        <v>-0.145131538224554</v>
      </c>
      <c r="L230" s="32">
        <f>IFERROR(IF(('Inputs (2)'!K47)=0,"",('Inputs (2)'!L47)/('Inputs (2)'!K47)-1),"")</f>
        <v>0.38872727800655</v>
      </c>
      <c r="M230" s="32">
        <f>IFERROR(IF(('Inputs (2)'!L47)=0,"",('Inputs (2)'!M47)/('Inputs (2)'!L47)-1),"")</f>
        <v>0.11270436316083</v>
      </c>
      <c r="N230" s="34">
        <f>IFERROR(IF(('Inputs (2)'!I47)=0,"",('Inputs (2)'!N47)/('Inputs (2)'!I47)-1),"")</f>
        <v>0.354356315135183</v>
      </c>
      <c r="O230" s="32">
        <f>IFERROR(IF(('Inputs (2)'!M47)=0,"",('Inputs (2)'!O47)/('Inputs (2)'!M47)-1),"")</f>
        <v>0.551497784071281</v>
      </c>
      <c r="P230" s="32">
        <f>IFERROR(IF(('Inputs (2)'!O47)=0,"",('Inputs (2)'!P47)/('Inputs (2)'!O47)-1),"")</f>
        <v>0.0236741669324945</v>
      </c>
      <c r="Q230" s="32">
        <f>IFERROR(IF(('Inputs (2)'!P47)=0,"",('Inputs (2)'!Q47)/('Inputs (2)'!P47)-1),"")</f>
        <v>0.0377932904955813</v>
      </c>
      <c r="R230" s="32">
        <f>IFERROR(IF(('Inputs (2)'!Q47)=0,"",('Inputs (2)'!R47)/('Inputs (2)'!Q47)-1),"")</f>
        <v>0.19313572751947</v>
      </c>
      <c r="S230" s="34">
        <f>IFERROR(IF(('Inputs (2)'!N47)=0,"",('Inputs (2)'!S47)/('Inputs (2)'!N47)-1),"")</f>
        <v>0.966589030917208</v>
      </c>
      <c r="T230" s="32">
        <f>IFERROR(IF(('Inputs (2)'!R47)=0,"",('Inputs (2)'!T47)/('Inputs (2)'!R47)-1),"")</f>
        <v>-0.183527799805552</v>
      </c>
      <c r="U230" s="32">
        <f>IFERROR(IF(('Inputs (2)'!T47)=0,"",('Inputs (2)'!U47)/('Inputs (2)'!T47)-1),"")</f>
        <v>-0.123689761275383</v>
      </c>
      <c r="V230" s="32">
        <f>IFERROR(IF(('Inputs (2)'!U47)=0,"",('Inputs (2)'!V47)/('Inputs (2)'!U47)-1),"")</f>
        <v>0.0183847856826385</v>
      </c>
      <c r="W230" s="32">
        <f>IFERROR(IF(('Inputs (2)'!V47)=0,"",('Inputs (2)'!W47)/('Inputs (2)'!V47)-1),"")</f>
        <v>0.363760488403565</v>
      </c>
      <c r="X230" s="34">
        <f>IFERROR(IF(('Inputs (2)'!S47)=0,"",('Inputs (2)'!X47)/('Inputs (2)'!S47)-1),"")</f>
        <v>-0.00631371810576142</v>
      </c>
      <c r="Y230" s="32">
        <f>IFERROR(IF(('Inputs (2)'!W47)=0,"",('Inputs (2)'!Y47)/('Inputs (2)'!W47)-1),"")</f>
        <v>-0.105970646024296</v>
      </c>
      <c r="Z230" s="32">
        <f>IFERROR(IF(('Inputs (2)'!Y47)=0,"",('Inputs (2)'!Z47)/('Inputs (2)'!Y47)-1),"")</f>
        <v>0.068273217304464</v>
      </c>
      <c r="AA230" s="32">
        <f>IFERROR(IF(('Inputs (2)'!Z47)=0,"",('Inputs (2)'!AA47)/('Inputs (2)'!Z47)-1),"")</f>
        <v>0.368824538668443</v>
      </c>
      <c r="AB230" s="32">
        <f>IFERROR(IF(('Inputs (2)'!AA47)=0,"",('Inputs (2)'!AB47)/('Inputs (2)'!AA47)-1),"")</f>
        <v>0.00220311991189259</v>
      </c>
      <c r="AC230" s="34">
        <f>IFERROR(IF(('Inputs (2)'!X47)=0,"",('Inputs (2)'!AC47)/('Inputs (2)'!X47)-1),"")</f>
        <v>0.310200169284671</v>
      </c>
      <c r="AD230" s="32">
        <f>IFERROR(IF(('Inputs (2)'!AB47)=0,"",('Inputs (2)'!AD47)/('Inputs (2)'!AB47)-1),"")</f>
        <v>0.0789786521012017</v>
      </c>
      <c r="AE230" s="32">
        <f>IFERROR(IF(('Inputs (2)'!AD47)=0,"",('Inputs (2)'!AE47)/('Inputs (2)'!AD47)-1),"")</f>
        <v>0.255630613549987</v>
      </c>
      <c r="AF230" s="32">
        <f>IFERROR(IF(('Inputs (2)'!AE47)=0,"",('Inputs (2)'!AF47)/('Inputs (2)'!AE47)-1),"")</f>
        <v>-0.00936075571479222</v>
      </c>
      <c r="AG230" s="32">
        <f>IFERROR(IF(('Inputs (2)'!AF47)=0,"",('Inputs (2)'!AG47)/('Inputs (2)'!AF47)-1),"")</f>
        <v>0.453001785213988</v>
      </c>
      <c r="AH230" s="34">
        <f>IFERROR(IF(('Inputs (2)'!AC47)=0,"",('Inputs (2)'!AH47)/('Inputs (2)'!AC47)-1),"")</f>
        <v>0.950097943564972</v>
      </c>
      <c r="AI230" s="32">
        <f>IFERROR(IF(('Inputs (2)'!AG47)=0,"",('Inputs (2)'!AI47)/('Inputs (2)'!AG47)-1),"")</f>
        <v>0.00681683582502868</v>
      </c>
      <c r="AJ230" s="32">
        <f>IFERROR(IF(('Inputs (2)'!AI47)=0,"",('Inputs (2)'!AJ47)/('Inputs (2)'!AI47)-1),"")</f>
        <v>-0.0038009577323922</v>
      </c>
      <c r="AK230" s="32">
        <f>IFERROR(IF(('Inputs (2)'!AJ47)=0,"",('Inputs (2)'!AK47)/('Inputs (2)'!AJ47)-1),"")</f>
        <v>-1</v>
      </c>
      <c r="AL230" s="32" t="str">
        <f>IFERROR(IF(('Inputs (2)'!AK47)=0,"",('Inputs (2)'!AL47)/('Inputs (2)'!AK47)-1),"")</f>
        <v/>
      </c>
      <c r="AM230" s="34">
        <f>IFERROR(IF(('Inputs (2)'!AH47)=0,"",('Inputs (2)'!AM47)/('Inputs (2)'!AH47)-1),"")</f>
        <v>-1</v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>
        <f>IFERROR(IF(OR(ABS(('Inputs (2)'!E32+'Inputs (2)'!E38+'Inputs (2)'!E42+'Inputs (2)'!E47))=0,('Inputs (2)'!E75)=0),"",ABS('Inputs (2)'!E75)*4/ABS(('Inputs (2)'!E32+'Inputs (2)'!E38+'Inputs (2)'!E42+'Inputs (2)'!E47))),"")</f>
        <v>0.14705094539541</v>
      </c>
      <c r="F231" s="32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>0.0832814051194996</v>
      </c>
      <c r="G231" s="32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>0.0897514588045176</v>
      </c>
      <c r="H231" s="32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>0.0305606948463471</v>
      </c>
      <c r="I231" s="34">
        <f>IFERROR(IF(OR(ABS(('Inputs (2)'!I32+'Inputs (2)'!I38+'Inputs (2)'!I42+'Inputs (2)'!I47))=0,('Inputs (2)'!I75)=0),"",ABS('Inputs (2)'!I75)/ABS(('Inputs (2)'!I32+'Inputs (2)'!I38+'Inputs (2)'!I42+'Inputs (2)'!I47))),"")</f>
        <v>0.0662957039099261</v>
      </c>
      <c r="J231" s="32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>0.147377573329302</v>
      </c>
      <c r="K231" s="32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>0.0062802231643967</v>
      </c>
      <c r="L231" s="32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>0.0941515620962597</v>
      </c>
      <c r="M231" s="32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>0.120585584840881</v>
      </c>
      <c r="N231" s="34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>0.0982447456174272</v>
      </c>
      <c r="O231" s="32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>0.152467616355005</v>
      </c>
      <c r="P231" s="32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>0.278782293874536</v>
      </c>
      <c r="Q231" s="32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>0.161636575368833</v>
      </c>
      <c r="R231" s="32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>0.158991766935419</v>
      </c>
      <c r="S231" s="34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>0.196737639623665</v>
      </c>
      <c r="T231" s="32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>0.138260687846709</v>
      </c>
      <c r="U231" s="32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>0.185621948558053</v>
      </c>
      <c r="V231" s="32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>0.16358515946158</v>
      </c>
      <c r="W231" s="32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>0.175246728590893</v>
      </c>
      <c r="X231" s="34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>0.165758905034397</v>
      </c>
      <c r="Y231" s="32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>0.131081106594334</v>
      </c>
      <c r="Z231" s="32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>0.126796082375712</v>
      </c>
      <c r="AA231" s="32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>0.125243070865444</v>
      </c>
      <c r="AB231" s="32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>0.151670218767849</v>
      </c>
      <c r="AC231" s="34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>0.141407808832562</v>
      </c>
      <c r="AD231" s="32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>0.123528174777336</v>
      </c>
      <c r="AE231" s="32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>0.13453132032235</v>
      </c>
      <c r="AF231" s="32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>0.128823055715091</v>
      </c>
      <c r="AG231" s="32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>0.137484538650965</v>
      </c>
      <c r="AH231" s="34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>0.119785806949205</v>
      </c>
      <c r="AI231" s="32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>0.154344569864663</v>
      </c>
      <c r="AJ231" s="32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>0.130315378764359</v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>0.148539200666766</v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>
        <f>IFERROR(IF(('Inputs (2)'!E23)=0,"",('Inputs (2)'!F23)/('Inputs (2)'!E23)-1),"")</f>
        <v>0.0980469007591747</v>
      </c>
      <c r="G232" s="32">
        <f>IFERROR(IF(('Inputs (2)'!F23)=0,"",('Inputs (2)'!G23)/('Inputs (2)'!F23)-1),"")</f>
        <v>-0.0895433046886222</v>
      </c>
      <c r="H232" s="32">
        <f>IFERROR(IF(('Inputs (2)'!G23)=0,"",('Inputs (2)'!H23)/('Inputs (2)'!G23)-1),"")</f>
        <v>-0.318892161599751</v>
      </c>
      <c r="I232" s="33" t="n"/>
      <c r="J232" s="32">
        <f>IFERROR(IF(('Inputs (2)'!H23)=0,"",('Inputs (2)'!J23)/('Inputs (2)'!H23)-1),"")</f>
        <v>0.650556860598313</v>
      </c>
      <c r="K232" s="32">
        <f>IFERROR(IF(('Inputs (2)'!J23)=0,"",('Inputs (2)'!K23)/('Inputs (2)'!J23)-1),"")</f>
        <v>-0.179999822454876</v>
      </c>
      <c r="L232" s="32">
        <f>IFERROR(IF(('Inputs (2)'!K23)=0,"",('Inputs (2)'!L23)/('Inputs (2)'!K23)-1),"")</f>
        <v>-0.216229405490029</v>
      </c>
      <c r="M232" s="32">
        <f>IFERROR(IF(('Inputs (2)'!L23)=0,"",('Inputs (2)'!M23)/('Inputs (2)'!L23)-1),"")</f>
        <v>0.221781136373919</v>
      </c>
      <c r="N232" s="34">
        <f>IFERROR(IF(('Inputs (2)'!I23)=0,"",('Inputs (2)'!N23)/('Inputs (2)'!I23)-1),"")</f>
        <v>0.296065104280647</v>
      </c>
      <c r="O232" s="32">
        <f>IFERROR(IF(('Inputs (2)'!M23)=0,"",('Inputs (2)'!O23)/('Inputs (2)'!M23)-1),"")</f>
        <v>0.02338571029152</v>
      </c>
      <c r="P232" s="32">
        <f>IFERROR(IF(('Inputs (2)'!O23)=0,"",('Inputs (2)'!P23)/('Inputs (2)'!O23)-1),"")</f>
        <v>0.77941443880468</v>
      </c>
      <c r="Q232" s="32">
        <f>IFERROR(IF(('Inputs (2)'!P23)=0,"",('Inputs (2)'!Q23)/('Inputs (2)'!P23)-1),"")</f>
        <v>-0.395681906566597</v>
      </c>
      <c r="R232" s="32">
        <f>IFERROR(IF(('Inputs (2)'!Q23)=0,"",('Inputs (2)'!R23)/('Inputs (2)'!Q23)-1),"")</f>
        <v>0.422229397529204</v>
      </c>
      <c r="S232" s="34">
        <f>IFERROR(IF(('Inputs (2)'!N23)=0,"",('Inputs (2)'!S23)/('Inputs (2)'!N23)-1),"")</f>
        <v>0.565134654227864</v>
      </c>
      <c r="T232" s="32">
        <f>IFERROR(IF(('Inputs (2)'!R23)=0,"",('Inputs (2)'!T23)/('Inputs (2)'!R23)-1),"")</f>
        <v>-0.0898384146911817</v>
      </c>
      <c r="U232" s="32">
        <f>IFERROR(IF(('Inputs (2)'!T23)=0,"",('Inputs (2)'!U23)/('Inputs (2)'!T23)-1),"")</f>
        <v>-0.0884414297669081</v>
      </c>
      <c r="V232" s="32">
        <f>IFERROR(IF(('Inputs (2)'!U23)=0,"",('Inputs (2)'!V23)/('Inputs (2)'!U23)-1),"")</f>
        <v>-0.101330446562038</v>
      </c>
      <c r="W232" s="32">
        <f>IFERROR(IF(('Inputs (2)'!V23)=0,"",('Inputs (2)'!W23)/('Inputs (2)'!V23)-1),"")</f>
        <v>-0.068810794749941</v>
      </c>
      <c r="X232" s="34">
        <f>IFERROR(IF(('Inputs (2)'!S23)=0,"",('Inputs (2)'!X23)/('Inputs (2)'!S23)-1),"")</f>
        <v>-0.305709790535269</v>
      </c>
      <c r="Y232" s="32">
        <f>IFERROR(IF(('Inputs (2)'!W23)=0,"",('Inputs (2)'!Y23)/('Inputs (2)'!W23)-1),"")</f>
        <v>0.21333217395291</v>
      </c>
      <c r="Z232" s="32">
        <f>IFERROR(IF(('Inputs (2)'!Y23)=0,"",('Inputs (2)'!Z23)/('Inputs (2)'!Y23)-1),"")</f>
        <v>0.134314981394073</v>
      </c>
      <c r="AA232" s="32">
        <f>IFERROR(IF(('Inputs (2)'!Z23)=0,"",('Inputs (2)'!AA23)/('Inputs (2)'!Z23)-1),"")</f>
        <v>-0.155303678801611</v>
      </c>
      <c r="AB232" s="32">
        <f>IFERROR(IF(('Inputs (2)'!AA23)=0,"",('Inputs (2)'!AB23)/('Inputs (2)'!AA23)-1),"")</f>
        <v>0.348615048973085</v>
      </c>
      <c r="AC232" s="34">
        <f>IFERROR(IF(('Inputs (2)'!X23)=0,"",('Inputs (2)'!AC23)/('Inputs (2)'!X23)-1),"")</f>
        <v>0.567840888101491</v>
      </c>
      <c r="AD232" s="32">
        <f>IFERROR(IF(('Inputs (2)'!AB23)=0,"",('Inputs (2)'!AD23)/('Inputs (2)'!AB23)-1),"")</f>
        <v>-0.0818656078124126</v>
      </c>
      <c r="AE232" s="32">
        <f>IFERROR(IF(('Inputs (2)'!AD23)=0,"",('Inputs (2)'!AE23)/('Inputs (2)'!AD23)-1),"")</f>
        <v>0.103673748363295</v>
      </c>
      <c r="AF232" s="32">
        <f>IFERROR(IF(('Inputs (2)'!AE23)=0,"",('Inputs (2)'!AF23)/('Inputs (2)'!AE23)-1),"")</f>
        <v>-0.0447481136035242</v>
      </c>
      <c r="AG232" s="32">
        <f>IFERROR(IF(('Inputs (2)'!AF23)=0,"",('Inputs (2)'!AG23)/('Inputs (2)'!AF23)-1),"")</f>
        <v>0.156987902192696</v>
      </c>
      <c r="AH232" s="34">
        <f>IFERROR(IF(('Inputs (2)'!AC23)=0,"",('Inputs (2)'!AH23)/('Inputs (2)'!AC23)-1),"")</f>
        <v>0.119937251304999</v>
      </c>
      <c r="AI232" s="32">
        <f>IFERROR(IF(('Inputs (2)'!AG23)=0,"",('Inputs (2)'!AI23)/('Inputs (2)'!AG23)-1),"")</f>
        <v>0.0342269540864641</v>
      </c>
      <c r="AJ232" s="32">
        <f>IFERROR(IF(('Inputs (2)'!AI23)=0,"",('Inputs (2)'!AJ23)/('Inputs (2)'!AI23)-1),"")</f>
        <v>0.0519178975079107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>
        <f>IFERROR(IF(('Inputs (2)'!E56)=0,"",('Inputs (2)'!F56)/('Inputs (2)'!E56)-1),"")</f>
        <v>0.0579195225187028</v>
      </c>
      <c r="G233" s="32">
        <f>IFERROR(IF(('Inputs (2)'!F56)=0,"",('Inputs (2)'!G56)/('Inputs (2)'!F56)-1),"")</f>
        <v>-0.0590081651137482</v>
      </c>
      <c r="H233" s="32">
        <f>IFERROR(IF(('Inputs (2)'!G56)=0,"",('Inputs (2)'!H56)/('Inputs (2)'!G56)-1),"")</f>
        <v>-0.297725236129649</v>
      </c>
      <c r="I233" s="33" t="n"/>
      <c r="J233" s="32">
        <f>IFERROR(IF(('Inputs (2)'!H56)=0,"",('Inputs (2)'!J56)/('Inputs (2)'!H56)-1),"")</f>
        <v>0.625473610923625</v>
      </c>
      <c r="K233" s="32">
        <f>IFERROR(IF(('Inputs (2)'!J56)=0,"",('Inputs (2)'!K56)/('Inputs (2)'!J56)-1),"")</f>
        <v>-0.200698323821918</v>
      </c>
      <c r="L233" s="32">
        <f>IFERROR(IF(('Inputs (2)'!K56)=0,"",('Inputs (2)'!L56)/('Inputs (2)'!K56)-1),"")</f>
        <v>-0.213211243851118</v>
      </c>
      <c r="M233" s="32">
        <f>IFERROR(IF(('Inputs (2)'!L56)=0,"",('Inputs (2)'!M56)/('Inputs (2)'!L56)-1),"")</f>
        <v>0.341220134811546</v>
      </c>
      <c r="N233" s="34">
        <f>IFERROR(IF(('Inputs (2)'!I56)=0,"",('Inputs (2)'!N56)/('Inputs (2)'!I56)-1),"")</f>
        <v>0.371035993571683</v>
      </c>
      <c r="O233" s="32">
        <f>IFERROR(IF(('Inputs (2)'!M56)=0,"",('Inputs (2)'!O56)/('Inputs (2)'!M56)-1),"")</f>
        <v>0.0515324997312943</v>
      </c>
      <c r="P233" s="32">
        <f>IFERROR(IF(('Inputs (2)'!O56)=0,"",('Inputs (2)'!P56)/('Inputs (2)'!O56)-1),"")</f>
        <v>0.7779893647423</v>
      </c>
      <c r="Q233" s="32">
        <f>IFERROR(IF(('Inputs (2)'!P56)=0,"",('Inputs (2)'!Q56)/('Inputs (2)'!P56)-1),"")</f>
        <v>-0.344673385393193</v>
      </c>
      <c r="R233" s="32">
        <f>IFERROR(IF(('Inputs (2)'!Q56)=0,"",('Inputs (2)'!R56)/('Inputs (2)'!Q56)-1),"")</f>
        <v>0.448376408531716</v>
      </c>
      <c r="S233" s="34">
        <f>IFERROR(IF(('Inputs (2)'!N56)=0,"",('Inputs (2)'!S56)/('Inputs (2)'!N56)-1),"")</f>
        <v>0.774561713725825</v>
      </c>
      <c r="T233" s="32">
        <f>IFERROR(IF(('Inputs (2)'!R56)=0,"",('Inputs (2)'!T56)/('Inputs (2)'!R56)-1),"")</f>
        <v>-0.12187132512458</v>
      </c>
      <c r="U233" s="32">
        <f>IFERROR(IF(('Inputs (2)'!T56)=0,"",('Inputs (2)'!U56)/('Inputs (2)'!T56)-1),"")</f>
        <v>0.00588209592205735</v>
      </c>
      <c r="V233" s="32">
        <f>IFERROR(IF(('Inputs (2)'!U56)=0,"",('Inputs (2)'!V56)/('Inputs (2)'!U56)-1),"")</f>
        <v>-0.0123905762495813</v>
      </c>
      <c r="W233" s="32">
        <f>IFERROR(IF(('Inputs (2)'!V56)=0,"",('Inputs (2)'!W56)/('Inputs (2)'!V56)-1),"")</f>
        <v>0.0351373227880172</v>
      </c>
      <c r="X233" s="34">
        <f>IFERROR(IF(('Inputs (2)'!S56)=0,"",('Inputs (2)'!X56)/('Inputs (2)'!S56)-1),"")</f>
        <v>-0.0969985864443878</v>
      </c>
      <c r="Y233" s="32">
        <f>IFERROR(IF(('Inputs (2)'!W56)=0,"",('Inputs (2)'!Y56)/('Inputs (2)'!W56)-1),"")</f>
        <v>0.107829914151166</v>
      </c>
      <c r="Z233" s="32">
        <f>IFERROR(IF(('Inputs (2)'!Y56)=0,"",('Inputs (2)'!Z56)/('Inputs (2)'!Y56)-1),"")</f>
        <v>0.135781231174611</v>
      </c>
      <c r="AA233" s="32">
        <f>IFERROR(IF(('Inputs (2)'!Z56)=0,"",('Inputs (2)'!AA56)/('Inputs (2)'!Z56)-1),"")</f>
        <v>0.0125617697987048</v>
      </c>
      <c r="AB233" s="32">
        <f>IFERROR(IF(('Inputs (2)'!AA56)=0,"",('Inputs (2)'!AB56)/('Inputs (2)'!AA56)-1),"")</f>
        <v>-0.0885128140162816</v>
      </c>
      <c r="AC233" s="34">
        <f>IFERROR(IF(('Inputs (2)'!X56)=0,"",('Inputs (2)'!AC56)/('Inputs (2)'!X56)-1),"")</f>
        <v>0.161287815670209</v>
      </c>
      <c r="AD233" s="32">
        <f>IFERROR(IF(('Inputs (2)'!AB56)=0,"",('Inputs (2)'!AD56)/('Inputs (2)'!AB56)-1),"")</f>
        <v>-0.00758594137864133</v>
      </c>
      <c r="AE233" s="32">
        <f>IFERROR(IF(('Inputs (2)'!AD56)=0,"",('Inputs (2)'!AE56)/('Inputs (2)'!AD56)-1),"")</f>
        <v>0.109117922707299</v>
      </c>
      <c r="AF233" s="32">
        <f>IFERROR(IF(('Inputs (2)'!AE56)=0,"",('Inputs (2)'!AF56)/('Inputs (2)'!AE56)-1),"")</f>
        <v>0.0211651397224728</v>
      </c>
      <c r="AG233" s="32">
        <f>IFERROR(IF(('Inputs (2)'!AF56)=0,"",('Inputs (2)'!AG56)/('Inputs (2)'!AF56)-1),"")</f>
        <v>0.167078784819978</v>
      </c>
      <c r="AH233" s="34">
        <f>IFERROR(IF(('Inputs (2)'!AC56)=0,"",('Inputs (2)'!AH56)/('Inputs (2)'!AC56)-1),"")</f>
        <v>0.311797461839429</v>
      </c>
      <c r="AI233" s="32">
        <f>IFERROR(IF(('Inputs (2)'!AG56)=0,"",('Inputs (2)'!AI56)/('Inputs (2)'!AG56)-1),"")</f>
        <v>0.0510770631078128</v>
      </c>
      <c r="AJ233" s="32">
        <f>IFERROR(IF(('Inputs (2)'!AI56)=0,"",('Inputs (2)'!AJ56)/('Inputs (2)'!AI56)-1),"")</f>
        <v>0.0555426442812821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>
        <f>IFERROR(IF(('Inputs (2)'!E86)=0,"",('Inputs (2)'!J86)/('Inputs (2)'!E86)-1),"")</f>
        <v>0.501747294797645</v>
      </c>
      <c r="K235" s="32">
        <f>IFERROR(IF(('Inputs (2)'!F86)=0,"",('Inputs (2)'!K86)/('Inputs (2)'!F86)-1),"")</f>
        <v>1.49372391786748</v>
      </c>
      <c r="L235" s="32">
        <f>IFERROR(IF(('Inputs (2)'!G86)=0,"",('Inputs (2)'!L86)/('Inputs (2)'!G86)-1),"")</f>
        <v>0.775329707006947</v>
      </c>
      <c r="M235" s="32">
        <f>IFERROR(IF(('Inputs (2)'!H86)=0,"",('Inputs (2)'!M86)/('Inputs (2)'!H86)-1),"")</f>
        <v>0.223703800561192</v>
      </c>
      <c r="N235" s="34">
        <f>IFERROR(IF(('Inputs (2)'!I86)=0,"",('Inputs (2)'!N86)/('Inputs (2)'!I86)-1),"")</f>
        <v>0.673811632472917</v>
      </c>
      <c r="O235" s="32">
        <f>IFERROR(IF(('Inputs (2)'!J86)=0,"",('Inputs (2)'!O86)/('Inputs (2)'!J86)-1),"")</f>
        <v>0.279356481826187</v>
      </c>
      <c r="P235" s="32">
        <f>IFERROR(IF(('Inputs (2)'!K86)=0,"",('Inputs (2)'!P86)/('Inputs (2)'!K86)-1),"")</f>
        <v>-0.0943105395239633</v>
      </c>
      <c r="Q235" s="32">
        <f>IFERROR(IF(('Inputs (2)'!L86)=0,"",('Inputs (2)'!Q86)/('Inputs (2)'!L86)-1),"")</f>
        <v>0.0543472806879204</v>
      </c>
      <c r="R235" s="32">
        <f>IFERROR(IF(('Inputs (2)'!M86)=0,"",('Inputs (2)'!R86)/('Inputs (2)'!M86)-1),"")</f>
        <v>0.252379237334951</v>
      </c>
      <c r="S235" s="34">
        <f>IFERROR(IF(('Inputs (2)'!N86)=0,"",('Inputs (2)'!S86)/('Inputs (2)'!N86)-1),"")</f>
        <v>0.101582562943908</v>
      </c>
      <c r="T235" s="32">
        <f>IFERROR(IF(('Inputs (2)'!O86)=0,"",('Inputs (2)'!T86)/('Inputs (2)'!O86)-1),"")</f>
        <v>0.0526895957264884</v>
      </c>
      <c r="U235" s="32">
        <f>IFERROR(IF(('Inputs (2)'!P86)=0,"",('Inputs (2)'!U86)/('Inputs (2)'!P86)-1),"")</f>
        <v>0.00992816277029518</v>
      </c>
      <c r="V235" s="32">
        <f>IFERROR(IF(('Inputs (2)'!Q86)=0,"",('Inputs (2)'!V86)/('Inputs (2)'!Q86)-1),"")</f>
        <v>-0.0107847557854448</v>
      </c>
      <c r="W235" s="32">
        <f>IFERROR(IF(('Inputs (2)'!R86)=0,"",('Inputs (2)'!W86)/('Inputs (2)'!R86)-1),"")</f>
        <v>-0.119015371172194</v>
      </c>
      <c r="X235" s="34">
        <f>IFERROR(IF(('Inputs (2)'!S86)=0,"",('Inputs (2)'!X86)/('Inputs (2)'!S86)-1),"")</f>
        <v>-0.022273753460629</v>
      </c>
      <c r="Y235" s="32">
        <f>IFERROR(IF(('Inputs (2)'!T86)=0,"",('Inputs (2)'!Y86)/('Inputs (2)'!T86)-1),"")</f>
        <v>0.163390454877901</v>
      </c>
      <c r="Z235" s="32">
        <f>IFERROR(IF(('Inputs (2)'!U86)=0,"",('Inputs (2)'!Z86)/('Inputs (2)'!U86)-1),"")</f>
        <v>0.250308320731744</v>
      </c>
      <c r="AA235" s="32">
        <f>IFERROR(IF(('Inputs (2)'!V86)=0,"",('Inputs (2)'!AA86)/('Inputs (2)'!V86)-1),"")</f>
        <v>0.107185148269852</v>
      </c>
      <c r="AB235" s="32">
        <f>IFERROR(IF(('Inputs (2)'!W86)=0,"",('Inputs (2)'!AB86)/('Inputs (2)'!W86)-1),"")</f>
        <v>0.307817495455393</v>
      </c>
      <c r="AC235" s="34">
        <f>IFERROR(IF(('Inputs (2)'!X86)=0,"",('Inputs (2)'!AC86)/('Inputs (2)'!X86)-1),"")</f>
        <v>0.206139746743814</v>
      </c>
      <c r="AD235" s="32">
        <f>IFERROR(IF(('Inputs (2)'!Y86)=0,"",('Inputs (2)'!AD86)/('Inputs (2)'!Y86)-1),"")</f>
        <v>-0.0342602028375976</v>
      </c>
      <c r="AE235" s="32">
        <f>IFERROR(IF(('Inputs (2)'!Z86)=0,"",('Inputs (2)'!AE86)/('Inputs (2)'!Z86)-1),"")</f>
        <v>-0.067774634812836</v>
      </c>
      <c r="AF235" s="32">
        <f>IFERROR(IF(('Inputs (2)'!AA86)=0,"",('Inputs (2)'!AF86)/('Inputs (2)'!AA86)-1),"")</f>
        <v>0.11541777577748</v>
      </c>
      <c r="AG235" s="32">
        <f>IFERROR(IF(('Inputs (2)'!AB86)=0,"",('Inputs (2)'!AG86)/('Inputs (2)'!AB86)-1),"")</f>
        <v>-0.0828535867601836</v>
      </c>
      <c r="AH235" s="34">
        <f>IFERROR(IF(('Inputs (2)'!AC86)=0,"",('Inputs (2)'!AH86)/('Inputs (2)'!AC86)-1),"")</f>
        <v>-0.0192751461935518</v>
      </c>
      <c r="AI235" s="32">
        <f>IFERROR(IF(('Inputs (2)'!AD86)=0,"",('Inputs (2)'!AI86)/('Inputs (2)'!AD86)-1),"")</f>
        <v>0.26482426107837</v>
      </c>
      <c r="AJ235" s="32">
        <f>IFERROR(IF(('Inputs (2)'!AE86)=0,"",('Inputs (2)'!AJ86)/('Inputs (2)'!AE86)-1),"")</f>
        <v>0.165239252786527</v>
      </c>
      <c r="AK235" s="32">
        <f>IFERROR(IF(('Inputs (2)'!AF86)=0,"",('Inputs (2)'!AK86)/('Inputs (2)'!AF86)-1),"")</f>
        <v>-1</v>
      </c>
      <c r="AL235" s="32">
        <f>IFERROR(IF(('Inputs (2)'!AG86)=0,"",('Inputs (2)'!AL86)/('Inputs (2)'!AG86)-1),"")</f>
        <v>-1</v>
      </c>
      <c r="AM235" s="34">
        <f>IFERROR(IF(('Inputs (2)'!AH86)=0,"",('Inputs (2)'!AM86)/('Inputs (2)'!AH86)-1),"")</f>
        <v>-0.435810066868537</v>
      </c>
      <c r="AN235" s="32">
        <f>IFERROR(IF(('Inputs (2)'!AI86)=0,"",('Inputs (2)'!AN86)/('Inputs (2)'!AI86)-1),"")</f>
        <v>-1</v>
      </c>
      <c r="AO235" s="32">
        <f>IFERROR(IF(('Inputs (2)'!AJ86)=0,"",('Inputs (2)'!AO86)/('Inputs (2)'!AJ86)-1),"")</f>
        <v>-1</v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>
        <f>IFERROR(IF(('Inputs (2)'!AM86)=0,"",('Inputs (2)'!AR86)/('Inputs (2)'!AM86)-1),"")</f>
        <v>-1</v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hidden="1" outlineLevel="1">
      <c r="C236" s="30" t="inlineStr">
        <is>
          <t>Seguros, previdência e capitalização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 t="str">
        <f>IFERROR(IF(('Inputs (2)'!J87)=0,"",('Inputs (2)'!O87)/('Inputs (2)'!J87)-1),"")</f>
        <v/>
      </c>
      <c r="P236" s="32" t="str">
        <f>IFERROR(IF(('Inputs (2)'!K87)=0,"",('Inputs (2)'!P87)/('Inputs (2)'!K87)-1),"")</f>
        <v/>
      </c>
      <c r="Q236" s="32" t="str">
        <f>IFERROR(IF(('Inputs (2)'!L87)=0,"",('Inputs (2)'!Q87)/('Inputs (2)'!L87)-1),"")</f>
        <v/>
      </c>
      <c r="R236" s="32" t="str">
        <f>IFERROR(IF(('Inputs (2)'!M87)=0,"",('Inputs (2)'!R87)/('Inputs (2)'!M87)-1),"")</f>
        <v/>
      </c>
      <c r="S236" s="34" t="str">
        <f>IFERROR(IF(('Inputs (2)'!N87)=0,"",('Inputs (2)'!S87)/('Inputs (2)'!N87)-1),"")</f>
        <v/>
      </c>
      <c r="T236" s="32" t="str">
        <f>IFERROR(IF(('Inputs (2)'!O87)=0,"",('Inputs (2)'!T87)/('Inputs (2)'!O87)-1),"")</f>
        <v/>
      </c>
      <c r="U236" s="32" t="str">
        <f>IFERROR(IF(('Inputs (2)'!P87)=0,"",('Inputs (2)'!U87)/('Inputs (2)'!P87)-1),"")</f>
        <v/>
      </c>
      <c r="V236" s="32" t="str">
        <f>IFERROR(IF(('Inputs (2)'!Q87)=0,"",('Inputs (2)'!V87)/('Inputs (2)'!Q87)-1),"")</f>
        <v/>
      </c>
      <c r="W236" s="32" t="str">
        <f>IFERROR(IF(('Inputs (2)'!R87)=0,"",('Inputs (2)'!W87)/('Inputs (2)'!R87)-1),"")</f>
        <v/>
      </c>
      <c r="X236" s="34" t="str">
        <f>IFERROR(IF(('Inputs (2)'!S87)=0,"",('Inputs (2)'!X87)/('Inputs (2)'!S87)-1),"")</f>
        <v/>
      </c>
      <c r="Y236" s="32" t="str">
        <f>IFERROR(IF(('Inputs (2)'!T87)=0,"",('Inputs (2)'!Y87)/('Inputs (2)'!T87)-1),"")</f>
        <v/>
      </c>
      <c r="Z236" s="32" t="str">
        <f>IFERROR(IF(('Inputs (2)'!U87)=0,"",('Inputs (2)'!Z87)/('Inputs (2)'!U87)-1),"")</f>
        <v/>
      </c>
      <c r="AA236" s="32" t="str">
        <f>IFERROR(IF(('Inputs (2)'!V87)=0,"",('Inputs (2)'!AA87)/('Inputs (2)'!V87)-1),"")</f>
        <v/>
      </c>
      <c r="AB236" s="32" t="str">
        <f>IFERROR(IF(('Inputs (2)'!W87)=0,"",('Inputs (2)'!AB87)/('Inputs (2)'!W87)-1),"")</f>
        <v/>
      </c>
      <c r="AC236" s="34" t="str">
        <f>IFERROR(IF(('Inputs (2)'!X87)=0,"",('Inputs (2)'!AC87)/('Inputs (2)'!X87)-1),"")</f>
        <v/>
      </c>
      <c r="AD236" s="32" t="str">
        <f>IFERROR(IF(('Inputs (2)'!Y87)=0,"",('Inputs (2)'!AD87)/('Inputs (2)'!Y87)-1),"")</f>
        <v/>
      </c>
      <c r="AE236" s="32" t="str">
        <f>IFERROR(IF(('Inputs (2)'!Z87)=0,"",('Inputs (2)'!AE87)/('Inputs (2)'!Z87)-1),"")</f>
        <v/>
      </c>
      <c r="AF236" s="32" t="str">
        <f>IFERROR(IF(('Inputs (2)'!AA87)=0,"",('Inputs (2)'!AF87)/('Inputs (2)'!AA87)-1),"")</f>
        <v/>
      </c>
      <c r="AG236" s="32" t="str">
        <f>IFERROR(IF(('Inputs (2)'!AB87)=0,"",('Inputs (2)'!AG87)/('Inputs (2)'!AB87)-1),"")</f>
        <v/>
      </c>
      <c r="AH236" s="34" t="str">
        <f>IFERROR(IF(('Inputs (2)'!AC87)=0,"",('Inputs (2)'!AH87)/('Inputs (2)'!AC87)-1),"")</f>
        <v/>
      </c>
      <c r="AI236" s="32" t="str">
        <f>IFERROR(IF(('Inputs (2)'!AD87)=0,"",('Inputs (2)'!AI87)/('Inputs (2)'!AD87)-1),"")</f>
        <v/>
      </c>
      <c r="AJ236" s="32" t="str">
        <f>IFERROR(IF(('Inputs (2)'!AE87)=0,"",('Inputs (2)'!AJ87)/('Inputs (2)'!AE87)-1),"")</f>
        <v/>
      </c>
      <c r="AK236" s="32" t="str">
        <f>IFERROR(IF(('Inputs (2)'!AF87)=0,"",('Inputs (2)'!AK87)/('Inputs (2)'!AF87)-1),"")</f>
        <v/>
      </c>
      <c r="AL236" s="32" t="str">
        <f>IFERROR(IF(('Inputs (2)'!AG87)=0,"",('Inputs (2)'!AL87)/('Inputs (2)'!AG87)-1),"")</f>
        <v/>
      </c>
      <c r="AM236" s="34" t="str">
        <f>IFERROR(IF(('Inputs (2)'!AH87)=0,"",('Inputs (2)'!AM87)/('Inputs (2)'!AH87)-1),"")</f>
        <v/>
      </c>
      <c r="AN236" s="32" t="str">
        <f>IFERROR(IF(('Inputs (2)'!AI87)=0,"",('Inputs (2)'!AN87)/('Inputs (2)'!AI87)-1),"")</f>
        <v/>
      </c>
      <c r="AO236" s="32" t="str">
        <f>IFERROR(IF(('Inputs (2)'!AJ87)=0,"",('Inputs (2)'!AO87)/('Inputs (2)'!AJ87)-1),"")</f>
        <v/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 t="str">
        <f>IFERROR(IF(('Inputs (2)'!AM87)=0,"",('Inputs (2)'!AR87)/('Inputs (2)'!AM87)-1),"")</f>
        <v/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>
        <f>IFERROR(IF(('Inputs (2)'!E88)=0,"",('Inputs (2)'!J88)/('Inputs (2)'!E88)-1),"")</f>
        <v>0.744603111146394</v>
      </c>
      <c r="K237" s="32">
        <f>IFERROR(IF(('Inputs (2)'!F88)=0,"",('Inputs (2)'!K88)/('Inputs (2)'!F88)-1),"")</f>
        <v>1.00793237352457</v>
      </c>
      <c r="L237" s="32">
        <f>IFERROR(IF(('Inputs (2)'!G88)=0,"",('Inputs (2)'!L88)/('Inputs (2)'!G88)-1),"")</f>
        <v>0.741188017993109</v>
      </c>
      <c r="M237" s="32">
        <f>IFERROR(IF(('Inputs (2)'!H88)=0,"",('Inputs (2)'!M88)/('Inputs (2)'!H88)-1),"")</f>
        <v>0.611710275495037</v>
      </c>
      <c r="N237" s="34">
        <f>IFERROR(IF(('Inputs (2)'!I88)=0,"",('Inputs (2)'!N88)/('Inputs (2)'!I88)-1),"")</f>
        <v>0.780828604085567</v>
      </c>
      <c r="O237" s="32">
        <f>IFERROR(IF(('Inputs (2)'!J88)=0,"",('Inputs (2)'!O88)/('Inputs (2)'!J88)-1),"")</f>
        <v>-0.138590135225431</v>
      </c>
      <c r="P237" s="32">
        <f>IFERROR(IF(('Inputs (2)'!K88)=0,"",('Inputs (2)'!P88)/('Inputs (2)'!K88)-1),"")</f>
        <v>-0.132990400070314</v>
      </c>
      <c r="Q237" s="32">
        <f>IFERROR(IF(('Inputs (2)'!L88)=0,"",('Inputs (2)'!Q88)/('Inputs (2)'!L88)-1),"")</f>
        <v>0.0299843486945117</v>
      </c>
      <c r="R237" s="32">
        <f>IFERROR(IF(('Inputs (2)'!M88)=0,"",('Inputs (2)'!R88)/('Inputs (2)'!M88)-1),"")</f>
        <v>0.185729490174028</v>
      </c>
      <c r="S237" s="34">
        <f>IFERROR(IF(('Inputs (2)'!N88)=0,"",('Inputs (2)'!S88)/('Inputs (2)'!N88)-1),"")</f>
        <v>-0.0321537356400116</v>
      </c>
      <c r="T237" s="32">
        <f>IFERROR(IF(('Inputs (2)'!O88)=0,"",('Inputs (2)'!T88)/('Inputs (2)'!O88)-1),"")</f>
        <v>0.0818200987502298</v>
      </c>
      <c r="U237" s="32">
        <f>IFERROR(IF(('Inputs (2)'!P88)=0,"",('Inputs (2)'!U88)/('Inputs (2)'!P88)-1),"")</f>
        <v>0.204954161017574</v>
      </c>
      <c r="V237" s="32">
        <f>IFERROR(IF(('Inputs (2)'!Q88)=0,"",('Inputs (2)'!V88)/('Inputs (2)'!Q88)-1),"")</f>
        <v>0.202190609375888</v>
      </c>
      <c r="W237" s="32">
        <f>IFERROR(IF(('Inputs (2)'!R88)=0,"",('Inputs (2)'!W88)/('Inputs (2)'!R88)-1),"")</f>
        <v>0.156365838751735</v>
      </c>
      <c r="X237" s="34">
        <f>IFERROR(IF(('Inputs (2)'!S88)=0,"",('Inputs (2)'!X88)/('Inputs (2)'!S88)-1),"")</f>
        <v>0.16242431422855</v>
      </c>
      <c r="Y237" s="32">
        <f>IFERROR(IF(('Inputs (2)'!T88)=0,"",('Inputs (2)'!Y88)/('Inputs (2)'!T88)-1),"")</f>
        <v>0.236244959110629</v>
      </c>
      <c r="Z237" s="32">
        <f>IFERROR(IF(('Inputs (2)'!U88)=0,"",('Inputs (2)'!Z88)/('Inputs (2)'!U88)-1),"")</f>
        <v>-0.0324917093791975</v>
      </c>
      <c r="AA237" s="32">
        <f>IFERROR(IF(('Inputs (2)'!V88)=0,"",('Inputs (2)'!AA88)/('Inputs (2)'!V88)-1),"")</f>
        <v>0.0141921810136141</v>
      </c>
      <c r="AB237" s="32">
        <f>IFERROR(IF(('Inputs (2)'!W88)=0,"",('Inputs (2)'!AB88)/('Inputs (2)'!W88)-1),"")</f>
        <v>0.22713096892739</v>
      </c>
      <c r="AC237" s="34">
        <f>IFERROR(IF(('Inputs (2)'!X88)=0,"",('Inputs (2)'!AC88)/('Inputs (2)'!X88)-1),"")</f>
        <v>0.103074335539674</v>
      </c>
      <c r="AD237" s="32">
        <f>IFERROR(IF(('Inputs (2)'!Y88)=0,"",('Inputs (2)'!AD88)/('Inputs (2)'!Y88)-1),"")</f>
        <v>-0.0335454786313558</v>
      </c>
      <c r="AE237" s="32">
        <f>IFERROR(IF(('Inputs (2)'!Z88)=0,"",('Inputs (2)'!AE88)/('Inputs (2)'!Z88)-1),"")</f>
        <v>1.20749456766122</v>
      </c>
      <c r="AF237" s="32">
        <f>IFERROR(IF(('Inputs (2)'!AA88)=0,"",('Inputs (2)'!AF88)/('Inputs (2)'!AA88)-1),"")</f>
        <v>0.161447387248872</v>
      </c>
      <c r="AG237" s="32">
        <f>IFERROR(IF(('Inputs (2)'!AB88)=0,"",('Inputs (2)'!AG88)/('Inputs (2)'!AB88)-1),"")</f>
        <v>0.159839792412227</v>
      </c>
      <c r="AH237" s="34">
        <f>IFERROR(IF(('Inputs (2)'!AC88)=0,"",('Inputs (2)'!AH88)/('Inputs (2)'!AC88)-1),"")</f>
        <v>0.350051930572251</v>
      </c>
      <c r="AI237" s="32">
        <f>IFERROR(IF(('Inputs (2)'!AD88)=0,"",('Inputs (2)'!AI88)/('Inputs (2)'!AD88)-1),"")</f>
        <v>1.60575114717704</v>
      </c>
      <c r="AJ237" s="32">
        <f>IFERROR(IF(('Inputs (2)'!AE88)=0,"",('Inputs (2)'!AJ88)/('Inputs (2)'!AE88)-1),"")</f>
        <v>-0.40940138946549</v>
      </c>
      <c r="AK237" s="32">
        <f>IFERROR(IF(('Inputs (2)'!AF88)=0,"",('Inputs (2)'!AK88)/('Inputs (2)'!AF88)-1),"")</f>
        <v>-1</v>
      </c>
      <c r="AL237" s="32">
        <f>IFERROR(IF(('Inputs (2)'!AG88)=0,"",('Inputs (2)'!AL88)/('Inputs (2)'!AG88)-1),"")</f>
        <v>-1</v>
      </c>
      <c r="AM237" s="34">
        <f>IFERROR(IF(('Inputs (2)'!AH88)=0,"",('Inputs (2)'!AM88)/('Inputs (2)'!AH88)-1),"")</f>
        <v>-0.301012401418952</v>
      </c>
      <c r="AN237" s="32">
        <f>IFERROR(IF(('Inputs (2)'!AI88)=0,"",('Inputs (2)'!AN88)/('Inputs (2)'!AI88)-1),"")</f>
        <v>-1</v>
      </c>
      <c r="AO237" s="32">
        <f>IFERROR(IF(('Inputs (2)'!AJ88)=0,"",('Inputs (2)'!AO88)/('Inputs (2)'!AJ88)-1),"")</f>
        <v>-1</v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>
        <f>IFERROR(IF(('Inputs (2)'!AM88)=0,"",('Inputs (2)'!AR88)/('Inputs (2)'!AM88)-1),"")</f>
        <v>-1</v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>
        <f>IFERROR(IF(('Inputs (2)'!E89)=0,"",('Inputs (2)'!J89)/('Inputs (2)'!E89)-1),"")</f>
        <v>0.266953606508854</v>
      </c>
      <c r="K238" s="32">
        <f>IFERROR(IF(('Inputs (2)'!F89)=0,"",('Inputs (2)'!K89)/('Inputs (2)'!F89)-1),"")</f>
        <v>4.59550758553664</v>
      </c>
      <c r="L238" s="32">
        <f>IFERROR(IF(('Inputs (2)'!G89)=0,"",('Inputs (2)'!L89)/('Inputs (2)'!G89)-1),"")</f>
        <v>3.33755320721754</v>
      </c>
      <c r="M238" s="32">
        <f>IFERROR(IF(('Inputs (2)'!H89)=0,"",('Inputs (2)'!M89)/('Inputs (2)'!H89)-1),"")</f>
        <v>2.56644326212805</v>
      </c>
      <c r="N238" s="34">
        <f>IFERROR(IF(('Inputs (2)'!I89)=0,"",('Inputs (2)'!N89)/('Inputs (2)'!I89)-1),"")</f>
        <v>2.76200918380811</v>
      </c>
      <c r="O238" s="32">
        <f>IFERROR(IF(('Inputs (2)'!J89)=0,"",('Inputs (2)'!O89)/('Inputs (2)'!J89)-1),"")</f>
        <v>4.15819989506543</v>
      </c>
      <c r="P238" s="32">
        <f>IFERROR(IF(('Inputs (2)'!K89)=0,"",('Inputs (2)'!P89)/('Inputs (2)'!K89)-1),"")</f>
        <v>-0.0976818503886069</v>
      </c>
      <c r="Q238" s="32">
        <f>IFERROR(IF(('Inputs (2)'!L89)=0,"",('Inputs (2)'!Q89)/('Inputs (2)'!L89)-1),"")</f>
        <v>0.239259292251522</v>
      </c>
      <c r="R238" s="32">
        <f>IFERROR(IF(('Inputs (2)'!M89)=0,"",('Inputs (2)'!R89)/('Inputs (2)'!M89)-1),"")</f>
        <v>0.164661841125485</v>
      </c>
      <c r="S238" s="34">
        <f>IFERROR(IF(('Inputs (2)'!N89)=0,"",('Inputs (2)'!S89)/('Inputs (2)'!N89)-1),"")</f>
        <v>0.373756472471653</v>
      </c>
      <c r="T238" s="32">
        <f>IFERROR(IF(('Inputs (2)'!O89)=0,"",('Inputs (2)'!T89)/('Inputs (2)'!O89)-1),"")</f>
        <v>-0.0889620118362675</v>
      </c>
      <c r="U238" s="32">
        <f>IFERROR(IF(('Inputs (2)'!P89)=0,"",('Inputs (2)'!U89)/('Inputs (2)'!P89)-1),"")</f>
        <v>-0.0781561021820949</v>
      </c>
      <c r="V238" s="32">
        <f>IFERROR(IF(('Inputs (2)'!Q89)=0,"",('Inputs (2)'!V89)/('Inputs (2)'!Q89)-1),"")</f>
        <v>0.00594072946014879</v>
      </c>
      <c r="W238" s="32">
        <f>IFERROR(IF(('Inputs (2)'!R89)=0,"",('Inputs (2)'!W89)/('Inputs (2)'!R89)-1),"")</f>
        <v>0.0358642704920276</v>
      </c>
      <c r="X238" s="34">
        <f>IFERROR(IF(('Inputs (2)'!S89)=0,"",('Inputs (2)'!X89)/('Inputs (2)'!S89)-1),"")</f>
        <v>-0.0332805435511127</v>
      </c>
      <c r="Y238" s="32">
        <f>IFERROR(IF(('Inputs (2)'!T89)=0,"",('Inputs (2)'!Y89)/('Inputs (2)'!T89)-1),"")</f>
        <v>0.124366238409332</v>
      </c>
      <c r="Z238" s="32">
        <f>IFERROR(IF(('Inputs (2)'!U89)=0,"",('Inputs (2)'!Z89)/('Inputs (2)'!U89)-1),"")</f>
        <v>0.234459912659404</v>
      </c>
      <c r="AA238" s="32">
        <f>IFERROR(IF(('Inputs (2)'!V89)=0,"",('Inputs (2)'!AA89)/('Inputs (2)'!V89)-1),"")</f>
        <v>0.19138258307022</v>
      </c>
      <c r="AB238" s="32">
        <f>IFERROR(IF(('Inputs (2)'!W89)=0,"",('Inputs (2)'!AB89)/('Inputs (2)'!W89)-1),"")</f>
        <v>0.209231532560645</v>
      </c>
      <c r="AC238" s="34">
        <f>IFERROR(IF(('Inputs (2)'!X89)=0,"",('Inputs (2)'!AC89)/('Inputs (2)'!X89)-1),"")</f>
        <v>0.18911931556551</v>
      </c>
      <c r="AD238" s="32">
        <f>IFERROR(IF(('Inputs (2)'!Y89)=0,"",('Inputs (2)'!AD89)/('Inputs (2)'!Y89)-1),"")</f>
        <v>-0.156886847995224</v>
      </c>
      <c r="AE238" s="32">
        <f>IFERROR(IF(('Inputs (2)'!Z89)=0,"",('Inputs (2)'!AE89)/('Inputs (2)'!Z89)-1),"")</f>
        <v>0.137767114604194</v>
      </c>
      <c r="AF238" s="32">
        <f>IFERROR(IF(('Inputs (2)'!AA89)=0,"",('Inputs (2)'!AF89)/('Inputs (2)'!AA89)-1),"")</f>
        <v>-0.0780735336006944</v>
      </c>
      <c r="AG238" s="32">
        <f>IFERROR(IF(('Inputs (2)'!AB89)=0,"",('Inputs (2)'!AG89)/('Inputs (2)'!AB89)-1),"")</f>
        <v>-0.106155950898365</v>
      </c>
      <c r="AH238" s="34">
        <f>IFERROR(IF(('Inputs (2)'!AC89)=0,"",('Inputs (2)'!AH89)/('Inputs (2)'!AC89)-1),"")</f>
        <v>-0.0517294437351614</v>
      </c>
      <c r="AI238" s="32">
        <f>IFERROR(IF(('Inputs (2)'!AD89)=0,"",('Inputs (2)'!AI89)/('Inputs (2)'!AD89)-1),"")</f>
        <v>0.227952037276136</v>
      </c>
      <c r="AJ238" s="32">
        <f>IFERROR(IF(('Inputs (2)'!AE89)=0,"",('Inputs (2)'!AJ89)/('Inputs (2)'!AE89)-1),"")</f>
        <v>0.353732211427812</v>
      </c>
      <c r="AK238" s="32">
        <f>IFERROR(IF(('Inputs (2)'!AF89)=0,"",('Inputs (2)'!AK89)/('Inputs (2)'!AF89)-1),"")</f>
        <v>-1</v>
      </c>
      <c r="AL238" s="32">
        <f>IFERROR(IF(('Inputs (2)'!AG89)=0,"",('Inputs (2)'!AL89)/('Inputs (2)'!AG89)-1),"")</f>
        <v>-1</v>
      </c>
      <c r="AM238" s="34">
        <f>IFERROR(IF(('Inputs (2)'!AH89)=0,"",('Inputs (2)'!AM89)/('Inputs (2)'!AH89)-1),"")</f>
        <v>-0.337895119037085</v>
      </c>
      <c r="AN238" s="32">
        <f>IFERROR(IF(('Inputs (2)'!AI89)=0,"",('Inputs (2)'!AN89)/('Inputs (2)'!AI89)-1),"")</f>
        <v>-1</v>
      </c>
      <c r="AO238" s="32">
        <f>IFERROR(IF(('Inputs (2)'!AJ89)=0,"",('Inputs (2)'!AO89)/('Inputs (2)'!AJ89)-1),"")</f>
        <v>-1</v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>
        <f>IFERROR(IF(('Inputs (2)'!AM89)=0,"",('Inputs (2)'!AR89)/('Inputs (2)'!AM89)-1),"")</f>
        <v>-1</v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hidden="1" outlineLevel="1">
      <c r="C239" s="30" t="inlineStr">
        <is>
          <t>Demais provisões (% da receita operacional)</t>
        </is>
      </c>
      <c r="D239" s="12" t="inlineStr">
        <is>
          <t>Other provisions</t>
        </is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hidden="1" outlineLevel="1">
      <c r="C240" s="30" t="inlineStr">
        <is>
          <t>Despesas tributárias (% da receita operacional)</t>
        </is>
      </c>
      <c r="D240" s="12" t="inlineStr">
        <is>
          <t>Tax expenses</t>
        </is>
      </c>
      <c r="E240" s="32">
        <f>IFERROR(IF(OR(('Inputs (2)'!E80+'Inputs (2)'!E86+'Inputs (2)'!E87+'Inputs (2)'!E96)=0,('Inputs (2)'!E94)=0),"",-('Inputs (2)'!E94)/('Inputs (2)'!E80+'Inputs (2)'!E86+'Inputs (2)'!E87+'Inputs (2)'!E96)),"")</f>
        <v>0.119992714869323</v>
      </c>
      <c r="F240" s="32">
        <f>IFERROR(IF(OR(('Inputs (2)'!F80+'Inputs (2)'!F86+'Inputs (2)'!F87+'Inputs (2)'!F96)=0,('Inputs (2)'!F94)=0),"",-('Inputs (2)'!F94)/('Inputs (2)'!F80+'Inputs (2)'!F86+'Inputs (2)'!F87+'Inputs (2)'!F96)),"")</f>
        <v>0.0942103810847578</v>
      </c>
      <c r="G240" s="32">
        <f>IFERROR(IF(OR(('Inputs (2)'!G80+'Inputs (2)'!G86+'Inputs (2)'!G87+'Inputs (2)'!G96)=0,('Inputs (2)'!G94)=0),"",-('Inputs (2)'!G94)/('Inputs (2)'!G80+'Inputs (2)'!G86+'Inputs (2)'!G87+'Inputs (2)'!G96)),"")</f>
        <v>0.0345922201303115</v>
      </c>
      <c r="H240" s="32">
        <f>IFERROR(IF(OR(('Inputs (2)'!H80+'Inputs (2)'!H86+'Inputs (2)'!H87+'Inputs (2)'!H96)=0,('Inputs (2)'!H94)=0),"",-('Inputs (2)'!H94)/('Inputs (2)'!H80+'Inputs (2)'!H86+'Inputs (2)'!H87+'Inputs (2)'!H96)),"")</f>
        <v>0.0488438822605683</v>
      </c>
      <c r="I240" s="34">
        <f>IFERROR(IF(OR(('Inputs (2)'!I80+'Inputs (2)'!I86+'Inputs (2)'!I87+'Inputs (2)'!I96)=0,('Inputs (2)'!I94)=0),"",-('Inputs (2)'!I94)/('Inputs (2)'!I80+'Inputs (2)'!I86+'Inputs (2)'!I87+'Inputs (2)'!I96)),"")</f>
        <v>0.0612541181105972</v>
      </c>
      <c r="J240" s="32">
        <f>IFERROR(IF(OR(('Inputs (2)'!J80+'Inputs (2)'!J86+'Inputs (2)'!J87+'Inputs (2)'!J96)=0,('Inputs (2)'!J94)=0),"",-('Inputs (2)'!J94)/('Inputs (2)'!J80+'Inputs (2)'!J86+'Inputs (2)'!J87+'Inputs (2)'!J96)),"")</f>
        <v>0.0355865535088358</v>
      </c>
      <c r="K240" s="32">
        <f>IFERROR(IF(OR(('Inputs (2)'!K80+'Inputs (2)'!K86+'Inputs (2)'!K87+'Inputs (2)'!K96)=0,('Inputs (2)'!K94)=0),"",-('Inputs (2)'!K94)/('Inputs (2)'!K80+'Inputs (2)'!K86+'Inputs (2)'!K87+'Inputs (2)'!K96)),"")</f>
        <v>0.0317297133424847</v>
      </c>
      <c r="L240" s="32">
        <f>IFERROR(IF(OR(('Inputs (2)'!L80+'Inputs (2)'!L86+'Inputs (2)'!L87+'Inputs (2)'!L96)=0,('Inputs (2)'!L94)=0),"",-('Inputs (2)'!L94)/('Inputs (2)'!L80+'Inputs (2)'!L86+'Inputs (2)'!L87+'Inputs (2)'!L96)),"")</f>
        <v>0.0454305166515442</v>
      </c>
      <c r="M240" s="32">
        <f>IFERROR(IF(OR(('Inputs (2)'!M80+'Inputs (2)'!M86+'Inputs (2)'!M87+'Inputs (2)'!M96)=0,('Inputs (2)'!M94)=0),"",-('Inputs (2)'!M94)/('Inputs (2)'!M80+'Inputs (2)'!M86+'Inputs (2)'!M87+'Inputs (2)'!M96)),"")</f>
        <v>0.0441640129806232</v>
      </c>
      <c r="N240" s="34">
        <f>IFERROR(IF(OR(('Inputs (2)'!N80+'Inputs (2)'!N86+'Inputs (2)'!N87+'Inputs (2)'!N96)=0,('Inputs (2)'!N94)=0),"",-('Inputs (2)'!N94)/('Inputs (2)'!N80+'Inputs (2)'!N86+'Inputs (2)'!N87+'Inputs (2)'!N96)),"")</f>
        <v>0.0388000322723861</v>
      </c>
      <c r="O240" s="32">
        <f>IFERROR(IF(OR(('Inputs (2)'!O80+'Inputs (2)'!O86+'Inputs (2)'!O87+'Inputs (2)'!O96)=0,('Inputs (2)'!O94)=0),"",-('Inputs (2)'!O94)/('Inputs (2)'!O80+'Inputs (2)'!O86+'Inputs (2)'!O87+'Inputs (2)'!O96)),"")</f>
        <v>0.0123707424174449</v>
      </c>
      <c r="P240" s="32">
        <f>IFERROR(IF(OR(('Inputs (2)'!P80+'Inputs (2)'!P86+'Inputs (2)'!P87+'Inputs (2)'!P96)=0,('Inputs (2)'!P94)=0),"",-('Inputs (2)'!P94)/('Inputs (2)'!P80+'Inputs (2)'!P86+'Inputs (2)'!P87+'Inputs (2)'!P96)),"")</f>
        <v>0.0162163494446147</v>
      </c>
      <c r="Q240" s="32">
        <f>IFERROR(IF(OR(('Inputs (2)'!Q80+'Inputs (2)'!Q86+'Inputs (2)'!Q87+'Inputs (2)'!Q96)=0,('Inputs (2)'!Q94)=0),"",-('Inputs (2)'!Q94)/('Inputs (2)'!Q80+'Inputs (2)'!Q86+'Inputs (2)'!Q87+'Inputs (2)'!Q96)),"")</f>
        <v>0.0193938106004231</v>
      </c>
      <c r="R240" s="32">
        <f>IFERROR(IF(OR(('Inputs (2)'!R80+'Inputs (2)'!R86+'Inputs (2)'!R87+'Inputs (2)'!R96)=0,('Inputs (2)'!R94)=0),"",-('Inputs (2)'!R94)/('Inputs (2)'!R80+'Inputs (2)'!R86+'Inputs (2)'!R87+'Inputs (2)'!R96)),"")</f>
        <v>0.0249788254290358</v>
      </c>
      <c r="S240" s="34">
        <f>IFERROR(IF(OR(('Inputs (2)'!S80+'Inputs (2)'!S86+'Inputs (2)'!S87+'Inputs (2)'!S96)=0,('Inputs (2)'!S94)=0),"",-('Inputs (2)'!S94)/('Inputs (2)'!S80+'Inputs (2)'!S86+'Inputs (2)'!S87+'Inputs (2)'!S96)),"")</f>
        <v>0.0179656709140099</v>
      </c>
      <c r="T240" s="32">
        <f>IFERROR(IF(OR(('Inputs (2)'!T80+'Inputs (2)'!T86+'Inputs (2)'!T87+'Inputs (2)'!T96)=0,('Inputs (2)'!T94)=0),"",-('Inputs (2)'!T94)/('Inputs (2)'!T80+'Inputs (2)'!T86+'Inputs (2)'!T87+'Inputs (2)'!T96)),"")</f>
        <v>0.0138239969255851</v>
      </c>
      <c r="U240" s="32">
        <f>IFERROR(IF(OR(('Inputs (2)'!U80+'Inputs (2)'!U86+'Inputs (2)'!U87+'Inputs (2)'!U96)=0,('Inputs (2)'!U94)=0),"",-('Inputs (2)'!U94)/('Inputs (2)'!U80+'Inputs (2)'!U86+'Inputs (2)'!U87+'Inputs (2)'!U96)),"")</f>
        <v>0.0139248678301336</v>
      </c>
      <c r="V240" s="32">
        <f>IFERROR(IF(OR(('Inputs (2)'!V80+'Inputs (2)'!V86+'Inputs (2)'!V87+'Inputs (2)'!V96)=0,('Inputs (2)'!V94)=0),"",-('Inputs (2)'!V94)/('Inputs (2)'!V80+'Inputs (2)'!V86+'Inputs (2)'!V87+'Inputs (2)'!V96)),"")</f>
        <v>0.0302303073004641</v>
      </c>
      <c r="W240" s="32">
        <f>IFERROR(IF(OR(('Inputs (2)'!W80+'Inputs (2)'!W86+'Inputs (2)'!W87+'Inputs (2)'!W96)=0,('Inputs (2)'!W94)=0),"",-('Inputs (2)'!W94)/('Inputs (2)'!W80+'Inputs (2)'!W86+'Inputs (2)'!W87+'Inputs (2)'!W96)),"")</f>
        <v>0.0387223263478968</v>
      </c>
      <c r="X240" s="34">
        <f>IFERROR(IF(OR(('Inputs (2)'!X80+'Inputs (2)'!X86+'Inputs (2)'!X87+'Inputs (2)'!X96)=0,('Inputs (2)'!X94)=0),"",-('Inputs (2)'!X94)/('Inputs (2)'!X80+'Inputs (2)'!X86+'Inputs (2)'!X87+'Inputs (2)'!X96)),"")</f>
        <v>0.0208825638287822</v>
      </c>
      <c r="Y240" s="32">
        <f>IFERROR(IF(OR(('Inputs (2)'!Y80+'Inputs (2)'!Y86+'Inputs (2)'!Y87+'Inputs (2)'!Y96)=0,('Inputs (2)'!Y94)=0),"",-('Inputs (2)'!Y94)/('Inputs (2)'!Y80+'Inputs (2)'!Y86+'Inputs (2)'!Y87+'Inputs (2)'!Y96)),"")</f>
        <v>0.0530765778445513</v>
      </c>
      <c r="Z240" s="32">
        <f>IFERROR(IF(OR(('Inputs (2)'!Z80+'Inputs (2)'!Z86+'Inputs (2)'!Z87+'Inputs (2)'!Z96)=0,('Inputs (2)'!Z94)=0),"",-('Inputs (2)'!Z94)/('Inputs (2)'!Z80+'Inputs (2)'!Z86+'Inputs (2)'!Z87+'Inputs (2)'!Z96)),"")</f>
        <v>0.030136914827514</v>
      </c>
      <c r="AA240" s="32">
        <f>IFERROR(IF(OR(('Inputs (2)'!AA80+'Inputs (2)'!AA86+'Inputs (2)'!AA87+'Inputs (2)'!AA96)=0,('Inputs (2)'!AA94)=0),"",-('Inputs (2)'!AA94)/('Inputs (2)'!AA80+'Inputs (2)'!AA86+'Inputs (2)'!AA87+'Inputs (2)'!AA96)),"")</f>
        <v>0.0468626847904004</v>
      </c>
      <c r="AB240" s="32">
        <f>IFERROR(IF(OR(('Inputs (2)'!AB80+'Inputs (2)'!AB86+'Inputs (2)'!AB87+'Inputs (2)'!AB96)=0,('Inputs (2)'!AB94)=0),"",-('Inputs (2)'!AB94)/('Inputs (2)'!AB80+'Inputs (2)'!AB86+'Inputs (2)'!AB87+'Inputs (2)'!AB96)),"")</f>
        <v>0.0425580901939085</v>
      </c>
      <c r="AC240" s="34">
        <f>IFERROR(IF(OR(('Inputs (2)'!AC80+'Inputs (2)'!AC86+'Inputs (2)'!AC87+'Inputs (2)'!AC96)=0,('Inputs (2)'!AC94)=0),"",-('Inputs (2)'!AC94)/('Inputs (2)'!AC80+'Inputs (2)'!AC86+'Inputs (2)'!AC87+'Inputs (2)'!AC96)),"")</f>
        <v>0.0426486829221674</v>
      </c>
      <c r="AD240" s="32">
        <f>IFERROR(IF(OR(('Inputs (2)'!AD80+'Inputs (2)'!AD86+'Inputs (2)'!AD87+'Inputs (2)'!AD96)=0,('Inputs (2)'!AD94)=0),"",-('Inputs (2)'!AD94)/('Inputs (2)'!AD80+'Inputs (2)'!AD86+'Inputs (2)'!AD87+'Inputs (2)'!AD96)),"")</f>
        <v>0.0316326849112909</v>
      </c>
      <c r="AE240" s="32">
        <f>IFERROR(IF(OR(('Inputs (2)'!AE80+'Inputs (2)'!AE86+'Inputs (2)'!AE87+'Inputs (2)'!AE96)=0,('Inputs (2)'!AE94)=0),"",-('Inputs (2)'!AE94)/('Inputs (2)'!AE80+'Inputs (2)'!AE86+'Inputs (2)'!AE87+'Inputs (2)'!AE96)),"")</f>
        <v>0.030868820443724</v>
      </c>
      <c r="AF240" s="32">
        <f>IFERROR(IF(OR(('Inputs (2)'!AF80+'Inputs (2)'!AF86+'Inputs (2)'!AF87+'Inputs (2)'!AF96)=0,('Inputs (2)'!AF94)=0),"",-('Inputs (2)'!AF94)/('Inputs (2)'!AF80+'Inputs (2)'!AF86+'Inputs (2)'!AF87+'Inputs (2)'!AF96)),"")</f>
        <v>0.0420878636573992</v>
      </c>
      <c r="AG240" s="32">
        <f>IFERROR(IF(OR(('Inputs (2)'!AG80+'Inputs (2)'!AG86+'Inputs (2)'!AG87+'Inputs (2)'!AG96)=0,('Inputs (2)'!AG94)=0),"",-('Inputs (2)'!AG94)/('Inputs (2)'!AG80+'Inputs (2)'!AG86+'Inputs (2)'!AG87+'Inputs (2)'!AG96)),"")</f>
        <v>0.029689886771118</v>
      </c>
      <c r="AH240" s="34">
        <f>IFERROR(IF(OR(('Inputs (2)'!AH80+'Inputs (2)'!AH86+'Inputs (2)'!AH87+'Inputs (2)'!AH96)=0,('Inputs (2)'!AH94)=0),"",-('Inputs (2)'!AH94)/('Inputs (2)'!AH80+'Inputs (2)'!AH86+'Inputs (2)'!AH87+'Inputs (2)'!AH96)),"")</f>
        <v>0.0337803543692551</v>
      </c>
      <c r="AI240" s="32">
        <f>IFERROR(IF(OR(('Inputs (2)'!AI80+'Inputs (2)'!AI86+'Inputs (2)'!AI87+'Inputs (2)'!AI96)=0,('Inputs (2)'!AI94)=0),"",-('Inputs (2)'!AI94)/('Inputs (2)'!AI80+'Inputs (2)'!AI86+'Inputs (2)'!AI87+'Inputs (2)'!AI96)),"")</f>
        <v>0.027106969740782</v>
      </c>
      <c r="AJ240" s="32">
        <f>IFERROR(IF(OR(('Inputs (2)'!AJ80+'Inputs (2)'!AJ86+'Inputs (2)'!AJ87+'Inputs (2)'!AJ96)=0,('Inputs (2)'!AJ94)=0),"",-('Inputs (2)'!AJ94)/('Inputs (2)'!AJ80+'Inputs (2)'!AJ86+'Inputs (2)'!AJ87+'Inputs (2)'!AJ96)),"")</f>
        <v>0.0273965526232412</v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>
        <f>IFERROR(IF(OR(('Inputs (2)'!AM80+'Inputs (2)'!AM86+'Inputs (2)'!AM87+'Inputs (2)'!AM96)=0,('Inputs (2)'!AM94)=0),"",-('Inputs (2)'!AM94)/('Inputs (2)'!AM80+'Inputs (2)'!AM86+'Inputs (2)'!AM87+'Inputs (2)'!AM96)),"")</f>
        <v>0.0272469691541408</v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>
        <f>IFERROR(IF(OR(COUNT('Inputs (2)'!E95)=0,('Inputs (2)'!E95)=0),"",('Inputs (2)'!E95)),"")</f>
        <v>487.39456</v>
      </c>
      <c r="F241" s="35">
        <f>IFERROR(IF(OR(COUNT('Inputs (2)'!F95)=0,('Inputs (2)'!F95)=0),"",('Inputs (2)'!F95)),"")</f>
        <v>895.102749</v>
      </c>
      <c r="G241" s="35">
        <f>IFERROR(IF(OR(COUNT('Inputs (2)'!G95)=0,('Inputs (2)'!G95)=0),"",('Inputs (2)'!G95)),"")</f>
        <v>125.403722</v>
      </c>
      <c r="H241" s="35">
        <f>IFERROR(IF(OR(COUNT('Inputs (2)'!H95)=0,('Inputs (2)'!H95)=0),"",('Inputs (2)'!H95)),"")</f>
        <v>428.847227</v>
      </c>
      <c r="I241" s="36">
        <f>IFERROR(IF(OR(COUNT('Inputs (2)'!I95)=0,('Inputs (2)'!I95)=0),"",('Inputs (2)'!I95)),"")</f>
        <v>1936.748258</v>
      </c>
      <c r="J241" s="35">
        <f>IFERROR(IF(OR(COUNT('Inputs (2)'!J95)=0,('Inputs (2)'!J95)=0),"",('Inputs (2)'!J95)),"")</f>
        <v>457.095582</v>
      </c>
      <c r="K241" s="35">
        <f>IFERROR(IF(OR(COUNT('Inputs (2)'!K95)=0,('Inputs (2)'!K95)=0),"",('Inputs (2)'!K95)),"")</f>
        <v>161.616827</v>
      </c>
      <c r="L241" s="35">
        <f>IFERROR(IF(OR(COUNT('Inputs (2)'!L95)=0,('Inputs (2)'!L95)=0),"",('Inputs (2)'!L95)),"")</f>
        <v>179.143405</v>
      </c>
      <c r="M241" s="35">
        <f>IFERROR(IF(OR(COUNT('Inputs (2)'!M95)=0,('Inputs (2)'!M95)=0),"",('Inputs (2)'!M95)),"")</f>
        <v>465.192328</v>
      </c>
      <c r="N241" s="36">
        <f>IFERROR(IF(OR(COUNT('Inputs (2)'!N95)=0,('Inputs (2)'!N95)=0),"",('Inputs (2)'!N95)),"")</f>
        <v>1263.048142</v>
      </c>
      <c r="O241" s="35">
        <f>IFERROR(IF(OR(COUNT('Inputs (2)'!O95)=0,('Inputs (2)'!O95)=0),"",('Inputs (2)'!O95)),"")</f>
        <v>163.219082</v>
      </c>
      <c r="P241" s="35">
        <f>IFERROR(IF(OR(COUNT('Inputs (2)'!P95)=0,('Inputs (2)'!P95)=0),"",('Inputs (2)'!P95)),"")</f>
        <v>206.880073</v>
      </c>
      <c r="Q241" s="35">
        <f>IFERROR(IF(OR(COUNT('Inputs (2)'!Q95)=0,('Inputs (2)'!Q95)=0),"",('Inputs (2)'!Q95)),"")</f>
        <v>159.589254</v>
      </c>
      <c r="R241" s="35">
        <f>IFERROR(IF(OR(COUNT('Inputs (2)'!R95)=0,('Inputs (2)'!R95)=0),"",('Inputs (2)'!R95)),"")</f>
        <v>719.694623</v>
      </c>
      <c r="S241" s="36">
        <f>IFERROR(IF(OR(COUNT('Inputs (2)'!S95)=0,('Inputs (2)'!S95)=0),"",('Inputs (2)'!S95)),"")</f>
        <v>1249.383032</v>
      </c>
      <c r="T241" s="35">
        <f>IFERROR(IF(OR(COUNT('Inputs (2)'!T95)=0,('Inputs (2)'!T95)=0),"",('Inputs (2)'!T95)),"")</f>
        <v>636.4</v>
      </c>
      <c r="U241" s="35">
        <f>IFERROR(IF(OR(COUNT('Inputs (2)'!U95)=0,('Inputs (2)'!U95)=0),"",('Inputs (2)'!U95)),"")</f>
        <v>877.915808</v>
      </c>
      <c r="V241" s="35">
        <f>IFERROR(IF(OR(COUNT('Inputs (2)'!V95)=0,('Inputs (2)'!V95)=0),"",('Inputs (2)'!V95)),"")</f>
        <v>1353.423759</v>
      </c>
      <c r="W241" s="35">
        <f>IFERROR(IF(OR(COUNT('Inputs (2)'!W95)=0,('Inputs (2)'!W95)=0),"",('Inputs (2)'!W95)),"")</f>
        <v>424.448136</v>
      </c>
      <c r="X241" s="36">
        <f>IFERROR(IF(OR(COUNT('Inputs (2)'!X95)=0,('Inputs (2)'!X95)=0),"",('Inputs (2)'!X95)),"")</f>
        <v>3292.187703</v>
      </c>
      <c r="Y241" s="35">
        <f>IFERROR(IF(OR(COUNT('Inputs (2)'!Y95)=0,('Inputs (2)'!Y95)=0),"",('Inputs (2)'!Y95)),"")</f>
        <v>1130.428498</v>
      </c>
      <c r="Z241" s="35">
        <f>IFERROR(IF(OR(COUNT('Inputs (2)'!Z95)=0,('Inputs (2)'!Z95)=0),"",('Inputs (2)'!Z95)),"")</f>
        <v>877.616836</v>
      </c>
      <c r="AA241" s="35">
        <f>IFERROR(IF(OR(COUNT('Inputs (2)'!AA95)=0,('Inputs (2)'!AA95)=0),"",('Inputs (2)'!AA95)),"")</f>
        <v>1198.443845</v>
      </c>
      <c r="AB241" s="35">
        <f>IFERROR(IF(OR(COUNT('Inputs (2)'!AB95)=0,('Inputs (2)'!AB95)=0),"",('Inputs (2)'!AB95)),"")</f>
        <v>912.547322</v>
      </c>
      <c r="AC241" s="36">
        <f>IFERROR(IF(OR(COUNT('Inputs (2)'!AC95)=0,('Inputs (2)'!AC95)=0),"",('Inputs (2)'!AC95)),"")</f>
        <v>4119.036501</v>
      </c>
      <c r="AD241" s="35">
        <f>IFERROR(IF(OR(COUNT('Inputs (2)'!AD95)=0,('Inputs (2)'!AD95)=0),"",('Inputs (2)'!AD95)),"")</f>
        <v>314.979071</v>
      </c>
      <c r="AE241" s="35">
        <f>IFERROR(IF(OR(COUNT('Inputs (2)'!AE95)=0,('Inputs (2)'!AE95)=0),"",('Inputs (2)'!AE95)),"")</f>
        <v>755.322021</v>
      </c>
      <c r="AF241" s="35">
        <f>IFERROR(IF(OR(COUNT('Inputs (2)'!AF95)=0,('Inputs (2)'!AF95)=0),"",('Inputs (2)'!AF95)),"")</f>
        <v>-65.913095</v>
      </c>
      <c r="AG241" s="35">
        <f>IFERROR(IF(OR(COUNT('Inputs (2)'!AG95)=0,('Inputs (2)'!AG95)=0),"",('Inputs (2)'!AG95)),"")</f>
        <v>684.924733</v>
      </c>
      <c r="AH241" s="36">
        <f>IFERROR(IF(OR(COUNT('Inputs (2)'!AH95)=0,('Inputs (2)'!AH95)=0),"",('Inputs (2)'!AH95)),"")</f>
        <v>1689.31273</v>
      </c>
      <c r="AI241" s="35">
        <f>IFERROR(IF(OR(COUNT('Inputs (2)'!AI95)=0,('Inputs (2)'!AI95)=0),"",('Inputs (2)'!AI95)),"")</f>
        <v>866.586983</v>
      </c>
      <c r="AJ241" s="35">
        <f>IFERROR(IF(OR(COUNT('Inputs (2)'!AJ95)=0,('Inputs (2)'!AJ95)=0),"",('Inputs (2)'!AJ95)),"")</f>
        <v>980.767307</v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>
        <f>IFERROR(IF(OR(COUNT('Inputs (2)'!AM95)=0,('Inputs (2)'!AM95)=0),"",('Inputs (2)'!AM95)),"")</f>
        <v>1847.35429</v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>
        <f>IFERROR(IF(OR(('Inputs (2)'!E80+'Inputs (2)'!E86+'Inputs (2)'!E87+'Inputs (2)'!E96)=0,('Inputs (2)'!E97)=0),"",-('Inputs (2)'!E97)/('Inputs (2)'!E80+'Inputs (2)'!E86+'Inputs (2)'!E87+'Inputs (2)'!E96)),"")</f>
        <v>0.16098421536494</v>
      </c>
      <c r="F242" s="32">
        <f>IFERROR(IF(OR(('Inputs (2)'!F80+'Inputs (2)'!F86+'Inputs (2)'!F87+'Inputs (2)'!F96)=0,('Inputs (2)'!F97)=0),"",-('Inputs (2)'!F97)/('Inputs (2)'!F80+'Inputs (2)'!F86+'Inputs (2)'!F87+'Inputs (2)'!F96)),"")</f>
        <v>-0.0169420026840236</v>
      </c>
      <c r="G242" s="32">
        <f>IFERROR(IF(OR(('Inputs (2)'!G80+'Inputs (2)'!G86+'Inputs (2)'!G87+'Inputs (2)'!G96)=0,('Inputs (2)'!G97)=0),"",-('Inputs (2)'!G97)/('Inputs (2)'!G80+'Inputs (2)'!G86+'Inputs (2)'!G87+'Inputs (2)'!G96)),"")</f>
        <v>0.342870251288823</v>
      </c>
      <c r="H242" s="32">
        <f>IFERROR(IF(OR(('Inputs (2)'!H80+'Inputs (2)'!H86+'Inputs (2)'!H87+'Inputs (2)'!H96)=0,('Inputs (2)'!H97)=0),"",-('Inputs (2)'!H97)/('Inputs (2)'!H80+'Inputs (2)'!H86+'Inputs (2)'!H87+'Inputs (2)'!H96)),"")</f>
        <v>-0.032973835644166</v>
      </c>
      <c r="I242" s="34">
        <f>IFERROR(IF(OR(('Inputs (2)'!I80+'Inputs (2)'!I86+'Inputs (2)'!I87+'Inputs (2)'!I96)=0,('Inputs (2)'!I97)=0),"",-('Inputs (2)'!I97)/('Inputs (2)'!I80+'Inputs (2)'!I86+'Inputs (2)'!I87+'Inputs (2)'!I96)),"")</f>
        <v>0.14873916344101</v>
      </c>
      <c r="J242" s="32">
        <f>IFERROR(IF(OR(('Inputs (2)'!J80+'Inputs (2)'!J86+'Inputs (2)'!J87+'Inputs (2)'!J96)=0,('Inputs (2)'!J97)=0),"",-('Inputs (2)'!J97)/('Inputs (2)'!J80+'Inputs (2)'!J86+'Inputs (2)'!J87+'Inputs (2)'!J96)),"")</f>
        <v>0.307288287294903</v>
      </c>
      <c r="K242" s="32">
        <f>IFERROR(IF(OR(('Inputs (2)'!K80+'Inputs (2)'!K86+'Inputs (2)'!K87+'Inputs (2)'!K96)=0,('Inputs (2)'!K97)=0),"",-('Inputs (2)'!K97)/('Inputs (2)'!K80+'Inputs (2)'!K86+'Inputs (2)'!K87+'Inputs (2)'!K96)),"")</f>
        <v>0.119067616922972</v>
      </c>
      <c r="L242" s="32">
        <f>IFERROR(IF(OR(('Inputs (2)'!L80+'Inputs (2)'!L86+'Inputs (2)'!L87+'Inputs (2)'!L96)=0,('Inputs (2)'!L97)=0),"",-('Inputs (2)'!L97)/('Inputs (2)'!L80+'Inputs (2)'!L86+'Inputs (2)'!L87+'Inputs (2)'!L96)),"")</f>
        <v>0.122667925720998</v>
      </c>
      <c r="M242" s="32">
        <f>IFERROR(IF(OR(('Inputs (2)'!M80+'Inputs (2)'!M86+'Inputs (2)'!M87+'Inputs (2)'!M96)=0,('Inputs (2)'!M97)=0),"",-('Inputs (2)'!M97)/('Inputs (2)'!M80+'Inputs (2)'!M86+'Inputs (2)'!M87+'Inputs (2)'!M96)),"")</f>
        <v>0.11584868042962</v>
      </c>
      <c r="N242" s="34">
        <f>IFERROR(IF(OR(('Inputs (2)'!N80+'Inputs (2)'!N86+'Inputs (2)'!N87+'Inputs (2)'!N96)=0,('Inputs (2)'!N97)=0),"",-('Inputs (2)'!N97)/('Inputs (2)'!N80+'Inputs (2)'!N86+'Inputs (2)'!N87+'Inputs (2)'!N96)),"")</f>
        <v>0.146249601726802</v>
      </c>
      <c r="O242" s="32">
        <f>IFERROR(IF(OR(('Inputs (2)'!O80+'Inputs (2)'!O86+'Inputs (2)'!O87+'Inputs (2)'!O96)=0,('Inputs (2)'!O97)=0),"",-('Inputs (2)'!O97)/('Inputs (2)'!O80+'Inputs (2)'!O86+'Inputs (2)'!O87+'Inputs (2)'!O96)),"")</f>
        <v>0.613593601820569</v>
      </c>
      <c r="P242" s="32">
        <f>IFERROR(IF(OR(('Inputs (2)'!P80+'Inputs (2)'!P86+'Inputs (2)'!P87+'Inputs (2)'!P96)=0,('Inputs (2)'!P97)=0),"",-('Inputs (2)'!P97)/('Inputs (2)'!P80+'Inputs (2)'!P86+'Inputs (2)'!P87+'Inputs (2)'!P96)),"")</f>
        <v>0.622141203561017</v>
      </c>
      <c r="Q242" s="32">
        <f>IFERROR(IF(OR(('Inputs (2)'!Q80+'Inputs (2)'!Q86+'Inputs (2)'!Q87+'Inputs (2)'!Q96)=0,('Inputs (2)'!Q97)=0),"",-('Inputs (2)'!Q97)/('Inputs (2)'!Q80+'Inputs (2)'!Q86+'Inputs (2)'!Q87+'Inputs (2)'!Q96)),"")</f>
        <v>0.605772845867307</v>
      </c>
      <c r="R242" s="32">
        <f>IFERROR(IF(OR(('Inputs (2)'!R80+'Inputs (2)'!R86+'Inputs (2)'!R87+'Inputs (2)'!R96)=0,('Inputs (2)'!R97)=0),"",-('Inputs (2)'!R97)/('Inputs (2)'!R80+'Inputs (2)'!R86+'Inputs (2)'!R87+'Inputs (2)'!R96)),"")</f>
        <v>0.524949801631923</v>
      </c>
      <c r="S242" s="34">
        <f>IFERROR(IF(OR(('Inputs (2)'!S80+'Inputs (2)'!S86+'Inputs (2)'!S87+'Inputs (2)'!S96)=0,('Inputs (2)'!S97)=0),"",-('Inputs (2)'!S97)/('Inputs (2)'!S80+'Inputs (2)'!S86+'Inputs (2)'!S87+'Inputs (2)'!S96)),"")</f>
        <v>0.594962978562933</v>
      </c>
      <c r="T242" s="32">
        <f>IFERROR(IF(OR(('Inputs (2)'!T80+'Inputs (2)'!T86+'Inputs (2)'!T87+'Inputs (2)'!T96)=0,('Inputs (2)'!T97)=0),"",-('Inputs (2)'!T97)/('Inputs (2)'!T80+'Inputs (2)'!T86+'Inputs (2)'!T87+'Inputs (2)'!T96)),"")</f>
        <v>0.690705479483288</v>
      </c>
      <c r="U242" s="32">
        <f>IFERROR(IF(OR(('Inputs (2)'!U80+'Inputs (2)'!U86+'Inputs (2)'!U87+'Inputs (2)'!U96)=0,('Inputs (2)'!U97)=0),"",-('Inputs (2)'!U97)/('Inputs (2)'!U80+'Inputs (2)'!U86+'Inputs (2)'!U87+'Inputs (2)'!U96)),"")</f>
        <v>0.708380944066679</v>
      </c>
      <c r="V242" s="32">
        <f>IFERROR(IF(OR(('Inputs (2)'!V80+'Inputs (2)'!V86+'Inputs (2)'!V87+'Inputs (2)'!V96)=0,('Inputs (2)'!V97)=0),"",-('Inputs (2)'!V97)/('Inputs (2)'!V80+'Inputs (2)'!V86+'Inputs (2)'!V87+'Inputs (2)'!V96)),"")</f>
        <v>0.54085404513745</v>
      </c>
      <c r="W242" s="32">
        <f>IFERROR(IF(OR(('Inputs (2)'!W80+'Inputs (2)'!W86+'Inputs (2)'!W87+'Inputs (2)'!W96)=0,('Inputs (2)'!W97)=0),"",-('Inputs (2)'!W97)/('Inputs (2)'!W80+'Inputs (2)'!W86+'Inputs (2)'!W87+'Inputs (2)'!W96)),"")</f>
        <v>0.262860813635849</v>
      </c>
      <c r="X242" s="34">
        <f>IFERROR(IF(OR(('Inputs (2)'!X80+'Inputs (2)'!X86+'Inputs (2)'!X87+'Inputs (2)'!X96)=0,('Inputs (2)'!X97)=0),"",-('Inputs (2)'!X97)/('Inputs (2)'!X80+'Inputs (2)'!X86+'Inputs (2)'!X87+'Inputs (2)'!X96)),"")</f>
        <v>0.603556563141938</v>
      </c>
      <c r="Y242" s="32">
        <f>IFERROR(IF(OR(('Inputs (2)'!Y80+'Inputs (2)'!Y86+'Inputs (2)'!Y87+'Inputs (2)'!Y96)=0,('Inputs (2)'!Y97)=0),"",-('Inputs (2)'!Y97)/('Inputs (2)'!Y80+'Inputs (2)'!Y86+'Inputs (2)'!Y87+'Inputs (2)'!Y96)),"")</f>
        <v>0.151578167892001</v>
      </c>
      <c r="Z242" s="32">
        <f>IFERROR(IF(OR(('Inputs (2)'!Z80+'Inputs (2)'!Z86+'Inputs (2)'!Z87+'Inputs (2)'!Z96)=0,('Inputs (2)'!Z97)=0),"",-('Inputs (2)'!Z97)/('Inputs (2)'!Z80+'Inputs (2)'!Z86+'Inputs (2)'!Z87+'Inputs (2)'!Z96)),"")</f>
        <v>0.228465742586649</v>
      </c>
      <c r="AA242" s="32">
        <f>IFERROR(IF(OR(('Inputs (2)'!AA80+'Inputs (2)'!AA86+'Inputs (2)'!AA87+'Inputs (2)'!AA96)=0,('Inputs (2)'!AA97)=0),"",-('Inputs (2)'!AA97)/('Inputs (2)'!AA80+'Inputs (2)'!AA86+'Inputs (2)'!AA87+'Inputs (2)'!AA96)),"")</f>
        <v>0.269822427509572</v>
      </c>
      <c r="AB242" s="32">
        <f>IFERROR(IF(OR(('Inputs (2)'!AB80+'Inputs (2)'!AB86+'Inputs (2)'!AB87+'Inputs (2)'!AB96)=0,('Inputs (2)'!AB97)=0),"",-('Inputs (2)'!AB97)/('Inputs (2)'!AB80+'Inputs (2)'!AB86+'Inputs (2)'!AB87+'Inputs (2)'!AB96)),"")</f>
        <v>0.364027797904504</v>
      </c>
      <c r="AC242" s="34">
        <f>IFERROR(IF(OR(('Inputs (2)'!AC80+'Inputs (2)'!AC86+'Inputs (2)'!AC87+'Inputs (2)'!AC96)=0,('Inputs (2)'!AC97)=0),"",-('Inputs (2)'!AC97)/('Inputs (2)'!AC80+'Inputs (2)'!AC86+'Inputs (2)'!AC87+'Inputs (2)'!AC96)),"")</f>
        <v>0.265038161699822</v>
      </c>
      <c r="AD242" s="32">
        <f>IFERROR(IF(OR(('Inputs (2)'!AD80+'Inputs (2)'!AD86+'Inputs (2)'!AD87+'Inputs (2)'!AD96)=0,('Inputs (2)'!AD97)=0),"",-('Inputs (2)'!AD97)/('Inputs (2)'!AD80+'Inputs (2)'!AD86+'Inputs (2)'!AD87+'Inputs (2)'!AD96)),"")</f>
        <v>0.269922748368068</v>
      </c>
      <c r="AE242" s="32">
        <f>IFERROR(IF(OR(('Inputs (2)'!AE80+'Inputs (2)'!AE86+'Inputs (2)'!AE87+'Inputs (2)'!AE96)=0,('Inputs (2)'!AE97)=0),"",-('Inputs (2)'!AE97)/('Inputs (2)'!AE80+'Inputs (2)'!AE86+'Inputs (2)'!AE87+'Inputs (2)'!AE96)),"")</f>
        <v>0.231380207087933</v>
      </c>
      <c r="AF242" s="32">
        <f>IFERROR(IF(OR(('Inputs (2)'!AF80+'Inputs (2)'!AF86+'Inputs (2)'!AF87+'Inputs (2)'!AF96)=0,('Inputs (2)'!AF97)=0),"",-('Inputs (2)'!AF97)/('Inputs (2)'!AF80+'Inputs (2)'!AF86+'Inputs (2)'!AF87+'Inputs (2)'!AF96)),"")</f>
        <v>0.235137467540803</v>
      </c>
      <c r="AG242" s="32">
        <f>IFERROR(IF(OR(('Inputs (2)'!AG80+'Inputs (2)'!AG86+'Inputs (2)'!AG87+'Inputs (2)'!AG96)=0,('Inputs (2)'!AG97)=0),"",-('Inputs (2)'!AG97)/('Inputs (2)'!AG80+'Inputs (2)'!AG86+'Inputs (2)'!AG87+'Inputs (2)'!AG96)),"")</f>
        <v>0.480274657653499</v>
      </c>
      <c r="AH242" s="34">
        <f>IFERROR(IF(OR(('Inputs (2)'!AH80+'Inputs (2)'!AH86+'Inputs (2)'!AH87+'Inputs (2)'!AH96)=0,('Inputs (2)'!AH97)=0),"",-('Inputs (2)'!AH97)/('Inputs (2)'!AH80+'Inputs (2)'!AH86+'Inputs (2)'!AH87+'Inputs (2)'!AH96)),"")</f>
        <v>0.30484734019643</v>
      </c>
      <c r="AI242" s="32">
        <f>IFERROR(IF(OR(('Inputs (2)'!AI80+'Inputs (2)'!AI86+'Inputs (2)'!AI87+'Inputs (2)'!AI96)=0,('Inputs (2)'!AI97)=0),"",-('Inputs (2)'!AI97)/('Inputs (2)'!AI80+'Inputs (2)'!AI86+'Inputs (2)'!AI87+'Inputs (2)'!AI96)),"")</f>
        <v>0.346601878223815</v>
      </c>
      <c r="AJ242" s="32">
        <f>IFERROR(IF(OR(('Inputs (2)'!AJ80+'Inputs (2)'!AJ86+'Inputs (2)'!AJ87+'Inputs (2)'!AJ96)=0,('Inputs (2)'!AJ97)=0),"",-('Inputs (2)'!AJ97)/('Inputs (2)'!AJ80+'Inputs (2)'!AJ86+'Inputs (2)'!AJ87+'Inputs (2)'!AJ96)),"")</f>
        <v>0.344971631495143</v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>
        <f>IFERROR(IF(OR(('Inputs (2)'!AM80+'Inputs (2)'!AM86+'Inputs (2)'!AM87+'Inputs (2)'!AM96)=0,('Inputs (2)'!AM97)=0),"",-('Inputs (2)'!AM97)/('Inputs (2)'!AM80+'Inputs (2)'!AM86+'Inputs (2)'!AM87+'Inputs (2)'!AM96)),"")</f>
        <v>0.34581373224051</v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>
        <f>IFERROR(IF(OR(COUNT('Inputs (2)'!E99)=0,('Inputs (2)'!E99)=0),"",('Inputs (2)'!E99)),"")</f>
        <v>-87.503271</v>
      </c>
      <c r="F243" s="35">
        <f>IFERROR(IF(OR(COUNT('Inputs (2)'!F99)=0,('Inputs (2)'!F99)=0),"",('Inputs (2)'!F99)),"")</f>
        <v>203.153774</v>
      </c>
      <c r="G243" s="35">
        <f>IFERROR(IF(OR(COUNT('Inputs (2)'!G99)=0,('Inputs (2)'!G99)=0),"",('Inputs (2)'!G99)),"")</f>
        <v>-117.606725</v>
      </c>
      <c r="H243" s="35">
        <f>IFERROR(IF(OR(COUNT('Inputs (2)'!H99)=0,('Inputs (2)'!H99)=0),"",('Inputs (2)'!H99)),"")</f>
        <v>48.448371</v>
      </c>
      <c r="I243" s="36">
        <f>IFERROR(IF(OR(COUNT('Inputs (2)'!I99)=0,('Inputs (2)'!I99)=0),"",('Inputs (2)'!I99)),"")</f>
        <v>46.492149</v>
      </c>
      <c r="J243" s="35">
        <f>IFERROR(IF(OR(COUNT('Inputs (2)'!J99)=0,('Inputs (2)'!J99)=0),"",('Inputs (2)'!J99)),"")</f>
        <v>0.397585</v>
      </c>
      <c r="K243" s="35">
        <f>IFERROR(IF(OR(COUNT('Inputs (2)'!K99)=0,('Inputs (2)'!K99)=0),"",('Inputs (2)'!K99)),"")</f>
        <v>89.403145</v>
      </c>
      <c r="L243" s="35">
        <f>IFERROR(IF(OR(COUNT('Inputs (2)'!L99)=0,('Inputs (2)'!L99)=0),"",('Inputs (2)'!L99)),"")</f>
        <v>1411.552639</v>
      </c>
      <c r="M243" s="35">
        <f>IFERROR(IF(OR(COUNT('Inputs (2)'!M99)=0,('Inputs (2)'!M99)=0),"",('Inputs (2)'!M99)),"")</f>
        <v>9.77762400000006</v>
      </c>
      <c r="N243" s="36">
        <f>IFERROR(IF(OR(COUNT('Inputs (2)'!N99)=0,('Inputs (2)'!N99)=0),"",('Inputs (2)'!N99)),"")</f>
        <v>1511.130993</v>
      </c>
      <c r="O243" s="35">
        <f>IFERROR(IF(OR(COUNT('Inputs (2)'!O99)=0,('Inputs (2)'!O99)=0),"",('Inputs (2)'!O99)),"")</f>
        <v>929.987044</v>
      </c>
      <c r="P243" s="35">
        <f>IFERROR(IF(OR(COUNT('Inputs (2)'!P99)=0,('Inputs (2)'!P99)=0),"",('Inputs (2)'!P99)),"")</f>
        <v>-1.46030399999995</v>
      </c>
      <c r="Q243" s="35">
        <f>IFERROR(IF(OR(COUNT('Inputs (2)'!Q99)=0,('Inputs (2)'!Q99)=0),"",('Inputs (2)'!Q99)),"")</f>
        <v>37.771878</v>
      </c>
      <c r="R243" s="35">
        <f>IFERROR(IF(OR(COUNT('Inputs (2)'!R99)=0,('Inputs (2)'!R99)=0),"",('Inputs (2)'!R99)),"")</f>
        <v>15.040256</v>
      </c>
      <c r="S243" s="36">
        <f>IFERROR(IF(OR(COUNT('Inputs (2)'!S99)=0,('Inputs (2)'!S99)=0),"",('Inputs (2)'!S99)),"")</f>
        <v>981.338874</v>
      </c>
      <c r="T243" s="35">
        <f>IFERROR(IF(OR(COUNT('Inputs (2)'!T99)=0,('Inputs (2)'!T99)=0),"",('Inputs (2)'!T99)),"")</f>
        <v>11.966439</v>
      </c>
      <c r="U243" s="35">
        <f>IFERROR(IF(OR(COUNT('Inputs (2)'!U99)=0,('Inputs (2)'!U99)=0),"",('Inputs (2)'!U99)),"")</f>
        <v>51.252892</v>
      </c>
      <c r="V243" s="35">
        <f>IFERROR(IF(OR(COUNT('Inputs (2)'!V99)=0,('Inputs (2)'!V99)=0),"",('Inputs (2)'!V99)),"")</f>
        <v>111.381546</v>
      </c>
      <c r="W243" s="35">
        <f>IFERROR(IF(OR(COUNT('Inputs (2)'!W99)=0,('Inputs (2)'!W99)=0),"",('Inputs (2)'!W99)),"")</f>
        <v>-91.651881</v>
      </c>
      <c r="X243" s="36">
        <f>IFERROR(IF(OR(COUNT('Inputs (2)'!X99)=0,('Inputs (2)'!X99)=0),"",('Inputs (2)'!X99)),"")</f>
        <v>82.948996</v>
      </c>
      <c r="Y243" s="35">
        <f>IFERROR(IF(OR(COUNT('Inputs (2)'!Y99)=0,('Inputs (2)'!Y99)=0),"",('Inputs (2)'!Y99)),"")</f>
        <v>28.342396</v>
      </c>
      <c r="Z243" s="35">
        <f>IFERROR(IF(OR(COUNT('Inputs (2)'!Z99)=0,('Inputs (2)'!Z99)=0),"",('Inputs (2)'!Z99)),"")</f>
        <v>-20.751763</v>
      </c>
      <c r="AA243" s="35">
        <f>IFERROR(IF(OR(COUNT('Inputs (2)'!AA99)=0,('Inputs (2)'!AA99)=0),"",('Inputs (2)'!AA99)),"")</f>
        <v>18.146897</v>
      </c>
      <c r="AB243" s="35">
        <f>IFERROR(IF(OR(COUNT('Inputs (2)'!AB99)=0,('Inputs (2)'!AB99)=0),"",('Inputs (2)'!AB99)),"")</f>
        <v>595.877724</v>
      </c>
      <c r="AC243" s="36">
        <f>IFERROR(IF(OR(COUNT('Inputs (2)'!AC99)=0,('Inputs (2)'!AC99)=0),"",('Inputs (2)'!AC99)),"")</f>
        <v>621.615254</v>
      </c>
      <c r="AD243" s="35" t="str">
        <f>IFERROR(IF(OR(COUNT('Inputs (2)'!AD99)=0,('Inputs (2)'!AD99)=0),"",('Inputs (2)'!AD99)),"")</f>
        <v/>
      </c>
      <c r="AE243" s="35" t="str">
        <f>IFERROR(IF(OR(COUNT('Inputs (2)'!AE99)=0,('Inputs (2)'!AE99)=0),"",('Inputs (2)'!AE99)),"")</f>
        <v/>
      </c>
      <c r="AF243" s="35" t="str">
        <f>IFERROR(IF(OR(COUNT('Inputs (2)'!AF99)=0,('Inputs (2)'!AF99)=0),"",('Inputs (2)'!AF99)),"")</f>
        <v/>
      </c>
      <c r="AG243" s="35" t="str">
        <f>IFERROR(IF(OR(COUNT('Inputs (2)'!AG99)=0,('Inputs (2)'!AG99)=0),"",('Inputs (2)'!AG99)),"")</f>
        <v/>
      </c>
      <c r="AH243" s="36" t="str">
        <f>IFERROR(IF(OR(COUNT('Inputs (2)'!AH99)=0,('Inputs (2)'!AH99)=0),"",('Inputs (2)'!AH99)),"")</f>
        <v/>
      </c>
      <c r="AI243" s="35" t="str">
        <f>IFERROR(IF(OR(COUNT('Inputs (2)'!AI99)=0,('Inputs (2)'!AI99)=0),"",('Inputs (2)'!AI99)),"")</f>
        <v/>
      </c>
      <c r="AJ243" s="35" t="str">
        <f>IFERROR(IF(OR(COUNT('Inputs (2)'!AJ99)=0,('Inputs (2)'!AJ99)=0),"",('Inputs (2)'!AJ99)),"")</f>
        <v/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 t="str">
        <f>IFERROR(IF(OR(COUNT('Inputs (2)'!AM99)=0,('Inputs (2)'!AM99)=0),"",('Inputs (2)'!AM99)),"")</f>
        <v/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hidden="1" outlineLevel="1">
      <c r="C244" s="30" t="inlineStr">
        <is>
          <t>Alíquota efetiva de IR/CSLL (%)</t>
        </is>
      </c>
      <c r="D244" s="12" t="inlineStr">
        <is>
          <t>Effective tax rate</t>
        </is>
      </c>
      <c r="E244" s="32">
        <f>IFERROR(IF(OR(('Inputs (2)'!E100)=0,('Inputs (2)'!E101)=0),"",-('Inputs (2)'!E101)/('Inputs (2)'!E100)),"")</f>
        <v>-2.07030303855137</v>
      </c>
      <c r="F244" s="32">
        <f>IFERROR(IF(OR(('Inputs (2)'!F100)=0,('Inputs (2)'!F101)=0),"",-('Inputs (2)'!F101)/('Inputs (2)'!F100)),"")</f>
        <v>0.182857553400917</v>
      </c>
      <c r="G244" s="32">
        <f>IFERROR(IF(OR(('Inputs (2)'!G100)=0,('Inputs (2)'!G101)=0),"",-('Inputs (2)'!G101)/('Inputs (2)'!G100)),"")</f>
        <v>0.203660472784606</v>
      </c>
      <c r="H244" s="32">
        <f>IFERROR(IF(OR(('Inputs (2)'!H100)=0,('Inputs (2)'!H101)=0),"",-('Inputs (2)'!H101)/('Inputs (2)'!H100)),"")</f>
        <v>0.415803116894997</v>
      </c>
      <c r="I244" s="34">
        <f>IFERROR(IF(OR(('Inputs (2)'!I100)=0,('Inputs (2)'!I101)=0),"",-('Inputs (2)'!I101)/('Inputs (2)'!I100)),"")</f>
        <v>0.173028581976563</v>
      </c>
      <c r="J244" s="32">
        <f>IFERROR(IF(OR(('Inputs (2)'!J100)=0,('Inputs (2)'!J101)=0),"",-('Inputs (2)'!J101)/('Inputs (2)'!J100)),"")</f>
        <v>0.223107163943448</v>
      </c>
      <c r="K244" s="32">
        <f>IFERROR(IF(OR(('Inputs (2)'!K100)=0,('Inputs (2)'!K101)=0),"",-('Inputs (2)'!K101)/('Inputs (2)'!K100)),"")</f>
        <v>0.313966111442382</v>
      </c>
      <c r="L244" s="32">
        <f>IFERROR(IF(OR(('Inputs (2)'!L100)=0,('Inputs (2)'!L101)=0),"",-('Inputs (2)'!L101)/('Inputs (2)'!L100)),"")</f>
        <v>0.189775697001688</v>
      </c>
      <c r="M244" s="32">
        <f>IFERROR(IF(OR(('Inputs (2)'!M100)=0,('Inputs (2)'!M101)=0),"",-('Inputs (2)'!M101)/('Inputs (2)'!M100)),"")</f>
        <v>0.17216180157072</v>
      </c>
      <c r="N244" s="34">
        <f>IFERROR(IF(OR(('Inputs (2)'!N100)=0,('Inputs (2)'!N101)=0),"",-('Inputs (2)'!N101)/('Inputs (2)'!N100)),"")</f>
        <v>0.228368696483136</v>
      </c>
      <c r="O244" s="32">
        <f>IFERROR(IF(OR(('Inputs (2)'!O100)=0,('Inputs (2)'!O101)=0),"",-('Inputs (2)'!O101)/('Inputs (2)'!O100)),"")</f>
        <v>0.259220354329827</v>
      </c>
      <c r="P244" s="32">
        <f>IFERROR(IF(OR(('Inputs (2)'!P100)=0,('Inputs (2)'!P101)=0),"",-('Inputs (2)'!P101)/('Inputs (2)'!P100)),"")</f>
        <v>0.166856638742115</v>
      </c>
      <c r="Q244" s="32">
        <f>IFERROR(IF(OR(('Inputs (2)'!Q100)=0,('Inputs (2)'!Q101)=0),"",-('Inputs (2)'!Q101)/('Inputs (2)'!Q100)),"")</f>
        <v>0.171567715410962</v>
      </c>
      <c r="R244" s="32">
        <f>IFERROR(IF(OR(('Inputs (2)'!R100)=0,('Inputs (2)'!R101)=0),"",-('Inputs (2)'!R101)/('Inputs (2)'!R100)),"")</f>
        <v>-0.0593398429637906</v>
      </c>
      <c r="S244" s="34">
        <f>IFERROR(IF(OR(('Inputs (2)'!S100)=0,('Inputs (2)'!S101)=0),"",-('Inputs (2)'!S101)/('Inputs (2)'!S100)),"")</f>
        <v>0.156318400803721</v>
      </c>
      <c r="T244" s="32">
        <f>IFERROR(IF(OR(('Inputs (2)'!T100)=0,('Inputs (2)'!T101)=0),"",-('Inputs (2)'!T101)/('Inputs (2)'!T100)),"")</f>
        <v>0.175766142436591</v>
      </c>
      <c r="U244" s="32">
        <f>IFERROR(IF(OR(('Inputs (2)'!U100)=0,('Inputs (2)'!U101)=0),"",-('Inputs (2)'!U101)/('Inputs (2)'!U100)),"")</f>
        <v>0.125187878286836</v>
      </c>
      <c r="V244" s="32">
        <f>IFERROR(IF(OR(('Inputs (2)'!V100)=0,('Inputs (2)'!V101)=0),"",-('Inputs (2)'!V101)/('Inputs (2)'!V100)),"")</f>
        <v>0.151904242766496</v>
      </c>
      <c r="W244" s="32">
        <f>IFERROR(IF(OR(('Inputs (2)'!W100)=0,('Inputs (2)'!W101)=0),"",-('Inputs (2)'!W101)/('Inputs (2)'!W100)),"")</f>
        <v>-0.00152383419901804</v>
      </c>
      <c r="X244" s="34">
        <f>IFERROR(IF(OR(('Inputs (2)'!X100)=0,('Inputs (2)'!X101)=0),"",-('Inputs (2)'!X101)/('Inputs (2)'!X100)),"")</f>
        <v>0.113434794232679</v>
      </c>
      <c r="Y244" s="32">
        <f>IFERROR(IF(OR(('Inputs (2)'!Y100)=0,('Inputs (2)'!Y101)=0),"",-('Inputs (2)'!Y101)/('Inputs (2)'!Y100)),"")</f>
        <v>0.0566604722485241</v>
      </c>
      <c r="Z244" s="32">
        <f>IFERROR(IF(OR(('Inputs (2)'!Z100)=0,('Inputs (2)'!Z101)=0),"",-('Inputs (2)'!Z101)/('Inputs (2)'!Z100)),"")</f>
        <v>0.115483939770948</v>
      </c>
      <c r="AA244" s="32">
        <f>IFERROR(IF(OR(('Inputs (2)'!AA100)=0,('Inputs (2)'!AA101)=0),"",-('Inputs (2)'!AA101)/('Inputs (2)'!AA100)),"")</f>
        <v>0.0423619902069443</v>
      </c>
      <c r="AB244" s="32">
        <f>IFERROR(IF(OR(('Inputs (2)'!AB100)=0,('Inputs (2)'!AB101)=0),"",-('Inputs (2)'!AB101)/('Inputs (2)'!AB100)),"")</f>
        <v>0.124261540426153</v>
      </c>
      <c r="AC244" s="34">
        <f>IFERROR(IF(OR(('Inputs (2)'!AC100)=0,('Inputs (2)'!AC101)=0),"",-('Inputs (2)'!AC101)/('Inputs (2)'!AC100)),"")</f>
        <v>0.086351634194502</v>
      </c>
      <c r="AD244" s="32">
        <f>IFERROR(IF(OR(('Inputs (2)'!AD100)=0,('Inputs (2)'!AD101)=0),"",-('Inputs (2)'!AD101)/('Inputs (2)'!AD100)),"")</f>
        <v>0.164780692571691</v>
      </c>
      <c r="AE244" s="32">
        <f>IFERROR(IF(OR(('Inputs (2)'!AE100)=0,('Inputs (2)'!AE101)=0),"",-('Inputs (2)'!AE101)/('Inputs (2)'!AE100)),"")</f>
        <v>0.0176348674900213</v>
      </c>
      <c r="AF244" s="32">
        <f>IFERROR(IF(OR(('Inputs (2)'!AF100)=0,('Inputs (2)'!AF101)=0),"",-('Inputs (2)'!AF101)/('Inputs (2)'!AF100)),"")</f>
        <v>0.18473996987059</v>
      </c>
      <c r="AG244" s="32">
        <f>IFERROR(IF(OR(('Inputs (2)'!AG100)=0,('Inputs (2)'!AG101)=0),"",-('Inputs (2)'!AG101)/('Inputs (2)'!AG100)),"")</f>
        <v>-0.208586434489174</v>
      </c>
      <c r="AH244" s="34">
        <f>IFERROR(IF(OR(('Inputs (2)'!AH100)=0,('Inputs (2)'!AH101)=0),"",-('Inputs (2)'!AH101)/('Inputs (2)'!AH100)),"")</f>
        <v>0.055125115487732</v>
      </c>
      <c r="AI244" s="32">
        <f>IFERROR(IF(OR(('Inputs (2)'!AI100)=0,('Inputs (2)'!AI101)=0),"",-('Inputs (2)'!AI101)/('Inputs (2)'!AI100)),"")</f>
        <v>0.140179512333139</v>
      </c>
      <c r="AJ244" s="32">
        <f>IFERROR(IF(OR(('Inputs (2)'!AJ100)=0,('Inputs (2)'!AJ101)=0),"",-('Inputs (2)'!AJ101)/('Inputs (2)'!AJ100)),"")</f>
        <v>0.15755708068614</v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>
        <f>IFERROR(IF(OR(('Inputs (2)'!AM100)=0,('Inputs (2)'!AM101)=0),"",-('Inputs (2)'!AM101)/('Inputs (2)'!AM100)),"")</f>
        <v>0.149260271153938</v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hidden="1" outlineLevel="1">
      <c r="C245" s="30" t="inlineStr">
        <is>
          <t>Participação de minoritários (% do lucro líquido)</t>
        </is>
      </c>
      <c r="D245" s="12" t="inlineStr">
        <is>
          <t>Minority</t>
        </is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 t="str">
        <f>IFERROR(IF(OR(('Inputs (2)'!L104)=0,('Inputs (2)'!L105)=0),"",-('Inputs (2)'!L105)/('Inputs (2)'!L104)),"")</f>
        <v/>
      </c>
      <c r="M245" s="32" t="str">
        <f>IFERROR(IF(OR(('Inputs (2)'!M104)=0,('Inputs (2)'!M105)=0),"",-('Inputs (2)'!M105)/('Inputs (2)'!M104)),"")</f>
        <v/>
      </c>
      <c r="N245" s="34" t="str">
        <f>IFERROR(IF(OR(('Inputs (2)'!N104)=0,('Inputs (2)'!N105)=0),"",-('Inputs (2)'!N105)/('Inputs (2)'!N104)),"")</f>
        <v/>
      </c>
      <c r="O245" s="32" t="str">
        <f>IFERROR(IF(OR(('Inputs (2)'!O104)=0,('Inputs (2)'!O105)=0),"",-('Inputs (2)'!O105)/('Inputs (2)'!O104)),"")</f>
        <v/>
      </c>
      <c r="P245" s="32" t="str">
        <f>IFERROR(IF(OR(('Inputs (2)'!P104)=0,('Inputs (2)'!P105)=0),"",-('Inputs (2)'!P105)/('Inputs (2)'!P104)),"")</f>
        <v/>
      </c>
      <c r="Q245" s="32" t="str">
        <f>IFERROR(IF(OR(('Inputs (2)'!Q104)=0,('Inputs (2)'!Q105)=0),"",-('Inputs (2)'!Q105)/('Inputs (2)'!Q104)),"")</f>
        <v/>
      </c>
      <c r="R245" s="32" t="str">
        <f>IFERROR(IF(OR(('Inputs (2)'!R104)=0,('Inputs (2)'!R105)=0),"",-('Inputs (2)'!R105)/('Inputs (2)'!R104)),"")</f>
        <v/>
      </c>
      <c r="S245" s="34" t="str">
        <f>IFERROR(IF(OR(('Inputs (2)'!S104)=0,('Inputs (2)'!S105)=0),"",-('Inputs (2)'!S105)/('Inputs (2)'!S104)),"")</f>
        <v/>
      </c>
      <c r="T245" s="32" t="str">
        <f>IFERROR(IF(OR(('Inputs (2)'!T104)=0,('Inputs (2)'!T105)=0),"",-('Inputs (2)'!T105)/('Inputs (2)'!T104)),"")</f>
        <v/>
      </c>
      <c r="U245" s="32" t="str">
        <f>IFERROR(IF(OR(('Inputs (2)'!U104)=0,('Inputs (2)'!U105)=0),"",-('Inputs (2)'!U105)/('Inputs (2)'!U104)),"")</f>
        <v/>
      </c>
      <c r="V245" s="32" t="str">
        <f>IFERROR(IF(OR(('Inputs (2)'!V104)=0,('Inputs (2)'!V105)=0),"",-('Inputs (2)'!V105)/('Inputs (2)'!V104)),"")</f>
        <v/>
      </c>
      <c r="W245" s="32" t="str">
        <f>IFERROR(IF(OR(('Inputs (2)'!W104)=0,('Inputs (2)'!W105)=0),"",-('Inputs (2)'!W105)/('Inputs (2)'!W104)),"")</f>
        <v/>
      </c>
      <c r="X245" s="34" t="str">
        <f>IFERROR(IF(OR(('Inputs (2)'!X104)=0,('Inputs (2)'!X105)=0),"",-('Inputs (2)'!X105)/('Inputs (2)'!X104)),"")</f>
        <v/>
      </c>
      <c r="Y245" s="32" t="str">
        <f>IFERROR(IF(OR(('Inputs (2)'!Y104)=0,('Inputs (2)'!Y105)=0),"",-('Inputs (2)'!Y105)/('Inputs (2)'!Y104)),"")</f>
        <v/>
      </c>
      <c r="Z245" s="32" t="str">
        <f>IFERROR(IF(OR(('Inputs (2)'!Z104)=0,('Inputs (2)'!Z105)=0),"",-('Inputs (2)'!Z105)/('Inputs (2)'!Z104)),"")</f>
        <v/>
      </c>
      <c r="AA245" s="32" t="str">
        <f>IFERROR(IF(OR(('Inputs (2)'!AA104)=0,('Inputs (2)'!AA105)=0),"",-('Inputs (2)'!AA105)/('Inputs (2)'!AA104)),"")</f>
        <v/>
      </c>
      <c r="AB245" s="32" t="str">
        <f>IFERROR(IF(OR(('Inputs (2)'!AB104)=0,('Inputs (2)'!AB105)=0),"",-('Inputs (2)'!AB105)/('Inputs (2)'!AB104)),"")</f>
        <v/>
      </c>
      <c r="AC245" s="34" t="str">
        <f>IFERROR(IF(OR(('Inputs (2)'!AC104)=0,('Inputs (2)'!AC105)=0),"",-('Inputs (2)'!AC105)/('Inputs (2)'!AC104)),"")</f>
        <v/>
      </c>
      <c r="AD245" s="32" t="str">
        <f>IFERROR(IF(OR(('Inputs (2)'!AD104)=0,('Inputs (2)'!AD105)=0),"",-('Inputs (2)'!AD105)/('Inputs (2)'!AD104)),"")</f>
        <v/>
      </c>
      <c r="AE245" s="32" t="str">
        <f>IFERROR(IF(OR(('Inputs (2)'!AE104)=0,('Inputs (2)'!AE105)=0),"",-('Inputs (2)'!AE105)/('Inputs (2)'!AE104)),"")</f>
        <v/>
      </c>
      <c r="AF245" s="32" t="str">
        <f>IFERROR(IF(OR(('Inputs (2)'!AF104)=0,('Inputs (2)'!AF105)=0),"",-('Inputs (2)'!AF105)/('Inputs (2)'!AF104)),"")</f>
        <v/>
      </c>
      <c r="AG245" s="32" t="str">
        <f>IFERROR(IF(OR(('Inputs (2)'!AG104)=0,('Inputs (2)'!AG105)=0),"",-('Inputs (2)'!AG105)/('Inputs (2)'!AG104)),"")</f>
        <v/>
      </c>
      <c r="AH245" s="34" t="str">
        <f>IFERROR(IF(OR(('Inputs (2)'!AH104)=0,('Inputs (2)'!AH105)=0),"",-('Inputs (2)'!AH105)/('Inputs (2)'!AH104)),"")</f>
        <v/>
      </c>
      <c r="AI245" s="32" t="str">
        <f>IFERROR(IF(OR(('Inputs (2)'!AI104)=0,('Inputs (2)'!AI105)=0),"",-('Inputs (2)'!AI105)/('Inputs (2)'!AI104)),"")</f>
        <v/>
      </c>
      <c r="AJ245" s="32" t="str">
        <f>IFERROR(IF(OR(('Inputs (2)'!AJ104)=0,('Inputs (2)'!AJ105)=0),"",-('Inputs (2)'!AJ105)/('Inputs (2)'!AJ104)),"")</f>
        <v/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 t="str">
        <f>IFERROR(IF(OR(('Inputs (2)'!AM104)=0,('Inputs (2)'!AM105)=0),"",-('Inputs (2)'!AM105)/('Inputs (2)'!AM104)),"")</f>
        <v/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total — dividendos + JCP (% do lucro líquido)</t>
        </is>
      </c>
      <c r="D247" s="12" t="inlineStr">
        <is>
          <t>Payout</t>
        </is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>
        <f>IFERROR(IF(OR(('Inputs (2)'!G106)=0,('Inputs (2)'!G149+'Inputs (2)'!G150)=0),"",('Inputs (2)'!G149+'Inputs (2)'!G150)/('Inputs (2)'!G106)),"")</f>
        <v>0.531952578931832</v>
      </c>
      <c r="H247" s="32">
        <f>IFERROR(IF(OR(('Inputs (2)'!H106)=0,('Inputs (2)'!H149+'Inputs (2)'!H150)=0),"",('Inputs (2)'!H149+'Inputs (2)'!H150)/('Inputs (2)'!H106)),"")</f>
        <v>0.4580449691433</v>
      </c>
      <c r="I247" s="34">
        <f>IFERROR(IF(OR(('Inputs (2)'!I106)=0,('Inputs (2)'!I149+'Inputs (2)'!I150)=0),"",('Inputs (2)'!I149+'Inputs (2)'!I150)/('Inputs (2)'!I106)),"")</f>
        <v>0.275627345662797</v>
      </c>
      <c r="J247" s="32" t="str">
        <f>IFERROR(IF(OR(('Inputs (2)'!J106)=0,('Inputs (2)'!J149+'Inputs (2)'!J150)=0),"",('Inputs (2)'!J149+'Inputs (2)'!J150)/('Inputs (2)'!J106)),"")</f>
        <v/>
      </c>
      <c r="K247" s="32" t="str">
        <f>IFERROR(IF(OR(('Inputs (2)'!K106)=0,('Inputs (2)'!K149+'Inputs (2)'!K150)=0),"",('Inputs (2)'!K149+'Inputs (2)'!K150)/('Inputs (2)'!K106)),"")</f>
        <v/>
      </c>
      <c r="L247" s="32">
        <f>IFERROR(IF(OR(('Inputs (2)'!L106)=0,('Inputs (2)'!L149+'Inputs (2)'!L150)=0),"",('Inputs (2)'!L149+'Inputs (2)'!L150)/('Inputs (2)'!L106)),"")</f>
        <v>0.372881938959638</v>
      </c>
      <c r="M247" s="32">
        <f>IFERROR(IF(OR(('Inputs (2)'!M106)=0,('Inputs (2)'!M149+'Inputs (2)'!M150)=0),"",('Inputs (2)'!M149+'Inputs (2)'!M150)/('Inputs (2)'!M106)),"")</f>
        <v>0.473028700751521</v>
      </c>
      <c r="N247" s="34">
        <f>IFERROR(IF(OR(('Inputs (2)'!N106)=0,('Inputs (2)'!N149+'Inputs (2)'!N150)=0),"",('Inputs (2)'!N149+'Inputs (2)'!N150)/('Inputs (2)'!N106)),"")</f>
        <v>0.232570906575006</v>
      </c>
      <c r="O247" s="32" t="str">
        <f>IFERROR(IF(OR(('Inputs (2)'!O106)=0,('Inputs (2)'!O149+'Inputs (2)'!O150)=0),"",('Inputs (2)'!O149+'Inputs (2)'!O150)/('Inputs (2)'!O106)),"")</f>
        <v/>
      </c>
      <c r="P247" s="32" t="str">
        <f>IFERROR(IF(OR(('Inputs (2)'!P106)=0,('Inputs (2)'!P149+'Inputs (2)'!P150)=0),"",('Inputs (2)'!P149+'Inputs (2)'!P150)/('Inputs (2)'!P106)),"")</f>
        <v/>
      </c>
      <c r="Q247" s="32">
        <f>IFERROR(IF(OR(('Inputs (2)'!Q106)=0,('Inputs (2)'!Q149+'Inputs (2)'!Q150)=0),"",('Inputs (2)'!Q149+'Inputs (2)'!Q150)/('Inputs (2)'!Q106)),"")</f>
        <v>0.550254621866104</v>
      </c>
      <c r="R247" s="32">
        <f>IFERROR(IF(OR(('Inputs (2)'!R106)=0,('Inputs (2)'!R149+'Inputs (2)'!R150)=0),"",('Inputs (2)'!R149+'Inputs (2)'!R150)/('Inputs (2)'!R106)),"")</f>
        <v>0.796416452524666</v>
      </c>
      <c r="S247" s="34">
        <f>IFERROR(IF(OR(('Inputs (2)'!S106)=0,('Inputs (2)'!S149+'Inputs (2)'!S150)=0),"",('Inputs (2)'!S149+'Inputs (2)'!S150)/('Inputs (2)'!S106)),"")</f>
        <v>0.32071567035414</v>
      </c>
      <c r="T247" s="32" t="str">
        <f>IFERROR(IF(OR(('Inputs (2)'!T106)=0,('Inputs (2)'!T149+'Inputs (2)'!T150)=0),"",('Inputs (2)'!T149+'Inputs (2)'!T150)/('Inputs (2)'!T106)),"")</f>
        <v/>
      </c>
      <c r="U247" s="32" t="str">
        <f>IFERROR(IF(OR(('Inputs (2)'!U106)=0,('Inputs (2)'!U149+'Inputs (2)'!U150)=0),"",('Inputs (2)'!U149+'Inputs (2)'!U150)/('Inputs (2)'!U106)),"")</f>
        <v/>
      </c>
      <c r="V247" s="32">
        <f>IFERROR(IF(OR(('Inputs (2)'!V106)=0,('Inputs (2)'!V149+'Inputs (2)'!V150)=0),"",('Inputs (2)'!V149+'Inputs (2)'!V150)/('Inputs (2)'!V106)),"")</f>
        <v>0.583401724030338</v>
      </c>
      <c r="W247" s="32">
        <f>IFERROR(IF(OR(('Inputs (2)'!W106)=0,('Inputs (2)'!W149+'Inputs (2)'!W150)=0),"",('Inputs (2)'!W149+'Inputs (2)'!W150)/('Inputs (2)'!W106)),"")</f>
        <v>0.529780116108341</v>
      </c>
      <c r="X247" s="34">
        <f>IFERROR(IF(OR(('Inputs (2)'!X106)=0,('Inputs (2)'!X149+'Inputs (2)'!X150)=0),"",('Inputs (2)'!X149+'Inputs (2)'!X150)/('Inputs (2)'!X106)),"")</f>
        <v>0.299761234000526</v>
      </c>
      <c r="Y247" s="32" t="str">
        <f>IFERROR(IF(OR(('Inputs (2)'!Y106)=0,('Inputs (2)'!Y149+'Inputs (2)'!Y150)=0),"",('Inputs (2)'!Y149+'Inputs (2)'!Y150)/('Inputs (2)'!Y106)),"")</f>
        <v/>
      </c>
      <c r="Z247" s="32">
        <f>IFERROR(IF(OR(('Inputs (2)'!Z106)=0,('Inputs (2)'!Z149+'Inputs (2)'!Z150)=0),"",('Inputs (2)'!Z149+'Inputs (2)'!Z150)/('Inputs (2)'!Z106)),"")</f>
        <v>0.548986271507747</v>
      </c>
      <c r="AA247" s="32" t="str">
        <f>IFERROR(IF(OR(('Inputs (2)'!AA106)=0,('Inputs (2)'!AA149+'Inputs (2)'!AA150)=0),"",('Inputs (2)'!AA149+'Inputs (2)'!AA150)/('Inputs (2)'!AA106)),"")</f>
        <v/>
      </c>
      <c r="AB247" s="32">
        <f>IFERROR(IF(OR(('Inputs (2)'!AB106)=0,('Inputs (2)'!AB149+'Inputs (2)'!AB150)=0),"",('Inputs (2)'!AB149+'Inputs (2)'!AB150)/('Inputs (2)'!AB106)),"")</f>
        <v>0.550478846682336</v>
      </c>
      <c r="AC247" s="34">
        <f>IFERROR(IF(OR(('Inputs (2)'!AC106)=0,('Inputs (2)'!AC149+'Inputs (2)'!AC150)=0),"",('Inputs (2)'!AC149+'Inputs (2)'!AC150)/('Inputs (2)'!AC106)),"")</f>
        <v>0.277352639423593</v>
      </c>
      <c r="AD247" s="32" t="str">
        <f>IFERROR(IF(OR(('Inputs (2)'!AD106)=0,('Inputs (2)'!AD149+'Inputs (2)'!AD150)=0),"",('Inputs (2)'!AD149+'Inputs (2)'!AD150)/('Inputs (2)'!AD106)),"")</f>
        <v/>
      </c>
      <c r="AE247" s="32" t="str">
        <f>IFERROR(IF(OR(('Inputs (2)'!AE106)=0,('Inputs (2)'!AE149+'Inputs (2)'!AE150)=0),"",('Inputs (2)'!AE149+'Inputs (2)'!AE150)/('Inputs (2)'!AE106)),"")</f>
        <v/>
      </c>
      <c r="AF247" s="32">
        <f>IFERROR(IF(OR(('Inputs (2)'!AF106)=0,('Inputs (2)'!AF149+'Inputs (2)'!AF150)=0),"",('Inputs (2)'!AF149+'Inputs (2)'!AF150)/('Inputs (2)'!AF106)),"")</f>
        <v>0.530274391248331</v>
      </c>
      <c r="AG247" s="32">
        <f>IFERROR(IF(OR(('Inputs (2)'!AG106)=0,('Inputs (2)'!AG149+'Inputs (2)'!AG150)=0),"",('Inputs (2)'!AG149+'Inputs (2)'!AG150)/('Inputs (2)'!AG106)),"")</f>
        <v>0.558019025314479</v>
      </c>
      <c r="AH247" s="34">
        <f>IFERROR(IF(OR(('Inputs (2)'!AH106)=0,('Inputs (2)'!AH149+'Inputs (2)'!AH150)=0),"",('Inputs (2)'!AH149+'Inputs (2)'!AH150)/('Inputs (2)'!AH106)),"")</f>
        <v>0.297860609638235</v>
      </c>
      <c r="AI247" s="32" t="str">
        <f>IFERROR(IF(OR(('Inputs (2)'!AI106)=0,('Inputs (2)'!AI149+'Inputs (2)'!AI150)=0),"",('Inputs (2)'!AI149+'Inputs (2)'!AI150)/('Inputs (2)'!AI106)),"")</f>
        <v/>
      </c>
      <c r="AJ247" s="32" t="str">
        <f>IFERROR(IF(OR(('Inputs (2)'!AJ106)=0,('Inputs (2)'!AJ149+'Inputs (2)'!AJ150)=0),"",('Inputs (2)'!AJ149+'Inputs (2)'!AJ150)/('Inputs (2)'!AJ106)),"")</f>
        <v/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 t="str">
        <f>IFERROR(IF(OR(('Inputs (2)'!AM106)=0,('Inputs (2)'!AM149+'Inputs (2)'!AM150)=0),"",('Inputs (2)'!AM149+'Inputs (2)'!AM150)/('Inputs (2)'!AM106)),"")</f>
        <v/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hidden="1" outlineLevel="1">
      <c r="C248" s="30" t="inlineStr">
        <is>
          <t>RWA / Ativo total (%)</t>
        </is>
      </c>
      <c r="D248" s="12" t="inlineStr">
        <is>
          <t>RWA over assets</t>
        </is>
      </c>
      <c r="E248" s="32">
        <f>IFERROR(IF(OR(('Inputs (2)'!E29)=0,('Inputs (2)'!E133)=0),"",('Inputs (2)'!E133)/('Inputs (2)'!E29)),"")</f>
        <v>0.576142768282022</v>
      </c>
      <c r="F248" s="32">
        <f>IFERROR(IF(OR(('Inputs (2)'!F29)=0,('Inputs (2)'!F133)=0),"",('Inputs (2)'!F133)/('Inputs (2)'!F29)),"")</f>
        <v>0.587358447562856</v>
      </c>
      <c r="G248" s="32">
        <f>IFERROR(IF(OR(('Inputs (2)'!G29)=0,('Inputs (2)'!G133)=0),"",('Inputs (2)'!G133)/('Inputs (2)'!G29)),"")</f>
        <v>0.600852834195333</v>
      </c>
      <c r="H248" s="32">
        <f>IFERROR(IF(OR(('Inputs (2)'!H29)=0,('Inputs (2)'!H133)=0),"",('Inputs (2)'!H133)/('Inputs (2)'!H29)),"")</f>
        <v>0.640530038151088</v>
      </c>
      <c r="I248" s="34">
        <f>IFERROR(IF(OR(('Inputs (2)'!I29)=0,('Inputs (2)'!I133)=0),"",('Inputs (2)'!I133)/('Inputs (2)'!I29)),"")</f>
        <v>0.640530038151088</v>
      </c>
      <c r="J248" s="32">
        <f>IFERROR(IF(OR(('Inputs (2)'!J29)=0,('Inputs (2)'!J133)=0),"",('Inputs (2)'!J133)/('Inputs (2)'!J29)),"")</f>
        <v>0.630499765589615</v>
      </c>
      <c r="K248" s="32">
        <f>IFERROR(IF(OR(('Inputs (2)'!K29)=0,('Inputs (2)'!K133)=0),"",('Inputs (2)'!K133)/('Inputs (2)'!K29)),"")</f>
        <v>0.606328632741944</v>
      </c>
      <c r="L248" s="32">
        <f>IFERROR(IF(OR(('Inputs (2)'!L29)=0,('Inputs (2)'!L133)=0),"",('Inputs (2)'!L133)/('Inputs (2)'!L29)),"")</f>
        <v>0.606512943655954</v>
      </c>
      <c r="M248" s="32">
        <f>IFERROR(IF(OR(('Inputs (2)'!M29)=0,('Inputs (2)'!M133)=0),"",('Inputs (2)'!M133)/('Inputs (2)'!M29)),"")</f>
        <v>0.715003794843907</v>
      </c>
      <c r="N248" s="34">
        <f>IFERROR(IF(OR(('Inputs (2)'!N29)=0,('Inputs (2)'!N133)=0),"",('Inputs (2)'!N133)/('Inputs (2)'!N29)),"")</f>
        <v>0.715003794843907</v>
      </c>
      <c r="O248" s="32">
        <f>IFERROR(IF(OR(('Inputs (2)'!O29)=0,('Inputs (2)'!O133)=0),"",('Inputs (2)'!O133)/('Inputs (2)'!O29)),"")</f>
        <v>0.672341355219412</v>
      </c>
      <c r="P248" s="32">
        <f>IFERROR(IF(OR(('Inputs (2)'!P29)=0,('Inputs (2)'!P133)=0),"",('Inputs (2)'!P133)/('Inputs (2)'!P29)),"")</f>
        <v>0.618705049029292</v>
      </c>
      <c r="Q248" s="32">
        <f>IFERROR(IF(OR(('Inputs (2)'!Q29)=0,('Inputs (2)'!Q133)=0),"",('Inputs (2)'!Q133)/('Inputs (2)'!Q29)),"")</f>
        <v>0.683661342324865</v>
      </c>
      <c r="R248" s="32">
        <f>IFERROR(IF(OR(('Inputs (2)'!R29)=0,('Inputs (2)'!R133)=0),"",('Inputs (2)'!R133)/('Inputs (2)'!R29)),"")</f>
        <v>0.683571344654642</v>
      </c>
      <c r="S248" s="34">
        <f>IFERROR(IF(OR(('Inputs (2)'!S29)=0,('Inputs (2)'!S133)=0),"",('Inputs (2)'!S133)/('Inputs (2)'!S29)),"")</f>
        <v>0.683571344654642</v>
      </c>
      <c r="T248" s="32">
        <f>IFERROR(IF(OR(('Inputs (2)'!T29)=0,('Inputs (2)'!T133)=0),"",('Inputs (2)'!T133)/('Inputs (2)'!T29)),"")</f>
        <v>0.648610452629617</v>
      </c>
      <c r="U248" s="32">
        <f>IFERROR(IF(OR(('Inputs (2)'!U29)=0,('Inputs (2)'!U133)=0),"",('Inputs (2)'!U133)/('Inputs (2)'!U29)),"")</f>
        <v>0.728167626574519</v>
      </c>
      <c r="V248" s="32">
        <f>IFERROR(IF(OR(('Inputs (2)'!V29)=0,('Inputs (2)'!V133)=0),"",('Inputs (2)'!V133)/('Inputs (2)'!V29)),"")</f>
        <v>0.682744823268603</v>
      </c>
      <c r="W248" s="32">
        <f>IFERROR(IF(OR(('Inputs (2)'!W29)=0,('Inputs (2)'!W133)=0),"",('Inputs (2)'!W133)/('Inputs (2)'!W29)),"")</f>
        <v>0.741854739279541</v>
      </c>
      <c r="X248" s="34">
        <f>IFERROR(IF(OR(('Inputs (2)'!X29)=0,('Inputs (2)'!X133)=0),"",('Inputs (2)'!X133)/('Inputs (2)'!X29)),"")</f>
        <v>0.741854739279541</v>
      </c>
      <c r="Y248" s="32">
        <f>IFERROR(IF(OR(('Inputs (2)'!Y29)=0,('Inputs (2)'!Y133)=0),"",('Inputs (2)'!Y133)/('Inputs (2)'!Y29)),"")</f>
        <v>0.676138031092546</v>
      </c>
      <c r="Z248" s="32">
        <f>IFERROR(IF(OR(('Inputs (2)'!Z29)=0,('Inputs (2)'!Z133)=0),"",('Inputs (2)'!Z133)/('Inputs (2)'!Z29)),"")</f>
        <v>0.673928217015038</v>
      </c>
      <c r="AA248" s="32">
        <f>IFERROR(IF(OR(('Inputs (2)'!AA29)=0,('Inputs (2)'!AA133)=0),"",('Inputs (2)'!AA133)/('Inputs (2)'!AA29)),"")</f>
        <v>0.701194112945118</v>
      </c>
      <c r="AB248" s="32">
        <f>IFERROR(IF(OR(('Inputs (2)'!AB29)=0,('Inputs (2)'!AB133)=0),"",('Inputs (2)'!AB133)/('Inputs (2)'!AB29)),"")</f>
        <v>0.777075375336782</v>
      </c>
      <c r="AC248" s="34">
        <f>IFERROR(IF(OR(('Inputs (2)'!AC29)=0,('Inputs (2)'!AC133)=0),"",('Inputs (2)'!AC133)/('Inputs (2)'!AC29)),"")</f>
        <v>0.777075375336782</v>
      </c>
      <c r="AD248" s="32">
        <f>IFERROR(IF(OR(('Inputs (2)'!AD29)=0,('Inputs (2)'!AD133)=0),"",('Inputs (2)'!AD133)/('Inputs (2)'!AD29)),"")</f>
        <v>0.775184954972869</v>
      </c>
      <c r="AE248" s="32">
        <f>IFERROR(IF(OR(('Inputs (2)'!AE29)=0,('Inputs (2)'!AE133)=0),"",('Inputs (2)'!AE133)/('Inputs (2)'!AE29)),"")</f>
        <v>0.751580064392387</v>
      </c>
      <c r="AF248" s="32">
        <f>IFERROR(IF(OR(('Inputs (2)'!AF29)=0,('Inputs (2)'!AF133)=0),"",('Inputs (2)'!AF133)/('Inputs (2)'!AF29)),"")</f>
        <v>0.791096328362066</v>
      </c>
      <c r="AG248" s="32">
        <f>IFERROR(IF(OR(('Inputs (2)'!AG29)=0,('Inputs (2)'!AG133)=0),"",('Inputs (2)'!AG133)/('Inputs (2)'!AG29)),"")</f>
        <v>0.723033280930158</v>
      </c>
      <c r="AH248" s="34">
        <f>IFERROR(IF(OR(('Inputs (2)'!AH29)=0,('Inputs (2)'!AH133)=0),"",('Inputs (2)'!AH133)/('Inputs (2)'!AH29)),"")</f>
        <v>0.723033280930158</v>
      </c>
      <c r="AI248" s="32">
        <f>IFERROR(IF(OR(('Inputs (2)'!AI29)=0,('Inputs (2)'!AI133)=0),"",('Inputs (2)'!AI133)/('Inputs (2)'!AI29)),"")</f>
        <v>0.719042528555572</v>
      </c>
      <c r="AJ248" s="32">
        <f>IFERROR(IF(OR(('Inputs (2)'!AJ29)=0,('Inputs (2)'!AJ133)=0),"",('Inputs (2)'!AJ133)/('Inputs (2)'!AJ29)),"")</f>
        <v>0.692846137882192</v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hidden="1" outlineLevel="1">
      <c r="C249" s="30" t="inlineStr">
        <is>
          <t>Índice de Basileia reportado (%)</t>
        </is>
      </c>
      <c r="D249" s="12" t="inlineStr">
        <is>
          <t>Reported Basel ratio</t>
        </is>
      </c>
      <c r="E249" s="32">
        <f>IFERROR(IF(OR(COUNT('Inputs (2)'!E140)=0,('Inputs (2)'!E140)=0),"",('Inputs (2)'!E140)),"")</f>
        <v>0.193835</v>
      </c>
      <c r="F249" s="32">
        <f>IFERROR(IF(OR(COUNT('Inputs (2)'!F140)=0,('Inputs (2)'!F140)=0),"",('Inputs (2)'!F140)),"")</f>
        <v>0.196336</v>
      </c>
      <c r="G249" s="32">
        <f>IFERROR(IF(OR(COUNT('Inputs (2)'!G140)=0,('Inputs (2)'!G140)=0),"",('Inputs (2)'!G140)),"")</f>
        <v>0.175069</v>
      </c>
      <c r="H249" s="32">
        <f>IFERROR(IF(OR(COUNT('Inputs (2)'!H140)=0,('Inputs (2)'!H140)=0),"",('Inputs (2)'!H140)),"")</f>
        <v>0.166577</v>
      </c>
      <c r="I249" s="34">
        <f>IFERROR(IF(OR(COUNT('Inputs (2)'!I140)=0,('Inputs (2)'!I140)=0),"",('Inputs (2)'!I140)),"")</f>
        <v>0.166577</v>
      </c>
      <c r="J249" s="32">
        <f>IFERROR(IF(OR(COUNT('Inputs (2)'!J140)=0,('Inputs (2)'!J140)=0),"",('Inputs (2)'!J140)),"")</f>
        <v>0.176628</v>
      </c>
      <c r="K249" s="32">
        <f>IFERROR(IF(OR(COUNT('Inputs (2)'!K140)=0,('Inputs (2)'!K140)=0),"",('Inputs (2)'!K140)),"")</f>
        <v>0.172504</v>
      </c>
      <c r="L249" s="32">
        <f>IFERROR(IF(OR(COUNT('Inputs (2)'!L140)=0,('Inputs (2)'!L140)=0),"",('Inputs (2)'!L140)),"")</f>
        <v>0.160562</v>
      </c>
      <c r="M249" s="32">
        <f>IFERROR(IF(OR(COUNT('Inputs (2)'!M140)=0,('Inputs (2)'!M140)=0),"",('Inputs (2)'!M140)),"")</f>
        <v>0.156743</v>
      </c>
      <c r="N249" s="34">
        <f>IFERROR(IF(OR(COUNT('Inputs (2)'!N140)=0,('Inputs (2)'!N140)=0),"",('Inputs (2)'!N140)),"")</f>
        <v>0.156743</v>
      </c>
      <c r="O249" s="32">
        <f>IFERROR(IF(OR(COUNT('Inputs (2)'!O140)=0,('Inputs (2)'!O140)=0),"",('Inputs (2)'!O140)),"")</f>
        <v>0.149813</v>
      </c>
      <c r="P249" s="32">
        <f>IFERROR(IF(OR(COUNT('Inputs (2)'!P140)=0,('Inputs (2)'!P140)=0),"",('Inputs (2)'!P140)),"")</f>
        <v>0.151816</v>
      </c>
      <c r="Q249" s="32">
        <f>IFERROR(IF(OR(COUNT('Inputs (2)'!Q140)=0,('Inputs (2)'!Q140)=0),"",('Inputs (2)'!Q140)),"")</f>
        <v>0.151993</v>
      </c>
      <c r="R249" s="32">
        <f>IFERROR(IF(OR(COUNT('Inputs (2)'!R140)=0,('Inputs (2)'!R140)=0),"",('Inputs (2)'!R140)),"")</f>
        <v>0.15081</v>
      </c>
      <c r="S249" s="34">
        <f>IFERROR(IF(OR(COUNT('Inputs (2)'!S140)=0,('Inputs (2)'!S140)=0),"",('Inputs (2)'!S140)),"")</f>
        <v>0.15081</v>
      </c>
      <c r="T249" s="32">
        <f>IFERROR(IF(OR(COUNT('Inputs (2)'!T140)=0,('Inputs (2)'!T140)=0),"",('Inputs (2)'!T140)),"")</f>
        <v>0.155163</v>
      </c>
      <c r="U249" s="32">
        <f>IFERROR(IF(OR(COUNT('Inputs (2)'!U140)=0,('Inputs (2)'!U140)=0),"",('Inputs (2)'!U140)),"")</f>
        <v>0.154279</v>
      </c>
      <c r="V249" s="32">
        <f>IFERROR(IF(OR(COUNT('Inputs (2)'!V140)=0,('Inputs (2)'!V140)=0),"",('Inputs (2)'!V140)),"")</f>
        <v>0.173695</v>
      </c>
      <c r="W249" s="32">
        <f>IFERROR(IF(OR(COUNT('Inputs (2)'!W140)=0,('Inputs (2)'!W140)=0),"",('Inputs (2)'!W140)),"")</f>
        <v>0.175197</v>
      </c>
      <c r="X249" s="34">
        <f>IFERROR(IF(OR(COUNT('Inputs (2)'!X140)=0,('Inputs (2)'!X140)=0),"",('Inputs (2)'!X140)),"")</f>
        <v>0.175197</v>
      </c>
      <c r="Y249" s="32">
        <f>IFERROR(IF(OR(COUNT('Inputs (2)'!Y140)=0,('Inputs (2)'!Y140)=0),"",('Inputs (2)'!Y140)),"")</f>
        <v>0.163978</v>
      </c>
      <c r="Z249" s="32">
        <f>IFERROR(IF(OR(COUNT('Inputs (2)'!Z140)=0,('Inputs (2)'!Z140)=0),"",('Inputs (2)'!Z140)),"")</f>
        <v>0.161559</v>
      </c>
      <c r="AA249" s="32">
        <f>IFERROR(IF(OR(COUNT('Inputs (2)'!AA140)=0,('Inputs (2)'!AA140)=0),"",('Inputs (2)'!AA140)),"")</f>
        <v>0.164219</v>
      </c>
      <c r="AB249" s="32">
        <f>IFERROR(IF(OR(COUNT('Inputs (2)'!AB140)=0,('Inputs (2)'!AB140)=0),"",('Inputs (2)'!AB140)),"")</f>
        <v>0.157063</v>
      </c>
      <c r="AC249" s="34">
        <f>IFERROR(IF(OR(COUNT('Inputs (2)'!AC140)=0,('Inputs (2)'!AC140)=0),"",('Inputs (2)'!AC140)),"")</f>
        <v>0.157063</v>
      </c>
      <c r="AD249" s="32">
        <f>IFERROR(IF(OR(COUNT('Inputs (2)'!AD140)=0,('Inputs (2)'!AD140)=0),"",('Inputs (2)'!AD140)),"")</f>
        <v>0.156703</v>
      </c>
      <c r="AE249" s="32">
        <f>IFERROR(IF(OR(COUNT('Inputs (2)'!AE140)=0,('Inputs (2)'!AE140)=0),"",('Inputs (2)'!AE140)),"")</f>
        <v>0.161504</v>
      </c>
      <c r="AF249" s="32">
        <f>IFERROR(IF(OR(COUNT('Inputs (2)'!AF140)=0,('Inputs (2)'!AF140)=0),"",('Inputs (2)'!AF140)),"")</f>
        <v>0.155452</v>
      </c>
      <c r="AG249" s="32">
        <f>IFERROR(IF(OR(COUNT('Inputs (2)'!AG140)=0,('Inputs (2)'!AG140)=0),"",('Inputs (2)'!AG140)),"")</f>
        <v>0.155033</v>
      </c>
      <c r="AH249" s="34">
        <f>IFERROR(IF(OR(COUNT('Inputs (2)'!AH140)=0,('Inputs (2)'!AH140)=0),"",('Inputs (2)'!AH140)),"")</f>
        <v>0.155033</v>
      </c>
      <c r="AI249" s="32">
        <f>IFERROR(IF(OR(COUNT('Inputs (2)'!AI140)=0,('Inputs (2)'!AI140)=0),"",('Inputs (2)'!AI140)),"")</f>
        <v>0.159129</v>
      </c>
      <c r="AJ249" s="32">
        <f>IFERROR(IF(OR(COUNT('Inputs (2)'!AJ140)=0,('Inputs (2)'!AJ140)=0),"",('Inputs (2)'!AJ140)),"")</f>
        <v>0.160422</v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hidden="1" outlineLevel="1">
      <c r="C250" s="30" t="inlineStr">
        <is>
          <t>Índice de Nível I reportado (%)</t>
        </is>
      </c>
      <c r="D250" s="12" t="inlineStr">
        <is>
          <t>Reported Tier 1 ratio</t>
        </is>
      </c>
      <c r="E250" s="32">
        <f>IFERROR(IF(OR(COUNT('Inputs (2)'!E141)=0,('Inputs (2)'!E141)=0),"",('Inputs (2)'!E141)),"")</f>
        <v>0.153008</v>
      </c>
      <c r="F250" s="32">
        <f>IFERROR(IF(OR(COUNT('Inputs (2)'!F141)=0,('Inputs (2)'!F141)=0),"",('Inputs (2)'!F141)),"")</f>
        <v>0.159918</v>
      </c>
      <c r="G250" s="32">
        <f>IFERROR(IF(OR(COUNT('Inputs (2)'!G141)=0,('Inputs (2)'!G141)=0),"",('Inputs (2)'!G141)),"")</f>
        <v>0.143981</v>
      </c>
      <c r="H250" s="32">
        <f>IFERROR(IF(OR(COUNT('Inputs (2)'!H141)=0,('Inputs (2)'!H141)=0),"",('Inputs (2)'!H141)),"")</f>
        <v>0.140792</v>
      </c>
      <c r="I250" s="34">
        <f>IFERROR(IF(OR(COUNT('Inputs (2)'!I141)=0,('Inputs (2)'!I141)=0),"",('Inputs (2)'!I141)),"")</f>
        <v>0.140792</v>
      </c>
      <c r="J250" s="32">
        <f>IFERROR(IF(OR(COUNT('Inputs (2)'!J141)=0,('Inputs (2)'!J141)=0),"",('Inputs (2)'!J141)),"")</f>
        <v>0.152156</v>
      </c>
      <c r="K250" s="32">
        <f>IFERROR(IF(OR(COUNT('Inputs (2)'!K141)=0,('Inputs (2)'!K141)=0),"",('Inputs (2)'!K141)),"")</f>
        <v>0.153578</v>
      </c>
      <c r="L250" s="32">
        <f>IFERROR(IF(OR(COUNT('Inputs (2)'!L141)=0,('Inputs (2)'!L141)=0),"",('Inputs (2)'!L141)),"")</f>
        <v>0.144129</v>
      </c>
      <c r="M250" s="32">
        <f>IFERROR(IF(OR(COUNT('Inputs (2)'!M141)=0,('Inputs (2)'!M141)=0),"",('Inputs (2)'!M141)),"")</f>
        <v>0.135994</v>
      </c>
      <c r="N250" s="34">
        <f>IFERROR(IF(OR(COUNT('Inputs (2)'!N141)=0,('Inputs (2)'!N141)=0),"",('Inputs (2)'!N141)),"")</f>
        <v>0.135994</v>
      </c>
      <c r="O250" s="32">
        <f>IFERROR(IF(OR(COUNT('Inputs (2)'!O141)=0,('Inputs (2)'!O141)=0),"",('Inputs (2)'!O141)),"")</f>
        <v>0.132229</v>
      </c>
      <c r="P250" s="32">
        <f>IFERROR(IF(OR(COUNT('Inputs (2)'!P141)=0,('Inputs (2)'!P141)=0),"",('Inputs (2)'!P141)),"")</f>
        <v>0.133645</v>
      </c>
      <c r="Q250" s="32">
        <f>IFERROR(IF(OR(COUNT('Inputs (2)'!Q141)=0,('Inputs (2)'!Q141)=0),"",('Inputs (2)'!Q141)),"")</f>
        <v>0.129904</v>
      </c>
      <c r="R250" s="32">
        <f>IFERROR(IF(OR(COUNT('Inputs (2)'!R141)=0,('Inputs (2)'!R141)=0),"",('Inputs (2)'!R141)),"")</f>
        <v>0.127791</v>
      </c>
      <c r="S250" s="34">
        <f>IFERROR(IF(OR(COUNT('Inputs (2)'!S141)=0,('Inputs (2)'!S141)=0),"",('Inputs (2)'!S141)),"")</f>
        <v>0.127791</v>
      </c>
      <c r="T250" s="32">
        <f>IFERROR(IF(OR(COUNT('Inputs (2)'!T141)=0,('Inputs (2)'!T141)=0),"",('Inputs (2)'!T141)),"")</f>
        <v>0.131787</v>
      </c>
      <c r="U250" s="32">
        <f>IFERROR(IF(OR(COUNT('Inputs (2)'!U141)=0,('Inputs (2)'!U141)=0),"",('Inputs (2)'!U141)),"")</f>
        <v>0.123636</v>
      </c>
      <c r="V250" s="32">
        <f>IFERROR(IF(OR(COUNT('Inputs (2)'!V141)=0,('Inputs (2)'!V141)=0),"",('Inputs (2)'!V141)),"")</f>
        <v>0.130776</v>
      </c>
      <c r="W250" s="32">
        <f>IFERROR(IF(OR(COUNT('Inputs (2)'!W141)=0,('Inputs (2)'!W141)=0),"",('Inputs (2)'!W141)),"")</f>
        <v>0.126629</v>
      </c>
      <c r="X250" s="34">
        <f>IFERROR(IF(OR(COUNT('Inputs (2)'!X141)=0,('Inputs (2)'!X141)=0),"",('Inputs (2)'!X141)),"")</f>
        <v>0.126629</v>
      </c>
      <c r="Y250" s="32">
        <f>IFERROR(IF(OR(COUNT('Inputs (2)'!Y141)=0,('Inputs (2)'!Y141)=0),"",('Inputs (2)'!Y141)),"")</f>
        <v>0.125248</v>
      </c>
      <c r="Z250" s="32">
        <f>IFERROR(IF(OR(COUNT('Inputs (2)'!Z141)=0,('Inputs (2)'!Z141)=0),"",('Inputs (2)'!Z141)),"")</f>
        <v>0.123494</v>
      </c>
      <c r="AA250" s="32">
        <f>IFERROR(IF(OR(COUNT('Inputs (2)'!AA141)=0,('Inputs (2)'!AA141)=0),"",('Inputs (2)'!AA141)),"")</f>
        <v>0.128476</v>
      </c>
      <c r="AB250" s="32">
        <f>IFERROR(IF(OR(COUNT('Inputs (2)'!AB141)=0,('Inputs (2)'!AB141)=0),"",('Inputs (2)'!AB141)),"")</f>
        <v>0.123502</v>
      </c>
      <c r="AC250" s="34">
        <f>IFERROR(IF(OR(COUNT('Inputs (2)'!AC141)=0,('Inputs (2)'!AC141)=0),"",('Inputs (2)'!AC141)),"")</f>
        <v>0.123502</v>
      </c>
      <c r="AD250" s="32">
        <f>IFERROR(IF(OR(COUNT('Inputs (2)'!AD141)=0,('Inputs (2)'!AD141)=0),"",('Inputs (2)'!AD141)),"")</f>
        <v>0.124059</v>
      </c>
      <c r="AE250" s="32">
        <f>IFERROR(IF(OR(COUNT('Inputs (2)'!AE141)=0,('Inputs (2)'!AE141)=0),"",('Inputs (2)'!AE141)),"")</f>
        <v>0.130253</v>
      </c>
      <c r="AF250" s="32">
        <f>IFERROR(IF(OR(COUNT('Inputs (2)'!AF141)=0,('Inputs (2)'!AF141)=0),"",('Inputs (2)'!AF141)),"")</f>
        <v>0.124048</v>
      </c>
      <c r="AG250" s="32">
        <f>IFERROR(IF(OR(COUNT('Inputs (2)'!AG141)=0,('Inputs (2)'!AG141)=0),"",('Inputs (2)'!AG141)),"")</f>
        <v>0.124389</v>
      </c>
      <c r="AH250" s="34">
        <f>IFERROR(IF(OR(COUNT('Inputs (2)'!AH141)=0,('Inputs (2)'!AH141)=0),"",('Inputs (2)'!AH141)),"")</f>
        <v>0.124389</v>
      </c>
      <c r="AI250" s="32">
        <f>IFERROR(IF(OR(COUNT('Inputs (2)'!AI141)=0,('Inputs (2)'!AI141)=0),"",('Inputs (2)'!AI141)),"")</f>
        <v>0.1244</v>
      </c>
      <c r="AJ250" s="32">
        <f>IFERROR(IF(OR(COUNT('Inputs (2)'!AJ141)=0,('Inputs (2)'!AJ141)=0),"",('Inputs (2)'!AJ141)),"")</f>
        <v>0.126046</v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hidden="1" outlineLevel="1">
      <c r="C251" s="30" t="inlineStr">
        <is>
          <t>Variação de outros resultados abrangentes no período</t>
        </is>
      </c>
      <c r="D251" s="12" t="inlineStr">
        <is>
          <t>OCI change</t>
        </is>
      </c>
      <c r="E251" s="37" t="n"/>
      <c r="F251" s="35" t="str">
        <f>IFERROR(IF(OR(COUNT('Inputs (2)'!F63)=0,COUNT('Inputs (2)'!E63)=0,AND(('Inputs (2)'!F63)=0,('Inputs (2)'!E63)=0)),"",('Inputs (2)'!F63)-('Inputs (2)'!E63)),"")</f>
        <v/>
      </c>
      <c r="G251" s="35" t="str">
        <f>IFERROR(IF(OR(COUNT('Inputs (2)'!G63)=0,COUNT('Inputs (2)'!F63)=0,AND(('Inputs (2)'!G63)=0,('Inputs (2)'!F63)=0)),"",('Inputs (2)'!G63)-('Inputs (2)'!F63)),"")</f>
        <v/>
      </c>
      <c r="H251" s="35" t="str">
        <f>IFERROR(IF(OR(COUNT('Inputs (2)'!H63)=0,COUNT('Inputs (2)'!G63)=0,AND(('Inputs (2)'!H63)=0,('Inputs (2)'!G63)=0)),"",('Inputs (2)'!H63)-('Inputs (2)'!G63)),"")</f>
        <v/>
      </c>
      <c r="I251" s="38" t="n"/>
      <c r="J251" s="35" t="str">
        <f>IFERROR(IF(OR(COUNT('Inputs (2)'!J63)=0,COUNT('Inputs (2)'!H63)=0,AND(('Inputs (2)'!J63)=0,('Inputs (2)'!H63)=0)),"",('Inputs (2)'!J63)-('Inputs (2)'!H63)),"")</f>
        <v/>
      </c>
      <c r="K251" s="35" t="str">
        <f>IFERROR(IF(OR(COUNT('Inputs (2)'!K63)=0,COUNT('Inputs (2)'!J63)=0,AND(('Inputs (2)'!K63)=0,('Inputs (2)'!J63)=0)),"",('Inputs (2)'!K63)-('Inputs (2)'!J63)),"")</f>
        <v/>
      </c>
      <c r="L251" s="35" t="str">
        <f>IFERROR(IF(OR(COUNT('Inputs (2)'!L63)=0,COUNT('Inputs (2)'!K63)=0,AND(('Inputs (2)'!L63)=0,('Inputs (2)'!K63)=0)),"",('Inputs (2)'!L63)-('Inputs (2)'!K63)),"")</f>
        <v/>
      </c>
      <c r="M251" s="35" t="str">
        <f>IFERROR(IF(OR(COUNT('Inputs (2)'!M63)=0,COUNT('Inputs (2)'!L63)=0,AND(('Inputs (2)'!M63)=0,('Inputs (2)'!L63)=0)),"",('Inputs (2)'!M63)-('Inputs (2)'!L63)),"")</f>
        <v/>
      </c>
      <c r="N251" s="36" t="str">
        <f>IFERROR(IF(OR(COUNT('Inputs (2)'!N63)=0,COUNT('Inputs (2)'!I63)=0,AND(('Inputs (2)'!N63)=0,('Inputs (2)'!I63)=0)),"",('Inputs (2)'!N63)-('Inputs (2)'!I63)),"")</f>
        <v/>
      </c>
      <c r="O251" s="35" t="str">
        <f>IFERROR(IF(OR(COUNT('Inputs (2)'!O63)=0,COUNT('Inputs (2)'!M63)=0,AND(('Inputs (2)'!O63)=0,('Inputs (2)'!M63)=0)),"",('Inputs (2)'!O63)-('Inputs (2)'!M63)),"")</f>
        <v/>
      </c>
      <c r="P251" s="35" t="str">
        <f>IFERROR(IF(OR(COUNT('Inputs (2)'!P63)=0,COUNT('Inputs (2)'!O63)=0,AND(('Inputs (2)'!P63)=0,('Inputs (2)'!O63)=0)),"",('Inputs (2)'!P63)-('Inputs (2)'!O63)),"")</f>
        <v/>
      </c>
      <c r="Q251" s="35" t="str">
        <f>IFERROR(IF(OR(COUNT('Inputs (2)'!Q63)=0,COUNT('Inputs (2)'!P63)=0,AND(('Inputs (2)'!Q63)=0,('Inputs (2)'!P63)=0)),"",('Inputs (2)'!Q63)-('Inputs (2)'!P63)),"")</f>
        <v/>
      </c>
      <c r="R251" s="35" t="str">
        <f>IFERROR(IF(OR(COUNT('Inputs (2)'!R63)=0,COUNT('Inputs (2)'!Q63)=0,AND(('Inputs (2)'!R63)=0,('Inputs (2)'!Q63)=0)),"",('Inputs (2)'!R63)-('Inputs (2)'!Q63)),"")</f>
        <v/>
      </c>
      <c r="S251" s="36" t="str">
        <f>IFERROR(IF(OR(COUNT('Inputs (2)'!S63)=0,COUNT('Inputs (2)'!N63)=0,AND(('Inputs (2)'!S63)=0,('Inputs (2)'!N63)=0)),"",('Inputs (2)'!S63)-('Inputs (2)'!N63)),"")</f>
        <v/>
      </c>
      <c r="T251" s="35" t="str">
        <f>IFERROR(IF(OR(COUNT('Inputs (2)'!T63)=0,COUNT('Inputs (2)'!R63)=0,AND(('Inputs (2)'!T63)=0,('Inputs (2)'!R63)=0)),"",('Inputs (2)'!T63)-('Inputs (2)'!R63)),"")</f>
        <v/>
      </c>
      <c r="U251" s="35" t="str">
        <f>IFERROR(IF(OR(COUNT('Inputs (2)'!U63)=0,COUNT('Inputs (2)'!T63)=0,AND(('Inputs (2)'!U63)=0,('Inputs (2)'!T63)=0)),"",('Inputs (2)'!U63)-('Inputs (2)'!T63)),"")</f>
        <v/>
      </c>
      <c r="V251" s="35" t="str">
        <f>IFERROR(IF(OR(COUNT('Inputs (2)'!V63)=0,COUNT('Inputs (2)'!U63)=0,AND(('Inputs (2)'!V63)=0,('Inputs (2)'!U63)=0)),"",('Inputs (2)'!V63)-('Inputs (2)'!U63)),"")</f>
        <v/>
      </c>
      <c r="W251" s="35" t="str">
        <f>IFERROR(IF(OR(COUNT('Inputs (2)'!W63)=0,COUNT('Inputs (2)'!V63)=0,AND(('Inputs (2)'!W63)=0,('Inputs (2)'!V63)=0)),"",('Inputs (2)'!W63)-('Inputs (2)'!V63)),"")</f>
        <v/>
      </c>
      <c r="X251" s="36" t="str">
        <f>IFERROR(IF(OR(COUNT('Inputs (2)'!X63)=0,COUNT('Inputs (2)'!S63)=0,AND(('Inputs (2)'!X63)=0,('Inputs (2)'!S63)=0)),"",('Inputs (2)'!X63)-('Inputs (2)'!S63)),"")</f>
        <v/>
      </c>
      <c r="Y251" s="35" t="str">
        <f>IFERROR(IF(OR(COUNT('Inputs (2)'!Y63)=0,COUNT('Inputs (2)'!W63)=0,AND(('Inputs (2)'!Y63)=0,('Inputs (2)'!W63)=0)),"",('Inputs (2)'!Y63)-('Inputs (2)'!W63)),"")</f>
        <v/>
      </c>
      <c r="Z251" s="35" t="str">
        <f>IFERROR(IF(OR(COUNT('Inputs (2)'!Z63)=0,COUNT('Inputs (2)'!Y63)=0,AND(('Inputs (2)'!Z63)=0,('Inputs (2)'!Y63)=0)),"",('Inputs (2)'!Z63)-('Inputs (2)'!Y63)),"")</f>
        <v/>
      </c>
      <c r="AA251" s="35" t="str">
        <f>IFERROR(IF(OR(COUNT('Inputs (2)'!AA63)=0,COUNT('Inputs (2)'!Z63)=0,AND(('Inputs (2)'!AA63)=0,('Inputs (2)'!Z63)=0)),"",('Inputs (2)'!AA63)-('Inputs (2)'!Z63)),"")</f>
        <v/>
      </c>
      <c r="AB251" s="35" t="str">
        <f>IFERROR(IF(OR(COUNT('Inputs (2)'!AB63)=0,COUNT('Inputs (2)'!AA63)=0,AND(('Inputs (2)'!AB63)=0,('Inputs (2)'!AA63)=0)),"",('Inputs (2)'!AB63)-('Inputs (2)'!AA63)),"")</f>
        <v/>
      </c>
      <c r="AC251" s="36" t="str">
        <f>IFERROR(IF(OR(COUNT('Inputs (2)'!AC63)=0,COUNT('Inputs (2)'!X63)=0,AND(('Inputs (2)'!AC63)=0,('Inputs (2)'!X63)=0)),"",('Inputs (2)'!AC63)-('Inputs (2)'!X63)),"")</f>
        <v/>
      </c>
      <c r="AD251" s="35" t="str">
        <f>IFERROR(IF(OR(COUNT('Inputs (2)'!AD63)=0,COUNT('Inputs (2)'!AB63)=0,AND(('Inputs (2)'!AD63)=0,('Inputs (2)'!AB63)=0)),"",('Inputs (2)'!AD63)-('Inputs (2)'!AB63)),"")</f>
        <v/>
      </c>
      <c r="AE251" s="35" t="str">
        <f>IFERROR(IF(OR(COUNT('Inputs (2)'!AE63)=0,COUNT('Inputs (2)'!AD63)=0,AND(('Inputs (2)'!AE63)=0,('Inputs (2)'!AD63)=0)),"",('Inputs (2)'!AE63)-('Inputs (2)'!AD63)),"")</f>
        <v/>
      </c>
      <c r="AF251" s="35" t="str">
        <f>IFERROR(IF(OR(COUNT('Inputs (2)'!AF63)=0,COUNT('Inputs (2)'!AE63)=0,AND(('Inputs (2)'!AF63)=0,('Inputs (2)'!AE63)=0)),"",('Inputs (2)'!AF63)-('Inputs (2)'!AE63)),"")</f>
        <v/>
      </c>
      <c r="AG251" s="35" t="str">
        <f>IFERROR(IF(OR(COUNT('Inputs (2)'!AG63)=0,COUNT('Inputs (2)'!AF63)=0,AND(('Inputs (2)'!AG63)=0,('Inputs (2)'!AF63)=0)),"",('Inputs (2)'!AG63)-('Inputs (2)'!AF63)),"")</f>
        <v/>
      </c>
      <c r="AH251" s="36" t="str">
        <f>IFERROR(IF(OR(COUNT('Inputs (2)'!AH63)=0,COUNT('Inputs (2)'!AC63)=0,AND(('Inputs (2)'!AH63)=0,('Inputs (2)'!AC63)=0)),"",('Inputs (2)'!AH63)-('Inputs (2)'!AC63)),"")</f>
        <v/>
      </c>
      <c r="AI251" s="35" t="str">
        <f>IFERROR(IF(OR(COUNT('Inputs (2)'!AI63)=0,COUNT('Inputs (2)'!AG63)=0,AND(('Inputs (2)'!AI63)=0,('Inputs (2)'!AG63)=0)),"",('Inputs (2)'!AI63)-('Inputs (2)'!AG63)),"")</f>
        <v/>
      </c>
      <c r="AJ251" s="35" t="str">
        <f>IFERROR(IF(OR(COUNT('Inputs (2)'!AJ63)=0,COUNT('Inputs (2)'!AI63)=0,AND(('Inputs (2)'!AJ63)=0,('Inputs (2)'!AI63)=0)),"",('Inputs (2)'!AJ63)-('Inputs (2)'!AI63)),"")</f>
        <v/>
      </c>
      <c r="AK251" s="35" t="str">
        <f>IFERROR(IF(OR(COUNT('Inputs (2)'!AK63)=0,COUNT('Inputs (2)'!AJ63)=0,AND(('Inputs (2)'!AK63)=0,('Inputs (2)'!AJ63)=0)),"",('Inputs (2)'!AK63)-('Inputs (2)'!AJ63)),"")</f>
        <v/>
      </c>
      <c r="AL251" s="35" t="str">
        <f>IFERROR(IF(OR(COUNT('Inputs (2)'!AL63)=0,COUNT('Inputs (2)'!AK63)=0,AND(('Inputs (2)'!AL63)=0,('Inputs (2)'!AK63)=0)),"",('Inputs (2)'!AL63)-('Inputs (2)'!AK63)),"")</f>
        <v/>
      </c>
      <c r="AM251" s="36" t="str">
        <f>IFERROR(IF(OR(COUNT('Inputs (2)'!AM63)=0,COUNT('Inputs (2)'!AH63)=0,AND(('Inputs (2)'!AM63)=0,('Inputs (2)'!AH63)=0)),"",('Inputs (2)'!AM63)-('Inputs (2)'!AH63)),"")</f>
        <v/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hidden="1" outlineLevel="1">
      <c r="C252" s="30" t="inlineStr">
        <is>
          <t>Variação do capital social no período</t>
        </is>
      </c>
      <c r="D252" s="12" t="inlineStr">
        <is>
          <t>Capital change</t>
        </is>
      </c>
      <c r="E252" s="37" t="n"/>
      <c r="F252" s="35" t="str">
        <f>IFERROR(IF(OR(COUNT('Inputs (2)'!F60)=0,COUNT('Inputs (2)'!E60)=0,AND(('Inputs (2)'!F60)=0,('Inputs (2)'!E60)=0)),"",('Inputs (2)'!F60)-('Inputs (2)'!E60)),"")</f>
        <v/>
      </c>
      <c r="G252" s="35" t="str">
        <f>IFERROR(IF(OR(COUNT('Inputs (2)'!G60)=0,COUNT('Inputs (2)'!F60)=0,AND(('Inputs (2)'!G60)=0,('Inputs (2)'!F60)=0)),"",('Inputs (2)'!G60)-('Inputs (2)'!F60)),"")</f>
        <v/>
      </c>
      <c r="H252" s="35" t="str">
        <f>IFERROR(IF(OR(COUNT('Inputs (2)'!H60)=0,COUNT('Inputs (2)'!G60)=0,AND(('Inputs (2)'!H60)=0,('Inputs (2)'!G60)=0)),"",('Inputs (2)'!H60)-('Inputs (2)'!G60)),"")</f>
        <v/>
      </c>
      <c r="I252" s="38" t="n"/>
      <c r="J252" s="35" t="str">
        <f>IFERROR(IF(OR(COUNT('Inputs (2)'!J60)=0,COUNT('Inputs (2)'!H60)=0,AND(('Inputs (2)'!J60)=0,('Inputs (2)'!H60)=0)),"",('Inputs (2)'!J60)-('Inputs (2)'!H60)),"")</f>
        <v/>
      </c>
      <c r="K252" s="35" t="str">
        <f>IFERROR(IF(OR(COUNT('Inputs (2)'!K60)=0,COUNT('Inputs (2)'!J60)=0,AND(('Inputs (2)'!K60)=0,('Inputs (2)'!J60)=0)),"",('Inputs (2)'!K60)-('Inputs (2)'!J60)),"")</f>
        <v/>
      </c>
      <c r="L252" s="35" t="str">
        <f>IFERROR(IF(OR(COUNT('Inputs (2)'!L60)=0,COUNT('Inputs (2)'!K60)=0,AND(('Inputs (2)'!L60)=0,('Inputs (2)'!K60)=0)),"",('Inputs (2)'!L60)-('Inputs (2)'!K60)),"")</f>
        <v/>
      </c>
      <c r="M252" s="35" t="str">
        <f>IFERROR(IF(OR(COUNT('Inputs (2)'!M60)=0,COUNT('Inputs (2)'!L60)=0,AND(('Inputs (2)'!M60)=0,('Inputs (2)'!L60)=0)),"",('Inputs (2)'!M60)-('Inputs (2)'!L60)),"")</f>
        <v/>
      </c>
      <c r="N252" s="36" t="str">
        <f>IFERROR(IF(OR(COUNT('Inputs (2)'!N60)=0,COUNT('Inputs (2)'!I60)=0,AND(('Inputs (2)'!N60)=0,('Inputs (2)'!I60)=0)),"",('Inputs (2)'!N60)-('Inputs (2)'!I60)),"")</f>
        <v/>
      </c>
      <c r="O252" s="35" t="str">
        <f>IFERROR(IF(OR(COUNT('Inputs (2)'!O60)=0,COUNT('Inputs (2)'!M60)=0,AND(('Inputs (2)'!O60)=0,('Inputs (2)'!M60)=0)),"",('Inputs (2)'!O60)-('Inputs (2)'!M60)),"")</f>
        <v/>
      </c>
      <c r="P252" s="35" t="str">
        <f>IFERROR(IF(OR(COUNT('Inputs (2)'!P60)=0,COUNT('Inputs (2)'!O60)=0,AND(('Inputs (2)'!P60)=0,('Inputs (2)'!O60)=0)),"",('Inputs (2)'!P60)-('Inputs (2)'!O60)),"")</f>
        <v/>
      </c>
      <c r="Q252" s="35" t="str">
        <f>IFERROR(IF(OR(COUNT('Inputs (2)'!Q60)=0,COUNT('Inputs (2)'!P60)=0,AND(('Inputs (2)'!Q60)=0,('Inputs (2)'!P60)=0)),"",('Inputs (2)'!Q60)-('Inputs (2)'!P60)),"")</f>
        <v/>
      </c>
      <c r="R252" s="35" t="str">
        <f>IFERROR(IF(OR(COUNT('Inputs (2)'!R60)=0,COUNT('Inputs (2)'!Q60)=0,AND(('Inputs (2)'!R60)=0,('Inputs (2)'!Q60)=0)),"",('Inputs (2)'!R60)-('Inputs (2)'!Q60)),"")</f>
        <v/>
      </c>
      <c r="S252" s="36" t="str">
        <f>IFERROR(IF(OR(COUNT('Inputs (2)'!S60)=0,COUNT('Inputs (2)'!N60)=0,AND(('Inputs (2)'!S60)=0,('Inputs (2)'!N60)=0)),"",('Inputs (2)'!S60)-('Inputs (2)'!N60)),"")</f>
        <v/>
      </c>
      <c r="T252" s="35" t="str">
        <f>IFERROR(IF(OR(COUNT('Inputs (2)'!T60)=0,COUNT('Inputs (2)'!R60)=0,AND(('Inputs (2)'!T60)=0,('Inputs (2)'!R60)=0)),"",('Inputs (2)'!T60)-('Inputs (2)'!R60)),"")</f>
        <v/>
      </c>
      <c r="U252" s="35" t="str">
        <f>IFERROR(IF(OR(COUNT('Inputs (2)'!U60)=0,COUNT('Inputs (2)'!T60)=0,AND(('Inputs (2)'!U60)=0,('Inputs (2)'!T60)=0)),"",('Inputs (2)'!U60)-('Inputs (2)'!T60)),"")</f>
        <v/>
      </c>
      <c r="V252" s="35" t="str">
        <f>IFERROR(IF(OR(COUNT('Inputs (2)'!V60)=0,COUNT('Inputs (2)'!U60)=0,AND(('Inputs (2)'!V60)=0,('Inputs (2)'!U60)=0)),"",('Inputs (2)'!V60)-('Inputs (2)'!U60)),"")</f>
        <v/>
      </c>
      <c r="W252" s="35" t="str">
        <f>IFERROR(IF(OR(COUNT('Inputs (2)'!W60)=0,COUNT('Inputs (2)'!V60)=0,AND(('Inputs (2)'!W60)=0,('Inputs (2)'!V60)=0)),"",('Inputs (2)'!W60)-('Inputs (2)'!V60)),"")</f>
        <v/>
      </c>
      <c r="X252" s="36" t="str">
        <f>IFERROR(IF(OR(COUNT('Inputs (2)'!X60)=0,COUNT('Inputs (2)'!S60)=0,AND(('Inputs (2)'!X60)=0,('Inputs (2)'!S60)=0)),"",('Inputs (2)'!X60)-('Inputs (2)'!S60)),"")</f>
        <v/>
      </c>
      <c r="Y252" s="35" t="str">
        <f>IFERROR(IF(OR(COUNT('Inputs (2)'!Y60)=0,COUNT('Inputs (2)'!W60)=0,AND(('Inputs (2)'!Y60)=0,('Inputs (2)'!W60)=0)),"",('Inputs (2)'!Y60)-('Inputs (2)'!W60)),"")</f>
        <v/>
      </c>
      <c r="Z252" s="35" t="str">
        <f>IFERROR(IF(OR(COUNT('Inputs (2)'!Z60)=0,COUNT('Inputs (2)'!Y60)=0,AND(('Inputs (2)'!Z60)=0,('Inputs (2)'!Y60)=0)),"",('Inputs (2)'!Z60)-('Inputs (2)'!Y60)),"")</f>
        <v/>
      </c>
      <c r="AA252" s="35" t="str">
        <f>IFERROR(IF(OR(COUNT('Inputs (2)'!AA60)=0,COUNT('Inputs (2)'!Z60)=0,AND(('Inputs (2)'!AA60)=0,('Inputs (2)'!Z60)=0)),"",('Inputs (2)'!AA60)-('Inputs (2)'!Z60)),"")</f>
        <v/>
      </c>
      <c r="AB252" s="35" t="str">
        <f>IFERROR(IF(OR(COUNT('Inputs (2)'!AB60)=0,COUNT('Inputs (2)'!AA60)=0,AND(('Inputs (2)'!AB60)=0,('Inputs (2)'!AA60)=0)),"",('Inputs (2)'!AB60)-('Inputs (2)'!AA60)),"")</f>
        <v/>
      </c>
      <c r="AC252" s="36" t="str">
        <f>IFERROR(IF(OR(COUNT('Inputs (2)'!AC60)=0,COUNT('Inputs (2)'!X60)=0,AND(('Inputs (2)'!AC60)=0,('Inputs (2)'!X60)=0)),"",('Inputs (2)'!AC60)-('Inputs (2)'!X60)),"")</f>
        <v/>
      </c>
      <c r="AD252" s="35" t="str">
        <f>IFERROR(IF(OR(COUNT('Inputs (2)'!AD60)=0,COUNT('Inputs (2)'!AB60)=0,AND(('Inputs (2)'!AD60)=0,('Inputs (2)'!AB60)=0)),"",('Inputs (2)'!AD60)-('Inputs (2)'!AB60)),"")</f>
        <v/>
      </c>
      <c r="AE252" s="35" t="str">
        <f>IFERROR(IF(OR(COUNT('Inputs (2)'!AE60)=0,COUNT('Inputs (2)'!AD60)=0,AND(('Inputs (2)'!AE60)=0,('Inputs (2)'!AD60)=0)),"",('Inputs (2)'!AE60)-('Inputs (2)'!AD60)),"")</f>
        <v/>
      </c>
      <c r="AF252" s="35" t="str">
        <f>IFERROR(IF(OR(COUNT('Inputs (2)'!AF60)=0,COUNT('Inputs (2)'!AE60)=0,AND(('Inputs (2)'!AF60)=0,('Inputs (2)'!AE60)=0)),"",('Inputs (2)'!AF60)-('Inputs (2)'!AE60)),"")</f>
        <v/>
      </c>
      <c r="AG252" s="35" t="str">
        <f>IFERROR(IF(OR(COUNT('Inputs (2)'!AG60)=0,COUNT('Inputs (2)'!AF60)=0,AND(('Inputs (2)'!AG60)=0,('Inputs (2)'!AF60)=0)),"",('Inputs (2)'!AG60)-('Inputs (2)'!AF60)),"")</f>
        <v/>
      </c>
      <c r="AH252" s="36" t="str">
        <f>IFERROR(IF(OR(COUNT('Inputs (2)'!AH60)=0,COUNT('Inputs (2)'!AC60)=0,AND(('Inputs (2)'!AH60)=0,('Inputs (2)'!AC60)=0)),"",('Inputs (2)'!AH60)-('Inputs (2)'!AC60)),"")</f>
        <v/>
      </c>
      <c r="AI252" s="35" t="str">
        <f>IFERROR(IF(OR(COUNT('Inputs (2)'!AI60)=0,COUNT('Inputs (2)'!AG60)=0,AND(('Inputs (2)'!AI60)=0,('Inputs (2)'!AG60)=0)),"",('Inputs (2)'!AI60)-('Inputs (2)'!AG60)),"")</f>
        <v/>
      </c>
      <c r="AJ252" s="35" t="str">
        <f>IFERROR(IF(OR(COUNT('Inputs (2)'!AJ60)=0,COUNT('Inputs (2)'!AI60)=0,AND(('Inputs (2)'!AJ60)=0,('Inputs (2)'!AI60)=0)),"",('Inputs (2)'!AJ60)-('Inputs (2)'!AI60)),"")</f>
        <v/>
      </c>
      <c r="AK252" s="35" t="str">
        <f>IFERROR(IF(OR(COUNT('Inputs (2)'!AK60)=0,COUNT('Inputs (2)'!AJ60)=0,AND(('Inputs (2)'!AK60)=0,('Inputs (2)'!AJ60)=0)),"",('Inputs (2)'!AK60)-('Inputs (2)'!AJ60)),"")</f>
        <v/>
      </c>
      <c r="AL252" s="35" t="str">
        <f>IFERROR(IF(OR(COUNT('Inputs (2)'!AL60)=0,COUNT('Inputs (2)'!AK60)=0,AND(('Inputs (2)'!AL60)=0,('Inputs (2)'!AK60)=0)),"",('Inputs (2)'!AL60)-('Inputs (2)'!AK60)),"")</f>
        <v/>
      </c>
      <c r="AM252" s="36" t="str">
        <f>IFERROR(IF(OR(COUNT('Inputs (2)'!AM60)=0,COUNT('Inputs (2)'!AH60)=0,AND(('Inputs (2)'!AM60)=0,('Inputs (2)'!AH60)=0)),"",('Inputs (2)'!AM60)-('Inputs (2)'!AH60)),"")</f>
        <v/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hidden="1" outlineLevel="1">
      <c r="B253" s="29" t="n"/>
      <c r="C253" s="29" t="inlineStr">
        <is>
          <t>Qualidade de crédito e cobertura — realizado</t>
        </is>
      </c>
      <c r="D253" s="29" t="inlineStr">
        <is>
          <t>Asset quality and coverage — actual</t>
        </is>
      </c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  <c r="BA253" s="29" t="n"/>
      <c r="BB253" s="29" t="n"/>
      <c r="BC253" s="29" t="n"/>
      <c r="BD253" s="29" t="n"/>
      <c r="BE253" s="29" t="n"/>
      <c r="BF253" s="29" t="n"/>
      <c r="BG253" s="29" t="n"/>
      <c r="BH253" s="29" t="n"/>
      <c r="BI253" s="29" t="n"/>
    </row>
    <row r="254" hidden="1" outlineLevel="1">
      <c r="C254" s="30" t="inlineStr">
        <is>
          <t>NPL acima de 90 dias (% da carteira ampliada)</t>
        </is>
      </c>
      <c r="D254" s="12" t="inlineStr">
        <is>
          <t>NPL 90+ ratio</t>
        </is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 t="str">
        <f>IFERROR(IF(OR(ABS('Inputs (2)'!J111)=0,('Inputs (2)'!J121)=0),"",ABS('Inputs (2)'!J121)/ABS('Inputs (2)'!J111)),"")</f>
        <v/>
      </c>
      <c r="K254" s="32" t="str">
        <f>IFERROR(IF(OR(ABS('Inputs (2)'!K111)=0,('Inputs (2)'!K121)=0),"",ABS('Inputs (2)'!K121)/ABS('Inputs (2)'!K111)),"")</f>
        <v/>
      </c>
      <c r="L254" s="32" t="str">
        <f>IFERROR(IF(OR(ABS('Inputs (2)'!L111)=0,('Inputs (2)'!L121)=0),"",ABS('Inputs (2)'!L121)/ABS('Inputs (2)'!L111)),"")</f>
        <v/>
      </c>
      <c r="M254" s="32" t="str">
        <f>IFERROR(IF(OR(ABS('Inputs (2)'!M111)=0,('Inputs (2)'!M121)=0),"",ABS('Inputs (2)'!M121)/ABS('Inputs (2)'!M111)),"")</f>
        <v/>
      </c>
      <c r="N254" s="34" t="str">
        <f>IFERROR(IF(OR(ABS('Inputs (2)'!N111)=0,('Inputs (2)'!N121)=0),"",ABS('Inputs (2)'!N121)/ABS('Inputs (2)'!N111)),"")</f>
        <v/>
      </c>
      <c r="O254" s="32" t="str">
        <f>IFERROR(IF(OR(ABS('Inputs (2)'!O111)=0,('Inputs (2)'!O121)=0),"",ABS('Inputs (2)'!O121)/ABS('Inputs (2)'!O111)),"")</f>
        <v/>
      </c>
      <c r="P254" s="32" t="str">
        <f>IFERROR(IF(OR(ABS('Inputs (2)'!P111)=0,('Inputs (2)'!P121)=0),"",ABS('Inputs (2)'!P121)/ABS('Inputs (2)'!P111)),"")</f>
        <v/>
      </c>
      <c r="Q254" s="32" t="str">
        <f>IFERROR(IF(OR(ABS('Inputs (2)'!Q111)=0,('Inputs (2)'!Q121)=0),"",ABS('Inputs (2)'!Q121)/ABS('Inputs (2)'!Q111)),"")</f>
        <v/>
      </c>
      <c r="R254" s="32" t="str">
        <f>IFERROR(IF(OR(ABS('Inputs (2)'!R111)=0,('Inputs (2)'!R121)=0),"",ABS('Inputs (2)'!R121)/ABS('Inputs (2)'!R111)),"")</f>
        <v/>
      </c>
      <c r="S254" s="34" t="str">
        <f>IFERROR(IF(OR(ABS('Inputs (2)'!S111)=0,('Inputs (2)'!S121)=0),"",ABS('Inputs (2)'!S121)/ABS('Inputs (2)'!S111)),"")</f>
        <v/>
      </c>
      <c r="T254" s="32" t="str">
        <f>IFERROR(IF(OR(ABS('Inputs (2)'!T111)=0,('Inputs (2)'!T121)=0),"",ABS('Inputs (2)'!T121)/ABS('Inputs (2)'!T111)),"")</f>
        <v/>
      </c>
      <c r="U254" s="32" t="str">
        <f>IFERROR(IF(OR(ABS('Inputs (2)'!U111)=0,('Inputs (2)'!U121)=0),"",ABS('Inputs (2)'!U121)/ABS('Inputs (2)'!U111)),"")</f>
        <v/>
      </c>
      <c r="V254" s="32" t="str">
        <f>IFERROR(IF(OR(ABS('Inputs (2)'!V111)=0,('Inputs (2)'!V121)=0),"",ABS('Inputs (2)'!V121)/ABS('Inputs (2)'!V111)),"")</f>
        <v/>
      </c>
      <c r="W254" s="32" t="str">
        <f>IFERROR(IF(OR(ABS('Inputs (2)'!W111)=0,('Inputs (2)'!W121)=0),"",ABS('Inputs (2)'!W121)/ABS('Inputs (2)'!W111)),"")</f>
        <v/>
      </c>
      <c r="X254" s="34" t="str">
        <f>IFERROR(IF(OR(ABS('Inputs (2)'!X111)=0,('Inputs (2)'!X121)=0),"",ABS('Inputs (2)'!X121)/ABS('Inputs (2)'!X111)),"")</f>
        <v/>
      </c>
      <c r="Y254" s="32" t="str">
        <f>IFERROR(IF(OR(ABS('Inputs (2)'!Y111)=0,('Inputs (2)'!Y121)=0),"",ABS('Inputs (2)'!Y121)/ABS('Inputs (2)'!Y111)),"")</f>
        <v/>
      </c>
      <c r="Z254" s="32" t="str">
        <f>IFERROR(IF(OR(ABS('Inputs (2)'!Z111)=0,('Inputs (2)'!Z121)=0),"",ABS('Inputs (2)'!Z121)/ABS('Inputs (2)'!Z111)),"")</f>
        <v/>
      </c>
      <c r="AA254" s="32" t="str">
        <f>IFERROR(IF(OR(ABS('Inputs (2)'!AA111)=0,('Inputs (2)'!AA121)=0),"",ABS('Inputs (2)'!AA121)/ABS('Inputs (2)'!AA111)),"")</f>
        <v/>
      </c>
      <c r="AB254" s="32" t="str">
        <f>IFERROR(IF(OR(ABS('Inputs (2)'!AB111)=0,('Inputs (2)'!AB121)=0),"",ABS('Inputs (2)'!AB121)/ABS('Inputs (2)'!AB111)),"")</f>
        <v/>
      </c>
      <c r="AC254" s="34" t="str">
        <f>IFERROR(IF(OR(ABS('Inputs (2)'!AC111)=0,('Inputs (2)'!AC121)=0),"",ABS('Inputs (2)'!AC121)/ABS('Inputs (2)'!AC111)),"")</f>
        <v/>
      </c>
      <c r="AD254" s="32">
        <f>IFERROR(IF(OR(ABS('Inputs (2)'!AD111)=0,('Inputs (2)'!AD121)=0),"",ABS('Inputs (2)'!AD121)/ABS('Inputs (2)'!AD111)),"")</f>
        <v>0.044875490279452</v>
      </c>
      <c r="AE254" s="32">
        <f>IFERROR(IF(OR(ABS('Inputs (2)'!AE111)=0,('Inputs (2)'!AE121)=0),"",ABS('Inputs (2)'!AE121)/ABS('Inputs (2)'!AE111)),"")</f>
        <v>0.0554482537375308</v>
      </c>
      <c r="AF254" s="32">
        <f>IFERROR(IF(OR(ABS('Inputs (2)'!AF111)=0,('Inputs (2)'!AF121)=0),"",ABS('Inputs (2)'!AF121)/ABS('Inputs (2)'!AF111)),"")</f>
        <v>0.0583544767117074</v>
      </c>
      <c r="AG254" s="32">
        <f>IFERROR(IF(OR(ABS('Inputs (2)'!AG111)=0,('Inputs (2)'!AG121)=0),"",ABS('Inputs (2)'!AG121)/ABS('Inputs (2)'!AG111)),"")</f>
        <v>0.0533334759949649</v>
      </c>
      <c r="AH254" s="34">
        <f>IFERROR(IF(OR(ABS('Inputs (2)'!AH111)=0,('Inputs (2)'!AH121)=0),"",ABS('Inputs (2)'!AH121)/ABS('Inputs (2)'!AH111)),"")</f>
        <v>0.0533334759949649</v>
      </c>
      <c r="AI254" s="32">
        <f>IFERROR(IF(OR(ABS('Inputs (2)'!AI111)=0,('Inputs (2)'!AI121)=0),"",ABS('Inputs (2)'!AI121)/ABS('Inputs (2)'!AI111)),"")</f>
        <v>0.0574459627802919</v>
      </c>
      <c r="AJ254" s="32">
        <f>IFERROR(IF(OR(ABS('Inputs (2)'!AJ111)=0,('Inputs (2)'!AJ121)=0),"",ABS('Inputs (2)'!AJ121)/ABS('Inputs (2)'!AJ111)),"")</f>
        <v>0.0663992197706095</v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hidden="1" outlineLevel="1">
      <c r="C255" s="30" t="inlineStr">
        <is>
          <t>NPL de 15 a 90 dias (% da carteira ampliada)</t>
        </is>
      </c>
      <c r="D255" s="12" t="inlineStr">
        <is>
          <t>NPL 15-90 ratio</t>
        </is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hidden="1" outlineLevel="1">
      <c r="C256" s="30" t="inlineStr">
        <is>
          <t>Cobertura do NPL 90+ pela provisão (%)</t>
        </is>
      </c>
      <c r="D256" s="12" t="inlineStr">
        <is>
          <t>NPL 90+ coverage</t>
        </is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 t="str">
        <f>IFERROR(IF(OR(ABS('Inputs (2)'!J121)=0,('Inputs (2)'!J120)=0),"",ABS('Inputs (2)'!J120)/ABS('Inputs (2)'!J121)),"")</f>
        <v/>
      </c>
      <c r="K256" s="32" t="str">
        <f>IFERROR(IF(OR(ABS('Inputs (2)'!K121)=0,('Inputs (2)'!K120)=0),"",ABS('Inputs (2)'!K120)/ABS('Inputs (2)'!K121)),"")</f>
        <v/>
      </c>
      <c r="L256" s="32" t="str">
        <f>IFERROR(IF(OR(ABS('Inputs (2)'!L121)=0,('Inputs (2)'!L120)=0),"",ABS('Inputs (2)'!L120)/ABS('Inputs (2)'!L121)),"")</f>
        <v/>
      </c>
      <c r="M256" s="32" t="str">
        <f>IFERROR(IF(OR(ABS('Inputs (2)'!M121)=0,('Inputs (2)'!M120)=0),"",ABS('Inputs (2)'!M120)/ABS('Inputs (2)'!M121)),"")</f>
        <v/>
      </c>
      <c r="N256" s="34" t="str">
        <f>IFERROR(IF(OR(ABS('Inputs (2)'!N121)=0,('Inputs (2)'!N120)=0),"",ABS('Inputs (2)'!N120)/ABS('Inputs (2)'!N121)),"")</f>
        <v/>
      </c>
      <c r="O256" s="32" t="str">
        <f>IFERROR(IF(OR(ABS('Inputs (2)'!O121)=0,('Inputs (2)'!O120)=0),"",ABS('Inputs (2)'!O120)/ABS('Inputs (2)'!O121)),"")</f>
        <v/>
      </c>
      <c r="P256" s="32" t="str">
        <f>IFERROR(IF(OR(ABS('Inputs (2)'!P121)=0,('Inputs (2)'!P120)=0),"",ABS('Inputs (2)'!P120)/ABS('Inputs (2)'!P121)),"")</f>
        <v/>
      </c>
      <c r="Q256" s="32" t="str">
        <f>IFERROR(IF(OR(ABS('Inputs (2)'!Q121)=0,('Inputs (2)'!Q120)=0),"",ABS('Inputs (2)'!Q120)/ABS('Inputs (2)'!Q121)),"")</f>
        <v/>
      </c>
      <c r="R256" s="32" t="str">
        <f>IFERROR(IF(OR(ABS('Inputs (2)'!R121)=0,('Inputs (2)'!R120)=0),"",ABS('Inputs (2)'!R120)/ABS('Inputs (2)'!R121)),"")</f>
        <v/>
      </c>
      <c r="S256" s="34" t="str">
        <f>IFERROR(IF(OR(ABS('Inputs (2)'!S121)=0,('Inputs (2)'!S120)=0),"",ABS('Inputs (2)'!S120)/ABS('Inputs (2)'!S121)),"")</f>
        <v/>
      </c>
      <c r="T256" s="32" t="str">
        <f>IFERROR(IF(OR(ABS('Inputs (2)'!T121)=0,('Inputs (2)'!T120)=0),"",ABS('Inputs (2)'!T120)/ABS('Inputs (2)'!T121)),"")</f>
        <v/>
      </c>
      <c r="U256" s="32" t="str">
        <f>IFERROR(IF(OR(ABS('Inputs (2)'!U121)=0,('Inputs (2)'!U120)=0),"",ABS('Inputs (2)'!U120)/ABS('Inputs (2)'!U121)),"")</f>
        <v/>
      </c>
      <c r="V256" s="32" t="str">
        <f>IFERROR(IF(OR(ABS('Inputs (2)'!V121)=0,('Inputs (2)'!V120)=0),"",ABS('Inputs (2)'!V120)/ABS('Inputs (2)'!V121)),"")</f>
        <v/>
      </c>
      <c r="W256" s="32" t="str">
        <f>IFERROR(IF(OR(ABS('Inputs (2)'!W121)=0,('Inputs (2)'!W120)=0),"",ABS('Inputs (2)'!W120)/ABS('Inputs (2)'!W121)),"")</f>
        <v/>
      </c>
      <c r="X256" s="34" t="str">
        <f>IFERROR(IF(OR(ABS('Inputs (2)'!X121)=0,('Inputs (2)'!X120)=0),"",ABS('Inputs (2)'!X120)/ABS('Inputs (2)'!X121)),"")</f>
        <v/>
      </c>
      <c r="Y256" s="32" t="str">
        <f>IFERROR(IF(OR(ABS('Inputs (2)'!Y121)=0,('Inputs (2)'!Y120)=0),"",ABS('Inputs (2)'!Y120)/ABS('Inputs (2)'!Y121)),"")</f>
        <v/>
      </c>
      <c r="Z256" s="32" t="str">
        <f>IFERROR(IF(OR(ABS('Inputs (2)'!Z121)=0,('Inputs (2)'!Z120)=0),"",ABS('Inputs (2)'!Z120)/ABS('Inputs (2)'!Z121)),"")</f>
        <v/>
      </c>
      <c r="AA256" s="32" t="str">
        <f>IFERROR(IF(OR(ABS('Inputs (2)'!AA121)=0,('Inputs (2)'!AA120)=0),"",ABS('Inputs (2)'!AA120)/ABS('Inputs (2)'!AA121)),"")</f>
        <v/>
      </c>
      <c r="AB256" s="32" t="str">
        <f>IFERROR(IF(OR(ABS('Inputs (2)'!AB121)=0,('Inputs (2)'!AB120)=0),"",ABS('Inputs (2)'!AB120)/ABS('Inputs (2)'!AB121)),"")</f>
        <v/>
      </c>
      <c r="AC256" s="34" t="str">
        <f>IFERROR(IF(OR(ABS('Inputs (2)'!AC121)=0,('Inputs (2)'!AC120)=0),"",ABS('Inputs (2)'!AC120)/ABS('Inputs (2)'!AC121)),"")</f>
        <v/>
      </c>
      <c r="AD256" s="32">
        <f>IFERROR(IF(OR(ABS('Inputs (2)'!AD121)=0,('Inputs (2)'!AD120)=0),"",ABS('Inputs (2)'!AD120)/ABS('Inputs (2)'!AD121)),"")</f>
        <v>1.44549173435505</v>
      </c>
      <c r="AE256" s="32">
        <f>IFERROR(IF(OR(ABS('Inputs (2)'!AE121)=0,('Inputs (2)'!AE120)=0),"",ABS('Inputs (2)'!AE120)/ABS('Inputs (2)'!AE121)),"")</f>
        <v>1.40829627861827</v>
      </c>
      <c r="AF256" s="32">
        <f>IFERROR(IF(OR(ABS('Inputs (2)'!AF121)=0,('Inputs (2)'!AF120)=0),"",ABS('Inputs (2)'!AF120)/ABS('Inputs (2)'!AF121)),"")</f>
        <v>1.40272413438397</v>
      </c>
      <c r="AG256" s="32">
        <f>IFERROR(IF(OR(ABS('Inputs (2)'!AG121)=0,('Inputs (2)'!AG120)=0),"",ABS('Inputs (2)'!AG120)/ABS('Inputs (2)'!AG121)),"")</f>
        <v>1.50016717045177</v>
      </c>
      <c r="AH256" s="34">
        <f>IFERROR(IF(OR(ABS('Inputs (2)'!AH121)=0,('Inputs (2)'!AH120)=0),"",ABS('Inputs (2)'!AH120)/ABS('Inputs (2)'!AH121)),"")</f>
        <v>1.50016717045177</v>
      </c>
      <c r="AI256" s="32">
        <f>IFERROR(IF(OR(ABS('Inputs (2)'!AI121)=0,('Inputs (2)'!AI120)=0),"",ABS('Inputs (2)'!AI120)/ABS('Inputs (2)'!AI121)),"")</f>
        <v>1.39767110233105</v>
      </c>
      <c r="AJ256" s="32">
        <f>IFERROR(IF(OR(ABS('Inputs (2)'!AJ121)=0,('Inputs (2)'!AJ120)=0),"",ABS('Inputs (2)'!AJ120)/ABS('Inputs (2)'!AJ121)),"")</f>
        <v>1.45388219724796</v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hidden="1" outlineLevel="1">
      <c r="C257" s="30" t="inlineStr">
        <is>
          <t>Provisão sobre carteira ampliada (%)</t>
        </is>
      </c>
      <c r="D257" s="12" t="inlineStr">
        <is>
          <t>Allowance over loans</t>
        </is>
      </c>
      <c r="E257" s="32">
        <f>IFERROR(IF(OR(ABS('Inputs (2)'!E111)=0,('Inputs (2)'!E120)=0),"",ABS('Inputs (2)'!E120)/ABS('Inputs (2)'!E111)),"")</f>
        <v>0.042575221458413</v>
      </c>
      <c r="F257" s="32">
        <f>IFERROR(IF(OR(ABS('Inputs (2)'!F111)=0,('Inputs (2)'!F120)=0),"",ABS('Inputs (2)'!F120)/ABS('Inputs (2)'!F111)),"")</f>
        <v>0.0434193823727874</v>
      </c>
      <c r="G257" s="32">
        <f>IFERROR(IF(OR(ABS('Inputs (2)'!G111)=0,('Inputs (2)'!G120)=0),"",ABS('Inputs (2)'!G120)/ABS('Inputs (2)'!G111)),"")</f>
        <v>0.0376154832430608</v>
      </c>
      <c r="H257" s="32">
        <f>IFERROR(IF(OR(ABS('Inputs (2)'!H111)=0,('Inputs (2)'!H120)=0),"",ABS('Inputs (2)'!H120)/ABS('Inputs (2)'!H111)),"")</f>
        <v>0.0360193456355277</v>
      </c>
      <c r="I257" s="34">
        <f>IFERROR(IF(OR(ABS('Inputs (2)'!I111)=0,('Inputs (2)'!I120)=0),"",ABS('Inputs (2)'!I120)/ABS('Inputs (2)'!I111)),"")</f>
        <v>0.0360193456355277</v>
      </c>
      <c r="J257" s="32">
        <f>IFERROR(IF(OR(ABS('Inputs (2)'!J111)=0,('Inputs (2)'!J120)=0),"",ABS('Inputs (2)'!J120)/ABS('Inputs (2)'!J111)),"")</f>
        <v>0.0223569292293276</v>
      </c>
      <c r="K257" s="32">
        <f>IFERROR(IF(OR(ABS('Inputs (2)'!K111)=0,('Inputs (2)'!K120)=0),"",ABS('Inputs (2)'!K120)/ABS('Inputs (2)'!K111)),"")</f>
        <v>0.0326219183347403</v>
      </c>
      <c r="L257" s="32">
        <f>IFERROR(IF(OR(ABS('Inputs (2)'!L111)=0,('Inputs (2)'!L120)=0),"",ABS('Inputs (2)'!L120)/ABS('Inputs (2)'!L111)),"")</f>
        <v>0.0310285449918068</v>
      </c>
      <c r="M257" s="32">
        <f>IFERROR(IF(OR(ABS('Inputs (2)'!M111)=0,('Inputs (2)'!M120)=0),"",ABS('Inputs (2)'!M120)/ABS('Inputs (2)'!M111)),"")</f>
        <v>0.031959805197053</v>
      </c>
      <c r="N257" s="34">
        <f>IFERROR(IF(OR(ABS('Inputs (2)'!N111)=0,('Inputs (2)'!N120)=0),"",ABS('Inputs (2)'!N120)/ABS('Inputs (2)'!N111)),"")</f>
        <v>0.031959805197053</v>
      </c>
      <c r="O257" s="32">
        <f>IFERROR(IF(OR(ABS('Inputs (2)'!O111)=0,('Inputs (2)'!O120)=0),"",ABS('Inputs (2)'!O120)/ABS('Inputs (2)'!O111)),"")</f>
        <v>0.0345254625020732</v>
      </c>
      <c r="P257" s="32">
        <f>IFERROR(IF(OR(ABS('Inputs (2)'!P111)=0,('Inputs (2)'!P120)=0),"",ABS('Inputs (2)'!P120)/ABS('Inputs (2)'!P111)),"")</f>
        <v>0.0333803037433793</v>
      </c>
      <c r="Q257" s="32">
        <f>IFERROR(IF(OR(ABS('Inputs (2)'!Q111)=0,('Inputs (2)'!Q120)=0),"",ABS('Inputs (2)'!Q120)/ABS('Inputs (2)'!Q111)),"")</f>
        <v>0.0344358229220116</v>
      </c>
      <c r="R257" s="32">
        <f>IFERROR(IF(OR(ABS('Inputs (2)'!R111)=0,('Inputs (2)'!R120)=0),"",ABS('Inputs (2)'!R120)/ABS('Inputs (2)'!R111)),"")</f>
        <v>0.0445865975376401</v>
      </c>
      <c r="S257" s="34">
        <f>IFERROR(IF(OR(ABS('Inputs (2)'!S111)=0,('Inputs (2)'!S120)=0),"",ABS('Inputs (2)'!S120)/ABS('Inputs (2)'!S111)),"")</f>
        <v>0.0445865975376401</v>
      </c>
      <c r="T257" s="32">
        <f>IFERROR(IF(OR(ABS('Inputs (2)'!T111)=0,('Inputs (2)'!T120)=0),"",ABS('Inputs (2)'!T120)/ABS('Inputs (2)'!T111)),"")</f>
        <v>0.0380434310850777</v>
      </c>
      <c r="U257" s="32">
        <f>IFERROR(IF(OR(ABS('Inputs (2)'!U111)=0,('Inputs (2)'!U120)=0),"",ABS('Inputs (2)'!U120)/ABS('Inputs (2)'!U111)),"")</f>
        <v>0.0397108511092889</v>
      </c>
      <c r="V257" s="32">
        <f>IFERROR(IF(OR(ABS('Inputs (2)'!V111)=0,('Inputs (2)'!V120)=0),"",ABS('Inputs (2)'!V120)/ABS('Inputs (2)'!V111)),"")</f>
        <v>0.037494696660584</v>
      </c>
      <c r="W257" s="32">
        <f>IFERROR(IF(OR(ABS('Inputs (2)'!W111)=0,('Inputs (2)'!W120)=0),"",ABS('Inputs (2)'!W120)/ABS('Inputs (2)'!W111)),"")</f>
        <v>0.0362662587715171</v>
      </c>
      <c r="X257" s="34">
        <f>IFERROR(IF(OR(ABS('Inputs (2)'!X111)=0,('Inputs (2)'!X120)=0),"",ABS('Inputs (2)'!X120)/ABS('Inputs (2)'!X111)),"")</f>
        <v>0.0362662587715171</v>
      </c>
      <c r="Y257" s="32">
        <f>IFERROR(IF(OR(ABS('Inputs (2)'!Y111)=0,('Inputs (2)'!Y120)=0),"",ABS('Inputs (2)'!Y120)/ABS('Inputs (2)'!Y111)),"")</f>
        <v>0.037645767120335</v>
      </c>
      <c r="Z257" s="32">
        <f>IFERROR(IF(OR(ABS('Inputs (2)'!Z111)=0,('Inputs (2)'!Z120)=0),"",ABS('Inputs (2)'!Z120)/ABS('Inputs (2)'!Z111)),"")</f>
        <v>0.038551816746456</v>
      </c>
      <c r="AA257" s="32">
        <f>IFERROR(IF(OR(ABS('Inputs (2)'!AA111)=0,('Inputs (2)'!AA120)=0),"",ABS('Inputs (2)'!AA120)/ABS('Inputs (2)'!AA111)),"")</f>
        <v>0.0390271359814321</v>
      </c>
      <c r="AB257" s="32">
        <f>IFERROR(IF(OR(ABS('Inputs (2)'!AB111)=0,('Inputs (2)'!AB120)=0),"",ABS('Inputs (2)'!AB120)/ABS('Inputs (2)'!AB111)),"")</f>
        <v>0.0294741308879154</v>
      </c>
      <c r="AC257" s="34">
        <f>IFERROR(IF(OR(ABS('Inputs (2)'!AC111)=0,('Inputs (2)'!AC120)=0),"",ABS('Inputs (2)'!AC120)/ABS('Inputs (2)'!AC111)),"")</f>
        <v>0.0294741308879154</v>
      </c>
      <c r="AD257" s="32">
        <f>IFERROR(IF(OR(ABS('Inputs (2)'!AD111)=0,('Inputs (2)'!AD120)=0),"",ABS('Inputs (2)'!AD120)/ABS('Inputs (2)'!AD111)),"")</f>
        <v>0.0648671502740783</v>
      </c>
      <c r="AE257" s="32">
        <f>IFERROR(IF(OR(ABS('Inputs (2)'!AE111)=0,('Inputs (2)'!AE120)=0),"",ABS('Inputs (2)'!AE120)/ABS('Inputs (2)'!AE111)),"")</f>
        <v>0.0780875693944464</v>
      </c>
      <c r="AF257" s="32">
        <f>IFERROR(IF(OR(ABS('Inputs (2)'!AF111)=0,('Inputs (2)'!AF120)=0),"",ABS('Inputs (2)'!AF120)/ABS('Inputs (2)'!AF111)),"")</f>
        <v>0.0818552328328596</v>
      </c>
      <c r="AG257" s="32">
        <f>IFERROR(IF(OR(ABS('Inputs (2)'!AG111)=0,('Inputs (2)'!AG120)=0),"",ABS('Inputs (2)'!AG120)/ABS('Inputs (2)'!AG111)),"")</f>
        <v>0.0800091297737237</v>
      </c>
      <c r="AH257" s="34">
        <f>IFERROR(IF(OR(ABS('Inputs (2)'!AH111)=0,('Inputs (2)'!AH120)=0),"",ABS('Inputs (2)'!AH120)/ABS('Inputs (2)'!AH111)),"")</f>
        <v>0.0800091297737237</v>
      </c>
      <c r="AI257" s="32">
        <f>IFERROR(IF(OR(ABS('Inputs (2)'!AI111)=0,('Inputs (2)'!AI120)=0),"",ABS('Inputs (2)'!AI120)/ABS('Inputs (2)'!AI111)),"")</f>
        <v>0.0802905621235994</v>
      </c>
      <c r="AJ257" s="32">
        <f>IFERROR(IF(OR(ABS('Inputs (2)'!AJ111)=0,('Inputs (2)'!AJ120)=0),"",ABS('Inputs (2)'!AJ120)/ABS('Inputs (2)'!AJ111)),"")</f>
        <v>0.0965366435356439</v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collapsed="1"/>
    <row r="259">
      <c r="B259" s="7" t="n"/>
      <c r="C259" s="7" t="inlineStr">
        <is>
          <t>CENÁRIO MACROECONÔMICO</t>
        </is>
      </c>
      <c r="D259" s="7" t="inlineStr">
        <is>
          <t>MACRO SCENARIO</t>
        </is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0">
      <c r="C260" s="11" t="inlineStr">
        <is>
          <t>Selic — meta no fim do período (% a.a.)</t>
        </is>
      </c>
      <c r="D260" s="12" t="inlineStr">
        <is>
          <t>Selic target, eop</t>
        </is>
      </c>
      <c r="E260" s="130" t="n">
        <v>0.0375</v>
      </c>
      <c r="F260" s="130" t="n">
        <v>0.0225</v>
      </c>
      <c r="G260" s="130" t="n">
        <v>0.02</v>
      </c>
      <c r="H260" s="130" t="n">
        <v>0.02</v>
      </c>
      <c r="I260" s="131">
        <f>IF(H260="","",H260)</f>
        <v>0.02</v>
      </c>
      <c r="J260" s="130" t="n">
        <v>0.0275</v>
      </c>
      <c r="K260" s="130" t="n">
        <v>0.0425</v>
      </c>
      <c r="L260" s="130" t="n">
        <v>0.0625</v>
      </c>
      <c r="M260" s="130" t="n">
        <v>0.0925</v>
      </c>
      <c r="N260" s="131">
        <f>IF(M260="","",M260)</f>
        <v>0.0925</v>
      </c>
      <c r="O260" s="130" t="n">
        <v>0.1175</v>
      </c>
      <c r="P260" s="130" t="n">
        <v>0.1325</v>
      </c>
      <c r="Q260" s="130" t="n">
        <v>0.1375</v>
      </c>
      <c r="R260" s="130" t="n">
        <v>0.1375</v>
      </c>
      <c r="S260" s="131">
        <f>IF(R260="","",R260)</f>
        <v>0.1375</v>
      </c>
      <c r="T260" s="130" t="n">
        <v>0.1375</v>
      </c>
      <c r="U260" s="130" t="n">
        <v>0.1375</v>
      </c>
      <c r="V260" s="130" t="n">
        <v>0.1275</v>
      </c>
      <c r="W260" s="130" t="n">
        <v>0.1175</v>
      </c>
      <c r="X260" s="131">
        <f>IF(W260="","",W260)</f>
        <v>0.1175</v>
      </c>
      <c r="Y260" s="130" t="n">
        <v>0.1075</v>
      </c>
      <c r="Z260" s="130" t="n">
        <v>0.105</v>
      </c>
      <c r="AA260" s="130" t="n">
        <v>0.1075</v>
      </c>
      <c r="AB260" s="130" t="n">
        <v>0.1225</v>
      </c>
      <c r="AC260" s="131">
        <f>IF(AB260="","",AB260)</f>
        <v>0.1225</v>
      </c>
      <c r="AD260" s="130" t="n">
        <v>0.1425</v>
      </c>
      <c r="AE260" s="130" t="n">
        <v>0.15</v>
      </c>
      <c r="AF260" s="130" t="n">
        <v>0.15</v>
      </c>
      <c r="AG260" s="130" t="n">
        <v>0.15</v>
      </c>
      <c r="AH260" s="39">
        <f>IF(AG260="","",AG260)</f>
        <v>0.15</v>
      </c>
      <c r="AI260" s="40" t="n"/>
      <c r="AJ260" s="40" t="n"/>
      <c r="AK260" s="40" t="n"/>
      <c r="AL260" s="40" t="n"/>
      <c r="AM260" s="39" t="str">
        <f>IF(AL260="","",AL260)</f>
        <v/>
      </c>
      <c r="AN260" s="40" t="n"/>
      <c r="AO260" s="40" t="n"/>
      <c r="AP260" s="40" t="n"/>
      <c r="AQ260" s="40" t="n"/>
      <c r="AR260" s="39" t="str">
        <f>IF(AQ260="","",AQ260)</f>
        <v/>
      </c>
      <c r="AS260" s="40" t="n"/>
      <c r="AT260" s="40" t="n"/>
      <c r="AU260" s="40" t="n"/>
      <c r="AV260" s="40" t="n"/>
      <c r="AW260" s="39" t="str">
        <f>IF(AV260="","",AV260)</f>
        <v/>
      </c>
      <c r="AX260" s="40" t="n"/>
      <c r="AY260" s="40" t="n"/>
      <c r="AZ260" s="40" t="n"/>
      <c r="BA260" s="40" t="n"/>
      <c r="BB260" s="39" t="str">
        <f>IF(BA260="","",BA260)</f>
        <v/>
      </c>
      <c r="BC260" s="40" t="n"/>
      <c r="BD260" s="40" t="n"/>
      <c r="BE260" s="40" t="n"/>
      <c r="BF260" s="40" t="n"/>
      <c r="BG260" s="39" t="str">
        <f>IF(BF260="","",BF260)</f>
        <v/>
      </c>
      <c r="BI260" s="14" t="inlineStr">
        <is>
          <t>Realizado 1T20-4T25: BCB SGS 432, meta Selic definida pelo Copom, valor do último dia útil do trimestre. Coluna anual = 4T.</t>
        </is>
      </c>
    </row>
    <row r="261">
      <c r="C261" s="11" t="inlineStr">
        <is>
          <t>Selic efetiva — média do período (% a.a.)</t>
        </is>
      </c>
      <c r="D261" s="12" t="inlineStr">
        <is>
          <t>Selic, period average</t>
        </is>
      </c>
      <c r="E261" s="130" t="n">
        <v>0.0418</v>
      </c>
      <c r="F261" s="130" t="n">
        <v>0.0308</v>
      </c>
      <c r="G261" s="130" t="n">
        <v>0.019967</v>
      </c>
      <c r="H261" s="130" t="n">
        <v>0.019</v>
      </c>
      <c r="I261" s="131">
        <f>IF(COUNT(E261:H261)=0,"",AVERAGE(E261:H261))</f>
        <v>0.02789175</v>
      </c>
      <c r="J261" s="130" t="n">
        <v>0.0201</v>
      </c>
      <c r="K261" s="130" t="n">
        <v>0.032333</v>
      </c>
      <c r="L261" s="130" t="n">
        <v>0.048633</v>
      </c>
      <c r="M261" s="130" t="n">
        <v>0.0757</v>
      </c>
      <c r="N261" s="131">
        <f>IF(COUNT(J261:M261)=0,"",AVERAGE(J261:M261))</f>
        <v>0.0441915</v>
      </c>
      <c r="O261" s="130" t="n">
        <v>0.102633</v>
      </c>
      <c r="P261" s="130" t="n">
        <v>0.1235</v>
      </c>
      <c r="Q261" s="130" t="n">
        <v>0.1346</v>
      </c>
      <c r="R261" s="130" t="n">
        <v>0.1365</v>
      </c>
      <c r="S261" s="131">
        <f>IF(COUNT(O261:R261)=0,"",AVERAGE(O261:R261))</f>
        <v>0.12430825</v>
      </c>
      <c r="T261" s="130" t="n">
        <v>0.1365</v>
      </c>
      <c r="U261" s="130" t="n">
        <v>0.1365</v>
      </c>
      <c r="V261" s="130" t="n">
        <v>0.1327</v>
      </c>
      <c r="W261" s="130" t="n">
        <v>0.1223</v>
      </c>
      <c r="X261" s="131">
        <f>IF(COUNT(T261:W261)=0,"",AVERAGE(T261:W261))</f>
        <v>0.132</v>
      </c>
      <c r="Y261" s="130" t="n">
        <v>0.112667</v>
      </c>
      <c r="Z261" s="130" t="n">
        <v>0.105033</v>
      </c>
      <c r="AA261" s="130" t="n">
        <v>0.104333</v>
      </c>
      <c r="AB261" s="130" t="n">
        <v>0.111533</v>
      </c>
      <c r="AC261" s="131">
        <f>IF(COUNT(Y261:AB261)=0,"",AVERAGE(Y261:AB261))</f>
        <v>0.1083915</v>
      </c>
      <c r="AD261" s="130" t="n">
        <v>0.129867</v>
      </c>
      <c r="AE261" s="130" t="n">
        <v>0.1448</v>
      </c>
      <c r="AF261" s="130" t="n">
        <v>0.149</v>
      </c>
      <c r="AG261" s="130" t="n">
        <v>0.149</v>
      </c>
      <c r="AH261" s="39">
        <f>IF(COUNT(AD261:AG261)=0,"",AVERAGE(AD261:AG261))</f>
        <v>0.14316675</v>
      </c>
      <c r="AI261" s="40" t="n"/>
      <c r="AJ261" s="40" t="n"/>
      <c r="AK261" s="40" t="n"/>
      <c r="AL261" s="40" t="n"/>
      <c r="AM261" s="39" t="str">
        <f>IF(COUNT(AI261:AL261)=0,"",AVERAGE(AI261:AL261))</f>
        <v/>
      </c>
      <c r="AN261" s="40" t="n"/>
      <c r="AO261" s="40" t="n"/>
      <c r="AP261" s="40" t="n"/>
      <c r="AQ261" s="40" t="n"/>
      <c r="AR261" s="39" t="str">
        <f>IF(COUNT(AN261:AQ261)=0,"",AVERAGE(AN261:AQ261))</f>
        <v/>
      </c>
      <c r="AS261" s="40" t="n"/>
      <c r="AT261" s="40" t="n"/>
      <c r="AU261" s="40" t="n"/>
      <c r="AV261" s="40" t="n"/>
      <c r="AW261" s="39" t="str">
        <f>IF(COUNT(AS261:AV261)=0,"",AVERAGE(AS261:AV261))</f>
        <v/>
      </c>
      <c r="AX261" s="40" t="n"/>
      <c r="AY261" s="40" t="n"/>
      <c r="AZ261" s="40" t="n"/>
      <c r="BA261" s="40" t="n"/>
      <c r="BB261" s="39" t="str">
        <f>IF(COUNT(AX261:BA261)=0,"",AVERAGE(AX261:BA261))</f>
        <v/>
      </c>
      <c r="BC261" s="40" t="n"/>
      <c r="BD261" s="40" t="n"/>
      <c r="BE261" s="40" t="n"/>
      <c r="BF261" s="40" t="n"/>
      <c r="BG261" s="39" t="str">
        <f>IF(COUNT(BC261:BF261)=0,"",AVERAGE(BC261:BF261))</f>
        <v/>
      </c>
      <c r="BI261" s="14" t="inlineStr">
        <is>
          <t>Realizado 1T20-4T25: BCB SGS 4189, Selic acumulada no mês anualizada base 252, média dos três meses. Fica abaixo da meta por construção.</t>
        </is>
      </c>
    </row>
    <row r="262">
      <c r="C262" s="11" t="inlineStr">
        <is>
          <t>CDI acumulado no trimestre (%)</t>
        </is>
      </c>
      <c r="D262" s="12" t="inlineStr">
        <is>
          <t>CDI, quarterly</t>
        </is>
      </c>
      <c r="E262" s="132" t="n">
        <v>0.010134</v>
      </c>
      <c r="F262" s="132" t="n">
        <v>0.007318</v>
      </c>
      <c r="G262" s="132" t="n">
        <v>0.005109</v>
      </c>
      <c r="H262" s="132" t="n">
        <v>0.004707</v>
      </c>
      <c r="I262" s="133">
        <f>IF(COUNT(E262:H262)&lt;4,"",(1+E262)*(1+F262)*(1+G262)*(1+H262)-1)</f>
        <v>0.0275386669377822</v>
      </c>
      <c r="J262" s="132" t="n">
        <v>0.004808</v>
      </c>
      <c r="K262" s="132" t="n">
        <v>0.007921000000000001</v>
      </c>
      <c r="L262" s="132" t="n">
        <v>0.01235</v>
      </c>
      <c r="M262" s="132" t="n">
        <v>0.018612</v>
      </c>
      <c r="N262" s="133">
        <f>IF(COUNT(J262:M262)&lt;4,"",(1+J262)*(1+K262)*(1+L262)*(1+M262)-1)</f>
        <v>0.0443571714469959</v>
      </c>
      <c r="O262" s="132" t="n">
        <v>0.024395</v>
      </c>
      <c r="P262" s="132" t="n">
        <v>0.029076</v>
      </c>
      <c r="Q262" s="132" t="n">
        <v>0.033057</v>
      </c>
      <c r="R262" s="132" t="n">
        <v>0.031934</v>
      </c>
      <c r="S262" s="133">
        <f>IF(COUNT(O262:R262)&lt;4,"",(1+O262)*(1+P262)*(1+Q262)*(1+R262)-1)</f>
        <v>0.123805378744188</v>
      </c>
      <c r="T262" s="132" t="n">
        <v>0.032443</v>
      </c>
      <c r="U262" s="132" t="n">
        <v>0.031422</v>
      </c>
      <c r="V262" s="132" t="n">
        <v>0.032138</v>
      </c>
      <c r="W262" s="132" t="n">
        <v>0.028364</v>
      </c>
      <c r="X262" s="133">
        <f>IF(COUNT(T262:W262)&lt;4,"",(1+T262)*(1+U262)*(1+V262)*(1+W262)-1)</f>
        <v>0.130282769785895</v>
      </c>
      <c r="Y262" s="132" t="n">
        <v>0.026225</v>
      </c>
      <c r="Z262" s="132" t="n">
        <v>0.02531</v>
      </c>
      <c r="AA262" s="132" t="n">
        <v>0.026429</v>
      </c>
      <c r="AB262" s="132" t="n">
        <v>0.026734</v>
      </c>
      <c r="AC262" s="133">
        <f>IF(COUNT(Y262:AB262)&lt;4,"",(1+Y262)*(1+Z262)*(1+AA262)*(1+AB262)-1)</f>
        <v>0.108880231215588</v>
      </c>
      <c r="AD262" s="132" t="n">
        <v>0.029893</v>
      </c>
      <c r="AE262" s="132" t="n">
        <v>0.033364</v>
      </c>
      <c r="AF262" s="132" t="n">
        <v>0.037048</v>
      </c>
      <c r="AG262" s="132" t="n">
        <v>0.03592</v>
      </c>
      <c r="AH262" s="41">
        <f>IF(COUNT(AD262:AG262)&lt;4,"",(1+AD262)*(1+AE262)*(1+AF262)*(1+AG262)-1)</f>
        <v>0.143327133012767</v>
      </c>
      <c r="AI262" s="42" t="n"/>
      <c r="AJ262" s="42" t="n"/>
      <c r="AK262" s="42" t="n"/>
      <c r="AL262" s="42" t="n"/>
      <c r="AM262" s="41" t="str">
        <f>IF(COUNT(AI262:AL262)&lt;4,"",(1+AI262)*(1+AJ262)*(1+AK262)*(1+AL262)-1)</f>
        <v/>
      </c>
      <c r="AN262" s="42" t="n"/>
      <c r="AO262" s="42" t="n"/>
      <c r="AP262" s="42" t="n"/>
      <c r="AQ262" s="42" t="n"/>
      <c r="AR262" s="41" t="str">
        <f>IF(COUNT(AN262:AQ262)&lt;4,"",(1+AN262)*(1+AO262)*(1+AP262)*(1+AQ262)-1)</f>
        <v/>
      </c>
      <c r="AS262" s="42" t="n"/>
      <c r="AT262" s="42" t="n"/>
      <c r="AU262" s="42" t="n"/>
      <c r="AV262" s="42" t="n"/>
      <c r="AW262" s="41" t="str">
        <f>IF(COUNT(AS262:AV262)&lt;4,"",(1+AS262)*(1+AT262)*(1+AU262)*(1+AV262)-1)</f>
        <v/>
      </c>
      <c r="AX262" s="42" t="n"/>
      <c r="AY262" s="42" t="n"/>
      <c r="AZ262" s="42" t="n"/>
      <c r="BA262" s="42" t="n"/>
      <c r="BB262" s="41" t="str">
        <f>IF(COUNT(AX262:BA262)&lt;4,"",(1+AX262)*(1+AY262)*(1+AZ262)*(1+BA262)-1)</f>
        <v/>
      </c>
      <c r="BC262" s="42" t="n"/>
      <c r="BD262" s="42" t="n"/>
      <c r="BE262" s="42" t="n"/>
      <c r="BF262" s="42" t="n"/>
      <c r="BG262" s="41" t="str">
        <f>IF(COUNT(BC262:BF262)&lt;4,"",(1+BC262)*(1+BD262)*(1+BE262)*(1+BF262)-1)</f>
        <v/>
      </c>
      <c r="BI262" s="14" t="inlineStr">
        <is>
          <t>Realizado 1T20-4T25: BCB SGS 4390, CDI acumulado no mês, composto nos três meses. Coluna anual compõe os quatro trimestres, não tira média.</t>
        </is>
      </c>
    </row>
    <row r="263">
      <c r="C263" s="11" t="inlineStr">
        <is>
          <t>IPCA no trimestre (%)</t>
        </is>
      </c>
      <c r="D263" s="12" t="inlineStr">
        <is>
          <t>CPI, quarterly</t>
        </is>
      </c>
      <c r="E263" s="132" t="n">
        <v>0.005308</v>
      </c>
      <c r="F263" s="132" t="n">
        <v>-0.004306</v>
      </c>
      <c r="G263" s="132" t="n">
        <v>0.012447</v>
      </c>
      <c r="H263" s="132" t="n">
        <v>0.031314</v>
      </c>
      <c r="I263" s="133">
        <f>IF(COUNT(E263:H263)&lt;4,"",(1+E263)*(1+F263)*(1+G263)*(1+H263)-1)</f>
        <v>0.0451731390560466</v>
      </c>
      <c r="J263" s="132" t="n">
        <v>0.020525</v>
      </c>
      <c r="K263" s="132" t="n">
        <v>0.016786</v>
      </c>
      <c r="L263" s="132" t="n">
        <v>0.030197</v>
      </c>
      <c r="M263" s="132" t="n">
        <v>0.02958</v>
      </c>
      <c r="N263" s="133">
        <f>IF(COUNT(J263:M263)&lt;4,"",(1+J263)*(1+K263)*(1+L263)*(1+M263)-1)</f>
        <v>0.100610329633472</v>
      </c>
      <c r="O263" s="132" t="n">
        <v>0.032007</v>
      </c>
      <c r="P263" s="132" t="n">
        <v>0.022153</v>
      </c>
      <c r="Q263" s="132" t="n">
        <v>-0.013245</v>
      </c>
      <c r="R263" s="132" t="n">
        <v>0.016286</v>
      </c>
      <c r="S263" s="133">
        <f>IF(COUNT(O263:R263)&lt;4,"",(1+O263)*(1+P263)*(1+Q263)*(1+R263)-1)</f>
        <v>0.0578493640881979</v>
      </c>
      <c r="T263" s="132" t="n">
        <v>0.020942</v>
      </c>
      <c r="U263" s="132" t="n">
        <v>0.007607</v>
      </c>
      <c r="V263" s="132" t="n">
        <v>0.006111999999999999</v>
      </c>
      <c r="W263" s="132" t="n">
        <v>0.010836</v>
      </c>
      <c r="X263" s="133">
        <f>IF(COUNT(T263:W263)&lt;4,"",(1+T263)*(1+U263)*(1+V263)*(1+W263)-1)</f>
        <v>0.0462109851331247</v>
      </c>
      <c r="Y263" s="132" t="n">
        <v>0.014155</v>
      </c>
      <c r="Z263" s="132" t="n">
        <v>0.010535</v>
      </c>
      <c r="AA263" s="132" t="n">
        <v>0.008015</v>
      </c>
      <c r="AB263" s="132" t="n">
        <v>0.014771</v>
      </c>
      <c r="AC263" s="133">
        <f>IF(COUNT(Y263:AB263)&lt;4,"",(1+Y263)*(1+Z263)*(1+AA263)*(1+AB263)-1)</f>
        <v>0.0483124374379271</v>
      </c>
      <c r="AD263" s="132" t="n">
        <v>0.020403</v>
      </c>
      <c r="AE263" s="132" t="n">
        <v>0.009327999999999999</v>
      </c>
      <c r="AF263" s="132" t="n">
        <v>0.006304</v>
      </c>
      <c r="AG263" s="132" t="n">
        <v>0.006011</v>
      </c>
      <c r="AH263" s="41">
        <f>IF(COUNT(AD263:AG263)&lt;4,"",(1+AD263)*(1+AE263)*(1+AF263)*(1+AG263)-1)</f>
        <v>0.0426438273925918</v>
      </c>
      <c r="AI263" s="42" t="n"/>
      <c r="AJ263" s="42" t="n"/>
      <c r="AK263" s="42" t="n"/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433, IPCA mensal composto nos três meses. Coluna anual compõe os quatro trimestres e reproduz o IPCA do ano.</t>
        </is>
      </c>
    </row>
    <row r="264">
      <c r="C264" s="11" t="inlineStr">
        <is>
          <t>IPCA 12 meses (%)</t>
        </is>
      </c>
      <c r="D264" s="12" t="inlineStr">
        <is>
          <t>CPI, 12m</t>
        </is>
      </c>
      <c r="E264" s="130" t="n">
        <v>0.033</v>
      </c>
      <c r="F264" s="130" t="n">
        <v>0.0213</v>
      </c>
      <c r="G264" s="130" t="n">
        <v>0.0314</v>
      </c>
      <c r="H264" s="130" t="n">
        <v>0.0452</v>
      </c>
      <c r="I264" s="131">
        <f>IF(H264="","",H264)</f>
        <v>0.0452</v>
      </c>
      <c r="J264" s="130" t="n">
        <v>0.061</v>
      </c>
      <c r="K264" s="130" t="n">
        <v>0.08349999999999999</v>
      </c>
      <c r="L264" s="130" t="n">
        <v>0.1025</v>
      </c>
      <c r="M264" s="130" t="n">
        <v>0.1006</v>
      </c>
      <c r="N264" s="131">
        <f>IF(M264="","",M264)</f>
        <v>0.1006</v>
      </c>
      <c r="O264" s="130" t="n">
        <v>0.113</v>
      </c>
      <c r="P264" s="130" t="n">
        <v>0.1189</v>
      </c>
      <c r="Q264" s="130" t="n">
        <v>0.0717</v>
      </c>
      <c r="R264" s="130" t="n">
        <v>0.0579</v>
      </c>
      <c r="S264" s="131">
        <f>IF(R264="","",R264)</f>
        <v>0.0579</v>
      </c>
      <c r="T264" s="130" t="n">
        <v>0.04650000000000001</v>
      </c>
      <c r="U264" s="130" t="n">
        <v>0.0316</v>
      </c>
      <c r="V264" s="130" t="n">
        <v>0.0519</v>
      </c>
      <c r="W264" s="130" t="n">
        <v>0.0462</v>
      </c>
      <c r="X264" s="131">
        <f>IF(W264="","",W264)</f>
        <v>0.0462</v>
      </c>
      <c r="Y264" s="130" t="n">
        <v>0.0393</v>
      </c>
      <c r="Z264" s="130" t="n">
        <v>0.0423</v>
      </c>
      <c r="AA264" s="130" t="n">
        <v>0.0442</v>
      </c>
      <c r="AB264" s="130" t="n">
        <v>0.0483</v>
      </c>
      <c r="AC264" s="131">
        <f>IF(AB264="","",AB264)</f>
        <v>0.0483</v>
      </c>
      <c r="AD264" s="130" t="n">
        <v>0.0548</v>
      </c>
      <c r="AE264" s="130" t="n">
        <v>0.0535</v>
      </c>
      <c r="AF264" s="130" t="n">
        <v>0.0517</v>
      </c>
      <c r="AG264" s="130" t="n">
        <v>0.0426</v>
      </c>
      <c r="AH264" s="39">
        <f>IF(AG264="","",AG264)</f>
        <v>0.0426</v>
      </c>
      <c r="AI264" s="40" t="n"/>
      <c r="AJ264" s="40" t="n"/>
      <c r="AK264" s="40" t="n"/>
      <c r="AL264" s="40" t="n"/>
      <c r="AM264" s="39" t="str">
        <f>IF(AL264="","",AL264)</f>
        <v/>
      </c>
      <c r="AN264" s="40" t="n"/>
      <c r="AO264" s="40" t="n"/>
      <c r="AP264" s="40" t="n"/>
      <c r="AQ264" s="40" t="n"/>
      <c r="AR264" s="39" t="str">
        <f>IF(AQ264="","",AQ264)</f>
        <v/>
      </c>
      <c r="AS264" s="40" t="n"/>
      <c r="AT264" s="40" t="n"/>
      <c r="AU264" s="40" t="n"/>
      <c r="AV264" s="40" t="n"/>
      <c r="AW264" s="39" t="str">
        <f>IF(AV264="","",AV264)</f>
        <v/>
      </c>
      <c r="AX264" s="40" t="n"/>
      <c r="AY264" s="40" t="n"/>
      <c r="AZ264" s="40" t="n"/>
      <c r="BA264" s="40" t="n"/>
      <c r="BB264" s="39" t="str">
        <f>IF(BA264="","",BA264)</f>
        <v/>
      </c>
      <c r="BC264" s="40" t="n"/>
      <c r="BD264" s="40" t="n"/>
      <c r="BE264" s="40" t="n"/>
      <c r="BF264" s="40" t="n"/>
      <c r="BG264" s="39" t="str">
        <f>IF(BF264="","",BF264)</f>
        <v/>
      </c>
      <c r="BI264" s="14" t="inlineStr">
        <is>
          <t>Realizado 1T20-4T25: BCB SGS 13522, IPCA acumulado em 12 meses, valor do último mês do trimestre. Coluna anual = 4T.</t>
        </is>
      </c>
    </row>
    <row r="265">
      <c r="C265" s="11" t="inlineStr">
        <is>
          <t>PIB real (% YoY)</t>
        </is>
      </c>
      <c r="D265" s="12" t="inlineStr">
        <is>
          <t>Real GDP growth, YoY</t>
        </is>
      </c>
      <c r="E265" s="130" t="n">
        <v>0.004</v>
      </c>
      <c r="F265" s="130" t="n">
        <v>-0.101</v>
      </c>
      <c r="G265" s="130" t="n">
        <v>-0.03</v>
      </c>
      <c r="H265" s="130" t="n">
        <v>-0.003</v>
      </c>
      <c r="I265" s="131">
        <f>IF(COUNT(E265:H265)=0,"",AVERAGE(E265:H265))</f>
        <v>-0.0325</v>
      </c>
      <c r="J265" s="130" t="n">
        <v>0.017</v>
      </c>
      <c r="K265" s="130" t="n">
        <v>0.124</v>
      </c>
      <c r="L265" s="130" t="n">
        <v>0.042</v>
      </c>
      <c r="M265" s="130" t="n">
        <v>0.015</v>
      </c>
      <c r="N265" s="131">
        <f>IF(COUNT(J265:M265)=0,"",AVERAGE(J265:M265))</f>
        <v>0.0495</v>
      </c>
      <c r="O265" s="130" t="n">
        <v>0.015</v>
      </c>
      <c r="P265" s="130" t="n">
        <v>0.035</v>
      </c>
      <c r="Q265" s="130" t="n">
        <v>0.043</v>
      </c>
      <c r="R265" s="130" t="n">
        <v>0.027</v>
      </c>
      <c r="S265" s="131">
        <f>IF(COUNT(O265:R265)=0,"",AVERAGE(O265:R265))</f>
        <v>0.03</v>
      </c>
      <c r="T265" s="130" t="n">
        <v>0.044</v>
      </c>
      <c r="U265" s="130" t="n">
        <v>0.039</v>
      </c>
      <c r="V265" s="130" t="n">
        <v>0.024</v>
      </c>
      <c r="W265" s="130" t="n">
        <v>0.024</v>
      </c>
      <c r="X265" s="131">
        <f>IF(COUNT(T265:W265)=0,"",AVERAGE(T265:W265))</f>
        <v>0.03275</v>
      </c>
      <c r="Y265" s="130" t="n">
        <v>0.025</v>
      </c>
      <c r="Z265" s="130" t="n">
        <v>0.035</v>
      </c>
      <c r="AA265" s="130" t="n">
        <v>0.04099999999999999</v>
      </c>
      <c r="AB265" s="130" t="n">
        <v>0.036</v>
      </c>
      <c r="AC265" s="131">
        <f>IF(COUNT(Y265:AB265)=0,"",AVERAGE(Y265:AB265))</f>
        <v>0.03425</v>
      </c>
      <c r="AD265" s="130" t="n">
        <v>0.031</v>
      </c>
      <c r="AE265" s="130" t="n">
        <v>0.024</v>
      </c>
      <c r="AF265" s="130" t="n">
        <v>0.018</v>
      </c>
      <c r="AG265" s="130" t="n">
        <v>0.018</v>
      </c>
      <c r="AH265" s="39">
        <f>IF(COUNT(AD265:AG265)=0,"",AVERAGE(AD265:AG265))</f>
        <v>0.02275</v>
      </c>
      <c r="AI265" s="40" t="n"/>
      <c r="AJ265" s="40" t="n"/>
      <c r="AK265" s="40" t="n"/>
      <c r="AL265" s="40" t="n"/>
      <c r="AM265" s="39" t="str">
        <f>IF(COUNT(AI265:AL265)=0,"",AVERAGE(AI265:AL265))</f>
        <v/>
      </c>
      <c r="AN265" s="40" t="n"/>
      <c r="AO265" s="40" t="n"/>
      <c r="AP265" s="40" t="n"/>
      <c r="AQ265" s="40" t="n"/>
      <c r="AR265" s="39" t="str">
        <f>IF(COUNT(AN265:AQ265)=0,"",AVERAGE(AN265:AQ265))</f>
        <v/>
      </c>
      <c r="AS265" s="40" t="n"/>
      <c r="AT265" s="40" t="n"/>
      <c r="AU265" s="40" t="n"/>
      <c r="AV265" s="40" t="n"/>
      <c r="AW265" s="39" t="str">
        <f>IF(COUNT(AS265:AV265)=0,"",AVERAGE(AS265:AV265))</f>
        <v/>
      </c>
      <c r="AX265" s="40" t="n"/>
      <c r="AY265" s="40" t="n"/>
      <c r="AZ265" s="40" t="n"/>
      <c r="BA265" s="40" t="n"/>
      <c r="BB265" s="39" t="str">
        <f>IF(COUNT(AX265:BA265)=0,"",AVERAGE(AX265:BA265))</f>
        <v/>
      </c>
      <c r="BC265" s="40" t="n"/>
      <c r="BD265" s="40" t="n"/>
      <c r="BE265" s="40" t="n"/>
      <c r="BF265" s="40" t="n"/>
      <c r="BG265" s="39" t="str">
        <f>IF(COUNT(BC265:BF265)=0,"",AVERAGE(BC265:BF265))</f>
        <v/>
      </c>
      <c r="BI265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6">
      <c r="C266" s="11" t="inlineStr">
        <is>
          <t>Câmbio R$/US$ (fim de período)</t>
        </is>
      </c>
      <c r="D266" s="12" t="inlineStr">
        <is>
          <t>BRL/USD, eop</t>
        </is>
      </c>
      <c r="E266" s="134" t="n">
        <v>5.1981</v>
      </c>
      <c r="F266" s="134" t="n">
        <v>5.4754</v>
      </c>
      <c r="G266" s="134" t="n">
        <v>5.6401</v>
      </c>
      <c r="H266" s="134" t="n">
        <v>5.1961</v>
      </c>
      <c r="I266" s="135">
        <f>IF(H266="","",H266)</f>
        <v>5.1961</v>
      </c>
      <c r="J266" s="134" t="n">
        <v>5.6967</v>
      </c>
      <c r="K266" s="134" t="n">
        <v>5.0016</v>
      </c>
      <c r="L266" s="134" t="n">
        <v>5.4388</v>
      </c>
      <c r="M266" s="134" t="n">
        <v>5.5799</v>
      </c>
      <c r="N266" s="135">
        <f>IF(M266="","",M266)</f>
        <v>5.5799</v>
      </c>
      <c r="O266" s="134" t="n">
        <v>4.7372</v>
      </c>
      <c r="P266" s="134" t="n">
        <v>5.2374</v>
      </c>
      <c r="Q266" s="134" t="n">
        <v>5.406</v>
      </c>
      <c r="R266" s="134" t="n">
        <v>5.2171</v>
      </c>
      <c r="S266" s="135">
        <f>IF(R266="","",R266)</f>
        <v>5.2171</v>
      </c>
      <c r="T266" s="134" t="n">
        <v>5.0798</v>
      </c>
      <c r="U266" s="134" t="n">
        <v>4.8186</v>
      </c>
      <c r="V266" s="134" t="n">
        <v>5.007</v>
      </c>
      <c r="W266" s="134" t="n">
        <v>4.8407</v>
      </c>
      <c r="X266" s="135">
        <f>IF(W266="","",W266)</f>
        <v>4.8407</v>
      </c>
      <c r="Y266" s="134" t="n">
        <v>4.9956</v>
      </c>
      <c r="Z266" s="134" t="n">
        <v>5.5583</v>
      </c>
      <c r="AA266" s="134" t="n">
        <v>5.4475</v>
      </c>
      <c r="AB266" s="134" t="n">
        <v>6.1917</v>
      </c>
      <c r="AC266" s="135">
        <f>IF(AB266="","",AB266)</f>
        <v>6.1917</v>
      </c>
      <c r="AD266" s="134" t="n">
        <v>5.7416</v>
      </c>
      <c r="AE266" s="134" t="n">
        <v>5.4565</v>
      </c>
      <c r="AF266" s="134" t="n">
        <v>5.318</v>
      </c>
      <c r="AG266" s="134" t="n">
        <v>5.5018</v>
      </c>
      <c r="AH266" s="43">
        <f>IF(AG266="","",AG266)</f>
        <v>5.5018</v>
      </c>
      <c r="AI266" s="44" t="n"/>
      <c r="AJ266" s="44" t="n"/>
      <c r="AK266" s="44" t="n"/>
      <c r="AL266" s="44" t="n"/>
      <c r="AM266" s="43" t="str">
        <f>IF(AL266="","",AL266)</f>
        <v/>
      </c>
      <c r="AN266" s="44" t="n"/>
      <c r="AO266" s="44" t="n"/>
      <c r="AP266" s="44" t="n"/>
      <c r="AQ266" s="44" t="n"/>
      <c r="AR266" s="43" t="str">
        <f>IF(AQ266="","",AQ266)</f>
        <v/>
      </c>
      <c r="AS266" s="44" t="n"/>
      <c r="AT266" s="44" t="n"/>
      <c r="AU266" s="44" t="n"/>
      <c r="AV266" s="44" t="n"/>
      <c r="AW266" s="43" t="str">
        <f>IF(AV266="","",AV266)</f>
        <v/>
      </c>
      <c r="AX266" s="44" t="n"/>
      <c r="AY266" s="44" t="n"/>
      <c r="AZ266" s="44" t="n"/>
      <c r="BA266" s="44" t="n"/>
      <c r="BB266" s="43" t="str">
        <f>IF(BA266="","",BA266)</f>
        <v/>
      </c>
      <c r="BC266" s="44" t="n"/>
      <c r="BD266" s="44" t="n"/>
      <c r="BE266" s="44" t="n"/>
      <c r="BF266" s="44" t="n"/>
      <c r="BG266" s="43" t="str">
        <f>IF(BF266="","",BF266)</f>
        <v/>
      </c>
      <c r="BI266" s="14" t="inlineStr">
        <is>
          <t>Realizado 1T20-4T25: BCB SGS 3695, dólar venda fim de período, valor do último mês do trimestre. Coluna anual = 4T.</t>
        </is>
      </c>
    </row>
    <row r="267">
      <c r="C267" s="11" t="inlineStr">
        <is>
          <t>TLP — componente de juros reais prefixados (% a.a.)</t>
        </is>
      </c>
      <c r="D267" s="12" t="inlineStr">
        <is>
          <t>TLP, real component</t>
        </is>
      </c>
      <c r="E267" s="130" t="n">
        <v>0.0247</v>
      </c>
      <c r="F267" s="130" t="n">
        <v>0.0305</v>
      </c>
      <c r="G267" s="130" t="n">
        <v>0.0207</v>
      </c>
      <c r="H267" s="130" t="n">
        <v>0.0247</v>
      </c>
      <c r="I267" s="131">
        <f>IF(H267="","",H267)</f>
        <v>0.0247</v>
      </c>
      <c r="J267" s="130" t="n">
        <v>0.025</v>
      </c>
      <c r="K267" s="130" t="n">
        <v>0.0346</v>
      </c>
      <c r="L267" s="130" t="n">
        <v>0.0395</v>
      </c>
      <c r="M267" s="130" t="n">
        <v>0.04940000000000001</v>
      </c>
      <c r="N267" s="131">
        <f>IF(M267="","",M267)</f>
        <v>0.0494</v>
      </c>
      <c r="O267" s="130" t="n">
        <v>0.0524</v>
      </c>
      <c r="P267" s="130" t="n">
        <v>0.055</v>
      </c>
      <c r="Q267" s="130" t="n">
        <v>0.0575</v>
      </c>
      <c r="R267" s="130" t="n">
        <v>0.0575</v>
      </c>
      <c r="S267" s="131">
        <f>IF(R267="","",R267)</f>
        <v>0.0575</v>
      </c>
      <c r="T267" s="130" t="n">
        <v>0.06150000000000001</v>
      </c>
      <c r="U267" s="130" t="n">
        <v>0.05690000000000001</v>
      </c>
      <c r="V267" s="130" t="n">
        <v>0.0515</v>
      </c>
      <c r="W267" s="130" t="n">
        <v>0.0556</v>
      </c>
      <c r="X267" s="131">
        <f>IF(W267="","",W267)</f>
        <v>0.0556</v>
      </c>
      <c r="Y267" s="130" t="n">
        <v>0.0541</v>
      </c>
      <c r="Z267" s="130" t="n">
        <v>0.0591</v>
      </c>
      <c r="AA267" s="130" t="n">
        <v>0.06280000000000001</v>
      </c>
      <c r="AB267" s="130" t="n">
        <v>0.06660000000000001</v>
      </c>
      <c r="AC267" s="131">
        <f>IF(AB267="","",AB267)</f>
        <v>0.0666</v>
      </c>
      <c r="AD267" s="130" t="n">
        <v>0.07679999999999999</v>
      </c>
      <c r="AE267" s="130" t="n">
        <v>0.0761</v>
      </c>
      <c r="AF267" s="130" t="n">
        <v>0.0761</v>
      </c>
      <c r="AG267" s="130" t="n">
        <v>0.07820000000000001</v>
      </c>
      <c r="AH267" s="39">
        <f>IF(AG267="","",AG267)</f>
        <v>0.0782</v>
      </c>
      <c r="AI267" s="40" t="n"/>
      <c r="AJ267" s="40" t="n"/>
      <c r="AK267" s="40" t="n"/>
      <c r="AL267" s="40" t="n"/>
      <c r="AM267" s="39" t="str">
        <f>IF(AL267="","",AL267)</f>
        <v/>
      </c>
      <c r="AN267" s="40" t="n"/>
      <c r="AO267" s="40" t="n"/>
      <c r="AP267" s="40" t="n"/>
      <c r="AQ267" s="40" t="n"/>
      <c r="AR267" s="39" t="str">
        <f>IF(AQ267="","",AQ267)</f>
        <v/>
      </c>
      <c r="AS267" s="40" t="n"/>
      <c r="AT267" s="40" t="n"/>
      <c r="AU267" s="40" t="n"/>
      <c r="AV267" s="40" t="n"/>
      <c r="AW267" s="39" t="str">
        <f>IF(AV267="","",AV267)</f>
        <v/>
      </c>
      <c r="AX267" s="40" t="n"/>
      <c r="AY267" s="40" t="n"/>
      <c r="AZ267" s="40" t="n"/>
      <c r="BA267" s="40" t="n"/>
      <c r="BB267" s="39" t="str">
        <f>IF(BA267="","",BA267)</f>
        <v/>
      </c>
      <c r="BC267" s="40" t="n"/>
      <c r="BD267" s="40" t="n"/>
      <c r="BE267" s="40" t="n"/>
      <c r="BF267" s="40" t="n"/>
      <c r="BG267" s="39" t="str">
        <f>IF(BF267="","",BF267)</f>
        <v/>
      </c>
      <c r="BI267" s="14" t="inlineStr">
        <is>
          <t>Realizado 1T20-4T25: BCB SGS 27572, componente de juros reais prefixados da TLP. A TLP nominal soma o IPCA pro rata a esta taxa. Coluna anual = 4T.</t>
        </is>
      </c>
    </row>
    <row r="269">
      <c r="B269" s="7" t="n"/>
      <c r="C269" s="7" t="inlineStr">
        <is>
          <t>DRIVERS — CRÉDITO, TESOURARIA E FUNDING</t>
        </is>
      </c>
      <c r="D269" s="7" t="inlineStr">
        <is>
          <t>DRIVERS — LOANS, TREASURY &amp; FUNDING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>
      <c r="C270" s="11" t="inlineStr">
        <is>
          <t>Carteira de crédito — crescimento % QoQ</t>
        </is>
      </c>
      <c r="D270" s="12" t="inlineStr">
        <is>
          <t>Loan growth QoQ</t>
        </is>
      </c>
      <c r="E270" s="40" t="n"/>
      <c r="F270" s="40" t="n"/>
      <c r="G270" s="40" t="n"/>
      <c r="H270" s="40" t="n"/>
      <c r="I270" s="39" t="str">
        <f>IF(COUNT(E270:H270)=0,"",AVERAGE(E270:H270))</f>
        <v/>
      </c>
      <c r="J270" s="40" t="n"/>
      <c r="K270" s="40" t="n"/>
      <c r="L270" s="40" t="n"/>
      <c r="M270" s="40" t="n"/>
      <c r="N270" s="39" t="str">
        <f>IF(COUNT(J270:M270)=0,"",AVERAGE(J270:M270))</f>
        <v/>
      </c>
      <c r="O270" s="40" t="n"/>
      <c r="P270" s="40" t="n"/>
      <c r="Q270" s="40" t="n"/>
      <c r="R270" s="40" t="n"/>
      <c r="S270" s="39" t="str">
        <f>IF(COUNT(O270:R270)=0,"",AVERAGE(O270:R270))</f>
        <v/>
      </c>
      <c r="T270" s="40" t="n"/>
      <c r="U270" s="40" t="n"/>
      <c r="V270" s="40" t="n"/>
      <c r="W270" s="40" t="n"/>
      <c r="X270" s="39" t="str">
        <f>IF(COUNT(T270:W270)=0,"",AVERAGE(T270:W270))</f>
        <v/>
      </c>
      <c r="Y270" s="40" t="n"/>
      <c r="Z270" s="40" t="n"/>
      <c r="AA270" s="40" t="n"/>
      <c r="AB270" s="40" t="n"/>
      <c r="AC270" s="39" t="str">
        <f>IF(COUNT(Y270:AB270)=0,"",AVERAGE(Y270:AB270))</f>
        <v/>
      </c>
      <c r="AD270" s="40" t="n"/>
      <c r="AE270" s="40" t="n"/>
      <c r="AF270" s="40" t="n"/>
      <c r="AG270" s="40" t="n"/>
      <c r="AH270" s="39" t="str">
        <f>IF(COUNT(AD270:AG270)=0,"",AVERAGE(AD270:AG270))</f>
        <v/>
      </c>
      <c r="AI270" s="40" t="n"/>
      <c r="AJ270" s="40" t="n"/>
      <c r="AK270" s="40" t="n"/>
      <c r="AL270" s="40" t="n"/>
      <c r="AM270" s="39" t="str">
        <f>IF(COUNT(AI270:AL270)=0,"",AVERAGE(AI270:AL270))</f>
        <v/>
      </c>
      <c r="AN270" s="40" t="n"/>
      <c r="AO270" s="40" t="n"/>
      <c r="AP270" s="40" t="n"/>
      <c r="AQ270" s="40" t="n"/>
      <c r="AR270" s="39" t="str">
        <f>IF(COUNT(AN270:AQ270)=0,"",AVERAGE(AN270:AQ270))</f>
        <v/>
      </c>
      <c r="AS270" s="40" t="n"/>
      <c r="AT270" s="40" t="n"/>
      <c r="AU270" s="40" t="n"/>
      <c r="AV270" s="40" t="n"/>
      <c r="AW270" s="39" t="str">
        <f>IF(COUNT(AS270:AV270)=0,"",AVERAGE(AS270:AV270))</f>
        <v/>
      </c>
      <c r="AX270" s="40" t="n"/>
      <c r="AY270" s="40" t="n"/>
      <c r="AZ270" s="40" t="n"/>
      <c r="BA270" s="40" t="n"/>
      <c r="BB270" s="39" t="str">
        <f>IF(COUNT(AX270:BA270)=0,"",AVERAGE(AX270:BA270))</f>
        <v/>
      </c>
      <c r="BC270" s="40" t="n"/>
      <c r="BD270" s="40" t="n"/>
      <c r="BE270" s="40" t="n"/>
      <c r="BF270" s="40" t="n"/>
      <c r="BG270" s="39" t="str">
        <f>IF(COUNT(BC270:BF270)=0,"",AVERAGE(BC270:BF270))</f>
        <v/>
      </c>
    </row>
    <row r="271">
      <c r="C271" s="11" t="inlineStr">
        <is>
          <t>Taxa média da carteira de crédito (% a.a.)</t>
        </is>
      </c>
      <c r="D271" s="12" t="inlineStr">
        <is>
          <t>Average loan yield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  <c r="BI271" s="14" t="inlineStr">
        <is>
          <t>Com a DRE recorrente, a linha de receita de crédito do Model carrega a margem com clientes, já líquida. Este driver projeta essa margem, não a taxa bruta da carteira.</t>
        </is>
      </c>
    </row>
    <row r="272">
      <c r="C272" s="11" t="inlineStr">
        <is>
          <t>Custo do crédito (% da carteira média, a.a.)</t>
        </is>
      </c>
      <c r="D272" s="12" t="inlineStr">
        <is>
          <t>Cost of risk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</row>
    <row r="273">
      <c r="C273" s="11" t="inlineStr">
        <is>
          <t>Write-off (% da carteira média, a.a.)</t>
        </is>
      </c>
      <c r="D273" s="12" t="inlineStr">
        <is>
          <t>Write-offs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Recuperação de créditos baixados (% da despesa de PDD)</t>
        </is>
      </c>
      <c r="D274" s="12" t="inlineStr">
        <is>
          <t>Recoveries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TVM e aplicações — crescimento % QoQ</t>
        </is>
      </c>
      <c r="D275" s="12" t="inlineStr">
        <is>
          <t>Securities growth QoQ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Rendimento médio de TVM e aplicações (% a.a.)</t>
        </is>
      </c>
      <c r="D276" s="12" t="inlineStr">
        <is>
          <t>Securities yield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Depósitos — crescimento % QoQ</t>
        </is>
      </c>
      <c r="D277" s="12" t="inlineStr">
        <is>
          <t>Deposits growth QoQ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Instrumentos de dívida — crescimento % QoQ</t>
        </is>
      </c>
      <c r="D278" s="12" t="inlineStr">
        <is>
          <t>Debt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Empréstimos e repasses — crescimento % QoQ</t>
        </is>
      </c>
      <c r="D279" s="12" t="inlineStr">
        <is>
          <t>Borrowings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Custo médio do funding (% a.a.)</t>
        </is>
      </c>
      <c r="D280" s="12" t="inlineStr">
        <is>
          <t>Cost of funding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Demais ativos — crescimento % QoQ</t>
        </is>
      </c>
      <c r="D281" s="12" t="inlineStr">
        <is>
          <t>Other assets growth QoQ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passivos — crescimento % QoQ</t>
        </is>
      </c>
      <c r="D282" s="12" t="inlineStr">
        <is>
          <t>Other liab.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4">
      <c r="B284" s="7" t="n"/>
      <c r="C284" s="7" t="inlineStr">
        <is>
          <t>DRIVERS — RECEITAS E DESPESAS</t>
        </is>
      </c>
      <c r="D284" s="7" t="inlineStr">
        <is>
          <t>DRIVERS — REVENUES &amp; EXPENSES</t>
        </is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>
      <c r="C285" s="11" t="inlineStr">
        <is>
          <t>Receitas de serviços e tarifas — crescimento % YoY</t>
        </is>
      </c>
      <c r="D285" s="12" t="inlineStr">
        <is>
          <t>Fee growth YoY</t>
        </is>
      </c>
      <c r="E285" s="40" t="n"/>
      <c r="F285" s="40" t="n"/>
      <c r="G285" s="40" t="n"/>
      <c r="H285" s="40" t="n"/>
      <c r="I285" s="39" t="str">
        <f>IF(COUNT(E285:H285)=0,"",AVERAGE(E285:H285))</f>
        <v/>
      </c>
      <c r="J285" s="40" t="n"/>
      <c r="K285" s="40" t="n"/>
      <c r="L285" s="40" t="n"/>
      <c r="M285" s="40" t="n"/>
      <c r="N285" s="39" t="str">
        <f>IF(COUNT(J285:M285)=0,"",AVERAGE(J285:M285))</f>
        <v/>
      </c>
      <c r="O285" s="40" t="n"/>
      <c r="P285" s="40" t="n"/>
      <c r="Q285" s="40" t="n"/>
      <c r="R285" s="40" t="n"/>
      <c r="S285" s="39" t="str">
        <f>IF(COUNT(O285:R285)=0,"",AVERAGE(O285:R285))</f>
        <v/>
      </c>
      <c r="T285" s="40" t="n"/>
      <c r="U285" s="40" t="n"/>
      <c r="V285" s="40" t="n"/>
      <c r="W285" s="40" t="n"/>
      <c r="X285" s="39" t="str">
        <f>IF(COUNT(T285:W285)=0,"",AVERAGE(T285:W285))</f>
        <v/>
      </c>
      <c r="Y285" s="40" t="n"/>
      <c r="Z285" s="40" t="n"/>
      <c r="AA285" s="40" t="n"/>
      <c r="AB285" s="40" t="n"/>
      <c r="AC285" s="39" t="str">
        <f>IF(COUNT(Y285:AB285)=0,"",AVERAGE(Y285:AB285))</f>
        <v/>
      </c>
      <c r="AD285" s="40" t="n"/>
      <c r="AE285" s="40" t="n"/>
      <c r="AF285" s="40" t="n"/>
      <c r="AG285" s="40" t="n"/>
      <c r="AH285" s="39" t="str">
        <f>IF(COUNT(AD285:AG285)=0,"",AVERAGE(AD285:AG285))</f>
        <v/>
      </c>
      <c r="AI285" s="40" t="n"/>
      <c r="AJ285" s="40" t="n"/>
      <c r="AK285" s="40" t="n"/>
      <c r="AL285" s="40" t="n"/>
      <c r="AM285" s="39" t="str">
        <f>IF(COUNT(AI285:AL285)=0,"",AVERAGE(AI285:AL285))</f>
        <v/>
      </c>
      <c r="AN285" s="40" t="n"/>
      <c r="AO285" s="40" t="n"/>
      <c r="AP285" s="40" t="n"/>
      <c r="AQ285" s="40" t="n"/>
      <c r="AR285" s="39" t="str">
        <f>IF(COUNT(AN285:AQ285)=0,"",AVERAGE(AN285:AQ285))</f>
        <v/>
      </c>
      <c r="AS285" s="40" t="n"/>
      <c r="AT285" s="40" t="n"/>
      <c r="AU285" s="40" t="n"/>
      <c r="AV285" s="40" t="n"/>
      <c r="AW285" s="39" t="str">
        <f>IF(COUNT(AS285:AV285)=0,"",AVERAGE(AS285:AV285))</f>
        <v/>
      </c>
      <c r="AX285" s="40" t="n"/>
      <c r="AY285" s="40" t="n"/>
      <c r="AZ285" s="40" t="n"/>
      <c r="BA285" s="40" t="n"/>
      <c r="BB285" s="39" t="str">
        <f>IF(COUNT(AX285:BA285)=0,"",AVERAGE(AX285:BA285))</f>
        <v/>
      </c>
      <c r="BC285" s="40" t="n"/>
      <c r="BD285" s="40" t="n"/>
      <c r="BE285" s="40" t="n"/>
      <c r="BF285" s="40" t="n"/>
      <c r="BG285" s="39" t="str">
        <f>IF(COUNT(BC285:BF285)=0,"",AVERAGE(BC285:BF285))</f>
        <v/>
      </c>
    </row>
    <row r="286">
      <c r="C286" s="11" t="inlineStr">
        <is>
          <t>Seguros, previdência e capitalização — crescimento % YoY</t>
        </is>
      </c>
      <c r="D286" s="12" t="inlineStr">
        <is>
          <t>Insurance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Despesas de pessoal — crescimento % YoY</t>
        </is>
      </c>
      <c r="D287" s="12" t="inlineStr">
        <is>
          <t>Personnel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Outras despesas administrativas — crescimento % YoY</t>
        </is>
      </c>
      <c r="D288" s="12" t="inlineStr">
        <is>
          <t>Admin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Demais provisões (% da receita operacional)</t>
        </is>
      </c>
      <c r="D289" s="12" t="inlineStr">
        <is>
          <t>Other provisions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  <c r="BI289" s="14" t="inlineStr">
        <is>
          <t>Percentuais de despesa são digitados positivos; o modelo aplica o sinal negativo. Demais provisões fica em zero: a DRE recorrente não abre essa linha.</t>
        </is>
      </c>
    </row>
    <row r="290">
      <c r="C290" s="11" t="inlineStr">
        <is>
          <t>Despesas tributárias (% da receita operacional)</t>
        </is>
      </c>
      <c r="D290" s="12" t="inlineStr">
        <is>
          <t>Tax expenses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</row>
    <row r="291">
      <c r="C291" s="11" t="str">
        <f>"Resultado de participações ("&amp;Inputs!$E$202&amp;")"</f>
        <v>Resultado de participações (R$ milhões)</v>
      </c>
      <c r="D291" s="12" t="inlineStr">
        <is>
          <t>Equity income</t>
        </is>
      </c>
      <c r="E291" s="45" t="n"/>
      <c r="F291" s="45" t="n"/>
      <c r="G291" s="45" t="n"/>
      <c r="H291" s="45" t="n"/>
      <c r="I291" s="46" t="str">
        <f>IF(COUNT(E291:H291)=0,"",AVERAGE(E291:H291))</f>
        <v/>
      </c>
      <c r="J291" s="45" t="n"/>
      <c r="K291" s="45" t="n"/>
      <c r="L291" s="45" t="n"/>
      <c r="M291" s="45" t="n"/>
      <c r="N291" s="46" t="str">
        <f>IF(COUNT(J291:M291)=0,"",AVERAGE(J291:M291))</f>
        <v/>
      </c>
      <c r="O291" s="45" t="n"/>
      <c r="P291" s="45" t="n"/>
      <c r="Q291" s="45" t="n"/>
      <c r="R291" s="45" t="n"/>
      <c r="S291" s="46" t="str">
        <f>IF(COUNT(O291:R291)=0,"",AVERAGE(O291:R291))</f>
        <v/>
      </c>
      <c r="T291" s="45" t="n"/>
      <c r="U291" s="45" t="n"/>
      <c r="V291" s="45" t="n"/>
      <c r="W291" s="45" t="n"/>
      <c r="X291" s="46" t="str">
        <f>IF(COUNT(T291:W291)=0,"",AVERAGE(T291:W291))</f>
        <v/>
      </c>
      <c r="Y291" s="45" t="n"/>
      <c r="Z291" s="45" t="n"/>
      <c r="AA291" s="45" t="n"/>
      <c r="AB291" s="45" t="n"/>
      <c r="AC291" s="46" t="str">
        <f>IF(COUNT(Y291:AB291)=0,"",AVERAGE(Y291:AB291))</f>
        <v/>
      </c>
      <c r="AD291" s="45" t="n"/>
      <c r="AE291" s="45" t="n"/>
      <c r="AF291" s="45" t="n"/>
      <c r="AG291" s="45" t="n"/>
      <c r="AH291" s="46" t="str">
        <f>IF(COUNT(AD291:AG291)=0,"",AVERAGE(AD291:AG291))</f>
        <v/>
      </c>
      <c r="AI291" s="45" t="n"/>
      <c r="AJ291" s="45" t="n"/>
      <c r="AK291" s="45" t="n"/>
      <c r="AL291" s="45" t="n"/>
      <c r="AM291" s="46" t="str">
        <f>IF(COUNT(AI291:AL291)=0,"",AVERAGE(AI291:AL291))</f>
        <v/>
      </c>
      <c r="AN291" s="45" t="n"/>
      <c r="AO291" s="45" t="n"/>
      <c r="AP291" s="45" t="n"/>
      <c r="AQ291" s="45" t="n"/>
      <c r="AR291" s="46" t="str">
        <f>IF(COUNT(AN291:AQ291)=0,"",AVERAGE(AN291:AQ291))</f>
        <v/>
      </c>
      <c r="AS291" s="45" t="n"/>
      <c r="AT291" s="45" t="n"/>
      <c r="AU291" s="45" t="n"/>
      <c r="AV291" s="45" t="n"/>
      <c r="AW291" s="46" t="str">
        <f>IF(COUNT(AS291:AV291)=0,"",AVERAGE(AS291:AV291))</f>
        <v/>
      </c>
      <c r="AX291" s="45" t="n"/>
      <c r="AY291" s="45" t="n"/>
      <c r="AZ291" s="45" t="n"/>
      <c r="BA291" s="45" t="n"/>
      <c r="BB291" s="46" t="str">
        <f>IF(COUNT(AX291:BA291)=0,"",AVERAGE(AX291:BA291))</f>
        <v/>
      </c>
      <c r="BC291" s="45" t="n"/>
      <c r="BD291" s="45" t="n"/>
      <c r="BE291" s="45" t="n"/>
      <c r="BF291" s="45" t="n"/>
      <c r="BG291" s="46" t="str">
        <f>IF(COUNT(BC291:BF291)=0,"",AVERAGE(BC291:BF291))</f>
        <v/>
      </c>
    </row>
    <row r="292">
      <c r="C292" s="11" t="inlineStr">
        <is>
          <t>Outras despesas operacionais líquidas (% da receita)</t>
        </is>
      </c>
      <c r="D292" s="12" t="inlineStr">
        <is>
          <t>Other op.</t>
        </is>
      </c>
      <c r="E292" s="40" t="n"/>
      <c r="F292" s="40" t="n"/>
      <c r="G292" s="40" t="n"/>
      <c r="H292" s="40" t="n"/>
      <c r="I292" s="39" t="str">
        <f>IF(COUNT(E292:H292)=0,"",AVERAGE(E292:H292))</f>
        <v/>
      </c>
      <c r="J292" s="40" t="n"/>
      <c r="K292" s="40" t="n"/>
      <c r="L292" s="40" t="n"/>
      <c r="M292" s="40" t="n"/>
      <c r="N292" s="39" t="str">
        <f>IF(COUNT(J292:M292)=0,"",AVERAGE(J292:M292))</f>
        <v/>
      </c>
      <c r="O292" s="40" t="n"/>
      <c r="P292" s="40" t="n"/>
      <c r="Q292" s="40" t="n"/>
      <c r="R292" s="40" t="n"/>
      <c r="S292" s="39" t="str">
        <f>IF(COUNT(O292:R292)=0,"",AVERAGE(O292:R292))</f>
        <v/>
      </c>
      <c r="T292" s="40" t="n"/>
      <c r="U292" s="40" t="n"/>
      <c r="V292" s="40" t="n"/>
      <c r="W292" s="40" t="n"/>
      <c r="X292" s="39" t="str">
        <f>IF(COUNT(T292:W292)=0,"",AVERAGE(T292:W292))</f>
        <v/>
      </c>
      <c r="Y292" s="40" t="n"/>
      <c r="Z292" s="40" t="n"/>
      <c r="AA292" s="40" t="n"/>
      <c r="AB292" s="40" t="n"/>
      <c r="AC292" s="39" t="str">
        <f>IF(COUNT(Y292:AB292)=0,"",AVERAGE(Y292:AB292))</f>
        <v/>
      </c>
      <c r="AD292" s="40" t="n"/>
      <c r="AE292" s="40" t="n"/>
      <c r="AF292" s="40" t="n"/>
      <c r="AG292" s="40" t="n"/>
      <c r="AH292" s="39" t="str">
        <f>IF(COUNT(AD292:AG292)=0,"",AVERAGE(AD292:AG292))</f>
        <v/>
      </c>
      <c r="AI292" s="40" t="n"/>
      <c r="AJ292" s="40" t="n"/>
      <c r="AK292" s="40" t="n"/>
      <c r="AL292" s="40" t="n"/>
      <c r="AM292" s="39" t="str">
        <f>IF(COUNT(AI292:AL292)=0,"",AVERAGE(AI292:AL292))</f>
        <v/>
      </c>
      <c r="AN292" s="40" t="n"/>
      <c r="AO292" s="40" t="n"/>
      <c r="AP292" s="40" t="n"/>
      <c r="AQ292" s="40" t="n"/>
      <c r="AR292" s="39" t="str">
        <f>IF(COUNT(AN292:AQ292)=0,"",AVERAGE(AN292:AQ292))</f>
        <v/>
      </c>
      <c r="AS292" s="40" t="n"/>
      <c r="AT292" s="40" t="n"/>
      <c r="AU292" s="40" t="n"/>
      <c r="AV292" s="40" t="n"/>
      <c r="AW292" s="39" t="str">
        <f>IF(COUNT(AS292:AV292)=0,"",AVERAGE(AS292:AV292))</f>
        <v/>
      </c>
      <c r="AX292" s="40" t="n"/>
      <c r="AY292" s="40" t="n"/>
      <c r="AZ292" s="40" t="n"/>
      <c r="BA292" s="40" t="n"/>
      <c r="BB292" s="39" t="str">
        <f>IF(COUNT(AX292:BA292)=0,"",AVERAGE(AX292:BA292))</f>
        <v/>
      </c>
      <c r="BC292" s="40" t="n"/>
      <c r="BD292" s="40" t="n"/>
      <c r="BE292" s="40" t="n"/>
      <c r="BF292" s="40" t="n"/>
      <c r="BG292" s="39" t="str">
        <f>IF(COUNT(BC292:BF292)=0,"",AVERAGE(BC292:BF292))</f>
        <v/>
      </c>
    </row>
    <row r="293">
      <c r="C293" s="11" t="str">
        <f>"Resultado não operacional ("&amp;Inputs!$E$202&amp;")"</f>
        <v>Resultado não operacional (R$ milhões)</v>
      </c>
      <c r="D293" s="12" t="inlineStr">
        <is>
          <t>Non-operating</t>
        </is>
      </c>
      <c r="E293" s="45" t="n"/>
      <c r="F293" s="45" t="n"/>
      <c r="G293" s="45" t="n"/>
      <c r="H293" s="45" t="n"/>
      <c r="I293" s="46" t="str">
        <f>IF(COUNT(E293:H293)=0,"",AVERAGE(E293:H293))</f>
        <v/>
      </c>
      <c r="J293" s="45" t="n"/>
      <c r="K293" s="45" t="n"/>
      <c r="L293" s="45" t="n"/>
      <c r="M293" s="45" t="n"/>
      <c r="N293" s="46" t="str">
        <f>IF(COUNT(J293:M293)=0,"",AVERAGE(J293:M293))</f>
        <v/>
      </c>
      <c r="O293" s="45" t="n"/>
      <c r="P293" s="45" t="n"/>
      <c r="Q293" s="45" t="n"/>
      <c r="R293" s="45" t="n"/>
      <c r="S293" s="46" t="str">
        <f>IF(COUNT(O293:R293)=0,"",AVERAGE(O293:R293))</f>
        <v/>
      </c>
      <c r="T293" s="45" t="n"/>
      <c r="U293" s="45" t="n"/>
      <c r="V293" s="45" t="n"/>
      <c r="W293" s="45" t="n"/>
      <c r="X293" s="46" t="str">
        <f>IF(COUNT(T293:W293)=0,"",AVERAGE(T293:W293))</f>
        <v/>
      </c>
      <c r="Y293" s="45" t="n"/>
      <c r="Z293" s="45" t="n"/>
      <c r="AA293" s="45" t="n"/>
      <c r="AB293" s="45" t="n"/>
      <c r="AC293" s="46" t="str">
        <f>IF(COUNT(Y293:AB293)=0,"",AVERAGE(Y293:AB293))</f>
        <v/>
      </c>
      <c r="AD293" s="45" t="n"/>
      <c r="AE293" s="45" t="n"/>
      <c r="AF293" s="45" t="n"/>
      <c r="AG293" s="45" t="n"/>
      <c r="AH293" s="46" t="str">
        <f>IF(COUNT(AD293:AG293)=0,"",AVERAGE(AD293:AG293))</f>
        <v/>
      </c>
      <c r="AI293" s="45" t="n"/>
      <c r="AJ293" s="45" t="n"/>
      <c r="AK293" s="45" t="n"/>
      <c r="AL293" s="45" t="n"/>
      <c r="AM293" s="46" t="str">
        <f>IF(COUNT(AI293:AL293)=0,"",AVERAGE(AI293:AL293))</f>
        <v/>
      </c>
      <c r="AN293" s="45" t="n"/>
      <c r="AO293" s="45" t="n"/>
      <c r="AP293" s="45" t="n"/>
      <c r="AQ293" s="45" t="n"/>
      <c r="AR293" s="46" t="str">
        <f>IF(COUNT(AN293:AQ293)=0,"",AVERAGE(AN293:AQ293))</f>
        <v/>
      </c>
      <c r="AS293" s="45" t="n"/>
      <c r="AT293" s="45" t="n"/>
      <c r="AU293" s="45" t="n"/>
      <c r="AV293" s="45" t="n"/>
      <c r="AW293" s="46" t="str">
        <f>IF(COUNT(AS293:AV293)=0,"",AVERAGE(AS293:AV293))</f>
        <v/>
      </c>
      <c r="AX293" s="45" t="n"/>
      <c r="AY293" s="45" t="n"/>
      <c r="AZ293" s="45" t="n"/>
      <c r="BA293" s="45" t="n"/>
      <c r="BB293" s="46" t="str">
        <f>IF(COUNT(AX293:BA293)=0,"",AVERAGE(AX293:BA293))</f>
        <v/>
      </c>
      <c r="BC293" s="45" t="n"/>
      <c r="BD293" s="45" t="n"/>
      <c r="BE293" s="45" t="n"/>
      <c r="BF293" s="45" t="n"/>
      <c r="BG293" s="46" t="str">
        <f>IF(COUNT(BC293:BF293)=0,"",AVERAGE(BC293:BF293))</f>
        <v/>
      </c>
    </row>
    <row r="294">
      <c r="C294" s="11" t="inlineStr">
        <is>
          <t>Alíquota efetiva de IR/CSLL (%)</t>
        </is>
      </c>
      <c r="D294" s="12" t="inlineStr">
        <is>
          <t>Effective tax rate</t>
        </is>
      </c>
      <c r="E294" s="40" t="n"/>
      <c r="F294" s="40" t="n"/>
      <c r="G294" s="40" t="n"/>
      <c r="H294" s="40" t="n"/>
      <c r="I294" s="39" t="str">
        <f>IF(COUNT(E294:H294)=0,"",AVERAGE(E294:H294))</f>
        <v/>
      </c>
      <c r="J294" s="40" t="n"/>
      <c r="K294" s="40" t="n"/>
      <c r="L294" s="40" t="n"/>
      <c r="M294" s="40" t="n"/>
      <c r="N294" s="39" t="str">
        <f>IF(COUNT(J294:M294)=0,"",AVERAGE(J294:M294))</f>
        <v/>
      </c>
      <c r="O294" s="40" t="n"/>
      <c r="P294" s="40" t="n"/>
      <c r="Q294" s="40" t="n"/>
      <c r="R294" s="40" t="n"/>
      <c r="S294" s="39" t="str">
        <f>IF(COUNT(O294:R294)=0,"",AVERAGE(O294:R294))</f>
        <v/>
      </c>
      <c r="T294" s="40" t="n"/>
      <c r="U294" s="40" t="n"/>
      <c r="V294" s="40" t="n"/>
      <c r="W294" s="40" t="n"/>
      <c r="X294" s="39" t="str">
        <f>IF(COUNT(T294:W294)=0,"",AVERAGE(T294:W294))</f>
        <v/>
      </c>
      <c r="Y294" s="40" t="n"/>
      <c r="Z294" s="40" t="n"/>
      <c r="AA294" s="40" t="n"/>
      <c r="AB294" s="40" t="n"/>
      <c r="AC294" s="39" t="str">
        <f>IF(COUNT(Y294:AB294)=0,"",AVERAGE(Y294:AB294))</f>
        <v/>
      </c>
      <c r="AD294" s="40" t="n"/>
      <c r="AE294" s="40" t="n"/>
      <c r="AF294" s="40" t="n"/>
      <c r="AG294" s="40" t="n"/>
      <c r="AH294" s="39" t="str">
        <f>IF(COUNT(AD294:AG294)=0,"",AVERAGE(AD294:AG294))</f>
        <v/>
      </c>
      <c r="AI294" s="40" t="n"/>
      <c r="AJ294" s="40" t="n"/>
      <c r="AK294" s="40" t="n"/>
      <c r="AL294" s="40" t="n"/>
      <c r="AM294" s="39" t="str">
        <f>IF(COUNT(AI294:AL294)=0,"",AVERAGE(AI294:AL294))</f>
        <v/>
      </c>
      <c r="AN294" s="40" t="n"/>
      <c r="AO294" s="40" t="n"/>
      <c r="AP294" s="40" t="n"/>
      <c r="AQ294" s="40" t="n"/>
      <c r="AR294" s="39" t="str">
        <f>IF(COUNT(AN294:AQ294)=0,"",AVERAGE(AN294:AQ294))</f>
        <v/>
      </c>
      <c r="AS294" s="40" t="n"/>
      <c r="AT294" s="40" t="n"/>
      <c r="AU294" s="40" t="n"/>
      <c r="AV294" s="40" t="n"/>
      <c r="AW294" s="39" t="str">
        <f>IF(COUNT(AS294:AV294)=0,"",AVERAGE(AS294:AV294))</f>
        <v/>
      </c>
      <c r="AX294" s="40" t="n"/>
      <c r="AY294" s="40" t="n"/>
      <c r="AZ294" s="40" t="n"/>
      <c r="BA294" s="40" t="n"/>
      <c r="BB294" s="39" t="str">
        <f>IF(COUNT(AX294:BA294)=0,"",AVERAGE(AX294:BA294))</f>
        <v/>
      </c>
      <c r="BC294" s="40" t="n"/>
      <c r="BD294" s="40" t="n"/>
      <c r="BE294" s="40" t="n"/>
      <c r="BF294" s="40" t="n"/>
      <c r="BG294" s="39" t="str">
        <f>IF(COUNT(BC294:BF294)=0,"",AVERAGE(BC294:BF294))</f>
        <v/>
      </c>
    </row>
    <row r="295">
      <c r="C295" s="11" t="inlineStr">
        <is>
          <t>Participação de minoritários (% do lucro líquido)</t>
        </is>
      </c>
      <c r="D295" s="12" t="inlineStr">
        <is>
          <t>Minority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7">
      <c r="B297" s="7" t="n"/>
      <c r="C297" s="7" t="inlineStr">
        <is>
          <t>DRIVERS — CAPITAL, PAYOUT E PATRIMÔNIO</t>
        </is>
      </c>
      <c r="D297" s="7" t="inlineStr">
        <is>
          <t>DRIVERS — CAPITAL, PAYOUT &amp; EQUITY</t>
        </is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>
      <c r="C298" s="11" t="inlineStr">
        <is>
          <t>Payout total — dividendos + JCP (% do lucro líquido)</t>
        </is>
      </c>
      <c r="D298" s="12" t="inlineStr">
        <is>
          <t>Payout</t>
        </is>
      </c>
      <c r="E298" s="40" t="n"/>
      <c r="F298" s="40" t="n"/>
      <c r="G298" s="40" t="n"/>
      <c r="H298" s="40" t="n"/>
      <c r="I298" s="39" t="str">
        <f>IF(COUNT(E298:H298)=0,"",AVERAGE(E298:H298))</f>
        <v/>
      </c>
      <c r="J298" s="40" t="n"/>
      <c r="K298" s="40" t="n"/>
      <c r="L298" s="40" t="n"/>
      <c r="M298" s="40" t="n"/>
      <c r="N298" s="39" t="str">
        <f>IF(COUNT(J298:M298)=0,"",AVERAGE(J298:M298))</f>
        <v/>
      </c>
      <c r="O298" s="40" t="n"/>
      <c r="P298" s="40" t="n"/>
      <c r="Q298" s="40" t="n"/>
      <c r="R298" s="40" t="n"/>
      <c r="S298" s="39" t="str">
        <f>IF(COUNT(O298:R298)=0,"",AVERAGE(O298:R298))</f>
        <v/>
      </c>
      <c r="T298" s="40" t="n"/>
      <c r="U298" s="40" t="n"/>
      <c r="V298" s="40" t="n"/>
      <c r="W298" s="40" t="n"/>
      <c r="X298" s="39" t="str">
        <f>IF(COUNT(T298:W298)=0,"",AVERAGE(T298:W298))</f>
        <v/>
      </c>
      <c r="Y298" s="40" t="n"/>
      <c r="Z298" s="40" t="n"/>
      <c r="AA298" s="40" t="n"/>
      <c r="AB298" s="40" t="n"/>
      <c r="AC298" s="39" t="str">
        <f>IF(COUNT(Y298:AB298)=0,"",AVERAGE(Y298:AB298))</f>
        <v/>
      </c>
      <c r="AD298" s="40" t="n"/>
      <c r="AE298" s="40" t="n"/>
      <c r="AF298" s="40" t="n"/>
      <c r="AG298" s="40" t="n"/>
      <c r="AH298" s="39" t="str">
        <f>IF(COUNT(AD298:AG298)=0,"",AVERAGE(AD298:AG298))</f>
        <v/>
      </c>
      <c r="AI298" s="40" t="n"/>
      <c r="AJ298" s="40" t="n"/>
      <c r="AK298" s="40" t="n"/>
      <c r="AL298" s="40" t="n"/>
      <c r="AM298" s="39" t="str">
        <f>IF(COUNT(AI298:AL298)=0,"",AVERAGE(AI298:AL298))</f>
        <v/>
      </c>
      <c r="AN298" s="40" t="n"/>
      <c r="AO298" s="40" t="n"/>
      <c r="AP298" s="40" t="n"/>
      <c r="AQ298" s="40" t="n"/>
      <c r="AR298" s="39" t="str">
        <f>IF(COUNT(AN298:AQ298)=0,"",AVERAGE(AN298:AQ298))</f>
        <v/>
      </c>
      <c r="AS298" s="40" t="n"/>
      <c r="AT298" s="40" t="n"/>
      <c r="AU298" s="40" t="n"/>
      <c r="AV298" s="40" t="n"/>
      <c r="AW298" s="39" t="str">
        <f>IF(COUNT(AS298:AV298)=0,"",AVERAGE(AS298:AV298))</f>
        <v/>
      </c>
      <c r="AX298" s="40" t="n"/>
      <c r="AY298" s="40" t="n"/>
      <c r="AZ298" s="40" t="n"/>
      <c r="BA298" s="40" t="n"/>
      <c r="BB298" s="39" t="str">
        <f>IF(COUNT(AX298:BA298)=0,"",AVERAGE(AX298:BA298))</f>
        <v/>
      </c>
      <c r="BC298" s="40" t="n"/>
      <c r="BD298" s="40" t="n"/>
      <c r="BE298" s="40" t="n"/>
      <c r="BF298" s="40" t="n"/>
      <c r="BG298" s="39" t="str">
        <f>IF(COUNT(BC298:BF298)=0,"",AVERAGE(BC298:BF298))</f>
        <v/>
      </c>
    </row>
    <row r="299">
      <c r="C299" s="11" t="inlineStr">
        <is>
          <t>RWA / Ativo total (%)</t>
        </is>
      </c>
      <c r="D299" s="12" t="inlineStr">
        <is>
          <t>RWA over assets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Índice de Basileia alvo (%)</t>
        </is>
      </c>
      <c r="D300" s="12" t="inlineStr">
        <is>
          <t>Target Basel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Capital Nível I alvo (%)</t>
        </is>
      </c>
      <c r="D301" s="12" t="inlineStr">
        <is>
          <t>Target Tier 1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str">
        <f>"Outros resultados abrangentes no período ("&amp;Inputs!$E$202&amp;")"</f>
        <v>Outros resultados abrangentes no período (R$ milhões)</v>
      </c>
      <c r="D302" s="12" t="inlineStr">
        <is>
          <t>OCI</t>
        </is>
      </c>
      <c r="E302" s="45" t="n"/>
      <c r="F302" s="45" t="n"/>
      <c r="G302" s="45" t="n"/>
      <c r="H302" s="45" t="n"/>
      <c r="I302" s="46" t="str">
        <f>IF(COUNT(E302:H302)=0,"",AVERAGE(E302:H302))</f>
        <v/>
      </c>
      <c r="J302" s="45" t="n"/>
      <c r="K302" s="45" t="n"/>
      <c r="L302" s="45" t="n"/>
      <c r="M302" s="45" t="n"/>
      <c r="N302" s="46" t="str">
        <f>IF(COUNT(J302:M302)=0,"",AVERAGE(J302:M302))</f>
        <v/>
      </c>
      <c r="O302" s="45" t="n"/>
      <c r="P302" s="45" t="n"/>
      <c r="Q302" s="45" t="n"/>
      <c r="R302" s="45" t="n"/>
      <c r="S302" s="46" t="str">
        <f>IF(COUNT(O302:R302)=0,"",AVERAGE(O302:R302))</f>
        <v/>
      </c>
      <c r="T302" s="45" t="n"/>
      <c r="U302" s="45" t="n"/>
      <c r="V302" s="45" t="n"/>
      <c r="W302" s="45" t="n"/>
      <c r="X302" s="46" t="str">
        <f>IF(COUNT(T302:W302)=0,"",AVERAGE(T302:W302))</f>
        <v/>
      </c>
      <c r="Y302" s="45" t="n"/>
      <c r="Z302" s="45" t="n"/>
      <c r="AA302" s="45" t="n"/>
      <c r="AB302" s="45" t="n"/>
      <c r="AC302" s="46" t="str">
        <f>IF(COUNT(Y302:AB302)=0,"",AVERAGE(Y302:AB302))</f>
        <v/>
      </c>
      <c r="AD302" s="45" t="n"/>
      <c r="AE302" s="45" t="n"/>
      <c r="AF302" s="45" t="n"/>
      <c r="AG302" s="45" t="n"/>
      <c r="AH302" s="46" t="str">
        <f>IF(COUNT(AD302:AG302)=0,"",AVERAGE(AD302:AG302))</f>
        <v/>
      </c>
      <c r="AI302" s="45" t="n"/>
      <c r="AJ302" s="45" t="n"/>
      <c r="AK302" s="45" t="n"/>
      <c r="AL302" s="45" t="n"/>
      <c r="AM302" s="46" t="str">
        <f>IF(COUNT(AI302:AL302)=0,"",AVERAGE(AI302:AL302))</f>
        <v/>
      </c>
      <c r="AN302" s="45" t="n"/>
      <c r="AO302" s="45" t="n"/>
      <c r="AP302" s="45" t="n"/>
      <c r="AQ302" s="45" t="n"/>
      <c r="AR302" s="46" t="str">
        <f>IF(COUNT(AN302:AQ302)=0,"",AVERAGE(AN302:AQ302))</f>
        <v/>
      </c>
      <c r="AS302" s="45" t="n"/>
      <c r="AT302" s="45" t="n"/>
      <c r="AU302" s="45" t="n"/>
      <c r="AV302" s="45" t="n"/>
      <c r="AW302" s="46" t="str">
        <f>IF(COUNT(AS302:AV302)=0,"",AVERAGE(AS302:AV302))</f>
        <v/>
      </c>
      <c r="AX302" s="45" t="n"/>
      <c r="AY302" s="45" t="n"/>
      <c r="AZ302" s="45" t="n"/>
      <c r="BA302" s="45" t="n"/>
      <c r="BB302" s="46" t="str">
        <f>IF(COUNT(AX302:BA302)=0,"",AVERAGE(AX302:BA302))</f>
        <v/>
      </c>
      <c r="BC302" s="45" t="n"/>
      <c r="BD302" s="45" t="n"/>
      <c r="BE302" s="45" t="n"/>
      <c r="BF302" s="45" t="n"/>
      <c r="BG302" s="46" t="str">
        <f>IF(COUNT(BC302:BF302)=0,"",AVERAGE(BC302:BF302))</f>
        <v/>
      </c>
    </row>
    <row r="303">
      <c r="C303" s="11" t="str">
        <f>"Aumento/(redução) de capital ("&amp;Inputs!$E$202&amp;")"</f>
        <v>Aumento/(redução) de capital (R$ milhões)</v>
      </c>
      <c r="D303" s="12" t="inlineStr">
        <is>
          <t>Capital change</t>
        </is>
      </c>
      <c r="E303" s="45" t="n"/>
      <c r="F303" s="45" t="n"/>
      <c r="G303" s="45" t="n"/>
      <c r="H303" s="45" t="n"/>
      <c r="I303" s="46" t="str">
        <f>IF(COUNT(E303:H303)=0,"",AVERAGE(E303:H303))</f>
        <v/>
      </c>
      <c r="J303" s="45" t="n"/>
      <c r="K303" s="45" t="n"/>
      <c r="L303" s="45" t="n"/>
      <c r="M303" s="45" t="n"/>
      <c r="N303" s="46" t="str">
        <f>IF(COUNT(J303:M303)=0,"",AVERAGE(J303:M303))</f>
        <v/>
      </c>
      <c r="O303" s="45" t="n"/>
      <c r="P303" s="45" t="n"/>
      <c r="Q303" s="45" t="n"/>
      <c r="R303" s="45" t="n"/>
      <c r="S303" s="46" t="str">
        <f>IF(COUNT(O303:R303)=0,"",AVERAGE(O303:R303))</f>
        <v/>
      </c>
      <c r="T303" s="45" t="n"/>
      <c r="U303" s="45" t="n"/>
      <c r="V303" s="45" t="n"/>
      <c r="W303" s="45" t="n"/>
      <c r="X303" s="46" t="str">
        <f>IF(COUNT(T303:W303)=0,"",AVERAGE(T303:W303))</f>
        <v/>
      </c>
      <c r="Y303" s="45" t="n"/>
      <c r="Z303" s="45" t="n"/>
      <c r="AA303" s="45" t="n"/>
      <c r="AB303" s="45" t="n"/>
      <c r="AC303" s="46" t="str">
        <f>IF(COUNT(Y303:AB303)=0,"",AVERAGE(Y303:AB303))</f>
        <v/>
      </c>
      <c r="AD303" s="45" t="n"/>
      <c r="AE303" s="45" t="n"/>
      <c r="AF303" s="45" t="n"/>
      <c r="AG303" s="45" t="n"/>
      <c r="AH303" s="46" t="str">
        <f>IF(COUNT(AD303:AG303)=0,"",AVERAGE(AD303:AG303))</f>
        <v/>
      </c>
      <c r="AI303" s="45" t="n"/>
      <c r="AJ303" s="45" t="n"/>
      <c r="AK303" s="45" t="n"/>
      <c r="AL303" s="45" t="n"/>
      <c r="AM303" s="46" t="str">
        <f>IF(COUNT(AI303:AL303)=0,"",AVERAGE(AI303:AL303))</f>
        <v/>
      </c>
      <c r="AN303" s="45" t="n"/>
      <c r="AO303" s="45" t="n"/>
      <c r="AP303" s="45" t="n"/>
      <c r="AQ303" s="45" t="n"/>
      <c r="AR303" s="46" t="str">
        <f>IF(COUNT(AN303:AQ303)=0,"",AVERAGE(AN303:AQ303))</f>
        <v/>
      </c>
      <c r="AS303" s="45" t="n"/>
      <c r="AT303" s="45" t="n"/>
      <c r="AU303" s="45" t="n"/>
      <c r="AV303" s="45" t="n"/>
      <c r="AW303" s="46" t="str">
        <f>IF(COUNT(AS303:AV303)=0,"",AVERAGE(AS303:AV303))</f>
        <v/>
      </c>
      <c r="AX303" s="45" t="n"/>
      <c r="AY303" s="45" t="n"/>
      <c r="AZ303" s="45" t="n"/>
      <c r="BA303" s="45" t="n"/>
      <c r="BB303" s="46" t="str">
        <f>IF(COUNT(AX303:BA303)=0,"",AVERAGE(AX303:BA303))</f>
        <v/>
      </c>
      <c r="BC303" s="45" t="n"/>
      <c r="BD303" s="45" t="n"/>
      <c r="BE303" s="45" t="n"/>
      <c r="BF303" s="45" t="n"/>
      <c r="BG303" s="46" t="str">
        <f>IF(COUNT(BC303:BF303)=0,"",AVERAGE(BC303:BF303))</f>
        <v/>
      </c>
    </row>
    <row r="305">
      <c r="B305" s="7" t="n"/>
      <c r="C305" s="7" t="inlineStr">
        <is>
          <t>PREMISSAS DE VALUATION</t>
        </is>
      </c>
      <c r="D305" s="7" t="inlineStr">
        <is>
          <t>VALUATION ASSUMPTIONS</t>
        </is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28" t="inlineStr">
        <is>
          <t>Bloco desligado nesta versão: o modelo está em modo histórico, sem projeção e sem valuation. As linhas ficam prontas para receber sua premissa quando você quiser ligar.</t>
        </is>
      </c>
    </row>
    <row r="306">
      <c r="C306" s="11" t="inlineStr">
        <is>
          <t>Taxa livre de risco — NTN-B longa (% a.a.)</t>
        </is>
      </c>
      <c r="D306" s="12" t="inlineStr">
        <is>
          <t>Risk-free rate</t>
        </is>
      </c>
      <c r="E306" s="40" t="n"/>
    </row>
    <row r="307">
      <c r="C307" s="11" t="inlineStr">
        <is>
          <t>Prêmio de risco de mercado — ERP Brasil (%)</t>
        </is>
      </c>
      <c r="D307" s="12" t="inlineStr">
        <is>
          <t>Equity risk premium</t>
        </is>
      </c>
      <c r="E307" s="40" t="n"/>
    </row>
    <row r="308">
      <c r="C308" s="11" t="inlineStr">
        <is>
          <t>Beta alavancado</t>
        </is>
      </c>
      <c r="D308" s="12" t="inlineStr">
        <is>
          <t>Levered beta</t>
        </is>
      </c>
      <c r="E308" s="47" t="n"/>
    </row>
    <row r="309">
      <c r="C309" s="11" t="inlineStr">
        <is>
          <t>Prêmio de tamanho / liquidez (%)</t>
        </is>
      </c>
      <c r="D309" s="12" t="inlineStr">
        <is>
          <t>Size premium</t>
        </is>
      </c>
      <c r="E309" s="40" t="n"/>
    </row>
    <row r="310">
      <c r="C310" s="15" t="inlineStr">
        <is>
          <t>Custo do capital próprio — Ke (% a.a.)</t>
        </is>
      </c>
      <c r="D310" s="16" t="inlineStr">
        <is>
          <t>Cost of equity (CAPM)</t>
        </is>
      </c>
      <c r="E310" s="48">
        <f>E306+E308*E307+E309</f>
        <v>0</v>
      </c>
      <c r="BI310" s="14" t="inlineStr">
        <is>
          <t>Ke = Rf + β × ERP + prêmio de tamanho. Para banco não se usa WACC: a dívida é insumo operacional.</t>
        </is>
      </c>
    </row>
    <row r="311">
      <c r="C311" s="11" t="inlineStr">
        <is>
          <t>Crescimento na perpetuidade — g (% a.a.)</t>
        </is>
      </c>
      <c r="D311" s="12" t="inlineStr">
        <is>
          <t>Terminal growth</t>
        </is>
      </c>
      <c r="E311" s="40" t="n"/>
    </row>
    <row r="312">
      <c r="C312" s="11" t="inlineStr">
        <is>
          <t>ROE sustentável na perpetuidade (%)</t>
        </is>
      </c>
      <c r="D312" s="12" t="inlineStr">
        <is>
          <t>Sustainable ROE</t>
        </is>
      </c>
      <c r="E312" s="40" t="n"/>
    </row>
    <row r="313">
      <c r="C313" s="26" t="inlineStr">
        <is>
          <t>Payout implícito na perpetuidade (%)</t>
        </is>
      </c>
      <c r="D313" s="12" t="inlineStr">
        <is>
          <t>Implied payout</t>
        </is>
      </c>
      <c r="E313" s="49">
        <f>IFERROR(1-E311/E312,0)</f>
        <v>0</v>
      </c>
      <c r="BI313" s="14" t="inlineStr">
        <is>
          <t>Regra de consistência: g = ROE × (1 – payout).</t>
        </is>
      </c>
    </row>
    <row r="314">
      <c r="C314" s="11" t="inlineStr">
        <is>
          <t>Último ano projetado explicitamente</t>
        </is>
      </c>
      <c r="D314" s="12" t="inlineStr">
        <is>
          <t>Last forecast year</t>
        </is>
      </c>
      <c r="E314" s="50" t="n"/>
    </row>
    <row r="316">
      <c r="B316" s="29" t="n"/>
      <c r="C316" s="29" t="inlineStr">
        <is>
          <t>Ponderação dos métodos</t>
        </is>
      </c>
      <c r="D316" s="29" t="inlineStr">
        <is>
          <t>Method weights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  <c r="BA316" s="29" t="n"/>
      <c r="BB316" s="29" t="n"/>
      <c r="BC316" s="29" t="n"/>
      <c r="BD316" s="29" t="n"/>
      <c r="BE316" s="29" t="n"/>
      <c r="BF316" s="29" t="n"/>
      <c r="BG316" s="29" t="n"/>
      <c r="BH316" s="29" t="n"/>
      <c r="BI316" s="29" t="n"/>
    </row>
    <row r="317">
      <c r="C317" s="11" t="inlineStr">
        <is>
          <t>Excess Return (lucro residual)</t>
        </is>
      </c>
      <c r="D317" s="12" t="inlineStr">
        <is>
          <t>Excess return</t>
        </is>
      </c>
      <c r="E317" s="40" t="n"/>
    </row>
    <row r="318">
      <c r="C318" s="11" t="inlineStr">
        <is>
          <t>Dividend Discount Model</t>
        </is>
      </c>
      <c r="D318" s="12" t="inlineStr">
        <is>
          <t>DDM</t>
        </is>
      </c>
      <c r="E318" s="40" t="n"/>
    </row>
    <row r="319">
      <c r="C319" s="11" t="inlineStr">
        <is>
          <t>P/BV justificado por Gordon</t>
        </is>
      </c>
      <c r="D319" s="12" t="inlineStr">
        <is>
          <t>Justified P/BV</t>
        </is>
      </c>
      <c r="E319" s="40" t="n"/>
    </row>
    <row r="320">
      <c r="C320" s="11" t="inlineStr">
        <is>
          <t>Múltiplos de mercado</t>
        </is>
      </c>
      <c r="D320" s="12" t="inlineStr">
        <is>
          <t>Market multiples</t>
        </is>
      </c>
      <c r="E320" s="40" t="n"/>
    </row>
    <row r="321">
      <c r="C321" s="15" t="inlineStr">
        <is>
          <t>Soma dos pesos</t>
        </is>
      </c>
      <c r="D321" s="16" t="inlineStr">
        <is>
          <t>Sum of weights</t>
        </is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>
      <c r="B323" s="7" t="n"/>
      <c r="C323" s="7" t="inlineStr">
        <is>
          <t>CONVENÇÕES DO MODELO</t>
        </is>
      </c>
      <c r="D323" s="7" t="inlineStr">
        <is>
          <t>MODEL CONVENTIONS</t>
        </is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>
      <c r="C324" s="15" t="inlineStr">
        <is>
          <t>Linhas 2 a 190</t>
        </is>
      </c>
      <c r="D324" s="52" t="inlineStr">
        <is>
          <t>Hard code dos dados brutos. Coluna B é o código que a Inputs (2) procura.</t>
        </is>
      </c>
    </row>
    <row r="325">
      <c r="C325" s="15" t="inlineStr">
        <is>
          <t>Linha 196 em diante</t>
        </is>
      </c>
      <c r="D325" s="52" t="inlineStr">
        <is>
          <t>Painel de premissas. Fica fora do intervalo que a fórmula varre.</t>
        </is>
      </c>
    </row>
    <row r="326">
      <c r="C326" s="15" t="inlineStr">
        <is>
          <t>Várias linhas, mesmo código</t>
        </is>
      </c>
      <c r="D326" s="52" t="inlineStr">
        <is>
          <t>A Inputs (2) soma todas. Acrescente linhas sem editar fórmula.</t>
        </is>
      </c>
    </row>
    <row r="327">
      <c r="C327" s="15" t="inlineStr">
        <is>
          <t>Células amarelas com fonte azul</t>
        </is>
      </c>
      <c r="D327" s="52" t="inlineStr">
        <is>
          <t>Premissa ou dado digitado.</t>
        </is>
      </c>
    </row>
    <row r="328">
      <c r="C328" s="15" t="inlineStr">
        <is>
          <t>Fonte verde</t>
        </is>
      </c>
      <c r="D328" s="52" t="inlineStr">
        <is>
          <t>Link para outra aba.</t>
        </is>
      </c>
    </row>
    <row r="329">
      <c r="C329" s="15" t="inlineStr">
        <is>
          <t>Colunas FY</t>
        </is>
      </c>
      <c r="D329" s="52" t="inlineStr">
        <is>
          <t>Balanço = saldo do 4T. Resultado = soma dos quatro trimestres.</t>
        </is>
      </c>
    </row>
    <row r="330">
      <c r="C330" s="15" t="inlineStr">
        <is>
          <t>Sinal das despesas</t>
        </is>
      </c>
      <c r="D330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19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R$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disp</t>
        </is>
      </c>
      <c r="C5" s="11" t="inlineStr">
        <is>
          <t>Disponibilidades</t>
        </is>
      </c>
      <c r="D5" s="12" t="inlineStr">
        <is>
          <t>Cash and Cash Equivalents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2257.558344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3682.122579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3510.456871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1794.058697</v>
      </c>
      <c r="I5" s="58">
        <f>H5</f>
        <v>1794.058697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2606.660517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5295.510858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2513.133324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3219.641364</v>
      </c>
      <c r="N5" s="58">
        <f>M5</f>
        <v>3219.641364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3535.68684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2489.023904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2818.790043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3068.945717</v>
      </c>
      <c r="S5" s="58">
        <f>R5</f>
        <v>3068.945717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3239.32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3813.399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2283.264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2439.095</v>
      </c>
      <c r="X5" s="58">
        <f>W5</f>
        <v>2439.095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2903.932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4267.504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5377.551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4614.304</v>
      </c>
      <c r="AC5" s="58">
        <f>AB5</f>
        <v>4614.304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5138.768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3681.182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5777.333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5577.129</v>
      </c>
      <c r="AH5" s="58">
        <f>AG5</f>
        <v>5577.129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4848.422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4705.439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Interfinanceiras de Liquidez</t>
        </is>
      </c>
      <c r="D6" s="16" t="inlineStr">
        <is>
          <t>Interbank Investments</t>
        </is>
      </c>
      <c r="E6" s="59">
        <f>IFERROR(E7+E8+E9+E10,"")</f>
        <v>57779.812313</v>
      </c>
      <c r="F6" s="59">
        <f>IFERROR(F7+F8+F9+F10,"")</f>
        <v>61794.762416</v>
      </c>
      <c r="G6" s="59">
        <f>IFERROR(G7+G8+G9+G10,"")</f>
        <v>67204.015319</v>
      </c>
      <c r="H6" s="59">
        <f>IFERROR(H7+H8+H9+H10,"")</f>
        <v>51690.227632</v>
      </c>
      <c r="I6" s="60">
        <f>H6</f>
        <v>51690.227632</v>
      </c>
      <c r="J6" s="59">
        <f>IFERROR(J7+J8+J9+J10,"")</f>
        <v>47931.115981</v>
      </c>
      <c r="K6" s="59">
        <f>IFERROR(K7+K8+K9+K10,"")</f>
        <v>41838.747005</v>
      </c>
      <c r="L6" s="59">
        <f>IFERROR(L7+L8+L9+L10,"")</f>
        <v>55427.324006</v>
      </c>
      <c r="M6" s="59">
        <f>IFERROR(M7+M8+M9+M10,"")</f>
        <v>54140.778704</v>
      </c>
      <c r="N6" s="60">
        <f>M6</f>
        <v>54140.778704</v>
      </c>
      <c r="O6" s="59">
        <f>IFERROR(O7+O8+O9+O10,"")</f>
        <v>47938.753523</v>
      </c>
      <c r="P6" s="59">
        <f>IFERROR(P7+P8+P9+P10,"")</f>
        <v>53736.272309</v>
      </c>
      <c r="Q6" s="59">
        <f>IFERROR(Q7+Q8+Q9+Q10,"")</f>
        <v>58237.524762</v>
      </c>
      <c r="R6" s="59">
        <f>IFERROR(R7+R8+R9+R10,"")</f>
        <v>74114.272638</v>
      </c>
      <c r="S6" s="60">
        <f>R6</f>
        <v>74114.272638</v>
      </c>
      <c r="T6" s="59">
        <f>IFERROR(T7+T8+T9+T10,"")</f>
        <v>78789.028</v>
      </c>
      <c r="U6" s="59">
        <f>IFERROR(U7+U8+U9+U10,"")</f>
        <v>60410.954</v>
      </c>
      <c r="V6" s="59">
        <f>IFERROR(V7+V8+V9+V10,"")</f>
        <v>72736.395</v>
      </c>
      <c r="W6" s="59">
        <f>IFERROR(W7+W8+W9+W10,"")</f>
        <v>73564.489</v>
      </c>
      <c r="X6" s="60">
        <f>W6</f>
        <v>73564.489</v>
      </c>
      <c r="Y6" s="59">
        <f>IFERROR(Y7+Y8+Y9+Y10,"")</f>
        <v>97244.516</v>
      </c>
      <c r="Z6" s="59">
        <f>IFERROR(Z7+Z8+Z9+Z10,"")</f>
        <v>66020.915</v>
      </c>
      <c r="AA6" s="59">
        <f>IFERROR(AA7+AA8+AA9+AA10,"")</f>
        <v>98728.962</v>
      </c>
      <c r="AB6" s="59">
        <f>IFERROR(AB7+AB8+AB9+AB10,"")</f>
        <v>99780.437173</v>
      </c>
      <c r="AC6" s="60">
        <f>AB6</f>
        <v>99780.437173</v>
      </c>
      <c r="AD6" s="59">
        <f>IFERROR(AD7+AD8+AD9+AD10,"")</f>
        <v>81278.943</v>
      </c>
      <c r="AE6" s="59">
        <f>IFERROR(AE7+AE8+AE9+AE10,"")</f>
        <v>66993.091</v>
      </c>
      <c r="AF6" s="59">
        <f>IFERROR(AF7+AF8+AF9+AF10,"")</f>
        <v>80082.355</v>
      </c>
      <c r="AG6" s="59">
        <f>IFERROR(AG7+AG8+AG9+AG10,"")</f>
        <v>90736.599</v>
      </c>
      <c r="AH6" s="60">
        <f>AG6</f>
        <v>90736.599</v>
      </c>
      <c r="AI6" s="59">
        <f>IFERROR(AI7+AI8+AI9+AI10,"")</f>
        <v>95212.288</v>
      </c>
      <c r="AJ6" s="59">
        <f>IFERROR(AJ7+AJ8+AJ9+AJ10,"")</f>
        <v>163864.029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aplic_mo</t>
        </is>
      </c>
      <c r="C7" s="61" t="inlineStr">
        <is>
          <t>Aplicações no Mercado Aberto</t>
        </is>
      </c>
      <c r="D7" s="62" t="inlineStr">
        <is>
          <t>Open Market Investments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57779.812313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61794.762416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67204.015319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51690.227632</v>
      </c>
      <c r="I7" s="58">
        <f>H7</f>
        <v>51690.227632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47931.115981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41838.747005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55427.324006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54140.778704</v>
      </c>
      <c r="N7" s="58">
        <f>M7</f>
        <v>54140.778704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47938.753523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53736.272309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58237.524762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74114.272638</v>
      </c>
      <c r="S7" s="58">
        <f>R7</f>
        <v>74114.272638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78789.028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60410.954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72736.395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73564.489</v>
      </c>
      <c r="X7" s="58">
        <f>W7</f>
        <v>73564.489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97244.516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66020.915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98728.962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99780.437173</v>
      </c>
      <c r="AC7" s="58">
        <f>AB7</f>
        <v>99780.437173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81278.943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66993.091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80082.355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90736.599</v>
      </c>
      <c r="AH7" s="58">
        <f>AG7</f>
        <v>90736.599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95212.288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163864.029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aplic_di</t>
        </is>
      </c>
      <c r="C8" s="61" t="inlineStr">
        <is>
          <t>Aplicações em Depósitos Interfinanceiros</t>
        </is>
      </c>
      <c r="D8" s="62" t="inlineStr">
        <is>
          <t>Interbank Deposits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>M8</f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>R8</f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>W8</f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>AB8</f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>AG8</f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aplic_rg</t>
        </is>
      </c>
      <c r="C9" s="61" t="inlineStr">
        <is>
          <t>Recursos Garantidores das Provisões Técnicas</t>
        </is>
      </c>
      <c r="D9" s="62" t="inlineStr">
        <is>
          <t>Assets Guaranteeing Technical Provisions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>M9</f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>R9</f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>W9</f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>AB9</f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>AG9</f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aplic_pdd</t>
        </is>
      </c>
      <c r="C10" s="61" t="inlineStr">
        <is>
          <t>(Provisão para Perda de Crédito Esperada)</t>
        </is>
      </c>
      <c r="D10" s="62" t="inlineStr">
        <is>
          <t>(Allowance for Expected Credit Losses)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Valores Mobiliários</t>
        </is>
      </c>
      <c r="D11" s="16" t="inlineStr">
        <is>
          <t>Securities</t>
        </is>
      </c>
      <c r="E11" s="59">
        <f>IFERROR(E12+E13+E14+E15,"")</f>
        <v>39364.95913</v>
      </c>
      <c r="F11" s="59">
        <f>IFERROR(F12+F13+F14+F15,"")</f>
        <v>48107.44272</v>
      </c>
      <c r="G11" s="59">
        <f>IFERROR(G12+G13+G14+G15,"")</f>
        <v>62706.793819</v>
      </c>
      <c r="H11" s="59">
        <f>IFERROR(H12+H13+H14+H15,"")</f>
        <v>83343.216307</v>
      </c>
      <c r="I11" s="60">
        <f>H11</f>
        <v>83343.216307</v>
      </c>
      <c r="J11" s="59">
        <f>IFERROR(J12+J13+J14+J15,"")</f>
        <v>87902.230842</v>
      </c>
      <c r="K11" s="59">
        <f>IFERROR(K12+K13+K14+K15,"")</f>
        <v>126670.740304</v>
      </c>
      <c r="L11" s="59">
        <f>IFERROR(L12+L13+L14+L15,"")</f>
        <v>156489.533476</v>
      </c>
      <c r="M11" s="59">
        <f>IFERROR(M12+M13+M14+M15,"")</f>
        <v>111514.488596</v>
      </c>
      <c r="N11" s="60">
        <f>M11</f>
        <v>111514.488596</v>
      </c>
      <c r="O11" s="59">
        <f>IFERROR(O12+O13+O14+O15,"")</f>
        <v>157664.213294</v>
      </c>
      <c r="P11" s="59">
        <f>IFERROR(P12+P13+P14+P15,"")</f>
        <v>164762.027305</v>
      </c>
      <c r="Q11" s="59">
        <f>IFERROR(Q12+Q13+Q14+Q15,"")</f>
        <v>164981.760258</v>
      </c>
      <c r="R11" s="59">
        <f>IFERROR(R12+R13+R14+R15,"")</f>
        <v>138662.248617</v>
      </c>
      <c r="S11" s="60">
        <f>R11</f>
        <v>138662.248617</v>
      </c>
      <c r="T11" s="59">
        <f>IFERROR(T12+T13+T14+T15,"")</f>
        <v>171690.83</v>
      </c>
      <c r="U11" s="59">
        <f>IFERROR(U12+U13+U14+U15,"")</f>
        <v>197870.153</v>
      </c>
      <c r="V11" s="59">
        <f>IFERROR(V12+V13+V14+V15,"")</f>
        <v>208631.606</v>
      </c>
      <c r="W11" s="59">
        <f>IFERROR(W12+W13+W14+W15,"")</f>
        <v>200892.878</v>
      </c>
      <c r="X11" s="60">
        <f>W11</f>
        <v>200892.878</v>
      </c>
      <c r="Y11" s="59">
        <f>IFERROR(Y12+Y13+Y14+Y15,"")</f>
        <v>226862.589</v>
      </c>
      <c r="Z11" s="59">
        <f>IFERROR(Z12+Z13+Z14+Z15,"")</f>
        <v>266374.219</v>
      </c>
      <c r="AA11" s="59">
        <f>IFERROR(AA12+AA13+AA14+AA15,"")</f>
        <v>237992.909</v>
      </c>
      <c r="AB11" s="59">
        <f>IFERROR(AB12+AB13+AB14+AB15,"")</f>
        <v>188935.328989</v>
      </c>
      <c r="AC11" s="60">
        <f>AB11</f>
        <v>188935.328989</v>
      </c>
      <c r="AD11" s="59">
        <f>IFERROR(AD12+AD13+AD14+AD15,"")</f>
        <v>225313.554</v>
      </c>
      <c r="AE11" s="59">
        <f>IFERROR(AE12+AE13+AE14+AE15,"")</f>
        <v>276788.34</v>
      </c>
      <c r="AF11" s="59">
        <f>IFERROR(AF12+AF13+AF14+AF15,"")</f>
        <v>284658.445</v>
      </c>
      <c r="AG11" s="59">
        <f>IFERROR(AG12+AG13+AG14+AG15,"")</f>
        <v>371140.448</v>
      </c>
      <c r="AH11" s="60">
        <f>AG11</f>
        <v>371140.448</v>
      </c>
      <c r="AI11" s="59">
        <f>IFERROR(AI12+AI13+AI14+AI15,"")</f>
        <v>387625.587</v>
      </c>
      <c r="AJ11" s="59">
        <f>IFERROR(AJ12+AJ13+AJ14+AJ15,"")</f>
        <v>388360.666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tvm_prop</t>
        </is>
      </c>
      <c r="C12" s="61" t="inlineStr">
        <is>
          <t>Carteira própria</t>
        </is>
      </c>
      <c r="D12" s="62" t="inlineStr">
        <is>
          <t>Own Portfolio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39364.95913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48107.44272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62706.793819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83343.216307</v>
      </c>
      <c r="I12" s="58">
        <f>H12</f>
        <v>83343.216307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87902.230842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126670.740304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156489.533476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111514.488596</v>
      </c>
      <c r="N12" s="58">
        <f>M12</f>
        <v>111514.488596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157664.213294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164762.027305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164981.760258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138662.248617</v>
      </c>
      <c r="S12" s="58">
        <f>R12</f>
        <v>138662.248617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171690.83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197870.153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208631.606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200892.878</v>
      </c>
      <c r="X12" s="58">
        <f>W12</f>
        <v>200892.878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226862.589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266374.219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237992.909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188935.328989</v>
      </c>
      <c r="AC12" s="58">
        <f>AB12</f>
        <v>188935.328989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225313.554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276788.34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284658.445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371140.448</v>
      </c>
      <c r="AH12" s="58">
        <f>AG12</f>
        <v>371140.448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387625.587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388360.666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tvm_vinc</t>
        </is>
      </c>
      <c r="C13" s="61" t="inlineStr">
        <is>
          <t>Vinculados</t>
        </is>
      </c>
      <c r="D13" s="62" t="inlineStr">
        <is>
          <t>Pledged / Restricted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tvm_rg</t>
        </is>
      </c>
      <c r="C14" s="61" t="inlineStr">
        <is>
          <t>Recursos Garantidores das Provisões Técnicas</t>
        </is>
      </c>
      <c r="D14" s="62" t="inlineStr">
        <is>
          <t>Assets Guaranteeing Technical Provisions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tvm_pdd</t>
        </is>
      </c>
      <c r="C15" s="61" t="inlineStr">
        <is>
          <t>(Provisão para Perda de Crédito Esperada)</t>
        </is>
      </c>
      <c r="D15" s="62" t="inlineStr">
        <is>
          <t>(Allowance for Expected Credit Losses)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</t>
        </is>
      </c>
      <c r="D16" s="12" t="inlineStr">
        <is>
          <t>Derivatives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0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0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0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0</v>
      </c>
      <c r="AH16" s="58">
        <f>AG16</f>
        <v>0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0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0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Operações com Característica de Concessão de Crédito</t>
        </is>
      </c>
      <c r="D17" s="16" t="inlineStr">
        <is>
          <t>Credit-Granting Transactions</t>
        </is>
      </c>
      <c r="E17" s="59">
        <f>IFERROR(E18+E19+E20,"")</f>
        <v>30342.883703</v>
      </c>
      <c r="F17" s="59">
        <f>IFERROR(F18+F19+F20,"")</f>
        <v>38550.644264</v>
      </c>
      <c r="G17" s="59">
        <f>IFERROR(G18+G19+G20,"")</f>
        <v>45445.566266</v>
      </c>
      <c r="H17" s="59">
        <f>IFERROR(H18+H19+H20,"")</f>
        <v>48783.638192</v>
      </c>
      <c r="I17" s="60">
        <f>H17</f>
        <v>48783.638192</v>
      </c>
      <c r="J17" s="59">
        <f>IFERROR(J18+J19+J20,"")</f>
        <v>54397.799688</v>
      </c>
      <c r="K17" s="59">
        <f>IFERROR(K18+K19+K20,"")</f>
        <v>87543.440377</v>
      </c>
      <c r="L17" s="59">
        <f>IFERROR(L18+L19+L20,"")</f>
        <v>93898.152218</v>
      </c>
      <c r="M17" s="59">
        <f>IFERROR(M18+M19+M20,"")</f>
        <v>99077.839282</v>
      </c>
      <c r="N17" s="60">
        <f>M17</f>
        <v>99077.839282</v>
      </c>
      <c r="O17" s="59">
        <f>IFERROR(O18+O19+O20,"")</f>
        <v>102349.40524</v>
      </c>
      <c r="P17" s="59">
        <f>IFERROR(P18+P19+P20,"")</f>
        <v>107121.146908</v>
      </c>
      <c r="Q17" s="59">
        <f>IFERROR(Q18+Q19+Q20,"")</f>
        <v>108808.359407</v>
      </c>
      <c r="R17" s="59">
        <f>IFERROR(R18+R19+R20,"")</f>
        <v>114623.018619</v>
      </c>
      <c r="S17" s="60">
        <f>R17</f>
        <v>114623.018619</v>
      </c>
      <c r="T17" s="59">
        <f>IFERROR(T18+T19+T20,"")</f>
        <v>109751.917</v>
      </c>
      <c r="U17" s="59">
        <f>IFERROR(U18+U19+U20,"")</f>
        <v>107930.649</v>
      </c>
      <c r="V17" s="59">
        <f>IFERROR(V18+V19+V20,"")</f>
        <v>112798.762</v>
      </c>
      <c r="W17" s="59">
        <f>IFERROR(W18+W19+W20,"")</f>
        <v>122501.747</v>
      </c>
      <c r="X17" s="60">
        <f>W17</f>
        <v>122501.747</v>
      </c>
      <c r="Y17" s="59">
        <f>IFERROR(Y18+Y19+Y20,"")</f>
        <v>133043.216</v>
      </c>
      <c r="Z17" s="59">
        <f>IFERROR(Z18+Z19+Z20,"")</f>
        <v>142951.459</v>
      </c>
      <c r="AA17" s="59">
        <f>IFERROR(AA18+AA19+AA20,"")</f>
        <v>148808.452</v>
      </c>
      <c r="AB17" s="59">
        <f>IFERROR(AB18+AB19+AB20,"")</f>
        <v>155578.870099</v>
      </c>
      <c r="AC17" s="60">
        <f>AB17</f>
        <v>155578.870099</v>
      </c>
      <c r="AD17" s="59">
        <f>IFERROR(AD18+AD19+AD20,"")</f>
        <v>161955.365</v>
      </c>
      <c r="AE17" s="59">
        <f>IFERROR(AE18+AE19+AE20,"")</f>
        <v>165278.649</v>
      </c>
      <c r="AF17" s="59">
        <f>IFERROR(AF18+AF19+AF20,"")</f>
        <v>172245.565</v>
      </c>
      <c r="AG17" s="59">
        <f>IFERROR(AG18+AG19+AG20,"")</f>
        <v>188259.036</v>
      </c>
      <c r="AH17" s="60">
        <f>AG17</f>
        <v>188259.036</v>
      </c>
      <c r="AI17" s="59">
        <f>IFERROR(AI18+AI19+AI20,"")</f>
        <v>196218.844</v>
      </c>
      <c r="AJ17" s="59">
        <f>IFERROR(AJ18+AJ19+AJ20,"")</f>
        <v>198573.334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cred_op</t>
        </is>
      </c>
      <c r="C18" s="61" t="inlineStr">
        <is>
          <t>Operações de Crédito, Arrendamentos e Outros Créditos</t>
        </is>
      </c>
      <c r="D18" s="62" t="inlineStr">
        <is>
          <t>Loans, Leases and Other Credits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30342.883703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38550.644264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45445.566266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48783.638192</v>
      </c>
      <c r="I18" s="58">
        <f>H18</f>
        <v>48783.638192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54397.799688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87543.440377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93898.152218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99077.839282</v>
      </c>
      <c r="N18" s="58">
        <f>M18</f>
        <v>99077.839282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102349.40524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107121.146908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108808.359407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114623.018619</v>
      </c>
      <c r="S18" s="58">
        <f>R18</f>
        <v>114623.018619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109751.917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107930.649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112798.762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122501.747</v>
      </c>
      <c r="X18" s="58">
        <f>W18</f>
        <v>122501.747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133043.216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142951.459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148808.452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155578.870099</v>
      </c>
      <c r="AC18" s="58">
        <f>AB18</f>
        <v>155578.870099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161955.365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165278.649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172245.565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188259.036</v>
      </c>
      <c r="AH18" s="58">
        <f>AG18</f>
        <v>188259.036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196218.844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198573.334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cred_tvm</t>
        </is>
      </c>
      <c r="C19" s="61" t="inlineStr">
        <is>
          <t>Títulos e Valores Mobiliários</t>
        </is>
      </c>
      <c r="D19" s="62" t="inlineStr">
        <is>
          <t>Securities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cred_pdd</t>
        </is>
      </c>
      <c r="C20" s="61" t="inlineStr">
        <is>
          <t>(Provisão para Perda de Crédito Esperada)</t>
        </is>
      </c>
      <c r="D20" s="62" t="inlineStr">
        <is>
          <t>(Allowance for Expected Credit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>H20</f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0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0</v>
      </c>
      <c r="N20" s="58">
        <f>M20</f>
        <v>0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0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0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0</v>
      </c>
      <c r="S20" s="58">
        <f>R20</f>
        <v>0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0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0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0</v>
      </c>
      <c r="X20" s="58">
        <f>W20</f>
        <v>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0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0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0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0</v>
      </c>
      <c r="AC20" s="58">
        <f>AB20</f>
        <v>0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0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0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0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0</v>
      </c>
      <c r="AH20" s="58">
        <f>AG20</f>
        <v>0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0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0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rel_a</t>
        </is>
      </c>
      <c r="C21" s="11" t="inlineStr">
        <is>
          <t>Relações Interfinanceiras e Interdependências</t>
        </is>
      </c>
      <c r="D21" s="12" t="inlineStr">
        <is>
          <t>Interbank and Intersegment Relations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569.258429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2290.961294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3817.112545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5188.885418</v>
      </c>
      <c r="I21" s="58">
        <f>H21</f>
        <v>5188.885418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5945.232163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8549.505362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9757.335811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12737.217119</v>
      </c>
      <c r="N21" s="58">
        <f>M21</f>
        <v>12737.217119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12624.433595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16404.365192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33467.512277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23786.65476</v>
      </c>
      <c r="S21" s="58">
        <f>R21</f>
        <v>23786.65476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18078.672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22279.713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25154.662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23712.4</v>
      </c>
      <c r="X21" s="58">
        <f>W21</f>
        <v>23712.4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24875.212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28207.713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40030.847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33336.119</v>
      </c>
      <c r="AC21" s="58">
        <f>AB21</f>
        <v>33336.119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35173.808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35199.32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37382.376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31265.668</v>
      </c>
      <c r="AH21" s="58">
        <f>AG21</f>
        <v>31265.668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39736.289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42184.342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fisc_a</t>
        </is>
      </c>
      <c r="C22" s="11" t="inlineStr">
        <is>
          <t>Ativos Fiscais Correntes e Diferidos</t>
        </is>
      </c>
      <c r="D22" s="12" t="inlineStr">
        <is>
          <t>Current and Deferred Tax Assets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>AG22</f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out_a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60500.409672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66432.287335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60483.720789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41195.936325</v>
      </c>
      <c r="I23" s="58">
        <f>H23</f>
        <v>41195.936325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67996.23533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55756.925043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43700.638289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53392.615509</v>
      </c>
      <c r="N23" s="58">
        <f>M23</f>
        <v>53392.615509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54641.239747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97229.41096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58757.492257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83566.632813</v>
      </c>
      <c r="S23" s="58">
        <f>R23</f>
        <v>83566.632813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76059.139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69332.36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62306.881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58019.495</v>
      </c>
      <c r="X23" s="58">
        <f>W23</f>
        <v>58019.495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70396.92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79852.281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67450.928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90965.336568</v>
      </c>
      <c r="AC23" s="58">
        <f>AB23</f>
        <v>90965.336568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83518.404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92177.07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88052.32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101875.469</v>
      </c>
      <c r="AH23" s="58">
        <f>AG23</f>
        <v>101875.469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105362.356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110832.548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9542.165023</v>
      </c>
      <c r="F24" s="59">
        <f>IFERROR(F25+F26,"")</f>
        <v>9552.954276</v>
      </c>
      <c r="G24" s="59">
        <f>IFERROR(G25+G26,"")</f>
        <v>10044.220103</v>
      </c>
      <c r="H24" s="59">
        <f>IFERROR(H25+H26,"")</f>
        <v>12929.374395</v>
      </c>
      <c r="I24" s="60">
        <f>H24</f>
        <v>12929.374395</v>
      </c>
      <c r="J24" s="59">
        <f>IFERROR(J25+J26,"")</f>
        <v>13024.452938</v>
      </c>
      <c r="K24" s="59">
        <f>IFERROR(K25+K26,"")</f>
        <v>9540.471261</v>
      </c>
      <c r="L24" s="59">
        <f>IFERROR(L25+L26,"")</f>
        <v>10448.566771</v>
      </c>
      <c r="M24" s="59">
        <f>IFERROR(M25+M26,"")</f>
        <v>12060.088866</v>
      </c>
      <c r="N24" s="60">
        <f>M24</f>
        <v>12060.088866</v>
      </c>
      <c r="O24" s="59">
        <f>IFERROR(O25+O26,"")</f>
        <v>12595.327542</v>
      </c>
      <c r="P24" s="59">
        <f>IFERROR(P25+P26,"")</f>
        <v>13084.442573</v>
      </c>
      <c r="Q24" s="59">
        <f>IFERROR(Q25+Q26,"")</f>
        <v>12833.278373</v>
      </c>
      <c r="R24" s="59">
        <f>IFERROR(R25+R26,"")</f>
        <v>12790.314434</v>
      </c>
      <c r="S24" s="60">
        <f>R24</f>
        <v>12790.314434</v>
      </c>
      <c r="T24" s="59">
        <f>IFERROR(T25+T26,"")</f>
        <v>12792.57</v>
      </c>
      <c r="U24" s="59">
        <f>IFERROR(U25+U26,"")</f>
        <v>12914.92</v>
      </c>
      <c r="V24" s="59">
        <f>IFERROR(V25+V26,"")</f>
        <v>12527.554</v>
      </c>
      <c r="W24" s="59">
        <f>IFERROR(W25+W26,"")</f>
        <v>12102.745</v>
      </c>
      <c r="X24" s="60">
        <f>W24</f>
        <v>12102.745</v>
      </c>
      <c r="Y24" s="59">
        <f>IFERROR(Y25+Y26,"")</f>
        <v>12350.901</v>
      </c>
      <c r="Z24" s="59">
        <f>IFERROR(Z25+Z26,"")</f>
        <v>12688.544</v>
      </c>
      <c r="AA24" s="59">
        <f>IFERROR(AA25+AA26,"")</f>
        <v>12997.381</v>
      </c>
      <c r="AB24" s="59">
        <f>IFERROR(AB25+AB26,"")</f>
        <v>13953.493</v>
      </c>
      <c r="AC24" s="60">
        <f>AB24</f>
        <v>13953.493</v>
      </c>
      <c r="AD24" s="59">
        <f>IFERROR(AD25+AD26,"")</f>
        <v>16062.879</v>
      </c>
      <c r="AE24" s="59">
        <f>IFERROR(AE25+AE26,"")</f>
        <v>15953.698</v>
      </c>
      <c r="AF24" s="59">
        <f>IFERROR(AF25+AF26,"")</f>
        <v>16761.628</v>
      </c>
      <c r="AG24" s="59">
        <f>IFERROR(AG25+AG26,"")</f>
        <v>17113.99</v>
      </c>
      <c r="AH24" s="60">
        <f>AG24</f>
        <v>17113.99</v>
      </c>
      <c r="AI24" s="59">
        <f>IFERROR(AI25+AI26,"")</f>
        <v>16571.017</v>
      </c>
      <c r="AJ24" s="59">
        <f>IFERROR(AJ25+AJ26,"")</f>
        <v>16698.208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inv_col</t>
        </is>
      </c>
      <c r="C25" s="61" t="inlineStr">
        <is>
          <t>Coligadas e Entidades Controladas em Conjunto</t>
        </is>
      </c>
      <c r="D25" s="62" t="inlineStr">
        <is>
          <t>Associates and JV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9542.165023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9552.954276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10044.220103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12929.374395</v>
      </c>
      <c r="I25" s="58">
        <f>H25</f>
        <v>12929.374395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13024.452938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9540.471261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10448.566771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12060.088866</v>
      </c>
      <c r="N25" s="58">
        <f>M25</f>
        <v>12060.088866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12595.327542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13084.442573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12833.278373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12790.314434</v>
      </c>
      <c r="S25" s="58">
        <f>R25</f>
        <v>12790.314434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12792.57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12914.92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12527.554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12102.745</v>
      </c>
      <c r="X25" s="58">
        <f>W25</f>
        <v>12102.745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12350.901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12688.544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12997.381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13953.493</v>
      </c>
      <c r="AC25" s="58">
        <f>AB25</f>
        <v>13953.493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16062.879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15953.698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16761.628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17113.99</v>
      </c>
      <c r="AH25" s="58">
        <f>AG25</f>
        <v>17113.99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16571.017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16698.208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</t>
        </is>
      </c>
      <c r="D26" s="62" t="inlineStr">
        <is>
          <t>Other Investments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imob</t>
        </is>
      </c>
      <c r="C27" s="11" t="inlineStr">
        <is>
          <t>Imobilizado</t>
        </is>
      </c>
      <c r="D27" s="12" t="inlineStr">
        <is>
          <t>Property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0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0</v>
      </c>
      <c r="I27" s="58">
        <f>H27</f>
        <v>0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0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0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0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0</v>
      </c>
      <c r="N27" s="58">
        <f>M27</f>
        <v>0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0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0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0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0</v>
      </c>
      <c r="S27" s="58">
        <f>R27</f>
        <v>0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0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0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0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0</v>
      </c>
      <c r="X27" s="58">
        <f>W27</f>
        <v>0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0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0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0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0</v>
      </c>
      <c r="AC27" s="58">
        <f>AB27</f>
        <v>0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0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0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0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0</v>
      </c>
      <c r="AH27" s="58">
        <f>AG27</f>
        <v>0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0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0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intang</t>
        </is>
      </c>
      <c r="C28" s="11" t="inlineStr">
        <is>
          <t>Ágio e Intangível</t>
        </is>
      </c>
      <c r="D28" s="12" t="inlineStr">
        <is>
          <t>Goodwill and Intangible Assets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0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0</v>
      </c>
      <c r="I28" s="58">
        <f>H28</f>
        <v>0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0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0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0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0</v>
      </c>
      <c r="N28" s="58">
        <f>M28</f>
        <v>0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0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0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0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0</v>
      </c>
      <c r="S28" s="58">
        <f>R28</f>
        <v>0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0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0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0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0</v>
      </c>
      <c r="X28" s="58">
        <f>W28</f>
        <v>0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0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0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0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0</v>
      </c>
      <c r="AC28" s="58">
        <f>AB28</f>
        <v>0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0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0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0</v>
      </c>
      <c r="AH28" s="58">
        <f>AG28</f>
        <v>0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0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0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200357.046614</v>
      </c>
      <c r="F29" s="59">
        <f>IFERROR(F5+F6+F11+F16+F17+F21+F22+F23+F24+F27+F28,"")</f>
        <v>230411.174884</v>
      </c>
      <c r="G29" s="59">
        <f>IFERROR(G5+G6+G11+G16+G17+G21+G22+G23+G24+G27+G28,"")</f>
        <v>253211.885712</v>
      </c>
      <c r="H29" s="59">
        <f>IFERROR(H5+H6+H11+H16+H17+H21+H22+H23+H24+H27+H28,"")</f>
        <v>244925.336966</v>
      </c>
      <c r="I29" s="60">
        <f>H29</f>
        <v>244925.336966</v>
      </c>
      <c r="J29" s="59">
        <f>IFERROR(J5+J6+J11+J16+J17+J21+J22+J23+J24+J27+J28,"")</f>
        <v>279803.727459</v>
      </c>
      <c r="K29" s="59">
        <f>IFERROR(K5+K6+K11+K16+K17+K21+K22+K23+K24+K27+K28,"")</f>
        <v>335195.34021</v>
      </c>
      <c r="L29" s="59">
        <f>IFERROR(L5+L6+L11+L16+L17+L21+L22+L23+L24+L27+L28,"")</f>
        <v>372234.683895</v>
      </c>
      <c r="M29" s="59">
        <f>IFERROR(M5+M6+M11+M16+M17+M21+M22+M23+M24+M27+M28,"")</f>
        <v>346142.66944</v>
      </c>
      <c r="N29" s="60">
        <f>M29</f>
        <v>346142.66944</v>
      </c>
      <c r="O29" s="59">
        <f>IFERROR(O5+O6+O11+O16+O17+O21+O22+O23+O24+O27+O28,"")</f>
        <v>391349.059781</v>
      </c>
      <c r="P29" s="59">
        <f>IFERROR(P5+P6+P11+P16+P17+P21+P22+P23+P24+P27+P28,"")</f>
        <v>454826.689151</v>
      </c>
      <c r="Q29" s="59">
        <f>IFERROR(Q5+Q6+Q11+Q16+Q17+Q21+Q22+Q23+Q24+Q27+Q28,"")</f>
        <v>439904.717377</v>
      </c>
      <c r="R29" s="59">
        <f>IFERROR(R5+R6+R11+R16+R17+R21+R22+R23+R24+R27+R28,"")</f>
        <v>450612.087598</v>
      </c>
      <c r="S29" s="60">
        <f>R29</f>
        <v>450612.087598</v>
      </c>
      <c r="T29" s="59">
        <f>IFERROR(T5+T6+T11+T16+T17+T21+T22+T23+T24+T27+T28,"")</f>
        <v>470401.476</v>
      </c>
      <c r="U29" s="59">
        <f>IFERROR(U5+U6+U11+U16+U17+U21+U22+U23+U24+U27+U28,"")</f>
        <v>474552.148</v>
      </c>
      <c r="V29" s="59">
        <f>IFERROR(V5+V6+V11+V16+V17+V21+V22+V23+V24+V27+V28,"")</f>
        <v>496439.124</v>
      </c>
      <c r="W29" s="59">
        <f>IFERROR(W5+W6+W11+W16+W17+W21+W22+W23+W24+W27+W28,"")</f>
        <v>493232.849</v>
      </c>
      <c r="X29" s="60">
        <f>W29</f>
        <v>493232.849</v>
      </c>
      <c r="Y29" s="59">
        <f>IFERROR(Y5+Y6+Y11+Y16+Y17+Y21+Y22+Y23+Y24+Y27+Y28,"")</f>
        <v>567677.286</v>
      </c>
      <c r="Z29" s="59">
        <f>IFERROR(Z5+Z6+Z11+Z16+Z17+Z21+Z22+Z23+Z24+Z27+Z28,"")</f>
        <v>600362.635</v>
      </c>
      <c r="AA29" s="59">
        <f>IFERROR(AA5+AA6+AA11+AA16+AA17+AA21+AA22+AA23+AA24+AA27+AA28,"")</f>
        <v>611387.03</v>
      </c>
      <c r="AB29" s="59">
        <f>IFERROR(AB5+AB6+AB11+AB16+AB17+AB21+AB22+AB23+AB24+AB27+AB28,"")</f>
        <v>587163.888829</v>
      </c>
      <c r="AC29" s="60">
        <f>AB29</f>
        <v>587163.888829</v>
      </c>
      <c r="AD29" s="59">
        <f>IFERROR(AD5+AD6+AD11+AD16+AD17+AD21+AD22+AD23+AD24+AD27+AD28,"")</f>
        <v>608441.721</v>
      </c>
      <c r="AE29" s="59">
        <f>IFERROR(AE5+AE6+AE11+AE16+AE17+AE21+AE22+AE23+AE24+AE27+AE28,"")</f>
        <v>656071.35</v>
      </c>
      <c r="AF29" s="59">
        <f>IFERROR(AF5+AF6+AF11+AF16+AF17+AF21+AF22+AF23+AF24+AF27+AF28,"")</f>
        <v>684960.022</v>
      </c>
      <c r="AG29" s="59">
        <f>IFERROR(AG5+AG6+AG11+AG16+AG17+AG21+AG22+AG23+AG24+AG27+AG28,"")</f>
        <v>805968.339</v>
      </c>
      <c r="AH29" s="60">
        <f>AG29</f>
        <v>805968.339</v>
      </c>
      <c r="AI29" s="59">
        <f>IFERROR(AI5+AI6+AI11+AI16+AI17+AI21+AI22+AI23+AI24+AI27+AI28,"")</f>
        <v>845574.803</v>
      </c>
      <c r="AJ29" s="59">
        <f>IFERROR(AJ5+AJ6+AJ11+AJ16+AJ17+AJ21+AJ22+AJ23+AJ24+AJ27+AJ28,"")</f>
        <v>925218.566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24912.340654</v>
      </c>
      <c r="F32" s="59">
        <f>IFERROR(F33+F34+F35+F36+F37,"")</f>
        <v>38428.598984</v>
      </c>
      <c r="G32" s="59">
        <f>IFERROR(G33+G34+G35+G36+G37,"")</f>
        <v>52495.199546</v>
      </c>
      <c r="H32" s="59">
        <f>IFERROR(H33+H34+H35+H36+H37,"")</f>
        <v>56964.334237</v>
      </c>
      <c r="I32" s="60">
        <f>H32</f>
        <v>56964.334237</v>
      </c>
      <c r="J32" s="59">
        <f>IFERROR(J33+J34+J35+J36+J37,"")</f>
        <v>62793.797768</v>
      </c>
      <c r="K32" s="59">
        <f>IFERROR(K33+K34+K35+K36+K37,"")</f>
        <v>97775.534437</v>
      </c>
      <c r="L32" s="59">
        <f>IFERROR(L33+L34+L35+L36+L37,"")</f>
        <v>114133.119824</v>
      </c>
      <c r="M32" s="59">
        <f>IFERROR(M33+M34+M35+M36+M37,"")</f>
        <v>109554.771336</v>
      </c>
      <c r="N32" s="60">
        <f>M32</f>
        <v>109554.771336</v>
      </c>
      <c r="O32" s="59">
        <f>IFERROR(O33+O34+O35+O36+O37,"")</f>
        <v>107202.07082</v>
      </c>
      <c r="P32" s="59">
        <f>IFERROR(P33+P34+P35+P36+P37,"")</f>
        <v>112604.01044</v>
      </c>
      <c r="Q32" s="59">
        <f>IFERROR(Q33+Q34+Q35+Q36+Q37,"")</f>
        <v>115490.906119</v>
      </c>
      <c r="R32" s="59">
        <f>IFERROR(R33+R34+R35+R36+R37,"")</f>
        <v>115749.671751</v>
      </c>
      <c r="S32" s="60">
        <f>R32</f>
        <v>115749.671751</v>
      </c>
      <c r="T32" s="59">
        <f>IFERROR(T33+T34+T35+T36+T37,"")</f>
        <v>118309.723</v>
      </c>
      <c r="U32" s="59">
        <f>IFERROR(U33+U34+U35+U36+U37,"")</f>
        <v>124030.275</v>
      </c>
      <c r="V32" s="59">
        <f>IFERROR(V33+V34+V35+V36+V37,"")</f>
        <v>129490.998</v>
      </c>
      <c r="W32" s="59">
        <f>IFERROR(W33+W34+W35+W36+W37,"")</f>
        <v>133273.103</v>
      </c>
      <c r="X32" s="60">
        <f>W32</f>
        <v>133273.103</v>
      </c>
      <c r="Y32" s="59">
        <f>IFERROR(Y33+Y34+Y35+Y36+Y37,"")</f>
        <v>150565.998</v>
      </c>
      <c r="Z32" s="59">
        <f>IFERROR(Z33+Z34+Z35+Z36+Z37,"")</f>
        <v>152982.557</v>
      </c>
      <c r="AA32" s="59">
        <f>IFERROR(AA33+AA34+AA35+AA36+AA37,"")</f>
        <v>153616.642</v>
      </c>
      <c r="AB32" s="59">
        <f>IFERROR(AB33+AB34+AB35+AB36+AB37,"")</f>
        <v>149890.06</v>
      </c>
      <c r="AC32" s="60">
        <f>AB32</f>
        <v>149890.06</v>
      </c>
      <c r="AD32" s="59">
        <f>IFERROR(AD33+AD34+AD35+AD36+AD37,"")</f>
        <v>144743.573</v>
      </c>
      <c r="AE32" s="59">
        <f>IFERROR(AE33+AE34+AE35+AE36+AE37,"")</f>
        <v>148266.457</v>
      </c>
      <c r="AF32" s="59">
        <f>IFERROR(AF33+AF34+AF35+AF36+AF37,"")</f>
        <v>168944.088</v>
      </c>
      <c r="AG32" s="59">
        <f>IFERROR(AG33+AG34+AG35+AG36+AG37,"")</f>
        <v>176167.03</v>
      </c>
      <c r="AH32" s="60">
        <f>AG32</f>
        <v>176167.03</v>
      </c>
      <c r="AI32" s="59">
        <f>IFERROR(AI33+AI34+AI35+AI36+AI37,"")</f>
        <v>190145.823</v>
      </c>
      <c r="AJ32" s="59">
        <f>IFERROR(AJ33+AJ34+AJ35+AJ36+AJ37,"")</f>
        <v>206472.06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dep_vista</t>
        </is>
      </c>
      <c r="C33" s="61" t="inlineStr">
        <is>
          <t>Depósitos à Vista</t>
        </is>
      </c>
      <c r="D33" s="62" t="inlineStr">
        <is>
          <t>Demand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0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0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0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0</v>
      </c>
      <c r="I33" s="58">
        <f>H33</f>
        <v>0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0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0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0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0</v>
      </c>
      <c r="N33" s="58">
        <f>M33</f>
        <v>0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0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0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0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0</v>
      </c>
      <c r="S33" s="58">
        <f>R33</f>
        <v>0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0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0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0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0</v>
      </c>
      <c r="X33" s="58">
        <f>W33</f>
        <v>0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0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0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0</v>
      </c>
      <c r="AC33" s="58">
        <f>AB33</f>
        <v>0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0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0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0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0</v>
      </c>
      <c r="AH33" s="58">
        <f>AG33</f>
        <v>0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0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0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dep_poup</t>
        </is>
      </c>
      <c r="C34" s="61" t="inlineStr">
        <is>
          <t>Depósitos de Poupança</t>
        </is>
      </c>
      <c r="D34" s="62" t="inlineStr">
        <is>
          <t>Savings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dep_inter</t>
        </is>
      </c>
      <c r="C35" s="61" t="inlineStr">
        <is>
          <t>Depósitos Interfinanceiros</t>
        </is>
      </c>
      <c r="D35" s="62" t="inlineStr">
        <is>
          <t>Interbank Deposits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>H35</f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0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0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0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0</v>
      </c>
      <c r="N35" s="58">
        <f>M35</f>
        <v>0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0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0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0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0</v>
      </c>
      <c r="S35" s="58">
        <f>R35</f>
        <v>0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0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0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0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0</v>
      </c>
      <c r="X35" s="58">
        <f>W35</f>
        <v>0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0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0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0</v>
      </c>
      <c r="AC35" s="58">
        <f>AB35</f>
        <v>0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0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0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0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0</v>
      </c>
      <c r="AH35" s="58">
        <f>AG35</f>
        <v>0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0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0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dep_prazo</t>
        </is>
      </c>
      <c r="C36" s="61" t="inlineStr">
        <is>
          <t>Depósitos a Prazo</t>
        </is>
      </c>
      <c r="D36" s="62" t="inlineStr">
        <is>
          <t>Time Deposits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24912.340654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38428.598984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52495.199546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56964.334237</v>
      </c>
      <c r="I36" s="58">
        <f>H36</f>
        <v>56964.334237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62793.797768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97775.534437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114133.119824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109554.771336</v>
      </c>
      <c r="N36" s="58">
        <f>M36</f>
        <v>109554.771336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107202.07082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112604.01044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115490.906119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115749.671751</v>
      </c>
      <c r="S36" s="58">
        <f>R36</f>
        <v>115749.671751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118309.723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124030.275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129490.998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133273.103</v>
      </c>
      <c r="X36" s="58">
        <f>W36</f>
        <v>133273.103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150565.998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152982.557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153616.642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149890.06</v>
      </c>
      <c r="AC36" s="58">
        <f>AB36</f>
        <v>149890.06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144743.573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148266.457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168944.088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176167.03</v>
      </c>
      <c r="AH36" s="58">
        <f>AG36</f>
        <v>176167.03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190145.823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206472.06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dep_out</t>
        </is>
      </c>
      <c r="C37" s="61" t="inlineStr">
        <is>
          <t>Outros Depósitos</t>
        </is>
      </c>
      <c r="D37" s="62" t="inlineStr">
        <is>
          <t>Other Deposits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Captações no Mercado Aberto</t>
        </is>
      </c>
      <c r="D38" s="16" t="inlineStr">
        <is>
          <t>Open Market Funding</t>
        </is>
      </c>
      <c r="E38" s="59">
        <f>IFERROR(E39+E40+E41,"")</f>
        <v>55035.52921</v>
      </c>
      <c r="F38" s="59">
        <f>IFERROR(F39+F40+F41,"")</f>
        <v>49940.440696</v>
      </c>
      <c r="G38" s="59">
        <f>IFERROR(G39+G40+G41,"")</f>
        <v>56049.778817</v>
      </c>
      <c r="H38" s="59">
        <f>IFERROR(H39+H40+H41,"")</f>
        <v>60161.895695</v>
      </c>
      <c r="I38" s="60">
        <f>H38</f>
        <v>60161.895695</v>
      </c>
      <c r="J38" s="59">
        <f>IFERROR(J39+J40+J41,"")</f>
        <v>54066.088143</v>
      </c>
      <c r="K38" s="59">
        <f>IFERROR(K39+K40+K41,"")</f>
        <v>62908.367229</v>
      </c>
      <c r="L38" s="59">
        <f>IFERROR(L39+L40+L41,"")</f>
        <v>77420.386681</v>
      </c>
      <c r="M38" s="59">
        <f>IFERROR(M39+M40+M41,"")</f>
        <v>60160.547837</v>
      </c>
      <c r="N38" s="60">
        <f>M38</f>
        <v>60160.547837</v>
      </c>
      <c r="O38" s="59">
        <f>IFERROR(O39+O40+O41,"")</f>
        <v>75886.278393</v>
      </c>
      <c r="P38" s="59">
        <f>IFERROR(P39+P40+P41,"")</f>
        <v>89337.943777</v>
      </c>
      <c r="Q38" s="59">
        <f>IFERROR(Q39+Q40+Q41,"")</f>
        <v>98400.789549</v>
      </c>
      <c r="R38" s="59">
        <f>IFERROR(R39+R40+R41,"")</f>
        <v>87139.331976</v>
      </c>
      <c r="S38" s="60">
        <f>R38</f>
        <v>87139.331976</v>
      </c>
      <c r="T38" s="59">
        <f>IFERROR(T39+T40+T41,"")</f>
        <v>91991.668</v>
      </c>
      <c r="U38" s="59">
        <f>IFERROR(U39+U40+U41,"")</f>
        <v>98021.212</v>
      </c>
      <c r="V38" s="59">
        <f>IFERROR(V39+V40+V41,"")</f>
        <v>103659.546</v>
      </c>
      <c r="W38" s="59">
        <f>IFERROR(W39+W40+W41,"")</f>
        <v>97075.862</v>
      </c>
      <c r="X38" s="60">
        <f>W38</f>
        <v>97075.862</v>
      </c>
      <c r="Y38" s="59">
        <f>IFERROR(Y39+Y40+Y41,"")</f>
        <v>114533.195</v>
      </c>
      <c r="Z38" s="59">
        <f>IFERROR(Z39+Z40+Z41,"")</f>
        <v>131886.941</v>
      </c>
      <c r="AA38" s="59">
        <f>IFERROR(AA39+AA40+AA41,"")</f>
        <v>122187.034</v>
      </c>
      <c r="AB38" s="59">
        <f>IFERROR(AB39+AB40+AB41,"")</f>
        <v>113780.403</v>
      </c>
      <c r="AC38" s="60">
        <f>AB38</f>
        <v>113780.403</v>
      </c>
      <c r="AD38" s="59">
        <f>IFERROR(AD39+AD40+AD41,"")</f>
        <v>111927.713</v>
      </c>
      <c r="AE38" s="59">
        <f>IFERROR(AE39+AE40+AE41,"")</f>
        <v>123104.355</v>
      </c>
      <c r="AF38" s="59">
        <f>IFERROR(AF39+AF40+AF41,"")</f>
        <v>125519.304</v>
      </c>
      <c r="AG38" s="59">
        <f>IFERROR(AG39+AG40+AG41,"")</f>
        <v>201795.177</v>
      </c>
      <c r="AH38" s="60">
        <f>AG38</f>
        <v>201795.177</v>
      </c>
      <c r="AI38" s="59">
        <f>IFERROR(AI39+AI40+AI41,"")</f>
        <v>199244.323</v>
      </c>
      <c r="AJ38" s="59">
        <f>IFERROR(AJ39+AJ40+AJ41,"")</f>
        <v>232533.847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mo_prop</t>
        </is>
      </c>
      <c r="C39" s="61" t="inlineStr">
        <is>
          <t>Carteira Própria</t>
        </is>
      </c>
      <c r="D39" s="62" t="inlineStr">
        <is>
          <t>Own Portfolio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55035.52921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49940.440696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56049.778817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60161.895695</v>
      </c>
      <c r="I39" s="58">
        <f>H39</f>
        <v>60161.895695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54066.088143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62908.367229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77420.386681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60160.547837</v>
      </c>
      <c r="N39" s="58">
        <f>M39</f>
        <v>60160.547837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75886.278393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89337.943777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98400.789549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87139.331976</v>
      </c>
      <c r="S39" s="58">
        <f>R39</f>
        <v>87139.331976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91991.668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98021.212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103659.546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97075.862</v>
      </c>
      <c r="X39" s="58">
        <f>W39</f>
        <v>97075.862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114533.195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131886.941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122187.034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113780.403</v>
      </c>
      <c r="AC39" s="58">
        <f>AB39</f>
        <v>113780.403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111927.713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123104.355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125519.304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201795.177</v>
      </c>
      <c r="AH39" s="58">
        <f>AG39</f>
        <v>201795.177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199244.323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232533.847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mo_terc</t>
        </is>
      </c>
      <c r="C40" s="61" t="inlineStr">
        <is>
          <t>Carteira de Terceiros</t>
        </is>
      </c>
      <c r="D40" s="62" t="inlineStr">
        <is>
          <t>Third-Party Portfolio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mo_livre</t>
        </is>
      </c>
      <c r="C41" s="61" t="inlineStr">
        <is>
          <t>Carteira de Livre Movimentação</t>
        </is>
      </c>
      <c r="D41" s="62" t="inlineStr">
        <is>
          <t>Unrestricted Portfolio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Instrumentos de Dívida</t>
        </is>
      </c>
      <c r="D42" s="16" t="inlineStr">
        <is>
          <t>Debt Instruments</t>
        </is>
      </c>
      <c r="E42" s="59">
        <f>IFERROR(E43+E44+E45+E46,"")</f>
        <v>27597.977654</v>
      </c>
      <c r="F42" s="59">
        <f>IFERROR(F43+F44+F45+F46,"")</f>
        <v>40422.862176</v>
      </c>
      <c r="G42" s="59">
        <f>IFERROR(G43+G44+G45+G46,"")</f>
        <v>46021.663074</v>
      </c>
      <c r="H42" s="59">
        <f>IFERROR(H43+H44+H45+H46,"")</f>
        <v>45744.764189</v>
      </c>
      <c r="I42" s="60">
        <f>H42</f>
        <v>45744.764189</v>
      </c>
      <c r="J42" s="59">
        <f>IFERROR(J43+J44+J45+J46,"")</f>
        <v>52862.679403</v>
      </c>
      <c r="K42" s="59">
        <f>IFERROR(K43+K44+K45+K46,"")</f>
        <v>60218.017095</v>
      </c>
      <c r="L42" s="59">
        <f>IFERROR(L43+L44+L45+L46,"")</f>
        <v>64655.150642</v>
      </c>
      <c r="M42" s="59">
        <f>IFERROR(M43+M44+M45+M46,"")</f>
        <v>59975.482469</v>
      </c>
      <c r="N42" s="60">
        <f>M42</f>
        <v>59975.482469</v>
      </c>
      <c r="O42" s="59">
        <f>IFERROR(O43+O44+O45+O46,"")</f>
        <v>62529.466945</v>
      </c>
      <c r="P42" s="59">
        <f>IFERROR(P43+P44+P45+P46,"")</f>
        <v>68070.285803</v>
      </c>
      <c r="Q42" s="59">
        <f>IFERROR(Q43+Q44+Q45+Q46,"")</f>
        <v>70182.354719</v>
      </c>
      <c r="R42" s="59">
        <f>IFERROR(R43+R44+R45+R46,"")</f>
        <v>68525.299818</v>
      </c>
      <c r="S42" s="60">
        <f>R42</f>
        <v>68525.299818</v>
      </c>
      <c r="T42" s="59">
        <f>IFERROR(T43+T44+T45+T46,"")</f>
        <v>69930.936</v>
      </c>
      <c r="U42" s="59">
        <f>IFERROR(U43+U44+U45+U46,"")</f>
        <v>68727.636</v>
      </c>
      <c r="V42" s="59">
        <f>IFERROR(V43+V44+V45+V46,"")</f>
        <v>71725.958</v>
      </c>
      <c r="W42" s="59">
        <f>IFERROR(W43+W44+W45+W46,"")</f>
        <v>74663.054114</v>
      </c>
      <c r="X42" s="60">
        <f>W42</f>
        <v>74663.054114</v>
      </c>
      <c r="Y42" s="59">
        <f>IFERROR(Y43+Y44+Y45+Y46,"")</f>
        <v>84047.005</v>
      </c>
      <c r="Z42" s="59">
        <f>IFERROR(Z43+Z44+Z45+Z46,"")</f>
        <v>88625.329</v>
      </c>
      <c r="AA42" s="59">
        <f>IFERROR(AA43+AA44+AA45+AA46,"")</f>
        <v>102154.335</v>
      </c>
      <c r="AB42" s="59">
        <f>IFERROR(AB43+AB44+AB45+AB46,"")</f>
        <v>107777.977</v>
      </c>
      <c r="AC42" s="60">
        <f>AB42</f>
        <v>107777.977</v>
      </c>
      <c r="AD42" s="59">
        <f>IFERROR(AD43+AD44+AD45+AD46,"")</f>
        <v>105937.757</v>
      </c>
      <c r="AE42" s="59">
        <f>IFERROR(AE43+AE44+AE45+AE46,"")</f>
        <v>110567.394</v>
      </c>
      <c r="AF42" s="59">
        <f>IFERROR(AF43+AF44+AF45+AF46,"")</f>
        <v>114919.015</v>
      </c>
      <c r="AG42" s="59">
        <f>IFERROR(AG43+AG44+AG45+AG46,"")</f>
        <v>120826.058</v>
      </c>
      <c r="AH42" s="60">
        <f>AG42</f>
        <v>120826.058</v>
      </c>
      <c r="AI42" s="59">
        <f>IFERROR(AI43+AI44+AI45+AI46,"")</f>
        <v>124011.945</v>
      </c>
      <c r="AJ42" s="59">
        <f>IFERROR(AJ43+AJ44+AJ45+AJ46,"")</f>
        <v>130683.092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div_emis</t>
        </is>
      </c>
      <c r="C43" s="61" t="inlineStr">
        <is>
          <t>Recursos de Emissões (LF, LCI, LCA, LIG)</t>
        </is>
      </c>
      <c r="D43" s="62" t="inlineStr">
        <is>
          <t>Funds from Issuances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24939.539329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36217.271369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41747.411729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42314.111071</v>
      </c>
      <c r="I43" s="58">
        <f>H43</f>
        <v>42314.111071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49174.084614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57980.765753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62281.703655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57463.393117</v>
      </c>
      <c r="N43" s="58">
        <f>M43</f>
        <v>57463.393117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60322.364616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65807.492341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69648.066852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67944.679136</v>
      </c>
      <c r="S43" s="58">
        <f>R43</f>
        <v>67944.679136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69351.106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68167.246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71190.286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73531.521</v>
      </c>
      <c r="X43" s="58">
        <f>W43</f>
        <v>73531.521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83536.18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88066.028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101571.087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107173.422</v>
      </c>
      <c r="AC43" s="58">
        <f>AB43</f>
        <v>107173.422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105344.664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109987.476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114365.286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118824.365</v>
      </c>
      <c r="AH43" s="58">
        <f>AG43</f>
        <v>118824.365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122147.58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128809.321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div_ext</t>
        </is>
      </c>
      <c r="C44" s="61" t="inlineStr">
        <is>
          <t>Obrigações por TVM no Exterior</t>
        </is>
      </c>
      <c r="D44" s="62" t="inlineStr">
        <is>
          <t>Liabilities for Securities Abroad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div_coe</t>
        </is>
      </c>
      <c r="C45" s="61" t="inlineStr">
        <is>
          <t>Captação por Certificados de Operações Estruturadas</t>
        </is>
      </c>
      <c r="D45" s="62" t="inlineStr">
        <is>
          <t>Structured Operations Certificates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div_sub</t>
        </is>
      </c>
      <c r="C46" s="61" t="inlineStr">
        <is>
          <t>Instrumentos de Dívida Subordinada</t>
        </is>
      </c>
      <c r="D46" s="62" t="inlineStr">
        <is>
          <t>Subordinated Debt Instruments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2658.438325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4205.590807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4274.251345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3430.653118</v>
      </c>
      <c r="I46" s="58">
        <f>H46</f>
        <v>3430.653118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3688.594789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2237.251342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2373.446987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2512.089352</v>
      </c>
      <c r="N46" s="58">
        <f>M46</f>
        <v>2512.089352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2207.102329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2262.793462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534.287867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580.620682</v>
      </c>
      <c r="S46" s="58">
        <f>R46</f>
        <v>580.620682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579.83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560.39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535.672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1131.533114</v>
      </c>
      <c r="X46" s="58">
        <f>W46</f>
        <v>1131.533114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510.825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559.301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583.248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604.555</v>
      </c>
      <c r="AC46" s="58">
        <f>AB46</f>
        <v>604.555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593.093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579.918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553.729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2001.693</v>
      </c>
      <c r="AH46" s="58">
        <f>AG46</f>
        <v>2001.693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1864.365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1873.771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Obrigações por Empréstimos e Repasses</t>
        </is>
      </c>
      <c r="D47" s="16" t="inlineStr">
        <is>
          <t>Borrowings and On-lending</t>
        </is>
      </c>
      <c r="E47" s="59">
        <f>IFERROR(E48+E49,"")</f>
        <v>4889.578528</v>
      </c>
      <c r="F47" s="59">
        <f>IFERROR(F48+F49,"")</f>
        <v>4504.549972</v>
      </c>
      <c r="G47" s="59">
        <f>IFERROR(G48+G49,"")</f>
        <v>5251.928044</v>
      </c>
      <c r="H47" s="59">
        <f>IFERROR(H48+H49,"")</f>
        <v>6643.207482</v>
      </c>
      <c r="I47" s="60">
        <f>H47</f>
        <v>6643.207482</v>
      </c>
      <c r="J47" s="59">
        <f>IFERROR(J48+J49,"")</f>
        <v>6811.059926</v>
      </c>
      <c r="K47" s="59">
        <f>IFERROR(K48+K49,"")</f>
        <v>5822.560322</v>
      </c>
      <c r="L47" s="59">
        <f>IFERROR(L48+L49,"")</f>
        <v>8085.948347</v>
      </c>
      <c r="M47" s="59">
        <f>IFERROR(M48+M49,"")</f>
        <v>8997.270006</v>
      </c>
      <c r="N47" s="60">
        <f>M47</f>
        <v>8997.270006</v>
      </c>
      <c r="O47" s="59">
        <f>IFERROR(O48+O49,"")</f>
        <v>13959.244477</v>
      </c>
      <c r="P47" s="59">
        <f>IFERROR(P48+P49,"")</f>
        <v>14289.717961</v>
      </c>
      <c r="Q47" s="59">
        <f>IFERROR(Q48+Q49,"")</f>
        <v>14829.773423</v>
      </c>
      <c r="R47" s="59">
        <f>IFERROR(R48+R49,"")</f>
        <v>17693.932502</v>
      </c>
      <c r="S47" s="60">
        <f>R47</f>
        <v>17693.932502</v>
      </c>
      <c r="T47" s="59">
        <f>IFERROR(T48+T49,"")</f>
        <v>14446.604</v>
      </c>
      <c r="U47" s="59">
        <f>IFERROR(U48+U49,"")</f>
        <v>12659.707</v>
      </c>
      <c r="V47" s="59">
        <f>IFERROR(V48+V49,"")</f>
        <v>12892.453</v>
      </c>
      <c r="W47" s="59">
        <f>IFERROR(W48+W49,"")</f>
        <v>17582.218</v>
      </c>
      <c r="X47" s="60">
        <f>W47</f>
        <v>17582.218</v>
      </c>
      <c r="Y47" s="59">
        <f>IFERROR(Y48+Y49,"")</f>
        <v>15719.019</v>
      </c>
      <c r="Z47" s="59">
        <f>IFERROR(Z48+Z49,"")</f>
        <v>16792.207</v>
      </c>
      <c r="AA47" s="59">
        <f>IFERROR(AA48+AA49,"")</f>
        <v>22985.585</v>
      </c>
      <c r="AB47" s="59">
        <f>IFERROR(AB48+AB49,"")</f>
        <v>23036.225</v>
      </c>
      <c r="AC47" s="60">
        <f>AB47</f>
        <v>23036.225</v>
      </c>
      <c r="AD47" s="59">
        <f>IFERROR(AD48+AD49,"")</f>
        <v>24855.595</v>
      </c>
      <c r="AE47" s="59">
        <f>IFERROR(AE48+AE49,"")</f>
        <v>31209.446</v>
      </c>
      <c r="AF47" s="59">
        <f>IFERROR(AF48+AF49,"")</f>
        <v>30917.302</v>
      </c>
      <c r="AG47" s="59">
        <f>IFERROR(AG48+AG49,"")</f>
        <v>44922.895</v>
      </c>
      <c r="AH47" s="60">
        <f>AG47</f>
        <v>44922.895</v>
      </c>
      <c r="AI47" s="59">
        <f>IFERROR(AI48+AI49,"")</f>
        <v>45229.127</v>
      </c>
      <c r="AJ47" s="59">
        <f>IFERROR(AJ48+AJ49,"")</f>
        <v>45057.213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emp_empr</t>
        </is>
      </c>
      <c r="C48" s="61" t="inlineStr">
        <is>
          <t>Empréstimos</t>
        </is>
      </c>
      <c r="D48" s="62" t="inlineStr">
        <is>
          <t>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4889.578528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4504.549972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5251.928044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6643.207482</v>
      </c>
      <c r="I48" s="58">
        <f>H48</f>
        <v>6643.207482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6811.059926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5822.560322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8085.948347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8997.270006</v>
      </c>
      <c r="N48" s="58">
        <f>M48</f>
        <v>8997.270006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13959.244477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14289.717961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14829.773423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17693.932502</v>
      </c>
      <c r="S48" s="58">
        <f>R48</f>
        <v>17693.932502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14446.604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12659.707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12892.453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17582.218</v>
      </c>
      <c r="X48" s="58">
        <f>W48</f>
        <v>17582.218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15719.019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16792.207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22985.585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23036.225</v>
      </c>
      <c r="AC48" s="58">
        <f>AB48</f>
        <v>23036.225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24855.595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31209.446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30917.302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44922.895</v>
      </c>
      <c r="AH48" s="58">
        <f>AG48</f>
        <v>44922.895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45229.127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45057.213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emp_rep</t>
        </is>
      </c>
      <c r="C49" s="61" t="inlineStr">
        <is>
          <t>Repasses</t>
        </is>
      </c>
      <c r="D49" s="62" t="inlineStr">
        <is>
          <t>On-lending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deriv_p</t>
        </is>
      </c>
      <c r="C50" s="11" t="inlineStr">
        <is>
          <t>Derivativos</t>
        </is>
      </c>
      <c r="D50" s="12" t="inlineStr">
        <is>
          <t>Derivatives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8134.868933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10081.923142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9706.078819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7723.33872</v>
      </c>
      <c r="I50" s="58">
        <f>H50</f>
        <v>7723.33872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6682.922882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16558.778835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24613.828632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8120.097721</v>
      </c>
      <c r="N50" s="58">
        <f>M50</f>
        <v>8120.097721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26229.570584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18088.453741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22647.023306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13760.428873</v>
      </c>
      <c r="S50" s="58">
        <f>R50</f>
        <v>13760.428873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38159.461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29784.946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38669.105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25488.283</v>
      </c>
      <c r="X50" s="58">
        <f>W50</f>
        <v>25488.283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45727.601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37775.461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31785.577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23038.943862</v>
      </c>
      <c r="AC50" s="58">
        <f>AB50</f>
        <v>23038.943862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48927.696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55157.264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51412.674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45337.313</v>
      </c>
      <c r="AH50" s="58">
        <f>AG50</f>
        <v>45337.313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60032.449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69372.917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rel_p</t>
        </is>
      </c>
      <c r="C51" s="11" t="inlineStr">
        <is>
          <t>Relações Interfinanceiras e Interdependências</t>
        </is>
      </c>
      <c r="D51" s="12" t="inlineStr">
        <is>
          <t>Interbank and Intersegment Relations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43.73839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362.582573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75.859476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433.126908</v>
      </c>
      <c r="I51" s="58">
        <f>H51</f>
        <v>433.126908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386.206573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2462.068779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2924.135076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3801.739049</v>
      </c>
      <c r="N51" s="58">
        <f>M51</f>
        <v>3801.739049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4076.123813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3941.067808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3913.910727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3497.419973</v>
      </c>
      <c r="S51" s="58">
        <f>R51</f>
        <v>3497.419973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3230.084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3650.434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3135.059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3452.403</v>
      </c>
      <c r="X51" s="58">
        <f>W51</f>
        <v>3452.403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3429.14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3565.008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3788.48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4937.891</v>
      </c>
      <c r="AC51" s="58">
        <f>AB51</f>
        <v>4937.891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4982.752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5325.121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5533.529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5705.277</v>
      </c>
      <c r="AH51" s="58">
        <f>AG51</f>
        <v>5705.277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5522.484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5732.639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prov_gar</t>
        </is>
      </c>
      <c r="C52" s="11" t="inlineStr">
        <is>
          <t>Provisões p/ Garantias Financeiras e Compromissos de Crédito</t>
        </is>
      </c>
      <c r="D52" s="12" t="inlineStr">
        <is>
          <t>Provisions for Financial Guarantees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prov_tec</t>
        </is>
      </c>
      <c r="C53" s="11" t="inlineStr">
        <is>
          <t>Provisões Técnicas de Seguros, Previdência e Capitalização</t>
        </is>
      </c>
      <c r="D53" s="12" t="inlineStr">
        <is>
          <t>Technical Provisions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prov_dem</t>
        </is>
      </c>
      <c r="C54" s="11" t="inlineStr">
        <is>
          <t>Demais Provisões</t>
        </is>
      </c>
      <c r="D54" s="12" t="inlineStr">
        <is>
          <t>Other Provisions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>AG54</f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fisc_p</t>
        </is>
      </c>
      <c r="C55" s="11" t="inlineStr">
        <is>
          <t>Obrigações Fiscais Correntes e Diferidas</t>
        </is>
      </c>
      <c r="D55" s="12" t="inlineStr">
        <is>
          <t>Current and Deferred Tax Liabilities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>M55</f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>R55</f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>W55</f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>AB55</f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0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0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0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0</v>
      </c>
      <c r="AH55" s="58">
        <f>AG55</f>
        <v>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0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0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out_p</t>
        </is>
      </c>
      <c r="C56" s="11" t="inlineStr">
        <is>
          <t>Outros Passivos</t>
        </is>
      </c>
      <c r="D56" s="12" t="inlineStr">
        <is>
          <t>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57399.716735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60724.280921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57141.052526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40128.71917</v>
      </c>
      <c r="I56" s="58">
        <f>H56</f>
        <v>40128.71917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65228.174051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52136.988853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41020.796609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55017.918358</v>
      </c>
      <c r="N56" s="58">
        <f>M56</f>
        <v>55017.918358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57853.129221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102862.248472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67408.369062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97632.691487</v>
      </c>
      <c r="S56" s="58">
        <f>R56</f>
        <v>97632.691487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85734.066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86238.362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85169.819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88162.458422</v>
      </c>
      <c r="X56" s="58">
        <f>W56</f>
        <v>88162.458422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97669.008745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110930.627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112324.112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102381.988765</v>
      </c>
      <c r="AC56" s="58">
        <f>AB56</f>
        <v>102381.988765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101605.325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112692.287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115077.435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134304.433</v>
      </c>
      <c r="AH56" s="58">
        <f>AG56</f>
        <v>134304.433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141164.309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149004.948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dos Controladores</t>
        </is>
      </c>
      <c r="D59" s="16" t="inlineStr">
        <is>
          <t>Equity Attributable to Controlling Shareholders</t>
        </is>
      </c>
      <c r="E59" s="59">
        <f>IFERROR(E60+E61+E62+E63+E64,"")</f>
        <v>22053.349793</v>
      </c>
      <c r="F59" s="59">
        <f>IFERROR(F60+F61+F62+F63+F64,"")</f>
        <v>25627.624414</v>
      </c>
      <c r="G59" s="59">
        <f>IFERROR(G60+G61+G62+G63+G64,"")</f>
        <v>26048.840987</v>
      </c>
      <c r="H59" s="59">
        <f>IFERROR(H60+H61+H62+H63+H64,"")</f>
        <v>26680.655492</v>
      </c>
      <c r="I59" s="60">
        <f>H59</f>
        <v>26680.655492</v>
      </c>
      <c r="J59" s="59">
        <f>IFERROR(J60+J61+J62+J63+J64,"")</f>
        <v>30414.346321</v>
      </c>
      <c r="K59" s="59">
        <f>IFERROR(K60+K61+K62+K63+K64,"")</f>
        <v>35040.323136</v>
      </c>
      <c r="L59" s="59">
        <f>IFERROR(L60+L61+L62+L63+L64,"")</f>
        <v>36259.35351</v>
      </c>
      <c r="M59" s="59">
        <f>IFERROR(M60+M61+M62+M63+M64,"")</f>
        <v>37379.746545</v>
      </c>
      <c r="N59" s="60">
        <f>M59</f>
        <v>37379.746545</v>
      </c>
      <c r="O59" s="59">
        <f>IFERROR(O60+O61+O62+O63+O64,"")</f>
        <v>39299.529933</v>
      </c>
      <c r="P59" s="59">
        <f>IFERROR(P60+P61+P62+P63+P64,"")</f>
        <v>41358.735022</v>
      </c>
      <c r="Q59" s="59">
        <f>IFERROR(Q60+Q61+Q62+Q63+Q64,"")</f>
        <v>42261.952898</v>
      </c>
      <c r="R59" s="59">
        <f>IFERROR(R60+R61+R62+R63+R64,"")</f>
        <v>42371.76767</v>
      </c>
      <c r="S59" s="60">
        <f>R59</f>
        <v>42371.76767</v>
      </c>
      <c r="T59" s="59">
        <f>IFERROR(T60+T61+T62+T63+T64,"")</f>
        <v>44207.586</v>
      </c>
      <c r="U59" s="59">
        <f>IFERROR(U60+U61+U62+U63+U64,"")</f>
        <v>46708.474</v>
      </c>
      <c r="V59" s="59">
        <f>IFERROR(V60+V61+V62+V63+V64,"")</f>
        <v>47772.327</v>
      </c>
      <c r="W59" s="59">
        <f>IFERROR(W60+W61+W62+W63+W64,"")</f>
        <v>49381.806</v>
      </c>
      <c r="X59" s="60">
        <f>W59</f>
        <v>49381.806</v>
      </c>
      <c r="Y59" s="59">
        <f>IFERROR(Y60+Y61+Y62+Y63+Y64,"")</f>
        <v>51962.107415</v>
      </c>
      <c r="Z59" s="59">
        <f>IFERROR(Z60+Z61+Z62+Z63+Z64,"")</f>
        <v>53075.585</v>
      </c>
      <c r="AA59" s="59">
        <f>IFERROR(AA60+AA61+AA62+AA63+AA64,"")</f>
        <v>56270.405</v>
      </c>
      <c r="AB59" s="59">
        <f>IFERROR(AB60+AB61+AB62+AB63+AB64,"")</f>
        <v>56479.414972</v>
      </c>
      <c r="AC59" s="60">
        <f>AB59</f>
        <v>56479.414972</v>
      </c>
      <c r="AD59" s="59">
        <f>IFERROR(AD60+AD61+AD62+AD63+AD64,"")</f>
        <v>59778.576</v>
      </c>
      <c r="AE59" s="59">
        <f>IFERROR(AE60+AE61+AE62+AE63+AE64,"")</f>
        <v>63703.322</v>
      </c>
      <c r="AF59" s="59">
        <f>IFERROR(AF60+AF61+AF62+AF63+AF64,"")</f>
        <v>65605.493</v>
      </c>
      <c r="AG59" s="59">
        <f>IFERROR(AG60+AG61+AG62+AG63+AG64,"")</f>
        <v>69969.626</v>
      </c>
      <c r="AH59" s="60">
        <f>AG59</f>
        <v>69969.626</v>
      </c>
      <c r="AI59" s="59">
        <f>IFERROR(AI60+AI61+AI62+AI63+AI64,"")</f>
        <v>74510.367</v>
      </c>
      <c r="AJ59" s="59">
        <f>IFERROR(AJ60+AJ61+AJ62+AJ63+AJ64,"")</f>
        <v>79553.489</v>
      </c>
      <c r="AK59" s="59">
        <f>IFERROR(AK60+AK61+AK62+AK63+AK64,"")</f>
        <v>0</v>
      </c>
      <c r="AL59" s="59">
        <f>IFERROR(AL60+AL61+AL62+AL63+AL64,"")</f>
        <v>0</v>
      </c>
      <c r="AM59" s="60">
        <f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>BF59</f>
        <v>0</v>
      </c>
    </row>
    <row r="60" hidden="1" outlineLevel="1">
      <c r="B60" s="56" t="inlineStr">
        <is>
          <t>cap_social</t>
        </is>
      </c>
      <c r="C60" s="61" t="inlineStr">
        <is>
          <t>Capital Social</t>
        </is>
      </c>
      <c r="D60" s="62" t="inlineStr">
        <is>
          <t>Share Capital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0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0</v>
      </c>
      <c r="I60" s="58">
        <f>H60</f>
        <v>0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0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0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0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0</v>
      </c>
      <c r="N60" s="58">
        <f>M60</f>
        <v>0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0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0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0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0</v>
      </c>
      <c r="S60" s="58">
        <f>R60</f>
        <v>0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0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0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0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0</v>
      </c>
      <c r="X60" s="58">
        <f>W60</f>
        <v>0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0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0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0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0</v>
      </c>
      <c r="AC60" s="58">
        <f>AB60</f>
        <v>0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0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0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0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0</v>
      </c>
      <c r="AH60" s="58">
        <f>AG60</f>
        <v>0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0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0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res_cap</t>
        </is>
      </c>
      <c r="C61" s="61" t="inlineStr">
        <is>
          <t>Reservas de Capital</t>
        </is>
      </c>
      <c r="D61" s="62" t="inlineStr">
        <is>
          <t>Capital Reserves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0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0</v>
      </c>
      <c r="I61" s="58">
        <f>H61</f>
        <v>0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0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0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0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0</v>
      </c>
      <c r="N61" s="58">
        <f>M61</f>
        <v>0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0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0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0</v>
      </c>
      <c r="S61" s="58">
        <f>R61</f>
        <v>0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0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0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0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0</v>
      </c>
      <c r="X61" s="58">
        <f>W61</f>
        <v>0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0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0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0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0</v>
      </c>
      <c r="AC61" s="58">
        <f>AB61</f>
        <v>0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0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0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0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0</v>
      </c>
      <c r="AH61" s="58">
        <f>AG61</f>
        <v>0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0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0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res_luc</t>
        </is>
      </c>
      <c r="C62" s="61" t="inlineStr">
        <is>
          <t>Reservas de Lucros</t>
        </is>
      </c>
      <c r="D62" s="62" t="inlineStr">
        <is>
          <t>Retained Earnings Reserves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22053.349793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25627.624414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26048.840987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26680.655492</v>
      </c>
      <c r="I62" s="58">
        <f>H62</f>
        <v>26680.655492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30414.346321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35040.323136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36259.35351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37379.746545</v>
      </c>
      <c r="N62" s="58">
        <f>M62</f>
        <v>37379.746545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39299.529933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41358.735022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42261.952898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42371.76767</v>
      </c>
      <c r="S62" s="58">
        <f>R62</f>
        <v>42371.76767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44207.586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46708.474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47772.327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49381.806</v>
      </c>
      <c r="X62" s="58">
        <f>W62</f>
        <v>49381.806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51962.107415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53075.585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56270.405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56479.414972</v>
      </c>
      <c r="AC62" s="58">
        <f>AB62</f>
        <v>56479.414972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59778.576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63703.322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65605.493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69969.626</v>
      </c>
      <c r="AH62" s="58">
        <f>AG62</f>
        <v>69969.626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74510.367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79553.489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ora</t>
        </is>
      </c>
      <c r="C63" s="61" t="inlineStr">
        <is>
          <t>Outros Resultados Abrangentes</t>
        </is>
      </c>
      <c r="D63" s="62" t="inlineStr">
        <is>
          <t>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0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>H63</f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0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0</v>
      </c>
      <c r="N63" s="58">
        <f>M63</f>
        <v>0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0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0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0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0</v>
      </c>
      <c r="S63" s="58">
        <f>R63</f>
        <v>0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0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0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0</v>
      </c>
      <c r="X63" s="58">
        <f>W63</f>
        <v>0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0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0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0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0</v>
      </c>
      <c r="AC63" s="58">
        <f>AB63</f>
        <v>0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0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0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0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0</v>
      </c>
      <c r="AH63" s="58">
        <f>AG63</f>
        <v>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tesour</t>
        </is>
      </c>
      <c r="C64" s="61" t="inlineStr">
        <is>
          <t>(Ações em Tesouraria)</t>
        </is>
      </c>
      <c r="D64" s="62" t="inlineStr">
        <is>
          <t>(Treasury Shares)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>AG64</f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minor</t>
        </is>
      </c>
      <c r="C65" s="11" t="inlineStr">
        <is>
          <t>Participação de Acionistas Não Controladores</t>
        </is>
      </c>
      <c r="D65" s="12" t="inlineStr">
        <is>
          <t>Non-Controlling Interests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289.946717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318.312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421.484399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445.295073</v>
      </c>
      <c r="I65" s="58">
        <f>H65</f>
        <v>445.295073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558.452393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2272.701525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3121.964578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3135.09612</v>
      </c>
      <c r="N65" s="58">
        <f>M65</f>
        <v>3135.09612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4313.645598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4274.22613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4769.637579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4241.54355</v>
      </c>
      <c r="S65" s="58">
        <f>R65</f>
        <v>4241.54355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4391.348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4731.102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3923.859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4153.662</v>
      </c>
      <c r="X65" s="58">
        <f>W65</f>
        <v>4153.662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4024.213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4728.92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6274.86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5840.985229</v>
      </c>
      <c r="AC65" s="58">
        <f>AB65</f>
        <v>5840.985229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5682.734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6045.704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7031.182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6940.53</v>
      </c>
      <c r="AH65" s="58">
        <f>AG65</f>
        <v>6940.53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5713.976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6808.361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C66" s="53" t="inlineStr">
        <is>
          <t>TOTAL DO PATRIMÔNIO LÍQUIDO</t>
        </is>
      </c>
      <c r="D66" s="54" t="inlineStr">
        <is>
          <t>TOTAL EQUITY</t>
        </is>
      </c>
      <c r="E66" s="59">
        <f>IFERROR(E59+E65,"")</f>
        <v>22343.29651</v>
      </c>
      <c r="F66" s="59">
        <f>IFERROR(F59+F65,"")</f>
        <v>25945.936414</v>
      </c>
      <c r="G66" s="59">
        <f>IFERROR(G59+G65,"")</f>
        <v>26470.325386</v>
      </c>
      <c r="H66" s="59">
        <f>IFERROR(H59+H65,"")</f>
        <v>27125.950565</v>
      </c>
      <c r="I66" s="60">
        <f>H66</f>
        <v>27125.950565</v>
      </c>
      <c r="J66" s="59">
        <f>IFERROR(J59+J65,"")</f>
        <v>30972.798714</v>
      </c>
      <c r="K66" s="59">
        <f>IFERROR(K59+K65,"")</f>
        <v>37313.024661</v>
      </c>
      <c r="L66" s="59">
        <f>IFERROR(L59+L65,"")</f>
        <v>39381.318088</v>
      </c>
      <c r="M66" s="59">
        <f>IFERROR(M59+M65,"")</f>
        <v>40514.842665</v>
      </c>
      <c r="N66" s="60">
        <f>M66</f>
        <v>40514.842665</v>
      </c>
      <c r="O66" s="59">
        <f>IFERROR(O59+O65,"")</f>
        <v>43613.175531</v>
      </c>
      <c r="P66" s="59">
        <f>IFERROR(P59+P65,"")</f>
        <v>45632.961152</v>
      </c>
      <c r="Q66" s="59">
        <f>IFERROR(Q59+Q65,"")</f>
        <v>47031.590477</v>
      </c>
      <c r="R66" s="59">
        <f>IFERROR(R59+R65,"")</f>
        <v>46613.31122</v>
      </c>
      <c r="S66" s="60">
        <f>R66</f>
        <v>46613.31122</v>
      </c>
      <c r="T66" s="59">
        <f>IFERROR(T59+T65,"")</f>
        <v>48598.934</v>
      </c>
      <c r="U66" s="59">
        <f>IFERROR(U59+U65,"")</f>
        <v>51439.576</v>
      </c>
      <c r="V66" s="59">
        <f>IFERROR(V59+V65,"")</f>
        <v>51696.186</v>
      </c>
      <c r="W66" s="59">
        <f>IFERROR(W59+W65,"")</f>
        <v>53535.468</v>
      </c>
      <c r="X66" s="60">
        <f>W66</f>
        <v>53535.468</v>
      </c>
      <c r="Y66" s="59">
        <f>IFERROR(Y59+Y65,"")</f>
        <v>55986.320415</v>
      </c>
      <c r="Z66" s="59">
        <f>IFERROR(Z59+Z65,"")</f>
        <v>57804.505</v>
      </c>
      <c r="AA66" s="59">
        <f>IFERROR(AA59+AA65,"")</f>
        <v>62545.265</v>
      </c>
      <c r="AB66" s="59">
        <f>IFERROR(AB59+AB65,"")</f>
        <v>62320.400201</v>
      </c>
      <c r="AC66" s="60">
        <f>AB66</f>
        <v>62320.400201</v>
      </c>
      <c r="AD66" s="59">
        <f>IFERROR(AD59+AD65,"")</f>
        <v>65461.31</v>
      </c>
      <c r="AE66" s="59">
        <f>IFERROR(AE59+AE65,"")</f>
        <v>69749.026</v>
      </c>
      <c r="AF66" s="59">
        <f>IFERROR(AF59+AF65,"")</f>
        <v>72636.675</v>
      </c>
      <c r="AG66" s="59">
        <f>IFERROR(AG59+AG65,"")</f>
        <v>76910.156</v>
      </c>
      <c r="AH66" s="60">
        <f>AG66</f>
        <v>76910.156</v>
      </c>
      <c r="AI66" s="59">
        <f>IFERROR(AI59+AI65,"")</f>
        <v>80224.343</v>
      </c>
      <c r="AJ66" s="59">
        <f>IFERROR(AJ59+AJ65,"")</f>
        <v>86361.85</v>
      </c>
      <c r="AK66" s="59">
        <f>IFERROR(AK59+AK65,"")</f>
        <v>0</v>
      </c>
      <c r="AL66" s="59">
        <f>IFERROR(AL59+AL65,"")</f>
        <v>0</v>
      </c>
      <c r="AM66" s="60">
        <f>AL66</f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>AQ66</f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>AV66</f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>BA66</f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>BF66</f>
        <v>0</v>
      </c>
    </row>
    <row r="67">
      <c r="C67" s="53" t="inlineStr">
        <is>
          <t>TOTAL DO PASSIVO E DO PATRIMÔNIO LÍQUIDO</t>
        </is>
      </c>
      <c r="D67" s="54" t="inlineStr">
        <is>
          <t>TOTAL LIABILITIES AND EQUITY</t>
        </is>
      </c>
      <c r="E67" s="59">
        <f>IFERROR(E32+E38+E42+E47+E50+E51+E52+E53+E54+E55+E56+E66,"")</f>
        <v>200357.046614</v>
      </c>
      <c r="F67" s="59">
        <f>IFERROR(F32+F38+F42+F47+F50+F51+F52+F53+F54+F55+F56+F66,"")</f>
        <v>230411.174878</v>
      </c>
      <c r="G67" s="59">
        <f>IFERROR(G32+G38+G42+G47+G50+G51+G52+G53+G54+G55+G56+G66,"")</f>
        <v>253211.885688</v>
      </c>
      <c r="H67" s="59">
        <f>IFERROR(H32+H38+H42+H47+H50+H51+H52+H53+H54+H55+H56+H66,"")</f>
        <v>244925.336966</v>
      </c>
      <c r="I67" s="60">
        <f>H67</f>
        <v>244925.336966</v>
      </c>
      <c r="J67" s="59">
        <f>IFERROR(J32+J38+J42+J47+J50+J51+J52+J53+J54+J55+J56+J66,"")</f>
        <v>279803.72746</v>
      </c>
      <c r="K67" s="59">
        <f>IFERROR(K32+K38+K42+K47+K50+K51+K52+K53+K54+K55+K56+K66,"")</f>
        <v>335195.340211</v>
      </c>
      <c r="L67" s="59">
        <f>IFERROR(L32+L38+L42+L47+L50+L51+L52+L53+L54+L55+L56+L66,"")</f>
        <v>372234.683899</v>
      </c>
      <c r="M67" s="59">
        <f>IFERROR(M32+M38+M42+M47+M50+M51+M52+M53+M54+M55+M56+M66,"")</f>
        <v>346142.669441</v>
      </c>
      <c r="N67" s="60">
        <f>M67</f>
        <v>346142.669441</v>
      </c>
      <c r="O67" s="59">
        <f>IFERROR(O32+O38+O42+O47+O50+O51+O52+O53+O54+O55+O56+O66,"")</f>
        <v>391349.059784</v>
      </c>
      <c r="P67" s="59">
        <f>IFERROR(P32+P38+P42+P47+P50+P51+P52+P53+P54+P55+P56+P66,"")</f>
        <v>454826.689154</v>
      </c>
      <c r="Q67" s="59">
        <f>IFERROR(Q32+Q38+Q42+Q47+Q50+Q51+Q52+Q53+Q54+Q55+Q56+Q66,"")</f>
        <v>439904.717382</v>
      </c>
      <c r="R67" s="59">
        <f>IFERROR(R32+R38+R42+R47+R50+R51+R52+R53+R54+R55+R56+R66,"")</f>
        <v>450612.0876</v>
      </c>
      <c r="S67" s="60">
        <f>R67</f>
        <v>450612.0876</v>
      </c>
      <c r="T67" s="59">
        <f>IFERROR(T32+T38+T42+T47+T50+T51+T52+T53+T54+T55+T56+T66,"")</f>
        <v>470401.476</v>
      </c>
      <c r="U67" s="59">
        <f>IFERROR(U32+U38+U42+U47+U50+U51+U52+U53+U54+U55+U56+U66,"")</f>
        <v>474552.148</v>
      </c>
      <c r="V67" s="59">
        <f>IFERROR(V32+V38+V42+V47+V50+V51+V52+V53+V54+V55+V56+V66,"")</f>
        <v>496439.124</v>
      </c>
      <c r="W67" s="59">
        <f>IFERROR(W32+W38+W42+W47+W50+W51+W52+W53+W54+W55+W56+W66,"")</f>
        <v>493232.849536</v>
      </c>
      <c r="X67" s="60">
        <f>W67</f>
        <v>493232.849536</v>
      </c>
      <c r="Y67" s="59">
        <f>IFERROR(Y32+Y38+Y42+Y47+Y50+Y51+Y52+Y53+Y54+Y55+Y56+Y66,"")</f>
        <v>567677.28716</v>
      </c>
      <c r="Z67" s="59">
        <f>IFERROR(Z32+Z38+Z42+Z47+Z50+Z51+Z52+Z53+Z54+Z55+Z56+Z66,"")</f>
        <v>600362.635</v>
      </c>
      <c r="AA67" s="59">
        <f>IFERROR(AA32+AA38+AA42+AA47+AA50+AA51+AA52+AA53+AA54+AA55+AA56+AA66,"")</f>
        <v>611387.03</v>
      </c>
      <c r="AB67" s="59">
        <f>IFERROR(AB32+AB38+AB42+AB47+AB50+AB51+AB52+AB53+AB54+AB55+AB56+AB66,"")</f>
        <v>587163.888828</v>
      </c>
      <c r="AC67" s="60">
        <f>AB67</f>
        <v>587163.888828</v>
      </c>
      <c r="AD67" s="59">
        <f>IFERROR(AD32+AD38+AD42+AD47+AD50+AD51+AD52+AD53+AD54+AD55+AD56+AD66,"")</f>
        <v>608441.721</v>
      </c>
      <c r="AE67" s="59">
        <f>IFERROR(AE32+AE38+AE42+AE47+AE50+AE51+AE52+AE53+AE54+AE55+AE56+AE66,"")</f>
        <v>656071.35</v>
      </c>
      <c r="AF67" s="59">
        <f>IFERROR(AF32+AF38+AF42+AF47+AF50+AF51+AF52+AF53+AF54+AF55+AF56+AF66,"")</f>
        <v>684960.022</v>
      </c>
      <c r="AG67" s="59">
        <f>IFERROR(AG32+AG38+AG42+AG47+AG50+AG51+AG52+AG53+AG54+AG55+AG56+AG66,"")</f>
        <v>805968.339</v>
      </c>
      <c r="AH67" s="60">
        <f>AG67</f>
        <v>805968.339</v>
      </c>
      <c r="AI67" s="59">
        <f>IFERROR(AI32+AI38+AI42+AI47+AI50+AI51+AI52+AI53+AI54+AI55+AI56+AI66,"")</f>
        <v>845574.803</v>
      </c>
      <c r="AJ67" s="59">
        <f>IFERROR(AJ32+AJ38+AJ42+AJ47+AJ50+AJ51+AJ52+AJ53+AJ54+AJ55+AJ56+AJ66,"")</f>
        <v>925218.566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>AL67</f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>AQ67</f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>AV67</f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>BA67</f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>BF67</f>
        <v>0</v>
      </c>
    </row>
    <row r="69">
      <c r="B69" s="7" t="n"/>
      <c r="C69" s="7" t="inlineStr">
        <is>
          <t>DEMONSTRAÇÃO DO RESULTADO</t>
        </is>
      </c>
      <c r="D69" s="7" t="inlineStr">
        <is>
          <t>INCOME STATEMENT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>
      <c r="C70" s="15" t="inlineStr">
        <is>
          <t>Receitas da Intermediação Financeira</t>
        </is>
      </c>
      <c r="D70" s="16" t="inlineStr">
        <is>
          <t>Financial Intermediation Income</t>
        </is>
      </c>
      <c r="E70" s="59">
        <f>IFERROR(E71+E72+E73+E74,"")</f>
        <v>3825.363198</v>
      </c>
      <c r="F70" s="59">
        <f>IFERROR(F71+F72+F73+F74,"")</f>
        <v>2751.061498</v>
      </c>
      <c r="G70" s="59">
        <f>IFERROR(G71+G72+G73+G74,"")</f>
        <v>4919.245392</v>
      </c>
      <c r="H70" s="59">
        <f>IFERROR(H71+H72+H73+H74,"")</f>
        <v>2824.471541</v>
      </c>
      <c r="I70" s="60">
        <f>SUM(E70:H70)</f>
        <v>14320.141629</v>
      </c>
      <c r="J70" s="59">
        <f>IFERROR(J71+J72+J73+J74,"")</f>
        <v>4274.046401</v>
      </c>
      <c r="K70" s="59">
        <f>IFERROR(K71+K72+K73+K74,"")</f>
        <v>8385.660314</v>
      </c>
      <c r="L70" s="59">
        <f>IFERROR(L71+L72+L73+L74,"")</f>
        <v>8358.036935</v>
      </c>
      <c r="M70" s="59">
        <f>IFERROR(M71+M72+M73+M74,"")</f>
        <v>10425.03523</v>
      </c>
      <c r="N70" s="60">
        <f>SUM(J70:M70)</f>
        <v>31442.77888</v>
      </c>
      <c r="O70" s="59">
        <f>IFERROR(O71+O72+O73+O74,"")</f>
        <v>12282.584123</v>
      </c>
      <c r="P70" s="59">
        <f>IFERROR(P71+P72+P73+P74,"")</f>
        <v>20344.747056</v>
      </c>
      <c r="Q70" s="59">
        <f>IFERROR(Q71+Q72+Q73+Q74,"")</f>
        <v>15337.880826</v>
      </c>
      <c r="R70" s="59">
        <f>IFERROR(R71+R72+R73+R74,"")</f>
        <v>12939.516506</v>
      </c>
      <c r="S70" s="60">
        <f>SUM(O70:R70)</f>
        <v>60904.728511</v>
      </c>
      <c r="T70" s="59">
        <f>IFERROR(T71+T72+T73+T74,"")</f>
        <v>15980.608098</v>
      </c>
      <c r="U70" s="59">
        <f>IFERROR(U71+U72+U73+U74,"")</f>
        <v>18151.777071</v>
      </c>
      <c r="V70" s="59">
        <f>IFERROR(V71+V72+V73+V74,"")</f>
        <v>20266.780354</v>
      </c>
      <c r="W70" s="59">
        <f>IFERROR(W71+W72+W73+W74,"")</f>
        <v>21045.619264</v>
      </c>
      <c r="X70" s="60">
        <f>SUM(T70:W70)</f>
        <v>75444.784787</v>
      </c>
      <c r="Y70" s="59">
        <f>IFERROR(Y71+Y72+Y73+Y74,"")</f>
        <v>15365.49853</v>
      </c>
      <c r="Z70" s="59">
        <f>IFERROR(Z71+Z72+Z73+Z74,"")</f>
        <v>15991.522916</v>
      </c>
      <c r="AA70" s="59">
        <f>IFERROR(AA71+AA72+AA73+AA74,"")</f>
        <v>16815.202932</v>
      </c>
      <c r="AB70" s="59">
        <f>IFERROR(AB71+AB72+AB73+AB74,"")</f>
        <v>22123.627087</v>
      </c>
      <c r="AC70" s="60">
        <f>SUM(Y70:AB70)</f>
        <v>70295.851465</v>
      </c>
      <c r="AD70" s="59">
        <f>IFERROR(AD71+AD72+AD73+AD74,"")</f>
        <v>16933.141452</v>
      </c>
      <c r="AE70" s="59">
        <f>IFERROR(AE71+AE72+AE73+AE74,"")</f>
        <v>20358.696948</v>
      </c>
      <c r="AF70" s="59">
        <f>IFERROR(AF71+AF72+AF73+AF74,"")</f>
        <v>23075.706919</v>
      </c>
      <c r="AG70" s="59">
        <f>IFERROR(AG71+AG72+AG73+AG74,"")</f>
        <v>25471.484197</v>
      </c>
      <c r="AH70" s="60">
        <f>SUM(AD70:AG70)</f>
        <v>85839.029516</v>
      </c>
      <c r="AI70" s="59">
        <f>IFERROR(AI71+AI72+AI73+AI74,"")</f>
        <v>31735.18719</v>
      </c>
      <c r="AJ70" s="59">
        <f>IFERROR(AJ71+AJ72+AJ73+AJ74,"")</f>
        <v>30223.726424</v>
      </c>
      <c r="AK70" s="59">
        <f>IFERROR(AK71+AK72+AK73+AK74,"")</f>
        <v>0</v>
      </c>
      <c r="AL70" s="59">
        <f>IFERROR(AL71+AL72+AL73+AL74,"")</f>
        <v>0</v>
      </c>
      <c r="AM70" s="60">
        <f>SUM(AI70:AL70)</f>
        <v>61958.913614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>SUM(BC70:BF70)</f>
        <v>0</v>
      </c>
    </row>
    <row r="71" hidden="1" outlineLevel="1">
      <c r="B71" s="56" t="inlineStr">
        <is>
          <t>rec_cred</t>
        </is>
      </c>
      <c r="C71" s="61" t="inlineStr">
        <is>
          <t>Resultado com Operações de Concessão de Crédito</t>
        </is>
      </c>
      <c r="D71" s="62" t="inlineStr">
        <is>
          <t>Result from Credit-Granting Transactions</t>
        </is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1643.719197</v>
      </c>
      <c r="F71" s="57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>1217.794065</v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1430.599123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1682.669529</v>
      </c>
      <c r="I71" s="58">
        <f>SUM(E71:H71)</f>
        <v>5974.781914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1427.842052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6340.011986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4878.774514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5573.613644</v>
      </c>
      <c r="N71" s="58">
        <f>SUM(J71:M71)</f>
        <v>18220.242196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6572.414365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6564.057323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7662.778206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7260.341677</v>
      </c>
      <c r="S71" s="58">
        <f>SUM(O71:R71)</f>
        <v>28059.591571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7960.624555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10295.393923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7630.740871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7918.961685</v>
      </c>
      <c r="X71" s="58">
        <f>SUM(T71:W71)</f>
        <v>33805.721034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6979.77663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5004.145727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7643.59128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7511.605719</v>
      </c>
      <c r="AC71" s="58">
        <f>SUM(Y71:AB71)</f>
        <v>27139.119356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9595.836265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8937.363072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9637.563211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9325.211199</v>
      </c>
      <c r="AH71" s="58">
        <f>SUM(AD71:AG71)</f>
        <v>37495.973747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9207.301834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10331.561766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>SUM(AI71:AL71)</f>
        <v>19538.8636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>SUM(AN71:AQ71)</f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>SUM(AS71:AV71)</f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>SUM(AX71:BA71)</f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>SUM(BC71:BF71)</f>
        <v>0</v>
      </c>
    </row>
    <row r="72" hidden="1" outlineLevel="1">
      <c r="B72" s="56" t="inlineStr">
        <is>
          <t>rec_tvm</t>
        </is>
      </c>
      <c r="C72" s="61" t="inlineStr">
        <is>
          <t>Resultado de TVM, Derivativos e Outros</t>
        </is>
      </c>
      <c r="D72" s="62" t="inlineStr">
        <is>
          <t>Result from Securities and Derivatives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2170.428305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1528.947875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3474.579355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1123.186722</v>
      </c>
      <c r="I72" s="58">
        <f>SUM(E72:H72)</f>
        <v>8297.142257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2821.099175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1992.04893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3372.007423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4636.626097</v>
      </c>
      <c r="N72" s="58">
        <f>SUM(J72:M72)</f>
        <v>12821.781625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5416.744641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13384.054688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7221.392473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4908.485832</v>
      </c>
      <c r="S72" s="58">
        <f>SUM(O72:R72)</f>
        <v>30930.677634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7126.408638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7233.575705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11944.696462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12371.414842</v>
      </c>
      <c r="X72" s="58">
        <f>SUM(T72:W72)</f>
        <v>38676.095647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7781.71788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10056.964751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8142.195455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13478.465557</v>
      </c>
      <c r="AC72" s="58">
        <f>SUM(Y72:AB72)</f>
        <v>39459.343643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6369.952884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10006.341185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12164.973166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14020.134001</v>
      </c>
      <c r="AH72" s="58">
        <f>SUM(AD72:AG72)</f>
        <v>42561.401236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20451.61631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17321.255624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37772.871934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rec_rg</t>
        </is>
      </c>
      <c r="C73" s="61" t="inlineStr">
        <is>
          <t>Receitas Fin. de Recursos Garantidores de Prov. Técnicas</t>
        </is>
      </c>
      <c r="D73" s="62" t="inlineStr">
        <is>
          <t>Income from Assets Guaranteeing Provisions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rec_aplic</t>
        </is>
      </c>
      <c r="C74" s="61" t="inlineStr">
        <is>
          <t>Resultado das Aplicações Interfinanceiras de Liquidez</t>
        </is>
      </c>
      <c r="D74" s="62" t="inlineStr">
        <is>
          <t>Result from Interbank Investments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11.215696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4.319558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14.066914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18.61529</v>
      </c>
      <c r="I74" s="58">
        <f>SUM(E74:H74)</f>
        <v>48.217458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25.105174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53.599398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107.254998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214.795489</v>
      </c>
      <c r="N74" s="58">
        <f>SUM(J74:M74)</f>
        <v>400.755059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293.425117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396.635045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453.710147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770.688997</v>
      </c>
      <c r="S74" s="58">
        <f>SUM(O74:R74)</f>
        <v>1914.459306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893.574905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622.807443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691.343021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755.242737</v>
      </c>
      <c r="X74" s="58">
        <f>SUM(T74:W74)</f>
        <v>2962.968106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604.00402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930.412438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1029.416197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1133.555811</v>
      </c>
      <c r="AC74" s="58">
        <f>SUM(Y74:AB74)</f>
        <v>3697.388466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967.352303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1414.992691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1273.170542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2126.138997</v>
      </c>
      <c r="AH74" s="58">
        <f>SUM(AD74:AG74)</f>
        <v>5781.654533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2076.269046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2570.909034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4647.17808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>
      <c r="C75" s="15" t="inlineStr">
        <is>
          <t>(Despesas da Intermediação Financeira)</t>
        </is>
      </c>
      <c r="D75" s="16" t="inlineStr">
        <is>
          <t>(Financial Intermediation Expenses)</t>
        </is>
      </c>
      <c r="E75" s="59">
        <f>IFERROR(E76+E77+E78+E79,"")</f>
        <v>-4133.433924</v>
      </c>
      <c r="F75" s="59">
        <f>IFERROR(F76+F77+F78+F79,"")</f>
        <v>-2558.112009</v>
      </c>
      <c r="G75" s="59">
        <f>IFERROR(G76+G77+G78+G79,"")</f>
        <v>-3288.437595</v>
      </c>
      <c r="H75" s="59">
        <f>IFERROR(H76+H77+H78+H79,"")</f>
        <v>-1258.07979</v>
      </c>
      <c r="I75" s="60">
        <f>SUM(E75:H75)</f>
        <v>-11238.063318</v>
      </c>
      <c r="J75" s="59">
        <f>IFERROR(J76+J77+J78+J79,"")</f>
        <v>-6374.961122</v>
      </c>
      <c r="K75" s="59">
        <f>IFERROR(K76+K77+K78+K79,"")</f>
        <v>-316.568861000001</v>
      </c>
      <c r="L75" s="59">
        <f>IFERROR(L76+L77+L78+L79,"")</f>
        <v>-5778.776729</v>
      </c>
      <c r="M75" s="59">
        <f>IFERROR(M76+M77+M78+M79,"")</f>
        <v>-7581.557536</v>
      </c>
      <c r="N75" s="60">
        <f>SUM(J75:M75)</f>
        <v>-20051.864248</v>
      </c>
      <c r="O75" s="59">
        <f>IFERROR(O76+O77+O78+O79,"")</f>
        <v>-9496.162129</v>
      </c>
      <c r="P75" s="59">
        <f>IFERROR(P76+P77+P78+P79,"")</f>
        <v>-18952.98005</v>
      </c>
      <c r="Q75" s="59">
        <f>IFERROR(Q76+Q77+Q78+Q79,"")</f>
        <v>-11783.423163</v>
      </c>
      <c r="R75" s="59">
        <f>IFERROR(R76+R77+R78+R79,"")</f>
        <v>-11686.134547</v>
      </c>
      <c r="S75" s="60">
        <f>SUM(O75:R75)</f>
        <v>-51918.699889</v>
      </c>
      <c r="T75" s="59">
        <f>IFERROR(T76+T77+T78+T79,"")</f>
        <v>-10089.351909</v>
      </c>
      <c r="U75" s="59">
        <f>IFERROR(U76+U77+U78+U79,"")</f>
        <v>-13877.973033</v>
      </c>
      <c r="V75" s="59">
        <f>IFERROR(V76+V77+V78+V79,"")</f>
        <v>-12702.546821</v>
      </c>
      <c r="W75" s="59">
        <f>IFERROR(W76+W77+W78+W79,"")</f>
        <v>-14027.694316</v>
      </c>
      <c r="X75" s="60">
        <f>SUM(T75:W75)</f>
        <v>-50697.566079</v>
      </c>
      <c r="Y75" s="59">
        <f>IFERROR(Y76+Y77+Y78+Y79,"")</f>
        <v>-11264.118248</v>
      </c>
      <c r="Z75" s="59">
        <f>IFERROR(Z76+Z77+Z78+Z79,"")</f>
        <v>-11968.793378</v>
      </c>
      <c r="AA75" s="59">
        <f>IFERROR(AA76+AA77+AA78+AA79,"")</f>
        <v>-12387.019233</v>
      </c>
      <c r="AB75" s="59">
        <f>IFERROR(AB76+AB77+AB78+AB79,"")</f>
        <v>-15080.347295</v>
      </c>
      <c r="AC75" s="60">
        <f>SUM(Y75:AB75)</f>
        <v>-50700.278154</v>
      </c>
      <c r="AD75" s="59">
        <f>IFERROR(AD76+AD77+AD78+AD79,"")</f>
        <v>-12074.096271</v>
      </c>
      <c r="AE75" s="59">
        <f>IFERROR(AE76+AE77+AE78+AE79,"")</f>
        <v>-13463.428555</v>
      </c>
      <c r="AF75" s="59">
        <f>IFERROR(AF76+AF77+AF78+AF79,"")</f>
        <v>-13742.962117</v>
      </c>
      <c r="AG75" s="59">
        <f>IFERROR(AG76+AG77+AG78+AG79,"")</f>
        <v>-16910.785044</v>
      </c>
      <c r="AH75" s="60">
        <f>SUM(AD75:AG75)</f>
        <v>-56191.271987</v>
      </c>
      <c r="AI75" s="59">
        <f>IFERROR(AI76+AI77+AI78+AI79,"")</f>
        <v>-21267.570022</v>
      </c>
      <c r="AJ75" s="59">
        <f>IFERROR(AJ76+AJ77+AJ78+AJ79,"")</f>
        <v>-19113.640528</v>
      </c>
      <c r="AK75" s="59">
        <f>IFERROR(AK76+AK77+AK78+AK79,"")</f>
        <v>0</v>
      </c>
      <c r="AL75" s="59">
        <f>IFERROR(AL76+AL77+AL78+AL79,"")</f>
        <v>0</v>
      </c>
      <c r="AM75" s="60">
        <f>SUM(AI75:AL75)</f>
        <v>-40381.21055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>SUM(AN75:AQ75)</f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>SUM(AS75:AV75)</f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>SUM(AX75:BA75)</f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>SUM(BC75:BF75)</f>
        <v>0</v>
      </c>
      <c r="BI75" s="14" t="inlineStr">
        <is>
          <t>Convenção: toda despesa entra com sinal NEGATIVO. Todas as linhas de subtotal somam.</t>
        </is>
      </c>
    </row>
    <row r="76" hidden="1" outlineLevel="1">
      <c r="B76" s="56" t="inlineStr">
        <is>
          <t>desp_dep</t>
        </is>
      </c>
      <c r="C76" s="61" t="inlineStr">
        <is>
          <t>(Depósitos e Captações no Mercado Aberto)</t>
        </is>
      </c>
      <c r="D76" s="62" t="inlineStr">
        <is>
          <t>(Deposits and Open Market Funding)</t>
        </is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-956.808674</v>
      </c>
      <c r="F76" s="57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>-1233.744631</v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-1576.022503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-1405.589856</v>
      </c>
      <c r="I76" s="58">
        <f>SUM(E76:H76)</f>
        <v>-5172.165664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-1066.874847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-2781.782822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-3537.402932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-4795.625066</v>
      </c>
      <c r="N76" s="58">
        <f>SUM(J76:M76)</f>
        <v>-12181.685667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-6313.821225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-11951.42661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-8445.370332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-8754.497445</v>
      </c>
      <c r="S76" s="58">
        <f>SUM(O76:R76)</f>
        <v>-35465.115612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-7101.747082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-11688.655608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-9230.622337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-10319.895786</v>
      </c>
      <c r="X76" s="58">
        <f>SUM(T76:W76)</f>
        <v>-38340.920813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-8453.356021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-8166.057495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-10249.492922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-8268.490604</v>
      </c>
      <c r="AC76" s="58">
        <f>SUM(Y76:AB76)</f>
        <v>-35137.397042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-11438.304889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-12798.373634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-12991.374564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-15748.677506</v>
      </c>
      <c r="AH76" s="58">
        <f>SUM(AD76:AG76)</f>
        <v>-52976.730593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-20009.871761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-18446.946379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>SUM(AI76:AL76)</f>
        <v>-38456.81814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>SUM(AN76:AQ76)</f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>SUM(AS76:AV76)</f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>SUM(AX76:BA76)</f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>SUM(BC76:BF76)</f>
        <v>0</v>
      </c>
    </row>
    <row r="77" hidden="1" outlineLevel="1">
      <c r="B77" s="56" t="inlineStr">
        <is>
          <t>desp_div</t>
        </is>
      </c>
      <c r="C77" s="61" t="inlineStr">
        <is>
          <t>(Instrumentos de Dívida)</t>
        </is>
      </c>
      <c r="D77" s="62" t="inlineStr">
        <is>
          <t>(Debt Instruments)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-635.791382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-665.054921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-751.587553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-1162.107538</v>
      </c>
      <c r="AH77" s="58">
        <f>SUM(AD77:AG77)</f>
        <v>-3214.541394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-1257.698261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-666.694149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-1924.39241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desp_emp</t>
        </is>
      </c>
      <c r="C78" s="61" t="inlineStr">
        <is>
          <t>(Empréstimos e Repasses)</t>
        </is>
      </c>
      <c r="D78" s="62" t="inlineStr">
        <is>
          <t>(Borrowings and On-lending)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-3176.62525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-1324.367378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-1712.415092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147.510066</v>
      </c>
      <c r="I78" s="58">
        <f>SUM(E78:H78)</f>
        <v>-6065.897654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-5308.086275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2465.213961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-2241.373797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-2785.93247</v>
      </c>
      <c r="N78" s="58">
        <f>SUM(J78:M78)</f>
        <v>-7870.178581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-3182.340904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-7001.55344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-3338.052831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-2931.637102</v>
      </c>
      <c r="S78" s="58">
        <f>SUM(O78:R78)</f>
        <v>-16453.584277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-2987.604827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-2189.317425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-3471.924484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-3707.79853</v>
      </c>
      <c r="X78" s="58">
        <f>SUM(T78:W78)</f>
        <v>-12356.645266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-2810.762227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-3802.735883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-2137.526311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-6811.856691</v>
      </c>
      <c r="AC78" s="58">
        <f>SUM(Y78:AB78)</f>
        <v>-15562.881112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0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0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0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0</v>
      </c>
      <c r="AH78" s="58">
        <f>SUM(AD78:AG78)</f>
        <v>0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0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0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0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desp_prov_tec</t>
        </is>
      </c>
      <c r="C79" s="61" t="inlineStr">
        <is>
          <t>(Despesas Fin. de Provisões Técnicas)</t>
        </is>
      </c>
      <c r="D79" s="62" t="inlineStr">
        <is>
          <t>(Financial Expenses from Technical Provisions)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>
      <c r="C80" s="53" t="inlineStr">
        <is>
          <t>Resultado da Intermediação antes da Perda Esperada</t>
        </is>
      </c>
      <c r="D80" s="54" t="inlineStr">
        <is>
          <t>Intermediation Result before ECL</t>
        </is>
      </c>
      <c r="E80" s="59">
        <f>IFERROR(E70+E75,"")</f>
        <v>-308.070726</v>
      </c>
      <c r="F80" s="59">
        <f>IFERROR(F70+F75,"")</f>
        <v>192.949489000001</v>
      </c>
      <c r="G80" s="59">
        <f>IFERROR(G70+G75,"")</f>
        <v>1630.807797</v>
      </c>
      <c r="H80" s="59">
        <f>IFERROR(H70+H75,"")</f>
        <v>1566.391751</v>
      </c>
      <c r="I80" s="60">
        <f>SUM(E80:H80)</f>
        <v>3082.078311</v>
      </c>
      <c r="J80" s="59">
        <f>IFERROR(J70+J75,"")</f>
        <v>-2100.914721</v>
      </c>
      <c r="K80" s="59">
        <f>IFERROR(K70+K75,"")</f>
        <v>8069.091453</v>
      </c>
      <c r="L80" s="59">
        <f>IFERROR(L70+L75,"")</f>
        <v>2579.260206</v>
      </c>
      <c r="M80" s="59">
        <f>IFERROR(M70+M75,"")</f>
        <v>2843.477694</v>
      </c>
      <c r="N80" s="60">
        <f>SUM(J80:M80)</f>
        <v>11390.914632</v>
      </c>
      <c r="O80" s="59">
        <f>IFERROR(O70+O75,"")</f>
        <v>2786.421994</v>
      </c>
      <c r="P80" s="59">
        <f>IFERROR(P70+P75,"")</f>
        <v>1391.767006</v>
      </c>
      <c r="Q80" s="59">
        <f>IFERROR(Q70+Q75,"")</f>
        <v>3554.457663</v>
      </c>
      <c r="R80" s="59">
        <f>IFERROR(R70+R75,"")</f>
        <v>1253.381959</v>
      </c>
      <c r="S80" s="60">
        <f>SUM(O80:R80)</f>
        <v>8986.028622</v>
      </c>
      <c r="T80" s="59">
        <f>IFERROR(T70+T75,"")</f>
        <v>5891.256189</v>
      </c>
      <c r="U80" s="59">
        <f>IFERROR(U70+U75,"")</f>
        <v>4273.80403800001</v>
      </c>
      <c r="V80" s="59">
        <f>IFERROR(V70+V75,"")</f>
        <v>7564.233533</v>
      </c>
      <c r="W80" s="59">
        <f>IFERROR(W70+W75,"")</f>
        <v>7017.924948</v>
      </c>
      <c r="X80" s="60">
        <f>SUM(T80:W80)</f>
        <v>24747.218708</v>
      </c>
      <c r="Y80" s="59">
        <f>IFERROR(Y70+Y75,"")</f>
        <v>4101.380282</v>
      </c>
      <c r="Z80" s="59">
        <f>IFERROR(Z70+Z75,"")</f>
        <v>4022.729538</v>
      </c>
      <c r="AA80" s="59">
        <f>IFERROR(AA70+AA75,"")</f>
        <v>4428.183699</v>
      </c>
      <c r="AB80" s="59">
        <f>IFERROR(AB70+AB75,"")</f>
        <v>7043.279792</v>
      </c>
      <c r="AC80" s="60">
        <f>SUM(Y80:AB80)</f>
        <v>19595.573311</v>
      </c>
      <c r="AD80" s="59">
        <f>IFERROR(AD70+AD75,"")</f>
        <v>4859.045181</v>
      </c>
      <c r="AE80" s="59">
        <f>IFERROR(AE70+AE75,"")</f>
        <v>6895.268393</v>
      </c>
      <c r="AF80" s="59">
        <f>IFERROR(AF70+AF75,"")</f>
        <v>9332.744802</v>
      </c>
      <c r="AG80" s="59">
        <f>IFERROR(AG70+AG75,"")</f>
        <v>8560.69915299999</v>
      </c>
      <c r="AH80" s="60">
        <f>SUM(AD80:AG80)</f>
        <v>29647.757529</v>
      </c>
      <c r="AI80" s="59">
        <f>IFERROR(AI70+AI75,"")</f>
        <v>10467.617168</v>
      </c>
      <c r="AJ80" s="59">
        <f>IFERROR(AJ70+AJ75,"")</f>
        <v>11110.085896</v>
      </c>
      <c r="AK80" s="59">
        <f>IFERROR(AK70+AK75,"")</f>
        <v>0</v>
      </c>
      <c r="AL80" s="59">
        <f>IFERROR(AL70+AL75,"")</f>
        <v>0</v>
      </c>
      <c r="AM80" s="60">
        <f>SUM(AI80:AL80)</f>
        <v>21577.703064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>SUM(AN80:AQ80)</f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>SUM(AS80:AV80)</f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>SUM(AX80:BA80)</f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>SUM(BC80:BF80)</f>
        <v>0</v>
      </c>
    </row>
    <row r="81">
      <c r="C81" s="15" t="inlineStr">
        <is>
          <t>Resultado de Perda de Crédito Esperada</t>
        </is>
      </c>
      <c r="D81" s="16" t="inlineStr">
        <is>
          <t>Result from Expected Credit Losses</t>
        </is>
      </c>
      <c r="E81" s="59">
        <f>IFERROR(E82+E83,"")</f>
        <v>-133.685954</v>
      </c>
      <c r="F81" s="59">
        <f>IFERROR(F82+F83,"")</f>
        <v>-64.211218</v>
      </c>
      <c r="G81" s="59">
        <f>IFERROR(G82+G83,"")</f>
        <v>-13.072771</v>
      </c>
      <c r="H81" s="59">
        <f>IFERROR(H82+H83,"")</f>
        <v>-71.463108</v>
      </c>
      <c r="I81" s="60">
        <f>SUM(E81:H81)</f>
        <v>-282.433051</v>
      </c>
      <c r="J81" s="59">
        <f>IFERROR(J82+J83,"")</f>
        <v>630.721357</v>
      </c>
      <c r="K81" s="59">
        <f>IFERROR(K82+K83,"")</f>
        <v>-825.531835</v>
      </c>
      <c r="L81" s="59">
        <f>IFERROR(L82+L83,"")</f>
        <v>-868.240459</v>
      </c>
      <c r="M81" s="59">
        <f>IFERROR(M82+M83,"")</f>
        <v>-696.256887</v>
      </c>
      <c r="N81" s="60">
        <f>SUM(J81:M81)</f>
        <v>-1759.307824</v>
      </c>
      <c r="O81" s="59">
        <f>IFERROR(O82+O83,"")</f>
        <v>-817.605987</v>
      </c>
      <c r="P81" s="59">
        <f>IFERROR(P82+P83,"")</f>
        <v>-536.103212</v>
      </c>
      <c r="Q81" s="59">
        <f>IFERROR(Q82+Q83,"")</f>
        <v>-588.230618</v>
      </c>
      <c r="R81" s="59">
        <f>IFERROR(R82+R83,"")</f>
        <v>-1943.934668</v>
      </c>
      <c r="S81" s="60">
        <f>SUM(O81:R81)</f>
        <v>-3885.874485</v>
      </c>
      <c r="T81" s="59">
        <f>IFERROR(T82+T83,"")</f>
        <v>-694.453168</v>
      </c>
      <c r="U81" s="59">
        <f>IFERROR(U82+U83,"")</f>
        <v>-497.567383</v>
      </c>
      <c r="V81" s="59">
        <f>IFERROR(V82+V83,"")</f>
        <v>-583.392927</v>
      </c>
      <c r="W81" s="59">
        <f>IFERROR(W82+W83,"")</f>
        <v>-482.471903</v>
      </c>
      <c r="X81" s="60">
        <f>SUM(T81:W81)</f>
        <v>-2257.885381</v>
      </c>
      <c r="Y81" s="59">
        <f>IFERROR(Y82+Y83,"")</f>
        <v>-487.841968</v>
      </c>
      <c r="Z81" s="59">
        <f>IFERROR(Z82+Z83,"")</f>
        <v>-726.681212</v>
      </c>
      <c r="AA81" s="59">
        <f>IFERROR(AA82+AA83,"")</f>
        <v>208.397934</v>
      </c>
      <c r="AB81" s="59">
        <f>IFERROR(AB82+AB83,"")</f>
        <v>-804.304264</v>
      </c>
      <c r="AC81" s="60">
        <f>SUM(Y81:AB81)</f>
        <v>-1810.42951</v>
      </c>
      <c r="AD81" s="59">
        <f>IFERROR(AD82+AD83,"")</f>
        <v>-1361.289903</v>
      </c>
      <c r="AE81" s="59">
        <f>IFERROR(AE82+AE83,"")</f>
        <v>-1879.336349</v>
      </c>
      <c r="AF81" s="59">
        <f>IFERROR(AF82+AF83,"")</f>
        <v>-1927.119569</v>
      </c>
      <c r="AG81" s="59">
        <f>IFERROR(AG82+AG83,"")</f>
        <v>-67.547014</v>
      </c>
      <c r="AH81" s="60">
        <f>SUM(AD81:AG81)</f>
        <v>-5235.292835</v>
      </c>
      <c r="AI81" s="59">
        <f>IFERROR(AI82+AI83,"")</f>
        <v>-1804.278565</v>
      </c>
      <c r="AJ81" s="59">
        <f>IFERROR(AJ82+AJ83,"")</f>
        <v>-1181.276501</v>
      </c>
      <c r="AK81" s="59">
        <f>IFERROR(AK82+AK83,"")</f>
        <v>0</v>
      </c>
      <c r="AL81" s="59">
        <f>IFERROR(AL82+AL83,"")</f>
        <v>0</v>
      </c>
      <c r="AM81" s="60">
        <f>SUM(AI81:AL81)</f>
        <v>-2985.555066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>SUM(AN81:AQ81)</f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>SUM(AS81:AV81)</f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>SUM(AX81:BA81)</f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>SUM(BC81:BF81)</f>
        <v>0</v>
      </c>
    </row>
    <row r="82" hidden="1" outlineLevel="1">
      <c r="B82" s="56" t="inlineStr">
        <is>
          <t>pdd_desp</t>
        </is>
      </c>
      <c r="C82" s="61" t="inlineStr">
        <is>
          <t>(Despesa de Provisão para Perda Esperada)</t>
        </is>
      </c>
      <c r="D82" s="62" t="inlineStr">
        <is>
          <t>(ECL Provision Expense)</t>
        </is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-133.685954</v>
      </c>
      <c r="F82" s="57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>-64.211218</v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-13.072771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-71.463108</v>
      </c>
      <c r="I82" s="58">
        <f>SUM(E82:H82)</f>
        <v>-282.433051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630.721357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-825.531835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-868.240459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-696.256887</v>
      </c>
      <c r="N82" s="58">
        <f>SUM(J82:M82)</f>
        <v>-1759.307824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-817.605987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-536.103212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-588.230618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-1943.934668</v>
      </c>
      <c r="S82" s="58">
        <f>SUM(O82:R82)</f>
        <v>-3885.874485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-694.453168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-497.567383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-583.392927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-482.471903</v>
      </c>
      <c r="X82" s="58">
        <f>SUM(T82:W82)</f>
        <v>-2257.885381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-487.841968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-726.681212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208.397934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-804.304264</v>
      </c>
      <c r="AC82" s="58">
        <f>SUM(Y82:AB82)</f>
        <v>-1810.42951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-1361.289903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-1879.336349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-1927.119569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-67.547014</v>
      </c>
      <c r="AH82" s="58">
        <f>SUM(AD82:AG82)</f>
        <v>-5235.292835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-1804.278565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-1181.276501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>SUM(AI82:AL82)</f>
        <v>-2985.555066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>SUM(AN82:AQ82)</f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>SUM(AS82:AV82)</f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>SUM(AX82:BA82)</f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>SUM(BC82:BF82)</f>
        <v>0</v>
      </c>
    </row>
    <row r="83" hidden="1" outlineLevel="1">
      <c r="B83" s="56" t="inlineStr">
        <is>
          <t>pdd_recup</t>
        </is>
      </c>
      <c r="C83" s="61" t="inlineStr">
        <is>
          <t>Recuperação de Créditos Baixados como Prejuízo</t>
        </is>
      </c>
      <c r="D83" s="62" t="inlineStr">
        <is>
          <t>Recovery of Written-Off Credits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>SUM(J83:M83)</f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>SUM(O83:R83)</f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>SUM(T83:W83)</f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>SUM(Y83:AB83)</f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>SUM(AD83:AG83)</f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>
      <c r="C84" s="53" t="inlineStr">
        <is>
          <t>Resultado Bruto da Intermediação Financeira</t>
        </is>
      </c>
      <c r="D84" s="54" t="inlineStr">
        <is>
          <t>Gross Financial Intermediation Result</t>
        </is>
      </c>
      <c r="E84" s="59">
        <f>IFERROR(E80+E81,"")</f>
        <v>-441.75668</v>
      </c>
      <c r="F84" s="59">
        <f>IFERROR(F80+F81,"")</f>
        <v>128.738271000001</v>
      </c>
      <c r="G84" s="59">
        <f>IFERROR(G80+G81,"")</f>
        <v>1617.735026</v>
      </c>
      <c r="H84" s="59">
        <f>IFERROR(H80+H81,"")</f>
        <v>1494.928643</v>
      </c>
      <c r="I84" s="60">
        <f>SUM(E84:H84)</f>
        <v>2799.64526</v>
      </c>
      <c r="J84" s="59">
        <f>IFERROR(J80+J81,"")</f>
        <v>-1470.193364</v>
      </c>
      <c r="K84" s="59">
        <f>IFERROR(K80+K81,"")</f>
        <v>7243.559618</v>
      </c>
      <c r="L84" s="59">
        <f>IFERROR(L80+L81,"")</f>
        <v>1711.019747</v>
      </c>
      <c r="M84" s="59">
        <f>IFERROR(M80+M81,"")</f>
        <v>2147.220807</v>
      </c>
      <c r="N84" s="60">
        <f>SUM(J84:M84)</f>
        <v>9631.606808</v>
      </c>
      <c r="O84" s="59">
        <f>IFERROR(O80+O81,"")</f>
        <v>1968.816007</v>
      </c>
      <c r="P84" s="59">
        <f>IFERROR(P80+P81,"")</f>
        <v>855.663794000002</v>
      </c>
      <c r="Q84" s="59">
        <f>IFERROR(Q80+Q81,"")</f>
        <v>2966.227045</v>
      </c>
      <c r="R84" s="59">
        <f>IFERROR(R80+R81,"")</f>
        <v>-690.552709</v>
      </c>
      <c r="S84" s="60">
        <f>SUM(O84:R84)</f>
        <v>5100.154137</v>
      </c>
      <c r="T84" s="59">
        <f>IFERROR(T80+T81,"")</f>
        <v>5196.803021</v>
      </c>
      <c r="U84" s="59">
        <f>IFERROR(U80+U81,"")</f>
        <v>3776.23665500001</v>
      </c>
      <c r="V84" s="59">
        <f>IFERROR(V80+V81,"")</f>
        <v>6980.840606</v>
      </c>
      <c r="W84" s="59">
        <f>IFERROR(W80+W81,"")</f>
        <v>6535.453045</v>
      </c>
      <c r="X84" s="60">
        <f>SUM(T84:W84)</f>
        <v>22489.333327</v>
      </c>
      <c r="Y84" s="59">
        <f>IFERROR(Y80+Y81,"")</f>
        <v>3613.538314</v>
      </c>
      <c r="Z84" s="59">
        <f>IFERROR(Z80+Z81,"")</f>
        <v>3296.048326</v>
      </c>
      <c r="AA84" s="59">
        <f>IFERROR(AA80+AA81,"")</f>
        <v>4636.581633</v>
      </c>
      <c r="AB84" s="59">
        <f>IFERROR(AB80+AB81,"")</f>
        <v>6238.975528</v>
      </c>
      <c r="AC84" s="60">
        <f>SUM(Y84:AB84)</f>
        <v>17785.143801</v>
      </c>
      <c r="AD84" s="59">
        <f>IFERROR(AD80+AD81,"")</f>
        <v>3497.755278</v>
      </c>
      <c r="AE84" s="59">
        <f>IFERROR(AE80+AE81,"")</f>
        <v>5015.932044</v>
      </c>
      <c r="AF84" s="59">
        <f>IFERROR(AF80+AF81,"")</f>
        <v>7405.625233</v>
      </c>
      <c r="AG84" s="59">
        <f>IFERROR(AG80+AG81,"")</f>
        <v>8493.15213899999</v>
      </c>
      <c r="AH84" s="60">
        <f>SUM(AD84:AG84)</f>
        <v>24412.464694</v>
      </c>
      <c r="AI84" s="59">
        <f>IFERROR(AI80+AI81,"")</f>
        <v>8663.338603</v>
      </c>
      <c r="AJ84" s="59">
        <f>IFERROR(AJ80+AJ81,"")</f>
        <v>9928.809395</v>
      </c>
      <c r="AK84" s="59">
        <f>IFERROR(AK80+AK81,"")</f>
        <v>0</v>
      </c>
      <c r="AL84" s="59">
        <f>IFERROR(AL80+AL81,"")</f>
        <v>0</v>
      </c>
      <c r="AM84" s="60">
        <f>SUM(AI84:AL84)</f>
        <v>18592.147998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>SUM(AN84:AQ84)</f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>SUM(AS84:AV84)</f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>SUM(AX84:BA84)</f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>SUM(BC84:BF84)</f>
        <v>0</v>
      </c>
    </row>
    <row r="85">
      <c r="C85" s="15" t="inlineStr">
        <is>
          <t>Outras Receitas / (Despesas) Operacionais</t>
        </is>
      </c>
      <c r="D85" s="16" t="inlineStr">
        <is>
          <t>Other Operating Income / (Expenses)</t>
        </is>
      </c>
      <c r="E85" s="59">
        <f>IFERROR(E86+E87+E88+E89+E90+E94+E95+E96+E97,"")</f>
        <v>779.374432</v>
      </c>
      <c r="F85" s="59">
        <f>IFERROR(F86+F87+F88+F89+F90+F94+F95+F96+F97,"")</f>
        <v>864.166247</v>
      </c>
      <c r="G85" s="59">
        <f>IFERROR(G86+G87+G88+G89+G90+G94+G95+G96+G97,"")</f>
        <v>-241.910177</v>
      </c>
      <c r="H85" s="59">
        <f>IFERROR(H86+H87+H88+H89+H90+H94+H95+H96+H97,"")</f>
        <v>560.600247</v>
      </c>
      <c r="I85" s="60">
        <f>SUM(E85:H85)</f>
        <v>1962.230749</v>
      </c>
      <c r="J85" s="59">
        <f>IFERROR(J86+J87+J88+J89+J90+J94+J95+J96+J97,"")</f>
        <v>2984.157147</v>
      </c>
      <c r="K85" s="59">
        <f>IFERROR(K86+K87+K88+K89+K90+K94+K95+K96+K97,"")</f>
        <v>-4886.440992</v>
      </c>
      <c r="L85" s="59">
        <f>IFERROR(L86+L87+L88+L89+L90+L94+L95+L96+L97,"")</f>
        <v>-971.093522</v>
      </c>
      <c r="M85" s="59">
        <f>IFERROR(M86+M87+M88+M89+M90+M94+M95+M96+M97,"")</f>
        <v>-50.2096619999999</v>
      </c>
      <c r="N85" s="60">
        <f>SUM(J85:M85)</f>
        <v>-2923.587029</v>
      </c>
      <c r="O85" s="59">
        <f>IFERROR(O86+O87+O88+O89+O90+O94+O95+O96+O97,"")</f>
        <v>-276.451361999998</v>
      </c>
      <c r="P85" s="59">
        <f>IFERROR(P86+P87+P88+P89+P90+P94+P95+P96+P97,"")</f>
        <v>1627.119088</v>
      </c>
      <c r="Q85" s="59">
        <f>IFERROR(Q86+Q87+Q88+Q89+Q90+Q94+Q95+Q96+Q97,"")</f>
        <v>-371.546495000001</v>
      </c>
      <c r="R85" s="59">
        <f>IFERROR(R86+R87+R88+R89+R90+R94+R95+R96+R97,"")</f>
        <v>2234.168263</v>
      </c>
      <c r="S85" s="60">
        <f>SUM(O85:R85)</f>
        <v>3213.289494</v>
      </c>
      <c r="T85" s="59">
        <f>IFERROR(T86+T87+T88+T89+T90+T94+T95+T96+T97,"")</f>
        <v>-2620.640895</v>
      </c>
      <c r="U85" s="59">
        <f>IFERROR(U86+U87+U88+U89+U90+U94+U95+U96+U97,"")</f>
        <v>-1036.894988</v>
      </c>
      <c r="V85" s="59">
        <f>IFERROR(V86+V87+V88+V89+V90+V94+V95+V96+V97,"")</f>
        <v>-3999.942006</v>
      </c>
      <c r="W85" s="59">
        <f>IFERROR(W86+W87+W88+W89+W90+W94+W95+W96+W97,"")</f>
        <v>-3720.404483</v>
      </c>
      <c r="X85" s="60">
        <f>SUM(T85:W85)</f>
        <v>-11377.882372</v>
      </c>
      <c r="Y85" s="59">
        <f>IFERROR(Y86+Y87+Y88+Y89+Y90+Y94+Y95+Y96+Y97,"")</f>
        <v>-701.612082</v>
      </c>
      <c r="Z85" s="59">
        <f>IFERROR(Z86+Z87+Z88+Z89+Z90+Z94+Z95+Z96+Z97,"")</f>
        <v>-83.284740999999</v>
      </c>
      <c r="AA85" s="59">
        <f>IFERROR(AA86+AA87+AA88+AA89+AA90+AA94+AA95+AA96+AA97,"")</f>
        <v>-1450.899311</v>
      </c>
      <c r="AB85" s="59">
        <f>IFERROR(AB86+AB87+AB88+AB89+AB90+AB94+AB95+AB96+AB97,"")</f>
        <v>-3267.325701</v>
      </c>
      <c r="AC85" s="60">
        <f>SUM(Y85:AB85)</f>
        <v>-5503.121835</v>
      </c>
      <c r="AD85" s="59">
        <f>IFERROR(AD86+AD87+AD88+AD89+AD90+AD94+AD95+AD96+AD97,"")</f>
        <v>345.452777</v>
      </c>
      <c r="AE85" s="59">
        <f>IFERROR(AE86+AE87+AE88+AE89+AE90+AE94+AE95+AE96+AE97,"")</f>
        <v>-934.737329000001</v>
      </c>
      <c r="AF85" s="59">
        <f>IFERROR(AF86+AF87+AF88+AF89+AF90+AF94+AF95+AF96+AF97,"")</f>
        <v>-2085.388293</v>
      </c>
      <c r="AG85" s="59">
        <f>IFERROR(AG86+AG87+AG88+AG89+AG90+AG94+AG95+AG96+AG97,"")</f>
        <v>-4860.372568</v>
      </c>
      <c r="AH85" s="60">
        <f>SUM(AD85:AG85)</f>
        <v>-7535.045413</v>
      </c>
      <c r="AI85" s="59">
        <f>IFERROR(AI86+AI87+AI88+AI89+AI90+AI94+AI95+AI96+AI97,"")</f>
        <v>-3347.815467</v>
      </c>
      <c r="AJ85" s="59">
        <f>IFERROR(AJ86+AJ87+AJ88+AJ89+AJ90+AJ94+AJ95+AJ96+AJ97,"")</f>
        <v>-4111.032885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>SUM(AI85:AL85)</f>
        <v>-7458.848352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>SUM(AN85:AQ85)</f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>SUM(AS85:AV85)</f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>SUM(AX85:BA85)</f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>SUM(BC85:BF85)</f>
        <v>0</v>
      </c>
    </row>
    <row r="86" hidden="1" outlineLevel="1">
      <c r="B86" s="56" t="inlineStr">
        <is>
          <t>serv</t>
        </is>
      </c>
      <c r="C86" s="61" t="inlineStr">
        <is>
          <t>Receitas de Prestação de Serviços e Tarifas Bancárias</t>
        </is>
      </c>
      <c r="D86" s="62" t="inlineStr">
        <is>
          <t>Fee and Commission Income</t>
        </is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774.701843</v>
      </c>
      <c r="F86" s="57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>729.063037</v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972.842382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1251.322965</v>
      </c>
      <c r="I86" s="58">
        <f>SUM(E86:H86)</f>
        <v>3727.930227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1163.406397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1818.081933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1727.115981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1531.248668</v>
      </c>
      <c r="N86" s="58">
        <f>SUM(J86:M86)</f>
        <v>6239.852979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1488.411515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1646.617645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1820.980038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1917.704039</v>
      </c>
      <c r="S86" s="58">
        <f>SUM(O86:R86)</f>
        <v>6873.713237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1566.835316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1662.965533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1801.341213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1689.467781</v>
      </c>
      <c r="X86" s="58">
        <f>SUM(T86:W86)</f>
        <v>6720.609843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1822.841251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2079.219643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1994.418238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2209.515522</v>
      </c>
      <c r="AC86" s="58">
        <f>SUM(Y86:AB86)</f>
        <v>8105.994654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1760.39034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1938.301291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2224.609555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2026.449236</v>
      </c>
      <c r="AH86" s="58">
        <f>SUM(AD86:AG86)</f>
        <v>7949.750422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2226.584411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2258.584748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>SUM(AI86:AL86)</f>
        <v>4485.169159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>SUM(AN86:AQ86)</f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>SUM(AS86:AV86)</f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>SUM(AX86:BA86)</f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>SUM(BC86:BF86)</f>
        <v>0</v>
      </c>
    </row>
    <row r="87" hidden="1" outlineLevel="1">
      <c r="B87" s="56" t="inlineStr">
        <is>
          <t>seguros</t>
        </is>
      </c>
      <c r="C87" s="61" t="inlineStr">
        <is>
          <t>Resultado de Seguros, Previdência e Capitalização</t>
        </is>
      </c>
      <c r="D87" s="62" t="inlineStr">
        <is>
          <t>Insurance and Pension Result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>SUM(J87:M87)</f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>SUM(O87:R87)</f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>SUM(T87:W87)</f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>SUM(Y87:AB87)</f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>SUM(AD87:AG87)</f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pessoal</t>
        </is>
      </c>
      <c r="C88" s="61" t="inlineStr">
        <is>
          <t>(Despesas de Pessoal)</t>
        </is>
      </c>
      <c r="D88" s="62" t="inlineStr">
        <is>
          <t>(Personnel Expenses)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-720.355302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-635.703927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-652.28305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-546.473292</v>
      </c>
      <c r="I88" s="58">
        <f>SUM(E88:H88)</f>
        <v>-2554.815571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-1256.734101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-1276.450495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-1135.747431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-880.75662</v>
      </c>
      <c r="N88" s="58">
        <f>SUM(J88:M88)</f>
        <v>-4549.688647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-1082.563152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-1106.694833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-1169.802078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-1044.339098</v>
      </c>
      <c r="S88" s="58">
        <f>SUM(O88:R88)</f>
        <v>-4403.399161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-1171.138576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-1333.516544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-1406.325073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-1207.638057</v>
      </c>
      <c r="X88" s="58">
        <f>SUM(T88:W88)</f>
        <v>-5118.61825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-1447.814161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-1290.188312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-1426.283893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-1481.930059</v>
      </c>
      <c r="AC88" s="58">
        <f>SUM(Y88:AB88)</f>
        <v>-5646.216425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-1399.246542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-2848.08369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-1656.553701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-1718.801452</v>
      </c>
      <c r="AH88" s="58">
        <f>SUM(AD88:AG88)</f>
        <v>-7622.685385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-3646.088282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-1682.07427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-5328.162552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admin</t>
        </is>
      </c>
      <c r="C89" s="61" t="inlineStr">
        <is>
          <t>(Outras Despesas Administrativas)</t>
        </is>
      </c>
      <c r="D89" s="62" t="inlineStr">
        <is>
          <t>(Other Administrative Expenses)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-400.569445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-473.289323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-422.666107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-570.626724</v>
      </c>
      <c r="I89" s="58">
        <f>SUM(E89:H89)</f>
        <v>-1867.151599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-507.502903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-2648.293997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-1833.336728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-2035.107835</v>
      </c>
      <c r="N89" s="58">
        <f>SUM(J89:M89)</f>
        <v>-7024.241463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-2617.801421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-2389.603739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-2271.979576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-2370.212438</v>
      </c>
      <c r="S89" s="58">
        <f>SUM(O89:R89)</f>
        <v>-9649.597174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-2384.91654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-2202.841625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-2285.476792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-2455.218378</v>
      </c>
      <c r="X89" s="58">
        <f>SUM(T89:W89)</f>
        <v>-9328.453335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-2681.519639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-2719.31968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-2722.877244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-2968.927482</v>
      </c>
      <c r="AC89" s="58">
        <f>SUM(Y89:AB89)</f>
        <v>-11092.644045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-2260.824475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-3093.952506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-2510.292596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-2653.758162</v>
      </c>
      <c r="AH89" s="58">
        <f>SUM(AD89:AG89)</f>
        <v>-10518.827739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-2776.18402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-4188.383168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-6964.567188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C90" s="63" t="inlineStr">
        <is>
          <t>(Despesas de Demais Provisões)</t>
        </is>
      </c>
      <c r="D90" s="64" t="inlineStr">
        <is>
          <t>(Other Provision Expenses)</t>
        </is>
      </c>
      <c r="E90" s="59">
        <f>IFERROR(E91+E92+E93,"")</f>
        <v>0</v>
      </c>
      <c r="F90" s="59">
        <f>IFERROR(F91+F92+F93,"")</f>
        <v>0</v>
      </c>
      <c r="G90" s="59">
        <f>IFERROR(G91+G92+G93,"")</f>
        <v>0</v>
      </c>
      <c r="H90" s="59">
        <f>IFERROR(H91+H92+H93,"")</f>
        <v>0</v>
      </c>
      <c r="I90" s="60">
        <f>SUM(E90:H90)</f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>SUM(J90:M90)</f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>SUM(O90:R90)</f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>SUM(T90:W90)</f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>SUM(Y90:AB90)</f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>SUM(AD90:AG90)</f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>SUM(AI90:AL90)</f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>SUM(AN90:AQ90)</f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>SUM(AS90:AV90)</f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>SUM(AX90:BA90)</f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>SUM(BC90:BF90)</f>
        <v>0</v>
      </c>
    </row>
    <row r="91" hidden="1" outlineLevel="2">
      <c r="B91" s="56" t="inlineStr">
        <is>
          <t>prov_civ</t>
        </is>
      </c>
      <c r="C91" s="65" t="inlineStr">
        <is>
          <t>(Provisões Cíveis)</t>
        </is>
      </c>
      <c r="D91" s="66" t="inlineStr">
        <is>
          <t>(Civil Provisions)</t>
        </is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>0</v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>SUM(E91:H91)</f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>SUM(J91:M91)</f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>SUM(O91:R91)</f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>SUM(T91:W91)</f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>SUM(Y91:AB91)</f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>SUM(AD91:AG91)</f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>SUM(AI91:AL91)</f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>SUM(AN91:AQ91)</f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>SUM(AS91:AV91)</f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>SUM(AX91:BA91)</f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>SUM(BC91:BF91)</f>
        <v>0</v>
      </c>
    </row>
    <row r="92" hidden="1" outlineLevel="2">
      <c r="B92" s="56" t="inlineStr">
        <is>
          <t>prov_trab</t>
        </is>
      </c>
      <c r="C92" s="65" t="inlineStr">
        <is>
          <t>(Provisões Trabalhistas)</t>
        </is>
      </c>
      <c r="D92" s="66" t="inlineStr">
        <is>
          <t>(Labor Provisions)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prov_fisc</t>
        </is>
      </c>
      <c r="C93" s="65" t="inlineStr">
        <is>
          <t>(Provisões Fiscais, Previdenciárias e Outros Riscos)</t>
        </is>
      </c>
      <c r="D93" s="66" t="inlineStr">
        <is>
          <t>(Tax and Social Security Provisions)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1">
      <c r="B94" s="56" t="inlineStr">
        <is>
          <t>desp_trib</t>
        </is>
      </c>
      <c r="C94" s="61" t="inlineStr">
        <is>
          <t>(Despesas Tributárias)</t>
        </is>
      </c>
      <c r="D94" s="62" t="inlineStr">
        <is>
          <t>(Tax Expenses)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-184.377976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-129.769024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-129.939053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-139.724926</v>
      </c>
      <c r="I94" s="58">
        <f>SUM(E94:H94)</f>
        <v>-583.810979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-118.620039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-259.522911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-240.182617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-275.710644</v>
      </c>
      <c r="N94" s="58">
        <f>SUM(J94:M94)</f>
        <v>-894.036211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-200.000494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-282.869648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-334.50331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-343.121731</v>
      </c>
      <c r="S94" s="58">
        <f>SUM(O94:R94)</f>
        <v>-1160.495183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-289.620359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-295.62012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-416.024731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-362.371502</v>
      </c>
      <c r="X94" s="58">
        <f>SUM(T94:W94)</f>
        <v>-1363.636712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-427.009139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-287.441345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-406.550595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-524.559686</v>
      </c>
      <c r="AC94" s="58">
        <f>SUM(Y94:AB94)</f>
        <v>-1645.560765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-387.212524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-466.420682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-668.498183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-447.616059</v>
      </c>
      <c r="AH94" s="58">
        <f>SUM(AD94:AG94)</f>
        <v>-1969.747448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-548.617112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-518.951667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-1067.568779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res_part</t>
        </is>
      </c>
      <c r="C95" s="61" t="inlineStr">
        <is>
          <t>Resultado de Participações em Coligadas e Controladas</t>
        </is>
      </c>
      <c r="D95" s="62" t="inlineStr">
        <is>
          <t>Equity in Earnings of Associates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487.39456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895.102749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125.403722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428.847227</v>
      </c>
      <c r="I95" s="58">
        <f>SUM(E95:H95)</f>
        <v>1936.748258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457.095582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161.616827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179.143405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465.192328</v>
      </c>
      <c r="N95" s="58">
        <f>SUM(J95:M95)</f>
        <v>1263.048142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163.219082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206.880073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159.589254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719.694623</v>
      </c>
      <c r="S95" s="58">
        <f>SUM(O95:R95)</f>
        <v>1249.383032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636.4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877.915808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1353.423759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424.448136</v>
      </c>
      <c r="X95" s="58">
        <f>SUM(T95:W95)</f>
        <v>3292.187703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1130.428498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877.616836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1198.443845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912.547322</v>
      </c>
      <c r="AC95" s="58">
        <f>SUM(Y95:AB95)</f>
        <v>4119.036501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314.979071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755.322021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-65.913095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684.924733</v>
      </c>
      <c r="AH95" s="58">
        <f>SUM(AD95:AG95)</f>
        <v>1689.31273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866.586983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980.767307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1847.35429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out_rec</t>
        </is>
      </c>
      <c r="C96" s="61" t="inlineStr">
        <is>
          <t>Outras Receitas Operacionais</t>
        </is>
      </c>
      <c r="D96" s="62" t="inlineStr">
        <is>
          <t>Other Operating Income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1069.945301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455.426165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1152.658393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42.9286140000002</v>
      </c>
      <c r="I96" s="58">
        <f>SUM(E96:H96)</f>
        <v>2720.958473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4270.790907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-1707.99735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980.436174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1868.153879</v>
      </c>
      <c r="N96" s="58">
        <f>SUM(J96:M96)</f>
        <v>5411.38361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11892.384856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14405.100331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11872.503763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10565.417825</v>
      </c>
      <c r="S96" s="58">
        <f>SUM(O96:R96)</f>
        <v>48735.406775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13492.459957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15292.883996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4396.26786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650.813148</v>
      </c>
      <c r="X96" s="58">
        <f>SUM(T96:W96)</f>
        <v>33832.424961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2120.930516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3435.899887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2252.756652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3072.938374</v>
      </c>
      <c r="AC96" s="58">
        <f>SUM(Y96:AB96)</f>
        <v>10882.525429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5621.464203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6276.197236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4326.041114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4489.233089</v>
      </c>
      <c r="AH96" s="58">
        <f>SUM(AD96:AG96)</f>
        <v>20712.935642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7544.767116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5573.554465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13118.321581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out_desp</t>
        </is>
      </c>
      <c r="C97" s="61" t="inlineStr">
        <is>
          <t>(Outras Despesas Operacionais)</t>
        </is>
      </c>
      <c r="D97" s="62" t="inlineStr">
        <is>
          <t>(Other Operating Expenses)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-247.364549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23.33657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-1287.926464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94.3263829999999</v>
      </c>
      <c r="I97" s="58">
        <f>SUM(E97:H97)</f>
        <v>-1417.62806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-1024.278696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-973.874999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-648.522306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-723.229438</v>
      </c>
      <c r="N97" s="58">
        <f>SUM(J97:M97)</f>
        <v>-3369.905439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-9920.101748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-10852.310741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-10448.334586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-7210.974957</v>
      </c>
      <c r="S97" s="58">
        <f>SUM(O97:R97)</f>
        <v>-38431.722032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-14470.660693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-15038.682036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-7443.148242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-2459.905611</v>
      </c>
      <c r="X97" s="58">
        <f>SUM(T97:W97)</f>
        <v>-39412.396582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-1219.469408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-2179.07177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-2340.806314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-4486.909692</v>
      </c>
      <c r="AC97" s="58">
        <f>SUM(Y97:AB97)</f>
        <v>-10226.257184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-3304.097296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-3496.100999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-3734.781387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-7240.803953</v>
      </c>
      <c r="AH97" s="58">
        <f>SUM(AD97:AG97)</f>
        <v>-17775.783635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-7014.864563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-6534.5303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-13549.394863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>
      <c r="C98" s="53" t="inlineStr">
        <is>
          <t>Resultado Operacional</t>
        </is>
      </c>
      <c r="D98" s="54" t="inlineStr">
        <is>
          <t>Operating Result</t>
        </is>
      </c>
      <c r="E98" s="59">
        <f>IFERROR(E84+E85,"")</f>
        <v>337.617752</v>
      </c>
      <c r="F98" s="59">
        <f>IFERROR(F84+F85,"")</f>
        <v>992.904518000001</v>
      </c>
      <c r="G98" s="59">
        <f>IFERROR(G84+G85,"")</f>
        <v>1375.824849</v>
      </c>
      <c r="H98" s="59">
        <f>IFERROR(H84+H85,"")</f>
        <v>2055.52889</v>
      </c>
      <c r="I98" s="60">
        <f>SUM(E98:H98)</f>
        <v>4761.876009</v>
      </c>
      <c r="J98" s="59">
        <f>IFERROR(J84+J85,"")</f>
        <v>1513.963783</v>
      </c>
      <c r="K98" s="59">
        <f>IFERROR(K84+K85,"")</f>
        <v>2357.118626</v>
      </c>
      <c r="L98" s="59">
        <f>IFERROR(L84+L85,"")</f>
        <v>739.926225</v>
      </c>
      <c r="M98" s="59">
        <f>IFERROR(M84+M85,"")</f>
        <v>2097.011145</v>
      </c>
      <c r="N98" s="60">
        <f>SUM(J98:M98)</f>
        <v>6708.019779</v>
      </c>
      <c r="O98" s="59">
        <f>IFERROR(O84+O85,"")</f>
        <v>1692.364645</v>
      </c>
      <c r="P98" s="59">
        <f>IFERROR(P84+P85,"")</f>
        <v>2482.782882</v>
      </c>
      <c r="Q98" s="59">
        <f>IFERROR(Q84+Q85,"")</f>
        <v>2594.68055</v>
      </c>
      <c r="R98" s="59">
        <f>IFERROR(R84+R85,"")</f>
        <v>1543.615554</v>
      </c>
      <c r="S98" s="60">
        <f>SUM(O98:R98)</f>
        <v>8313.443631</v>
      </c>
      <c r="T98" s="59">
        <f>IFERROR(T84+T85,"")</f>
        <v>2576.162126</v>
      </c>
      <c r="U98" s="59">
        <f>IFERROR(U84+U85,"")</f>
        <v>2739.34166700001</v>
      </c>
      <c r="V98" s="59">
        <f>IFERROR(V84+V85,"")</f>
        <v>2980.8986</v>
      </c>
      <c r="W98" s="59">
        <f>IFERROR(W84+W85,"")</f>
        <v>2815.048562</v>
      </c>
      <c r="X98" s="60">
        <f>SUM(T98:W98)</f>
        <v>11111.450955</v>
      </c>
      <c r="Y98" s="59">
        <f>IFERROR(Y84+Y85,"")</f>
        <v>2911.926232</v>
      </c>
      <c r="Z98" s="59">
        <f>IFERROR(Z84+Z85,"")</f>
        <v>3212.763585</v>
      </c>
      <c r="AA98" s="59">
        <f>IFERROR(AA84+AA85,"")</f>
        <v>3185.682322</v>
      </c>
      <c r="AB98" s="59">
        <f>IFERROR(AB84+AB85,"")</f>
        <v>2971.649827</v>
      </c>
      <c r="AC98" s="60">
        <f>SUM(Y98:AB98)</f>
        <v>12282.021966</v>
      </c>
      <c r="AD98" s="59">
        <f>IFERROR(AD84+AD85,"")</f>
        <v>3843.208055</v>
      </c>
      <c r="AE98" s="59">
        <f>IFERROR(AE84+AE85,"")</f>
        <v>4081.194715</v>
      </c>
      <c r="AF98" s="59">
        <f>IFERROR(AF84+AF85,"")</f>
        <v>5320.23694</v>
      </c>
      <c r="AG98" s="59">
        <f>IFERROR(AG84+AG85,"")</f>
        <v>3632.779571</v>
      </c>
      <c r="AH98" s="60">
        <f>SUM(AD98:AG98)</f>
        <v>16877.419281</v>
      </c>
      <c r="AI98" s="59">
        <f>IFERROR(AI84+AI85,"")</f>
        <v>5315.523136</v>
      </c>
      <c r="AJ98" s="59">
        <f>IFERROR(AJ84+AJ85,"")</f>
        <v>5817.77651</v>
      </c>
      <c r="AK98" s="59">
        <f>IFERROR(AK84+AK85,"")</f>
        <v>0</v>
      </c>
      <c r="AL98" s="59">
        <f>IFERROR(AL84+AL85,"")</f>
        <v>0</v>
      </c>
      <c r="AM98" s="60">
        <f>SUM(AI98:AL98)</f>
        <v>11133.299646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>SUM(AN98:AQ98)</f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>SUM(AS98:AV98)</f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>SUM(AX98:BA98)</f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>SUM(BC98:BF98)</f>
        <v>0</v>
      </c>
    </row>
    <row r="99">
      <c r="B99" s="56" t="inlineStr">
        <is>
          <t>nao_op</t>
        </is>
      </c>
      <c r="C99" s="11" t="inlineStr">
        <is>
          <t>Resultado Não Operacional</t>
        </is>
      </c>
      <c r="D99" s="12" t="inlineStr">
        <is>
          <t>Non-Operating Result</t>
        </is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-87.503271</v>
      </c>
      <c r="F99" s="57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>203.153774</v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-117.606725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48.448371</v>
      </c>
      <c r="I99" s="58">
        <f>SUM(E99:H99)</f>
        <v>46.492149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0.397585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89.403145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1411.552639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9.77762400000006</v>
      </c>
      <c r="N99" s="58">
        <f>SUM(J99:M99)</f>
        <v>1511.130993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929.987044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-1.46030399999995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37.771878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15.040256</v>
      </c>
      <c r="S99" s="58">
        <f>SUM(O99:R99)</f>
        <v>981.338874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11.966439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51.252892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111.381546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-91.651881</v>
      </c>
      <c r="X99" s="58">
        <f>SUM(T99:W99)</f>
        <v>82.948996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28.342396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-20.751763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18.146897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595.877724</v>
      </c>
      <c r="AC99" s="58">
        <f>SUM(Y99:AB99)</f>
        <v>621.615254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0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0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0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0</v>
      </c>
      <c r="AH99" s="58">
        <f>SUM(AD99:AG99)</f>
        <v>0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0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0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>SUM(AI99:AL99)</f>
        <v>0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>SUM(AN99:AQ99)</f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>SUM(AS99:AV99)</f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>SUM(AX99:BA99)</f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>SUM(BC99:BF99)</f>
        <v>0</v>
      </c>
    </row>
    <row r="100">
      <c r="C100" s="53" t="inlineStr">
        <is>
          <t>Resultado antes da Tributação e Participações</t>
        </is>
      </c>
      <c r="D100" s="54" t="inlineStr">
        <is>
          <t>Result before Taxes</t>
        </is>
      </c>
      <c r="E100" s="59">
        <f>IFERROR(E98+E99,"")</f>
        <v>250.114481</v>
      </c>
      <c r="F100" s="59">
        <f>IFERROR(F98+F99,"")</f>
        <v>1196.058292</v>
      </c>
      <c r="G100" s="59">
        <f>IFERROR(G98+G99,"")</f>
        <v>1258.218124</v>
      </c>
      <c r="H100" s="59">
        <f>IFERROR(H98+H99,"")</f>
        <v>2103.977261</v>
      </c>
      <c r="I100" s="60">
        <f>SUM(E100:H100)</f>
        <v>4808.368158</v>
      </c>
      <c r="J100" s="59">
        <f>IFERROR(J98+J99,"")</f>
        <v>1514.361368</v>
      </c>
      <c r="K100" s="59">
        <f>IFERROR(K98+K99,"")</f>
        <v>2446.521771</v>
      </c>
      <c r="L100" s="59">
        <f>IFERROR(L98+L99,"")</f>
        <v>2151.478864</v>
      </c>
      <c r="M100" s="59">
        <f>IFERROR(M98+M99,"")</f>
        <v>2106.788769</v>
      </c>
      <c r="N100" s="60">
        <f>SUM(J100:M100)</f>
        <v>8219.150772</v>
      </c>
      <c r="O100" s="59">
        <f>IFERROR(O98+O99,"")</f>
        <v>2622.351689</v>
      </c>
      <c r="P100" s="59">
        <f>IFERROR(P98+P99,"")</f>
        <v>2481.322578</v>
      </c>
      <c r="Q100" s="59">
        <f>IFERROR(Q98+Q99,"")</f>
        <v>2632.452428</v>
      </c>
      <c r="R100" s="59">
        <f>IFERROR(R98+R99,"")</f>
        <v>1558.65581</v>
      </c>
      <c r="S100" s="60">
        <f>SUM(O100:R100)</f>
        <v>9294.782505</v>
      </c>
      <c r="T100" s="59">
        <f>IFERROR(T98+T99,"")</f>
        <v>2588.128565</v>
      </c>
      <c r="U100" s="59">
        <f>IFERROR(U98+U99,"")</f>
        <v>2790.59455900001</v>
      </c>
      <c r="V100" s="59">
        <f>IFERROR(V98+V99,"")</f>
        <v>3092.280146</v>
      </c>
      <c r="W100" s="59">
        <f>IFERROR(W98+W99,"")</f>
        <v>2723.396681</v>
      </c>
      <c r="X100" s="60">
        <f>SUM(T100:W100)</f>
        <v>11194.399951</v>
      </c>
      <c r="Y100" s="59">
        <f>IFERROR(Y98+Y99,"")</f>
        <v>2940.268628</v>
      </c>
      <c r="Z100" s="59">
        <f>IFERROR(Z98+Z99,"")</f>
        <v>3192.011822</v>
      </c>
      <c r="AA100" s="59">
        <f>IFERROR(AA98+AA99,"")</f>
        <v>3203.829219</v>
      </c>
      <c r="AB100" s="59">
        <f>IFERROR(AB98+AB99,"")</f>
        <v>3567.527551</v>
      </c>
      <c r="AC100" s="60">
        <f>SUM(Y100:AB100)</f>
        <v>12903.63722</v>
      </c>
      <c r="AD100" s="59">
        <f>IFERROR(AD98+AD99,"")</f>
        <v>3843.208055</v>
      </c>
      <c r="AE100" s="59">
        <f>IFERROR(AE98+AE99,"")</f>
        <v>4081.194715</v>
      </c>
      <c r="AF100" s="59">
        <f>IFERROR(AF98+AF99,"")</f>
        <v>5320.23694</v>
      </c>
      <c r="AG100" s="59">
        <f>IFERROR(AG98+AG99,"")</f>
        <v>3632.779571</v>
      </c>
      <c r="AH100" s="60">
        <f>SUM(AD100:AG100)</f>
        <v>16877.419281</v>
      </c>
      <c r="AI100" s="59">
        <f>IFERROR(AI98+AI99,"")</f>
        <v>5315.523136</v>
      </c>
      <c r="AJ100" s="59">
        <f>IFERROR(AJ98+AJ99,"")</f>
        <v>5817.77651</v>
      </c>
      <c r="AK100" s="59">
        <f>IFERROR(AK98+AK99,"")</f>
        <v>0</v>
      </c>
      <c r="AL100" s="59">
        <f>IFERROR(AL98+AL99,"")</f>
        <v>0</v>
      </c>
      <c r="AM100" s="60">
        <f>SUM(AI100:AL100)</f>
        <v>11133.299646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>SUM(AN100:AQ100)</f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>SUM(AS100:AV100)</f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>SUM(AX100:BA100)</f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>SUM(BC100:BF100)</f>
        <v>0</v>
      </c>
    </row>
    <row r="101">
      <c r="C101" s="15" t="inlineStr">
        <is>
          <t>Imposto de Renda e Contribuição Social</t>
        </is>
      </c>
      <c r="D101" s="16" t="inlineStr">
        <is>
          <t>Income Tax and Social Contribution</t>
        </is>
      </c>
      <c r="E101" s="59">
        <f>IFERROR(E102+E103,"")</f>
        <v>517.81277</v>
      </c>
      <c r="F101" s="59">
        <f>IFERROR(F102+F103,"")</f>
        <v>-218.708293</v>
      </c>
      <c r="G101" s="59">
        <f>IFERROR(G102+G103,"")</f>
        <v>-256.249298</v>
      </c>
      <c r="H101" s="59">
        <f>IFERROR(H102+H103,"")</f>
        <v>-874.840303</v>
      </c>
      <c r="I101" s="60">
        <f>SUM(E101:H101)</f>
        <v>-831.985124</v>
      </c>
      <c r="J101" s="59">
        <f>IFERROR(J102+J103,"")</f>
        <v>-337.86487</v>
      </c>
      <c r="K101" s="59">
        <f>IFERROR(K102+K103,"")</f>
        <v>-768.124927</v>
      </c>
      <c r="L101" s="59">
        <f>IFERROR(L102+L103,"")</f>
        <v>-408.298401</v>
      </c>
      <c r="M101" s="59">
        <f>IFERROR(M102+M103,"")</f>
        <v>-362.70855</v>
      </c>
      <c r="N101" s="60">
        <f>SUM(J101:M101)</f>
        <v>-1876.996748</v>
      </c>
      <c r="O101" s="59">
        <f>IFERROR(O102+O103,"")</f>
        <v>-679.766934</v>
      </c>
      <c r="P101" s="59">
        <f>IFERROR(P102+P103,"")</f>
        <v>-414.025145</v>
      </c>
      <c r="Q101" s="59">
        <f>IFERROR(Q102+Q103,"")</f>
        <v>-451.643849</v>
      </c>
      <c r="R101" s="59">
        <f>IFERROR(R102+R103,"")</f>
        <v>92.490391</v>
      </c>
      <c r="S101" s="60">
        <f>SUM(O101:R101)</f>
        <v>-1452.945537</v>
      </c>
      <c r="T101" s="59">
        <f>IFERROR(T102+T103,"")</f>
        <v>-454.905374</v>
      </c>
      <c r="U101" s="59">
        <f>IFERROR(U102+U103,"")</f>
        <v>-349.348612</v>
      </c>
      <c r="V101" s="59">
        <f>IFERROR(V102+V103,"")</f>
        <v>-469.730474</v>
      </c>
      <c r="W101" s="59">
        <f>IFERROR(W102+W103,"")</f>
        <v>4.15000500000002</v>
      </c>
      <c r="X101" s="60">
        <f>SUM(T101:W101)</f>
        <v>-1269.834455</v>
      </c>
      <c r="Y101" s="59">
        <f>IFERROR(Y102+Y103,"")</f>
        <v>-166.597009</v>
      </c>
      <c r="Z101" s="59">
        <f>IFERROR(Z102+Z103,"")</f>
        <v>-368.626101</v>
      </c>
      <c r="AA101" s="59">
        <f>IFERROR(AA102+AA103,"")</f>
        <v>-135.720582</v>
      </c>
      <c r="AB101" s="59">
        <f>IFERROR(AB102+AB103,"")</f>
        <v>-443.306469</v>
      </c>
      <c r="AC101" s="60">
        <f>SUM(Y101:AB101)</f>
        <v>-1114.250161</v>
      </c>
      <c r="AD101" s="59">
        <f>IFERROR(AD102+AD103,"")</f>
        <v>-633.286485</v>
      </c>
      <c r="AE101" s="59">
        <f>IFERROR(AE102+AE103,"")</f>
        <v>-71.9713280000001</v>
      </c>
      <c r="AF101" s="59">
        <f>IFERROR(AF102+AF103,"")</f>
        <v>-982.860412</v>
      </c>
      <c r="AG101" s="59">
        <f>IFERROR(AG102+AG103,"")</f>
        <v>757.748538</v>
      </c>
      <c r="AH101" s="60">
        <f>SUM(AD101:AG101)</f>
        <v>-930.369687</v>
      </c>
      <c r="AI101" s="59">
        <f>IFERROR(AI102+AI103,"")</f>
        <v>-745.127441</v>
      </c>
      <c r="AJ101" s="59">
        <f>IFERROR(AJ102+AJ103,"")</f>
        <v>-916.631883</v>
      </c>
      <c r="AK101" s="59">
        <f>IFERROR(AK102+AK103,"")</f>
        <v>0</v>
      </c>
      <c r="AL101" s="59">
        <f>IFERROR(AL102+AL103,"")</f>
        <v>0</v>
      </c>
      <c r="AM101" s="60">
        <f>SUM(AI101:AL101)</f>
        <v>-1661.759324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>SUM(AN101:AQ101)</f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>SUM(AS101:AV101)</f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>SUM(AX101:BA101)</f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>SUM(BC101:BF101)</f>
        <v>0</v>
      </c>
    </row>
    <row r="102" hidden="1" outlineLevel="1">
      <c r="B102" s="56" t="inlineStr">
        <is>
          <t>ir_corr</t>
        </is>
      </c>
      <c r="C102" s="61" t="inlineStr">
        <is>
          <t>(Devidos sobre Operações do Período)</t>
        </is>
      </c>
      <c r="D102" s="62" t="inlineStr">
        <is>
          <t>(Current Tax)</t>
        </is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517.81277</v>
      </c>
      <c r="F102" s="57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>-218.708293</v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-256.249298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-874.840303</v>
      </c>
      <c r="I102" s="58">
        <f>SUM(E102:H102)</f>
        <v>-831.985124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-337.86487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-768.124927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-408.298401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-362.70855</v>
      </c>
      <c r="N102" s="58">
        <f>SUM(J102:M102)</f>
        <v>-1876.996748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-679.766934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-414.025145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-451.643849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92.490391</v>
      </c>
      <c r="S102" s="58">
        <f>SUM(O102:R102)</f>
        <v>-1452.945537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-454.905374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-349.348612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-469.730474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4.15000500000002</v>
      </c>
      <c r="X102" s="58">
        <f>SUM(T102:W102)</f>
        <v>-1269.834455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-166.597009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-368.626101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-135.720582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-443.306469</v>
      </c>
      <c r="AC102" s="58">
        <f>SUM(Y102:AB102)</f>
        <v>-1114.250161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-633.286485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-71.9713280000001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-982.860412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757.748538</v>
      </c>
      <c r="AH102" s="58">
        <f>SUM(AD102:AG102)</f>
        <v>-930.369687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-745.127441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-916.631883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>SUM(AI102:AL102)</f>
        <v>-1661.759324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>SUM(AN102:AQ102)</f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>SUM(AS102:AV102)</f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>SUM(AX102:BA102)</f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>SUM(BC102:BF102)</f>
        <v>0</v>
      </c>
    </row>
    <row r="103" hidden="1" outlineLevel="1">
      <c r="B103" s="56" t="inlineStr">
        <is>
          <t>ir_dif</t>
        </is>
      </c>
      <c r="C103" s="61" t="inlineStr">
        <is>
          <t>Referentes a Diferenças Temporárias</t>
        </is>
      </c>
      <c r="D103" s="62" t="inlineStr">
        <is>
          <t>Deferred Tax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>
      <c r="C104" s="53" t="inlineStr">
        <is>
          <t>LUCRO LÍQUIDO</t>
        </is>
      </c>
      <c r="D104" s="54" t="inlineStr">
        <is>
          <t>NET INCOME</t>
        </is>
      </c>
      <c r="E104" s="59">
        <f>IFERROR(E100+E101,"")</f>
        <v>767.927251</v>
      </c>
      <c r="F104" s="59">
        <f>IFERROR(F100+F101,"")</f>
        <v>977.349999000001</v>
      </c>
      <c r="G104" s="59">
        <f>IFERROR(G100+G101,"")</f>
        <v>1001.968826</v>
      </c>
      <c r="H104" s="59">
        <f>IFERROR(H100+H101,"")</f>
        <v>1229.136958</v>
      </c>
      <c r="I104" s="60">
        <f>SUM(E104:H104)</f>
        <v>3976.383034</v>
      </c>
      <c r="J104" s="59">
        <f>IFERROR(J100+J101,"")</f>
        <v>1176.496498</v>
      </c>
      <c r="K104" s="59">
        <f>IFERROR(K100+K101,"")</f>
        <v>1678.396844</v>
      </c>
      <c r="L104" s="59">
        <f>IFERROR(L100+L101,"")</f>
        <v>1743.180463</v>
      </c>
      <c r="M104" s="59">
        <f>IFERROR(M100+M101,"")</f>
        <v>1744.080219</v>
      </c>
      <c r="N104" s="60">
        <f>SUM(J104:M104)</f>
        <v>6342.154024</v>
      </c>
      <c r="O104" s="59">
        <f>IFERROR(O100+O101,"")</f>
        <v>1942.584755</v>
      </c>
      <c r="P104" s="59">
        <f>IFERROR(P100+P101,"")</f>
        <v>2067.297433</v>
      </c>
      <c r="Q104" s="59">
        <f>IFERROR(Q100+Q101,"")</f>
        <v>2180.808579</v>
      </c>
      <c r="R104" s="59">
        <f>IFERROR(R100+R101,"")</f>
        <v>1651.146201</v>
      </c>
      <c r="S104" s="60">
        <f>SUM(O104:R104)</f>
        <v>7841.836968</v>
      </c>
      <c r="T104" s="59">
        <f>IFERROR(T100+T101,"")</f>
        <v>2133.223191</v>
      </c>
      <c r="U104" s="59">
        <f>IFERROR(U100+U101,"")</f>
        <v>2441.24594700001</v>
      </c>
      <c r="V104" s="59">
        <f>IFERROR(V100+V101,"")</f>
        <v>2622.549672</v>
      </c>
      <c r="W104" s="59">
        <f>IFERROR(W100+W101,"")</f>
        <v>2727.546686</v>
      </c>
      <c r="X104" s="60">
        <f>SUM(T104:W104)</f>
        <v>9924.56549600001</v>
      </c>
      <c r="Y104" s="59">
        <f>IFERROR(Y100+Y101,"")</f>
        <v>2773.671619</v>
      </c>
      <c r="Z104" s="59">
        <f>IFERROR(Z100+Z101,"")</f>
        <v>2823.385721</v>
      </c>
      <c r="AA104" s="59">
        <f>IFERROR(AA100+AA101,"")</f>
        <v>3068.108637</v>
      </c>
      <c r="AB104" s="59">
        <f>IFERROR(AB100+AB101,"")</f>
        <v>3124.221082</v>
      </c>
      <c r="AC104" s="60">
        <f>SUM(Y104:AB104)</f>
        <v>11789.387059</v>
      </c>
      <c r="AD104" s="59">
        <f>IFERROR(AD100+AD101,"")</f>
        <v>3209.92157</v>
      </c>
      <c r="AE104" s="59">
        <f>IFERROR(AE100+AE101,"")</f>
        <v>4009.223387</v>
      </c>
      <c r="AF104" s="59">
        <f>IFERROR(AF100+AF101,"")</f>
        <v>4337.376528</v>
      </c>
      <c r="AG104" s="59">
        <f>IFERROR(AG100+AG101,"")</f>
        <v>4390.528109</v>
      </c>
      <c r="AH104" s="60">
        <f>SUM(AD104:AG104)</f>
        <v>15947.049594</v>
      </c>
      <c r="AI104" s="59">
        <f>IFERROR(AI100+AI101,"")</f>
        <v>4570.395695</v>
      </c>
      <c r="AJ104" s="59">
        <f>IFERROR(AJ100+AJ101,"")</f>
        <v>4901.144627</v>
      </c>
      <c r="AK104" s="59">
        <f>IFERROR(AK100+AK101,"")</f>
        <v>0</v>
      </c>
      <c r="AL104" s="59">
        <f>IFERROR(AL100+AL101,"")</f>
        <v>0</v>
      </c>
      <c r="AM104" s="60">
        <f>SUM(AI104:AL104)</f>
        <v>9471.540322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>SUM(AN104:AQ104)</f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>SUM(AS104:AV104)</f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>SUM(AX104:BA104)</f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>SUM(BC104:BF104)</f>
        <v>0</v>
      </c>
    </row>
    <row r="105">
      <c r="B105" s="56" t="inlineStr">
        <is>
          <t>ll_minor</t>
        </is>
      </c>
      <c r="C105" s="11" t="inlineStr">
        <is>
          <t>(Participação de Não Controladores)</t>
        </is>
      </c>
      <c r="D105" s="12" t="inlineStr">
        <is>
          <t>(Non-Controlling Interests)</t>
        </is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>0</v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>SUM(E105:H105)</f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0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0</v>
      </c>
      <c r="N105" s="58">
        <f>SUM(J105:M105)</f>
        <v>0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0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0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0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0</v>
      </c>
      <c r="S105" s="58">
        <f>SUM(O105:R105)</f>
        <v>0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0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0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0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0</v>
      </c>
      <c r="X105" s="58">
        <f>SUM(T105:W105)</f>
        <v>0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0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0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0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0</v>
      </c>
      <c r="AC105" s="58">
        <f>SUM(Y105:AB105)</f>
        <v>0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0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0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0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0</v>
      </c>
      <c r="AH105" s="58">
        <f>SUM(AD105:AG105)</f>
        <v>0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0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0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>SUM(AI105:AL105)</f>
        <v>0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>SUM(AN105:AQ105)</f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>SUM(AS105:AV105)</f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>SUM(AX105:BA105)</f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>SUM(BC105:BF105)</f>
        <v>0</v>
      </c>
    </row>
    <row r="106">
      <c r="C106" s="53" t="inlineStr">
        <is>
          <t>LUCRO LÍQUIDO DOS CONTROLADORES</t>
        </is>
      </c>
      <c r="D106" s="54" t="inlineStr">
        <is>
          <t>NET INCOME — CONTROLLING</t>
        </is>
      </c>
      <c r="E106" s="59">
        <f>IFERROR(E104+E105,"")</f>
        <v>767.927251</v>
      </c>
      <c r="F106" s="59">
        <f>IFERROR(F104+F105,"")</f>
        <v>977.349999000001</v>
      </c>
      <c r="G106" s="59">
        <f>IFERROR(G104+G105,"")</f>
        <v>1001.968826</v>
      </c>
      <c r="H106" s="59">
        <f>IFERROR(H104+H105,"")</f>
        <v>1229.136958</v>
      </c>
      <c r="I106" s="60">
        <f>SUM(E106:H106)</f>
        <v>3976.383034</v>
      </c>
      <c r="J106" s="59">
        <f>IFERROR(J104+J105,"")</f>
        <v>1176.496498</v>
      </c>
      <c r="K106" s="59">
        <f>IFERROR(K104+K105,"")</f>
        <v>1678.396844</v>
      </c>
      <c r="L106" s="59">
        <f>IFERROR(L104+L105,"")</f>
        <v>1743.180463</v>
      </c>
      <c r="M106" s="59">
        <f>IFERROR(M104+M105,"")</f>
        <v>1744.080219</v>
      </c>
      <c r="N106" s="60">
        <f>SUM(J106:M106)</f>
        <v>6342.154024</v>
      </c>
      <c r="O106" s="59">
        <f>IFERROR(O104+O105,"")</f>
        <v>1942.584755</v>
      </c>
      <c r="P106" s="59">
        <f>IFERROR(P104+P105,"")</f>
        <v>2067.297433</v>
      </c>
      <c r="Q106" s="59">
        <f>IFERROR(Q104+Q105,"")</f>
        <v>2180.808579</v>
      </c>
      <c r="R106" s="59">
        <f>IFERROR(R104+R105,"")</f>
        <v>1651.146201</v>
      </c>
      <c r="S106" s="60">
        <f>SUM(O106:R106)</f>
        <v>7841.836968</v>
      </c>
      <c r="T106" s="59">
        <f>IFERROR(T104+T105,"")</f>
        <v>2133.223191</v>
      </c>
      <c r="U106" s="59">
        <f>IFERROR(U104+U105,"")</f>
        <v>2441.24594700001</v>
      </c>
      <c r="V106" s="59">
        <f>IFERROR(V104+V105,"")</f>
        <v>2622.549672</v>
      </c>
      <c r="W106" s="59">
        <f>IFERROR(W104+W105,"")</f>
        <v>2727.546686</v>
      </c>
      <c r="X106" s="60">
        <f>SUM(T106:W106)</f>
        <v>9924.56549600001</v>
      </c>
      <c r="Y106" s="59">
        <f>IFERROR(Y104+Y105,"")</f>
        <v>2773.671619</v>
      </c>
      <c r="Z106" s="59">
        <f>IFERROR(Z104+Z105,"")</f>
        <v>2823.385721</v>
      </c>
      <c r="AA106" s="59">
        <f>IFERROR(AA104+AA105,"")</f>
        <v>3068.108637</v>
      </c>
      <c r="AB106" s="59">
        <f>IFERROR(AB104+AB105,"")</f>
        <v>3124.221082</v>
      </c>
      <c r="AC106" s="60">
        <f>SUM(Y106:AB106)</f>
        <v>11789.387059</v>
      </c>
      <c r="AD106" s="59">
        <f>IFERROR(AD104+AD105,"")</f>
        <v>3209.92157</v>
      </c>
      <c r="AE106" s="59">
        <f>IFERROR(AE104+AE105,"")</f>
        <v>4009.223387</v>
      </c>
      <c r="AF106" s="59">
        <f>IFERROR(AF104+AF105,"")</f>
        <v>4337.376528</v>
      </c>
      <c r="AG106" s="59">
        <f>IFERROR(AG104+AG105,"")</f>
        <v>4390.528109</v>
      </c>
      <c r="AH106" s="60">
        <f>SUM(AD106:AG106)</f>
        <v>15947.049594</v>
      </c>
      <c r="AI106" s="59">
        <f>IFERROR(AI104+AI105,"")</f>
        <v>4570.395695</v>
      </c>
      <c r="AJ106" s="59">
        <f>IFERROR(AJ104+AJ105,"")</f>
        <v>4901.144627</v>
      </c>
      <c r="AK106" s="59">
        <f>IFERROR(AK104+AK105,"")</f>
        <v>0</v>
      </c>
      <c r="AL106" s="59">
        <f>IFERROR(AL104+AL105,"")</f>
        <v>0</v>
      </c>
      <c r="AM106" s="60">
        <f>SUM(AI106:AL106)</f>
        <v>9471.540322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>SUM(AN106:AQ106)</f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>SUM(AS106:AV106)</f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>SUM(AX106:BA106)</f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>SUM(BC106:BF106)</f>
        <v>0</v>
      </c>
    </row>
    <row r="108">
      <c r="B108" s="7" t="n"/>
      <c r="C108" s="7" t="inlineStr">
        <is>
          <t>DADOS COMPLEMENTARES</t>
        </is>
      </c>
      <c r="D108" s="7" t="inlineStr">
        <is>
          <t>SUPPLEMENTARY DATA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10">
      <c r="B110" s="29" t="n"/>
      <c r="C110" s="29" t="inlineStr">
        <is>
          <t>Carteira de crédito e qualidade de ativos</t>
        </is>
      </c>
      <c r="D110" s="29" t="inlineStr">
        <is>
          <t>Loan book and asset quality</t>
        </is>
      </c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</row>
    <row r="111">
      <c r="B111" s="56" t="inlineStr">
        <is>
          <t>cart_ampl</t>
        </is>
      </c>
      <c r="C111" s="11" t="inlineStr">
        <is>
          <t>Carteira de crédito ampliada</t>
        </is>
      </c>
      <c r="D111" s="12" t="inlineStr">
        <is>
          <t>Expanded loan portfolio</t>
        </is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30671.388739</v>
      </c>
      <c r="F111" s="57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>38759.423051</v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46220.072138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50099.739686</v>
      </c>
      <c r="I111" s="58">
        <f>H111</f>
        <v>50099.739686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53501.65386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90581.505161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94638.939653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101348.91233</v>
      </c>
      <c r="N111" s="58">
        <f>M111</f>
        <v>101348.91233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105776.344829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109552.68778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110615.669317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118145.132908</v>
      </c>
      <c r="S111" s="58">
        <f>R111</f>
        <v>118145.132908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113380.852935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101198.419292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105693.918686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105975.196262</v>
      </c>
      <c r="X111" s="58">
        <f>W111</f>
        <v>105975.196262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107345.685375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122962.952516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127914.86089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173858.632422</v>
      </c>
      <c r="AC111" s="58">
        <f>AB111</f>
        <v>173858.632422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142626.697071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140462.54605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149894.098549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165294.151385</v>
      </c>
      <c r="AH111" s="58">
        <f>AG111</f>
        <v>165294.151385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175252.834503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163081.780756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>BF111</f>
        <v>0</v>
      </c>
      <c r="BI111" s="14" t="inlineStr">
        <is>
          <t>Carteira ampliada inclui avais, fianças e títulos privados. Base dos indicadores de qualidade.</t>
        </is>
      </c>
    </row>
    <row r="112">
      <c r="B112" s="56" t="inlineStr">
        <is>
          <t>cart_pf</t>
        </is>
      </c>
      <c r="C112" s="11" t="inlineStr">
        <is>
          <t>Pessoa física</t>
        </is>
      </c>
      <c r="D112" s="12" t="inlineStr">
        <is>
          <t>Individuals</t>
        </is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2001.15787</v>
      </c>
      <c r="F112" s="57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>1049.289113</v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1535.434157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1777.823971</v>
      </c>
      <c r="I112" s="58">
        <f>H112</f>
        <v>1777.823971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2546.746393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33448.231581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35073.770274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36951.269659</v>
      </c>
      <c r="N112" s="58">
        <f>M112</f>
        <v>36951.269659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38628.305404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38458.785156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39107.768211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43670.883829</v>
      </c>
      <c r="S112" s="58">
        <f>R112</f>
        <v>43670.883829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47387.200664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40437.823697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41289.735655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44282.253712</v>
      </c>
      <c r="X112" s="58">
        <f>W112</f>
        <v>44282.253712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49371.321511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52943.653781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54478.932972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58119.070428</v>
      </c>
      <c r="AC112" s="58">
        <f>AB112</f>
        <v>58119.070428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60013.193324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63784.558525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68765.252126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72612.534806</v>
      </c>
      <c r="AH112" s="58">
        <f>AG112</f>
        <v>72612.534806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78082.893226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64157.793872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>AL112</f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>AQ112</f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>AV112</f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>BA112</f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>BF112</f>
        <v>0</v>
      </c>
    </row>
    <row r="113">
      <c r="B113" s="56" t="inlineStr">
        <is>
          <t>cart_pj</t>
        </is>
      </c>
      <c r="C113" s="11" t="inlineStr">
        <is>
          <t>Pessoa jurídica</t>
        </is>
      </c>
      <c r="D113" s="12" t="inlineStr">
        <is>
          <t>Corporates</t>
        </is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28670.230868</v>
      </c>
      <c r="F113" s="57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>37710.133938</v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44684.637981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48321.915715</v>
      </c>
      <c r="I113" s="58">
        <f>H113</f>
        <v>48321.915715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50954.907467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57133.273579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59565.169379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64397.642671</v>
      </c>
      <c r="N113" s="58">
        <f>M113</f>
        <v>64397.642671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67148.039425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71093.902623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71507.901106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74474.249079</v>
      </c>
      <c r="S113" s="58">
        <f>R113</f>
        <v>74474.249079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65993.652271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60760.595595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64404.183031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61692.942549</v>
      </c>
      <c r="X113" s="58">
        <f>W113</f>
        <v>61692.942549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57974.363864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70019.298735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73435.927918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115739.561995</v>
      </c>
      <c r="AC113" s="58">
        <f>AB113</f>
        <v>115739.561995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82613.503748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76677.987524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81128.846423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92681.616579</v>
      </c>
      <c r="AH113" s="58">
        <f>AG113</f>
        <v>92681.616579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97169.941277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98923.986883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>AL113</f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>AQ113</f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>AV113</f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>BA113</f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>BF113</f>
        <v>0</v>
      </c>
    </row>
    <row r="114">
      <c r="B114" s="56" t="inlineStr">
        <is>
          <t>est1</t>
        </is>
      </c>
      <c r="C114" s="11" t="inlineStr">
        <is>
          <t>Carteira em Estágio 1</t>
        </is>
      </c>
      <c r="D114" s="12" t="inlineStr">
        <is>
          <t>Stage 1 portfolio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>AG114</f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</row>
    <row r="115">
      <c r="B115" s="56" t="inlineStr">
        <is>
          <t>est2</t>
        </is>
      </c>
      <c r="C115" s="11" t="inlineStr">
        <is>
          <t>Carteira em Estágio 2</t>
        </is>
      </c>
      <c r="D115" s="12" t="inlineStr">
        <is>
          <t>Stage 2 portfolio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>AG115</f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est3</t>
        </is>
      </c>
      <c r="C116" s="11" t="inlineStr">
        <is>
          <t>Carteira em Estágio 3</t>
        </is>
      </c>
      <c r="D116" s="12" t="inlineStr">
        <is>
          <t>Stage 3 portfolio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>AG116</f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prov_e1</t>
        </is>
      </c>
      <c r="C117" s="11" t="inlineStr">
        <is>
          <t>Saldo de provisão — Estágio 1</t>
        </is>
      </c>
      <c r="D117" s="12" t="inlineStr">
        <is>
          <t>Stage 1 allowance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>AG117</f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prov_e2</t>
        </is>
      </c>
      <c r="C118" s="11" t="inlineStr">
        <is>
          <t>Saldo de provisão — Estágio 2</t>
        </is>
      </c>
      <c r="D118" s="12" t="inlineStr">
        <is>
          <t>Stage 2 allowance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prov_e3</t>
        </is>
      </c>
      <c r="C119" s="11" t="inlineStr">
        <is>
          <t>Saldo de provisão — Estágio 3</t>
        </is>
      </c>
      <c r="D119" s="12" t="inlineStr">
        <is>
          <t>Stage 3 allowance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prov_tot</t>
        </is>
      </c>
      <c r="C120" s="15" t="inlineStr">
        <is>
          <t>Saldo total de provisão</t>
        </is>
      </c>
      <c r="D120" s="16" t="inlineStr">
        <is>
          <t>Total allowance</t>
        </is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1305.841168</v>
      </c>
      <c r="F120" s="67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>1682.91021</v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1738.590349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1804.55984</v>
      </c>
      <c r="I120" s="58">
        <f>H120</f>
        <v>1804.55984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1196.132689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2954.942464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2936.508597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3239.091495</v>
      </c>
      <c r="N120" s="58">
        <f>M120</f>
        <v>3239.091495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3651.977227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3656.901994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3809.141601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5267.689492</v>
      </c>
      <c r="S120" s="58">
        <f>R120</f>
        <v>5267.689492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4313.396665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4018.675361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3962.96142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3843.323891</v>
      </c>
      <c r="X120" s="58">
        <f>W120</f>
        <v>3843.323891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4041.110673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4740.445212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4992.15067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5124.332088</v>
      </c>
      <c r="AC120" s="58">
        <f>AB120</f>
        <v>5124.332088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9251.787392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10968.378812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12269.616337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13225.041209</v>
      </c>
      <c r="AH120" s="58">
        <f>AG120</f>
        <v>13225.041209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14071.148596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15743.367736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>AL120</f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>AQ120</f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>AV120</f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>BA120</f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>BF120</f>
        <v>0</v>
      </c>
    </row>
    <row r="121">
      <c r="B121" s="56" t="inlineStr">
        <is>
          <t>npl90</t>
        </is>
      </c>
      <c r="C121" s="11" t="inlineStr">
        <is>
          <t>Operações vencidas acima de 90 dias</t>
        </is>
      </c>
      <c r="D121" s="12" t="inlineStr">
        <is>
          <t>Loans overdue &gt; 90 days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>M121</f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>R121</f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>W121</f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>AB121</f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6400.442958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7788.402894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8746.991683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8815.711655</v>
      </c>
      <c r="AH121" s="58">
        <f>AG121</f>
        <v>8815.711655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10067.567808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10828.503001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npl15</t>
        </is>
      </c>
      <c r="C122" s="11" t="inlineStr">
        <is>
          <t>Operações vencidas de 15 a 90 dias</t>
        </is>
      </c>
      <c r="D122" s="12" t="inlineStr">
        <is>
          <t>Loans overdue 15-90 days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wo</t>
        </is>
      </c>
      <c r="C123" s="11" t="inlineStr">
        <is>
          <t>Write-off do período</t>
        </is>
      </c>
      <c r="D123" s="12" t="inlineStr">
        <is>
          <t>Write-offs in the period</t>
        </is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>0</v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0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0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0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0</v>
      </c>
      <c r="AC123" s="58">
        <f>SUM(Y123:AB123)</f>
        <v>0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0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0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0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0</v>
      </c>
      <c r="AH123" s="58">
        <f>SUM(AD123:AG123)</f>
        <v>0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0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0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0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>
      <c r="B124" s="56" t="inlineStr">
        <is>
          <t>reneg</t>
        </is>
      </c>
      <c r="C124" s="11" t="inlineStr">
        <is>
          <t>Carteira renegociada</t>
        </is>
      </c>
      <c r="D124" s="12" t="inlineStr">
        <is>
          <t>Renegotiated portfolio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>
      <c r="B126" s="29" t="n"/>
      <c r="C126" s="29" t="inlineStr">
        <is>
          <t>Margem financeira e base de ativos</t>
        </is>
      </c>
      <c r="D126" s="29" t="inlineStr">
        <is>
          <t>Net interest income and asset base</t>
        </is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</row>
    <row r="127">
      <c r="B127" s="56" t="inlineStr">
        <is>
          <t>mf_cli</t>
        </is>
      </c>
      <c r="C127" s="11" t="inlineStr">
        <is>
          <t>Margem financeira com clientes (reportada)</t>
        </is>
      </c>
      <c r="D127" s="12" t="inlineStr">
        <is>
          <t>NII with clients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>
      <c r="B128" s="56" t="inlineStr">
        <is>
          <t>mf_mkt</t>
        </is>
      </c>
      <c r="C128" s="11" t="inlineStr">
        <is>
          <t>Margem financeira com o mercado (reportada)</t>
        </is>
      </c>
      <c r="D128" s="12" t="inlineStr">
        <is>
          <t>NII with market</t>
        </is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>0</v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>
      <c r="B129" s="56" t="inlineStr">
        <is>
          <t>at_rent</t>
        </is>
      </c>
      <c r="C129" s="11" t="inlineStr">
        <is>
          <t>Ativos rentáveis (saldo fim de período)</t>
        </is>
      </c>
      <c r="D129" s="12" t="inlineStr">
        <is>
          <t>Earning assets, eop</t>
        </is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0</v>
      </c>
      <c r="F129" s="57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>0</v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0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0</v>
      </c>
      <c r="I129" s="58">
        <f>H129</f>
        <v>0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0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0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0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0</v>
      </c>
      <c r="N129" s="58">
        <f>M129</f>
        <v>0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0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0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0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0</v>
      </c>
      <c r="S129" s="58">
        <f>R129</f>
        <v>0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0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0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0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0</v>
      </c>
      <c r="X129" s="58">
        <f>W129</f>
        <v>0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0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0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0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0</v>
      </c>
      <c r="AC129" s="58">
        <f>AB129</f>
        <v>0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0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0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0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0</v>
      </c>
      <c r="AH129" s="58">
        <f>AG129</f>
        <v>0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0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0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>
      <c r="B130" s="56" t="inlineStr">
        <is>
          <t>pas_oner</t>
        </is>
      </c>
      <c r="C130" s="11" t="inlineStr">
        <is>
          <t>Passivos onerosos (saldo fim de período)</t>
        </is>
      </c>
      <c r="D130" s="12" t="inlineStr">
        <is>
          <t>Interest-bearing liabilities, eop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>
      <c r="B132" s="29" t="n"/>
      <c r="C132" s="29" t="inlineStr">
        <is>
          <t>Capital regulatório e liquidez</t>
        </is>
      </c>
      <c r="D132" s="29" t="inlineStr">
        <is>
          <t>Regulatory capital and liquidity</t>
        </is>
      </c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</row>
    <row r="133">
      <c r="B133" s="56" t="inlineStr">
        <is>
          <t>rwa</t>
        </is>
      </c>
      <c r="C133" s="11" t="inlineStr">
        <is>
          <t>Ativos Ponderados pelo Risco (RWA)</t>
        </is>
      </c>
      <c r="D133" s="12" t="inlineStr">
        <is>
          <t>Risk-Weighted Assets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115434.263481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135333.949981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152143.079182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156882.035431</v>
      </c>
      <c r="I133" s="58">
        <f>H133</f>
        <v>156882.035431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176416.184574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203238.532331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225765.15386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247493.322207</v>
      </c>
      <c r="N133" s="58">
        <f>M133</f>
        <v>247493.322207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263120.157217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281403.569011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300745.849577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308025.510637</v>
      </c>
      <c r="S133" s="58">
        <f>R133</f>
        <v>308025.510637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305107.314266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345553.511295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338941.241979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365907.126599</v>
      </c>
      <c r="X133" s="58">
        <f>W133</f>
        <v>365907.126599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383828.202452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404601.320168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428700.986167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456270.599296</v>
      </c>
      <c r="AC133" s="58">
        <f>AB133</f>
        <v>456270.599296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471654.868097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493090.147479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541869.358479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582741.932473</v>
      </c>
      <c r="AH133" s="58">
        <f>AG133</f>
        <v>582741.932473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608004.244432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641034.11015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  <c r="BI133" s="14" t="inlineStr">
        <is>
          <t>Se o RWA não for divulgado, use RWA = Ativo total × driver em Inputs!RWA/Ativo.</t>
        </is>
      </c>
    </row>
    <row r="134">
      <c r="B134" s="56" t="inlineStr">
        <is>
          <t>rwa_cred</t>
        </is>
      </c>
      <c r="C134" s="11" t="inlineStr">
        <is>
          <t>RWA de crédito</t>
        </is>
      </c>
      <c r="D134" s="12" t="inlineStr">
        <is>
          <t>Credit RWA</t>
        </is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76582.03991</v>
      </c>
      <c r="F134" s="57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>97693.465487</v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110036.813761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120997.355603</v>
      </c>
      <c r="I134" s="58">
        <f>H134</f>
        <v>120997.355603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136582.109531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167996.503249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183481.647767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203488.396424</v>
      </c>
      <c r="N134" s="58">
        <f>M134</f>
        <v>203488.396424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200431.705379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217914.973986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224504.929496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236140.756022</v>
      </c>
      <c r="S134" s="58">
        <f>R134</f>
        <v>236140.756022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234534.152737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240865.534174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229488.210236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242672.327409</v>
      </c>
      <c r="X134" s="58">
        <f>W134</f>
        <v>242672.327409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258812.381636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283646.226089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294381.809169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307257.117131</v>
      </c>
      <c r="AC134" s="58">
        <f>AB134</f>
        <v>307257.117131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326250.630288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328185.509045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358548.369746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389349.144066</v>
      </c>
      <c r="AH134" s="58">
        <f>AG134</f>
        <v>389349.144066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427027.220914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442169.648425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>AL134</f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>AQ134</f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>AV134</f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>BA134</f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>BF134</f>
        <v>0</v>
      </c>
    </row>
    <row r="135">
      <c r="B135" s="56" t="inlineStr">
        <is>
          <t>rwa_mkt</t>
        </is>
      </c>
      <c r="C135" s="11" t="inlineStr">
        <is>
          <t>RWA de mercado</t>
        </is>
      </c>
      <c r="D135" s="12" t="inlineStr">
        <is>
          <t>Market RWA</t>
        </is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30892.9</v>
      </c>
      <c r="F135" s="57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>29681.160923</v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35081.01054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28859.424946</v>
      </c>
      <c r="I135" s="58">
        <f>H135</f>
        <v>28859.424946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29891.053898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25299.007937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25089.624634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26811.044325</v>
      </c>
      <c r="N135" s="58">
        <f>M135</f>
        <v>26811.044325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39133.155013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39933.298201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52713.323529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48357.158063</v>
      </c>
      <c r="S135" s="58">
        <f>R135</f>
        <v>48357.158063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44958.138975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79072.954566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79608.416989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93390.184436</v>
      </c>
      <c r="X135" s="58">
        <f>W135</f>
        <v>93390.184436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91260.63294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87199.906203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97278.620312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111972.925479</v>
      </c>
      <c r="AC135" s="58">
        <f>AB135</f>
        <v>111972.925479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103581.209444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123081.61007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139928.205399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149873.297504</v>
      </c>
      <c r="AH135" s="58">
        <f>AG135</f>
        <v>149873.297504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134373.283303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152260.72151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>AL135</f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>AQ135</f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>AV135</f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>BA135</f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>BF135</f>
        <v>0</v>
      </c>
    </row>
    <row r="136">
      <c r="B136" s="56" t="inlineStr">
        <is>
          <t>rwa_op</t>
        </is>
      </c>
      <c r="C136" s="11" t="inlineStr">
        <is>
          <t>RWA operacional</t>
        </is>
      </c>
      <c r="D136" s="12" t="inlineStr">
        <is>
          <t>Operational RWA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7959.323571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7959.323571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7025.254881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7025.254881</v>
      </c>
      <c r="I136" s="58">
        <f>H136</f>
        <v>7025.254881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9943.021145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9943.021145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17193.881458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17193.881458</v>
      </c>
      <c r="N136" s="58">
        <f>M136</f>
        <v>17193.881458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23555.296824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23555.296824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23527.596552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23527.596552</v>
      </c>
      <c r="S136" s="58">
        <f>R136</f>
        <v>23527.596552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25615.022554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25615.022554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29844.614754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29844.614754</v>
      </c>
      <c r="X136" s="58">
        <f>W136</f>
        <v>29844.614754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33755.187876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33755.187876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37040.556686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37040.556686</v>
      </c>
      <c r="AC136" s="58">
        <f>AB136</f>
        <v>37040.556686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41823.028364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41823.028364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43392.783334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43519.490903</v>
      </c>
      <c r="AH136" s="58">
        <f>AG136</f>
        <v>43519.490903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46603.740215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46603.740215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</row>
    <row r="137">
      <c r="B137" s="56" t="inlineStr">
        <is>
          <t>pr</t>
        </is>
      </c>
      <c r="C137" s="11" t="inlineStr">
        <is>
          <t>Patrimônio de Referência (PR)</t>
        </is>
      </c>
      <c r="D137" s="12" t="inlineStr">
        <is>
          <t>Regulatory capital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22375.204425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26570.917951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26635.597338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26132.889887</v>
      </c>
      <c r="I137" s="58">
        <f>H137</f>
        <v>26132.889887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31160.09666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35059.517741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36249.23098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38792.959422</v>
      </c>
      <c r="N137" s="58">
        <f>M137</f>
        <v>38792.959422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39418.68975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42721.454425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45711.203752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46453.352959</v>
      </c>
      <c r="S137" s="58">
        <f>R137</f>
        <v>46453.352959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47341.30194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53311.7418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58872.342786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64105.878261</v>
      </c>
      <c r="X137" s="58">
        <f>W137</f>
        <v>64105.878261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62939.203914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65366.845493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70400.638499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71663.405106</v>
      </c>
      <c r="AC137" s="58">
        <f>AB137</f>
        <v>71663.405106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73909.798119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79635.809821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84234.939102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90343.985686</v>
      </c>
      <c r="AH137" s="58">
        <f>AG137</f>
        <v>90343.985686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96751.380323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102835.686087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nivel1</t>
        </is>
      </c>
      <c r="C138" s="11" t="inlineStr">
        <is>
          <t>Capital Nível I</t>
        </is>
      </c>
      <c r="D138" s="12" t="inlineStr">
        <is>
          <t>Tier 1 capital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17662.414275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21642.348268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21905.699545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22087.705038</v>
      </c>
      <c r="I138" s="58">
        <f>H138</f>
        <v>22087.705038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26842.803273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31212.868991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32539.244414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33657.719972</v>
      </c>
      <c r="N138" s="58">
        <f>M138</f>
        <v>33657.719972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34791.993557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37608.179084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39068.098748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39362.81435</v>
      </c>
      <c r="S138" s="58">
        <f>R138</f>
        <v>39362.81435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40209.067161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42722.741891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44325.439443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46334.52649</v>
      </c>
      <c r="X138" s="58">
        <f>W138</f>
        <v>46334.52649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48073.66064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49965.65829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55077.705835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56350.257601</v>
      </c>
      <c r="AC138" s="58">
        <f>AB138</f>
        <v>56350.257601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58513.128728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64226.639412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67217.987824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72486.620152</v>
      </c>
      <c r="AH138" s="58">
        <f>AG138</f>
        <v>72486.620152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75635.919778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80799.775869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cet1</t>
        </is>
      </c>
      <c r="C139" s="11" t="inlineStr">
        <is>
          <t>Capital Principal (CET1)</t>
        </is>
      </c>
      <c r="D139" s="12" t="inlineStr">
        <is>
          <t>Common Equity Tier 1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17281.598536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21262.101932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21529.284524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21710.355365</v>
      </c>
      <c r="I139" s="58">
        <f>H139</f>
        <v>21710.355365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26468.338766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30829.226074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32157.332122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33266.891465</v>
      </c>
      <c r="N139" s="58">
        <f>M139</f>
        <v>33266.891465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34407.196718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37208.617994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38680.630435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38933.970292</v>
      </c>
      <c r="S139" s="58">
        <f>R139</f>
        <v>38933.970292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39785.439761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42284.456686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43901.620634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45911.863447</v>
      </c>
      <c r="X139" s="58">
        <f>W139</f>
        <v>45911.863447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47665.611969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49547.709792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52617.05149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53817.134667</v>
      </c>
      <c r="AC139" s="58">
        <f>AB139</f>
        <v>53817.134667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55259.44117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59317.603052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62303.65326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65950.614425</v>
      </c>
      <c r="AH139" s="58">
        <f>AG139</f>
        <v>65950.614425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69045.748551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74275.831341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ib_rep</t>
        </is>
      </c>
      <c r="C140" s="11" t="inlineStr">
        <is>
          <t>Índice de Basileia reportado (%)</t>
        </is>
      </c>
      <c r="D140" s="12" t="inlineStr">
        <is>
          <t>Reported Basel ratio</t>
        </is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0.193835</v>
      </c>
      <c r="F140" s="68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0.196336</v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0.175069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0.166577</v>
      </c>
      <c r="I140" s="69">
        <f>H140</f>
        <v>0.166577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0.176628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0.172504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0.160562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0.156743</v>
      </c>
      <c r="N140" s="69">
        <f>M140</f>
        <v>0.156743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0.149813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0.151816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0.151993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0.15081</v>
      </c>
      <c r="S140" s="69">
        <f>R140</f>
        <v>0.15081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0.155163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0.154279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0.173695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0.175197</v>
      </c>
      <c r="X140" s="69">
        <f>W140</f>
        <v>0.175197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0.163978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0.161559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0.164219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0.157063</v>
      </c>
      <c r="AC140" s="69">
        <f>AB140</f>
        <v>0.157063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0.156703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0.161504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0.155452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0.155033</v>
      </c>
      <c r="AH140" s="69">
        <f>AG140</f>
        <v>0.155033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0.159129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0.160422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>AL140</f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>AQ140</f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>AV140</f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>BA140</f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>BF140</f>
        <v>0</v>
      </c>
    </row>
    <row r="141">
      <c r="B141" s="56" t="inlineStr">
        <is>
          <t>in1_rep</t>
        </is>
      </c>
      <c r="C141" s="11" t="inlineStr">
        <is>
          <t>Índice de Nível I reportado (%)</t>
        </is>
      </c>
      <c r="D141" s="12" t="inlineStr">
        <is>
          <t>Reported Tier 1 ratio</t>
        </is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0.153008</v>
      </c>
      <c r="F141" s="68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0.159918</v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0.143981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0.140792</v>
      </c>
      <c r="I141" s="69">
        <f>H141</f>
        <v>0.140792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0.152156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0.153578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0.144129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0.135994</v>
      </c>
      <c r="N141" s="69">
        <f>M141</f>
        <v>0.135994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0.132229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0.133645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0.129904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0.127791</v>
      </c>
      <c r="S141" s="69">
        <f>R141</f>
        <v>0.127791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0.131787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0.123636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0.130776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0.126629</v>
      </c>
      <c r="X141" s="69">
        <f>W141</f>
        <v>0.126629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0.125248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0.123494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0.128476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0.123502</v>
      </c>
      <c r="AC141" s="69">
        <f>AB141</f>
        <v>0.123502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0.124059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0.130253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0.124048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0.124389</v>
      </c>
      <c r="AH141" s="69">
        <f>AG141</f>
        <v>0.124389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0.1244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0.126046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>AL141</f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>AQ141</f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>AV141</f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>BA141</f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>BF141</f>
        <v>0</v>
      </c>
    </row>
    <row r="142">
      <c r="B142" s="56" t="inlineStr">
        <is>
          <t>icp_rep</t>
        </is>
      </c>
      <c r="C142" s="11" t="inlineStr">
        <is>
          <t>Índice de Capital Principal reportado (%)</t>
        </is>
      </c>
      <c r="D142" s="12" t="inlineStr">
        <is>
          <t>Reported CET1 ratio</t>
        </is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0.149709</v>
      </c>
      <c r="F142" s="68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0.157108</v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0.141507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0.138386</v>
      </c>
      <c r="I142" s="69">
        <f>H142</f>
        <v>0.138386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0.150034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0.15169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0.142437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0.134415</v>
      </c>
      <c r="N142" s="69">
        <f>M142</f>
        <v>0.134415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0.130766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0.132225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0.128616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0.126399</v>
      </c>
      <c r="S142" s="69">
        <f>R142</f>
        <v>0.126399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0.130398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0.122367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0.129526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0.125474</v>
      </c>
      <c r="X142" s="69">
        <f>W142</f>
        <v>0.125474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0.124185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0.122461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0.122736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0.11795</v>
      </c>
      <c r="AC142" s="69">
        <f>AB142</f>
        <v>0.11795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0.117161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0.120298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0.114979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0.113173</v>
      </c>
      <c r="AH142" s="69">
        <f>AG142</f>
        <v>0.113173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0.113561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0.115869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>AL142</f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>AQ142</f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>AV142</f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>BA142</f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>BF142</f>
        <v>0</v>
      </c>
    </row>
    <row r="143">
      <c r="B143" s="56" t="inlineStr">
        <is>
          <t>alav</t>
        </is>
      </c>
      <c r="C143" s="11" t="inlineStr">
        <is>
          <t>Razão de Alavancagem (%)</t>
        </is>
      </c>
      <c r="D143" s="12" t="inlineStr">
        <is>
          <t>Leverage ratio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0.071559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0.078848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0.081612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0.073682</v>
      </c>
      <c r="I143" s="69">
        <f>H143</f>
        <v>0.073682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0.078298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0.070819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0.073025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0.083433</v>
      </c>
      <c r="N143" s="69">
        <f>M143</f>
        <v>0.083433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0.079805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0.07146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0.072361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0.075308</v>
      </c>
      <c r="S143" s="69">
        <f>R143</f>
        <v>0.075308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0.073949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0.075461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0.081949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0.082032</v>
      </c>
      <c r="X143" s="69">
        <f>W143</f>
        <v>0.082032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0.078108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0.076003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0.07964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0.083768</v>
      </c>
      <c r="AC143" s="69">
        <f>AB143</f>
        <v>0.083768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0.086603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0.091134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0.090986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0.085855</v>
      </c>
      <c r="AH143" s="69">
        <f>AG143</f>
        <v>0.085855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0.101605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0.092579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lcr</t>
        </is>
      </c>
      <c r="C144" s="11" t="inlineStr">
        <is>
          <t>LCR (%)</t>
        </is>
      </c>
      <c r="D144" s="12" t="inlineStr">
        <is>
          <t>Liquidity Coverage Ratio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nsfr</t>
        </is>
      </c>
      <c r="C145" s="11" t="inlineStr">
        <is>
          <t>NSFR (%)</t>
        </is>
      </c>
      <c r="D145" s="12" t="inlineStr">
        <is>
          <t>Net Stable Funding Ratio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7">
      <c r="B147" s="29" t="n"/>
      <c r="C147" s="29" t="inlineStr">
        <is>
          <t>Ações, proventos e dados operacionais</t>
        </is>
      </c>
      <c r="D147" s="29" t="inlineStr">
        <is>
          <t>Shares, dividends and operating data</t>
        </is>
      </c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</row>
    <row r="148">
      <c r="B148" s="56" t="inlineStr">
        <is>
          <t>acoes</t>
        </is>
      </c>
      <c r="C148" s="11" t="inlineStr">
        <is>
          <t>Ações ex-tesouraria no fim do período (milhões)</t>
        </is>
      </c>
      <c r="D148" s="12" t="inlineStr">
        <is>
          <t>Shares outstanding, eop (mn)</t>
        </is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3506.366529</v>
      </c>
      <c r="F148" s="70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3616.942629</v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3616.942629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3616.942629</v>
      </c>
      <c r="I148" s="71">
        <f>H148</f>
        <v>3616.942629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3728.053741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3825.661741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3825.661741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3835.373309</v>
      </c>
      <c r="N148" s="71">
        <f>M148</f>
        <v>3835.373309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3834.525409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3832.160409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3830.825509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3825.373309</v>
      </c>
      <c r="S148" s="71">
        <f>R148</f>
        <v>3825.373309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3811.253709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3811.253709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3811.253709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3811.253709</v>
      </c>
      <c r="X148" s="71">
        <f>W148</f>
        <v>3811.253709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3811.253709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3811.253709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3811.253709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3807.903709</v>
      </c>
      <c r="AC148" s="71">
        <f>AB148</f>
        <v>3807.903709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3807.903709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3807.903709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3807.903709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3862.551555</v>
      </c>
      <c r="AH148" s="71">
        <f>AG148</f>
        <v>3862.551555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3862.551555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3862.551555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>
      <c r="B149" s="56" t="inlineStr">
        <is>
          <t>div_decl</t>
        </is>
      </c>
      <c r="C149" s="11" t="inlineStr">
        <is>
          <t>Dividendos declarados no período</t>
        </is>
      </c>
      <c r="D149" s="12" t="inlineStr">
        <is>
          <t>Dividends declared</t>
        </is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>
      <c r="B150" s="56" t="inlineStr">
        <is>
          <t>jcp_decl</t>
        </is>
      </c>
      <c r="C150" s="11" t="inlineStr">
        <is>
          <t>Juros sobre capital próprio declarados</t>
        </is>
      </c>
      <c r="D150" s="12" t="inlineStr">
        <is>
          <t>Interest on own capital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532.999901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563</v>
      </c>
      <c r="I150" s="58">
        <f>SUM(E150:H150)</f>
        <v>1095.999901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650.000511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825</v>
      </c>
      <c r="N150" s="58">
        <f>SUM(J150:M150)</f>
        <v>1475.000511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1200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1315</v>
      </c>
      <c r="S150" s="58">
        <f>SUM(O150:R150)</f>
        <v>2515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1530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1445</v>
      </c>
      <c r="X150" s="58">
        <f>SUM(T150:W150)</f>
        <v>2975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1550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1719.817618</v>
      </c>
      <c r="AC150" s="58">
        <f>SUM(Y150:AB150)</f>
        <v>3269.817618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2299.999698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2449.998216</v>
      </c>
      <c r="AH150" s="58">
        <f>SUM(AD150:AG150)</f>
        <v>4749.997914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>
      <c r="B151" s="56" t="inlineStr">
        <is>
          <t>preco</t>
        </is>
      </c>
      <c r="C151" s="11" t="inlineStr">
        <is>
          <t>Preço da ação no fechamento</t>
        </is>
      </c>
      <c r="D151" s="12" t="inlineStr">
        <is>
          <t>Closing share price</t>
        </is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73">
        <f>M151</f>
        <v>0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73">
        <f>R151</f>
        <v>0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73">
        <f>W151</f>
        <v>0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73">
        <f>AB151</f>
        <v>0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73">
        <f>AG151</f>
        <v>0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>
      <c r="B153" s="29" t="n"/>
      <c r="C153" s="29" t="inlineStr">
        <is>
          <t>Dados operacionais</t>
        </is>
      </c>
      <c r="D153" s="29" t="inlineStr">
        <is>
          <t>Operating data</t>
        </is>
      </c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</row>
    <row r="154">
      <c r="B154" s="56" t="inlineStr">
        <is>
          <t>funcion</t>
        </is>
      </c>
      <c r="C154" s="11" t="inlineStr">
        <is>
          <t>Número de colaboradores</t>
        </is>
      </c>
      <c r="D154" s="12" t="inlineStr">
        <is>
          <t>Headcount</t>
        </is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2773</v>
      </c>
      <c r="F154" s="57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>2855</v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3173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3515</v>
      </c>
      <c r="I154" s="58">
        <f>H154</f>
        <v>3515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3824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4175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4903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5211</v>
      </c>
      <c r="N154" s="58">
        <f>M154</f>
        <v>5211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6293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6430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6695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6963</v>
      </c>
      <c r="S154" s="58">
        <f>R154</f>
        <v>6963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7097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7122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7162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7177</v>
      </c>
      <c r="X154" s="58">
        <f>W154</f>
        <v>7177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7514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7560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7633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8188</v>
      </c>
      <c r="AC154" s="58">
        <f>AB154</f>
        <v>8188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8543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8854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9367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9509</v>
      </c>
      <c r="AH154" s="58">
        <f>AG154</f>
        <v>9509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11829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12169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>
      <c r="B155" s="56" t="inlineStr">
        <is>
          <t>agencias</t>
        </is>
      </c>
      <c r="C155" s="11" t="inlineStr">
        <is>
          <t>Número de agências e postos de atendimento</t>
        </is>
      </c>
      <c r="D155" s="12" t="inlineStr">
        <is>
          <t>Branches and service points</t>
        </is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>
      <c r="B156" s="56" t="inlineStr">
        <is>
          <t>clientes</t>
        </is>
      </c>
      <c r="C156" s="11" t="inlineStr">
        <is>
          <t>Base de clientes (mil)</t>
        </is>
      </c>
      <c r="D156" s="12" t="inlineStr">
        <is>
          <t>Client base (k)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M156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R156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W156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AB156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AG156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>
      <c r="B158" s="29" t="n"/>
      <c r="C158" s="29" t="inlineStr">
        <is>
          <t>Carteira de crédito por produto (quando a fonte abre)</t>
        </is>
      </c>
      <c r="D158" s="29" t="inlineStr">
        <is>
          <t>Loan book by product, when disclosed</t>
        </is>
      </c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</row>
    <row r="159" hidden="1" outlineLevel="1">
      <c r="B159" s="56" t="inlineStr">
        <is>
          <t>cart_cartao</t>
        </is>
      </c>
      <c r="C159" s="11" t="inlineStr">
        <is>
          <t>Cartão de crédito</t>
        </is>
      </c>
      <c r="D159" s="12" t="inlineStr">
        <is>
          <t>Credit card</t>
        </is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0.00357</v>
      </c>
      <c r="F159" s="57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>0.581374</v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7.080304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41.845996</v>
      </c>
      <c r="I159" s="58">
        <f>H159</f>
        <v>41.845996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139.799449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5048.370174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5748.726961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6522.409533</v>
      </c>
      <c r="N159" s="58">
        <f>M159</f>
        <v>6522.409533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6883.135877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7322.905259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8275.890454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9283.380601</v>
      </c>
      <c r="S159" s="58">
        <f>R159</f>
        <v>9283.380601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9356.483823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9133.91937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7593.324475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7069.694081</v>
      </c>
      <c r="X159" s="58">
        <f>W159</f>
        <v>7069.694081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6593.517315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6427.8467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6023.816019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6502.349371</v>
      </c>
      <c r="AC159" s="58">
        <f>AB159</f>
        <v>6502.349371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7089.690982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7456.402335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7823.440807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7925.424055</v>
      </c>
      <c r="AH159" s="58">
        <f>AG159</f>
        <v>7925.424055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8006.81614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8269.569495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>BF159</f>
        <v>0</v>
      </c>
    </row>
    <row r="160" hidden="1" outlineLevel="1">
      <c r="B160" s="56" t="inlineStr">
        <is>
          <t>cart_consig</t>
        </is>
      </c>
      <c r="C160" s="11" t="inlineStr">
        <is>
          <t>Crédito consignado</t>
        </is>
      </c>
      <c r="D160" s="12" t="inlineStr">
        <is>
          <t>Payroll loans</t>
        </is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114.380945</v>
      </c>
      <c r="F160" s="57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>89.775138</v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69.814793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58.768283</v>
      </c>
      <c r="I160" s="58">
        <f>H160</f>
        <v>58.768283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53.625673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11760.409058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9996.202804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8162.335844</v>
      </c>
      <c r="N160" s="58">
        <f>M160</f>
        <v>8162.335844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7868.717501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8279.8207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8362.828495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11236.313947</v>
      </c>
      <c r="S160" s="58">
        <f>R160</f>
        <v>11236.313947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13003.658779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8457.215556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9113.018771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10422.293889</v>
      </c>
      <c r="X160" s="58">
        <f>W160</f>
        <v>10422.293889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12838.764497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14443.207784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15343.612561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14890.882703</v>
      </c>
      <c r="AC160" s="58">
        <f>AB160</f>
        <v>14890.882703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14734.88671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15367.201814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16513.894657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17616.031346</v>
      </c>
      <c r="AH160" s="58">
        <f>AG160</f>
        <v>17616.031346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22457.89419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23261.095994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>AL160</f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>AQ160</f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>AV160</f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>BA160</f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>BF160</f>
        <v>0</v>
      </c>
    </row>
    <row r="161" hidden="1" outlineLevel="1">
      <c r="B161" s="56" t="inlineStr">
        <is>
          <t>cart_veic</t>
        </is>
      </c>
      <c r="C161" s="11" t="inlineStr">
        <is>
          <t>Veículos</t>
        </is>
      </c>
      <c r="D161" s="12" t="inlineStr">
        <is>
          <t>Auto loans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13479.422848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14146.233796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14782.696751</v>
      </c>
      <c r="N161" s="58">
        <f>M161</f>
        <v>14782.696751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15119.598961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15203.950413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15699.11374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16449.357513</v>
      </c>
      <c r="S161" s="58">
        <f>R161</f>
        <v>16449.357513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17497.359476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18510.491841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19608.885446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21584.741614</v>
      </c>
      <c r="X161" s="58">
        <f>W161</f>
        <v>21584.741614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24050.335452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26099.117524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27724.020714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29471.729576</v>
      </c>
      <c r="AC161" s="58">
        <f>AB161</f>
        <v>29471.729576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31220.72335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33242.186079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35369.989173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37742.963025</v>
      </c>
      <c r="AH161" s="58">
        <f>AG161</f>
        <v>37742.963025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38615.319602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23678.6333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 hidden="1" outlineLevel="1">
      <c r="B162" s="56" t="inlineStr">
        <is>
          <t>cart_imob</t>
        </is>
      </c>
      <c r="C162" s="11" t="inlineStr">
        <is>
          <t>Imobiliário</t>
        </is>
      </c>
      <c r="D162" s="12" t="inlineStr">
        <is>
          <t>Mortgages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4.966208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4.991559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5.129265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5.350251</v>
      </c>
      <c r="I162" s="58">
        <f>H162</f>
        <v>5.350251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5.526818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79.419398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68.915913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63.695267</v>
      </c>
      <c r="N162" s="58">
        <f>M162</f>
        <v>63.695267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62.319693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61.466287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57.826653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53.960043</v>
      </c>
      <c r="S162" s="58">
        <f>R162</f>
        <v>53.960043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52.678982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50.922257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48.591004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46.747227</v>
      </c>
      <c r="X162" s="58">
        <f>W162</f>
        <v>46.747227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43.357907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41.75429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40.155751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70.665681</v>
      </c>
      <c r="AC162" s="58">
        <f>AB162</f>
        <v>70.665681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78.585733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105.989296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131.132159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163.761494</v>
      </c>
      <c r="AH162" s="58">
        <f>AG162</f>
        <v>163.761494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184.668804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204.909794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 hidden="1" outlineLevel="1">
      <c r="B163" s="56" t="inlineStr">
        <is>
          <t>cart_rural</t>
        </is>
      </c>
      <c r="C163" s="11" t="inlineStr">
        <is>
          <t>Rural e agronegócio</t>
        </is>
      </c>
      <c r="D163" s="12" t="inlineStr">
        <is>
          <t>Agribusiness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34.194782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35.433154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36.595262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33.797461</v>
      </c>
      <c r="I163" s="58">
        <f>H163</f>
        <v>33.797461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36.292704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239.763943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311.610545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415.932206</v>
      </c>
      <c r="N163" s="58">
        <f>M163</f>
        <v>415.932206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416.741588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336.711078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317.371605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180.762941</v>
      </c>
      <c r="S163" s="58">
        <f>R163</f>
        <v>180.762941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160.053977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130.908269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110.98561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144.050379</v>
      </c>
      <c r="X163" s="58">
        <f>W163</f>
        <v>144.050379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174.974907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167.860533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58.903097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57.316607</v>
      </c>
      <c r="AC163" s="58">
        <f>AB163</f>
        <v>57.316607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52.087611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51.404276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115.849467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288.743232</v>
      </c>
      <c r="AH163" s="58">
        <f>AG163</f>
        <v>288.743232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276.506922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371.054393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 hidden="1" outlineLevel="1">
      <c r="B164" s="56" t="inlineStr">
        <is>
          <t>cart_pf_out</t>
        </is>
      </c>
      <c r="C164" s="11" t="inlineStr">
        <is>
          <t>Demais pessoa física</t>
        </is>
      </c>
      <c r="D164" s="12" t="inlineStr">
        <is>
          <t>Other individuals</t>
        </is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1847.612365</v>
      </c>
      <c r="F164" s="57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>918.507889</v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1416.814533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1638.06198</v>
      </c>
      <c r="I164" s="58">
        <f>H164</f>
        <v>1638.06198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2311.501749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2840.846161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4802.080255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7004.200057</v>
      </c>
      <c r="N164" s="58">
        <f>M164</f>
        <v>7004.200057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8277.791785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7253.93142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6394.737263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6467.108784</v>
      </c>
      <c r="S164" s="58">
        <f>R164</f>
        <v>6467.108784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7316.965627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4154.366404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4814.930349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5014.726521</v>
      </c>
      <c r="X164" s="58">
        <f>W164</f>
        <v>5014.726521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5670.371433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5763.86695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5288.42483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7126.126489</v>
      </c>
      <c r="AC164" s="58">
        <f>AB164</f>
        <v>7126.126489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6837.218938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7561.374726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8810.945864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8875.611654</v>
      </c>
      <c r="AH164" s="58">
        <f>AG164</f>
        <v>8875.611654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8541.687567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8372.530897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>AL164</f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>AQ164</f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>AV164</f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>BA164</f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>BF164</f>
        <v>0</v>
      </c>
    </row>
    <row r="165" hidden="1" outlineLevel="1">
      <c r="B165" s="56" t="inlineStr">
        <is>
          <t>cart_mpe</t>
        </is>
      </c>
      <c r="C165" s="11" t="inlineStr">
        <is>
          <t>Micro, pequenas e médias empresas</t>
        </is>
      </c>
      <c r="D165" s="12" t="inlineStr">
        <is>
          <t>SMEs</t>
        </is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3178.812711</v>
      </c>
      <c r="F165" s="57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>5776.619579</v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9480.750754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13375.121477</v>
      </c>
      <c r="I165" s="58">
        <f>H165</f>
        <v>13375.121477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11304.688458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19002.157511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22354.293619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17033.152336</v>
      </c>
      <c r="N165" s="58">
        <f>M165</f>
        <v>17033.152336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23453.063874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21369.233215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18908.379074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20318.301299</v>
      </c>
      <c r="S165" s="58">
        <f>R165</f>
        <v>20318.301299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14117.003529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9247.979213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10094.22875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9706.908901</v>
      </c>
      <c r="X165" s="58">
        <f>W165</f>
        <v>9706.908901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11581.170343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11875.279695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8040.194236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13986.13339</v>
      </c>
      <c r="AC165" s="58">
        <f>AB165</f>
        <v>13986.13339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8534.924023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9897.159499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6505.751748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6756.673834</v>
      </c>
      <c r="AH165" s="58">
        <f>AG165</f>
        <v>6756.673834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10289.357304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12317.98739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>AL165</f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>AQ165</f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>AV165</f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>BA165</f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>BF165</f>
        <v>0</v>
      </c>
    </row>
    <row r="166" hidden="1" outlineLevel="1">
      <c r="B166" s="56" t="inlineStr">
        <is>
          <t>cart_grandes</t>
        </is>
      </c>
      <c r="C166" s="11" t="inlineStr">
        <is>
          <t>Grandes empresas</t>
        </is>
      </c>
      <c r="D166" s="12" t="inlineStr">
        <is>
          <t>Large corporates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12675.495485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16491.340533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18346.572857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18730.841088</v>
      </c>
      <c r="I166" s="58">
        <f>H166</f>
        <v>18730.841088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22282.358379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19676.197012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19413.271316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27462.521556</v>
      </c>
      <c r="N166" s="58">
        <f>M166</f>
        <v>27462.521556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24983.160761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27781.649066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28855.375348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27626.953518</v>
      </c>
      <c r="S166" s="58">
        <f>R166</f>
        <v>27626.953518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24545.822439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23951.891982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23005.228009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21337.632154</v>
      </c>
      <c r="X166" s="58">
        <f>W166</f>
        <v>21337.632154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22338.613587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20658.965484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27001.30941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28541.767458</v>
      </c>
      <c r="AC166" s="58">
        <f>AB166</f>
        <v>28541.767458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29979.810356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24332.182018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32483.645969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34653.479862</v>
      </c>
      <c r="AH166" s="58">
        <f>AG166</f>
        <v>34653.479862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34024.160649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29875.152798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cart_pj_out</t>
        </is>
      </c>
      <c r="C167" s="11" t="inlineStr">
        <is>
          <t>Demais pessoa jurídica</t>
        </is>
      </c>
      <c r="D167" s="12" t="inlineStr">
        <is>
          <t>Other corporates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12815.922673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15442.173825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16857.31437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16215.95315</v>
      </c>
      <c r="I167" s="58">
        <f>H167</f>
        <v>16215.95315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17367.86063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18454.919056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17797.604445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19901.968779</v>
      </c>
      <c r="N167" s="58">
        <f>M167</f>
        <v>19901.968779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18711.81479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21943.020342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23744.146684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26528.994261</v>
      </c>
      <c r="S167" s="58">
        <f>R167</f>
        <v>26528.994261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27330.826304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27560.724399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31304.726272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30648.401494</v>
      </c>
      <c r="X167" s="58">
        <f>W167</f>
        <v>30648.401494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24054.579934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37485.053557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38394.424272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73211.661147</v>
      </c>
      <c r="AC167" s="58">
        <f>AB167</f>
        <v>73211.661147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44098.769368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42448.646007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42139.448706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51271.462883</v>
      </c>
      <c r="AH167" s="58">
        <f>AG167</f>
        <v>51271.462883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52856.423324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56730.846695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9">
      <c r="B169" s="29" t="n"/>
      <c r="C169" s="29" t="inlineStr">
        <is>
          <t>Receitas de serviços por origem</t>
        </is>
      </c>
      <c r="D169" s="29" t="inlineStr">
        <is>
          <t>Fee income by source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 hidden="1" outlineLevel="1">
      <c r="B170" s="56" t="inlineStr">
        <is>
          <t>serv_tarifas</t>
        </is>
      </c>
      <c r="C170" s="11" t="inlineStr">
        <is>
          <t>Tarifas de conta e pacotes</t>
        </is>
      </c>
      <c r="D170" s="12" t="inlineStr">
        <is>
          <t>Account fees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12.977657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19.219464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26.1435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34.602016</v>
      </c>
      <c r="I170" s="58">
        <f>SUM(E170:H170)</f>
        <v>92.942637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50.483929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292.193311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180.342762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188.371721</v>
      </c>
      <c r="N170" s="58">
        <f>SUM(J170:M170)</f>
        <v>711.391723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179.502106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170.917712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187.032834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196.986355</v>
      </c>
      <c r="S170" s="58">
        <f>SUM(O170:R170)</f>
        <v>734.439007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206.592311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218.624158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246.037672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275.715028</v>
      </c>
      <c r="X170" s="58">
        <f>SUM(T170:W170)</f>
        <v>946.969169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295.879092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300.867421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302.334963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309.926587</v>
      </c>
      <c r="AC170" s="58">
        <f>SUM(Y170:AB170)</f>
        <v>1209.008063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161.033524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170.378593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198.983999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218.654936</v>
      </c>
      <c r="AH170" s="58">
        <f>SUM(AD170:AG170)</f>
        <v>749.051052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207.695705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194.509997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SUM(AI170:AL170)</f>
        <v>402.205702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SUM(BC170:BF170)</f>
        <v>0</v>
      </c>
    </row>
    <row r="171" hidden="1" outlineLevel="1">
      <c r="B171" s="56" t="inlineStr">
        <is>
          <t>serv_cartoes</t>
        </is>
      </c>
      <c r="C171" s="11" t="inlineStr">
        <is>
          <t>Cartões</t>
        </is>
      </c>
      <c r="D171" s="12" t="inlineStr">
        <is>
          <t>Cards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SUM(E171:H171)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SUM(J171:M171)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SUM(O171:R171)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SUM(T171:W171)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SUM(Y171:AB171)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SUM(AD171:AG171)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SUM(AI171:AL171)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SUM(AN171:AQ171)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SUM(AS171:AV171)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SUM(AX171:BA171)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SUM(BC171:BF171)</f>
        <v>0</v>
      </c>
    </row>
    <row r="172" hidden="1" outlineLevel="1">
      <c r="B172" s="56" t="inlineStr">
        <is>
          <t>serv_adm_rec</t>
        </is>
      </c>
      <c r="C172" s="11" t="inlineStr">
        <is>
          <t>Administração de recursos e fundos</t>
        </is>
      </c>
      <c r="D172" s="12" t="inlineStr">
        <is>
          <t>Asset management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SUM(E172:H172)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SUM(J172:M172)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SUM(O172:R172)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SUM(T172:W172)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SUM(Y172:AB172)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SUM(AD172:AG172)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SUM(AI172:AL172)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SUM(AN172:AQ172)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SUM(AS172:AV172)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SUM(AX172:BA172)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SUM(BC172:BF172)</f>
        <v>0</v>
      </c>
    </row>
    <row r="173" hidden="1" outlineLevel="1">
      <c r="B173" s="56" t="inlineStr">
        <is>
          <t>serv_seg_corr</t>
        </is>
      </c>
      <c r="C173" s="11" t="inlineStr">
        <is>
          <t>Corretagem de seguros e previdência</t>
        </is>
      </c>
      <c r="D173" s="12" t="inlineStr">
        <is>
          <t>Insurance brokerage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SUM(E173:H173)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SUM(J173:M173)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SUM(O173:R173)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SUM(T173:W173)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SUM(Y173:AB173)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SUM(AD173:AG173)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SUM(AI173:AL173)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SUM(AN173:AQ173)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SUM(AS173:AV173)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SUM(AX173:BA173)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SUM(BC173:BF173)</f>
        <v>0</v>
      </c>
    </row>
    <row r="174" hidden="1" outlineLevel="1">
      <c r="B174" s="56" t="inlineStr">
        <is>
          <t>serv_merc_cap</t>
        </is>
      </c>
      <c r="C174" s="11" t="inlineStr">
        <is>
          <t>Mercado de capitais e banco de investimento</t>
        </is>
      </c>
      <c r="D174" s="12" t="inlineStr">
        <is>
          <t>Capital markets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SUM(E174:H174)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SUM(J174:M174)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SUM(O174:R174)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SUM(T174:W174)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SUM(Y174:AB174)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SUM(AD174:AG174)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SUM(AI174:AL174)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SUM(AN174:AQ174)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SUM(AS174:AV174)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SUM(AX174:BA174)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SUM(BC174:BF174)</f>
        <v>0</v>
      </c>
    </row>
    <row r="175" hidden="1" outlineLevel="1">
      <c r="B175" s="56" t="inlineStr">
        <is>
          <t>serv_out</t>
        </is>
      </c>
      <c r="C175" s="11" t="inlineStr">
        <is>
          <t>Demais serviços</t>
        </is>
      </c>
      <c r="D175" s="12" t="inlineStr">
        <is>
          <t>Other fees</t>
        </is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761.724186</v>
      </c>
      <c r="F175" s="57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>709.843573</v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946.698881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1216.72095</v>
      </c>
      <c r="I175" s="58">
        <f>SUM(E175:H175)</f>
        <v>3634.98759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1112.922468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1525.888622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1546.773219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1342.876947</v>
      </c>
      <c r="N175" s="58">
        <f>SUM(J175:M175)</f>
        <v>5528.461256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1308.909409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1475.699933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1633.947204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1720.717685</v>
      </c>
      <c r="S175" s="58">
        <f>SUM(O175:R175)</f>
        <v>6139.274231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1360.243005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1444.341375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1555.303541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1413.752754</v>
      </c>
      <c r="X175" s="58">
        <f>SUM(T175:W175)</f>
        <v>5773.640675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1526.962159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1778.352222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1692.083275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1899.588935</v>
      </c>
      <c r="AC175" s="58">
        <f>SUM(Y175:AB175)</f>
        <v>6896.986591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1599.356816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1767.922697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2025.625555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1807.794301</v>
      </c>
      <c r="AH175" s="58">
        <f>SUM(AD175:AG175)</f>
        <v>7200.699369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2018.888706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2064.074752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>SUM(AI175:AL175)</f>
        <v>4082.963458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>SUM(AN175:AQ175)</f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>SUM(AS175:AV175)</f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>SUM(AX175:BA175)</f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>SUM(BC175:BF175)</f>
        <v>0</v>
      </c>
    </row>
    <row r="177">
      <c r="B177" s="29" t="n"/>
      <c r="C177" s="29" t="inlineStr">
        <is>
          <t>Despesas de pessoal por natureza</t>
        </is>
      </c>
      <c r="D177" s="29" t="inlineStr">
        <is>
          <t>Personnel expenses by nature</t>
        </is>
      </c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</row>
    <row r="178" hidden="1" outlineLevel="1">
      <c r="B178" s="56" t="inlineStr">
        <is>
          <t>pes_proventos</t>
        </is>
      </c>
      <c r="C178" s="11" t="inlineStr">
        <is>
          <t>(Proventos e encargos)</t>
        </is>
      </c>
      <c r="D178" s="12" t="inlineStr">
        <is>
          <t>(Salaries and charges)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pes_benef</t>
        </is>
      </c>
      <c r="C179" s="11" t="inlineStr">
        <is>
          <t>(Benefícios)</t>
        </is>
      </c>
      <c r="D179" s="12" t="inlineStr">
        <is>
          <t>(Benefits)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pes_plr</t>
        </is>
      </c>
      <c r="C180" s="11" t="inlineStr">
        <is>
          <t>(Participação nos lucros)</t>
        </is>
      </c>
      <c r="D180" s="12" t="inlineStr">
        <is>
          <t>(Profit sharing)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-516.708568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-413.690482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-434.660781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-266.235716</v>
      </c>
      <c r="I180" s="58">
        <f>SUM(E180:H180)</f>
        <v>-1631.295547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-979.87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-604.972613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-617.648411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-230.860171</v>
      </c>
      <c r="N180" s="58">
        <f>SUM(J180:M180)</f>
        <v>-2433.351195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-475.157782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-504.423179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-529.323316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-319.194516</v>
      </c>
      <c r="S180" s="58">
        <f>SUM(O180:R180)</f>
        <v>-1828.098793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-461.50917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-636.004445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-680.253763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-486.128933</v>
      </c>
      <c r="X180" s="58">
        <f>SUM(T180:W180)</f>
        <v>-2263.896311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-626.457797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-509.972459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-627.67468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-631.542922</v>
      </c>
      <c r="AC180" s="58">
        <f>SUM(Y180:AB180)</f>
        <v>-2395.647858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-578.929043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-866.537384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-835.451791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-884.649359</v>
      </c>
      <c r="AH180" s="58">
        <f>SUM(AD180:AG180)</f>
        <v>-3165.567577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-996.870396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-785.706563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-1782.576959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pes_out</t>
        </is>
      </c>
      <c r="C181" s="11" t="inlineStr">
        <is>
          <t>(Demais despesas de pessoal)</t>
        </is>
      </c>
      <c r="D181" s="12" t="inlineStr">
        <is>
          <t>(Other personnel)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>
      <c r="B183" s="29" t="n"/>
      <c r="C183" s="29" t="inlineStr">
        <is>
          <t>Despesas administrativas por natureza</t>
        </is>
      </c>
      <c r="D183" s="29" t="inlineStr">
        <is>
          <t>Admin expenses by nature</t>
        </is>
      </c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</row>
    <row r="184" hidden="1" outlineLevel="1">
      <c r="B184" s="56" t="inlineStr">
        <is>
          <t>adm_proc</t>
        </is>
      </c>
      <c r="C184" s="11" t="inlineStr">
        <is>
          <t>(Processamento de dados e tecnologia)</t>
        </is>
      </c>
      <c r="D184" s="12" t="inlineStr">
        <is>
          <t>(Data processing and IT)</t>
        </is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>0</v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>SUM(BC184:BF184)</f>
        <v>0</v>
      </c>
    </row>
    <row r="185" hidden="1" outlineLevel="1">
      <c r="B185" s="56" t="inlineStr">
        <is>
          <t>adm_alug</t>
        </is>
      </c>
      <c r="C185" s="11" t="inlineStr">
        <is>
          <t>(Aluguéis e manutenção)</t>
        </is>
      </c>
      <c r="D185" s="12" t="inlineStr">
        <is>
          <t>(Rent and maintenance)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adm_mkt</t>
        </is>
      </c>
      <c r="C186" s="11" t="inlineStr">
        <is>
          <t>(Propaganda e marketing)</t>
        </is>
      </c>
      <c r="D186" s="12" t="inlineStr">
        <is>
          <t>(Marketing)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adm_terc</t>
        </is>
      </c>
      <c r="C187" s="11" t="inlineStr">
        <is>
          <t>(Serviços de terceiros)</t>
        </is>
      </c>
      <c r="D187" s="12" t="inlineStr">
        <is>
          <t>(Third-party services)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adm_deprec</t>
        </is>
      </c>
      <c r="C188" s="11" t="inlineStr">
        <is>
          <t>(Depreciação e amortização)</t>
        </is>
      </c>
      <c r="D188" s="12" t="inlineStr">
        <is>
          <t>(Depreciation and amortisation)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 hidden="1" outlineLevel="1">
      <c r="B189" s="56" t="inlineStr">
        <is>
          <t>adm_out</t>
        </is>
      </c>
      <c r="C189" s="11" t="inlineStr">
        <is>
          <t>(Demais despesas administrativas)</t>
        </is>
      </c>
      <c r="D189" s="12" t="inlineStr">
        <is>
          <t>(Other admin)</t>
        </is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>0</v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>SUM(E189:H189)</f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>SUM(J189:M189)</f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>SUM(O189:R189)</f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>SUM(T189:W189)</f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>SUM(Y189:AB189)</f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>SUM(AD189:AG189)</f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>SUM(AI189:AL189)</f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>SUM(AN189:AQ189)</f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>SUM(AS189:AV189)</f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>SUM(AX189:BA189)</f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>SUM(BC189:BF189)</f>
        <v>0</v>
      </c>
    </row>
    <row r="192">
      <c r="B192" s="29" t="n"/>
      <c r="C192" s="29" t="inlineStr">
        <is>
          <t>CHECKS DO REPORTADO</t>
        </is>
      </c>
      <c r="D192" s="29" t="inlineStr">
        <is>
          <t>REPORTED DATA CHECKS</t>
        </is>
      </c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</row>
    <row r="193" hidden="1" outlineLevel="1">
      <c r="C193" s="11" t="inlineStr">
        <is>
          <t>Ativo – Passivo + PL (deve ser zero)</t>
        </is>
      </c>
      <c r="D193" s="12" t="inlineStr">
        <is>
          <t>Assets less Liabilities and Equity</t>
        </is>
      </c>
      <c r="E193" s="74">
        <f>IFERROR(ROUND(E29-E67,0),"")</f>
        <v>0</v>
      </c>
      <c r="F193" s="74">
        <f>IFERROR(ROUND(F29-F67,0),"")</f>
        <v>0</v>
      </c>
      <c r="G193" s="74">
        <f>IFERROR(ROUND(G29-G67,0),"")</f>
        <v>0</v>
      </c>
      <c r="H193" s="74">
        <f>IFERROR(ROUND(H29-H67,0),"")</f>
        <v>0</v>
      </c>
      <c r="I193" s="74">
        <f>IFERROR(ROUND(I29-I67,0),"")</f>
        <v>0</v>
      </c>
      <c r="J193" s="74">
        <f>IFERROR(ROUND(J29-J67,0),"")</f>
        <v>0</v>
      </c>
      <c r="K193" s="74">
        <f>IFERROR(ROUND(K29-K67,0),"")</f>
        <v>0</v>
      </c>
      <c r="L193" s="74">
        <f>IFERROR(ROUND(L29-L67,0),"")</f>
        <v>0</v>
      </c>
      <c r="M193" s="74">
        <f>IFERROR(ROUND(M29-M67,0),"")</f>
        <v>0</v>
      </c>
      <c r="N193" s="74">
        <f>IFERROR(ROUND(N29-N67,0),"")</f>
        <v>0</v>
      </c>
      <c r="O193" s="74">
        <f>IFERROR(ROUND(O29-O67,0),"")</f>
        <v>0</v>
      </c>
      <c r="P193" s="74">
        <f>IFERROR(ROUND(P29-P67,0),"")</f>
        <v>0</v>
      </c>
      <c r="Q193" s="74">
        <f>IFERROR(ROUND(Q29-Q67,0),"")</f>
        <v>0</v>
      </c>
      <c r="R193" s="74">
        <f>IFERROR(ROUND(R29-R67,0),"")</f>
        <v>0</v>
      </c>
      <c r="S193" s="74">
        <f>IFERROR(ROUND(S29-S67,0),"")</f>
        <v>0</v>
      </c>
      <c r="T193" s="74">
        <f>IFERROR(ROUND(T29-T67,0),"")</f>
        <v>0</v>
      </c>
      <c r="U193" s="74">
        <f>IFERROR(ROUND(U29-U67,0),"")</f>
        <v>0</v>
      </c>
      <c r="V193" s="74">
        <f>IFERROR(ROUND(V29-V67,0),"")</f>
        <v>0</v>
      </c>
      <c r="W193" s="74">
        <f>IFERROR(ROUND(W29-W67,0),"")</f>
        <v>0</v>
      </c>
      <c r="X193" s="74">
        <f>IFERROR(ROUND(X29-X67,0),"")</f>
        <v>0</v>
      </c>
      <c r="Y193" s="74">
        <f>IFERROR(ROUND(Y29-Y67,0),"")</f>
        <v>0</v>
      </c>
      <c r="Z193" s="74">
        <f>IFERROR(ROUND(Z29-Z67,0),"")</f>
        <v>0</v>
      </c>
      <c r="AA193" s="74">
        <f>IFERROR(ROUND(AA29-AA67,0),"")</f>
        <v>0</v>
      </c>
      <c r="AB193" s="74">
        <f>IFERROR(ROUND(AB29-AB67,0),"")</f>
        <v>0</v>
      </c>
      <c r="AC193" s="74">
        <f>IFERROR(ROUND(AC29-AC67,0),"")</f>
        <v>0</v>
      </c>
      <c r="AD193" s="74">
        <f>IFERROR(ROUND(AD29-AD67,0),"")</f>
        <v>0</v>
      </c>
      <c r="AE193" s="74">
        <f>IFERROR(ROUND(AE29-AE67,0),"")</f>
        <v>0</v>
      </c>
      <c r="AF193" s="74">
        <f>IFERROR(ROUND(AF29-AF67,0),"")</f>
        <v>0</v>
      </c>
      <c r="AG193" s="74">
        <f>IFERROR(ROUND(AG29-AG67,0),"")</f>
        <v>0</v>
      </c>
      <c r="AH193" s="74">
        <f>IFERROR(ROUND(AH29-AH67,0),"")</f>
        <v>0</v>
      </c>
      <c r="AI193" s="74">
        <f>IFERROR(ROUND(AI29-AI67,0),"")</f>
        <v>0</v>
      </c>
      <c r="AJ193" s="74">
        <f>IFERROR(ROUND(AJ29-AJ67,0),"")</f>
        <v>0</v>
      </c>
      <c r="AK193" s="74">
        <f>IFERROR(ROUND(AK29-AK67,0),"")</f>
        <v>0</v>
      </c>
      <c r="AL193" s="74">
        <f>IFERROR(ROUND(AL29-AL67,0),"")</f>
        <v>0</v>
      </c>
      <c r="AM193" s="74">
        <f>IFERROR(ROUND(AM29-AM67,0),"")</f>
        <v>0</v>
      </c>
      <c r="AN193" s="74">
        <f>IFERROR(ROUND(AN29-AN67,0),"")</f>
        <v>0</v>
      </c>
      <c r="AO193" s="74">
        <f>IFERROR(ROUND(AO29-AO67,0),"")</f>
        <v>0</v>
      </c>
      <c r="AP193" s="74">
        <f>IFERROR(ROUND(AP29-AP67,0),"")</f>
        <v>0</v>
      </c>
      <c r="AQ193" s="74">
        <f>IFERROR(ROUND(AQ29-AQ67,0),"")</f>
        <v>0</v>
      </c>
      <c r="AR193" s="74">
        <f>IFERROR(ROUND(AR29-AR67,0),"")</f>
        <v>0</v>
      </c>
      <c r="AS193" s="74">
        <f>IFERROR(ROUND(AS29-AS67,0),"")</f>
        <v>0</v>
      </c>
      <c r="AT193" s="74">
        <f>IFERROR(ROUND(AT29-AT67,0),"")</f>
        <v>0</v>
      </c>
      <c r="AU193" s="74">
        <f>IFERROR(ROUND(AU29-AU67,0),"")</f>
        <v>0</v>
      </c>
      <c r="AV193" s="74">
        <f>IFERROR(ROUND(AV29-AV67,0),"")</f>
        <v>0</v>
      </c>
      <c r="AW193" s="74">
        <f>IFERROR(ROUND(AW29-AW67,0),"")</f>
        <v>0</v>
      </c>
      <c r="AX193" s="74">
        <f>IFERROR(ROUND(AX29-AX67,0),"")</f>
        <v>0</v>
      </c>
      <c r="AY193" s="74">
        <f>IFERROR(ROUND(AY29-AY67,0),"")</f>
        <v>0</v>
      </c>
      <c r="AZ193" s="74">
        <f>IFERROR(ROUND(AZ29-AZ67,0),"")</f>
        <v>0</v>
      </c>
      <c r="BA193" s="74">
        <f>IFERROR(ROUND(BA29-BA67,0),"")</f>
        <v>0</v>
      </c>
      <c r="BB193" s="74">
        <f>IFERROR(ROUND(BB29-BB67,0),"")</f>
        <v>0</v>
      </c>
      <c r="BC193" s="74">
        <f>IFERROR(ROUND(BC29-BC67,0),"")</f>
        <v>0</v>
      </c>
      <c r="BD193" s="74">
        <f>IFERROR(ROUND(BD29-BD67,0),"")</f>
        <v>0</v>
      </c>
      <c r="BE193" s="74">
        <f>IFERROR(ROUND(BE29-BE67,0),"")</f>
        <v>0</v>
      </c>
      <c r="BF193" s="74">
        <f>IFERROR(ROUND(BF29-BF67,0),"")</f>
        <v>0</v>
      </c>
      <c r="BG193" s="74">
        <f>IFERROR(ROUND(BG29-BG67,0),"")</f>
        <v>0</v>
      </c>
    </row>
    <row r="194" hidden="1" outlineLevel="1">
      <c r="C194" s="11" t="inlineStr">
        <is>
          <t>Carteira ampliada – soma dos estágios</t>
        </is>
      </c>
      <c r="D194" s="12" t="inlineStr">
        <is>
          <t>Expanded book less sum of stages</t>
        </is>
      </c>
      <c r="E194" s="74" t="str">
        <f>IFERROR(IF(N(E114+E115+E116)=0,"",ROUND(E111-(E114+E115+E116),0)),"")</f>
        <v/>
      </c>
      <c r="F194" s="74" t="str">
        <f>IFERROR(IF(N(F114+F115+F116)=0,"",ROUND(F111-(F114+F115+F116),0)),"")</f>
        <v/>
      </c>
      <c r="G194" s="74" t="str">
        <f>IFERROR(IF(N(G114+G115+G116)=0,"",ROUND(G111-(G114+G115+G116),0)),"")</f>
        <v/>
      </c>
      <c r="H194" s="74" t="str">
        <f>IFERROR(IF(N(H114+H115+H116)=0,"",ROUND(H111-(H114+H115+H116),0)),"")</f>
        <v/>
      </c>
      <c r="I194" s="74" t="str">
        <f>IFERROR(IF(N(I114+I115+I116)=0,"",ROUND(I111-(I114+I115+I116),0)),"")</f>
        <v/>
      </c>
      <c r="J194" s="74" t="str">
        <f>IFERROR(IF(N(J114+J115+J116)=0,"",ROUND(J111-(J114+J115+J116),0)),"")</f>
        <v/>
      </c>
      <c r="K194" s="74" t="str">
        <f>IFERROR(IF(N(K114+K115+K116)=0,"",ROUND(K111-(K114+K115+K116),0)),"")</f>
        <v/>
      </c>
      <c r="L194" s="74" t="str">
        <f>IFERROR(IF(N(L114+L115+L116)=0,"",ROUND(L111-(L114+L115+L116),0)),"")</f>
        <v/>
      </c>
      <c r="M194" s="74" t="str">
        <f>IFERROR(IF(N(M114+M115+M116)=0,"",ROUND(M111-(M114+M115+M116),0)),"")</f>
        <v/>
      </c>
      <c r="N194" s="74" t="str">
        <f>IFERROR(IF(N(N114+N115+N116)=0,"",ROUND(N111-(N114+N115+N116),0)),"")</f>
        <v/>
      </c>
      <c r="O194" s="74" t="str">
        <f>IFERROR(IF(N(O114+O115+O116)=0,"",ROUND(O111-(O114+O115+O116),0)),"")</f>
        <v/>
      </c>
      <c r="P194" s="74" t="str">
        <f>IFERROR(IF(N(P114+P115+P116)=0,"",ROUND(P111-(P114+P115+P116),0)),"")</f>
        <v/>
      </c>
      <c r="Q194" s="74" t="str">
        <f>IFERROR(IF(N(Q114+Q115+Q116)=0,"",ROUND(Q111-(Q114+Q115+Q116),0)),"")</f>
        <v/>
      </c>
      <c r="R194" s="74" t="str">
        <f>IFERROR(IF(N(R114+R115+R116)=0,"",ROUND(R111-(R114+R115+R116),0)),"")</f>
        <v/>
      </c>
      <c r="S194" s="74" t="str">
        <f>IFERROR(IF(N(S114+S115+S116)=0,"",ROUND(S111-(S114+S115+S116),0)),"")</f>
        <v/>
      </c>
      <c r="T194" s="74" t="str">
        <f>IFERROR(IF(N(T114+T115+T116)=0,"",ROUND(T111-(T114+T115+T116),0)),"")</f>
        <v/>
      </c>
      <c r="U194" s="74" t="str">
        <f>IFERROR(IF(N(U114+U115+U116)=0,"",ROUND(U111-(U114+U115+U116),0)),"")</f>
        <v/>
      </c>
      <c r="V194" s="74" t="str">
        <f>IFERROR(IF(N(V114+V115+V116)=0,"",ROUND(V111-(V114+V115+V116),0)),"")</f>
        <v/>
      </c>
      <c r="W194" s="74" t="str">
        <f>IFERROR(IF(N(W114+W115+W116)=0,"",ROUND(W111-(W114+W115+W116),0)),"")</f>
        <v/>
      </c>
      <c r="X194" s="74" t="str">
        <f>IFERROR(IF(N(X114+X115+X116)=0,"",ROUND(X111-(X114+X115+X116),0)),"")</f>
        <v/>
      </c>
      <c r="Y194" s="74" t="str">
        <f>IFERROR(IF(N(Y114+Y115+Y116)=0,"",ROUND(Y111-(Y114+Y115+Y116),0)),"")</f>
        <v/>
      </c>
      <c r="Z194" s="74" t="str">
        <f>IFERROR(IF(N(Z114+Z115+Z116)=0,"",ROUND(Z111-(Z114+Z115+Z116),0)),"")</f>
        <v/>
      </c>
      <c r="AA194" s="74" t="str">
        <f>IFERROR(IF(N(AA114+AA115+AA116)=0,"",ROUND(AA111-(AA114+AA115+AA116),0)),"")</f>
        <v/>
      </c>
      <c r="AB194" s="74" t="str">
        <f>IFERROR(IF(N(AB114+AB115+AB116)=0,"",ROUND(AB111-(AB114+AB115+AB116),0)),"")</f>
        <v/>
      </c>
      <c r="AC194" s="74" t="str">
        <f>IFERROR(IF(N(AC114+AC115+AC116)=0,"",ROUND(AC111-(AC114+AC115+AC116),0)),"")</f>
        <v/>
      </c>
      <c r="AD194" s="74" t="str">
        <f>IFERROR(IF(N(AD114+AD115+AD116)=0,"",ROUND(AD111-(AD114+AD115+AD116),0)),"")</f>
        <v/>
      </c>
      <c r="AE194" s="74" t="str">
        <f>IFERROR(IF(N(AE114+AE115+AE116)=0,"",ROUND(AE111-(AE114+AE115+AE116),0)),"")</f>
        <v/>
      </c>
      <c r="AF194" s="74" t="str">
        <f>IFERROR(IF(N(AF114+AF115+AF116)=0,"",ROUND(AF111-(AF114+AF115+AF116),0)),"")</f>
        <v/>
      </c>
      <c r="AG194" s="74" t="str">
        <f>IFERROR(IF(N(AG114+AG115+AG116)=0,"",ROUND(AG111-(AG114+AG115+AG116),0)),"")</f>
        <v/>
      </c>
      <c r="AH194" s="74" t="str">
        <f>IFERROR(IF(N(AH114+AH115+AH116)=0,"",ROUND(AH111-(AH114+AH115+AH116),0)),"")</f>
        <v/>
      </c>
      <c r="AI194" s="74" t="str">
        <f>IFERROR(IF(N(AI114+AI115+AI116)=0,"",ROUND(AI111-(AI114+AI115+AI116),0)),"")</f>
        <v/>
      </c>
      <c r="AJ194" s="74" t="str">
        <f>IFERROR(IF(N(AJ114+AJ115+AJ116)=0,"",ROUND(AJ111-(AJ114+AJ115+AJ116),0)),"")</f>
        <v/>
      </c>
      <c r="AK194" s="74" t="str">
        <f>IFERROR(IF(N(AK114+AK115+AK116)=0,"",ROUND(AK111-(AK114+AK115+AK116),0)),"")</f>
        <v/>
      </c>
      <c r="AL194" s="74" t="str">
        <f>IFERROR(IF(N(AL114+AL115+AL116)=0,"",ROUND(AL111-(AL114+AL115+AL116),0)),"")</f>
        <v/>
      </c>
      <c r="AM194" s="74" t="str">
        <f>IFERROR(IF(N(AM114+AM115+AM116)=0,"",ROUND(AM111-(AM114+AM115+AM116),0)),"")</f>
        <v/>
      </c>
      <c r="AN194" s="74" t="str">
        <f>IFERROR(IF(N(AN114+AN115+AN116)=0,"",ROUND(AN111-(AN114+AN115+AN116),0)),"")</f>
        <v/>
      </c>
      <c r="AO194" s="74" t="str">
        <f>IFERROR(IF(N(AO114+AO115+AO116)=0,"",ROUND(AO111-(AO114+AO115+AO116),0)),"")</f>
        <v/>
      </c>
      <c r="AP194" s="74" t="str">
        <f>IFERROR(IF(N(AP114+AP115+AP116)=0,"",ROUND(AP111-(AP114+AP115+AP116),0)),"")</f>
        <v/>
      </c>
      <c r="AQ194" s="74" t="str">
        <f>IFERROR(IF(N(AQ114+AQ115+AQ116)=0,"",ROUND(AQ111-(AQ114+AQ115+AQ116),0)),"")</f>
        <v/>
      </c>
      <c r="AR194" s="74" t="str">
        <f>IFERROR(IF(N(AR114+AR115+AR116)=0,"",ROUND(AR111-(AR114+AR115+AR116),0)),"")</f>
        <v/>
      </c>
      <c r="AS194" s="74" t="str">
        <f>IFERROR(IF(N(AS114+AS115+AS116)=0,"",ROUND(AS111-(AS114+AS115+AS116),0)),"")</f>
        <v/>
      </c>
      <c r="AT194" s="74" t="str">
        <f>IFERROR(IF(N(AT114+AT115+AT116)=0,"",ROUND(AT111-(AT114+AT115+AT116),0)),"")</f>
        <v/>
      </c>
      <c r="AU194" s="74" t="str">
        <f>IFERROR(IF(N(AU114+AU115+AU116)=0,"",ROUND(AU111-(AU114+AU115+AU116),0)),"")</f>
        <v/>
      </c>
      <c r="AV194" s="74" t="str">
        <f>IFERROR(IF(N(AV114+AV115+AV116)=0,"",ROUND(AV111-(AV114+AV115+AV116),0)),"")</f>
        <v/>
      </c>
      <c r="AW194" s="74" t="str">
        <f>IFERROR(IF(N(AW114+AW115+AW116)=0,"",ROUND(AW111-(AW114+AW115+AW116),0)),"")</f>
        <v/>
      </c>
      <c r="AX194" s="74" t="str">
        <f>IFERROR(IF(N(AX114+AX115+AX116)=0,"",ROUND(AX111-(AX114+AX115+AX116),0)),"")</f>
        <v/>
      </c>
      <c r="AY194" s="74" t="str">
        <f>IFERROR(IF(N(AY114+AY115+AY116)=0,"",ROUND(AY111-(AY114+AY115+AY116),0)),"")</f>
        <v/>
      </c>
      <c r="AZ194" s="74" t="str">
        <f>IFERROR(IF(N(AZ114+AZ115+AZ116)=0,"",ROUND(AZ111-(AZ114+AZ115+AZ116),0)),"")</f>
        <v/>
      </c>
      <c r="BA194" s="74" t="str">
        <f>IFERROR(IF(N(BA114+BA115+BA116)=0,"",ROUND(BA111-(BA114+BA115+BA116),0)),"")</f>
        <v/>
      </c>
      <c r="BB194" s="74" t="str">
        <f>IFERROR(IF(N(BB114+BB115+BB116)=0,"",ROUND(BB111-(BB114+BB115+BB116),0)),"")</f>
        <v/>
      </c>
      <c r="BC194" s="74" t="str">
        <f>IFERROR(IF(N(BC114+BC115+BC116)=0,"",ROUND(BC111-(BC114+BC115+BC116),0)),"")</f>
        <v/>
      </c>
      <c r="BD194" s="74" t="str">
        <f>IFERROR(IF(N(BD114+BD115+BD116)=0,"",ROUND(BD111-(BD114+BD115+BD116),0)),"")</f>
        <v/>
      </c>
      <c r="BE194" s="74" t="str">
        <f>IFERROR(IF(N(BE114+BE115+BE116)=0,"",ROUND(BE111-(BE114+BE115+BE116),0)),"")</f>
        <v/>
      </c>
      <c r="BF194" s="74" t="str">
        <f>IFERROR(IF(N(BF114+BF115+BF116)=0,"",ROUND(BF111-(BF114+BF115+BF116),0)),"")</f>
        <v/>
      </c>
      <c r="BG194" s="74" t="str">
        <f>IFERROR(IF(N(BG114+BG115+BG116)=0,"",ROUND(BG111-(BG114+BG115+BG116),0)),"")</f>
        <v/>
      </c>
      <c r="BI194" s="14" t="inlineStr">
        <is>
          <t>Fica em branco quando a fonte não abre a carteira por estágio da 4.966.</t>
        </is>
      </c>
    </row>
    <row r="195" hidden="1" outlineLevel="1">
      <c r="C195" s="11" t="inlineStr">
        <is>
          <t>Provisão do balanço – provisão por estágio</t>
        </is>
      </c>
      <c r="D195" s="12" t="inlineStr">
        <is>
          <t>BS allowance less staged allowance</t>
        </is>
      </c>
      <c r="E195" s="74" t="str">
        <f>IFERROR(IF(OR(N(E120)=0,N(E20)=0),"",ROUND(ABS(E20)-ABS(E120),0)),"")</f>
        <v/>
      </c>
      <c r="F195" s="74" t="str">
        <f>IFERROR(IF(OR(N(F120)=0,N(F20)=0),"",ROUND(ABS(F20)-ABS(F120),0)),"")</f>
        <v/>
      </c>
      <c r="G195" s="74" t="str">
        <f>IFERROR(IF(OR(N(G120)=0,N(G20)=0),"",ROUND(ABS(G20)-ABS(G120),0)),"")</f>
        <v/>
      </c>
      <c r="H195" s="74" t="str">
        <f>IFERROR(IF(OR(N(H120)=0,N(H20)=0),"",ROUND(ABS(H20)-ABS(H120),0)),"")</f>
        <v/>
      </c>
      <c r="I195" s="74" t="str">
        <f>IFERROR(IF(OR(N(I120)=0,N(I20)=0),"",ROUND(ABS(I20)-ABS(I120),0)),"")</f>
        <v/>
      </c>
      <c r="J195" s="74" t="str">
        <f>IFERROR(IF(OR(N(J120)=0,N(J20)=0),"",ROUND(ABS(J20)-ABS(J120),0)),"")</f>
        <v/>
      </c>
      <c r="K195" s="74" t="str">
        <f>IFERROR(IF(OR(N(K120)=0,N(K20)=0),"",ROUND(ABS(K20)-ABS(K120),0)),"")</f>
        <v/>
      </c>
      <c r="L195" s="74" t="str">
        <f>IFERROR(IF(OR(N(L120)=0,N(L20)=0),"",ROUND(ABS(L20)-ABS(L120),0)),"")</f>
        <v/>
      </c>
      <c r="M195" s="74" t="str">
        <f>IFERROR(IF(OR(N(M120)=0,N(M20)=0),"",ROUND(ABS(M20)-ABS(M120),0)),"")</f>
        <v/>
      </c>
      <c r="N195" s="74" t="str">
        <f>IFERROR(IF(OR(N(N120)=0,N(N20)=0),"",ROUND(ABS(N20)-ABS(N120),0)),"")</f>
        <v/>
      </c>
      <c r="O195" s="74" t="str">
        <f>IFERROR(IF(OR(N(O120)=0,N(O20)=0),"",ROUND(ABS(O20)-ABS(O120),0)),"")</f>
        <v/>
      </c>
      <c r="P195" s="74" t="str">
        <f>IFERROR(IF(OR(N(P120)=0,N(P20)=0),"",ROUND(ABS(P20)-ABS(P120),0)),"")</f>
        <v/>
      </c>
      <c r="Q195" s="74" t="str">
        <f>IFERROR(IF(OR(N(Q120)=0,N(Q20)=0),"",ROUND(ABS(Q20)-ABS(Q120),0)),"")</f>
        <v/>
      </c>
      <c r="R195" s="74" t="str">
        <f>IFERROR(IF(OR(N(R120)=0,N(R20)=0),"",ROUND(ABS(R20)-ABS(R120),0)),"")</f>
        <v/>
      </c>
      <c r="S195" s="74" t="str">
        <f>IFERROR(IF(OR(N(S120)=0,N(S20)=0),"",ROUND(ABS(S20)-ABS(S120),0)),"")</f>
        <v/>
      </c>
      <c r="T195" s="74" t="str">
        <f>IFERROR(IF(OR(N(T120)=0,N(T20)=0),"",ROUND(ABS(T20)-ABS(T120),0)),"")</f>
        <v/>
      </c>
      <c r="U195" s="74" t="str">
        <f>IFERROR(IF(OR(N(U120)=0,N(U20)=0),"",ROUND(ABS(U20)-ABS(U120),0)),"")</f>
        <v/>
      </c>
      <c r="V195" s="74" t="str">
        <f>IFERROR(IF(OR(N(V120)=0,N(V20)=0),"",ROUND(ABS(V20)-ABS(V120),0)),"")</f>
        <v/>
      </c>
      <c r="W195" s="74" t="str">
        <f>IFERROR(IF(OR(N(W120)=0,N(W20)=0),"",ROUND(ABS(W20)-ABS(W120),0)),"")</f>
        <v/>
      </c>
      <c r="X195" s="74" t="str">
        <f>IFERROR(IF(OR(N(X120)=0,N(X20)=0),"",ROUND(ABS(X20)-ABS(X120),0)),"")</f>
        <v/>
      </c>
      <c r="Y195" s="74" t="str">
        <f>IFERROR(IF(OR(N(Y120)=0,N(Y20)=0),"",ROUND(ABS(Y20)-ABS(Y120),0)),"")</f>
        <v/>
      </c>
      <c r="Z195" s="74" t="str">
        <f>IFERROR(IF(OR(N(Z120)=0,N(Z20)=0),"",ROUND(ABS(Z20)-ABS(Z120),0)),"")</f>
        <v/>
      </c>
      <c r="AA195" s="74" t="str">
        <f>IFERROR(IF(OR(N(AA120)=0,N(AA20)=0),"",ROUND(ABS(AA20)-ABS(AA120),0)),"")</f>
        <v/>
      </c>
      <c r="AB195" s="74" t="str">
        <f>IFERROR(IF(OR(N(AB120)=0,N(AB20)=0),"",ROUND(ABS(AB20)-ABS(AB120),0)),"")</f>
        <v/>
      </c>
      <c r="AC195" s="74" t="str">
        <f>IFERROR(IF(OR(N(AC120)=0,N(AC20)=0),"",ROUND(ABS(AC20)-ABS(AC120),0)),"")</f>
        <v/>
      </c>
      <c r="AD195" s="74" t="str">
        <f>IFERROR(IF(OR(N(AD120)=0,N(AD20)=0),"",ROUND(ABS(AD20)-ABS(AD120),0)),"")</f>
        <v/>
      </c>
      <c r="AE195" s="74" t="str">
        <f>IFERROR(IF(OR(N(AE120)=0,N(AE20)=0),"",ROUND(ABS(AE20)-ABS(AE120),0)),"")</f>
        <v/>
      </c>
      <c r="AF195" s="74" t="str">
        <f>IFERROR(IF(OR(N(AF120)=0,N(AF20)=0),"",ROUND(ABS(AF20)-ABS(AF120),0)),"")</f>
        <v/>
      </c>
      <c r="AG195" s="74" t="str">
        <f>IFERROR(IF(OR(N(AG120)=0,N(AG20)=0),"",ROUND(ABS(AG20)-ABS(AG120),0)),"")</f>
        <v/>
      </c>
      <c r="AH195" s="74" t="str">
        <f>IFERROR(IF(OR(N(AH120)=0,N(AH20)=0),"",ROUND(ABS(AH20)-ABS(AH120),0)),"")</f>
        <v/>
      </c>
      <c r="AI195" s="74" t="str">
        <f>IFERROR(IF(OR(N(AI120)=0,N(AI20)=0),"",ROUND(ABS(AI20)-ABS(AI120),0)),"")</f>
        <v/>
      </c>
      <c r="AJ195" s="74" t="str">
        <f>IFERROR(IF(OR(N(AJ120)=0,N(AJ20)=0),"",ROUND(ABS(AJ20)-ABS(AJ120),0)),"")</f>
        <v/>
      </c>
      <c r="AK195" s="74" t="str">
        <f>IFERROR(IF(OR(N(AK120)=0,N(AK20)=0),"",ROUND(ABS(AK20)-ABS(AK120),0)),"")</f>
        <v/>
      </c>
      <c r="AL195" s="74" t="str">
        <f>IFERROR(IF(OR(N(AL120)=0,N(AL20)=0),"",ROUND(ABS(AL20)-ABS(AL120),0)),"")</f>
        <v/>
      </c>
      <c r="AM195" s="74" t="str">
        <f>IFERROR(IF(OR(N(AM120)=0,N(AM20)=0),"",ROUND(ABS(AM20)-ABS(AM120),0)),"")</f>
        <v/>
      </c>
      <c r="AN195" s="74" t="str">
        <f>IFERROR(IF(OR(N(AN120)=0,N(AN20)=0),"",ROUND(ABS(AN20)-ABS(AN120),0)),"")</f>
        <v/>
      </c>
      <c r="AO195" s="74" t="str">
        <f>IFERROR(IF(OR(N(AO120)=0,N(AO20)=0),"",ROUND(ABS(AO20)-ABS(AO120),0)),"")</f>
        <v/>
      </c>
      <c r="AP195" s="74" t="str">
        <f>IFERROR(IF(OR(N(AP120)=0,N(AP20)=0),"",ROUND(ABS(AP20)-ABS(AP120),0)),"")</f>
        <v/>
      </c>
      <c r="AQ195" s="74" t="str">
        <f>IFERROR(IF(OR(N(AQ120)=0,N(AQ20)=0),"",ROUND(ABS(AQ20)-ABS(AQ120),0)),"")</f>
        <v/>
      </c>
      <c r="AR195" s="74" t="str">
        <f>IFERROR(IF(OR(N(AR120)=0,N(AR20)=0),"",ROUND(ABS(AR20)-ABS(AR120),0)),"")</f>
        <v/>
      </c>
      <c r="AS195" s="74" t="str">
        <f>IFERROR(IF(OR(N(AS120)=0,N(AS20)=0),"",ROUND(ABS(AS20)-ABS(AS120),0)),"")</f>
        <v/>
      </c>
      <c r="AT195" s="74" t="str">
        <f>IFERROR(IF(OR(N(AT120)=0,N(AT20)=0),"",ROUND(ABS(AT20)-ABS(AT120),0)),"")</f>
        <v/>
      </c>
      <c r="AU195" s="74" t="str">
        <f>IFERROR(IF(OR(N(AU120)=0,N(AU20)=0),"",ROUND(ABS(AU20)-ABS(AU120),0)),"")</f>
        <v/>
      </c>
      <c r="AV195" s="74" t="str">
        <f>IFERROR(IF(OR(N(AV120)=0,N(AV20)=0),"",ROUND(ABS(AV20)-ABS(AV120),0)),"")</f>
        <v/>
      </c>
      <c r="AW195" s="74" t="str">
        <f>IFERROR(IF(OR(N(AW120)=0,N(AW20)=0),"",ROUND(ABS(AW20)-ABS(AW120),0)),"")</f>
        <v/>
      </c>
      <c r="AX195" s="74" t="str">
        <f>IFERROR(IF(OR(N(AX120)=0,N(AX20)=0),"",ROUND(ABS(AX20)-ABS(AX120),0)),"")</f>
        <v/>
      </c>
      <c r="AY195" s="74" t="str">
        <f>IFERROR(IF(OR(N(AY120)=0,N(AY20)=0),"",ROUND(ABS(AY20)-ABS(AY120),0)),"")</f>
        <v/>
      </c>
      <c r="AZ195" s="74" t="str">
        <f>IFERROR(IF(OR(N(AZ120)=0,N(AZ20)=0),"",ROUND(ABS(AZ20)-ABS(AZ120),0)),"")</f>
        <v/>
      </c>
      <c r="BA195" s="74" t="str">
        <f>IFERROR(IF(OR(N(BA120)=0,N(BA20)=0),"",ROUND(ABS(BA20)-ABS(BA120),0)),"")</f>
        <v/>
      </c>
      <c r="BB195" s="74" t="str">
        <f>IFERROR(IF(OR(N(BB120)=0,N(BB20)=0),"",ROUND(ABS(BB20)-ABS(BB120),0)),"")</f>
        <v/>
      </c>
      <c r="BC195" s="74" t="str">
        <f>IFERROR(IF(OR(N(BC120)=0,N(BC20)=0),"",ROUND(ABS(BC20)-ABS(BC120),0)),"")</f>
        <v/>
      </c>
      <c r="BD195" s="74" t="str">
        <f>IFERROR(IF(OR(N(BD120)=0,N(BD20)=0),"",ROUND(ABS(BD20)-ABS(BD120),0)),"")</f>
        <v/>
      </c>
      <c r="BE195" s="74" t="str">
        <f>IFERROR(IF(OR(N(BE120)=0,N(BE20)=0),"",ROUND(ABS(BE20)-ABS(BE120),0)),"")</f>
        <v/>
      </c>
      <c r="BF195" s="74" t="str">
        <f>IFERROR(IF(OR(N(BF120)=0,N(BF20)=0),"",ROUND(ABS(BF20)-ABS(BF120),0)),"")</f>
        <v/>
      </c>
      <c r="BG195" s="74" t="str">
        <f>IFERROR(IF(OR(N(BG120)=0,N(BG20)=0),"",ROUND(ABS(BG20)-ABS(BG120),0)),"")</f>
        <v/>
      </c>
      <c r="BI195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193:BG195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03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ROUND(E42-E79,0)</f>
        <v>0</v>
      </c>
      <c r="F5" s="74">
        <f>ROUND(F42-F79,0)</f>
        <v>0</v>
      </c>
      <c r="G5" s="74">
        <f>ROUND(G42-G79,0)</f>
        <v>0</v>
      </c>
      <c r="H5" s="74">
        <f>ROUND(H42-H79,0)</f>
        <v>0</v>
      </c>
      <c r="I5" s="77">
        <f>ROUND(I42-I79,0)</f>
        <v>0</v>
      </c>
      <c r="J5" s="74">
        <f>ROUND(J42-J79,0)</f>
        <v>0</v>
      </c>
      <c r="K5" s="74">
        <f>ROUND(K42-K79,0)</f>
        <v>0</v>
      </c>
      <c r="L5" s="74">
        <f>ROUND(L42-L79,0)</f>
        <v>0</v>
      </c>
      <c r="M5" s="74">
        <f>ROUND(M42-M79,0)</f>
        <v>0</v>
      </c>
      <c r="N5" s="77">
        <f>ROUND(N42-N79,0)</f>
        <v>0</v>
      </c>
      <c r="O5" s="74">
        <f>ROUND(O42-O79,0)</f>
        <v>0</v>
      </c>
      <c r="P5" s="74">
        <f>ROUND(P42-P79,0)</f>
        <v>0</v>
      </c>
      <c r="Q5" s="74">
        <f>ROUND(Q42-Q79,0)</f>
        <v>0</v>
      </c>
      <c r="R5" s="74">
        <f>ROUND(R42-R79,0)</f>
        <v>0</v>
      </c>
      <c r="S5" s="77">
        <f>ROUND(S42-S79,0)</f>
        <v>0</v>
      </c>
      <c r="T5" s="74">
        <f>ROUND(T42-T79,0)</f>
        <v>0</v>
      </c>
      <c r="U5" s="74">
        <f>ROUND(U42-U79,0)</f>
        <v>0</v>
      </c>
      <c r="V5" s="74">
        <f>ROUND(V42-V79,0)</f>
        <v>0</v>
      </c>
      <c r="W5" s="74">
        <f>ROUND(W42-W79,0)</f>
        <v>0</v>
      </c>
      <c r="X5" s="77">
        <f>ROUND(X42-X79,0)</f>
        <v>0</v>
      </c>
      <c r="Y5" s="74">
        <f>ROUND(Y42-Y79,0)</f>
        <v>0</v>
      </c>
      <c r="Z5" s="74">
        <f>ROUND(Z42-Z79,0)</f>
        <v>0</v>
      </c>
      <c r="AA5" s="74">
        <f>ROUND(AA42-AA79,0)</f>
        <v>0</v>
      </c>
      <c r="AB5" s="74">
        <f>ROUND(AB42-AB79,0)</f>
        <v>0</v>
      </c>
      <c r="AC5" s="77">
        <f>ROUND(AC42-AC79,0)</f>
        <v>0</v>
      </c>
      <c r="AD5" s="74">
        <f>ROUND(AD42-AD79,0)</f>
        <v>0</v>
      </c>
      <c r="AE5" s="74">
        <f>ROUND(AE42-AE79,0)</f>
        <v>0</v>
      </c>
      <c r="AF5" s="74">
        <f>ROUND(AF42-AF79,0)</f>
        <v>0</v>
      </c>
      <c r="AG5" s="74">
        <f>ROUND(AG42-AG79,0)</f>
        <v>0</v>
      </c>
      <c r="AH5" s="77">
        <f>ROUND(AH42-AH79,0)</f>
        <v>0</v>
      </c>
      <c r="AI5" s="74">
        <f>ROUND(AI42-AI79,0)</f>
        <v>0</v>
      </c>
      <c r="AJ5" s="74">
        <f>ROUND(AJ42-AJ79,0)</f>
        <v>0</v>
      </c>
      <c r="AK5" s="74">
        <f>ROUND(AK42-AK79,0)</f>
        <v>0</v>
      </c>
      <c r="AL5" s="74">
        <f>ROUND(AL42-AL79,0)</f>
        <v>0</v>
      </c>
      <c r="AM5" s="77">
        <f>ROUND(AM42-AM79,0)</f>
        <v>0</v>
      </c>
      <c r="AN5" s="74">
        <f>ROUND(AN42-AN79,0)</f>
        <v>0</v>
      </c>
      <c r="AO5" s="74">
        <f>ROUND(AO42-AO79,0)</f>
        <v>0</v>
      </c>
      <c r="AP5" s="74">
        <f>ROUND(AP42-AP79,0)</f>
        <v>0</v>
      </c>
      <c r="AQ5" s="74">
        <f>ROUND(AQ42-AQ79,0)</f>
        <v>0</v>
      </c>
      <c r="AR5" s="77">
        <f>ROUND(AR42-AR79,0)</f>
        <v>0</v>
      </c>
      <c r="AS5" s="74">
        <f>ROUND(AS42-AS79,0)</f>
        <v>0</v>
      </c>
      <c r="AT5" s="74">
        <f>ROUND(AT42-AT79,0)</f>
        <v>0</v>
      </c>
      <c r="AU5" s="74">
        <f>ROUND(AU42-AU79,0)</f>
        <v>0</v>
      </c>
      <c r="AV5" s="74">
        <f>ROUND(AV42-AV79,0)</f>
        <v>0</v>
      </c>
      <c r="AW5" s="77">
        <f>ROUND(AW42-AW79,0)</f>
        <v>0</v>
      </c>
      <c r="AX5" s="74">
        <f>ROUND(AX42-AX79,0)</f>
        <v>0</v>
      </c>
      <c r="AY5" s="74">
        <f>ROUND(AY42-AY79,0)</f>
        <v>0</v>
      </c>
      <c r="AZ5" s="74">
        <f>ROUND(AZ42-AZ79,0)</f>
        <v>0</v>
      </c>
      <c r="BA5" s="74">
        <f>ROUND(BA42-BA79,0)</f>
        <v>0</v>
      </c>
      <c r="BB5" s="77">
        <f>ROUND(BB42-BB79,0)</f>
        <v>0</v>
      </c>
      <c r="BC5" s="74">
        <f>ROUND(BC42-BC79,0)</f>
        <v>0</v>
      </c>
      <c r="BD5" s="74">
        <f>ROUND(BD42-BD79,0)</f>
        <v>0</v>
      </c>
      <c r="BE5" s="74">
        <f>ROUND(BE42-BE79,0)</f>
        <v>0</v>
      </c>
      <c r="BF5" s="74">
        <f>ROUND(BF42-BF79,0)</f>
        <v>0</v>
      </c>
      <c r="BG5" s="77">
        <f>ROUND(BG42-BG79,0)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IF(E$14=1,ROUND(E125-'Inputs (2)'!E104,0),0)</f>
        <v>0</v>
      </c>
      <c r="F6" s="74">
        <f>IF(F$14=1,ROUND(F125-'Inputs (2)'!F104,0),0)</f>
        <v>0</v>
      </c>
      <c r="G6" s="74">
        <f>IF(G$14=1,ROUND(G125-'Inputs (2)'!G104,0),0)</f>
        <v>0</v>
      </c>
      <c r="H6" s="74">
        <f>IF(H$14=1,ROUND(H125-'Inputs (2)'!H104,0),0)</f>
        <v>0</v>
      </c>
      <c r="I6" s="77">
        <f>IF(I$14=1,ROUND(I125-'Inputs (2)'!I104,0),0)</f>
        <v>0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ROUND(E78-E88,0)</f>
        <v>0</v>
      </c>
      <c r="F7" s="74">
        <f>ROUND(F78-F88,0)</f>
        <v>0</v>
      </c>
      <c r="G7" s="74">
        <f>ROUND(G78-G88,0)</f>
        <v>0</v>
      </c>
      <c r="H7" s="74">
        <f>ROUND(H78-H88,0)</f>
        <v>0</v>
      </c>
      <c r="I7" s="77">
        <f>ROUND(I78-I88,0)</f>
        <v>0</v>
      </c>
      <c r="J7" s="74">
        <f>ROUND(J78-J88,0)</f>
        <v>0</v>
      </c>
      <c r="K7" s="74">
        <f>ROUND(K78-K88,0)</f>
        <v>0</v>
      </c>
      <c r="L7" s="74">
        <f>ROUND(L78-L88,0)</f>
        <v>0</v>
      </c>
      <c r="M7" s="74">
        <f>ROUND(M78-M88,0)</f>
        <v>0</v>
      </c>
      <c r="N7" s="77">
        <f>ROUND(N78-N88,0)</f>
        <v>0</v>
      </c>
      <c r="O7" s="74">
        <f>ROUND(O78-O88,0)</f>
        <v>0</v>
      </c>
      <c r="P7" s="74">
        <f>ROUND(P78-P88,0)</f>
        <v>0</v>
      </c>
      <c r="Q7" s="74">
        <f>ROUND(Q78-Q88,0)</f>
        <v>0</v>
      </c>
      <c r="R7" s="74">
        <f>ROUND(R78-R88,0)</f>
        <v>0</v>
      </c>
      <c r="S7" s="77">
        <f>ROUND(S78-S88,0)</f>
        <v>0</v>
      </c>
      <c r="T7" s="74">
        <f>ROUND(T78-T88,0)</f>
        <v>0</v>
      </c>
      <c r="U7" s="74">
        <f>ROUND(U78-U88,0)</f>
        <v>0</v>
      </c>
      <c r="V7" s="74">
        <f>ROUND(V78-V88,0)</f>
        <v>0</v>
      </c>
      <c r="W7" s="74">
        <f>ROUND(W78-W88,0)</f>
        <v>0</v>
      </c>
      <c r="X7" s="77">
        <f>ROUND(X78-X88,0)</f>
        <v>0</v>
      </c>
      <c r="Y7" s="74">
        <f>ROUND(Y78-Y88,0)</f>
        <v>0</v>
      </c>
      <c r="Z7" s="74">
        <f>ROUND(Z78-Z88,0)</f>
        <v>0</v>
      </c>
      <c r="AA7" s="74">
        <f>ROUND(AA78-AA88,0)</f>
        <v>0</v>
      </c>
      <c r="AB7" s="74">
        <f>ROUND(AB78-AB88,0)</f>
        <v>0</v>
      </c>
      <c r="AC7" s="77">
        <f>ROUND(AC78-AC88,0)</f>
        <v>0</v>
      </c>
      <c r="AD7" s="74">
        <f>ROUND(AD78-AD88,0)</f>
        <v>0</v>
      </c>
      <c r="AE7" s="74">
        <f>ROUND(AE78-AE88,0)</f>
        <v>0</v>
      </c>
      <c r="AF7" s="74">
        <f>ROUND(AF78-AF88,0)</f>
        <v>0</v>
      </c>
      <c r="AG7" s="74">
        <f>ROUND(AG78-AG88,0)</f>
        <v>0</v>
      </c>
      <c r="AH7" s="77">
        <f>ROUND(AH78-AH88,0)</f>
        <v>0</v>
      </c>
      <c r="AI7" s="74">
        <f>ROUND(AI78-AI88,0)</f>
        <v>0</v>
      </c>
      <c r="AJ7" s="74">
        <f>ROUND(AJ78-AJ88,0)</f>
        <v>0</v>
      </c>
      <c r="AK7" s="74">
        <f>ROUND(AK78-AK88,0)</f>
        <v>0</v>
      </c>
      <c r="AL7" s="74">
        <f>ROUND(AL78-AL88,0)</f>
        <v>0</v>
      </c>
      <c r="AM7" s="77">
        <f>ROUND(AM78-AM88,0)</f>
        <v>0</v>
      </c>
      <c r="AN7" s="74">
        <f>ROUND(AN78-AN88,0)</f>
        <v>0</v>
      </c>
      <c r="AO7" s="74">
        <f>ROUND(AO78-AO88,0)</f>
        <v>0</v>
      </c>
      <c r="AP7" s="74">
        <f>ROUND(AP78-AP88,0)</f>
        <v>0</v>
      </c>
      <c r="AQ7" s="74">
        <f>ROUND(AQ78-AQ88,0)</f>
        <v>0</v>
      </c>
      <c r="AR7" s="77">
        <f>ROUND(AR78-AR88,0)</f>
        <v>0</v>
      </c>
      <c r="AS7" s="74">
        <f>ROUND(AS78-AS88,0)</f>
        <v>0</v>
      </c>
      <c r="AT7" s="74">
        <f>ROUND(AT78-AT88,0)</f>
        <v>0</v>
      </c>
      <c r="AU7" s="74">
        <f>ROUND(AU78-AU88,0)</f>
        <v>0</v>
      </c>
      <c r="AV7" s="74">
        <f>ROUND(AV78-AV88,0)</f>
        <v>0</v>
      </c>
      <c r="AW7" s="77">
        <f>ROUND(AW78-AW88,0)</f>
        <v>0</v>
      </c>
      <c r="AX7" s="74">
        <f>ROUND(AX78-AX88,0)</f>
        <v>0</v>
      </c>
      <c r="AY7" s="74">
        <f>ROUND(AY78-AY88,0)</f>
        <v>0</v>
      </c>
      <c r="AZ7" s="74">
        <f>ROUND(AZ78-AZ88,0)</f>
        <v>0</v>
      </c>
      <c r="BA7" s="74">
        <f>ROUND(BA78-BA88,0)</f>
        <v>0</v>
      </c>
      <c r="BB7" s="77">
        <f>ROUND(BB78-BB88,0)</f>
        <v>0</v>
      </c>
      <c r="BC7" s="74">
        <f>ROUND(BC78-BC88,0)</f>
        <v>0</v>
      </c>
      <c r="BD7" s="74">
        <f>ROUND(BD78-BD88,0)</f>
        <v>0</v>
      </c>
      <c r="BE7" s="74">
        <f>ROUND(BE78-BE88,0)</f>
        <v>0</v>
      </c>
      <c r="BF7" s="74">
        <f>ROUND(BF78-BF88,0)</f>
        <v>0</v>
      </c>
      <c r="BG7" s="77">
        <f>ROUND(BG78-BG88,0)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1</v>
      </c>
      <c r="F14" s="27">
        <f>IF(AND(F11&gt;=Inputs!$E$204,F11&lt;=Inputs!$E$203),1,0)</f>
        <v>1</v>
      </c>
      <c r="G14" s="27">
        <f>IF(AND(G11&gt;=Inputs!$E$204,G11&lt;=Inputs!$E$203),1,0)</f>
        <v>1</v>
      </c>
      <c r="H14" s="27">
        <f>IF(AND(H11&gt;=Inputs!$E$204,H11&lt;=Inputs!$E$203),1,0)</f>
        <v>1</v>
      </c>
      <c r="I14" s="27">
        <f>IF(AND(I11&gt;=Inputs!$E$204,I11&lt;=Inputs!$E$203),1,0)</f>
        <v>1</v>
      </c>
      <c r="J14" s="27">
        <f>IF(AND(J11&gt;=Inputs!$E$204,J11&lt;=Inputs!$E$203),1,0)</f>
        <v>1</v>
      </c>
      <c r="K14" s="27">
        <f>IF(AND(K11&gt;=Inputs!$E$204,K11&lt;=Inputs!$E$203),1,0)</f>
        <v>1</v>
      </c>
      <c r="L14" s="27">
        <f>IF(AND(L11&gt;=Inputs!$E$204,L11&lt;=Inputs!$E$203),1,0)</f>
        <v>1</v>
      </c>
      <c r="M14" s="27">
        <f>IF(AND(M11&gt;=Inputs!$E$204,M11&lt;=Inputs!$E$203),1,0)</f>
        <v>1</v>
      </c>
      <c r="N14" s="27">
        <f>IF(AND(N11&gt;=Inputs!$E$204,N11&lt;=Inputs!$E$203),1,0)</f>
        <v>1</v>
      </c>
      <c r="O14" s="27">
        <f>IF(AND(O11&gt;=Inputs!$E$204,O11&lt;=Inputs!$E$203),1,0)</f>
        <v>1</v>
      </c>
      <c r="P14" s="27">
        <f>IF(AND(P11&gt;=Inputs!$E$204,P11&lt;=Inputs!$E$203),1,0)</f>
        <v>1</v>
      </c>
      <c r="Q14" s="27">
        <f>IF(AND(Q11&gt;=Inputs!$E$204,Q11&lt;=Inputs!$E$203),1,0)</f>
        <v>1</v>
      </c>
      <c r="R14" s="27">
        <f>IF(AND(R11&gt;=Inputs!$E$204,R11&lt;=Inputs!$E$203),1,0)</f>
        <v>1</v>
      </c>
      <c r="S14" s="27">
        <f>IF(AND(S11&gt;=Inputs!$E$204,S11&lt;=Inputs!$E$203),1,0)</f>
        <v>1</v>
      </c>
      <c r="T14" s="27">
        <f>IF(AND(T11&gt;=Inputs!$E$204,T11&lt;=Inputs!$E$203),1,0)</f>
        <v>1</v>
      </c>
      <c r="U14" s="27">
        <f>IF(AND(U11&gt;=Inputs!$E$204,U11&lt;=Inputs!$E$203),1,0)</f>
        <v>1</v>
      </c>
      <c r="V14" s="27">
        <f>IF(AND(V11&gt;=Inputs!$E$204,V11&lt;=Inputs!$E$203),1,0)</f>
        <v>1</v>
      </c>
      <c r="W14" s="27">
        <f>IF(AND(W11&gt;=Inputs!$E$204,W11&lt;=Inputs!$E$203),1,0)</f>
        <v>1</v>
      </c>
      <c r="X14" s="27">
        <f>IF(AND(X11&gt;=Inputs!$E$204,X11&lt;=Inputs!$E$203),1,0)</f>
        <v>1</v>
      </c>
      <c r="Y14" s="27">
        <f>IF(AND(Y11&gt;=Inputs!$E$204,Y11&lt;=Inputs!$E$203),1,0)</f>
        <v>1</v>
      </c>
      <c r="Z14" s="27">
        <f>IF(AND(Z11&gt;=Inputs!$E$204,Z11&lt;=Inputs!$E$203),1,0)</f>
        <v>1</v>
      </c>
      <c r="AA14" s="27">
        <f>IF(AND(AA11&gt;=Inputs!$E$204,AA11&lt;=Inputs!$E$203),1,0)</f>
        <v>1</v>
      </c>
      <c r="AB14" s="27">
        <f>IF(AND(AB11&gt;=Inputs!$E$204,AB11&lt;=Inputs!$E$203),1,0)</f>
        <v>1</v>
      </c>
      <c r="AC14" s="27">
        <f>IF(AND(AC11&gt;=Inputs!$E$204,AC11&lt;=Inputs!$E$203),1,0)</f>
        <v>1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(R$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Disponibilidades</t>
        </is>
      </c>
      <c r="D18" s="81" t="inlineStr">
        <is>
          <t>Cash and Cash Equivalents</t>
        </is>
      </c>
      <c r="E18" s="82">
        <f>'Inputs (2)'!E5</f>
        <v>2257.558344</v>
      </c>
      <c r="F18" s="82">
        <f>IF(F$14=1,'Inputs (2)'!F5,E18*(1+Inputs!F$281))</f>
        <v>3682.122579</v>
      </c>
      <c r="G18" s="82">
        <f>IF(G$14=1,'Inputs (2)'!G5,F18*(1+Inputs!G$281))</f>
        <v>3510.456871</v>
      </c>
      <c r="H18" s="82">
        <f>IF(H$14=1,'Inputs (2)'!H5,G18*(1+Inputs!H$281))</f>
        <v>1794.058697</v>
      </c>
      <c r="I18" s="77">
        <f>H18</f>
        <v>1794.058697</v>
      </c>
      <c r="J18" s="82">
        <f>IF(J$14=1,'Inputs (2)'!J5,H18*(1+Inputs!J$281))</f>
        <v>2606.660517</v>
      </c>
      <c r="K18" s="82">
        <f>IF(K$14=1,'Inputs (2)'!K5,J18*(1+Inputs!K$281))</f>
        <v>5295.510858</v>
      </c>
      <c r="L18" s="82">
        <f>IF(L$14=1,'Inputs (2)'!L5,K18*(1+Inputs!L$281))</f>
        <v>2513.133324</v>
      </c>
      <c r="M18" s="82">
        <f>IF(M$14=1,'Inputs (2)'!M5,L18*(1+Inputs!M$281))</f>
        <v>3219.641364</v>
      </c>
      <c r="N18" s="77">
        <f>M18</f>
        <v>3219.641364</v>
      </c>
      <c r="O18" s="82">
        <f>IF(O$14=1,'Inputs (2)'!O5,M18*(1+Inputs!O$281))</f>
        <v>3535.68684</v>
      </c>
      <c r="P18" s="82">
        <f>IF(P$14=1,'Inputs (2)'!P5,O18*(1+Inputs!P$281))</f>
        <v>2489.023904</v>
      </c>
      <c r="Q18" s="82">
        <f>IF(Q$14=1,'Inputs (2)'!Q5,P18*(1+Inputs!Q$281))</f>
        <v>2818.790043</v>
      </c>
      <c r="R18" s="82">
        <f>IF(R$14=1,'Inputs (2)'!R5,Q18*(1+Inputs!R$281))</f>
        <v>3068.945717</v>
      </c>
      <c r="S18" s="77">
        <f>R18</f>
        <v>3068.945717</v>
      </c>
      <c r="T18" s="82">
        <f>IF(T$14=1,'Inputs (2)'!T5,R18*(1+Inputs!T$281))</f>
        <v>3239.32</v>
      </c>
      <c r="U18" s="82">
        <f>IF(U$14=1,'Inputs (2)'!U5,T18*(1+Inputs!U$281))</f>
        <v>3813.399</v>
      </c>
      <c r="V18" s="82">
        <f>IF(V$14=1,'Inputs (2)'!V5,U18*(1+Inputs!V$281))</f>
        <v>2283.264</v>
      </c>
      <c r="W18" s="82">
        <f>IF(W$14=1,'Inputs (2)'!W5,V18*(1+Inputs!W$281))</f>
        <v>2439.095</v>
      </c>
      <c r="X18" s="77">
        <f>W18</f>
        <v>2439.095</v>
      </c>
      <c r="Y18" s="82">
        <f>IF(Y$14=1,'Inputs (2)'!Y5,W18*(1+Inputs!Y$281))</f>
        <v>2903.932</v>
      </c>
      <c r="Z18" s="82">
        <f>IF(Z$14=1,'Inputs (2)'!Z5,Y18*(1+Inputs!Z$281))</f>
        <v>4267.504</v>
      </c>
      <c r="AA18" s="82">
        <f>IF(AA$14=1,'Inputs (2)'!AA5,Z18*(1+Inputs!AA$281))</f>
        <v>5377.551</v>
      </c>
      <c r="AB18" s="82">
        <f>IF(AB$14=1,'Inputs (2)'!AB5,AA18*(1+Inputs!AB$281))</f>
        <v>4614.304</v>
      </c>
      <c r="AC18" s="77">
        <f>AB18</f>
        <v>4614.304</v>
      </c>
      <c r="AD18" s="82">
        <f>IF(AD$14=1,'Inputs (2)'!AD5,AB18*(1+Inputs!AD$281))</f>
        <v>5138.768</v>
      </c>
      <c r="AE18" s="82">
        <f>IF(AE$14=1,'Inputs (2)'!AE5,AD18*(1+Inputs!AE$281))</f>
        <v>3681.182</v>
      </c>
      <c r="AF18" s="82">
        <f>IF(AF$14=1,'Inputs (2)'!AF5,AE18*(1+Inputs!AF$281))</f>
        <v>5777.333</v>
      </c>
      <c r="AG18" s="82">
        <f>IF(AG$14=1,'Inputs (2)'!AG5,AF18*(1+Inputs!AG$281))</f>
        <v>5577.129</v>
      </c>
      <c r="AH18" s="77">
        <f>AG18</f>
        <v>5577.129</v>
      </c>
      <c r="AI18" s="82">
        <f>IF(AI$14=1,'Inputs (2)'!AI5,AG18*(1+Inputs!AI$281))</f>
        <v>4848.422</v>
      </c>
      <c r="AJ18" s="82">
        <f>IF(AJ$14=1,'Inputs (2)'!AJ5,AI18*(1+Inputs!AJ$281))</f>
        <v>4705.439</v>
      </c>
      <c r="AK18" s="82">
        <f>IF(AK$14=1,'Inputs (2)'!AK5,AJ18*(1+Inputs!AK$281))</f>
        <v>4705.439</v>
      </c>
      <c r="AL18" s="82">
        <f>IF(AL$14=1,'Inputs (2)'!AL5,AK18*(1+Inputs!AL$281))</f>
        <v>4705.439</v>
      </c>
      <c r="AM18" s="77">
        <f>AL18</f>
        <v>4705.439</v>
      </c>
      <c r="AN18" s="82">
        <f>IF(AN$14=1,'Inputs (2)'!AN5,AL18*(1+Inputs!AN$281))</f>
        <v>4705.439</v>
      </c>
      <c r="AO18" s="82">
        <f>IF(AO$14=1,'Inputs (2)'!AO5,AN18*(1+Inputs!AO$281))</f>
        <v>4705.439</v>
      </c>
      <c r="AP18" s="82">
        <f>IF(AP$14=1,'Inputs (2)'!AP5,AO18*(1+Inputs!AP$281))</f>
        <v>4705.439</v>
      </c>
      <c r="AQ18" s="82">
        <f>IF(AQ$14=1,'Inputs (2)'!AQ5,AP18*(1+Inputs!AQ$281))</f>
        <v>4705.439</v>
      </c>
      <c r="AR18" s="77">
        <f>AQ18</f>
        <v>4705.439</v>
      </c>
      <c r="AS18" s="82">
        <f>IF(AS$14=1,'Inputs (2)'!AS5,AQ18*(1+Inputs!AS$281))</f>
        <v>4705.439</v>
      </c>
      <c r="AT18" s="82">
        <f>IF(AT$14=1,'Inputs (2)'!AT5,AS18*(1+Inputs!AT$281))</f>
        <v>4705.439</v>
      </c>
      <c r="AU18" s="82">
        <f>IF(AU$14=1,'Inputs (2)'!AU5,AT18*(1+Inputs!AU$281))</f>
        <v>4705.439</v>
      </c>
      <c r="AV18" s="82">
        <f>IF(AV$14=1,'Inputs (2)'!AV5,AU18*(1+Inputs!AV$281))</f>
        <v>4705.439</v>
      </c>
      <c r="AW18" s="77">
        <f>AV18</f>
        <v>4705.439</v>
      </c>
      <c r="AX18" s="82">
        <f>IF(AX$14=1,'Inputs (2)'!AX5,AV18*(1+Inputs!AX$281))</f>
        <v>4705.439</v>
      </c>
      <c r="AY18" s="82">
        <f>IF(AY$14=1,'Inputs (2)'!AY5,AX18*(1+Inputs!AY$281))</f>
        <v>4705.439</v>
      </c>
      <c r="AZ18" s="82">
        <f>IF(AZ$14=1,'Inputs (2)'!AZ5,AY18*(1+Inputs!AZ$281))</f>
        <v>4705.439</v>
      </c>
      <c r="BA18" s="82">
        <f>IF(BA$14=1,'Inputs (2)'!BA5,AZ18*(1+Inputs!BA$281))</f>
        <v>4705.439</v>
      </c>
      <c r="BB18" s="77">
        <f>BA18</f>
        <v>4705.439</v>
      </c>
      <c r="BC18" s="82">
        <f>IF(BC$14=1,'Inputs (2)'!BC5,BA18*(1+Inputs!BC$281))</f>
        <v>4705.439</v>
      </c>
      <c r="BD18" s="82">
        <f>IF(BD$14=1,'Inputs (2)'!BD5,BC18*(1+Inputs!BD$281))</f>
        <v>4705.439</v>
      </c>
      <c r="BE18" s="82">
        <f>IF(BE$14=1,'Inputs (2)'!BE5,BD18*(1+Inputs!BE$281))</f>
        <v>4705.439</v>
      </c>
      <c r="BF18" s="82">
        <f>IF(BF$14=1,'Inputs (2)'!BF5,BE18*(1+Inputs!BF$281))</f>
        <v>4705.439</v>
      </c>
      <c r="BG18" s="77">
        <f>BF18</f>
        <v>4705.439</v>
      </c>
    </row>
    <row r="19">
      <c r="C19" s="83" t="inlineStr">
        <is>
          <t>Aplicações Interfinanceiras de Liquidez</t>
        </is>
      </c>
      <c r="D19" s="84" t="inlineStr">
        <is>
          <t>Interbank Investments</t>
        </is>
      </c>
      <c r="E19" s="85">
        <f>E20+E21+E22+E23</f>
        <v>57779.812313</v>
      </c>
      <c r="F19" s="85">
        <f>F20+F21+F22+F23</f>
        <v>61794.762416</v>
      </c>
      <c r="G19" s="85">
        <f>G20+G21+G22+G23</f>
        <v>67204.015319</v>
      </c>
      <c r="H19" s="85">
        <f>H20+H21+H22+H23</f>
        <v>51690.227632</v>
      </c>
      <c r="I19" s="60">
        <f>H19</f>
        <v>51690.227632</v>
      </c>
      <c r="J19" s="85">
        <f>J20+J21+J22+J23</f>
        <v>47931.115981</v>
      </c>
      <c r="K19" s="85">
        <f>K20+K21+K22+K23</f>
        <v>41838.747005</v>
      </c>
      <c r="L19" s="85">
        <f>L20+L21+L22+L23</f>
        <v>55427.324006</v>
      </c>
      <c r="M19" s="85">
        <f>M20+M21+M22+M23</f>
        <v>54140.778704</v>
      </c>
      <c r="N19" s="60">
        <f>M19</f>
        <v>54140.778704</v>
      </c>
      <c r="O19" s="85">
        <f>O20+O21+O22+O23</f>
        <v>47938.753523</v>
      </c>
      <c r="P19" s="85">
        <f>P20+P21+P22+P23</f>
        <v>53736.272309</v>
      </c>
      <c r="Q19" s="85">
        <f>Q20+Q21+Q22+Q23</f>
        <v>58237.524762</v>
      </c>
      <c r="R19" s="85">
        <f>R20+R21+R22+R23</f>
        <v>74114.272638</v>
      </c>
      <c r="S19" s="60">
        <f>R19</f>
        <v>74114.272638</v>
      </c>
      <c r="T19" s="85">
        <f>T20+T21+T22+T23</f>
        <v>78789.028</v>
      </c>
      <c r="U19" s="85">
        <f>U20+U21+U22+U23</f>
        <v>60410.954</v>
      </c>
      <c r="V19" s="85">
        <f>V20+V21+V22+V23</f>
        <v>72736.395</v>
      </c>
      <c r="W19" s="85">
        <f>W20+W21+W22+W23</f>
        <v>73564.489</v>
      </c>
      <c r="X19" s="60">
        <f>W19</f>
        <v>73564.489</v>
      </c>
      <c r="Y19" s="85">
        <f>Y20+Y21+Y22+Y23</f>
        <v>97244.516</v>
      </c>
      <c r="Z19" s="85">
        <f>Z20+Z21+Z22+Z23</f>
        <v>66020.915</v>
      </c>
      <c r="AA19" s="85">
        <f>AA20+AA21+AA22+AA23</f>
        <v>98728.962</v>
      </c>
      <c r="AB19" s="85">
        <f>AB20+AB21+AB22+AB23</f>
        <v>99780.437173</v>
      </c>
      <c r="AC19" s="60">
        <f>AB19</f>
        <v>99780.437173</v>
      </c>
      <c r="AD19" s="85">
        <f>AD20+AD21+AD22+AD23</f>
        <v>81278.943</v>
      </c>
      <c r="AE19" s="85">
        <f>AE20+AE21+AE22+AE23</f>
        <v>66993.091</v>
      </c>
      <c r="AF19" s="85">
        <f>AF20+AF21+AF22+AF23</f>
        <v>80082.355</v>
      </c>
      <c r="AG19" s="85">
        <f>AG20+AG21+AG22+AG23</f>
        <v>90736.599</v>
      </c>
      <c r="AH19" s="60">
        <f>AG19</f>
        <v>90736.599</v>
      </c>
      <c r="AI19" s="85">
        <f>AI20+AI21+AI22+AI23</f>
        <v>95212.288</v>
      </c>
      <c r="AJ19" s="85">
        <f>AJ20+AJ21+AJ22+AJ23</f>
        <v>163864.029</v>
      </c>
      <c r="AK19" s="85">
        <f>AK20+AK21+AK22+AK23</f>
        <v>163864.029</v>
      </c>
      <c r="AL19" s="85">
        <f>AL20+AL21+AL22+AL23</f>
        <v>163864.029</v>
      </c>
      <c r="AM19" s="60">
        <f>AL19</f>
        <v>163864.029</v>
      </c>
      <c r="AN19" s="85">
        <f>AN20+AN21+AN22+AN23</f>
        <v>163864.029</v>
      </c>
      <c r="AO19" s="85">
        <f>AO20+AO21+AO22+AO23</f>
        <v>163864.029</v>
      </c>
      <c r="AP19" s="85">
        <f>AP20+AP21+AP22+AP23</f>
        <v>163864.029</v>
      </c>
      <c r="AQ19" s="85">
        <f>AQ20+AQ21+AQ22+AQ23</f>
        <v>163864.029</v>
      </c>
      <c r="AR19" s="60">
        <f>AQ19</f>
        <v>163864.029</v>
      </c>
      <c r="AS19" s="85">
        <f>AS20+AS21+AS22+AS23</f>
        <v>163864.029</v>
      </c>
      <c r="AT19" s="85">
        <f>AT20+AT21+AT22+AT23</f>
        <v>163864.029</v>
      </c>
      <c r="AU19" s="85">
        <f>AU20+AU21+AU22+AU23</f>
        <v>163864.029</v>
      </c>
      <c r="AV19" s="85">
        <f>AV20+AV21+AV22+AV23</f>
        <v>163864.029</v>
      </c>
      <c r="AW19" s="60">
        <f>AV19</f>
        <v>163864.029</v>
      </c>
      <c r="AX19" s="85">
        <f>AX20+AX21+AX22+AX23</f>
        <v>163864.029</v>
      </c>
      <c r="AY19" s="85">
        <f>AY20+AY21+AY22+AY23</f>
        <v>163864.029</v>
      </c>
      <c r="AZ19" s="85">
        <f>AZ20+AZ21+AZ22+AZ23</f>
        <v>163864.029</v>
      </c>
      <c r="BA19" s="85">
        <f>BA20+BA21+BA22+BA23</f>
        <v>163864.029</v>
      </c>
      <c r="BB19" s="60">
        <f>BA19</f>
        <v>163864.029</v>
      </c>
      <c r="BC19" s="85">
        <f>BC20+BC21+BC22+BC23</f>
        <v>163864.029</v>
      </c>
      <c r="BD19" s="85">
        <f>BD20+BD21+BD22+BD23</f>
        <v>163864.029</v>
      </c>
      <c r="BE19" s="85">
        <f>BE20+BE21+BE22+BE23</f>
        <v>163864.029</v>
      </c>
      <c r="BF19" s="85">
        <f>BF20+BF21+BF22+BF23</f>
        <v>163864.029</v>
      </c>
      <c r="BG19" s="60">
        <f>BF19</f>
        <v>163864.029</v>
      </c>
    </row>
    <row r="20" hidden="1" outlineLevel="1">
      <c r="C20" s="61" t="inlineStr">
        <is>
          <t>Aplicações no Mercado Aberto</t>
        </is>
      </c>
      <c r="D20" s="62" t="inlineStr">
        <is>
          <t>Open Market Investments</t>
        </is>
      </c>
      <c r="E20" s="57">
        <f>'Inputs (2)'!E7</f>
        <v>57779.812313</v>
      </c>
      <c r="F20" s="57">
        <f>IF(F$14=1,'Inputs (2)'!F7,E20*(1+Inputs!F$275))</f>
        <v>61794.762416</v>
      </c>
      <c r="G20" s="57">
        <f>IF(G$14=1,'Inputs (2)'!G7,F20*(1+Inputs!G$275))</f>
        <v>67204.015319</v>
      </c>
      <c r="H20" s="57">
        <f>IF(H$14=1,'Inputs (2)'!H7,G20*(1+Inputs!H$275))</f>
        <v>51690.227632</v>
      </c>
      <c r="I20" s="77">
        <f>H20</f>
        <v>51690.227632</v>
      </c>
      <c r="J20" s="57">
        <f>IF(J$14=1,'Inputs (2)'!J7,H20*(1+Inputs!J$275))</f>
        <v>47931.115981</v>
      </c>
      <c r="K20" s="57">
        <f>IF(K$14=1,'Inputs (2)'!K7,J20*(1+Inputs!K$275))</f>
        <v>41838.747005</v>
      </c>
      <c r="L20" s="57">
        <f>IF(L$14=1,'Inputs (2)'!L7,K20*(1+Inputs!L$275))</f>
        <v>55427.324006</v>
      </c>
      <c r="M20" s="57">
        <f>IF(M$14=1,'Inputs (2)'!M7,L20*(1+Inputs!M$275))</f>
        <v>54140.778704</v>
      </c>
      <c r="N20" s="77">
        <f>M20</f>
        <v>54140.778704</v>
      </c>
      <c r="O20" s="57">
        <f>IF(O$14=1,'Inputs (2)'!O7,M20*(1+Inputs!O$275))</f>
        <v>47938.753523</v>
      </c>
      <c r="P20" s="57">
        <f>IF(P$14=1,'Inputs (2)'!P7,O20*(1+Inputs!P$275))</f>
        <v>53736.272309</v>
      </c>
      <c r="Q20" s="57">
        <f>IF(Q$14=1,'Inputs (2)'!Q7,P20*(1+Inputs!Q$275))</f>
        <v>58237.524762</v>
      </c>
      <c r="R20" s="57">
        <f>IF(R$14=1,'Inputs (2)'!R7,Q20*(1+Inputs!R$275))</f>
        <v>74114.272638</v>
      </c>
      <c r="S20" s="77">
        <f>R20</f>
        <v>74114.272638</v>
      </c>
      <c r="T20" s="57">
        <f>IF(T$14=1,'Inputs (2)'!T7,R20*(1+Inputs!T$275))</f>
        <v>78789.028</v>
      </c>
      <c r="U20" s="57">
        <f>IF(U$14=1,'Inputs (2)'!U7,T20*(1+Inputs!U$275))</f>
        <v>60410.954</v>
      </c>
      <c r="V20" s="57">
        <f>IF(V$14=1,'Inputs (2)'!V7,U20*(1+Inputs!V$275))</f>
        <v>72736.395</v>
      </c>
      <c r="W20" s="57">
        <f>IF(W$14=1,'Inputs (2)'!W7,V20*(1+Inputs!W$275))</f>
        <v>73564.489</v>
      </c>
      <c r="X20" s="77">
        <f>W20</f>
        <v>73564.489</v>
      </c>
      <c r="Y20" s="57">
        <f>IF(Y$14=1,'Inputs (2)'!Y7,W20*(1+Inputs!Y$275))</f>
        <v>97244.516</v>
      </c>
      <c r="Z20" s="57">
        <f>IF(Z$14=1,'Inputs (2)'!Z7,Y20*(1+Inputs!Z$275))</f>
        <v>66020.915</v>
      </c>
      <c r="AA20" s="57">
        <f>IF(AA$14=1,'Inputs (2)'!AA7,Z20*(1+Inputs!AA$275))</f>
        <v>98728.962</v>
      </c>
      <c r="AB20" s="57">
        <f>IF(AB$14=1,'Inputs (2)'!AB7,AA20*(1+Inputs!AB$275))</f>
        <v>99780.437173</v>
      </c>
      <c r="AC20" s="77">
        <f>AB20</f>
        <v>99780.437173</v>
      </c>
      <c r="AD20" s="57">
        <f>IF(AD$14=1,'Inputs (2)'!AD7,AB20*(1+Inputs!AD$275))</f>
        <v>81278.943</v>
      </c>
      <c r="AE20" s="57">
        <f>IF(AE$14=1,'Inputs (2)'!AE7,AD20*(1+Inputs!AE$275))</f>
        <v>66993.091</v>
      </c>
      <c r="AF20" s="57">
        <f>IF(AF$14=1,'Inputs (2)'!AF7,AE20*(1+Inputs!AF$275))</f>
        <v>80082.355</v>
      </c>
      <c r="AG20" s="57">
        <f>IF(AG$14=1,'Inputs (2)'!AG7,AF20*(1+Inputs!AG$275))</f>
        <v>90736.599</v>
      </c>
      <c r="AH20" s="77">
        <f>AG20</f>
        <v>90736.599</v>
      </c>
      <c r="AI20" s="57">
        <f>IF(AI$14=1,'Inputs (2)'!AI7,AG20*(1+Inputs!AI$275))</f>
        <v>95212.288</v>
      </c>
      <c r="AJ20" s="57">
        <f>IF(AJ$14=1,'Inputs (2)'!AJ7,AI20*(1+Inputs!AJ$275))</f>
        <v>163864.029</v>
      </c>
      <c r="AK20" s="57">
        <f>IF(AK$14=1,'Inputs (2)'!AK7,AJ20*(1+Inputs!AK$275))</f>
        <v>163864.029</v>
      </c>
      <c r="AL20" s="57">
        <f>IF(AL$14=1,'Inputs (2)'!AL7,AK20*(1+Inputs!AL$275))</f>
        <v>163864.029</v>
      </c>
      <c r="AM20" s="77">
        <f>AL20</f>
        <v>163864.029</v>
      </c>
      <c r="AN20" s="57">
        <f>IF(AN$14=1,'Inputs (2)'!AN7,AL20*(1+Inputs!AN$275))</f>
        <v>163864.029</v>
      </c>
      <c r="AO20" s="57">
        <f>IF(AO$14=1,'Inputs (2)'!AO7,AN20*(1+Inputs!AO$275))</f>
        <v>163864.029</v>
      </c>
      <c r="AP20" s="57">
        <f>IF(AP$14=1,'Inputs (2)'!AP7,AO20*(1+Inputs!AP$275))</f>
        <v>163864.029</v>
      </c>
      <c r="AQ20" s="57">
        <f>IF(AQ$14=1,'Inputs (2)'!AQ7,AP20*(1+Inputs!AQ$275))</f>
        <v>163864.029</v>
      </c>
      <c r="AR20" s="77">
        <f>AQ20</f>
        <v>163864.029</v>
      </c>
      <c r="AS20" s="57">
        <f>IF(AS$14=1,'Inputs (2)'!AS7,AQ20*(1+Inputs!AS$275))</f>
        <v>163864.029</v>
      </c>
      <c r="AT20" s="57">
        <f>IF(AT$14=1,'Inputs (2)'!AT7,AS20*(1+Inputs!AT$275))</f>
        <v>163864.029</v>
      </c>
      <c r="AU20" s="57">
        <f>IF(AU$14=1,'Inputs (2)'!AU7,AT20*(1+Inputs!AU$275))</f>
        <v>163864.029</v>
      </c>
      <c r="AV20" s="57">
        <f>IF(AV$14=1,'Inputs (2)'!AV7,AU20*(1+Inputs!AV$275))</f>
        <v>163864.029</v>
      </c>
      <c r="AW20" s="77">
        <f>AV20</f>
        <v>163864.029</v>
      </c>
      <c r="AX20" s="57">
        <f>IF(AX$14=1,'Inputs (2)'!AX7,AV20*(1+Inputs!AX$275))</f>
        <v>163864.029</v>
      </c>
      <c r="AY20" s="57">
        <f>IF(AY$14=1,'Inputs (2)'!AY7,AX20*(1+Inputs!AY$275))</f>
        <v>163864.029</v>
      </c>
      <c r="AZ20" s="57">
        <f>IF(AZ$14=1,'Inputs (2)'!AZ7,AY20*(1+Inputs!AZ$275))</f>
        <v>163864.029</v>
      </c>
      <c r="BA20" s="57">
        <f>IF(BA$14=1,'Inputs (2)'!BA7,AZ20*(1+Inputs!BA$275))</f>
        <v>163864.029</v>
      </c>
      <c r="BB20" s="77">
        <f>BA20</f>
        <v>163864.029</v>
      </c>
      <c r="BC20" s="57">
        <f>IF(BC$14=1,'Inputs (2)'!BC7,BA20*(1+Inputs!BC$275))</f>
        <v>163864.029</v>
      </c>
      <c r="BD20" s="57">
        <f>IF(BD$14=1,'Inputs (2)'!BD7,BC20*(1+Inputs!BD$275))</f>
        <v>163864.029</v>
      </c>
      <c r="BE20" s="57">
        <f>IF(BE$14=1,'Inputs (2)'!BE7,BD20*(1+Inputs!BE$275))</f>
        <v>163864.029</v>
      </c>
      <c r="BF20" s="57">
        <f>IF(BF$14=1,'Inputs (2)'!BF7,BE20*(1+Inputs!BF$275))</f>
        <v>163864.029</v>
      </c>
      <c r="BG20" s="77">
        <f>BF20</f>
        <v>163864.029</v>
      </c>
    </row>
    <row r="21" hidden="1" outlineLevel="1">
      <c r="C21" s="61" t="inlineStr">
        <is>
          <t>Aplicações em Depósitos Interfinanceiros</t>
        </is>
      </c>
      <c r="D21" s="62" t="inlineStr">
        <is>
          <t>Interbank Deposits</t>
        </is>
      </c>
      <c r="E21" s="57">
        <f>'Inputs (2)'!E8</f>
        <v>0</v>
      </c>
      <c r="F21" s="57">
        <f>IF(F$14=1,'Inputs (2)'!F8,E21*(1+Inputs!F$275))</f>
        <v>0</v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>H21</f>
        <v>0</v>
      </c>
      <c r="J21" s="57">
        <f>IF(J$14=1,'Inputs (2)'!J8,H21*(1+Inputs!J$275))</f>
        <v>0</v>
      </c>
      <c r="K21" s="57">
        <f>IF(K$14=1,'Inputs (2)'!K8,J21*(1+Inputs!K$275))</f>
        <v>0</v>
      </c>
      <c r="L21" s="57">
        <f>IF(L$14=1,'Inputs (2)'!L8,K21*(1+Inputs!L$275))</f>
        <v>0</v>
      </c>
      <c r="M21" s="57">
        <f>IF(M$14=1,'Inputs (2)'!M8,L21*(1+Inputs!M$275))</f>
        <v>0</v>
      </c>
      <c r="N21" s="77">
        <f>M21</f>
        <v>0</v>
      </c>
      <c r="O21" s="57">
        <f>IF(O$14=1,'Inputs (2)'!O8,M21*(1+Inputs!O$275))</f>
        <v>0</v>
      </c>
      <c r="P21" s="57">
        <f>IF(P$14=1,'Inputs (2)'!P8,O21*(1+Inputs!P$275))</f>
        <v>0</v>
      </c>
      <c r="Q21" s="57">
        <f>IF(Q$14=1,'Inputs (2)'!Q8,P21*(1+Inputs!Q$275))</f>
        <v>0</v>
      </c>
      <c r="R21" s="57">
        <f>IF(R$14=1,'Inputs (2)'!R8,Q21*(1+Inputs!R$275))</f>
        <v>0</v>
      </c>
      <c r="S21" s="77">
        <f>R21</f>
        <v>0</v>
      </c>
      <c r="T21" s="57">
        <f>IF(T$14=1,'Inputs (2)'!T8,R21*(1+Inputs!T$275))</f>
        <v>0</v>
      </c>
      <c r="U21" s="57">
        <f>IF(U$14=1,'Inputs (2)'!U8,T21*(1+Inputs!U$275))</f>
        <v>0</v>
      </c>
      <c r="V21" s="57">
        <f>IF(V$14=1,'Inputs (2)'!V8,U21*(1+Inputs!V$275))</f>
        <v>0</v>
      </c>
      <c r="W21" s="57">
        <f>IF(W$14=1,'Inputs (2)'!W8,V21*(1+Inputs!W$275))</f>
        <v>0</v>
      </c>
      <c r="X21" s="77">
        <f>W21</f>
        <v>0</v>
      </c>
      <c r="Y21" s="57">
        <f>IF(Y$14=1,'Inputs (2)'!Y8,W21*(1+Inputs!Y$275))</f>
        <v>0</v>
      </c>
      <c r="Z21" s="57">
        <f>IF(Z$14=1,'Inputs (2)'!Z8,Y21*(1+Inputs!Z$275))</f>
        <v>0</v>
      </c>
      <c r="AA21" s="57">
        <f>IF(AA$14=1,'Inputs (2)'!AA8,Z21*(1+Inputs!AA$275))</f>
        <v>0</v>
      </c>
      <c r="AB21" s="57">
        <f>IF(AB$14=1,'Inputs (2)'!AB8,AA21*(1+Inputs!AB$275))</f>
        <v>0</v>
      </c>
      <c r="AC21" s="77">
        <f>AB21</f>
        <v>0</v>
      </c>
      <c r="AD21" s="57">
        <f>IF(AD$14=1,'Inputs (2)'!AD8,AB21*(1+Inputs!AD$275))</f>
        <v>0</v>
      </c>
      <c r="AE21" s="57">
        <f>IF(AE$14=1,'Inputs (2)'!AE8,AD21*(1+Inputs!AE$275))</f>
        <v>0</v>
      </c>
      <c r="AF21" s="57">
        <f>IF(AF$14=1,'Inputs (2)'!AF8,AE21*(1+Inputs!AF$275))</f>
        <v>0</v>
      </c>
      <c r="AG21" s="57">
        <f>IF(AG$14=1,'Inputs (2)'!AG8,AF21*(1+Inputs!AG$275))</f>
        <v>0</v>
      </c>
      <c r="AH21" s="77">
        <f>AG21</f>
        <v>0</v>
      </c>
      <c r="AI21" s="57">
        <f>IF(AI$14=1,'Inputs (2)'!AI8,AG21*(1+Inputs!AI$275))</f>
        <v>0</v>
      </c>
      <c r="AJ21" s="57">
        <f>IF(AJ$14=1,'Inputs (2)'!AJ8,AI21*(1+Inputs!AJ$275))</f>
        <v>0</v>
      </c>
      <c r="AK21" s="57">
        <f>IF(AK$14=1,'Inputs (2)'!AK8,AJ21*(1+Inputs!AK$275))</f>
        <v>0</v>
      </c>
      <c r="AL21" s="57">
        <f>IF(AL$14=1,'Inputs (2)'!AL8,AK21*(1+Inputs!AL$275))</f>
        <v>0</v>
      </c>
      <c r="AM21" s="77">
        <f>AL21</f>
        <v>0</v>
      </c>
      <c r="AN21" s="57">
        <f>IF(AN$14=1,'Inputs (2)'!AN8,AL21*(1+Inputs!AN$275))</f>
        <v>0</v>
      </c>
      <c r="AO21" s="57">
        <f>IF(AO$14=1,'Inputs (2)'!AO8,AN21*(1+Inputs!AO$275))</f>
        <v>0</v>
      </c>
      <c r="AP21" s="57">
        <f>IF(AP$14=1,'Inputs (2)'!AP8,AO21*(1+Inputs!AP$275))</f>
        <v>0</v>
      </c>
      <c r="AQ21" s="57">
        <f>IF(AQ$14=1,'Inputs (2)'!AQ8,AP21*(1+Inputs!AQ$275))</f>
        <v>0</v>
      </c>
      <c r="AR21" s="77">
        <f>AQ21</f>
        <v>0</v>
      </c>
      <c r="AS21" s="57">
        <f>IF(AS$14=1,'Inputs (2)'!AS8,AQ21*(1+Inputs!AS$275))</f>
        <v>0</v>
      </c>
      <c r="AT21" s="57">
        <f>IF(AT$14=1,'Inputs (2)'!AT8,AS21*(1+Inputs!AT$275))</f>
        <v>0</v>
      </c>
      <c r="AU21" s="57">
        <f>IF(AU$14=1,'Inputs (2)'!AU8,AT21*(1+Inputs!AU$275))</f>
        <v>0</v>
      </c>
      <c r="AV21" s="57">
        <f>IF(AV$14=1,'Inputs (2)'!AV8,AU21*(1+Inputs!AV$275))</f>
        <v>0</v>
      </c>
      <c r="AW21" s="77">
        <f>AV21</f>
        <v>0</v>
      </c>
      <c r="AX21" s="57">
        <f>IF(AX$14=1,'Inputs (2)'!AX8,AV21*(1+Inputs!AX$275))</f>
        <v>0</v>
      </c>
      <c r="AY21" s="57">
        <f>IF(AY$14=1,'Inputs (2)'!AY8,AX21*(1+Inputs!AY$275))</f>
        <v>0</v>
      </c>
      <c r="AZ21" s="57">
        <f>IF(AZ$14=1,'Inputs (2)'!AZ8,AY21*(1+Inputs!AZ$275))</f>
        <v>0</v>
      </c>
      <c r="BA21" s="57">
        <f>IF(BA$14=1,'Inputs (2)'!BA8,AZ21*(1+Inputs!BA$275))</f>
        <v>0</v>
      </c>
      <c r="BB21" s="77">
        <f>BA21</f>
        <v>0</v>
      </c>
      <c r="BC21" s="57">
        <f>IF(BC$14=1,'Inputs (2)'!BC8,BA21*(1+Inputs!BC$275))</f>
        <v>0</v>
      </c>
      <c r="BD21" s="57">
        <f>IF(BD$14=1,'Inputs (2)'!BD8,BC21*(1+Inputs!BD$275))</f>
        <v>0</v>
      </c>
      <c r="BE21" s="57">
        <f>IF(BE$14=1,'Inputs (2)'!BE8,BD21*(1+Inputs!BE$275))</f>
        <v>0</v>
      </c>
      <c r="BF21" s="57">
        <f>IF(BF$14=1,'Inputs (2)'!BF8,BE21*(1+Inputs!BF$275))</f>
        <v>0</v>
      </c>
      <c r="BG21" s="77">
        <f>BF21</f>
        <v>0</v>
      </c>
    </row>
    <row r="22" hidden="1" outlineLevel="1">
      <c r="C22" s="61" t="inlineStr">
        <is>
          <t>Recursos Garantidores das Provisões Técnicas</t>
        </is>
      </c>
      <c r="D22" s="62" t="inlineStr">
        <is>
          <t>Assets Guaranteeing Provisions</t>
        </is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>M22</f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>R22</f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>W22</f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>AB22</f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>AG22</f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>AL22</f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>AQ22</f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>AV22</f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>BA22</f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>BF22</f>
        <v>0</v>
      </c>
    </row>
    <row r="23" hidden="1" outlineLevel="1">
      <c r="C23" s="61" t="inlineStr">
        <is>
          <t>(Provisão para Perda de Crédito Esperada)</t>
        </is>
      </c>
      <c r="D23" s="62" t="inlineStr">
        <is>
          <t>(ECL 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Valores Mobiliários</t>
        </is>
      </c>
      <c r="D24" s="84" t="inlineStr">
        <is>
          <t>Securities</t>
        </is>
      </c>
      <c r="E24" s="85">
        <f>E25+E26+E27+E28</f>
        <v>39364.95913</v>
      </c>
      <c r="F24" s="85">
        <f>F25+F26+F27+F28</f>
        <v>48107.44272</v>
      </c>
      <c r="G24" s="85">
        <f>G25+G26+G27+G28</f>
        <v>62706.793819</v>
      </c>
      <c r="H24" s="85">
        <f>H25+H26+H27+H28</f>
        <v>83343.216307</v>
      </c>
      <c r="I24" s="60">
        <f>H24</f>
        <v>83343.216307</v>
      </c>
      <c r="J24" s="85">
        <f>J25+J26+J27+J28</f>
        <v>87902.230842</v>
      </c>
      <c r="K24" s="85">
        <f>K25+K26+K27+K28</f>
        <v>126670.740304</v>
      </c>
      <c r="L24" s="85">
        <f>L25+L26+L27+L28</f>
        <v>156489.533476</v>
      </c>
      <c r="M24" s="85">
        <f>M25+M26+M27+M28</f>
        <v>111514.488596</v>
      </c>
      <c r="N24" s="60">
        <f>M24</f>
        <v>111514.488596</v>
      </c>
      <c r="O24" s="85">
        <f>O25+O26+O27+O28</f>
        <v>157664.213294</v>
      </c>
      <c r="P24" s="85">
        <f>P25+P26+P27+P28</f>
        <v>164762.027305</v>
      </c>
      <c r="Q24" s="85">
        <f>Q25+Q26+Q27+Q28</f>
        <v>164981.760258</v>
      </c>
      <c r="R24" s="85">
        <f>R25+R26+R27+R28</f>
        <v>138662.248617</v>
      </c>
      <c r="S24" s="60">
        <f>R24</f>
        <v>138662.248617</v>
      </c>
      <c r="T24" s="85">
        <f>T25+T26+T27+T28</f>
        <v>171690.83</v>
      </c>
      <c r="U24" s="85">
        <f>U25+U26+U27+U28</f>
        <v>197870.153</v>
      </c>
      <c r="V24" s="85">
        <f>V25+V26+V27+V28</f>
        <v>208631.606</v>
      </c>
      <c r="W24" s="85">
        <f>W25+W26+W27+W28</f>
        <v>200892.878</v>
      </c>
      <c r="X24" s="60">
        <f>W24</f>
        <v>200892.878</v>
      </c>
      <c r="Y24" s="85">
        <f>Y25+Y26+Y27+Y28</f>
        <v>226862.589</v>
      </c>
      <c r="Z24" s="85">
        <f>Z25+Z26+Z27+Z28</f>
        <v>266374.219</v>
      </c>
      <c r="AA24" s="85">
        <f>AA25+AA26+AA27+AA28</f>
        <v>237992.909</v>
      </c>
      <c r="AB24" s="85">
        <f>AB25+AB26+AB27+AB28</f>
        <v>188935.328989</v>
      </c>
      <c r="AC24" s="60">
        <f>AB24</f>
        <v>188935.328989</v>
      </c>
      <c r="AD24" s="85">
        <f>AD25+AD26+AD27+AD28</f>
        <v>225313.554</v>
      </c>
      <c r="AE24" s="85">
        <f>AE25+AE26+AE27+AE28</f>
        <v>276788.34</v>
      </c>
      <c r="AF24" s="85">
        <f>AF25+AF26+AF27+AF28</f>
        <v>284658.445</v>
      </c>
      <c r="AG24" s="85">
        <f>AG25+AG26+AG27+AG28</f>
        <v>371140.448</v>
      </c>
      <c r="AH24" s="60">
        <f>AG24</f>
        <v>371140.448</v>
      </c>
      <c r="AI24" s="85">
        <f>AI25+AI26+AI27+AI28</f>
        <v>387625.587</v>
      </c>
      <c r="AJ24" s="85">
        <f>AJ25+AJ26+AJ27+AJ28</f>
        <v>388360.666</v>
      </c>
      <c r="AK24" s="85">
        <f>AK25+AK26+AK27+AK28</f>
        <v>388360.666</v>
      </c>
      <c r="AL24" s="85">
        <f>AL25+AL26+AL27+AL28</f>
        <v>388360.666</v>
      </c>
      <c r="AM24" s="60">
        <f>AL24</f>
        <v>388360.666</v>
      </c>
      <c r="AN24" s="85">
        <f>AN25+AN26+AN27+AN28</f>
        <v>388360.666</v>
      </c>
      <c r="AO24" s="85">
        <f>AO25+AO26+AO27+AO28</f>
        <v>388360.666</v>
      </c>
      <c r="AP24" s="85">
        <f>AP25+AP26+AP27+AP28</f>
        <v>388360.666</v>
      </c>
      <c r="AQ24" s="85">
        <f>AQ25+AQ26+AQ27+AQ28</f>
        <v>388360.666</v>
      </c>
      <c r="AR24" s="60">
        <f>AQ24</f>
        <v>388360.666</v>
      </c>
      <c r="AS24" s="85">
        <f>AS25+AS26+AS27+AS28</f>
        <v>388360.666</v>
      </c>
      <c r="AT24" s="85">
        <f>AT25+AT26+AT27+AT28</f>
        <v>388360.666</v>
      </c>
      <c r="AU24" s="85">
        <f>AU25+AU26+AU27+AU28</f>
        <v>388360.666</v>
      </c>
      <c r="AV24" s="85">
        <f>AV25+AV26+AV27+AV28</f>
        <v>388360.666</v>
      </c>
      <c r="AW24" s="60">
        <f>AV24</f>
        <v>388360.666</v>
      </c>
      <c r="AX24" s="85">
        <f>AX25+AX26+AX27+AX28</f>
        <v>388360.666</v>
      </c>
      <c r="AY24" s="85">
        <f>AY25+AY26+AY27+AY28</f>
        <v>388360.666</v>
      </c>
      <c r="AZ24" s="85">
        <f>AZ25+AZ26+AZ27+AZ28</f>
        <v>388360.666</v>
      </c>
      <c r="BA24" s="85">
        <f>BA25+BA26+BA27+BA28</f>
        <v>388360.666</v>
      </c>
      <c r="BB24" s="60">
        <f>BA24</f>
        <v>388360.666</v>
      </c>
      <c r="BC24" s="85">
        <f>BC25+BC26+BC27+BC28</f>
        <v>388360.666</v>
      </c>
      <c r="BD24" s="85">
        <f>BD25+BD26+BD27+BD28</f>
        <v>388360.666</v>
      </c>
      <c r="BE24" s="85">
        <f>BE25+BE26+BE27+BE28</f>
        <v>388360.666</v>
      </c>
      <c r="BF24" s="85">
        <f>BF25+BF26+BF27+BF28</f>
        <v>388360.666</v>
      </c>
      <c r="BG24" s="60">
        <f>BF24</f>
        <v>388360.666</v>
      </c>
    </row>
    <row r="25" hidden="1" outlineLevel="1">
      <c r="C25" s="61" t="inlineStr">
        <is>
          <t>Carteira própria</t>
        </is>
      </c>
      <c r="D25" s="62" t="inlineStr">
        <is>
          <t>Own Portfolio</t>
        </is>
      </c>
      <c r="E25" s="57">
        <f>'Inputs (2)'!E12</f>
        <v>39364.95913</v>
      </c>
      <c r="F25" s="57">
        <f>IF(F$14=1,'Inputs (2)'!F12,E25*(1+Inputs!F$275))</f>
        <v>48107.44272</v>
      </c>
      <c r="G25" s="57">
        <f>IF(G$14=1,'Inputs (2)'!G12,F25*(1+Inputs!G$275))</f>
        <v>62706.793819</v>
      </c>
      <c r="H25" s="57">
        <f>IF(H$14=1,'Inputs (2)'!H12,G25*(1+Inputs!H$275))</f>
        <v>83343.216307</v>
      </c>
      <c r="I25" s="77">
        <f>H25</f>
        <v>83343.216307</v>
      </c>
      <c r="J25" s="57">
        <f>IF(J$14=1,'Inputs (2)'!J12,H25*(1+Inputs!J$275))</f>
        <v>87902.230842</v>
      </c>
      <c r="K25" s="57">
        <f>IF(K$14=1,'Inputs (2)'!K12,J25*(1+Inputs!K$275))</f>
        <v>126670.740304</v>
      </c>
      <c r="L25" s="57">
        <f>IF(L$14=1,'Inputs (2)'!L12,K25*(1+Inputs!L$275))</f>
        <v>156489.533476</v>
      </c>
      <c r="M25" s="57">
        <f>IF(M$14=1,'Inputs (2)'!M12,L25*(1+Inputs!M$275))</f>
        <v>111514.488596</v>
      </c>
      <c r="N25" s="77">
        <f>M25</f>
        <v>111514.488596</v>
      </c>
      <c r="O25" s="57">
        <f>IF(O$14=1,'Inputs (2)'!O12,M25*(1+Inputs!O$275))</f>
        <v>157664.213294</v>
      </c>
      <c r="P25" s="57">
        <f>IF(P$14=1,'Inputs (2)'!P12,O25*(1+Inputs!P$275))</f>
        <v>164762.027305</v>
      </c>
      <c r="Q25" s="57">
        <f>IF(Q$14=1,'Inputs (2)'!Q12,P25*(1+Inputs!Q$275))</f>
        <v>164981.760258</v>
      </c>
      <c r="R25" s="57">
        <f>IF(R$14=1,'Inputs (2)'!R12,Q25*(1+Inputs!R$275))</f>
        <v>138662.248617</v>
      </c>
      <c r="S25" s="77">
        <f>R25</f>
        <v>138662.248617</v>
      </c>
      <c r="T25" s="57">
        <f>IF(T$14=1,'Inputs (2)'!T12,R25*(1+Inputs!T$275))</f>
        <v>171690.83</v>
      </c>
      <c r="U25" s="57">
        <f>IF(U$14=1,'Inputs (2)'!U12,T25*(1+Inputs!U$275))</f>
        <v>197870.153</v>
      </c>
      <c r="V25" s="57">
        <f>IF(V$14=1,'Inputs (2)'!V12,U25*(1+Inputs!V$275))</f>
        <v>208631.606</v>
      </c>
      <c r="W25" s="57">
        <f>IF(W$14=1,'Inputs (2)'!W12,V25*(1+Inputs!W$275))</f>
        <v>200892.878</v>
      </c>
      <c r="X25" s="77">
        <f>W25</f>
        <v>200892.878</v>
      </c>
      <c r="Y25" s="57">
        <f>IF(Y$14=1,'Inputs (2)'!Y12,W25*(1+Inputs!Y$275))</f>
        <v>226862.589</v>
      </c>
      <c r="Z25" s="57">
        <f>IF(Z$14=1,'Inputs (2)'!Z12,Y25*(1+Inputs!Z$275))</f>
        <v>266374.219</v>
      </c>
      <c r="AA25" s="57">
        <f>IF(AA$14=1,'Inputs (2)'!AA12,Z25*(1+Inputs!AA$275))</f>
        <v>237992.909</v>
      </c>
      <c r="AB25" s="57">
        <f>IF(AB$14=1,'Inputs (2)'!AB12,AA25*(1+Inputs!AB$275))</f>
        <v>188935.328989</v>
      </c>
      <c r="AC25" s="77">
        <f>AB25</f>
        <v>188935.328989</v>
      </c>
      <c r="AD25" s="57">
        <f>IF(AD$14=1,'Inputs (2)'!AD12,AB25*(1+Inputs!AD$275))</f>
        <v>225313.554</v>
      </c>
      <c r="AE25" s="57">
        <f>IF(AE$14=1,'Inputs (2)'!AE12,AD25*(1+Inputs!AE$275))</f>
        <v>276788.34</v>
      </c>
      <c r="AF25" s="57">
        <f>IF(AF$14=1,'Inputs (2)'!AF12,AE25*(1+Inputs!AF$275))</f>
        <v>284658.445</v>
      </c>
      <c r="AG25" s="57">
        <f>IF(AG$14=1,'Inputs (2)'!AG12,AF25*(1+Inputs!AG$275))</f>
        <v>371140.448</v>
      </c>
      <c r="AH25" s="77">
        <f>AG25</f>
        <v>371140.448</v>
      </c>
      <c r="AI25" s="57">
        <f>IF(AI$14=1,'Inputs (2)'!AI12,AG25*(1+Inputs!AI$275))</f>
        <v>387625.587</v>
      </c>
      <c r="AJ25" s="57">
        <f>IF(AJ$14=1,'Inputs (2)'!AJ12,AI25*(1+Inputs!AJ$275))</f>
        <v>388360.666</v>
      </c>
      <c r="AK25" s="57">
        <f>IF(AK$14=1,'Inputs (2)'!AK12,AJ25*(1+Inputs!AK$275))</f>
        <v>388360.666</v>
      </c>
      <c r="AL25" s="57">
        <f>IF(AL$14=1,'Inputs (2)'!AL12,AK25*(1+Inputs!AL$275))</f>
        <v>388360.666</v>
      </c>
      <c r="AM25" s="77">
        <f>AL25</f>
        <v>388360.666</v>
      </c>
      <c r="AN25" s="57">
        <f>IF(AN$14=1,'Inputs (2)'!AN12,AL25*(1+Inputs!AN$275))</f>
        <v>388360.666</v>
      </c>
      <c r="AO25" s="57">
        <f>IF(AO$14=1,'Inputs (2)'!AO12,AN25*(1+Inputs!AO$275))</f>
        <v>388360.666</v>
      </c>
      <c r="AP25" s="57">
        <f>IF(AP$14=1,'Inputs (2)'!AP12,AO25*(1+Inputs!AP$275))</f>
        <v>388360.666</v>
      </c>
      <c r="AQ25" s="57">
        <f>IF(AQ$14=1,'Inputs (2)'!AQ12,AP25*(1+Inputs!AQ$275))</f>
        <v>388360.666</v>
      </c>
      <c r="AR25" s="77">
        <f>AQ25</f>
        <v>388360.666</v>
      </c>
      <c r="AS25" s="57">
        <f>IF(AS$14=1,'Inputs (2)'!AS12,AQ25*(1+Inputs!AS$275))</f>
        <v>388360.666</v>
      </c>
      <c r="AT25" s="57">
        <f>IF(AT$14=1,'Inputs (2)'!AT12,AS25*(1+Inputs!AT$275))</f>
        <v>388360.666</v>
      </c>
      <c r="AU25" s="57">
        <f>IF(AU$14=1,'Inputs (2)'!AU12,AT25*(1+Inputs!AU$275))</f>
        <v>388360.666</v>
      </c>
      <c r="AV25" s="57">
        <f>IF(AV$14=1,'Inputs (2)'!AV12,AU25*(1+Inputs!AV$275))</f>
        <v>388360.666</v>
      </c>
      <c r="AW25" s="77">
        <f>AV25</f>
        <v>388360.666</v>
      </c>
      <c r="AX25" s="57">
        <f>IF(AX$14=1,'Inputs (2)'!AX12,AV25*(1+Inputs!AX$275))</f>
        <v>388360.666</v>
      </c>
      <c r="AY25" s="57">
        <f>IF(AY$14=1,'Inputs (2)'!AY12,AX25*(1+Inputs!AY$275))</f>
        <v>388360.666</v>
      </c>
      <c r="AZ25" s="57">
        <f>IF(AZ$14=1,'Inputs (2)'!AZ12,AY25*(1+Inputs!AZ$275))</f>
        <v>388360.666</v>
      </c>
      <c r="BA25" s="57">
        <f>IF(BA$14=1,'Inputs (2)'!BA12,AZ25*(1+Inputs!BA$275))</f>
        <v>388360.666</v>
      </c>
      <c r="BB25" s="77">
        <f>BA25</f>
        <v>388360.666</v>
      </c>
      <c r="BC25" s="57">
        <f>IF(BC$14=1,'Inputs (2)'!BC12,BA25*(1+Inputs!BC$275))</f>
        <v>388360.666</v>
      </c>
      <c r="BD25" s="57">
        <f>IF(BD$14=1,'Inputs (2)'!BD12,BC25*(1+Inputs!BD$275))</f>
        <v>388360.666</v>
      </c>
      <c r="BE25" s="57">
        <f>IF(BE$14=1,'Inputs (2)'!BE12,BD25*(1+Inputs!BE$275))</f>
        <v>388360.666</v>
      </c>
      <c r="BF25" s="57">
        <f>IF(BF$14=1,'Inputs (2)'!BF12,BE25*(1+Inputs!BF$275))</f>
        <v>388360.666</v>
      </c>
      <c r="BG25" s="77">
        <f>BF25</f>
        <v>388360.666</v>
      </c>
    </row>
    <row r="26" hidden="1" outlineLevel="1">
      <c r="C26" s="61" t="inlineStr">
        <is>
          <t>Vinculados</t>
        </is>
      </c>
      <c r="D26" s="62" t="inlineStr">
        <is>
          <t>Pledged / Restricted</t>
        </is>
      </c>
      <c r="E26" s="57">
        <f>'Inputs (2)'!E13</f>
        <v>0</v>
      </c>
      <c r="F26" s="57">
        <f>IF(F$14=1,'Inputs (2)'!F13,E26*(1+Inputs!F$275))</f>
        <v>0</v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>H26</f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>M26</f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>R26</f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>W26</f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>AB26</f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>AG26</f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>AL26</f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>AQ26</f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>AV26</f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>BA26</f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>BF26</f>
        <v>0</v>
      </c>
    </row>
    <row r="27" hidden="1" outlineLevel="1">
      <c r="C27" s="61" t="inlineStr">
        <is>
          <t>Recursos Garantidores das Provisões Técnicas</t>
        </is>
      </c>
      <c r="D27" s="62" t="inlineStr">
        <is>
          <t>Assets Guaranteeing Provisions</t>
        </is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 de Crédito Esperada)</t>
        </is>
      </c>
      <c r="D28" s="62" t="inlineStr">
        <is>
          <t>(ECL Allowance)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</t>
        </is>
      </c>
      <c r="D29" s="81" t="inlineStr">
        <is>
          <t>Derivatives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0</v>
      </c>
      <c r="AE29" s="82">
        <f>IF(AE$14=1,'Inputs (2)'!AE16,AD29)</f>
        <v>0</v>
      </c>
      <c r="AF29" s="82">
        <f>IF(AF$14=1,'Inputs (2)'!AF16,AE29)</f>
        <v>0</v>
      </c>
      <c r="AG29" s="82">
        <f>IF(AG$14=1,'Inputs (2)'!AG16,AF29)</f>
        <v>0</v>
      </c>
      <c r="AH29" s="77">
        <f>AG29</f>
        <v>0</v>
      </c>
      <c r="AI29" s="82">
        <f>IF(AI$14=1,'Inputs (2)'!AI16,AG29)</f>
        <v>0</v>
      </c>
      <c r="AJ29" s="82">
        <f>IF(AJ$14=1,'Inputs (2)'!AJ16,AI29)</f>
        <v>0</v>
      </c>
      <c r="AK29" s="82">
        <f>IF(AK$14=1,'Inputs (2)'!AK16,AJ29)</f>
        <v>0</v>
      </c>
      <c r="AL29" s="82">
        <f>IF(AL$14=1,'Inputs (2)'!AL16,AK29)</f>
        <v>0</v>
      </c>
      <c r="AM29" s="77">
        <f>AL29</f>
        <v>0</v>
      </c>
      <c r="AN29" s="82">
        <f>IF(AN$14=1,'Inputs (2)'!AN16,AL29)</f>
        <v>0</v>
      </c>
      <c r="AO29" s="82">
        <f>IF(AO$14=1,'Inputs (2)'!AO16,AN29)</f>
        <v>0</v>
      </c>
      <c r="AP29" s="82">
        <f>IF(AP$14=1,'Inputs (2)'!AP16,AO29)</f>
        <v>0</v>
      </c>
      <c r="AQ29" s="82">
        <f>IF(AQ$14=1,'Inputs (2)'!AQ16,AP29)</f>
        <v>0</v>
      </c>
      <c r="AR29" s="77">
        <f>AQ29</f>
        <v>0</v>
      </c>
      <c r="AS29" s="82">
        <f>IF(AS$14=1,'Inputs (2)'!AS16,AQ29)</f>
        <v>0</v>
      </c>
      <c r="AT29" s="82">
        <f>IF(AT$14=1,'Inputs (2)'!AT16,AS29)</f>
        <v>0</v>
      </c>
      <c r="AU29" s="82">
        <f>IF(AU$14=1,'Inputs (2)'!AU16,AT29)</f>
        <v>0</v>
      </c>
      <c r="AV29" s="82">
        <f>IF(AV$14=1,'Inputs (2)'!AV16,AU29)</f>
        <v>0</v>
      </c>
      <c r="AW29" s="77">
        <f>AV29</f>
        <v>0</v>
      </c>
      <c r="AX29" s="82">
        <f>IF(AX$14=1,'Inputs (2)'!AX16,AV29)</f>
        <v>0</v>
      </c>
      <c r="AY29" s="82">
        <f>IF(AY$14=1,'Inputs (2)'!AY16,AX29)</f>
        <v>0</v>
      </c>
      <c r="AZ29" s="82">
        <f>IF(AZ$14=1,'Inputs (2)'!AZ16,AY29)</f>
        <v>0</v>
      </c>
      <c r="BA29" s="82">
        <f>IF(BA$14=1,'Inputs (2)'!BA16,AZ29)</f>
        <v>0</v>
      </c>
      <c r="BB29" s="77">
        <f>BA29</f>
        <v>0</v>
      </c>
      <c r="BC29" s="82">
        <f>IF(BC$14=1,'Inputs (2)'!BC16,BA29)</f>
        <v>0</v>
      </c>
      <c r="BD29" s="82">
        <f>IF(BD$14=1,'Inputs (2)'!BD16,BC29)</f>
        <v>0</v>
      </c>
      <c r="BE29" s="82">
        <f>IF(BE$14=1,'Inputs (2)'!BE16,BD29)</f>
        <v>0</v>
      </c>
      <c r="BF29" s="82">
        <f>IF(BF$14=1,'Inputs (2)'!BF16,BE29)</f>
        <v>0</v>
      </c>
      <c r="BG29" s="77">
        <f>BF29</f>
        <v>0</v>
      </c>
    </row>
    <row r="30">
      <c r="C30" s="83" t="inlineStr">
        <is>
          <t>Operações com Característica de Concessão de Crédito</t>
        </is>
      </c>
      <c r="D30" s="84" t="inlineStr">
        <is>
          <t>Credit-Granting Transactions</t>
        </is>
      </c>
      <c r="E30" s="85">
        <f>E31+E32+E33</f>
        <v>30342.883703</v>
      </c>
      <c r="F30" s="85">
        <f>F31+F32+F33</f>
        <v>38550.644264</v>
      </c>
      <c r="G30" s="85">
        <f>G31+G32+G33</f>
        <v>45445.566266</v>
      </c>
      <c r="H30" s="85">
        <f>H31+H32+H33</f>
        <v>48783.638192</v>
      </c>
      <c r="I30" s="60">
        <f>H30</f>
        <v>48783.638192</v>
      </c>
      <c r="J30" s="85">
        <f>J31+J32+J33</f>
        <v>54397.799688</v>
      </c>
      <c r="K30" s="85">
        <f>K31+K32+K33</f>
        <v>87543.440377</v>
      </c>
      <c r="L30" s="85">
        <f>L31+L32+L33</f>
        <v>93898.152218</v>
      </c>
      <c r="M30" s="85">
        <f>M31+M32+M33</f>
        <v>99077.839282</v>
      </c>
      <c r="N30" s="60">
        <f>M30</f>
        <v>99077.839282</v>
      </c>
      <c r="O30" s="85">
        <f>O31+O32+O33</f>
        <v>102349.40524</v>
      </c>
      <c r="P30" s="85">
        <f>P31+P32+P33</f>
        <v>107121.146908</v>
      </c>
      <c r="Q30" s="85">
        <f>Q31+Q32+Q33</f>
        <v>108808.359407</v>
      </c>
      <c r="R30" s="85">
        <f>R31+R32+R33</f>
        <v>114623.018619</v>
      </c>
      <c r="S30" s="60">
        <f>R30</f>
        <v>114623.018619</v>
      </c>
      <c r="T30" s="85">
        <f>T31+T32+T33</f>
        <v>109751.917</v>
      </c>
      <c r="U30" s="85">
        <f>U31+U32+U33</f>
        <v>107930.649</v>
      </c>
      <c r="V30" s="85">
        <f>V31+V32+V33</f>
        <v>112798.762</v>
      </c>
      <c r="W30" s="85">
        <f>W31+W32+W33</f>
        <v>122501.747</v>
      </c>
      <c r="X30" s="60">
        <f>W30</f>
        <v>122501.747</v>
      </c>
      <c r="Y30" s="85">
        <f>Y31+Y32+Y33</f>
        <v>133043.216</v>
      </c>
      <c r="Z30" s="85">
        <f>Z31+Z32+Z33</f>
        <v>142951.459</v>
      </c>
      <c r="AA30" s="85">
        <f>AA31+AA32+AA33</f>
        <v>148808.452</v>
      </c>
      <c r="AB30" s="85">
        <f>AB31+AB32+AB33</f>
        <v>155578.870099</v>
      </c>
      <c r="AC30" s="60">
        <f>AB30</f>
        <v>155578.870099</v>
      </c>
      <c r="AD30" s="85">
        <f>AD31+AD32+AD33</f>
        <v>161955.365</v>
      </c>
      <c r="AE30" s="85">
        <f>AE31+AE32+AE33</f>
        <v>165278.649</v>
      </c>
      <c r="AF30" s="85">
        <f>AF31+AF32+AF33</f>
        <v>172245.565</v>
      </c>
      <c r="AG30" s="85">
        <f>AG31+AG32+AG33</f>
        <v>188259.036</v>
      </c>
      <c r="AH30" s="60">
        <f>AG30</f>
        <v>188259.036</v>
      </c>
      <c r="AI30" s="85">
        <f>AI31+AI32+AI33</f>
        <v>196218.844</v>
      </c>
      <c r="AJ30" s="85">
        <f>AJ31+AJ32+AJ33</f>
        <v>198573.334</v>
      </c>
      <c r="AK30" s="85">
        <f>AK31+AK32+AK33</f>
        <v>198573.334</v>
      </c>
      <c r="AL30" s="85">
        <f>AL31+AL32+AL33</f>
        <v>198573.334</v>
      </c>
      <c r="AM30" s="60">
        <f>AL30</f>
        <v>198573.334</v>
      </c>
      <c r="AN30" s="85">
        <f>AN31+AN32+AN33</f>
        <v>198573.334</v>
      </c>
      <c r="AO30" s="85">
        <f>AO31+AO32+AO33</f>
        <v>198573.334</v>
      </c>
      <c r="AP30" s="85">
        <f>AP31+AP32+AP33</f>
        <v>198573.334</v>
      </c>
      <c r="AQ30" s="85">
        <f>AQ31+AQ32+AQ33</f>
        <v>198573.334</v>
      </c>
      <c r="AR30" s="60">
        <f>AQ30</f>
        <v>198573.334</v>
      </c>
      <c r="AS30" s="85">
        <f>AS31+AS32+AS33</f>
        <v>198573.334</v>
      </c>
      <c r="AT30" s="85">
        <f>AT31+AT32+AT33</f>
        <v>198573.334</v>
      </c>
      <c r="AU30" s="85">
        <f>AU31+AU32+AU33</f>
        <v>198573.334</v>
      </c>
      <c r="AV30" s="85">
        <f>AV31+AV32+AV33</f>
        <v>198573.334</v>
      </c>
      <c r="AW30" s="60">
        <f>AV30</f>
        <v>198573.334</v>
      </c>
      <c r="AX30" s="85">
        <f>AX31+AX32+AX33</f>
        <v>198573.334</v>
      </c>
      <c r="AY30" s="85">
        <f>AY31+AY32+AY33</f>
        <v>198573.334</v>
      </c>
      <c r="AZ30" s="85">
        <f>AZ31+AZ32+AZ33</f>
        <v>198573.334</v>
      </c>
      <c r="BA30" s="85">
        <f>BA31+BA32+BA33</f>
        <v>198573.334</v>
      </c>
      <c r="BB30" s="60">
        <f>BA30</f>
        <v>198573.334</v>
      </c>
      <c r="BC30" s="85">
        <f>BC31+BC32+BC33</f>
        <v>198573.334</v>
      </c>
      <c r="BD30" s="85">
        <f>BD31+BD32+BD33</f>
        <v>198573.334</v>
      </c>
      <c r="BE30" s="85">
        <f>BE31+BE32+BE33</f>
        <v>198573.334</v>
      </c>
      <c r="BF30" s="85">
        <f>BF31+BF32+BF33</f>
        <v>198573.334</v>
      </c>
      <c r="BG30" s="60">
        <f>BF30</f>
        <v>198573.334</v>
      </c>
    </row>
    <row r="31" hidden="1" outlineLevel="1">
      <c r="C31" s="61" t="inlineStr">
        <is>
          <t>Operações de Crédito, Arrendamentos e Outros Créditos</t>
        </is>
      </c>
      <c r="D31" s="62" t="inlineStr">
        <is>
          <t>Loans and Leases</t>
        </is>
      </c>
      <c r="E31" s="57">
        <f>'Inputs (2)'!E18</f>
        <v>30342.883703</v>
      </c>
      <c r="F31" s="57">
        <f>IF(F$14=1,'Inputs (2)'!F18,E31*(1+Inputs!F$270))</f>
        <v>38550.644264</v>
      </c>
      <c r="G31" s="57">
        <f>IF(G$14=1,'Inputs (2)'!G18,F31*(1+Inputs!G$270))</f>
        <v>45445.566266</v>
      </c>
      <c r="H31" s="57">
        <f>IF(H$14=1,'Inputs (2)'!H18,G31*(1+Inputs!H$270))</f>
        <v>48783.638192</v>
      </c>
      <c r="I31" s="77">
        <f>H31</f>
        <v>48783.638192</v>
      </c>
      <c r="J31" s="57">
        <f>IF(J$14=1,'Inputs (2)'!J18,H31*(1+Inputs!J$270))</f>
        <v>54397.799688</v>
      </c>
      <c r="K31" s="57">
        <f>IF(K$14=1,'Inputs (2)'!K18,J31*(1+Inputs!K$270))</f>
        <v>87543.440377</v>
      </c>
      <c r="L31" s="57">
        <f>IF(L$14=1,'Inputs (2)'!L18,K31*(1+Inputs!L$270))</f>
        <v>93898.152218</v>
      </c>
      <c r="M31" s="57">
        <f>IF(M$14=1,'Inputs (2)'!M18,L31*(1+Inputs!M$270))</f>
        <v>99077.839282</v>
      </c>
      <c r="N31" s="77">
        <f>M31</f>
        <v>99077.839282</v>
      </c>
      <c r="O31" s="57">
        <f>IF(O$14=1,'Inputs (2)'!O18,M31*(1+Inputs!O$270))</f>
        <v>102349.40524</v>
      </c>
      <c r="P31" s="57">
        <f>IF(P$14=1,'Inputs (2)'!P18,O31*(1+Inputs!P$270))</f>
        <v>107121.146908</v>
      </c>
      <c r="Q31" s="57">
        <f>IF(Q$14=1,'Inputs (2)'!Q18,P31*(1+Inputs!Q$270))</f>
        <v>108808.359407</v>
      </c>
      <c r="R31" s="57">
        <f>IF(R$14=1,'Inputs (2)'!R18,Q31*(1+Inputs!R$270))</f>
        <v>114623.018619</v>
      </c>
      <c r="S31" s="77">
        <f>R31</f>
        <v>114623.018619</v>
      </c>
      <c r="T31" s="57">
        <f>IF(T$14=1,'Inputs (2)'!T18,R31*(1+Inputs!T$270))</f>
        <v>109751.917</v>
      </c>
      <c r="U31" s="57">
        <f>IF(U$14=1,'Inputs (2)'!U18,T31*(1+Inputs!U$270))</f>
        <v>107930.649</v>
      </c>
      <c r="V31" s="57">
        <f>IF(V$14=1,'Inputs (2)'!V18,U31*(1+Inputs!V$270))</f>
        <v>112798.762</v>
      </c>
      <c r="W31" s="57">
        <f>IF(W$14=1,'Inputs (2)'!W18,V31*(1+Inputs!W$270))</f>
        <v>122501.747</v>
      </c>
      <c r="X31" s="77">
        <f>W31</f>
        <v>122501.747</v>
      </c>
      <c r="Y31" s="57">
        <f>IF(Y$14=1,'Inputs (2)'!Y18,W31*(1+Inputs!Y$270))</f>
        <v>133043.216</v>
      </c>
      <c r="Z31" s="57">
        <f>IF(Z$14=1,'Inputs (2)'!Z18,Y31*(1+Inputs!Z$270))</f>
        <v>142951.459</v>
      </c>
      <c r="AA31" s="57">
        <f>IF(AA$14=1,'Inputs (2)'!AA18,Z31*(1+Inputs!AA$270))</f>
        <v>148808.452</v>
      </c>
      <c r="AB31" s="57">
        <f>IF(AB$14=1,'Inputs (2)'!AB18,AA31*(1+Inputs!AB$270))</f>
        <v>155578.870099</v>
      </c>
      <c r="AC31" s="77">
        <f>AB31</f>
        <v>155578.870099</v>
      </c>
      <c r="AD31" s="57">
        <f>IF(AD$14=1,'Inputs (2)'!AD18,AB31*(1+Inputs!AD$270))</f>
        <v>161955.365</v>
      </c>
      <c r="AE31" s="57">
        <f>IF(AE$14=1,'Inputs (2)'!AE18,AD31*(1+Inputs!AE$270))</f>
        <v>165278.649</v>
      </c>
      <c r="AF31" s="57">
        <f>IF(AF$14=1,'Inputs (2)'!AF18,AE31*(1+Inputs!AF$270))</f>
        <v>172245.565</v>
      </c>
      <c r="AG31" s="57">
        <f>IF(AG$14=1,'Inputs (2)'!AG18,AF31*(1+Inputs!AG$270))</f>
        <v>188259.036</v>
      </c>
      <c r="AH31" s="77">
        <f>AG31</f>
        <v>188259.036</v>
      </c>
      <c r="AI31" s="57">
        <f>IF(AI$14=1,'Inputs (2)'!AI18,AG31*(1+Inputs!AI$270))</f>
        <v>196218.844</v>
      </c>
      <c r="AJ31" s="57">
        <f>IF(AJ$14=1,'Inputs (2)'!AJ18,AI31*(1+Inputs!AJ$270))</f>
        <v>198573.334</v>
      </c>
      <c r="AK31" s="57">
        <f>IF(AK$14=1,'Inputs (2)'!AK18,AJ31*(1+Inputs!AK$270))</f>
        <v>198573.334</v>
      </c>
      <c r="AL31" s="57">
        <f>IF(AL$14=1,'Inputs (2)'!AL18,AK31*(1+Inputs!AL$270))</f>
        <v>198573.334</v>
      </c>
      <c r="AM31" s="77">
        <f>AL31</f>
        <v>198573.334</v>
      </c>
      <c r="AN31" s="57">
        <f>IF(AN$14=1,'Inputs (2)'!AN18,AL31*(1+Inputs!AN$270))</f>
        <v>198573.334</v>
      </c>
      <c r="AO31" s="57">
        <f>IF(AO$14=1,'Inputs (2)'!AO18,AN31*(1+Inputs!AO$270))</f>
        <v>198573.334</v>
      </c>
      <c r="AP31" s="57">
        <f>IF(AP$14=1,'Inputs (2)'!AP18,AO31*(1+Inputs!AP$270))</f>
        <v>198573.334</v>
      </c>
      <c r="AQ31" s="57">
        <f>IF(AQ$14=1,'Inputs (2)'!AQ18,AP31*(1+Inputs!AQ$270))</f>
        <v>198573.334</v>
      </c>
      <c r="AR31" s="77">
        <f>AQ31</f>
        <v>198573.334</v>
      </c>
      <c r="AS31" s="57">
        <f>IF(AS$14=1,'Inputs (2)'!AS18,AQ31*(1+Inputs!AS$270))</f>
        <v>198573.334</v>
      </c>
      <c r="AT31" s="57">
        <f>IF(AT$14=1,'Inputs (2)'!AT18,AS31*(1+Inputs!AT$270))</f>
        <v>198573.334</v>
      </c>
      <c r="AU31" s="57">
        <f>IF(AU$14=1,'Inputs (2)'!AU18,AT31*(1+Inputs!AU$270))</f>
        <v>198573.334</v>
      </c>
      <c r="AV31" s="57">
        <f>IF(AV$14=1,'Inputs (2)'!AV18,AU31*(1+Inputs!AV$270))</f>
        <v>198573.334</v>
      </c>
      <c r="AW31" s="77">
        <f>AV31</f>
        <v>198573.334</v>
      </c>
      <c r="AX31" s="57">
        <f>IF(AX$14=1,'Inputs (2)'!AX18,AV31*(1+Inputs!AX$270))</f>
        <v>198573.334</v>
      </c>
      <c r="AY31" s="57">
        <f>IF(AY$14=1,'Inputs (2)'!AY18,AX31*(1+Inputs!AY$270))</f>
        <v>198573.334</v>
      </c>
      <c r="AZ31" s="57">
        <f>IF(AZ$14=1,'Inputs (2)'!AZ18,AY31*(1+Inputs!AZ$270))</f>
        <v>198573.334</v>
      </c>
      <c r="BA31" s="57">
        <f>IF(BA$14=1,'Inputs (2)'!BA18,AZ31*(1+Inputs!BA$270))</f>
        <v>198573.334</v>
      </c>
      <c r="BB31" s="77">
        <f>BA31</f>
        <v>198573.334</v>
      </c>
      <c r="BC31" s="57">
        <f>IF(BC$14=1,'Inputs (2)'!BC18,BA31*(1+Inputs!BC$270))</f>
        <v>198573.334</v>
      </c>
      <c r="BD31" s="57">
        <f>IF(BD$14=1,'Inputs (2)'!BD18,BC31*(1+Inputs!BD$270))</f>
        <v>198573.334</v>
      </c>
      <c r="BE31" s="57">
        <f>IF(BE$14=1,'Inputs (2)'!BE18,BD31*(1+Inputs!BE$270))</f>
        <v>198573.334</v>
      </c>
      <c r="BF31" s="57">
        <f>IF(BF$14=1,'Inputs (2)'!BF18,BE31*(1+Inputs!BF$270))</f>
        <v>198573.334</v>
      </c>
      <c r="BG31" s="77">
        <f>BF31</f>
        <v>198573.334</v>
      </c>
    </row>
    <row r="32" hidden="1" outlineLevel="1">
      <c r="C32" s="61" t="inlineStr">
        <is>
          <t>Títulos e Valores Mobiliários</t>
        </is>
      </c>
      <c r="D32" s="62" t="inlineStr">
        <is>
          <t>Securities</t>
        </is>
      </c>
      <c r="E32" s="57">
        <f>'Inputs (2)'!E19</f>
        <v>0</v>
      </c>
      <c r="F32" s="57">
        <f>IF(F$14=1,'Inputs (2)'!F19,E32*(1+Inputs!F$270))</f>
        <v>0</v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>H32</f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>M32</f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>R32</f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>W32</f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>AB32</f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0</v>
      </c>
      <c r="AH32" s="77">
        <f>AG32</f>
        <v>0</v>
      </c>
      <c r="AI32" s="57">
        <f>IF(AI$14=1,'Inputs (2)'!AI19,AG32*(1+Inputs!AI$270))</f>
        <v>0</v>
      </c>
      <c r="AJ32" s="57">
        <f>IF(AJ$14=1,'Inputs (2)'!AJ19,AI32*(1+Inputs!AJ$270))</f>
        <v>0</v>
      </c>
      <c r="AK32" s="57">
        <f>IF(AK$14=1,'Inputs (2)'!AK19,AJ32*(1+Inputs!AK$270))</f>
        <v>0</v>
      </c>
      <c r="AL32" s="57">
        <f>IF(AL$14=1,'Inputs (2)'!AL19,AK32*(1+Inputs!AL$270))</f>
        <v>0</v>
      </c>
      <c r="AM32" s="77">
        <f>AL32</f>
        <v>0</v>
      </c>
      <c r="AN32" s="57">
        <f>IF(AN$14=1,'Inputs (2)'!AN19,AL32*(1+Inputs!AN$270))</f>
        <v>0</v>
      </c>
      <c r="AO32" s="57">
        <f>IF(AO$14=1,'Inputs (2)'!AO19,AN32*(1+Inputs!AO$270))</f>
        <v>0</v>
      </c>
      <c r="AP32" s="57">
        <f>IF(AP$14=1,'Inputs (2)'!AP19,AO32*(1+Inputs!AP$270))</f>
        <v>0</v>
      </c>
      <c r="AQ32" s="57">
        <f>IF(AQ$14=1,'Inputs (2)'!AQ19,AP32*(1+Inputs!AQ$270))</f>
        <v>0</v>
      </c>
      <c r="AR32" s="77">
        <f>AQ32</f>
        <v>0</v>
      </c>
      <c r="AS32" s="57">
        <f>IF(AS$14=1,'Inputs (2)'!AS19,AQ32*(1+Inputs!AS$270))</f>
        <v>0</v>
      </c>
      <c r="AT32" s="57">
        <f>IF(AT$14=1,'Inputs (2)'!AT19,AS32*(1+Inputs!AT$270))</f>
        <v>0</v>
      </c>
      <c r="AU32" s="57">
        <f>IF(AU$14=1,'Inputs (2)'!AU19,AT32*(1+Inputs!AU$270))</f>
        <v>0</v>
      </c>
      <c r="AV32" s="57">
        <f>IF(AV$14=1,'Inputs (2)'!AV19,AU32*(1+Inputs!AV$270))</f>
        <v>0</v>
      </c>
      <c r="AW32" s="77">
        <f>AV32</f>
        <v>0</v>
      </c>
      <c r="AX32" s="57">
        <f>IF(AX$14=1,'Inputs (2)'!AX19,AV32*(1+Inputs!AX$270))</f>
        <v>0</v>
      </c>
      <c r="AY32" s="57">
        <f>IF(AY$14=1,'Inputs (2)'!AY19,AX32*(1+Inputs!AY$270))</f>
        <v>0</v>
      </c>
      <c r="AZ32" s="57">
        <f>IF(AZ$14=1,'Inputs (2)'!AZ19,AY32*(1+Inputs!AZ$270))</f>
        <v>0</v>
      </c>
      <c r="BA32" s="57">
        <f>IF(BA$14=1,'Inputs (2)'!BA19,AZ32*(1+Inputs!BA$270))</f>
        <v>0</v>
      </c>
      <c r="BB32" s="77">
        <f>BA32</f>
        <v>0</v>
      </c>
      <c r="BC32" s="57">
        <f>IF(BC$14=1,'Inputs (2)'!BC19,BA32*(1+Inputs!BC$270))</f>
        <v>0</v>
      </c>
      <c r="BD32" s="57">
        <f>IF(BD$14=1,'Inputs (2)'!BD19,BC32*(1+Inputs!BD$270))</f>
        <v>0</v>
      </c>
      <c r="BE32" s="57">
        <f>IF(BE$14=1,'Inputs (2)'!BE19,BD32*(1+Inputs!BE$270))</f>
        <v>0</v>
      </c>
      <c r="BF32" s="57">
        <f>IF(BF$14=1,'Inputs (2)'!BF19,BE32*(1+Inputs!BF$270))</f>
        <v>0</v>
      </c>
      <c r="BG32" s="77">
        <f>BF32</f>
        <v>0</v>
      </c>
    </row>
    <row r="33" hidden="1" outlineLevel="1">
      <c r="C33" s="61" t="inlineStr">
        <is>
          <t>(Provisão para Perda de Crédito Esperada)</t>
        </is>
      </c>
      <c r="D33" s="62" t="inlineStr">
        <is>
          <t>(ECL Allowance)</t>
        </is>
      </c>
      <c r="E33" s="57">
        <f>'Inputs (2)'!E20</f>
        <v>0</v>
      </c>
      <c r="F33" s="57">
        <f>IF(F$14=1,'Inputs (2)'!F20,E33+F103+F150)</f>
        <v>0</v>
      </c>
      <c r="G33" s="57">
        <f>IF(G$14=1,'Inputs (2)'!G20,F33+G103+G150)</f>
        <v>0</v>
      </c>
      <c r="H33" s="57">
        <f>IF(H$14=1,'Inputs (2)'!H20,G33+H103+H150)</f>
        <v>0</v>
      </c>
      <c r="I33" s="77">
        <f>H33</f>
        <v>0</v>
      </c>
      <c r="J33" s="57">
        <f>IF(J$14=1,'Inputs (2)'!J20,H33+J103+J150)</f>
        <v>0</v>
      </c>
      <c r="K33" s="57">
        <f>IF(K$14=1,'Inputs (2)'!K20,J33+K103+K150)</f>
        <v>0</v>
      </c>
      <c r="L33" s="57">
        <f>IF(L$14=1,'Inputs (2)'!L20,K33+L103+L150)</f>
        <v>0</v>
      </c>
      <c r="M33" s="57">
        <f>IF(M$14=1,'Inputs (2)'!M20,L33+M103+M150)</f>
        <v>0</v>
      </c>
      <c r="N33" s="77">
        <f>M33</f>
        <v>0</v>
      </c>
      <c r="O33" s="57">
        <f>IF(O$14=1,'Inputs (2)'!O20,M33+O103+O150)</f>
        <v>0</v>
      </c>
      <c r="P33" s="57">
        <f>IF(P$14=1,'Inputs (2)'!P20,O33+P103+P150)</f>
        <v>0</v>
      </c>
      <c r="Q33" s="57">
        <f>IF(Q$14=1,'Inputs (2)'!Q20,P33+Q103+Q150)</f>
        <v>0</v>
      </c>
      <c r="R33" s="57">
        <f>IF(R$14=1,'Inputs (2)'!R20,Q33+R103+R150)</f>
        <v>0</v>
      </c>
      <c r="S33" s="77">
        <f>R33</f>
        <v>0</v>
      </c>
      <c r="T33" s="57">
        <f>IF(T$14=1,'Inputs (2)'!T20,R33+T103+T150)</f>
        <v>0</v>
      </c>
      <c r="U33" s="57">
        <f>IF(U$14=1,'Inputs (2)'!U20,T33+U103+U150)</f>
        <v>0</v>
      </c>
      <c r="V33" s="57">
        <f>IF(V$14=1,'Inputs (2)'!V20,U33+V103+V150)</f>
        <v>0</v>
      </c>
      <c r="W33" s="57">
        <f>IF(W$14=1,'Inputs (2)'!W20,V33+W103+W150)</f>
        <v>0</v>
      </c>
      <c r="X33" s="77">
        <f>W33</f>
        <v>0</v>
      </c>
      <c r="Y33" s="57">
        <f>IF(Y$14=1,'Inputs (2)'!Y20,W33+Y103+Y150)</f>
        <v>0</v>
      </c>
      <c r="Z33" s="57">
        <f>IF(Z$14=1,'Inputs (2)'!Z20,Y33+Z103+Z150)</f>
        <v>0</v>
      </c>
      <c r="AA33" s="57">
        <f>IF(AA$14=1,'Inputs (2)'!AA20,Z33+AA103+AA150)</f>
        <v>0</v>
      </c>
      <c r="AB33" s="57">
        <f>IF(AB$14=1,'Inputs (2)'!AB20,AA33+AB103+AB150)</f>
        <v>0</v>
      </c>
      <c r="AC33" s="77">
        <f>AB33</f>
        <v>0</v>
      </c>
      <c r="AD33" s="57">
        <f>IF(AD$14=1,'Inputs (2)'!AD20,AB33+AD103+AD150)</f>
        <v>0</v>
      </c>
      <c r="AE33" s="57">
        <f>IF(AE$14=1,'Inputs (2)'!AE20,AD33+AE103+AE150)</f>
        <v>0</v>
      </c>
      <c r="AF33" s="57">
        <f>IF(AF$14=1,'Inputs (2)'!AF20,AE33+AF103+AF150)</f>
        <v>0</v>
      </c>
      <c r="AG33" s="57">
        <f>IF(AG$14=1,'Inputs (2)'!AG20,AF33+AG103+AG150)</f>
        <v>0</v>
      </c>
      <c r="AH33" s="77">
        <f>AG33</f>
        <v>0</v>
      </c>
      <c r="AI33" s="57">
        <f>IF(AI$14=1,'Inputs (2)'!AI20,AG33+AI103+AI150)</f>
        <v>0</v>
      </c>
      <c r="AJ33" s="57">
        <f>IF(AJ$14=1,'Inputs (2)'!AJ20,AI33+AJ103+AJ150)</f>
        <v>0</v>
      </c>
      <c r="AK33" s="57">
        <f>IF(AK$14=1,'Inputs (2)'!AK20,AJ33+AK103+AK150)</f>
        <v>0</v>
      </c>
      <c r="AL33" s="57">
        <f>IF(AL$14=1,'Inputs (2)'!AL20,AK33+AL103+AL150)</f>
        <v>0</v>
      </c>
      <c r="AM33" s="77">
        <f>AL33</f>
        <v>0</v>
      </c>
      <c r="AN33" s="57">
        <f>IF(AN$14=1,'Inputs (2)'!AN20,AL33+AN103+AN150)</f>
        <v>0</v>
      </c>
      <c r="AO33" s="57">
        <f>IF(AO$14=1,'Inputs (2)'!AO20,AN33+AO103+AO150)</f>
        <v>0</v>
      </c>
      <c r="AP33" s="57">
        <f>IF(AP$14=1,'Inputs (2)'!AP20,AO33+AP103+AP150)</f>
        <v>0</v>
      </c>
      <c r="AQ33" s="57">
        <f>IF(AQ$14=1,'Inputs (2)'!AQ20,AP33+AQ103+AQ150)</f>
        <v>0</v>
      </c>
      <c r="AR33" s="77">
        <f>AQ33</f>
        <v>0</v>
      </c>
      <c r="AS33" s="57">
        <f>IF(AS$14=1,'Inputs (2)'!AS20,AQ33+AS103+AS150)</f>
        <v>0</v>
      </c>
      <c r="AT33" s="57">
        <f>IF(AT$14=1,'Inputs (2)'!AT20,AS33+AT103+AT150)</f>
        <v>0</v>
      </c>
      <c r="AU33" s="57">
        <f>IF(AU$14=1,'Inputs (2)'!AU20,AT33+AU103+AU150)</f>
        <v>0</v>
      </c>
      <c r="AV33" s="57">
        <f>IF(AV$14=1,'Inputs (2)'!AV20,AU33+AV103+AV150)</f>
        <v>0</v>
      </c>
      <c r="AW33" s="77">
        <f>AV33</f>
        <v>0</v>
      </c>
      <c r="AX33" s="57">
        <f>IF(AX$14=1,'Inputs (2)'!AX20,AV33+AX103+AX150)</f>
        <v>0</v>
      </c>
      <c r="AY33" s="57">
        <f>IF(AY$14=1,'Inputs (2)'!AY20,AX33+AY103+AY150)</f>
        <v>0</v>
      </c>
      <c r="AZ33" s="57">
        <f>IF(AZ$14=1,'Inputs (2)'!AZ20,AY33+AZ103+AZ150)</f>
        <v>0</v>
      </c>
      <c r="BA33" s="57">
        <f>IF(BA$14=1,'Inputs (2)'!BA20,AZ33+BA103+BA150)</f>
        <v>0</v>
      </c>
      <c r="BB33" s="77">
        <f>BA33</f>
        <v>0</v>
      </c>
      <c r="BC33" s="57">
        <f>IF(BC$14=1,'Inputs (2)'!BC20,BA33+BC103+BC150)</f>
        <v>0</v>
      </c>
      <c r="BD33" s="57">
        <f>IF(BD$14=1,'Inputs (2)'!BD20,BC33+BD103+BD150)</f>
        <v>0</v>
      </c>
      <c r="BE33" s="57">
        <f>IF(BE$14=1,'Inputs (2)'!BE20,BD33+BE103+BE150)</f>
        <v>0</v>
      </c>
      <c r="BF33" s="57">
        <f>IF(BF$14=1,'Inputs (2)'!BF20,BE33+BF103+BF150)</f>
        <v>0</v>
      </c>
      <c r="BG33" s="77">
        <f>BF33</f>
        <v>0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Relações Interfinanceiras e Interdependências</t>
        </is>
      </c>
      <c r="D34" s="81" t="inlineStr">
        <is>
          <t>Interbank Relations</t>
        </is>
      </c>
      <c r="E34" s="82">
        <f>'Inputs (2)'!E21</f>
        <v>569.258429</v>
      </c>
      <c r="F34" s="82">
        <f>IF(F$14=1,'Inputs (2)'!F21,E34*(1+Inputs!F$281))</f>
        <v>2290.961294</v>
      </c>
      <c r="G34" s="82">
        <f>IF(G$14=1,'Inputs (2)'!G21,F34*(1+Inputs!G$281))</f>
        <v>3817.112545</v>
      </c>
      <c r="H34" s="82">
        <f>IF(H$14=1,'Inputs (2)'!H21,G34*(1+Inputs!H$281))</f>
        <v>5188.885418</v>
      </c>
      <c r="I34" s="77">
        <f>H34</f>
        <v>5188.885418</v>
      </c>
      <c r="J34" s="82">
        <f>IF(J$14=1,'Inputs (2)'!J21,H34*(1+Inputs!J$281))</f>
        <v>5945.232163</v>
      </c>
      <c r="K34" s="82">
        <f>IF(K$14=1,'Inputs (2)'!K21,J34*(1+Inputs!K$281))</f>
        <v>8549.505362</v>
      </c>
      <c r="L34" s="82">
        <f>IF(L$14=1,'Inputs (2)'!L21,K34*(1+Inputs!L$281))</f>
        <v>9757.335811</v>
      </c>
      <c r="M34" s="82">
        <f>IF(M$14=1,'Inputs (2)'!M21,L34*(1+Inputs!M$281))</f>
        <v>12737.217119</v>
      </c>
      <c r="N34" s="77">
        <f>M34</f>
        <v>12737.217119</v>
      </c>
      <c r="O34" s="82">
        <f>IF(O$14=1,'Inputs (2)'!O21,M34*(1+Inputs!O$281))</f>
        <v>12624.433595</v>
      </c>
      <c r="P34" s="82">
        <f>IF(P$14=1,'Inputs (2)'!P21,O34*(1+Inputs!P$281))</f>
        <v>16404.365192</v>
      </c>
      <c r="Q34" s="82">
        <f>IF(Q$14=1,'Inputs (2)'!Q21,P34*(1+Inputs!Q$281))</f>
        <v>33467.512277</v>
      </c>
      <c r="R34" s="82">
        <f>IF(R$14=1,'Inputs (2)'!R21,Q34*(1+Inputs!R$281))</f>
        <v>23786.65476</v>
      </c>
      <c r="S34" s="77">
        <f>R34</f>
        <v>23786.65476</v>
      </c>
      <c r="T34" s="82">
        <f>IF(T$14=1,'Inputs (2)'!T21,R34*(1+Inputs!T$281))</f>
        <v>18078.672</v>
      </c>
      <c r="U34" s="82">
        <f>IF(U$14=1,'Inputs (2)'!U21,T34*(1+Inputs!U$281))</f>
        <v>22279.713</v>
      </c>
      <c r="V34" s="82">
        <f>IF(V$14=1,'Inputs (2)'!V21,U34*(1+Inputs!V$281))</f>
        <v>25154.662</v>
      </c>
      <c r="W34" s="82">
        <f>IF(W$14=1,'Inputs (2)'!W21,V34*(1+Inputs!W$281))</f>
        <v>23712.4</v>
      </c>
      <c r="X34" s="77">
        <f>W34</f>
        <v>23712.4</v>
      </c>
      <c r="Y34" s="82">
        <f>IF(Y$14=1,'Inputs (2)'!Y21,W34*(1+Inputs!Y$281))</f>
        <v>24875.212</v>
      </c>
      <c r="Z34" s="82">
        <f>IF(Z$14=1,'Inputs (2)'!Z21,Y34*(1+Inputs!Z$281))</f>
        <v>28207.713</v>
      </c>
      <c r="AA34" s="82">
        <f>IF(AA$14=1,'Inputs (2)'!AA21,Z34*(1+Inputs!AA$281))</f>
        <v>40030.847</v>
      </c>
      <c r="AB34" s="82">
        <f>IF(AB$14=1,'Inputs (2)'!AB21,AA34*(1+Inputs!AB$281))</f>
        <v>33336.119</v>
      </c>
      <c r="AC34" s="77">
        <f>AB34</f>
        <v>33336.119</v>
      </c>
      <c r="AD34" s="82">
        <f>IF(AD$14=1,'Inputs (2)'!AD21,AB34*(1+Inputs!AD$281))</f>
        <v>35173.808</v>
      </c>
      <c r="AE34" s="82">
        <f>IF(AE$14=1,'Inputs (2)'!AE21,AD34*(1+Inputs!AE$281))</f>
        <v>35199.32</v>
      </c>
      <c r="AF34" s="82">
        <f>IF(AF$14=1,'Inputs (2)'!AF21,AE34*(1+Inputs!AF$281))</f>
        <v>37382.376</v>
      </c>
      <c r="AG34" s="82">
        <f>IF(AG$14=1,'Inputs (2)'!AG21,AF34*(1+Inputs!AG$281))</f>
        <v>31265.668</v>
      </c>
      <c r="AH34" s="77">
        <f>AG34</f>
        <v>31265.668</v>
      </c>
      <c r="AI34" s="82">
        <f>IF(AI$14=1,'Inputs (2)'!AI21,AG34*(1+Inputs!AI$281))</f>
        <v>39736.289</v>
      </c>
      <c r="AJ34" s="82">
        <f>IF(AJ$14=1,'Inputs (2)'!AJ21,AI34*(1+Inputs!AJ$281))</f>
        <v>42184.342</v>
      </c>
      <c r="AK34" s="82">
        <f>IF(AK$14=1,'Inputs (2)'!AK21,AJ34*(1+Inputs!AK$281))</f>
        <v>42184.342</v>
      </c>
      <c r="AL34" s="82">
        <f>IF(AL$14=1,'Inputs (2)'!AL21,AK34*(1+Inputs!AL$281))</f>
        <v>42184.342</v>
      </c>
      <c r="AM34" s="77">
        <f>AL34</f>
        <v>42184.342</v>
      </c>
      <c r="AN34" s="82">
        <f>IF(AN$14=1,'Inputs (2)'!AN21,AL34*(1+Inputs!AN$281))</f>
        <v>42184.342</v>
      </c>
      <c r="AO34" s="82">
        <f>IF(AO$14=1,'Inputs (2)'!AO21,AN34*(1+Inputs!AO$281))</f>
        <v>42184.342</v>
      </c>
      <c r="AP34" s="82">
        <f>IF(AP$14=1,'Inputs (2)'!AP21,AO34*(1+Inputs!AP$281))</f>
        <v>42184.342</v>
      </c>
      <c r="AQ34" s="82">
        <f>IF(AQ$14=1,'Inputs (2)'!AQ21,AP34*(1+Inputs!AQ$281))</f>
        <v>42184.342</v>
      </c>
      <c r="AR34" s="77">
        <f>AQ34</f>
        <v>42184.342</v>
      </c>
      <c r="AS34" s="82">
        <f>IF(AS$14=1,'Inputs (2)'!AS21,AQ34*(1+Inputs!AS$281))</f>
        <v>42184.342</v>
      </c>
      <c r="AT34" s="82">
        <f>IF(AT$14=1,'Inputs (2)'!AT21,AS34*(1+Inputs!AT$281))</f>
        <v>42184.342</v>
      </c>
      <c r="AU34" s="82">
        <f>IF(AU$14=1,'Inputs (2)'!AU21,AT34*(1+Inputs!AU$281))</f>
        <v>42184.342</v>
      </c>
      <c r="AV34" s="82">
        <f>IF(AV$14=1,'Inputs (2)'!AV21,AU34*(1+Inputs!AV$281))</f>
        <v>42184.342</v>
      </c>
      <c r="AW34" s="77">
        <f>AV34</f>
        <v>42184.342</v>
      </c>
      <c r="AX34" s="82">
        <f>IF(AX$14=1,'Inputs (2)'!AX21,AV34*(1+Inputs!AX$281))</f>
        <v>42184.342</v>
      </c>
      <c r="AY34" s="82">
        <f>IF(AY$14=1,'Inputs (2)'!AY21,AX34*(1+Inputs!AY$281))</f>
        <v>42184.342</v>
      </c>
      <c r="AZ34" s="82">
        <f>IF(AZ$14=1,'Inputs (2)'!AZ21,AY34*(1+Inputs!AZ$281))</f>
        <v>42184.342</v>
      </c>
      <c r="BA34" s="82">
        <f>IF(BA$14=1,'Inputs (2)'!BA21,AZ34*(1+Inputs!BA$281))</f>
        <v>42184.342</v>
      </c>
      <c r="BB34" s="77">
        <f>BA34</f>
        <v>42184.342</v>
      </c>
      <c r="BC34" s="82">
        <f>IF(BC$14=1,'Inputs (2)'!BC21,BA34*(1+Inputs!BC$281))</f>
        <v>42184.342</v>
      </c>
      <c r="BD34" s="82">
        <f>IF(BD$14=1,'Inputs (2)'!BD21,BC34*(1+Inputs!BD$281))</f>
        <v>42184.342</v>
      </c>
      <c r="BE34" s="82">
        <f>IF(BE$14=1,'Inputs (2)'!BE21,BD34*(1+Inputs!BE$281))</f>
        <v>42184.342</v>
      </c>
      <c r="BF34" s="82">
        <f>IF(BF$14=1,'Inputs (2)'!BF21,BE34*(1+Inputs!BF$281))</f>
        <v>42184.342</v>
      </c>
      <c r="BG34" s="77">
        <f>BF34</f>
        <v>42184.342</v>
      </c>
    </row>
    <row r="35">
      <c r="C35" s="80" t="inlineStr">
        <is>
          <t>Ativos Fiscais Correntes e Diferidos</t>
        </is>
      </c>
      <c r="D35" s="81" t="inlineStr">
        <is>
          <t>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>AG35</f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>AL35</f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>AQ35</f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>AV35</f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>BA35</f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>BF35</f>
        <v>0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60500.409672</v>
      </c>
      <c r="F36" s="82">
        <f>IF(F$14=1,'Inputs (2)'!F23,E36*(1+Inputs!F$281))</f>
        <v>66432.287335</v>
      </c>
      <c r="G36" s="82">
        <f>IF(G$14=1,'Inputs (2)'!G23,F36*(1+Inputs!G$281))</f>
        <v>60483.720789</v>
      </c>
      <c r="H36" s="82">
        <f>IF(H$14=1,'Inputs (2)'!H23,G36*(1+Inputs!H$281))</f>
        <v>41195.936325</v>
      </c>
      <c r="I36" s="77">
        <f>H36</f>
        <v>41195.936325</v>
      </c>
      <c r="J36" s="82">
        <f>IF(J$14=1,'Inputs (2)'!J23,H36*(1+Inputs!J$281))</f>
        <v>67996.23533</v>
      </c>
      <c r="K36" s="82">
        <f>IF(K$14=1,'Inputs (2)'!K23,J36*(1+Inputs!K$281))</f>
        <v>55756.925043</v>
      </c>
      <c r="L36" s="82">
        <f>IF(L$14=1,'Inputs (2)'!L23,K36*(1+Inputs!L$281))</f>
        <v>43700.638289</v>
      </c>
      <c r="M36" s="82">
        <f>IF(M$14=1,'Inputs (2)'!M23,L36*(1+Inputs!M$281))</f>
        <v>53392.615509</v>
      </c>
      <c r="N36" s="77">
        <f>M36</f>
        <v>53392.615509</v>
      </c>
      <c r="O36" s="82">
        <f>IF(O$14=1,'Inputs (2)'!O23,M36*(1+Inputs!O$281))</f>
        <v>54641.239747</v>
      </c>
      <c r="P36" s="82">
        <f>IF(P$14=1,'Inputs (2)'!P23,O36*(1+Inputs!P$281))</f>
        <v>97229.41096</v>
      </c>
      <c r="Q36" s="82">
        <f>IF(Q$14=1,'Inputs (2)'!Q23,P36*(1+Inputs!Q$281))</f>
        <v>58757.492257</v>
      </c>
      <c r="R36" s="82">
        <f>IF(R$14=1,'Inputs (2)'!R23,Q36*(1+Inputs!R$281))</f>
        <v>83566.632813</v>
      </c>
      <c r="S36" s="77">
        <f>R36</f>
        <v>83566.632813</v>
      </c>
      <c r="T36" s="82">
        <f>IF(T$14=1,'Inputs (2)'!T23,R36*(1+Inputs!T$281))</f>
        <v>76059.139</v>
      </c>
      <c r="U36" s="82">
        <f>IF(U$14=1,'Inputs (2)'!U23,T36*(1+Inputs!U$281))</f>
        <v>69332.36</v>
      </c>
      <c r="V36" s="82">
        <f>IF(V$14=1,'Inputs (2)'!V23,U36*(1+Inputs!V$281))</f>
        <v>62306.881</v>
      </c>
      <c r="W36" s="82">
        <f>IF(W$14=1,'Inputs (2)'!W23,V36*(1+Inputs!W$281))</f>
        <v>58019.495</v>
      </c>
      <c r="X36" s="77">
        <f>W36</f>
        <v>58019.495</v>
      </c>
      <c r="Y36" s="82">
        <f>IF(Y$14=1,'Inputs (2)'!Y23,W36*(1+Inputs!Y$281))</f>
        <v>70396.92</v>
      </c>
      <c r="Z36" s="82">
        <f>IF(Z$14=1,'Inputs (2)'!Z23,Y36*(1+Inputs!Z$281))</f>
        <v>79852.281</v>
      </c>
      <c r="AA36" s="82">
        <f>IF(AA$14=1,'Inputs (2)'!AA23,Z36*(1+Inputs!AA$281))</f>
        <v>67450.928</v>
      </c>
      <c r="AB36" s="82">
        <f>IF(AB$14=1,'Inputs (2)'!AB23,AA36*(1+Inputs!AB$281))</f>
        <v>90965.336568</v>
      </c>
      <c r="AC36" s="77">
        <f>AB36</f>
        <v>90965.336568</v>
      </c>
      <c r="AD36" s="82">
        <f>IF(AD$14=1,'Inputs (2)'!AD23,AB36*(1+Inputs!AD$281))</f>
        <v>83518.404</v>
      </c>
      <c r="AE36" s="82">
        <f>IF(AE$14=1,'Inputs (2)'!AE23,AD36*(1+Inputs!AE$281))</f>
        <v>92177.07</v>
      </c>
      <c r="AF36" s="82">
        <f>IF(AF$14=1,'Inputs (2)'!AF23,AE36*(1+Inputs!AF$281))</f>
        <v>88052.32</v>
      </c>
      <c r="AG36" s="82">
        <f>IF(AG$14=1,'Inputs (2)'!AG23,AF36*(1+Inputs!AG$281))</f>
        <v>101875.469</v>
      </c>
      <c r="AH36" s="77">
        <f>AG36</f>
        <v>101875.469</v>
      </c>
      <c r="AI36" s="82">
        <f>IF(AI$14=1,'Inputs (2)'!AI23,AG36*(1+Inputs!AI$281))</f>
        <v>105362.356</v>
      </c>
      <c r="AJ36" s="82">
        <f>IF(AJ$14=1,'Inputs (2)'!AJ23,AI36*(1+Inputs!AJ$281))</f>
        <v>110832.548</v>
      </c>
      <c r="AK36" s="82">
        <f>IF(AK$14=1,'Inputs (2)'!AK23,AJ36*(1+Inputs!AK$281))</f>
        <v>110832.548</v>
      </c>
      <c r="AL36" s="82">
        <f>IF(AL$14=1,'Inputs (2)'!AL23,AK36*(1+Inputs!AL$281))</f>
        <v>110832.548</v>
      </c>
      <c r="AM36" s="77">
        <f>AL36</f>
        <v>110832.548</v>
      </c>
      <c r="AN36" s="82">
        <f>IF(AN$14=1,'Inputs (2)'!AN23,AL36*(1+Inputs!AN$281))</f>
        <v>110832.548</v>
      </c>
      <c r="AO36" s="82">
        <f>IF(AO$14=1,'Inputs (2)'!AO23,AN36*(1+Inputs!AO$281))</f>
        <v>110832.548</v>
      </c>
      <c r="AP36" s="82">
        <f>IF(AP$14=1,'Inputs (2)'!AP23,AO36*(1+Inputs!AP$281))</f>
        <v>110832.548</v>
      </c>
      <c r="AQ36" s="82">
        <f>IF(AQ$14=1,'Inputs (2)'!AQ23,AP36*(1+Inputs!AQ$281))</f>
        <v>110832.548</v>
      </c>
      <c r="AR36" s="77">
        <f>AQ36</f>
        <v>110832.548</v>
      </c>
      <c r="AS36" s="82">
        <f>IF(AS$14=1,'Inputs (2)'!AS23,AQ36*(1+Inputs!AS$281))</f>
        <v>110832.548</v>
      </c>
      <c r="AT36" s="82">
        <f>IF(AT$14=1,'Inputs (2)'!AT23,AS36*(1+Inputs!AT$281))</f>
        <v>110832.548</v>
      </c>
      <c r="AU36" s="82">
        <f>IF(AU$14=1,'Inputs (2)'!AU23,AT36*(1+Inputs!AU$281))</f>
        <v>110832.548</v>
      </c>
      <c r="AV36" s="82">
        <f>IF(AV$14=1,'Inputs (2)'!AV23,AU36*(1+Inputs!AV$281))</f>
        <v>110832.548</v>
      </c>
      <c r="AW36" s="77">
        <f>AV36</f>
        <v>110832.548</v>
      </c>
      <c r="AX36" s="82">
        <f>IF(AX$14=1,'Inputs (2)'!AX23,AV36*(1+Inputs!AX$281))</f>
        <v>110832.548</v>
      </c>
      <c r="AY36" s="82">
        <f>IF(AY$14=1,'Inputs (2)'!AY23,AX36*(1+Inputs!AY$281))</f>
        <v>110832.548</v>
      </c>
      <c r="AZ36" s="82">
        <f>IF(AZ$14=1,'Inputs (2)'!AZ23,AY36*(1+Inputs!AZ$281))</f>
        <v>110832.548</v>
      </c>
      <c r="BA36" s="82">
        <f>IF(BA$14=1,'Inputs (2)'!BA23,AZ36*(1+Inputs!BA$281))</f>
        <v>110832.548</v>
      </c>
      <c r="BB36" s="77">
        <f>BA36</f>
        <v>110832.548</v>
      </c>
      <c r="BC36" s="82">
        <f>IF(BC$14=1,'Inputs (2)'!BC23,BA36*(1+Inputs!BC$281))</f>
        <v>110832.548</v>
      </c>
      <c r="BD36" s="82">
        <f>IF(BD$14=1,'Inputs (2)'!BD23,BC36*(1+Inputs!BD$281))</f>
        <v>110832.548</v>
      </c>
      <c r="BE36" s="82">
        <f>IF(BE$14=1,'Inputs (2)'!BE23,BD36*(1+Inputs!BE$281))</f>
        <v>110832.548</v>
      </c>
      <c r="BF36" s="82">
        <f>IF(BF$14=1,'Inputs (2)'!BF23,BE36*(1+Inputs!BF$281))</f>
        <v>110832.548</v>
      </c>
      <c r="BG36" s="77">
        <f>BF36</f>
        <v>110832.548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9542.165023</v>
      </c>
      <c r="F37" s="85">
        <f>F38+F39</f>
        <v>9552.954276</v>
      </c>
      <c r="G37" s="85">
        <f>G38+G39</f>
        <v>10044.220103</v>
      </c>
      <c r="H37" s="85">
        <f>H38+H39</f>
        <v>12929.374395</v>
      </c>
      <c r="I37" s="60">
        <f>H37</f>
        <v>12929.374395</v>
      </c>
      <c r="J37" s="85">
        <f>J38+J39</f>
        <v>13024.452938</v>
      </c>
      <c r="K37" s="85">
        <f>K38+K39</f>
        <v>9540.471261</v>
      </c>
      <c r="L37" s="85">
        <f>L38+L39</f>
        <v>10448.566771</v>
      </c>
      <c r="M37" s="85">
        <f>M38+M39</f>
        <v>12060.088866</v>
      </c>
      <c r="N37" s="60">
        <f>M37</f>
        <v>12060.088866</v>
      </c>
      <c r="O37" s="85">
        <f>O38+O39</f>
        <v>12595.327542</v>
      </c>
      <c r="P37" s="85">
        <f>P38+P39</f>
        <v>13084.442573</v>
      </c>
      <c r="Q37" s="85">
        <f>Q38+Q39</f>
        <v>12833.278373</v>
      </c>
      <c r="R37" s="85">
        <f>R38+R39</f>
        <v>12790.314434</v>
      </c>
      <c r="S37" s="60">
        <f>R37</f>
        <v>12790.314434</v>
      </c>
      <c r="T37" s="85">
        <f>T38+T39</f>
        <v>12792.57</v>
      </c>
      <c r="U37" s="85">
        <f>U38+U39</f>
        <v>12914.92</v>
      </c>
      <c r="V37" s="85">
        <f>V38+V39</f>
        <v>12527.554</v>
      </c>
      <c r="W37" s="85">
        <f>W38+W39</f>
        <v>12102.745</v>
      </c>
      <c r="X37" s="60">
        <f>W37</f>
        <v>12102.745</v>
      </c>
      <c r="Y37" s="85">
        <f>Y38+Y39</f>
        <v>12350.901</v>
      </c>
      <c r="Z37" s="85">
        <f>Z38+Z39</f>
        <v>12688.544</v>
      </c>
      <c r="AA37" s="85">
        <f>AA38+AA39</f>
        <v>12997.381</v>
      </c>
      <c r="AB37" s="85">
        <f>AB38+AB39</f>
        <v>13953.493</v>
      </c>
      <c r="AC37" s="60">
        <f>AB37</f>
        <v>13953.493</v>
      </c>
      <c r="AD37" s="85">
        <f>AD38+AD39</f>
        <v>16062.879</v>
      </c>
      <c r="AE37" s="85">
        <f>AE38+AE39</f>
        <v>15953.698</v>
      </c>
      <c r="AF37" s="85">
        <f>AF38+AF39</f>
        <v>16761.628</v>
      </c>
      <c r="AG37" s="85">
        <f>AG38+AG39</f>
        <v>17113.99</v>
      </c>
      <c r="AH37" s="60">
        <f>AG37</f>
        <v>17113.99</v>
      </c>
      <c r="AI37" s="85">
        <f>AI38+AI39</f>
        <v>16571.017</v>
      </c>
      <c r="AJ37" s="85">
        <f>AJ38+AJ39</f>
        <v>16698.208</v>
      </c>
      <c r="AK37" s="85">
        <f>AK38+AK39</f>
        <v>16698.208</v>
      </c>
      <c r="AL37" s="85">
        <f>AL38+AL39</f>
        <v>16698.208</v>
      </c>
      <c r="AM37" s="60">
        <f>AL37</f>
        <v>16698.208</v>
      </c>
      <c r="AN37" s="85">
        <f>AN38+AN39</f>
        <v>16698.208</v>
      </c>
      <c r="AO37" s="85">
        <f>AO38+AO39</f>
        <v>16698.208</v>
      </c>
      <c r="AP37" s="85">
        <f>AP38+AP39</f>
        <v>16698.208</v>
      </c>
      <c r="AQ37" s="85">
        <f>AQ38+AQ39</f>
        <v>16698.208</v>
      </c>
      <c r="AR37" s="60">
        <f>AQ37</f>
        <v>16698.208</v>
      </c>
      <c r="AS37" s="85">
        <f>AS38+AS39</f>
        <v>16698.208</v>
      </c>
      <c r="AT37" s="85">
        <f>AT38+AT39</f>
        <v>16698.208</v>
      </c>
      <c r="AU37" s="85">
        <f>AU38+AU39</f>
        <v>16698.208</v>
      </c>
      <c r="AV37" s="85">
        <f>AV38+AV39</f>
        <v>16698.208</v>
      </c>
      <c r="AW37" s="60">
        <f>AV37</f>
        <v>16698.208</v>
      </c>
      <c r="AX37" s="85">
        <f>AX38+AX39</f>
        <v>16698.208</v>
      </c>
      <c r="AY37" s="85">
        <f>AY38+AY39</f>
        <v>16698.208</v>
      </c>
      <c r="AZ37" s="85">
        <f>AZ38+AZ39</f>
        <v>16698.208</v>
      </c>
      <c r="BA37" s="85">
        <f>BA38+BA39</f>
        <v>16698.208</v>
      </c>
      <c r="BB37" s="60">
        <f>BA37</f>
        <v>16698.208</v>
      </c>
      <c r="BC37" s="85">
        <f>BC38+BC39</f>
        <v>16698.208</v>
      </c>
      <c r="BD37" s="85">
        <f>BD38+BD39</f>
        <v>16698.208</v>
      </c>
      <c r="BE37" s="85">
        <f>BE38+BE39</f>
        <v>16698.208</v>
      </c>
      <c r="BF37" s="85">
        <f>BF38+BF39</f>
        <v>16698.208</v>
      </c>
      <c r="BG37" s="60">
        <f>BF37</f>
        <v>16698.208</v>
      </c>
    </row>
    <row r="38" hidden="1" outlineLevel="1">
      <c r="C38" s="61" t="inlineStr">
        <is>
          <t>Coligadas e Entidades Controladas em Conjunto</t>
        </is>
      </c>
      <c r="D38" s="62" t="inlineStr">
        <is>
          <t>Associates and JV</t>
        </is>
      </c>
      <c r="E38" s="57">
        <f>'Inputs (2)'!E25</f>
        <v>9542.165023</v>
      </c>
      <c r="F38" s="57">
        <f>IF(F$14=1,'Inputs (2)'!F25,E38)</f>
        <v>9552.954276</v>
      </c>
      <c r="G38" s="57">
        <f>IF(G$14=1,'Inputs (2)'!G25,F38)</f>
        <v>10044.220103</v>
      </c>
      <c r="H38" s="57">
        <f>IF(H$14=1,'Inputs (2)'!H25,G38)</f>
        <v>12929.374395</v>
      </c>
      <c r="I38" s="77">
        <f>H38</f>
        <v>12929.374395</v>
      </c>
      <c r="J38" s="57">
        <f>IF(J$14=1,'Inputs (2)'!J25,H38)</f>
        <v>13024.452938</v>
      </c>
      <c r="K38" s="57">
        <f>IF(K$14=1,'Inputs (2)'!K25,J38)</f>
        <v>9540.471261</v>
      </c>
      <c r="L38" s="57">
        <f>IF(L$14=1,'Inputs (2)'!L25,K38)</f>
        <v>10448.566771</v>
      </c>
      <c r="M38" s="57">
        <f>IF(M$14=1,'Inputs (2)'!M25,L38)</f>
        <v>12060.088866</v>
      </c>
      <c r="N38" s="77">
        <f>M38</f>
        <v>12060.088866</v>
      </c>
      <c r="O38" s="57">
        <f>IF(O$14=1,'Inputs (2)'!O25,M38)</f>
        <v>12595.327542</v>
      </c>
      <c r="P38" s="57">
        <f>IF(P$14=1,'Inputs (2)'!P25,O38)</f>
        <v>13084.442573</v>
      </c>
      <c r="Q38" s="57">
        <f>IF(Q$14=1,'Inputs (2)'!Q25,P38)</f>
        <v>12833.278373</v>
      </c>
      <c r="R38" s="57">
        <f>IF(R$14=1,'Inputs (2)'!R25,Q38)</f>
        <v>12790.314434</v>
      </c>
      <c r="S38" s="77">
        <f>R38</f>
        <v>12790.314434</v>
      </c>
      <c r="T38" s="57">
        <f>IF(T$14=1,'Inputs (2)'!T25,R38)</f>
        <v>12792.57</v>
      </c>
      <c r="U38" s="57">
        <f>IF(U$14=1,'Inputs (2)'!U25,T38)</f>
        <v>12914.92</v>
      </c>
      <c r="V38" s="57">
        <f>IF(V$14=1,'Inputs (2)'!V25,U38)</f>
        <v>12527.554</v>
      </c>
      <c r="W38" s="57">
        <f>IF(W$14=1,'Inputs (2)'!W25,V38)</f>
        <v>12102.745</v>
      </c>
      <c r="X38" s="77">
        <f>W38</f>
        <v>12102.745</v>
      </c>
      <c r="Y38" s="57">
        <f>IF(Y$14=1,'Inputs (2)'!Y25,W38)</f>
        <v>12350.901</v>
      </c>
      <c r="Z38" s="57">
        <f>IF(Z$14=1,'Inputs (2)'!Z25,Y38)</f>
        <v>12688.544</v>
      </c>
      <c r="AA38" s="57">
        <f>IF(AA$14=1,'Inputs (2)'!AA25,Z38)</f>
        <v>12997.381</v>
      </c>
      <c r="AB38" s="57">
        <f>IF(AB$14=1,'Inputs (2)'!AB25,AA38)</f>
        <v>13953.493</v>
      </c>
      <c r="AC38" s="77">
        <f>AB38</f>
        <v>13953.493</v>
      </c>
      <c r="AD38" s="57">
        <f>IF(AD$14=1,'Inputs (2)'!AD25,AB38)</f>
        <v>16062.879</v>
      </c>
      <c r="AE38" s="57">
        <f>IF(AE$14=1,'Inputs (2)'!AE25,AD38)</f>
        <v>15953.698</v>
      </c>
      <c r="AF38" s="57">
        <f>IF(AF$14=1,'Inputs (2)'!AF25,AE38)</f>
        <v>16761.628</v>
      </c>
      <c r="AG38" s="57">
        <f>IF(AG$14=1,'Inputs (2)'!AG25,AF38)</f>
        <v>17113.99</v>
      </c>
      <c r="AH38" s="77">
        <f>AG38</f>
        <v>17113.99</v>
      </c>
      <c r="AI38" s="57">
        <f>IF(AI$14=1,'Inputs (2)'!AI25,AG38)</f>
        <v>16571.017</v>
      </c>
      <c r="AJ38" s="57">
        <f>IF(AJ$14=1,'Inputs (2)'!AJ25,AI38)</f>
        <v>16698.208</v>
      </c>
      <c r="AK38" s="57">
        <f>IF(AK$14=1,'Inputs (2)'!AK25,AJ38)</f>
        <v>16698.208</v>
      </c>
      <c r="AL38" s="57">
        <f>IF(AL$14=1,'Inputs (2)'!AL25,AK38)</f>
        <v>16698.208</v>
      </c>
      <c r="AM38" s="77">
        <f>AL38</f>
        <v>16698.208</v>
      </c>
      <c r="AN38" s="57">
        <f>IF(AN$14=1,'Inputs (2)'!AN25,AL38)</f>
        <v>16698.208</v>
      </c>
      <c r="AO38" s="57">
        <f>IF(AO$14=1,'Inputs (2)'!AO25,AN38)</f>
        <v>16698.208</v>
      </c>
      <c r="AP38" s="57">
        <f>IF(AP$14=1,'Inputs (2)'!AP25,AO38)</f>
        <v>16698.208</v>
      </c>
      <c r="AQ38" s="57">
        <f>IF(AQ$14=1,'Inputs (2)'!AQ25,AP38)</f>
        <v>16698.208</v>
      </c>
      <c r="AR38" s="77">
        <f>AQ38</f>
        <v>16698.208</v>
      </c>
      <c r="AS38" s="57">
        <f>IF(AS$14=1,'Inputs (2)'!AS25,AQ38)</f>
        <v>16698.208</v>
      </c>
      <c r="AT38" s="57">
        <f>IF(AT$14=1,'Inputs (2)'!AT25,AS38)</f>
        <v>16698.208</v>
      </c>
      <c r="AU38" s="57">
        <f>IF(AU$14=1,'Inputs (2)'!AU25,AT38)</f>
        <v>16698.208</v>
      </c>
      <c r="AV38" s="57">
        <f>IF(AV$14=1,'Inputs (2)'!AV25,AU38)</f>
        <v>16698.208</v>
      </c>
      <c r="AW38" s="77">
        <f>AV38</f>
        <v>16698.208</v>
      </c>
      <c r="AX38" s="57">
        <f>IF(AX$14=1,'Inputs (2)'!AX25,AV38)</f>
        <v>16698.208</v>
      </c>
      <c r="AY38" s="57">
        <f>IF(AY$14=1,'Inputs (2)'!AY25,AX38)</f>
        <v>16698.208</v>
      </c>
      <c r="AZ38" s="57">
        <f>IF(AZ$14=1,'Inputs (2)'!AZ25,AY38)</f>
        <v>16698.208</v>
      </c>
      <c r="BA38" s="57">
        <f>IF(BA$14=1,'Inputs (2)'!BA25,AZ38)</f>
        <v>16698.208</v>
      </c>
      <c r="BB38" s="77">
        <f>BA38</f>
        <v>16698.208</v>
      </c>
      <c r="BC38" s="57">
        <f>IF(BC$14=1,'Inputs (2)'!BC25,BA38)</f>
        <v>16698.208</v>
      </c>
      <c r="BD38" s="57">
        <f>IF(BD$14=1,'Inputs (2)'!BD25,BC38)</f>
        <v>16698.208</v>
      </c>
      <c r="BE38" s="57">
        <f>IF(BE$14=1,'Inputs (2)'!BE25,BD38)</f>
        <v>16698.208</v>
      </c>
      <c r="BF38" s="57">
        <f>IF(BF$14=1,'Inputs (2)'!BF25,BE38)</f>
        <v>16698.208</v>
      </c>
      <c r="BG38" s="77">
        <f>BF38</f>
        <v>16698.208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Imobilizado</t>
        </is>
      </c>
      <c r="D40" s="81" t="inlineStr">
        <is>
          <t>Property and Equipment</t>
        </is>
      </c>
      <c r="E40" s="82">
        <f>'Inputs (2)'!E27</f>
        <v>0</v>
      </c>
      <c r="F40" s="82">
        <f>IF(F$14=1,'Inputs (2)'!F27,E40)</f>
        <v>0</v>
      </c>
      <c r="G40" s="82">
        <f>IF(G$14=1,'Inputs (2)'!G27,F40)</f>
        <v>0</v>
      </c>
      <c r="H40" s="82">
        <f>IF(H$14=1,'Inputs (2)'!H27,G40)</f>
        <v>0</v>
      </c>
      <c r="I40" s="77">
        <f>H40</f>
        <v>0</v>
      </c>
      <c r="J40" s="82">
        <f>IF(J$14=1,'Inputs (2)'!J27,H40)</f>
        <v>0</v>
      </c>
      <c r="K40" s="82">
        <f>IF(K$14=1,'Inputs (2)'!K27,J40)</f>
        <v>0</v>
      </c>
      <c r="L40" s="82">
        <f>IF(L$14=1,'Inputs (2)'!L27,K40)</f>
        <v>0</v>
      </c>
      <c r="M40" s="82">
        <f>IF(M$14=1,'Inputs (2)'!M27,L40)</f>
        <v>0</v>
      </c>
      <c r="N40" s="77">
        <f>M40</f>
        <v>0</v>
      </c>
      <c r="O40" s="82">
        <f>IF(O$14=1,'Inputs (2)'!O27,M40)</f>
        <v>0</v>
      </c>
      <c r="P40" s="82">
        <f>IF(P$14=1,'Inputs (2)'!P27,O40)</f>
        <v>0</v>
      </c>
      <c r="Q40" s="82">
        <f>IF(Q$14=1,'Inputs (2)'!Q27,P40)</f>
        <v>0</v>
      </c>
      <c r="R40" s="82">
        <f>IF(R$14=1,'Inputs (2)'!R27,Q40)</f>
        <v>0</v>
      </c>
      <c r="S40" s="77">
        <f>R40</f>
        <v>0</v>
      </c>
      <c r="T40" s="82">
        <f>IF(T$14=1,'Inputs (2)'!T27,R40)</f>
        <v>0</v>
      </c>
      <c r="U40" s="82">
        <f>IF(U$14=1,'Inputs (2)'!U27,T40)</f>
        <v>0</v>
      </c>
      <c r="V40" s="82">
        <f>IF(V$14=1,'Inputs (2)'!V27,U40)</f>
        <v>0</v>
      </c>
      <c r="W40" s="82">
        <f>IF(W$14=1,'Inputs (2)'!W27,V40)</f>
        <v>0</v>
      </c>
      <c r="X40" s="77">
        <f>W40</f>
        <v>0</v>
      </c>
      <c r="Y40" s="82">
        <f>IF(Y$14=1,'Inputs (2)'!Y27,W40)</f>
        <v>0</v>
      </c>
      <c r="Z40" s="82">
        <f>IF(Z$14=1,'Inputs (2)'!Z27,Y40)</f>
        <v>0</v>
      </c>
      <c r="AA40" s="82">
        <f>IF(AA$14=1,'Inputs (2)'!AA27,Z40)</f>
        <v>0</v>
      </c>
      <c r="AB40" s="82">
        <f>IF(AB$14=1,'Inputs (2)'!AB27,AA40)</f>
        <v>0</v>
      </c>
      <c r="AC40" s="77">
        <f>AB40</f>
        <v>0</v>
      </c>
      <c r="AD40" s="82">
        <f>IF(AD$14=1,'Inputs (2)'!AD27,AB40)</f>
        <v>0</v>
      </c>
      <c r="AE40" s="82">
        <f>IF(AE$14=1,'Inputs (2)'!AE27,AD40)</f>
        <v>0</v>
      </c>
      <c r="AF40" s="82">
        <f>IF(AF$14=1,'Inputs (2)'!AF27,AE40)</f>
        <v>0</v>
      </c>
      <c r="AG40" s="82">
        <f>IF(AG$14=1,'Inputs (2)'!AG27,AF40)</f>
        <v>0</v>
      </c>
      <c r="AH40" s="77">
        <f>AG40</f>
        <v>0</v>
      </c>
      <c r="AI40" s="82">
        <f>IF(AI$14=1,'Inputs (2)'!AI27,AG40)</f>
        <v>0</v>
      </c>
      <c r="AJ40" s="82">
        <f>IF(AJ$14=1,'Inputs (2)'!AJ27,AI40)</f>
        <v>0</v>
      </c>
      <c r="AK40" s="82">
        <f>IF(AK$14=1,'Inputs (2)'!AK27,AJ40)</f>
        <v>0</v>
      </c>
      <c r="AL40" s="82">
        <f>IF(AL$14=1,'Inputs (2)'!AL27,AK40)</f>
        <v>0</v>
      </c>
      <c r="AM40" s="77">
        <f>AL40</f>
        <v>0</v>
      </c>
      <c r="AN40" s="82">
        <f>IF(AN$14=1,'Inputs (2)'!AN27,AL40)</f>
        <v>0</v>
      </c>
      <c r="AO40" s="82">
        <f>IF(AO$14=1,'Inputs (2)'!AO27,AN40)</f>
        <v>0</v>
      </c>
      <c r="AP40" s="82">
        <f>IF(AP$14=1,'Inputs (2)'!AP27,AO40)</f>
        <v>0</v>
      </c>
      <c r="AQ40" s="82">
        <f>IF(AQ$14=1,'Inputs (2)'!AQ27,AP40)</f>
        <v>0</v>
      </c>
      <c r="AR40" s="77">
        <f>AQ40</f>
        <v>0</v>
      </c>
      <c r="AS40" s="82">
        <f>IF(AS$14=1,'Inputs (2)'!AS27,AQ40)</f>
        <v>0</v>
      </c>
      <c r="AT40" s="82">
        <f>IF(AT$14=1,'Inputs (2)'!AT27,AS40)</f>
        <v>0</v>
      </c>
      <c r="AU40" s="82">
        <f>IF(AU$14=1,'Inputs (2)'!AU27,AT40)</f>
        <v>0</v>
      </c>
      <c r="AV40" s="82">
        <f>IF(AV$14=1,'Inputs (2)'!AV27,AU40)</f>
        <v>0</v>
      </c>
      <c r="AW40" s="77">
        <f>AV40</f>
        <v>0</v>
      </c>
      <c r="AX40" s="82">
        <f>IF(AX$14=1,'Inputs (2)'!AX27,AV40)</f>
        <v>0</v>
      </c>
      <c r="AY40" s="82">
        <f>IF(AY$14=1,'Inputs (2)'!AY27,AX40)</f>
        <v>0</v>
      </c>
      <c r="AZ40" s="82">
        <f>IF(AZ$14=1,'Inputs (2)'!AZ27,AY40)</f>
        <v>0</v>
      </c>
      <c r="BA40" s="82">
        <f>IF(BA$14=1,'Inputs (2)'!BA27,AZ40)</f>
        <v>0</v>
      </c>
      <c r="BB40" s="77">
        <f>BA40</f>
        <v>0</v>
      </c>
      <c r="BC40" s="82">
        <f>IF(BC$14=1,'Inputs (2)'!BC27,BA40)</f>
        <v>0</v>
      </c>
      <c r="BD40" s="82">
        <f>IF(BD$14=1,'Inputs (2)'!BD27,BC40)</f>
        <v>0</v>
      </c>
      <c r="BE40" s="82">
        <f>IF(BE$14=1,'Inputs (2)'!BE27,BD40)</f>
        <v>0</v>
      </c>
      <c r="BF40" s="82">
        <f>IF(BF$14=1,'Inputs (2)'!BF27,BE40)</f>
        <v>0</v>
      </c>
      <c r="BG40" s="77">
        <f>BF40</f>
        <v>0</v>
      </c>
    </row>
    <row r="41">
      <c r="C41" s="80" t="inlineStr">
        <is>
          <t>Ágio e Intangível</t>
        </is>
      </c>
      <c r="D41" s="81" t="inlineStr">
        <is>
          <t>Goodwill and Intangibles</t>
        </is>
      </c>
      <c r="E41" s="82">
        <f>'Inputs (2)'!E28</f>
        <v>0</v>
      </c>
      <c r="F41" s="82">
        <f>IF(F$14=1,'Inputs (2)'!F28,E41)</f>
        <v>0</v>
      </c>
      <c r="G41" s="82">
        <f>IF(G$14=1,'Inputs (2)'!G28,F41)</f>
        <v>0</v>
      </c>
      <c r="H41" s="82">
        <f>IF(H$14=1,'Inputs (2)'!H28,G41)</f>
        <v>0</v>
      </c>
      <c r="I41" s="77">
        <f>H41</f>
        <v>0</v>
      </c>
      <c r="J41" s="82">
        <f>IF(J$14=1,'Inputs (2)'!J28,H41)</f>
        <v>0</v>
      </c>
      <c r="K41" s="82">
        <f>IF(K$14=1,'Inputs (2)'!K28,J41)</f>
        <v>0</v>
      </c>
      <c r="L41" s="82">
        <f>IF(L$14=1,'Inputs (2)'!L28,K41)</f>
        <v>0</v>
      </c>
      <c r="M41" s="82">
        <f>IF(M$14=1,'Inputs (2)'!M28,L41)</f>
        <v>0</v>
      </c>
      <c r="N41" s="77">
        <f>M41</f>
        <v>0</v>
      </c>
      <c r="O41" s="82">
        <f>IF(O$14=1,'Inputs (2)'!O28,M41)</f>
        <v>0</v>
      </c>
      <c r="P41" s="82">
        <f>IF(P$14=1,'Inputs (2)'!P28,O41)</f>
        <v>0</v>
      </c>
      <c r="Q41" s="82">
        <f>IF(Q$14=1,'Inputs (2)'!Q28,P41)</f>
        <v>0</v>
      </c>
      <c r="R41" s="82">
        <f>IF(R$14=1,'Inputs (2)'!R28,Q41)</f>
        <v>0</v>
      </c>
      <c r="S41" s="77">
        <f>R41</f>
        <v>0</v>
      </c>
      <c r="T41" s="82">
        <f>IF(T$14=1,'Inputs (2)'!T28,R41)</f>
        <v>0</v>
      </c>
      <c r="U41" s="82">
        <f>IF(U$14=1,'Inputs (2)'!U28,T41)</f>
        <v>0</v>
      </c>
      <c r="V41" s="82">
        <f>IF(V$14=1,'Inputs (2)'!V28,U41)</f>
        <v>0</v>
      </c>
      <c r="W41" s="82">
        <f>IF(W$14=1,'Inputs (2)'!W28,V41)</f>
        <v>0</v>
      </c>
      <c r="X41" s="77">
        <f>W41</f>
        <v>0</v>
      </c>
      <c r="Y41" s="82">
        <f>IF(Y$14=1,'Inputs (2)'!Y28,W41)</f>
        <v>0</v>
      </c>
      <c r="Z41" s="82">
        <f>IF(Z$14=1,'Inputs (2)'!Z28,Y41)</f>
        <v>0</v>
      </c>
      <c r="AA41" s="82">
        <f>IF(AA$14=1,'Inputs (2)'!AA28,Z41)</f>
        <v>0</v>
      </c>
      <c r="AB41" s="82">
        <f>IF(AB$14=1,'Inputs (2)'!AB28,AA41)</f>
        <v>0</v>
      </c>
      <c r="AC41" s="77">
        <f>AB41</f>
        <v>0</v>
      </c>
      <c r="AD41" s="82">
        <f>IF(AD$14=1,'Inputs (2)'!AD28,AB41)</f>
        <v>0</v>
      </c>
      <c r="AE41" s="82">
        <f>IF(AE$14=1,'Inputs (2)'!AE28,AD41)</f>
        <v>0</v>
      </c>
      <c r="AF41" s="82">
        <f>IF(AF$14=1,'Inputs (2)'!AF28,AE41)</f>
        <v>0</v>
      </c>
      <c r="AG41" s="82">
        <f>IF(AG$14=1,'Inputs (2)'!AG28,AF41)</f>
        <v>0</v>
      </c>
      <c r="AH41" s="77">
        <f>AG41</f>
        <v>0</v>
      </c>
      <c r="AI41" s="82">
        <f>IF(AI$14=1,'Inputs (2)'!AI28,AG41)</f>
        <v>0</v>
      </c>
      <c r="AJ41" s="82">
        <f>IF(AJ$14=1,'Inputs (2)'!AJ28,AI41)</f>
        <v>0</v>
      </c>
      <c r="AK41" s="82">
        <f>IF(AK$14=1,'Inputs (2)'!AK28,AJ41)</f>
        <v>0</v>
      </c>
      <c r="AL41" s="82">
        <f>IF(AL$14=1,'Inputs (2)'!AL28,AK41)</f>
        <v>0</v>
      </c>
      <c r="AM41" s="77">
        <f>AL41</f>
        <v>0</v>
      </c>
      <c r="AN41" s="82">
        <f>IF(AN$14=1,'Inputs (2)'!AN28,AL41)</f>
        <v>0</v>
      </c>
      <c r="AO41" s="82">
        <f>IF(AO$14=1,'Inputs (2)'!AO28,AN41)</f>
        <v>0</v>
      </c>
      <c r="AP41" s="82">
        <f>IF(AP$14=1,'Inputs (2)'!AP28,AO41)</f>
        <v>0</v>
      </c>
      <c r="AQ41" s="82">
        <f>IF(AQ$14=1,'Inputs (2)'!AQ28,AP41)</f>
        <v>0</v>
      </c>
      <c r="AR41" s="77">
        <f>AQ41</f>
        <v>0</v>
      </c>
      <c r="AS41" s="82">
        <f>IF(AS$14=1,'Inputs (2)'!AS28,AQ41)</f>
        <v>0</v>
      </c>
      <c r="AT41" s="82">
        <f>IF(AT$14=1,'Inputs (2)'!AT28,AS41)</f>
        <v>0</v>
      </c>
      <c r="AU41" s="82">
        <f>IF(AU$14=1,'Inputs (2)'!AU28,AT41)</f>
        <v>0</v>
      </c>
      <c r="AV41" s="82">
        <f>IF(AV$14=1,'Inputs (2)'!AV28,AU41)</f>
        <v>0</v>
      </c>
      <c r="AW41" s="77">
        <f>AV41</f>
        <v>0</v>
      </c>
      <c r="AX41" s="82">
        <f>IF(AX$14=1,'Inputs (2)'!AX28,AV41)</f>
        <v>0</v>
      </c>
      <c r="AY41" s="82">
        <f>IF(AY$14=1,'Inputs (2)'!AY28,AX41)</f>
        <v>0</v>
      </c>
      <c r="AZ41" s="82">
        <f>IF(AZ$14=1,'Inputs (2)'!AZ28,AY41)</f>
        <v>0</v>
      </c>
      <c r="BA41" s="82">
        <f>IF(BA$14=1,'Inputs (2)'!BA28,AZ41)</f>
        <v>0</v>
      </c>
      <c r="BB41" s="77">
        <f>BA41</f>
        <v>0</v>
      </c>
      <c r="BC41" s="82">
        <f>IF(BC$14=1,'Inputs (2)'!BC28,BA41)</f>
        <v>0</v>
      </c>
      <c r="BD41" s="82">
        <f>IF(BD$14=1,'Inputs (2)'!BD28,BC41)</f>
        <v>0</v>
      </c>
      <c r="BE41" s="82">
        <f>IF(BE$14=1,'Inputs (2)'!BE28,BD41)</f>
        <v>0</v>
      </c>
      <c r="BF41" s="82">
        <f>IF(BF$14=1,'Inputs (2)'!BF28,BE41)</f>
        <v>0</v>
      </c>
      <c r="BG41" s="77">
        <f>BF41</f>
        <v>0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200357.046614</v>
      </c>
      <c r="F42" s="59">
        <f>F18+F19+F24+F29+F30+F34+F35+F36+F37+F40+F41</f>
        <v>230411.174884</v>
      </c>
      <c r="G42" s="59">
        <f>G18+G19+G24+G29+G30+G34+G35+G36+G37+G40+G41</f>
        <v>253211.885712</v>
      </c>
      <c r="H42" s="59">
        <f>H18+H19+H24+H29+H30+H34+H35+H36+H37+H40+H41</f>
        <v>244925.336966</v>
      </c>
      <c r="I42" s="60">
        <f>H42</f>
        <v>244925.336966</v>
      </c>
      <c r="J42" s="59">
        <f>J18+J19+J24+J29+J30+J34+J35+J36+J37+J40+J41</f>
        <v>279803.727459</v>
      </c>
      <c r="K42" s="59">
        <f>K18+K19+K24+K29+K30+K34+K35+K36+K37+K40+K41</f>
        <v>335195.34021</v>
      </c>
      <c r="L42" s="59">
        <f>L18+L19+L24+L29+L30+L34+L35+L36+L37+L40+L41</f>
        <v>372234.683895</v>
      </c>
      <c r="M42" s="59">
        <f>M18+M19+M24+M29+M30+M34+M35+M36+M37+M40+M41</f>
        <v>346142.66944</v>
      </c>
      <c r="N42" s="60">
        <f>M42</f>
        <v>346142.66944</v>
      </c>
      <c r="O42" s="59">
        <f>O18+O19+O24+O29+O30+O34+O35+O36+O37+O40+O41</f>
        <v>391349.059781</v>
      </c>
      <c r="P42" s="59">
        <f>P18+P19+P24+P29+P30+P34+P35+P36+P37+P40+P41</f>
        <v>454826.689151</v>
      </c>
      <c r="Q42" s="59">
        <f>Q18+Q19+Q24+Q29+Q30+Q34+Q35+Q36+Q37+Q40+Q41</f>
        <v>439904.717377</v>
      </c>
      <c r="R42" s="59">
        <f>R18+R19+R24+R29+R30+R34+R35+R36+R37+R40+R41</f>
        <v>450612.087598</v>
      </c>
      <c r="S42" s="60">
        <f>R42</f>
        <v>450612.087598</v>
      </c>
      <c r="T42" s="59">
        <f>T18+T19+T24+T29+T30+T34+T35+T36+T37+T40+T41</f>
        <v>470401.476</v>
      </c>
      <c r="U42" s="59">
        <f>U18+U19+U24+U29+U30+U34+U35+U36+U37+U40+U41</f>
        <v>474552.148</v>
      </c>
      <c r="V42" s="59">
        <f>V18+V19+V24+V29+V30+V34+V35+V36+V37+V40+V41</f>
        <v>496439.124</v>
      </c>
      <c r="W42" s="59">
        <f>W18+W19+W24+W29+W30+W34+W35+W36+W37+W40+W41</f>
        <v>493232.849</v>
      </c>
      <c r="X42" s="60">
        <f>W42</f>
        <v>493232.849</v>
      </c>
      <c r="Y42" s="59">
        <f>Y18+Y19+Y24+Y29+Y30+Y34+Y35+Y36+Y37+Y40+Y41</f>
        <v>567677.286</v>
      </c>
      <c r="Z42" s="59">
        <f>Z18+Z19+Z24+Z29+Z30+Z34+Z35+Z36+Z37+Z40+Z41</f>
        <v>600362.635</v>
      </c>
      <c r="AA42" s="59">
        <f>AA18+AA19+AA24+AA29+AA30+AA34+AA35+AA36+AA37+AA40+AA41</f>
        <v>611387.03</v>
      </c>
      <c r="AB42" s="59">
        <f>AB18+AB19+AB24+AB29+AB30+AB34+AB35+AB36+AB37+AB40+AB41</f>
        <v>587163.888829</v>
      </c>
      <c r="AC42" s="60">
        <f>AB42</f>
        <v>587163.888829</v>
      </c>
      <c r="AD42" s="59">
        <f>AD18+AD19+AD24+AD29+AD30+AD34+AD35+AD36+AD37+AD40+AD41</f>
        <v>608441.721</v>
      </c>
      <c r="AE42" s="59">
        <f>AE18+AE19+AE24+AE29+AE30+AE34+AE35+AE36+AE37+AE40+AE41</f>
        <v>656071.35</v>
      </c>
      <c r="AF42" s="59">
        <f>AF18+AF19+AF24+AF29+AF30+AF34+AF35+AF36+AF37+AF40+AF41</f>
        <v>684960.022</v>
      </c>
      <c r="AG42" s="59">
        <f>AG18+AG19+AG24+AG29+AG30+AG34+AG35+AG36+AG37+AG40+AG41</f>
        <v>805968.339</v>
      </c>
      <c r="AH42" s="60">
        <f>AG42</f>
        <v>805968.339</v>
      </c>
      <c r="AI42" s="59">
        <f>AI18+AI19+AI24+AI29+AI30+AI34+AI35+AI36+AI37+AI40+AI41</f>
        <v>845574.803</v>
      </c>
      <c r="AJ42" s="59">
        <f>AJ18+AJ19+AJ24+AJ29+AJ30+AJ34+AJ35+AJ36+AJ37+AJ40+AJ41</f>
        <v>925218.566</v>
      </c>
      <c r="AK42" s="59">
        <f>AK18+AK19+AK24+AK29+AK30+AK34+AK35+AK36+AK37+AK40+AK41</f>
        <v>925218.566</v>
      </c>
      <c r="AL42" s="59">
        <f>AL18+AL19+AL24+AL29+AL30+AL34+AL35+AL36+AL37+AL40+AL41</f>
        <v>925218.566</v>
      </c>
      <c r="AM42" s="60">
        <f>AL42</f>
        <v>925218.566</v>
      </c>
      <c r="AN42" s="59">
        <f>AN18+AN19+AN24+AN29+AN30+AN34+AN35+AN36+AN37+AN40+AN41</f>
        <v>925218.566</v>
      </c>
      <c r="AO42" s="59">
        <f>AO18+AO19+AO24+AO29+AO30+AO34+AO35+AO36+AO37+AO40+AO41</f>
        <v>925218.566</v>
      </c>
      <c r="AP42" s="59">
        <f>AP18+AP19+AP24+AP29+AP30+AP34+AP35+AP36+AP37+AP40+AP41</f>
        <v>925218.566</v>
      </c>
      <c r="AQ42" s="59">
        <f>AQ18+AQ19+AQ24+AQ29+AQ30+AQ34+AQ35+AQ36+AQ37+AQ40+AQ41</f>
        <v>925218.566</v>
      </c>
      <c r="AR42" s="60">
        <f>AQ42</f>
        <v>925218.566</v>
      </c>
      <c r="AS42" s="59">
        <f>AS18+AS19+AS24+AS29+AS30+AS34+AS35+AS36+AS37+AS40+AS41</f>
        <v>925218.566</v>
      </c>
      <c r="AT42" s="59">
        <f>AT18+AT19+AT24+AT29+AT30+AT34+AT35+AT36+AT37+AT40+AT41</f>
        <v>925218.566</v>
      </c>
      <c r="AU42" s="59">
        <f>AU18+AU19+AU24+AU29+AU30+AU34+AU35+AU36+AU37+AU40+AU41</f>
        <v>925218.566</v>
      </c>
      <c r="AV42" s="59">
        <f>AV18+AV19+AV24+AV29+AV30+AV34+AV35+AV36+AV37+AV40+AV41</f>
        <v>925218.566</v>
      </c>
      <c r="AW42" s="60">
        <f>AV42</f>
        <v>925218.566</v>
      </c>
      <c r="AX42" s="59">
        <f>AX18+AX19+AX24+AX29+AX30+AX34+AX35+AX36+AX37+AX40+AX41</f>
        <v>925218.566</v>
      </c>
      <c r="AY42" s="59">
        <f>AY18+AY19+AY24+AY29+AY30+AY34+AY35+AY36+AY37+AY40+AY41</f>
        <v>925218.566</v>
      </c>
      <c r="AZ42" s="59">
        <f>AZ18+AZ19+AZ24+AZ29+AZ30+AZ34+AZ35+AZ36+AZ37+AZ40+AZ41</f>
        <v>925218.566</v>
      </c>
      <c r="BA42" s="59">
        <f>BA18+BA19+BA24+BA29+BA30+BA34+BA35+BA36+BA37+BA40+BA41</f>
        <v>925218.566</v>
      </c>
      <c r="BB42" s="60">
        <f>BA42</f>
        <v>925218.566</v>
      </c>
      <c r="BC42" s="59">
        <f>BC18+BC19+BC24+BC29+BC30+BC34+BC35+BC36+BC37+BC40+BC41</f>
        <v>925218.566</v>
      </c>
      <c r="BD42" s="59">
        <f>BD18+BD19+BD24+BD29+BD30+BD34+BD35+BD36+BD37+BD40+BD41</f>
        <v>925218.566</v>
      </c>
      <c r="BE42" s="59">
        <f>BE18+BE19+BE24+BE29+BE30+BE34+BE35+BE36+BE37+BE40+BE41</f>
        <v>925218.566</v>
      </c>
      <c r="BF42" s="59">
        <f>BF18+BF19+BF24+BF29+BF30+BF34+BF35+BF36+BF37+BF40+BF41</f>
        <v>925218.566</v>
      </c>
      <c r="BG42" s="60">
        <f>BF42</f>
        <v>925218.566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24912.340654</v>
      </c>
      <c r="F44" s="85">
        <f>F45+F46+F47+F48+F49</f>
        <v>38428.598984</v>
      </c>
      <c r="G44" s="85">
        <f>G45+G46+G47+G48+G49</f>
        <v>52495.199546</v>
      </c>
      <c r="H44" s="85">
        <f>H45+H46+H47+H48+H49</f>
        <v>56964.334237</v>
      </c>
      <c r="I44" s="60">
        <f>H44</f>
        <v>56964.334237</v>
      </c>
      <c r="J44" s="85">
        <f>J45+J46+J47+J48+J49</f>
        <v>62793.797768</v>
      </c>
      <c r="K44" s="85">
        <f>K45+K46+K47+K48+K49</f>
        <v>97775.534437</v>
      </c>
      <c r="L44" s="85">
        <f>L45+L46+L47+L48+L49</f>
        <v>114133.119824</v>
      </c>
      <c r="M44" s="85">
        <f>M45+M46+M47+M48+M49</f>
        <v>109554.771336</v>
      </c>
      <c r="N44" s="60">
        <f>M44</f>
        <v>109554.771336</v>
      </c>
      <c r="O44" s="85">
        <f>O45+O46+O47+O48+O49</f>
        <v>107202.07082</v>
      </c>
      <c r="P44" s="85">
        <f>P45+P46+P47+P48+P49</f>
        <v>112604.01044</v>
      </c>
      <c r="Q44" s="85">
        <f>Q45+Q46+Q47+Q48+Q49</f>
        <v>115490.906119</v>
      </c>
      <c r="R44" s="85">
        <f>R45+R46+R47+R48+R49</f>
        <v>115749.671751</v>
      </c>
      <c r="S44" s="60">
        <f>R44</f>
        <v>115749.671751</v>
      </c>
      <c r="T44" s="85">
        <f>T45+T46+T47+T48+T49</f>
        <v>118309.723</v>
      </c>
      <c r="U44" s="85">
        <f>U45+U46+U47+U48+U49</f>
        <v>124030.275</v>
      </c>
      <c r="V44" s="85">
        <f>V45+V46+V47+V48+V49</f>
        <v>129490.998</v>
      </c>
      <c r="W44" s="85">
        <f>W45+W46+W47+W48+W49</f>
        <v>133273.103</v>
      </c>
      <c r="X44" s="60">
        <f>W44</f>
        <v>133273.103</v>
      </c>
      <c r="Y44" s="85">
        <f>Y45+Y46+Y47+Y48+Y49</f>
        <v>150565.998</v>
      </c>
      <c r="Z44" s="85">
        <f>Z45+Z46+Z47+Z48+Z49</f>
        <v>152982.557</v>
      </c>
      <c r="AA44" s="85">
        <f>AA45+AA46+AA47+AA48+AA49</f>
        <v>153616.642</v>
      </c>
      <c r="AB44" s="85">
        <f>AB45+AB46+AB47+AB48+AB49</f>
        <v>149890.06</v>
      </c>
      <c r="AC44" s="60">
        <f>AB44</f>
        <v>149890.06</v>
      </c>
      <c r="AD44" s="85">
        <f>AD45+AD46+AD47+AD48+AD49</f>
        <v>144743.573</v>
      </c>
      <c r="AE44" s="85">
        <f>AE45+AE46+AE47+AE48+AE49</f>
        <v>148266.457</v>
      </c>
      <c r="AF44" s="85">
        <f>AF45+AF46+AF47+AF48+AF49</f>
        <v>168944.088</v>
      </c>
      <c r="AG44" s="85">
        <f>AG45+AG46+AG47+AG48+AG49</f>
        <v>176167.03</v>
      </c>
      <c r="AH44" s="60">
        <f>AG44</f>
        <v>176167.03</v>
      </c>
      <c r="AI44" s="85">
        <f>AI45+AI46+AI47+AI48+AI49</f>
        <v>190145.823</v>
      </c>
      <c r="AJ44" s="85">
        <f>AJ45+AJ46+AJ47+AJ48+AJ49</f>
        <v>206472.06</v>
      </c>
      <c r="AK44" s="85">
        <f>AK45+AK46+AK47+AK48+AK49</f>
        <v>206472.06</v>
      </c>
      <c r="AL44" s="85">
        <f>AL45+AL46+AL47+AL48+AL49</f>
        <v>206472.06</v>
      </c>
      <c r="AM44" s="60">
        <f>AL44</f>
        <v>206472.06</v>
      </c>
      <c r="AN44" s="85">
        <f>AN45+AN46+AN47+AN48+AN49</f>
        <v>206472.06</v>
      </c>
      <c r="AO44" s="85">
        <f>AO45+AO46+AO47+AO48+AO49</f>
        <v>206472.06</v>
      </c>
      <c r="AP44" s="85">
        <f>AP45+AP46+AP47+AP48+AP49</f>
        <v>206472.06</v>
      </c>
      <c r="AQ44" s="85">
        <f>AQ45+AQ46+AQ47+AQ48+AQ49</f>
        <v>206472.06</v>
      </c>
      <c r="AR44" s="60">
        <f>AQ44</f>
        <v>206472.06</v>
      </c>
      <c r="AS44" s="85">
        <f>AS45+AS46+AS47+AS48+AS49</f>
        <v>206472.06</v>
      </c>
      <c r="AT44" s="85">
        <f>AT45+AT46+AT47+AT48+AT49</f>
        <v>206472.06</v>
      </c>
      <c r="AU44" s="85">
        <f>AU45+AU46+AU47+AU48+AU49</f>
        <v>206472.06</v>
      </c>
      <c r="AV44" s="85">
        <f>AV45+AV46+AV47+AV48+AV49</f>
        <v>206472.06</v>
      </c>
      <c r="AW44" s="60">
        <f>AV44</f>
        <v>206472.06</v>
      </c>
      <c r="AX44" s="85">
        <f>AX45+AX46+AX47+AX48+AX49</f>
        <v>206472.06</v>
      </c>
      <c r="AY44" s="85">
        <f>AY45+AY46+AY47+AY48+AY49</f>
        <v>206472.06</v>
      </c>
      <c r="AZ44" s="85">
        <f>AZ45+AZ46+AZ47+AZ48+AZ49</f>
        <v>206472.06</v>
      </c>
      <c r="BA44" s="85">
        <f>BA45+BA46+BA47+BA48+BA49</f>
        <v>206472.06</v>
      </c>
      <c r="BB44" s="60">
        <f>BA44</f>
        <v>206472.06</v>
      </c>
      <c r="BC44" s="85">
        <f>BC45+BC46+BC47+BC48+BC49</f>
        <v>206472.06</v>
      </c>
      <c r="BD44" s="85">
        <f>BD45+BD46+BD47+BD48+BD49</f>
        <v>206472.06</v>
      </c>
      <c r="BE44" s="85">
        <f>BE45+BE46+BE47+BE48+BE49</f>
        <v>206472.06</v>
      </c>
      <c r="BF44" s="85">
        <f>BF45+BF46+BF47+BF48+BF49</f>
        <v>206472.06</v>
      </c>
      <c r="BG44" s="60">
        <f>BF44</f>
        <v>206472.06</v>
      </c>
    </row>
    <row r="45" hidden="1" outlineLevel="1">
      <c r="C45" s="61" t="inlineStr">
        <is>
          <t>Depósitos à Vista</t>
        </is>
      </c>
      <c r="D45" s="62" t="inlineStr">
        <is>
          <t>Demand Deposits</t>
        </is>
      </c>
      <c r="E45" s="57">
        <f>'Inputs (2)'!E33</f>
        <v>0</v>
      </c>
      <c r="F45" s="57">
        <f>IF(F$14=1,'Inputs (2)'!F33,E45*(1+Inputs!F$277))</f>
        <v>0</v>
      </c>
      <c r="G45" s="57">
        <f>IF(G$14=1,'Inputs (2)'!G33,F45*(1+Inputs!G$277))</f>
        <v>0</v>
      </c>
      <c r="H45" s="57">
        <f>IF(H$14=1,'Inputs (2)'!H33,G45*(1+Inputs!H$277))</f>
        <v>0</v>
      </c>
      <c r="I45" s="77">
        <f>H45</f>
        <v>0</v>
      </c>
      <c r="J45" s="57">
        <f>IF(J$14=1,'Inputs (2)'!J33,H45*(1+Inputs!J$277))</f>
        <v>0</v>
      </c>
      <c r="K45" s="57">
        <f>IF(K$14=1,'Inputs (2)'!K33,J45*(1+Inputs!K$277))</f>
        <v>0</v>
      </c>
      <c r="L45" s="57">
        <f>IF(L$14=1,'Inputs (2)'!L33,K45*(1+Inputs!L$277))</f>
        <v>0</v>
      </c>
      <c r="M45" s="57">
        <f>IF(M$14=1,'Inputs (2)'!M33,L45*(1+Inputs!M$277))</f>
        <v>0</v>
      </c>
      <c r="N45" s="77">
        <f>M45</f>
        <v>0</v>
      </c>
      <c r="O45" s="57">
        <f>IF(O$14=1,'Inputs (2)'!O33,M45*(1+Inputs!O$277))</f>
        <v>0</v>
      </c>
      <c r="P45" s="57">
        <f>IF(P$14=1,'Inputs (2)'!P33,O45*(1+Inputs!P$277))</f>
        <v>0</v>
      </c>
      <c r="Q45" s="57">
        <f>IF(Q$14=1,'Inputs (2)'!Q33,P45*(1+Inputs!Q$277))</f>
        <v>0</v>
      </c>
      <c r="R45" s="57">
        <f>IF(R$14=1,'Inputs (2)'!R33,Q45*(1+Inputs!R$277))</f>
        <v>0</v>
      </c>
      <c r="S45" s="77">
        <f>R45</f>
        <v>0</v>
      </c>
      <c r="T45" s="57">
        <f>IF(T$14=1,'Inputs (2)'!T33,R45*(1+Inputs!T$277))</f>
        <v>0</v>
      </c>
      <c r="U45" s="57">
        <f>IF(U$14=1,'Inputs (2)'!U33,T45*(1+Inputs!U$277))</f>
        <v>0</v>
      </c>
      <c r="V45" s="57">
        <f>IF(V$14=1,'Inputs (2)'!V33,U45*(1+Inputs!V$277))</f>
        <v>0</v>
      </c>
      <c r="W45" s="57">
        <f>IF(W$14=1,'Inputs (2)'!W33,V45*(1+Inputs!W$277))</f>
        <v>0</v>
      </c>
      <c r="X45" s="77">
        <f>W45</f>
        <v>0</v>
      </c>
      <c r="Y45" s="57">
        <f>IF(Y$14=1,'Inputs (2)'!Y33,W45*(1+Inputs!Y$277))</f>
        <v>0</v>
      </c>
      <c r="Z45" s="57">
        <f>IF(Z$14=1,'Inputs (2)'!Z33,Y45*(1+Inputs!Z$277))</f>
        <v>0</v>
      </c>
      <c r="AA45" s="57">
        <f>IF(AA$14=1,'Inputs (2)'!AA33,Z45*(1+Inputs!AA$277))</f>
        <v>0</v>
      </c>
      <c r="AB45" s="57">
        <f>IF(AB$14=1,'Inputs (2)'!AB33,AA45*(1+Inputs!AB$277))</f>
        <v>0</v>
      </c>
      <c r="AC45" s="77">
        <f>AB45</f>
        <v>0</v>
      </c>
      <c r="AD45" s="57">
        <f>IF(AD$14=1,'Inputs (2)'!AD33,AB45*(1+Inputs!AD$277))</f>
        <v>0</v>
      </c>
      <c r="AE45" s="57">
        <f>IF(AE$14=1,'Inputs (2)'!AE33,AD45*(1+Inputs!AE$277))</f>
        <v>0</v>
      </c>
      <c r="AF45" s="57">
        <f>IF(AF$14=1,'Inputs (2)'!AF33,AE45*(1+Inputs!AF$277))</f>
        <v>0</v>
      </c>
      <c r="AG45" s="57">
        <f>IF(AG$14=1,'Inputs (2)'!AG33,AF45*(1+Inputs!AG$277))</f>
        <v>0</v>
      </c>
      <c r="AH45" s="77">
        <f>AG45</f>
        <v>0</v>
      </c>
      <c r="AI45" s="57">
        <f>IF(AI$14=1,'Inputs (2)'!AI33,AG45*(1+Inputs!AI$277))</f>
        <v>0</v>
      </c>
      <c r="AJ45" s="57">
        <f>IF(AJ$14=1,'Inputs (2)'!AJ33,AI45*(1+Inputs!AJ$277))</f>
        <v>0</v>
      </c>
      <c r="AK45" s="57">
        <f>IF(AK$14=1,'Inputs (2)'!AK33,AJ45*(1+Inputs!AK$277))</f>
        <v>0</v>
      </c>
      <c r="AL45" s="57">
        <f>IF(AL$14=1,'Inputs (2)'!AL33,AK45*(1+Inputs!AL$277))</f>
        <v>0</v>
      </c>
      <c r="AM45" s="77">
        <f>AL45</f>
        <v>0</v>
      </c>
      <c r="AN45" s="57">
        <f>IF(AN$14=1,'Inputs (2)'!AN33,AL45*(1+Inputs!AN$277))</f>
        <v>0</v>
      </c>
      <c r="AO45" s="57">
        <f>IF(AO$14=1,'Inputs (2)'!AO33,AN45*(1+Inputs!AO$277))</f>
        <v>0</v>
      </c>
      <c r="AP45" s="57">
        <f>IF(AP$14=1,'Inputs (2)'!AP33,AO45*(1+Inputs!AP$277))</f>
        <v>0</v>
      </c>
      <c r="AQ45" s="57">
        <f>IF(AQ$14=1,'Inputs (2)'!AQ33,AP45*(1+Inputs!AQ$277))</f>
        <v>0</v>
      </c>
      <c r="AR45" s="77">
        <f>AQ45</f>
        <v>0</v>
      </c>
      <c r="AS45" s="57">
        <f>IF(AS$14=1,'Inputs (2)'!AS33,AQ45*(1+Inputs!AS$277))</f>
        <v>0</v>
      </c>
      <c r="AT45" s="57">
        <f>IF(AT$14=1,'Inputs (2)'!AT33,AS45*(1+Inputs!AT$277))</f>
        <v>0</v>
      </c>
      <c r="AU45" s="57">
        <f>IF(AU$14=1,'Inputs (2)'!AU33,AT45*(1+Inputs!AU$277))</f>
        <v>0</v>
      </c>
      <c r="AV45" s="57">
        <f>IF(AV$14=1,'Inputs (2)'!AV33,AU45*(1+Inputs!AV$277))</f>
        <v>0</v>
      </c>
      <c r="AW45" s="77">
        <f>AV45</f>
        <v>0</v>
      </c>
      <c r="AX45" s="57">
        <f>IF(AX$14=1,'Inputs (2)'!AX33,AV45*(1+Inputs!AX$277))</f>
        <v>0</v>
      </c>
      <c r="AY45" s="57">
        <f>IF(AY$14=1,'Inputs (2)'!AY33,AX45*(1+Inputs!AY$277))</f>
        <v>0</v>
      </c>
      <c r="AZ45" s="57">
        <f>IF(AZ$14=1,'Inputs (2)'!AZ33,AY45*(1+Inputs!AZ$277))</f>
        <v>0</v>
      </c>
      <c r="BA45" s="57">
        <f>IF(BA$14=1,'Inputs (2)'!BA33,AZ45*(1+Inputs!BA$277))</f>
        <v>0</v>
      </c>
      <c r="BB45" s="77">
        <f>BA45</f>
        <v>0</v>
      </c>
      <c r="BC45" s="57">
        <f>IF(BC$14=1,'Inputs (2)'!BC33,BA45*(1+Inputs!BC$277))</f>
        <v>0</v>
      </c>
      <c r="BD45" s="57">
        <f>IF(BD$14=1,'Inputs (2)'!BD33,BC45*(1+Inputs!BD$277))</f>
        <v>0</v>
      </c>
      <c r="BE45" s="57">
        <f>IF(BE$14=1,'Inputs (2)'!BE33,BD45*(1+Inputs!BE$277))</f>
        <v>0</v>
      </c>
      <c r="BF45" s="57">
        <f>IF(BF$14=1,'Inputs (2)'!BF33,BE45*(1+Inputs!BF$277))</f>
        <v>0</v>
      </c>
      <c r="BG45" s="77">
        <f>BF45</f>
        <v>0</v>
      </c>
    </row>
    <row r="46" hidden="1" outlineLevel="1">
      <c r="C46" s="61" t="inlineStr">
        <is>
          <t>Depósitos de Poupança</t>
        </is>
      </c>
      <c r="D46" s="62" t="inlineStr">
        <is>
          <t>Savings Deposits</t>
        </is>
      </c>
      <c r="E46" s="57">
        <f>'Inputs (2)'!E34</f>
        <v>0</v>
      </c>
      <c r="F46" s="57">
        <f>IF(F$14=1,'Inputs (2)'!F34,E46*(1+Inputs!F$277))</f>
        <v>0</v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>H46</f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>M46</f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>R46</f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>W46</f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>AB46</f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>AG46</f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>AL46</f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>AQ46</f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>AV46</f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>BA46</f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>BF46</f>
        <v>0</v>
      </c>
    </row>
    <row r="47" hidden="1" outlineLevel="1">
      <c r="C47" s="61" t="inlineStr">
        <is>
          <t>Depósitos Interfinanceiros</t>
        </is>
      </c>
      <c r="D47" s="62" t="inlineStr">
        <is>
          <t>Interbank Deposits</t>
        </is>
      </c>
      <c r="E47" s="57">
        <f>'Inputs (2)'!E35</f>
        <v>0</v>
      </c>
      <c r="F47" s="57">
        <f>IF(F$14=1,'Inputs (2)'!F35,E47*(1+Inputs!F$277))</f>
        <v>0</v>
      </c>
      <c r="G47" s="57">
        <f>IF(G$14=1,'Inputs (2)'!G35,F47*(1+Inputs!G$277))</f>
        <v>0</v>
      </c>
      <c r="H47" s="57">
        <f>IF(H$14=1,'Inputs (2)'!H35,G47*(1+Inputs!H$277))</f>
        <v>0</v>
      </c>
      <c r="I47" s="77">
        <f>H47</f>
        <v>0</v>
      </c>
      <c r="J47" s="57">
        <f>IF(J$14=1,'Inputs (2)'!J35,H47*(1+Inputs!J$277))</f>
        <v>0</v>
      </c>
      <c r="K47" s="57">
        <f>IF(K$14=1,'Inputs (2)'!K35,J47*(1+Inputs!K$277))</f>
        <v>0</v>
      </c>
      <c r="L47" s="57">
        <f>IF(L$14=1,'Inputs (2)'!L35,K47*(1+Inputs!L$277))</f>
        <v>0</v>
      </c>
      <c r="M47" s="57">
        <f>IF(M$14=1,'Inputs (2)'!M35,L47*(1+Inputs!M$277))</f>
        <v>0</v>
      </c>
      <c r="N47" s="77">
        <f>M47</f>
        <v>0</v>
      </c>
      <c r="O47" s="57">
        <f>IF(O$14=1,'Inputs (2)'!O35,M47*(1+Inputs!O$277))</f>
        <v>0</v>
      </c>
      <c r="P47" s="57">
        <f>IF(P$14=1,'Inputs (2)'!P35,O47*(1+Inputs!P$277))</f>
        <v>0</v>
      </c>
      <c r="Q47" s="57">
        <f>IF(Q$14=1,'Inputs (2)'!Q35,P47*(1+Inputs!Q$277))</f>
        <v>0</v>
      </c>
      <c r="R47" s="57">
        <f>IF(R$14=1,'Inputs (2)'!R35,Q47*(1+Inputs!R$277))</f>
        <v>0</v>
      </c>
      <c r="S47" s="77">
        <f>R47</f>
        <v>0</v>
      </c>
      <c r="T47" s="57">
        <f>IF(T$14=1,'Inputs (2)'!T35,R47*(1+Inputs!T$277))</f>
        <v>0</v>
      </c>
      <c r="U47" s="57">
        <f>IF(U$14=1,'Inputs (2)'!U35,T47*(1+Inputs!U$277))</f>
        <v>0</v>
      </c>
      <c r="V47" s="57">
        <f>IF(V$14=1,'Inputs (2)'!V35,U47*(1+Inputs!V$277))</f>
        <v>0</v>
      </c>
      <c r="W47" s="57">
        <f>IF(W$14=1,'Inputs (2)'!W35,V47*(1+Inputs!W$277))</f>
        <v>0</v>
      </c>
      <c r="X47" s="77">
        <f>W47</f>
        <v>0</v>
      </c>
      <c r="Y47" s="57">
        <f>IF(Y$14=1,'Inputs (2)'!Y35,W47*(1+Inputs!Y$277))</f>
        <v>0</v>
      </c>
      <c r="Z47" s="57">
        <f>IF(Z$14=1,'Inputs (2)'!Z35,Y47*(1+Inputs!Z$277))</f>
        <v>0</v>
      </c>
      <c r="AA47" s="57">
        <f>IF(AA$14=1,'Inputs (2)'!AA35,Z47*(1+Inputs!AA$277))</f>
        <v>0</v>
      </c>
      <c r="AB47" s="57">
        <f>IF(AB$14=1,'Inputs (2)'!AB35,AA47*(1+Inputs!AB$277))</f>
        <v>0</v>
      </c>
      <c r="AC47" s="77">
        <f>AB47</f>
        <v>0</v>
      </c>
      <c r="AD47" s="57">
        <f>IF(AD$14=1,'Inputs (2)'!AD35,AB47*(1+Inputs!AD$277))</f>
        <v>0</v>
      </c>
      <c r="AE47" s="57">
        <f>IF(AE$14=1,'Inputs (2)'!AE35,AD47*(1+Inputs!AE$277))</f>
        <v>0</v>
      </c>
      <c r="AF47" s="57">
        <f>IF(AF$14=1,'Inputs (2)'!AF35,AE47*(1+Inputs!AF$277))</f>
        <v>0</v>
      </c>
      <c r="AG47" s="57">
        <f>IF(AG$14=1,'Inputs (2)'!AG35,AF47*(1+Inputs!AG$277))</f>
        <v>0</v>
      </c>
      <c r="AH47" s="77">
        <f>AG47</f>
        <v>0</v>
      </c>
      <c r="AI47" s="57">
        <f>IF(AI$14=1,'Inputs (2)'!AI35,AG47*(1+Inputs!AI$277))</f>
        <v>0</v>
      </c>
      <c r="AJ47" s="57">
        <f>IF(AJ$14=1,'Inputs (2)'!AJ35,AI47*(1+Inputs!AJ$277))</f>
        <v>0</v>
      </c>
      <c r="AK47" s="57">
        <f>IF(AK$14=1,'Inputs (2)'!AK35,AJ47*(1+Inputs!AK$277))</f>
        <v>0</v>
      </c>
      <c r="AL47" s="57">
        <f>IF(AL$14=1,'Inputs (2)'!AL35,AK47*(1+Inputs!AL$277))</f>
        <v>0</v>
      </c>
      <c r="AM47" s="77">
        <f>AL47</f>
        <v>0</v>
      </c>
      <c r="AN47" s="57">
        <f>IF(AN$14=1,'Inputs (2)'!AN35,AL47*(1+Inputs!AN$277))</f>
        <v>0</v>
      </c>
      <c r="AO47" s="57">
        <f>IF(AO$14=1,'Inputs (2)'!AO35,AN47*(1+Inputs!AO$277))</f>
        <v>0</v>
      </c>
      <c r="AP47" s="57">
        <f>IF(AP$14=1,'Inputs (2)'!AP35,AO47*(1+Inputs!AP$277))</f>
        <v>0</v>
      </c>
      <c r="AQ47" s="57">
        <f>IF(AQ$14=1,'Inputs (2)'!AQ35,AP47*(1+Inputs!AQ$277))</f>
        <v>0</v>
      </c>
      <c r="AR47" s="77">
        <f>AQ47</f>
        <v>0</v>
      </c>
      <c r="AS47" s="57">
        <f>IF(AS$14=1,'Inputs (2)'!AS35,AQ47*(1+Inputs!AS$277))</f>
        <v>0</v>
      </c>
      <c r="AT47" s="57">
        <f>IF(AT$14=1,'Inputs (2)'!AT35,AS47*(1+Inputs!AT$277))</f>
        <v>0</v>
      </c>
      <c r="AU47" s="57">
        <f>IF(AU$14=1,'Inputs (2)'!AU35,AT47*(1+Inputs!AU$277))</f>
        <v>0</v>
      </c>
      <c r="AV47" s="57">
        <f>IF(AV$14=1,'Inputs (2)'!AV35,AU47*(1+Inputs!AV$277))</f>
        <v>0</v>
      </c>
      <c r="AW47" s="77">
        <f>AV47</f>
        <v>0</v>
      </c>
      <c r="AX47" s="57">
        <f>IF(AX$14=1,'Inputs (2)'!AX35,AV47*(1+Inputs!AX$277))</f>
        <v>0</v>
      </c>
      <c r="AY47" s="57">
        <f>IF(AY$14=1,'Inputs (2)'!AY35,AX47*(1+Inputs!AY$277))</f>
        <v>0</v>
      </c>
      <c r="AZ47" s="57">
        <f>IF(AZ$14=1,'Inputs (2)'!AZ35,AY47*(1+Inputs!AZ$277))</f>
        <v>0</v>
      </c>
      <c r="BA47" s="57">
        <f>IF(BA$14=1,'Inputs (2)'!BA35,AZ47*(1+Inputs!BA$277))</f>
        <v>0</v>
      </c>
      <c r="BB47" s="77">
        <f>BA47</f>
        <v>0</v>
      </c>
      <c r="BC47" s="57">
        <f>IF(BC$14=1,'Inputs (2)'!BC35,BA47*(1+Inputs!BC$277))</f>
        <v>0</v>
      </c>
      <c r="BD47" s="57">
        <f>IF(BD$14=1,'Inputs (2)'!BD35,BC47*(1+Inputs!BD$277))</f>
        <v>0</v>
      </c>
      <c r="BE47" s="57">
        <f>IF(BE$14=1,'Inputs (2)'!BE35,BD47*(1+Inputs!BE$277))</f>
        <v>0</v>
      </c>
      <c r="BF47" s="57">
        <f>IF(BF$14=1,'Inputs (2)'!BF35,BE47*(1+Inputs!BF$277))</f>
        <v>0</v>
      </c>
      <c r="BG47" s="77">
        <f>BF47</f>
        <v>0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24912.340654</v>
      </c>
      <c r="F48" s="57">
        <f>IF(F$14=1,'Inputs (2)'!F36,E48*(1+Inputs!F$277))</f>
        <v>38428.598984</v>
      </c>
      <c r="G48" s="57">
        <f>IF(G$14=1,'Inputs (2)'!G36,F48*(1+Inputs!G$277))</f>
        <v>52495.199546</v>
      </c>
      <c r="H48" s="57">
        <f>IF(H$14=1,'Inputs (2)'!H36,G48*(1+Inputs!H$277))</f>
        <v>56964.334237</v>
      </c>
      <c r="I48" s="77">
        <f>H48</f>
        <v>56964.334237</v>
      </c>
      <c r="J48" s="57">
        <f>IF(J$14=1,'Inputs (2)'!J36,H48*(1+Inputs!J$277))</f>
        <v>62793.797768</v>
      </c>
      <c r="K48" s="57">
        <f>IF(K$14=1,'Inputs (2)'!K36,J48*(1+Inputs!K$277))</f>
        <v>97775.534437</v>
      </c>
      <c r="L48" s="57">
        <f>IF(L$14=1,'Inputs (2)'!L36,K48*(1+Inputs!L$277))</f>
        <v>114133.119824</v>
      </c>
      <c r="M48" s="57">
        <f>IF(M$14=1,'Inputs (2)'!M36,L48*(1+Inputs!M$277))</f>
        <v>109554.771336</v>
      </c>
      <c r="N48" s="77">
        <f>M48</f>
        <v>109554.771336</v>
      </c>
      <c r="O48" s="57">
        <f>IF(O$14=1,'Inputs (2)'!O36,M48*(1+Inputs!O$277))</f>
        <v>107202.07082</v>
      </c>
      <c r="P48" s="57">
        <f>IF(P$14=1,'Inputs (2)'!P36,O48*(1+Inputs!P$277))</f>
        <v>112604.01044</v>
      </c>
      <c r="Q48" s="57">
        <f>IF(Q$14=1,'Inputs (2)'!Q36,P48*(1+Inputs!Q$277))</f>
        <v>115490.906119</v>
      </c>
      <c r="R48" s="57">
        <f>IF(R$14=1,'Inputs (2)'!R36,Q48*(1+Inputs!R$277))</f>
        <v>115749.671751</v>
      </c>
      <c r="S48" s="77">
        <f>R48</f>
        <v>115749.671751</v>
      </c>
      <c r="T48" s="57">
        <f>IF(T$14=1,'Inputs (2)'!T36,R48*(1+Inputs!T$277))</f>
        <v>118309.723</v>
      </c>
      <c r="U48" s="57">
        <f>IF(U$14=1,'Inputs (2)'!U36,T48*(1+Inputs!U$277))</f>
        <v>124030.275</v>
      </c>
      <c r="V48" s="57">
        <f>IF(V$14=1,'Inputs (2)'!V36,U48*(1+Inputs!V$277))</f>
        <v>129490.998</v>
      </c>
      <c r="W48" s="57">
        <f>IF(W$14=1,'Inputs (2)'!W36,V48*(1+Inputs!W$277))</f>
        <v>133273.103</v>
      </c>
      <c r="X48" s="77">
        <f>W48</f>
        <v>133273.103</v>
      </c>
      <c r="Y48" s="57">
        <f>IF(Y$14=1,'Inputs (2)'!Y36,W48*(1+Inputs!Y$277))</f>
        <v>150565.998</v>
      </c>
      <c r="Z48" s="57">
        <f>IF(Z$14=1,'Inputs (2)'!Z36,Y48*(1+Inputs!Z$277))</f>
        <v>152982.557</v>
      </c>
      <c r="AA48" s="57">
        <f>IF(AA$14=1,'Inputs (2)'!AA36,Z48*(1+Inputs!AA$277))</f>
        <v>153616.642</v>
      </c>
      <c r="AB48" s="57">
        <f>IF(AB$14=1,'Inputs (2)'!AB36,AA48*(1+Inputs!AB$277))</f>
        <v>149890.06</v>
      </c>
      <c r="AC48" s="77">
        <f>AB48</f>
        <v>149890.06</v>
      </c>
      <c r="AD48" s="57">
        <f>IF(AD$14=1,'Inputs (2)'!AD36,AB48*(1+Inputs!AD$277))</f>
        <v>144743.573</v>
      </c>
      <c r="AE48" s="57">
        <f>IF(AE$14=1,'Inputs (2)'!AE36,AD48*(1+Inputs!AE$277))</f>
        <v>148266.457</v>
      </c>
      <c r="AF48" s="57">
        <f>IF(AF$14=1,'Inputs (2)'!AF36,AE48*(1+Inputs!AF$277))</f>
        <v>168944.088</v>
      </c>
      <c r="AG48" s="57">
        <f>IF(AG$14=1,'Inputs (2)'!AG36,AF48*(1+Inputs!AG$277))</f>
        <v>176167.03</v>
      </c>
      <c r="AH48" s="77">
        <f>AG48</f>
        <v>176167.03</v>
      </c>
      <c r="AI48" s="57">
        <f>IF(AI$14=1,'Inputs (2)'!AI36,AG48*(1+Inputs!AI$277))</f>
        <v>190145.823</v>
      </c>
      <c r="AJ48" s="57">
        <f>IF(AJ$14=1,'Inputs (2)'!AJ36,AI48*(1+Inputs!AJ$277))</f>
        <v>206472.06</v>
      </c>
      <c r="AK48" s="57">
        <f>IF(AK$14=1,'Inputs (2)'!AK36,AJ48*(1+Inputs!AK$277))</f>
        <v>206472.06</v>
      </c>
      <c r="AL48" s="57">
        <f>IF(AL$14=1,'Inputs (2)'!AL36,AK48*(1+Inputs!AL$277))</f>
        <v>206472.06</v>
      </c>
      <c r="AM48" s="77">
        <f>AL48</f>
        <v>206472.06</v>
      </c>
      <c r="AN48" s="57">
        <f>IF(AN$14=1,'Inputs (2)'!AN36,AL48*(1+Inputs!AN$277))</f>
        <v>206472.06</v>
      </c>
      <c r="AO48" s="57">
        <f>IF(AO$14=1,'Inputs (2)'!AO36,AN48*(1+Inputs!AO$277))</f>
        <v>206472.06</v>
      </c>
      <c r="AP48" s="57">
        <f>IF(AP$14=1,'Inputs (2)'!AP36,AO48*(1+Inputs!AP$277))</f>
        <v>206472.06</v>
      </c>
      <c r="AQ48" s="57">
        <f>IF(AQ$14=1,'Inputs (2)'!AQ36,AP48*(1+Inputs!AQ$277))</f>
        <v>206472.06</v>
      </c>
      <c r="AR48" s="77">
        <f>AQ48</f>
        <v>206472.06</v>
      </c>
      <c r="AS48" s="57">
        <f>IF(AS$14=1,'Inputs (2)'!AS36,AQ48*(1+Inputs!AS$277))</f>
        <v>206472.06</v>
      </c>
      <c r="AT48" s="57">
        <f>IF(AT$14=1,'Inputs (2)'!AT36,AS48*(1+Inputs!AT$277))</f>
        <v>206472.06</v>
      </c>
      <c r="AU48" s="57">
        <f>IF(AU$14=1,'Inputs (2)'!AU36,AT48*(1+Inputs!AU$277))</f>
        <v>206472.06</v>
      </c>
      <c r="AV48" s="57">
        <f>IF(AV$14=1,'Inputs (2)'!AV36,AU48*(1+Inputs!AV$277))</f>
        <v>206472.06</v>
      </c>
      <c r="AW48" s="77">
        <f>AV48</f>
        <v>206472.06</v>
      </c>
      <c r="AX48" s="57">
        <f>IF(AX$14=1,'Inputs (2)'!AX36,AV48*(1+Inputs!AX$277))</f>
        <v>206472.06</v>
      </c>
      <c r="AY48" s="57">
        <f>IF(AY$14=1,'Inputs (2)'!AY36,AX48*(1+Inputs!AY$277))</f>
        <v>206472.06</v>
      </c>
      <c r="AZ48" s="57">
        <f>IF(AZ$14=1,'Inputs (2)'!AZ36,AY48*(1+Inputs!AZ$277))</f>
        <v>206472.06</v>
      </c>
      <c r="BA48" s="57">
        <f>IF(BA$14=1,'Inputs (2)'!BA36,AZ48*(1+Inputs!BA$277))</f>
        <v>206472.06</v>
      </c>
      <c r="BB48" s="77">
        <f>BA48</f>
        <v>206472.06</v>
      </c>
      <c r="BC48" s="57">
        <f>IF(BC$14=1,'Inputs (2)'!BC36,BA48*(1+Inputs!BC$277))</f>
        <v>206472.06</v>
      </c>
      <c r="BD48" s="57">
        <f>IF(BD$14=1,'Inputs (2)'!BD36,BC48*(1+Inputs!BD$277))</f>
        <v>206472.06</v>
      </c>
      <c r="BE48" s="57">
        <f>IF(BE$14=1,'Inputs (2)'!BE36,BD48*(1+Inputs!BE$277))</f>
        <v>206472.06</v>
      </c>
      <c r="BF48" s="57">
        <f>IF(BF$14=1,'Inputs (2)'!BF36,BE48*(1+Inputs!BF$277))</f>
        <v>206472.06</v>
      </c>
      <c r="BG48" s="77">
        <f>BF48</f>
        <v>206472.06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(2)'!F37,E49*(1+Inputs!F$277))</f>
        <v>0</v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>H49</f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>M49</f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>R49</f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>W49</f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>AB49</f>
        <v>0</v>
      </c>
      <c r="AD49" s="57">
        <f>IF(AD$14=1,'Inputs (2)'!AD37,AB49*(1+Inputs!AD$277))</f>
        <v>0</v>
      </c>
      <c r="AE49" s="57">
        <f>IF(AE$14=1,'Inputs (2)'!AE37,AD49*(1+Inputs!AE$277))</f>
        <v>0</v>
      </c>
      <c r="AF49" s="57">
        <f>IF(AF$14=1,'Inputs (2)'!AF37,AE49*(1+Inputs!AF$277))</f>
        <v>0</v>
      </c>
      <c r="AG49" s="57">
        <f>IF(AG$14=1,'Inputs (2)'!AG37,AF49*(1+Inputs!AG$277))</f>
        <v>0</v>
      </c>
      <c r="AH49" s="77">
        <f>AG49</f>
        <v>0</v>
      </c>
      <c r="AI49" s="57">
        <f>IF(AI$14=1,'Inputs (2)'!AI37,AG49*(1+Inputs!AI$277))</f>
        <v>0</v>
      </c>
      <c r="AJ49" s="57">
        <f>IF(AJ$14=1,'Inputs (2)'!AJ37,AI49*(1+Inputs!AJ$277))</f>
        <v>0</v>
      </c>
      <c r="AK49" s="57">
        <f>IF(AK$14=1,'Inputs (2)'!AK37,AJ49*(1+Inputs!AK$277))</f>
        <v>0</v>
      </c>
      <c r="AL49" s="57">
        <f>IF(AL$14=1,'Inputs (2)'!AL37,AK49*(1+Inputs!AL$277))</f>
        <v>0</v>
      </c>
      <c r="AM49" s="77">
        <f>AL49</f>
        <v>0</v>
      </c>
      <c r="AN49" s="57">
        <f>IF(AN$14=1,'Inputs (2)'!AN37,AL49*(1+Inputs!AN$277))</f>
        <v>0</v>
      </c>
      <c r="AO49" s="57">
        <f>IF(AO$14=1,'Inputs (2)'!AO37,AN49*(1+Inputs!AO$277))</f>
        <v>0</v>
      </c>
      <c r="AP49" s="57">
        <f>IF(AP$14=1,'Inputs (2)'!AP37,AO49*(1+Inputs!AP$277))</f>
        <v>0</v>
      </c>
      <c r="AQ49" s="57">
        <f>IF(AQ$14=1,'Inputs (2)'!AQ37,AP49*(1+Inputs!AQ$277))</f>
        <v>0</v>
      </c>
      <c r="AR49" s="77">
        <f>AQ49</f>
        <v>0</v>
      </c>
      <c r="AS49" s="57">
        <f>IF(AS$14=1,'Inputs (2)'!AS37,AQ49*(1+Inputs!AS$277))</f>
        <v>0</v>
      </c>
      <c r="AT49" s="57">
        <f>IF(AT$14=1,'Inputs (2)'!AT37,AS49*(1+Inputs!AT$277))</f>
        <v>0</v>
      </c>
      <c r="AU49" s="57">
        <f>IF(AU$14=1,'Inputs (2)'!AU37,AT49*(1+Inputs!AU$277))</f>
        <v>0</v>
      </c>
      <c r="AV49" s="57">
        <f>IF(AV$14=1,'Inputs (2)'!AV37,AU49*(1+Inputs!AV$277))</f>
        <v>0</v>
      </c>
      <c r="AW49" s="77">
        <f>AV49</f>
        <v>0</v>
      </c>
      <c r="AX49" s="57">
        <f>IF(AX$14=1,'Inputs (2)'!AX37,AV49*(1+Inputs!AX$277))</f>
        <v>0</v>
      </c>
      <c r="AY49" s="57">
        <f>IF(AY$14=1,'Inputs (2)'!AY37,AX49*(1+Inputs!AY$277))</f>
        <v>0</v>
      </c>
      <c r="AZ49" s="57">
        <f>IF(AZ$14=1,'Inputs (2)'!AZ37,AY49*(1+Inputs!AZ$277))</f>
        <v>0</v>
      </c>
      <c r="BA49" s="57">
        <f>IF(BA$14=1,'Inputs (2)'!BA37,AZ49*(1+Inputs!BA$277))</f>
        <v>0</v>
      </c>
      <c r="BB49" s="77">
        <f>BA49</f>
        <v>0</v>
      </c>
      <c r="BC49" s="57">
        <f>IF(BC$14=1,'Inputs (2)'!BC37,BA49*(1+Inputs!BC$277))</f>
        <v>0</v>
      </c>
      <c r="BD49" s="57">
        <f>IF(BD$14=1,'Inputs (2)'!BD37,BC49*(1+Inputs!BD$277))</f>
        <v>0</v>
      </c>
      <c r="BE49" s="57">
        <f>IF(BE$14=1,'Inputs (2)'!BE37,BD49*(1+Inputs!BE$277))</f>
        <v>0</v>
      </c>
      <c r="BF49" s="57">
        <f>IF(BF$14=1,'Inputs (2)'!BF37,BE49*(1+Inputs!BF$277))</f>
        <v>0</v>
      </c>
      <c r="BG49" s="77">
        <f>BF49</f>
        <v>0</v>
      </c>
    </row>
    <row r="50" collapsed="1">
      <c r="C50" s="83" t="inlineStr">
        <is>
          <t>Captações no Mercado Aberto</t>
        </is>
      </c>
      <c r="D50" s="84" t="inlineStr">
        <is>
          <t>Open Market Funding</t>
        </is>
      </c>
      <c r="E50" s="85">
        <f>E51+E52+E53</f>
        <v>55035.52921</v>
      </c>
      <c r="F50" s="85">
        <f>F51+F52+F53</f>
        <v>49940.440696</v>
      </c>
      <c r="G50" s="85">
        <f>G51+G52+G53</f>
        <v>56049.778817</v>
      </c>
      <c r="H50" s="85">
        <f>H51+H52+H53</f>
        <v>60161.895695</v>
      </c>
      <c r="I50" s="60">
        <f>H50</f>
        <v>60161.895695</v>
      </c>
      <c r="J50" s="85">
        <f>J51+J52+J53</f>
        <v>54066.088143</v>
      </c>
      <c r="K50" s="85">
        <f>K51+K52+K53</f>
        <v>62908.367229</v>
      </c>
      <c r="L50" s="85">
        <f>L51+L52+L53</f>
        <v>77420.386681</v>
      </c>
      <c r="M50" s="85">
        <f>M51+M52+M53</f>
        <v>60160.547837</v>
      </c>
      <c r="N50" s="60">
        <f>M50</f>
        <v>60160.547837</v>
      </c>
      <c r="O50" s="85">
        <f>O51+O52+O53</f>
        <v>75886.278393</v>
      </c>
      <c r="P50" s="85">
        <f>P51+P52+P53</f>
        <v>89337.943777</v>
      </c>
      <c r="Q50" s="85">
        <f>Q51+Q52+Q53</f>
        <v>98400.789549</v>
      </c>
      <c r="R50" s="85">
        <f>R51+R52+R53</f>
        <v>87139.331976</v>
      </c>
      <c r="S50" s="60">
        <f>R50</f>
        <v>87139.331976</v>
      </c>
      <c r="T50" s="85">
        <f>T51+T52+T53</f>
        <v>91991.668</v>
      </c>
      <c r="U50" s="85">
        <f>U51+U52+U53</f>
        <v>98021.212</v>
      </c>
      <c r="V50" s="85">
        <f>V51+V52+V53</f>
        <v>103659.546</v>
      </c>
      <c r="W50" s="85">
        <f>W51+W52+W53</f>
        <v>97075.862</v>
      </c>
      <c r="X50" s="60">
        <f>W50</f>
        <v>97075.862</v>
      </c>
      <c r="Y50" s="85">
        <f>Y51+Y52+Y53</f>
        <v>114533.195</v>
      </c>
      <c r="Z50" s="85">
        <f>Z51+Z52+Z53</f>
        <v>131886.941</v>
      </c>
      <c r="AA50" s="85">
        <f>AA51+AA52+AA53</f>
        <v>122187.034</v>
      </c>
      <c r="AB50" s="85">
        <f>AB51+AB52+AB53</f>
        <v>113780.403</v>
      </c>
      <c r="AC50" s="60">
        <f>AB50</f>
        <v>113780.403</v>
      </c>
      <c r="AD50" s="85">
        <f>AD51+AD52+AD53</f>
        <v>111927.713</v>
      </c>
      <c r="AE50" s="85">
        <f>AE51+AE52+AE53</f>
        <v>123104.355</v>
      </c>
      <c r="AF50" s="85">
        <f>AF51+AF52+AF53</f>
        <v>125519.304</v>
      </c>
      <c r="AG50" s="85">
        <f>AG51+AG52+AG53</f>
        <v>201795.177</v>
      </c>
      <c r="AH50" s="60">
        <f>AG50</f>
        <v>201795.177</v>
      </c>
      <c r="AI50" s="85">
        <f>AI51+AI52+AI53</f>
        <v>199244.323</v>
      </c>
      <c r="AJ50" s="85">
        <f>AJ51+AJ52+AJ53</f>
        <v>232533.847</v>
      </c>
      <c r="AK50" s="85">
        <f>AK51+AK52+AK53</f>
        <v>229229.237007</v>
      </c>
      <c r="AL50" s="85">
        <f>AL51+AL52+AL53</f>
        <v>226328.50065</v>
      </c>
      <c r="AM50" s="60">
        <f>AL50</f>
        <v>226328.50065</v>
      </c>
      <c r="AN50" s="85">
        <f>AN51+AN52+AN53</f>
        <v>225277.341806</v>
      </c>
      <c r="AO50" s="85">
        <f>AO51+AO52+AO53</f>
        <v>223642.367761</v>
      </c>
      <c r="AP50" s="85">
        <f>AP51+AP52+AP53</f>
        <v>220337.757768</v>
      </c>
      <c r="AQ50" s="85">
        <f>AQ51+AQ52+AQ53</f>
        <v>217437.021411</v>
      </c>
      <c r="AR50" s="60">
        <f>AQ50</f>
        <v>217437.021411</v>
      </c>
      <c r="AS50" s="85">
        <f>AS51+AS52+AS53</f>
        <v>216385.862567</v>
      </c>
      <c r="AT50" s="85">
        <f>AT51+AT52+AT53</f>
        <v>214750.888522</v>
      </c>
      <c r="AU50" s="85">
        <f>AU51+AU52+AU53</f>
        <v>211446.278529</v>
      </c>
      <c r="AV50" s="85">
        <f>AV51+AV52+AV53</f>
        <v>208545.542172</v>
      </c>
      <c r="AW50" s="60">
        <f>AV50</f>
        <v>208545.542172</v>
      </c>
      <c r="AX50" s="85">
        <f>AX51+AX52+AX53</f>
        <v>207494.383328</v>
      </c>
      <c r="AY50" s="85">
        <f>AY51+AY52+AY53</f>
        <v>205859.409283</v>
      </c>
      <c r="AZ50" s="85">
        <f>AZ51+AZ52+AZ53</f>
        <v>202554.79929</v>
      </c>
      <c r="BA50" s="85">
        <f>BA51+BA52+BA53</f>
        <v>199654.062933</v>
      </c>
      <c r="BB50" s="60">
        <f>BA50</f>
        <v>199654.062933</v>
      </c>
      <c r="BC50" s="85">
        <f>BC51+BC52+BC53</f>
        <v>198602.904089</v>
      </c>
      <c r="BD50" s="85">
        <f>BD51+BD52+BD53</f>
        <v>196967.930044</v>
      </c>
      <c r="BE50" s="85">
        <f>BE51+BE52+BE53</f>
        <v>193663.320051</v>
      </c>
      <c r="BF50" s="85">
        <f>BF51+BF52+BF53</f>
        <v>190762.583694</v>
      </c>
      <c r="BG50" s="60">
        <f>BF50</f>
        <v>190762.583694</v>
      </c>
    </row>
    <row r="51" hidden="1" outlineLevel="1">
      <c r="C51" s="61" t="inlineStr">
        <is>
          <t>Carteira Própria  ← PLUG DE FUNDING</t>
        </is>
      </c>
      <c r="D51" s="62" t="inlineStr">
        <is>
          <t>Own Portfolio (funding plug)</t>
        </is>
      </c>
      <c r="E51" s="57">
        <f>IF(E$14=1,'Inputs (2)'!E39,E42-E78-(E44+E52+E53+E54+E59+E62+E63+E64+E65+E66+E67+E68))</f>
        <v>55035.52921</v>
      </c>
      <c r="F51" s="57">
        <f>IF(F$14=1,'Inputs (2)'!F39,F42-F78-(F44+F52+F53+F54+F59+F62+F63+F64+F65+F66+F67+F68))</f>
        <v>49940.440696</v>
      </c>
      <c r="G51" s="57">
        <f>IF(G$14=1,'Inputs (2)'!G39,G42-G78-(G44+G52+G53+G54+G59+G62+G63+G64+G65+G66+G67+G68))</f>
        <v>56049.778817</v>
      </c>
      <c r="H51" s="57">
        <f>IF(H$14=1,'Inputs (2)'!H39,H42-H78-(H44+H52+H53+H54+H59+H62+H63+H64+H65+H66+H67+H68))</f>
        <v>60161.895695</v>
      </c>
      <c r="I51" s="77">
        <f>H51</f>
        <v>60161.895695</v>
      </c>
      <c r="J51" s="57">
        <f>IF(J$14=1,'Inputs (2)'!J39,J42-J78-(J44+J52+J53+J54+J59+J62+J63+J64+J65+J66+J67+J68))</f>
        <v>54066.088143</v>
      </c>
      <c r="K51" s="57">
        <f>IF(K$14=1,'Inputs (2)'!K39,K42-K78-(K44+K52+K53+K54+K59+K62+K63+K64+K65+K66+K67+K68))</f>
        <v>62908.367229</v>
      </c>
      <c r="L51" s="57">
        <f>IF(L$14=1,'Inputs (2)'!L39,L42-L78-(L44+L52+L53+L54+L59+L62+L63+L64+L65+L66+L67+L68))</f>
        <v>77420.386681</v>
      </c>
      <c r="M51" s="57">
        <f>IF(M$14=1,'Inputs (2)'!M39,M42-M78-(M44+M52+M53+M54+M59+M62+M63+M64+M65+M66+M67+M68))</f>
        <v>60160.547837</v>
      </c>
      <c r="N51" s="77">
        <f>M51</f>
        <v>60160.547837</v>
      </c>
      <c r="O51" s="57">
        <f>IF(O$14=1,'Inputs (2)'!O39,O42-O78-(O44+O52+O53+O54+O59+O62+O63+O64+O65+O66+O67+O68))</f>
        <v>75886.278393</v>
      </c>
      <c r="P51" s="57">
        <f>IF(P$14=1,'Inputs (2)'!P39,P42-P78-(P44+P52+P53+P54+P59+P62+P63+P64+P65+P66+P67+P68))</f>
        <v>89337.943777</v>
      </c>
      <c r="Q51" s="57">
        <f>IF(Q$14=1,'Inputs (2)'!Q39,Q42-Q78-(Q44+Q52+Q53+Q54+Q59+Q62+Q63+Q64+Q65+Q66+Q67+Q68))</f>
        <v>98400.789549</v>
      </c>
      <c r="R51" s="57">
        <f>IF(R$14=1,'Inputs (2)'!R39,R42-R78-(R44+R52+R53+R54+R59+R62+R63+R64+R65+R66+R67+R68))</f>
        <v>87139.331976</v>
      </c>
      <c r="S51" s="77">
        <f>R51</f>
        <v>87139.331976</v>
      </c>
      <c r="T51" s="57">
        <f>IF(T$14=1,'Inputs (2)'!T39,T42-T78-(T44+T52+T53+T54+T59+T62+T63+T64+T65+T66+T67+T68))</f>
        <v>91991.668</v>
      </c>
      <c r="U51" s="57">
        <f>IF(U$14=1,'Inputs (2)'!U39,U42-U78-(U44+U52+U53+U54+U59+U62+U63+U64+U65+U66+U67+U68))</f>
        <v>98021.212</v>
      </c>
      <c r="V51" s="57">
        <f>IF(V$14=1,'Inputs (2)'!V39,V42-V78-(V44+V52+V53+V54+V59+V62+V63+V64+V65+V66+V67+V68))</f>
        <v>103659.546</v>
      </c>
      <c r="W51" s="57">
        <f>IF(W$14=1,'Inputs (2)'!W39,W42-W78-(W44+W52+W53+W54+W59+W62+W63+W64+W65+W66+W67+W68))</f>
        <v>97075.862</v>
      </c>
      <c r="X51" s="77">
        <f>W51</f>
        <v>97075.862</v>
      </c>
      <c r="Y51" s="57">
        <f>IF(Y$14=1,'Inputs (2)'!Y39,Y42-Y78-(Y44+Y52+Y53+Y54+Y59+Y62+Y63+Y64+Y65+Y66+Y67+Y68))</f>
        <v>114533.195</v>
      </c>
      <c r="Z51" s="57">
        <f>IF(Z$14=1,'Inputs (2)'!Z39,Z42-Z78-(Z44+Z52+Z53+Z54+Z59+Z62+Z63+Z64+Z65+Z66+Z67+Z68))</f>
        <v>131886.941</v>
      </c>
      <c r="AA51" s="57">
        <f>IF(AA$14=1,'Inputs (2)'!AA39,AA42-AA78-(AA44+AA52+AA53+AA54+AA59+AA62+AA63+AA64+AA65+AA66+AA67+AA68))</f>
        <v>122187.034</v>
      </c>
      <c r="AB51" s="57">
        <f>IF(AB$14=1,'Inputs (2)'!AB39,AB42-AB78-(AB44+AB52+AB53+AB54+AB59+AB62+AB63+AB64+AB65+AB66+AB67+AB68))</f>
        <v>113780.403</v>
      </c>
      <c r="AC51" s="77">
        <f>AB51</f>
        <v>113780.403</v>
      </c>
      <c r="AD51" s="57">
        <f>IF(AD$14=1,'Inputs (2)'!AD39,AD42-AD78-(AD44+AD52+AD53+AD54+AD59+AD62+AD63+AD64+AD65+AD66+AD67+AD68))</f>
        <v>111927.713</v>
      </c>
      <c r="AE51" s="57">
        <f>IF(AE$14=1,'Inputs (2)'!AE39,AE42-AE78-(AE44+AE52+AE53+AE54+AE59+AE62+AE63+AE64+AE65+AE66+AE67+AE68))</f>
        <v>123104.355</v>
      </c>
      <c r="AF51" s="57">
        <f>IF(AF$14=1,'Inputs (2)'!AF39,AF42-AF78-(AF44+AF52+AF53+AF54+AF59+AF62+AF63+AF64+AF65+AF66+AF67+AF68))</f>
        <v>125519.304</v>
      </c>
      <c r="AG51" s="57">
        <f>IF(AG$14=1,'Inputs (2)'!AG39,AG42-AG78-(AG44+AG52+AG53+AG54+AG59+AG62+AG63+AG64+AG65+AG66+AG67+AG68))</f>
        <v>201795.177</v>
      </c>
      <c r="AH51" s="77">
        <f>AG51</f>
        <v>201795.177</v>
      </c>
      <c r="AI51" s="57">
        <f>IF(AI$14=1,'Inputs (2)'!AI39,AI42-AI78-(AI44+AI52+AI53+AI54+AI59+AI62+AI63+AI64+AI65+AI66+AI67+AI68))</f>
        <v>199244.323</v>
      </c>
      <c r="AJ51" s="57">
        <f>IF(AJ$14=1,'Inputs (2)'!AJ39,AJ42-AJ78-(AJ44+AJ52+AJ53+AJ54+AJ59+AJ62+AJ63+AJ64+AJ65+AJ66+AJ67+AJ68))</f>
        <v>232533.847</v>
      </c>
      <c r="AK51" s="57">
        <f>IF(AK$14=1,'Inputs (2)'!AK39,AK42-AK78-(AK44+AK52+AK53+AK54+AK59+AK62+AK63+AK64+AK65+AK66+AK67+AK68))</f>
        <v>229229.237007</v>
      </c>
      <c r="AL51" s="57">
        <f>IF(AL$14=1,'Inputs (2)'!AL39,AL42-AL78-(AL44+AL52+AL53+AL54+AL59+AL62+AL63+AL64+AL65+AL66+AL67+AL68))</f>
        <v>226328.50065</v>
      </c>
      <c r="AM51" s="77">
        <f>AL51</f>
        <v>226328.50065</v>
      </c>
      <c r="AN51" s="57">
        <f>IF(AN$14=1,'Inputs (2)'!AN39,AN42-AN78-(AN44+AN52+AN53+AN54+AN59+AN62+AN63+AN64+AN65+AN66+AN67+AN68))</f>
        <v>225277.341806</v>
      </c>
      <c r="AO51" s="57">
        <f>IF(AO$14=1,'Inputs (2)'!AO39,AO42-AO78-(AO44+AO52+AO53+AO54+AO59+AO62+AO63+AO64+AO65+AO66+AO67+AO68))</f>
        <v>223642.367761</v>
      </c>
      <c r="AP51" s="57">
        <f>IF(AP$14=1,'Inputs (2)'!AP39,AP42-AP78-(AP44+AP52+AP53+AP54+AP59+AP62+AP63+AP64+AP65+AP66+AP67+AP68))</f>
        <v>220337.757768</v>
      </c>
      <c r="AQ51" s="57">
        <f>IF(AQ$14=1,'Inputs (2)'!AQ39,AQ42-AQ78-(AQ44+AQ52+AQ53+AQ54+AQ59+AQ62+AQ63+AQ64+AQ65+AQ66+AQ67+AQ68))</f>
        <v>217437.021411</v>
      </c>
      <c r="AR51" s="77">
        <f>AQ51</f>
        <v>217437.021411</v>
      </c>
      <c r="AS51" s="57">
        <f>IF(AS$14=1,'Inputs (2)'!AS39,AS42-AS78-(AS44+AS52+AS53+AS54+AS59+AS62+AS63+AS64+AS65+AS66+AS67+AS68))</f>
        <v>216385.862567</v>
      </c>
      <c r="AT51" s="57">
        <f>IF(AT$14=1,'Inputs (2)'!AT39,AT42-AT78-(AT44+AT52+AT53+AT54+AT59+AT62+AT63+AT64+AT65+AT66+AT67+AT68))</f>
        <v>214750.888522</v>
      </c>
      <c r="AU51" s="57">
        <f>IF(AU$14=1,'Inputs (2)'!AU39,AU42-AU78-(AU44+AU52+AU53+AU54+AU59+AU62+AU63+AU64+AU65+AU66+AU67+AU68))</f>
        <v>211446.278529</v>
      </c>
      <c r="AV51" s="57">
        <f>IF(AV$14=1,'Inputs (2)'!AV39,AV42-AV78-(AV44+AV52+AV53+AV54+AV59+AV62+AV63+AV64+AV65+AV66+AV67+AV68))</f>
        <v>208545.542172</v>
      </c>
      <c r="AW51" s="77">
        <f>AV51</f>
        <v>208545.542172</v>
      </c>
      <c r="AX51" s="57">
        <f>IF(AX$14=1,'Inputs (2)'!AX39,AX42-AX78-(AX44+AX52+AX53+AX54+AX59+AX62+AX63+AX64+AX65+AX66+AX67+AX68))</f>
        <v>207494.383328</v>
      </c>
      <c r="AY51" s="57">
        <f>IF(AY$14=1,'Inputs (2)'!AY39,AY42-AY78-(AY44+AY52+AY53+AY54+AY59+AY62+AY63+AY64+AY65+AY66+AY67+AY68))</f>
        <v>205859.409283</v>
      </c>
      <c r="AZ51" s="57">
        <f>IF(AZ$14=1,'Inputs (2)'!AZ39,AZ42-AZ78-(AZ44+AZ52+AZ53+AZ54+AZ59+AZ62+AZ63+AZ64+AZ65+AZ66+AZ67+AZ68))</f>
        <v>202554.79929</v>
      </c>
      <c r="BA51" s="57">
        <f>IF(BA$14=1,'Inputs (2)'!BA39,BA42-BA78-(BA44+BA52+BA53+BA54+BA59+BA62+BA63+BA64+BA65+BA66+BA67+BA68))</f>
        <v>199654.062933</v>
      </c>
      <c r="BB51" s="77">
        <f>BA51</f>
        <v>199654.062933</v>
      </c>
      <c r="BC51" s="57">
        <f>IF(BC$14=1,'Inputs (2)'!BC39,BC42-BC78-(BC44+BC52+BC53+BC54+BC59+BC62+BC63+BC64+BC65+BC66+BC67+BC68))</f>
        <v>198602.904089</v>
      </c>
      <c r="BD51" s="57">
        <f>IF(BD$14=1,'Inputs (2)'!BD39,BD42-BD78-(BD44+BD52+BD53+BD54+BD59+BD62+BD63+BD64+BD65+BD66+BD67+BD68))</f>
        <v>196967.930044</v>
      </c>
      <c r="BE51" s="57">
        <f>IF(BE$14=1,'Inputs (2)'!BE39,BE42-BE78-(BE44+BE52+BE53+BE54+BE59+BE62+BE63+BE64+BE65+BE66+BE67+BE68))</f>
        <v>193663.320051</v>
      </c>
      <c r="BF51" s="57">
        <f>IF(BF$14=1,'Inputs (2)'!BF39,BF42-BF78-(BF44+BF52+BF53+BF54+BF59+BF62+BF63+BF64+BF65+BF66+BF67+BF68))</f>
        <v>190762.583694</v>
      </c>
      <c r="BG51" s="77">
        <f>BF51</f>
        <v>190762.583694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Carteira de Terceiros</t>
        </is>
      </c>
      <c r="D52" s="62" t="inlineStr">
        <is>
          <t>Third-Party Portfolio</t>
        </is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Carteira de Livre Movimentação</t>
        </is>
      </c>
      <c r="D53" s="62" t="inlineStr">
        <is>
          <t>Unrestricted Portfolio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Instrumentos de Dívida</t>
        </is>
      </c>
      <c r="D54" s="84" t="inlineStr">
        <is>
          <t>Debt Instruments</t>
        </is>
      </c>
      <c r="E54" s="85">
        <f>E55+E56+E57+E58</f>
        <v>27597.977654</v>
      </c>
      <c r="F54" s="85">
        <f>F55+F56+F57+F58</f>
        <v>40422.862176</v>
      </c>
      <c r="G54" s="85">
        <f>G55+G56+G57+G58</f>
        <v>46021.663074</v>
      </c>
      <c r="H54" s="85">
        <f>H55+H56+H57+H58</f>
        <v>45744.764189</v>
      </c>
      <c r="I54" s="60">
        <f>H54</f>
        <v>45744.764189</v>
      </c>
      <c r="J54" s="85">
        <f>J55+J56+J57+J58</f>
        <v>52862.679403</v>
      </c>
      <c r="K54" s="85">
        <f>K55+K56+K57+K58</f>
        <v>60218.017095</v>
      </c>
      <c r="L54" s="85">
        <f>L55+L56+L57+L58</f>
        <v>64655.150642</v>
      </c>
      <c r="M54" s="85">
        <f>M55+M56+M57+M58</f>
        <v>59975.482469</v>
      </c>
      <c r="N54" s="60">
        <f>M54</f>
        <v>59975.482469</v>
      </c>
      <c r="O54" s="85">
        <f>O55+O56+O57+O58</f>
        <v>62529.466945</v>
      </c>
      <c r="P54" s="85">
        <f>P55+P56+P57+P58</f>
        <v>68070.285803</v>
      </c>
      <c r="Q54" s="85">
        <f>Q55+Q56+Q57+Q58</f>
        <v>70182.354719</v>
      </c>
      <c r="R54" s="85">
        <f>R55+R56+R57+R58</f>
        <v>68525.299818</v>
      </c>
      <c r="S54" s="60">
        <f>R54</f>
        <v>68525.299818</v>
      </c>
      <c r="T54" s="85">
        <f>T55+T56+T57+T58</f>
        <v>69930.936</v>
      </c>
      <c r="U54" s="85">
        <f>U55+U56+U57+U58</f>
        <v>68727.636</v>
      </c>
      <c r="V54" s="85">
        <f>V55+V56+V57+V58</f>
        <v>71725.958</v>
      </c>
      <c r="W54" s="85">
        <f>W55+W56+W57+W58</f>
        <v>74663.054114</v>
      </c>
      <c r="X54" s="60">
        <f>W54</f>
        <v>74663.054114</v>
      </c>
      <c r="Y54" s="85">
        <f>Y55+Y56+Y57+Y58</f>
        <v>84047.005</v>
      </c>
      <c r="Z54" s="85">
        <f>Z55+Z56+Z57+Z58</f>
        <v>88625.329</v>
      </c>
      <c r="AA54" s="85">
        <f>AA55+AA56+AA57+AA58</f>
        <v>102154.335</v>
      </c>
      <c r="AB54" s="85">
        <f>AB55+AB56+AB57+AB58</f>
        <v>107777.977</v>
      </c>
      <c r="AC54" s="60">
        <f>AB54</f>
        <v>107777.977</v>
      </c>
      <c r="AD54" s="85">
        <f>AD55+AD56+AD57+AD58</f>
        <v>105937.757</v>
      </c>
      <c r="AE54" s="85">
        <f>AE55+AE56+AE57+AE58</f>
        <v>110567.394</v>
      </c>
      <c r="AF54" s="85">
        <f>AF55+AF56+AF57+AF58</f>
        <v>114919.015</v>
      </c>
      <c r="AG54" s="85">
        <f>AG55+AG56+AG57+AG58</f>
        <v>120826.058</v>
      </c>
      <c r="AH54" s="60">
        <f>AG54</f>
        <v>120826.058</v>
      </c>
      <c r="AI54" s="85">
        <f>AI55+AI56+AI57+AI58</f>
        <v>124011.945</v>
      </c>
      <c r="AJ54" s="85">
        <f>AJ55+AJ56+AJ57+AJ58</f>
        <v>130683.092</v>
      </c>
      <c r="AK54" s="85">
        <f>AK55+AK56+AK57+AK58</f>
        <v>130683.092</v>
      </c>
      <c r="AL54" s="85">
        <f>AL55+AL56+AL57+AL58</f>
        <v>130683.092</v>
      </c>
      <c r="AM54" s="60">
        <f>AL54</f>
        <v>130683.092</v>
      </c>
      <c r="AN54" s="85">
        <f>AN55+AN56+AN57+AN58</f>
        <v>130683.092</v>
      </c>
      <c r="AO54" s="85">
        <f>AO55+AO56+AO57+AO58</f>
        <v>130683.092</v>
      </c>
      <c r="AP54" s="85">
        <f>AP55+AP56+AP57+AP58</f>
        <v>130683.092</v>
      </c>
      <c r="AQ54" s="85">
        <f>AQ55+AQ56+AQ57+AQ58</f>
        <v>130683.092</v>
      </c>
      <c r="AR54" s="60">
        <f>AQ54</f>
        <v>130683.092</v>
      </c>
      <c r="AS54" s="85">
        <f>AS55+AS56+AS57+AS58</f>
        <v>130683.092</v>
      </c>
      <c r="AT54" s="85">
        <f>AT55+AT56+AT57+AT58</f>
        <v>130683.092</v>
      </c>
      <c r="AU54" s="85">
        <f>AU55+AU56+AU57+AU58</f>
        <v>130683.092</v>
      </c>
      <c r="AV54" s="85">
        <f>AV55+AV56+AV57+AV58</f>
        <v>130683.092</v>
      </c>
      <c r="AW54" s="60">
        <f>AV54</f>
        <v>130683.092</v>
      </c>
      <c r="AX54" s="85">
        <f>AX55+AX56+AX57+AX58</f>
        <v>130683.092</v>
      </c>
      <c r="AY54" s="85">
        <f>AY55+AY56+AY57+AY58</f>
        <v>130683.092</v>
      </c>
      <c r="AZ54" s="85">
        <f>AZ55+AZ56+AZ57+AZ58</f>
        <v>130683.092</v>
      </c>
      <c r="BA54" s="85">
        <f>BA55+BA56+BA57+BA58</f>
        <v>130683.092</v>
      </c>
      <c r="BB54" s="60">
        <f>BA54</f>
        <v>130683.092</v>
      </c>
      <c r="BC54" s="85">
        <f>BC55+BC56+BC57+BC58</f>
        <v>130683.092</v>
      </c>
      <c r="BD54" s="85">
        <f>BD55+BD56+BD57+BD58</f>
        <v>130683.092</v>
      </c>
      <c r="BE54" s="85">
        <f>BE55+BE56+BE57+BE58</f>
        <v>130683.092</v>
      </c>
      <c r="BF54" s="85">
        <f>BF55+BF56+BF57+BF58</f>
        <v>130683.092</v>
      </c>
      <c r="BG54" s="60">
        <f>BF54</f>
        <v>130683.092</v>
      </c>
    </row>
    <row r="55" hidden="1" outlineLevel="1">
      <c r="C55" s="61" t="inlineStr">
        <is>
          <t>Recursos de Emissões (LF, LCI, LCA, LIG)</t>
        </is>
      </c>
      <c r="D55" s="62" t="inlineStr">
        <is>
          <t>Funds from Issuances</t>
        </is>
      </c>
      <c r="E55" s="57">
        <f>'Inputs (2)'!E43</f>
        <v>24939.539329</v>
      </c>
      <c r="F55" s="57">
        <f>IF(F$14=1,'Inputs (2)'!F43,E55*(1+Inputs!F$278))</f>
        <v>36217.271369</v>
      </c>
      <c r="G55" s="57">
        <f>IF(G$14=1,'Inputs (2)'!G43,F55*(1+Inputs!G$278))</f>
        <v>41747.411729</v>
      </c>
      <c r="H55" s="57">
        <f>IF(H$14=1,'Inputs (2)'!H43,G55*(1+Inputs!H$278))</f>
        <v>42314.111071</v>
      </c>
      <c r="I55" s="77">
        <f>H55</f>
        <v>42314.111071</v>
      </c>
      <c r="J55" s="57">
        <f>IF(J$14=1,'Inputs (2)'!J43,H55*(1+Inputs!J$278))</f>
        <v>49174.084614</v>
      </c>
      <c r="K55" s="57">
        <f>IF(K$14=1,'Inputs (2)'!K43,J55*(1+Inputs!K$278))</f>
        <v>57980.765753</v>
      </c>
      <c r="L55" s="57">
        <f>IF(L$14=1,'Inputs (2)'!L43,K55*(1+Inputs!L$278))</f>
        <v>62281.703655</v>
      </c>
      <c r="M55" s="57">
        <f>IF(M$14=1,'Inputs (2)'!M43,L55*(1+Inputs!M$278))</f>
        <v>57463.393117</v>
      </c>
      <c r="N55" s="77">
        <f>M55</f>
        <v>57463.393117</v>
      </c>
      <c r="O55" s="57">
        <f>IF(O$14=1,'Inputs (2)'!O43,M55*(1+Inputs!O$278))</f>
        <v>60322.364616</v>
      </c>
      <c r="P55" s="57">
        <f>IF(P$14=1,'Inputs (2)'!P43,O55*(1+Inputs!P$278))</f>
        <v>65807.492341</v>
      </c>
      <c r="Q55" s="57">
        <f>IF(Q$14=1,'Inputs (2)'!Q43,P55*(1+Inputs!Q$278))</f>
        <v>69648.066852</v>
      </c>
      <c r="R55" s="57">
        <f>IF(R$14=1,'Inputs (2)'!R43,Q55*(1+Inputs!R$278))</f>
        <v>67944.679136</v>
      </c>
      <c r="S55" s="77">
        <f>R55</f>
        <v>67944.679136</v>
      </c>
      <c r="T55" s="57">
        <f>IF(T$14=1,'Inputs (2)'!T43,R55*(1+Inputs!T$278))</f>
        <v>69351.106</v>
      </c>
      <c r="U55" s="57">
        <f>IF(U$14=1,'Inputs (2)'!U43,T55*(1+Inputs!U$278))</f>
        <v>68167.246</v>
      </c>
      <c r="V55" s="57">
        <f>IF(V$14=1,'Inputs (2)'!V43,U55*(1+Inputs!V$278))</f>
        <v>71190.286</v>
      </c>
      <c r="W55" s="57">
        <f>IF(W$14=1,'Inputs (2)'!W43,V55*(1+Inputs!W$278))</f>
        <v>73531.521</v>
      </c>
      <c r="X55" s="77">
        <f>W55</f>
        <v>73531.521</v>
      </c>
      <c r="Y55" s="57">
        <f>IF(Y$14=1,'Inputs (2)'!Y43,W55*(1+Inputs!Y$278))</f>
        <v>83536.18</v>
      </c>
      <c r="Z55" s="57">
        <f>IF(Z$14=1,'Inputs (2)'!Z43,Y55*(1+Inputs!Z$278))</f>
        <v>88066.028</v>
      </c>
      <c r="AA55" s="57">
        <f>IF(AA$14=1,'Inputs (2)'!AA43,Z55*(1+Inputs!AA$278))</f>
        <v>101571.087</v>
      </c>
      <c r="AB55" s="57">
        <f>IF(AB$14=1,'Inputs (2)'!AB43,AA55*(1+Inputs!AB$278))</f>
        <v>107173.422</v>
      </c>
      <c r="AC55" s="77">
        <f>AB55</f>
        <v>107173.422</v>
      </c>
      <c r="AD55" s="57">
        <f>IF(AD$14=1,'Inputs (2)'!AD43,AB55*(1+Inputs!AD$278))</f>
        <v>105344.664</v>
      </c>
      <c r="AE55" s="57">
        <f>IF(AE$14=1,'Inputs (2)'!AE43,AD55*(1+Inputs!AE$278))</f>
        <v>109987.476</v>
      </c>
      <c r="AF55" s="57">
        <f>IF(AF$14=1,'Inputs (2)'!AF43,AE55*(1+Inputs!AF$278))</f>
        <v>114365.286</v>
      </c>
      <c r="AG55" s="57">
        <f>IF(AG$14=1,'Inputs (2)'!AG43,AF55*(1+Inputs!AG$278))</f>
        <v>118824.365</v>
      </c>
      <c r="AH55" s="77">
        <f>AG55</f>
        <v>118824.365</v>
      </c>
      <c r="AI55" s="57">
        <f>IF(AI$14=1,'Inputs (2)'!AI43,AG55*(1+Inputs!AI$278))</f>
        <v>122147.58</v>
      </c>
      <c r="AJ55" s="57">
        <f>IF(AJ$14=1,'Inputs (2)'!AJ43,AI55*(1+Inputs!AJ$278))</f>
        <v>128809.321</v>
      </c>
      <c r="AK55" s="57">
        <f>IF(AK$14=1,'Inputs (2)'!AK43,AJ55*(1+Inputs!AK$278))</f>
        <v>128809.321</v>
      </c>
      <c r="AL55" s="57">
        <f>IF(AL$14=1,'Inputs (2)'!AL43,AK55*(1+Inputs!AL$278))</f>
        <v>128809.321</v>
      </c>
      <c r="AM55" s="77">
        <f>AL55</f>
        <v>128809.321</v>
      </c>
      <c r="AN55" s="57">
        <f>IF(AN$14=1,'Inputs (2)'!AN43,AL55*(1+Inputs!AN$278))</f>
        <v>128809.321</v>
      </c>
      <c r="AO55" s="57">
        <f>IF(AO$14=1,'Inputs (2)'!AO43,AN55*(1+Inputs!AO$278))</f>
        <v>128809.321</v>
      </c>
      <c r="AP55" s="57">
        <f>IF(AP$14=1,'Inputs (2)'!AP43,AO55*(1+Inputs!AP$278))</f>
        <v>128809.321</v>
      </c>
      <c r="AQ55" s="57">
        <f>IF(AQ$14=1,'Inputs (2)'!AQ43,AP55*(1+Inputs!AQ$278))</f>
        <v>128809.321</v>
      </c>
      <c r="AR55" s="77">
        <f>AQ55</f>
        <v>128809.321</v>
      </c>
      <c r="AS55" s="57">
        <f>IF(AS$14=1,'Inputs (2)'!AS43,AQ55*(1+Inputs!AS$278))</f>
        <v>128809.321</v>
      </c>
      <c r="AT55" s="57">
        <f>IF(AT$14=1,'Inputs (2)'!AT43,AS55*(1+Inputs!AT$278))</f>
        <v>128809.321</v>
      </c>
      <c r="AU55" s="57">
        <f>IF(AU$14=1,'Inputs (2)'!AU43,AT55*(1+Inputs!AU$278))</f>
        <v>128809.321</v>
      </c>
      <c r="AV55" s="57">
        <f>IF(AV$14=1,'Inputs (2)'!AV43,AU55*(1+Inputs!AV$278))</f>
        <v>128809.321</v>
      </c>
      <c r="AW55" s="77">
        <f>AV55</f>
        <v>128809.321</v>
      </c>
      <c r="AX55" s="57">
        <f>IF(AX$14=1,'Inputs (2)'!AX43,AV55*(1+Inputs!AX$278))</f>
        <v>128809.321</v>
      </c>
      <c r="AY55" s="57">
        <f>IF(AY$14=1,'Inputs (2)'!AY43,AX55*(1+Inputs!AY$278))</f>
        <v>128809.321</v>
      </c>
      <c r="AZ55" s="57">
        <f>IF(AZ$14=1,'Inputs (2)'!AZ43,AY55*(1+Inputs!AZ$278))</f>
        <v>128809.321</v>
      </c>
      <c r="BA55" s="57">
        <f>IF(BA$14=1,'Inputs (2)'!BA43,AZ55*(1+Inputs!BA$278))</f>
        <v>128809.321</v>
      </c>
      <c r="BB55" s="77">
        <f>BA55</f>
        <v>128809.321</v>
      </c>
      <c r="BC55" s="57">
        <f>IF(BC$14=1,'Inputs (2)'!BC43,BA55*(1+Inputs!BC$278))</f>
        <v>128809.321</v>
      </c>
      <c r="BD55" s="57">
        <f>IF(BD$14=1,'Inputs (2)'!BD43,BC55*(1+Inputs!BD$278))</f>
        <v>128809.321</v>
      </c>
      <c r="BE55" s="57">
        <f>IF(BE$14=1,'Inputs (2)'!BE43,BD55*(1+Inputs!BE$278))</f>
        <v>128809.321</v>
      </c>
      <c r="BF55" s="57">
        <f>IF(BF$14=1,'Inputs (2)'!BF43,BE55*(1+Inputs!BF$278))</f>
        <v>128809.321</v>
      </c>
      <c r="BG55" s="77">
        <f>BF55</f>
        <v>128809.321</v>
      </c>
    </row>
    <row r="56" hidden="1" outlineLevel="1">
      <c r="C56" s="61" t="inlineStr">
        <is>
          <t>Obrigações por TVM no Exterior</t>
        </is>
      </c>
      <c r="D56" s="62" t="inlineStr">
        <is>
          <t>Securities Abroad</t>
        </is>
      </c>
      <c r="E56" s="57">
        <f>'Inputs (2)'!E44</f>
        <v>0</v>
      </c>
      <c r="F56" s="57">
        <f>IF(F$14=1,'Inputs (2)'!F44,E56*(1+Inputs!F$278))</f>
        <v>0</v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>H56</f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>M56</f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>R56</f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>W56</f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>AB56</f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>AG56</f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>AL56</f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>AQ56</f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>AV56</f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>BA56</f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>BF56</f>
        <v>0</v>
      </c>
    </row>
    <row r="57" hidden="1" outlineLevel="1">
      <c r="C57" s="61" t="inlineStr">
        <is>
          <t>Captação por Certificados de Operações Estruturadas</t>
        </is>
      </c>
      <c r="D57" s="62" t="inlineStr">
        <is>
          <t>COE</t>
        </is>
      </c>
      <c r="E57" s="57">
        <f>'Inputs (2)'!E45</f>
        <v>0</v>
      </c>
      <c r="F57" s="57">
        <f>IF(F$14=1,'Inputs (2)'!F45,E57*(1+Inputs!F$278))</f>
        <v>0</v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>H57</f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>M57</f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>R57</f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>W57</f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>AB57</f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>AG57</f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>AL57</f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>AQ57</f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>AV57</f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>BA57</f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>BF57</f>
        <v>0</v>
      </c>
    </row>
    <row r="58" hidden="1" outlineLevel="1">
      <c r="C58" s="61" t="inlineStr">
        <is>
          <t>Instrumentos de Dívida Subordinada</t>
        </is>
      </c>
      <c r="D58" s="62" t="inlineStr">
        <is>
          <t>Subordinated Debt</t>
        </is>
      </c>
      <c r="E58" s="57">
        <f>'Inputs (2)'!E46</f>
        <v>2658.438325</v>
      </c>
      <c r="F58" s="57">
        <f>IF(F$14=1,'Inputs (2)'!F46,E58*(1+Inputs!F$278))</f>
        <v>4205.590807</v>
      </c>
      <c r="G58" s="57">
        <f>IF(G$14=1,'Inputs (2)'!G46,F58*(1+Inputs!G$278))</f>
        <v>4274.251345</v>
      </c>
      <c r="H58" s="57">
        <f>IF(H$14=1,'Inputs (2)'!H46,G58*(1+Inputs!H$278))</f>
        <v>3430.653118</v>
      </c>
      <c r="I58" s="77">
        <f>H58</f>
        <v>3430.653118</v>
      </c>
      <c r="J58" s="57">
        <f>IF(J$14=1,'Inputs (2)'!J46,H58*(1+Inputs!J$278))</f>
        <v>3688.594789</v>
      </c>
      <c r="K58" s="57">
        <f>IF(K$14=1,'Inputs (2)'!K46,J58*(1+Inputs!K$278))</f>
        <v>2237.251342</v>
      </c>
      <c r="L58" s="57">
        <f>IF(L$14=1,'Inputs (2)'!L46,K58*(1+Inputs!L$278))</f>
        <v>2373.446987</v>
      </c>
      <c r="M58" s="57">
        <f>IF(M$14=1,'Inputs (2)'!M46,L58*(1+Inputs!M$278))</f>
        <v>2512.089352</v>
      </c>
      <c r="N58" s="77">
        <f>M58</f>
        <v>2512.089352</v>
      </c>
      <c r="O58" s="57">
        <f>IF(O$14=1,'Inputs (2)'!O46,M58*(1+Inputs!O$278))</f>
        <v>2207.102329</v>
      </c>
      <c r="P58" s="57">
        <f>IF(P$14=1,'Inputs (2)'!P46,O58*(1+Inputs!P$278))</f>
        <v>2262.793462</v>
      </c>
      <c r="Q58" s="57">
        <f>IF(Q$14=1,'Inputs (2)'!Q46,P58*(1+Inputs!Q$278))</f>
        <v>534.287867</v>
      </c>
      <c r="R58" s="57">
        <f>IF(R$14=1,'Inputs (2)'!R46,Q58*(1+Inputs!R$278))</f>
        <v>580.620682</v>
      </c>
      <c r="S58" s="77">
        <f>R58</f>
        <v>580.620682</v>
      </c>
      <c r="T58" s="57">
        <f>IF(T$14=1,'Inputs (2)'!T46,R58*(1+Inputs!T$278))</f>
        <v>579.83</v>
      </c>
      <c r="U58" s="57">
        <f>IF(U$14=1,'Inputs (2)'!U46,T58*(1+Inputs!U$278))</f>
        <v>560.39</v>
      </c>
      <c r="V58" s="57">
        <f>IF(V$14=1,'Inputs (2)'!V46,U58*(1+Inputs!V$278))</f>
        <v>535.672</v>
      </c>
      <c r="W58" s="57">
        <f>IF(W$14=1,'Inputs (2)'!W46,V58*(1+Inputs!W$278))</f>
        <v>1131.533114</v>
      </c>
      <c r="X58" s="77">
        <f>W58</f>
        <v>1131.533114</v>
      </c>
      <c r="Y58" s="57">
        <f>IF(Y$14=1,'Inputs (2)'!Y46,W58*(1+Inputs!Y$278))</f>
        <v>510.825</v>
      </c>
      <c r="Z58" s="57">
        <f>IF(Z$14=1,'Inputs (2)'!Z46,Y58*(1+Inputs!Z$278))</f>
        <v>559.301</v>
      </c>
      <c r="AA58" s="57">
        <f>IF(AA$14=1,'Inputs (2)'!AA46,Z58*(1+Inputs!AA$278))</f>
        <v>583.248</v>
      </c>
      <c r="AB58" s="57">
        <f>IF(AB$14=1,'Inputs (2)'!AB46,AA58*(1+Inputs!AB$278))</f>
        <v>604.555</v>
      </c>
      <c r="AC58" s="77">
        <f>AB58</f>
        <v>604.555</v>
      </c>
      <c r="AD58" s="57">
        <f>IF(AD$14=1,'Inputs (2)'!AD46,AB58*(1+Inputs!AD$278))</f>
        <v>593.093</v>
      </c>
      <c r="AE58" s="57">
        <f>IF(AE$14=1,'Inputs (2)'!AE46,AD58*(1+Inputs!AE$278))</f>
        <v>579.918</v>
      </c>
      <c r="AF58" s="57">
        <f>IF(AF$14=1,'Inputs (2)'!AF46,AE58*(1+Inputs!AF$278))</f>
        <v>553.729</v>
      </c>
      <c r="AG58" s="57">
        <f>IF(AG$14=1,'Inputs (2)'!AG46,AF58*(1+Inputs!AG$278))</f>
        <v>2001.693</v>
      </c>
      <c r="AH58" s="77">
        <f>AG58</f>
        <v>2001.693</v>
      </c>
      <c r="AI58" s="57">
        <f>IF(AI$14=1,'Inputs (2)'!AI46,AG58*(1+Inputs!AI$278))</f>
        <v>1864.365</v>
      </c>
      <c r="AJ58" s="57">
        <f>IF(AJ$14=1,'Inputs (2)'!AJ46,AI58*(1+Inputs!AJ$278))</f>
        <v>1873.771</v>
      </c>
      <c r="AK58" s="57">
        <f>IF(AK$14=1,'Inputs (2)'!AK46,AJ58*(1+Inputs!AK$278))</f>
        <v>1873.771</v>
      </c>
      <c r="AL58" s="57">
        <f>IF(AL$14=1,'Inputs (2)'!AL46,AK58*(1+Inputs!AL$278))</f>
        <v>1873.771</v>
      </c>
      <c r="AM58" s="77">
        <f>AL58</f>
        <v>1873.771</v>
      </c>
      <c r="AN58" s="57">
        <f>IF(AN$14=1,'Inputs (2)'!AN46,AL58*(1+Inputs!AN$278))</f>
        <v>1873.771</v>
      </c>
      <c r="AO58" s="57">
        <f>IF(AO$14=1,'Inputs (2)'!AO46,AN58*(1+Inputs!AO$278))</f>
        <v>1873.771</v>
      </c>
      <c r="AP58" s="57">
        <f>IF(AP$14=1,'Inputs (2)'!AP46,AO58*(1+Inputs!AP$278))</f>
        <v>1873.771</v>
      </c>
      <c r="AQ58" s="57">
        <f>IF(AQ$14=1,'Inputs (2)'!AQ46,AP58*(1+Inputs!AQ$278))</f>
        <v>1873.771</v>
      </c>
      <c r="AR58" s="77">
        <f>AQ58</f>
        <v>1873.771</v>
      </c>
      <c r="AS58" s="57">
        <f>IF(AS$14=1,'Inputs (2)'!AS46,AQ58*(1+Inputs!AS$278))</f>
        <v>1873.771</v>
      </c>
      <c r="AT58" s="57">
        <f>IF(AT$14=1,'Inputs (2)'!AT46,AS58*(1+Inputs!AT$278))</f>
        <v>1873.771</v>
      </c>
      <c r="AU58" s="57">
        <f>IF(AU$14=1,'Inputs (2)'!AU46,AT58*(1+Inputs!AU$278))</f>
        <v>1873.771</v>
      </c>
      <c r="AV58" s="57">
        <f>IF(AV$14=1,'Inputs (2)'!AV46,AU58*(1+Inputs!AV$278))</f>
        <v>1873.771</v>
      </c>
      <c r="AW58" s="77">
        <f>AV58</f>
        <v>1873.771</v>
      </c>
      <c r="AX58" s="57">
        <f>IF(AX$14=1,'Inputs (2)'!AX46,AV58*(1+Inputs!AX$278))</f>
        <v>1873.771</v>
      </c>
      <c r="AY58" s="57">
        <f>IF(AY$14=1,'Inputs (2)'!AY46,AX58*(1+Inputs!AY$278))</f>
        <v>1873.771</v>
      </c>
      <c r="AZ58" s="57">
        <f>IF(AZ$14=1,'Inputs (2)'!AZ46,AY58*(1+Inputs!AZ$278))</f>
        <v>1873.771</v>
      </c>
      <c r="BA58" s="57">
        <f>IF(BA$14=1,'Inputs (2)'!BA46,AZ58*(1+Inputs!BA$278))</f>
        <v>1873.771</v>
      </c>
      <c r="BB58" s="77">
        <f>BA58</f>
        <v>1873.771</v>
      </c>
      <c r="BC58" s="57">
        <f>IF(BC$14=1,'Inputs (2)'!BC46,BA58*(1+Inputs!BC$278))</f>
        <v>1873.771</v>
      </c>
      <c r="BD58" s="57">
        <f>IF(BD$14=1,'Inputs (2)'!BD46,BC58*(1+Inputs!BD$278))</f>
        <v>1873.771</v>
      </c>
      <c r="BE58" s="57">
        <f>IF(BE$14=1,'Inputs (2)'!BE46,BD58*(1+Inputs!BE$278))</f>
        <v>1873.771</v>
      </c>
      <c r="BF58" s="57">
        <f>IF(BF$14=1,'Inputs (2)'!BF46,BE58*(1+Inputs!BF$278))</f>
        <v>1873.771</v>
      </c>
      <c r="BG58" s="77">
        <f>BF58</f>
        <v>1873.771</v>
      </c>
    </row>
    <row r="59" collapsed="1">
      <c r="C59" s="83" t="inlineStr">
        <is>
          <t>Obrigações por Empréstimos e Repasses</t>
        </is>
      </c>
      <c r="D59" s="84" t="inlineStr">
        <is>
          <t>Borrowings and On-lending</t>
        </is>
      </c>
      <c r="E59" s="85">
        <f>E60+E61</f>
        <v>4889.578528</v>
      </c>
      <c r="F59" s="85">
        <f>F60+F61</f>
        <v>4504.549972</v>
      </c>
      <c r="G59" s="85">
        <f>G60+G61</f>
        <v>5251.928044</v>
      </c>
      <c r="H59" s="85">
        <f>H60+H61</f>
        <v>6643.207482</v>
      </c>
      <c r="I59" s="60">
        <f>H59</f>
        <v>6643.207482</v>
      </c>
      <c r="J59" s="85">
        <f>J60+J61</f>
        <v>6811.059926</v>
      </c>
      <c r="K59" s="85">
        <f>K60+K61</f>
        <v>5822.560322</v>
      </c>
      <c r="L59" s="85">
        <f>L60+L61</f>
        <v>8085.948347</v>
      </c>
      <c r="M59" s="85">
        <f>M60+M61</f>
        <v>8997.270006</v>
      </c>
      <c r="N59" s="60">
        <f>M59</f>
        <v>8997.270006</v>
      </c>
      <c r="O59" s="85">
        <f>O60+O61</f>
        <v>13959.244477</v>
      </c>
      <c r="P59" s="85">
        <f>P60+P61</f>
        <v>14289.717961</v>
      </c>
      <c r="Q59" s="85">
        <f>Q60+Q61</f>
        <v>14829.773423</v>
      </c>
      <c r="R59" s="85">
        <f>R60+R61</f>
        <v>17693.932502</v>
      </c>
      <c r="S59" s="60">
        <f>R59</f>
        <v>17693.932502</v>
      </c>
      <c r="T59" s="85">
        <f>T60+T61</f>
        <v>14446.604</v>
      </c>
      <c r="U59" s="85">
        <f>U60+U61</f>
        <v>12659.707</v>
      </c>
      <c r="V59" s="85">
        <f>V60+V61</f>
        <v>12892.453</v>
      </c>
      <c r="W59" s="85">
        <f>W60+W61</f>
        <v>17582.218</v>
      </c>
      <c r="X59" s="60">
        <f>W59</f>
        <v>17582.218</v>
      </c>
      <c r="Y59" s="85">
        <f>Y60+Y61</f>
        <v>15719.019</v>
      </c>
      <c r="Z59" s="85">
        <f>Z60+Z61</f>
        <v>16792.207</v>
      </c>
      <c r="AA59" s="85">
        <f>AA60+AA61</f>
        <v>22985.585</v>
      </c>
      <c r="AB59" s="85">
        <f>AB60+AB61</f>
        <v>23036.225</v>
      </c>
      <c r="AC59" s="60">
        <f>AB59</f>
        <v>23036.225</v>
      </c>
      <c r="AD59" s="85">
        <f>AD60+AD61</f>
        <v>24855.595</v>
      </c>
      <c r="AE59" s="85">
        <f>AE60+AE61</f>
        <v>31209.446</v>
      </c>
      <c r="AF59" s="85">
        <f>AF60+AF61</f>
        <v>30917.302</v>
      </c>
      <c r="AG59" s="85">
        <f>AG60+AG61</f>
        <v>44922.895</v>
      </c>
      <c r="AH59" s="60">
        <f>AG59</f>
        <v>44922.895</v>
      </c>
      <c r="AI59" s="85">
        <f>AI60+AI61</f>
        <v>45229.127</v>
      </c>
      <c r="AJ59" s="85">
        <f>AJ60+AJ61</f>
        <v>45057.213</v>
      </c>
      <c r="AK59" s="85">
        <f>AK60+AK61</f>
        <v>45057.213</v>
      </c>
      <c r="AL59" s="85">
        <f>AL60+AL61</f>
        <v>45057.213</v>
      </c>
      <c r="AM59" s="60">
        <f>AL59</f>
        <v>45057.213</v>
      </c>
      <c r="AN59" s="85">
        <f>AN60+AN61</f>
        <v>45057.213</v>
      </c>
      <c r="AO59" s="85">
        <f>AO60+AO61</f>
        <v>45057.213</v>
      </c>
      <c r="AP59" s="85">
        <f>AP60+AP61</f>
        <v>45057.213</v>
      </c>
      <c r="AQ59" s="85">
        <f>AQ60+AQ61</f>
        <v>45057.213</v>
      </c>
      <c r="AR59" s="60">
        <f>AQ59</f>
        <v>45057.213</v>
      </c>
      <c r="AS59" s="85">
        <f>AS60+AS61</f>
        <v>45057.213</v>
      </c>
      <c r="AT59" s="85">
        <f>AT60+AT61</f>
        <v>45057.213</v>
      </c>
      <c r="AU59" s="85">
        <f>AU60+AU61</f>
        <v>45057.213</v>
      </c>
      <c r="AV59" s="85">
        <f>AV60+AV61</f>
        <v>45057.213</v>
      </c>
      <c r="AW59" s="60">
        <f>AV59</f>
        <v>45057.213</v>
      </c>
      <c r="AX59" s="85">
        <f>AX60+AX61</f>
        <v>45057.213</v>
      </c>
      <c r="AY59" s="85">
        <f>AY60+AY61</f>
        <v>45057.213</v>
      </c>
      <c r="AZ59" s="85">
        <f>AZ60+AZ61</f>
        <v>45057.213</v>
      </c>
      <c r="BA59" s="85">
        <f>BA60+BA61</f>
        <v>45057.213</v>
      </c>
      <c r="BB59" s="60">
        <f>BA59</f>
        <v>45057.213</v>
      </c>
      <c r="BC59" s="85">
        <f>BC60+BC61</f>
        <v>45057.213</v>
      </c>
      <c r="BD59" s="85">
        <f>BD60+BD61</f>
        <v>45057.213</v>
      </c>
      <c r="BE59" s="85">
        <f>BE60+BE61</f>
        <v>45057.213</v>
      </c>
      <c r="BF59" s="85">
        <f>BF60+BF61</f>
        <v>45057.213</v>
      </c>
      <c r="BG59" s="60">
        <f>BF59</f>
        <v>45057.213</v>
      </c>
    </row>
    <row r="60" hidden="1" outlineLevel="1">
      <c r="C60" s="61" t="inlineStr">
        <is>
          <t>Empréstimos</t>
        </is>
      </c>
      <c r="D60" s="62" t="inlineStr">
        <is>
          <t>Borrowings</t>
        </is>
      </c>
      <c r="E60" s="57">
        <f>'Inputs (2)'!E48</f>
        <v>4889.578528</v>
      </c>
      <c r="F60" s="57">
        <f>IF(F$14=1,'Inputs (2)'!F48,E60*(1+Inputs!F$279))</f>
        <v>4504.549972</v>
      </c>
      <c r="G60" s="57">
        <f>IF(G$14=1,'Inputs (2)'!G48,F60*(1+Inputs!G$279))</f>
        <v>5251.928044</v>
      </c>
      <c r="H60" s="57">
        <f>IF(H$14=1,'Inputs (2)'!H48,G60*(1+Inputs!H$279))</f>
        <v>6643.207482</v>
      </c>
      <c r="I60" s="77">
        <f>H60</f>
        <v>6643.207482</v>
      </c>
      <c r="J60" s="57">
        <f>IF(J$14=1,'Inputs (2)'!J48,H60*(1+Inputs!J$279))</f>
        <v>6811.059926</v>
      </c>
      <c r="K60" s="57">
        <f>IF(K$14=1,'Inputs (2)'!K48,J60*(1+Inputs!K$279))</f>
        <v>5822.560322</v>
      </c>
      <c r="L60" s="57">
        <f>IF(L$14=1,'Inputs (2)'!L48,K60*(1+Inputs!L$279))</f>
        <v>8085.948347</v>
      </c>
      <c r="M60" s="57">
        <f>IF(M$14=1,'Inputs (2)'!M48,L60*(1+Inputs!M$279))</f>
        <v>8997.270006</v>
      </c>
      <c r="N60" s="77">
        <f>M60</f>
        <v>8997.270006</v>
      </c>
      <c r="O60" s="57">
        <f>IF(O$14=1,'Inputs (2)'!O48,M60*(1+Inputs!O$279))</f>
        <v>13959.244477</v>
      </c>
      <c r="P60" s="57">
        <f>IF(P$14=1,'Inputs (2)'!P48,O60*(1+Inputs!P$279))</f>
        <v>14289.717961</v>
      </c>
      <c r="Q60" s="57">
        <f>IF(Q$14=1,'Inputs (2)'!Q48,P60*(1+Inputs!Q$279))</f>
        <v>14829.773423</v>
      </c>
      <c r="R60" s="57">
        <f>IF(R$14=1,'Inputs (2)'!R48,Q60*(1+Inputs!R$279))</f>
        <v>17693.932502</v>
      </c>
      <c r="S60" s="77">
        <f>R60</f>
        <v>17693.932502</v>
      </c>
      <c r="T60" s="57">
        <f>IF(T$14=1,'Inputs (2)'!T48,R60*(1+Inputs!T$279))</f>
        <v>14446.604</v>
      </c>
      <c r="U60" s="57">
        <f>IF(U$14=1,'Inputs (2)'!U48,T60*(1+Inputs!U$279))</f>
        <v>12659.707</v>
      </c>
      <c r="V60" s="57">
        <f>IF(V$14=1,'Inputs (2)'!V48,U60*(1+Inputs!V$279))</f>
        <v>12892.453</v>
      </c>
      <c r="W60" s="57">
        <f>IF(W$14=1,'Inputs (2)'!W48,V60*(1+Inputs!W$279))</f>
        <v>17582.218</v>
      </c>
      <c r="X60" s="77">
        <f>W60</f>
        <v>17582.218</v>
      </c>
      <c r="Y60" s="57">
        <f>IF(Y$14=1,'Inputs (2)'!Y48,W60*(1+Inputs!Y$279))</f>
        <v>15719.019</v>
      </c>
      <c r="Z60" s="57">
        <f>IF(Z$14=1,'Inputs (2)'!Z48,Y60*(1+Inputs!Z$279))</f>
        <v>16792.207</v>
      </c>
      <c r="AA60" s="57">
        <f>IF(AA$14=1,'Inputs (2)'!AA48,Z60*(1+Inputs!AA$279))</f>
        <v>22985.585</v>
      </c>
      <c r="AB60" s="57">
        <f>IF(AB$14=1,'Inputs (2)'!AB48,AA60*(1+Inputs!AB$279))</f>
        <v>23036.225</v>
      </c>
      <c r="AC60" s="77">
        <f>AB60</f>
        <v>23036.225</v>
      </c>
      <c r="AD60" s="57">
        <f>IF(AD$14=1,'Inputs (2)'!AD48,AB60*(1+Inputs!AD$279))</f>
        <v>24855.595</v>
      </c>
      <c r="AE60" s="57">
        <f>IF(AE$14=1,'Inputs (2)'!AE48,AD60*(1+Inputs!AE$279))</f>
        <v>31209.446</v>
      </c>
      <c r="AF60" s="57">
        <f>IF(AF$14=1,'Inputs (2)'!AF48,AE60*(1+Inputs!AF$279))</f>
        <v>30917.302</v>
      </c>
      <c r="AG60" s="57">
        <f>IF(AG$14=1,'Inputs (2)'!AG48,AF60*(1+Inputs!AG$279))</f>
        <v>44922.895</v>
      </c>
      <c r="AH60" s="77">
        <f>AG60</f>
        <v>44922.895</v>
      </c>
      <c r="AI60" s="57">
        <f>IF(AI$14=1,'Inputs (2)'!AI48,AG60*(1+Inputs!AI$279))</f>
        <v>45229.127</v>
      </c>
      <c r="AJ60" s="57">
        <f>IF(AJ$14=1,'Inputs (2)'!AJ48,AI60*(1+Inputs!AJ$279))</f>
        <v>45057.213</v>
      </c>
      <c r="AK60" s="57">
        <f>IF(AK$14=1,'Inputs (2)'!AK48,AJ60*(1+Inputs!AK$279))</f>
        <v>45057.213</v>
      </c>
      <c r="AL60" s="57">
        <f>IF(AL$14=1,'Inputs (2)'!AL48,AK60*(1+Inputs!AL$279))</f>
        <v>45057.213</v>
      </c>
      <c r="AM60" s="77">
        <f>AL60</f>
        <v>45057.213</v>
      </c>
      <c r="AN60" s="57">
        <f>IF(AN$14=1,'Inputs (2)'!AN48,AL60*(1+Inputs!AN$279))</f>
        <v>45057.213</v>
      </c>
      <c r="AO60" s="57">
        <f>IF(AO$14=1,'Inputs (2)'!AO48,AN60*(1+Inputs!AO$279))</f>
        <v>45057.213</v>
      </c>
      <c r="AP60" s="57">
        <f>IF(AP$14=1,'Inputs (2)'!AP48,AO60*(1+Inputs!AP$279))</f>
        <v>45057.213</v>
      </c>
      <c r="AQ60" s="57">
        <f>IF(AQ$14=1,'Inputs (2)'!AQ48,AP60*(1+Inputs!AQ$279))</f>
        <v>45057.213</v>
      </c>
      <c r="AR60" s="77">
        <f>AQ60</f>
        <v>45057.213</v>
      </c>
      <c r="AS60" s="57">
        <f>IF(AS$14=1,'Inputs (2)'!AS48,AQ60*(1+Inputs!AS$279))</f>
        <v>45057.213</v>
      </c>
      <c r="AT60" s="57">
        <f>IF(AT$14=1,'Inputs (2)'!AT48,AS60*(1+Inputs!AT$279))</f>
        <v>45057.213</v>
      </c>
      <c r="AU60" s="57">
        <f>IF(AU$14=1,'Inputs (2)'!AU48,AT60*(1+Inputs!AU$279))</f>
        <v>45057.213</v>
      </c>
      <c r="AV60" s="57">
        <f>IF(AV$14=1,'Inputs (2)'!AV48,AU60*(1+Inputs!AV$279))</f>
        <v>45057.213</v>
      </c>
      <c r="AW60" s="77">
        <f>AV60</f>
        <v>45057.213</v>
      </c>
      <c r="AX60" s="57">
        <f>IF(AX$14=1,'Inputs (2)'!AX48,AV60*(1+Inputs!AX$279))</f>
        <v>45057.213</v>
      </c>
      <c r="AY60" s="57">
        <f>IF(AY$14=1,'Inputs (2)'!AY48,AX60*(1+Inputs!AY$279))</f>
        <v>45057.213</v>
      </c>
      <c r="AZ60" s="57">
        <f>IF(AZ$14=1,'Inputs (2)'!AZ48,AY60*(1+Inputs!AZ$279))</f>
        <v>45057.213</v>
      </c>
      <c r="BA60" s="57">
        <f>IF(BA$14=1,'Inputs (2)'!BA48,AZ60*(1+Inputs!BA$279))</f>
        <v>45057.213</v>
      </c>
      <c r="BB60" s="77">
        <f>BA60</f>
        <v>45057.213</v>
      </c>
      <c r="BC60" s="57">
        <f>IF(BC$14=1,'Inputs (2)'!BC48,BA60*(1+Inputs!BC$279))</f>
        <v>45057.213</v>
      </c>
      <c r="BD60" s="57">
        <f>IF(BD$14=1,'Inputs (2)'!BD48,BC60*(1+Inputs!BD$279))</f>
        <v>45057.213</v>
      </c>
      <c r="BE60" s="57">
        <f>IF(BE$14=1,'Inputs (2)'!BE48,BD60*(1+Inputs!BE$279))</f>
        <v>45057.213</v>
      </c>
      <c r="BF60" s="57">
        <f>IF(BF$14=1,'Inputs (2)'!BF48,BE60*(1+Inputs!BF$279))</f>
        <v>45057.213</v>
      </c>
      <c r="BG60" s="77">
        <f>BF60</f>
        <v>45057.213</v>
      </c>
    </row>
    <row r="61" hidden="1" outlineLevel="1">
      <c r="C61" s="61" t="inlineStr">
        <is>
          <t>Repasses</t>
        </is>
      </c>
      <c r="D61" s="62" t="inlineStr">
        <is>
          <t>On-lending</t>
        </is>
      </c>
      <c r="E61" s="57">
        <f>'Inputs (2)'!E49</f>
        <v>0</v>
      </c>
      <c r="F61" s="57">
        <f>IF(F$14=1,'Inputs (2)'!F49,E61*(1+Inputs!F$279))</f>
        <v>0</v>
      </c>
      <c r="G61" s="57">
        <f>IF(G$14=1,'Inputs (2)'!G49,F61*(1+Inputs!G$279))</f>
        <v>0</v>
      </c>
      <c r="H61" s="57">
        <f>IF(H$14=1,'Inputs (2)'!H49,G61*(1+Inputs!H$279))</f>
        <v>0</v>
      </c>
      <c r="I61" s="77">
        <f>H61</f>
        <v>0</v>
      </c>
      <c r="J61" s="57">
        <f>IF(J$14=1,'Inputs (2)'!J49,H61*(1+Inputs!J$279))</f>
        <v>0</v>
      </c>
      <c r="K61" s="57">
        <f>IF(K$14=1,'Inputs (2)'!K49,J61*(1+Inputs!K$279))</f>
        <v>0</v>
      </c>
      <c r="L61" s="57">
        <f>IF(L$14=1,'Inputs (2)'!L49,K61*(1+Inputs!L$279))</f>
        <v>0</v>
      </c>
      <c r="M61" s="57">
        <f>IF(M$14=1,'Inputs (2)'!M49,L61*(1+Inputs!M$279))</f>
        <v>0</v>
      </c>
      <c r="N61" s="77">
        <f>M61</f>
        <v>0</v>
      </c>
      <c r="O61" s="57">
        <f>IF(O$14=1,'Inputs (2)'!O49,M61*(1+Inputs!O$279))</f>
        <v>0</v>
      </c>
      <c r="P61" s="57">
        <f>IF(P$14=1,'Inputs (2)'!P49,O61*(1+Inputs!P$279))</f>
        <v>0</v>
      </c>
      <c r="Q61" s="57">
        <f>IF(Q$14=1,'Inputs (2)'!Q49,P61*(1+Inputs!Q$279))</f>
        <v>0</v>
      </c>
      <c r="R61" s="57">
        <f>IF(R$14=1,'Inputs (2)'!R49,Q61*(1+Inputs!R$279))</f>
        <v>0</v>
      </c>
      <c r="S61" s="77">
        <f>R61</f>
        <v>0</v>
      </c>
      <c r="T61" s="57">
        <f>IF(T$14=1,'Inputs (2)'!T49,R61*(1+Inputs!T$279))</f>
        <v>0</v>
      </c>
      <c r="U61" s="57">
        <f>IF(U$14=1,'Inputs (2)'!U49,T61*(1+Inputs!U$279))</f>
        <v>0</v>
      </c>
      <c r="V61" s="57">
        <f>IF(V$14=1,'Inputs (2)'!V49,U61*(1+Inputs!V$279))</f>
        <v>0</v>
      </c>
      <c r="W61" s="57">
        <f>IF(W$14=1,'Inputs (2)'!W49,V61*(1+Inputs!W$279))</f>
        <v>0</v>
      </c>
      <c r="X61" s="77">
        <f>W61</f>
        <v>0</v>
      </c>
      <c r="Y61" s="57">
        <f>IF(Y$14=1,'Inputs (2)'!Y49,W61*(1+Inputs!Y$279))</f>
        <v>0</v>
      </c>
      <c r="Z61" s="57">
        <f>IF(Z$14=1,'Inputs (2)'!Z49,Y61*(1+Inputs!Z$279))</f>
        <v>0</v>
      </c>
      <c r="AA61" s="57">
        <f>IF(AA$14=1,'Inputs (2)'!AA49,Z61*(1+Inputs!AA$279))</f>
        <v>0</v>
      </c>
      <c r="AB61" s="57">
        <f>IF(AB$14=1,'Inputs (2)'!AB49,AA61*(1+Inputs!AB$279))</f>
        <v>0</v>
      </c>
      <c r="AC61" s="77">
        <f>AB61</f>
        <v>0</v>
      </c>
      <c r="AD61" s="57">
        <f>IF(AD$14=1,'Inputs (2)'!AD49,AB61*(1+Inputs!AD$279))</f>
        <v>0</v>
      </c>
      <c r="AE61" s="57">
        <f>IF(AE$14=1,'Inputs (2)'!AE49,AD61*(1+Inputs!AE$279))</f>
        <v>0</v>
      </c>
      <c r="AF61" s="57">
        <f>IF(AF$14=1,'Inputs (2)'!AF49,AE61*(1+Inputs!AF$279))</f>
        <v>0</v>
      </c>
      <c r="AG61" s="57">
        <f>IF(AG$14=1,'Inputs (2)'!AG49,AF61*(1+Inputs!AG$279))</f>
        <v>0</v>
      </c>
      <c r="AH61" s="77">
        <f>AG61</f>
        <v>0</v>
      </c>
      <c r="AI61" s="57">
        <f>IF(AI$14=1,'Inputs (2)'!AI49,AG61*(1+Inputs!AI$279))</f>
        <v>0</v>
      </c>
      <c r="AJ61" s="57">
        <f>IF(AJ$14=1,'Inputs (2)'!AJ49,AI61*(1+Inputs!AJ$279))</f>
        <v>0</v>
      </c>
      <c r="AK61" s="57">
        <f>IF(AK$14=1,'Inputs (2)'!AK49,AJ61*(1+Inputs!AK$279))</f>
        <v>0</v>
      </c>
      <c r="AL61" s="57">
        <f>IF(AL$14=1,'Inputs (2)'!AL49,AK61*(1+Inputs!AL$279))</f>
        <v>0</v>
      </c>
      <c r="AM61" s="77">
        <f>AL61</f>
        <v>0</v>
      </c>
      <c r="AN61" s="57">
        <f>IF(AN$14=1,'Inputs (2)'!AN49,AL61*(1+Inputs!AN$279))</f>
        <v>0</v>
      </c>
      <c r="AO61" s="57">
        <f>IF(AO$14=1,'Inputs (2)'!AO49,AN61*(1+Inputs!AO$279))</f>
        <v>0</v>
      </c>
      <c r="AP61" s="57">
        <f>IF(AP$14=1,'Inputs (2)'!AP49,AO61*(1+Inputs!AP$279))</f>
        <v>0</v>
      </c>
      <c r="AQ61" s="57">
        <f>IF(AQ$14=1,'Inputs (2)'!AQ49,AP61*(1+Inputs!AQ$279))</f>
        <v>0</v>
      </c>
      <c r="AR61" s="77">
        <f>AQ61</f>
        <v>0</v>
      </c>
      <c r="AS61" s="57">
        <f>IF(AS$14=1,'Inputs (2)'!AS49,AQ61*(1+Inputs!AS$279))</f>
        <v>0</v>
      </c>
      <c r="AT61" s="57">
        <f>IF(AT$14=1,'Inputs (2)'!AT49,AS61*(1+Inputs!AT$279))</f>
        <v>0</v>
      </c>
      <c r="AU61" s="57">
        <f>IF(AU$14=1,'Inputs (2)'!AU49,AT61*(1+Inputs!AU$279))</f>
        <v>0</v>
      </c>
      <c r="AV61" s="57">
        <f>IF(AV$14=1,'Inputs (2)'!AV49,AU61*(1+Inputs!AV$279))</f>
        <v>0</v>
      </c>
      <c r="AW61" s="77">
        <f>AV61</f>
        <v>0</v>
      </c>
      <c r="AX61" s="57">
        <f>IF(AX$14=1,'Inputs (2)'!AX49,AV61*(1+Inputs!AX$279))</f>
        <v>0</v>
      </c>
      <c r="AY61" s="57">
        <f>IF(AY$14=1,'Inputs (2)'!AY49,AX61*(1+Inputs!AY$279))</f>
        <v>0</v>
      </c>
      <c r="AZ61" s="57">
        <f>IF(AZ$14=1,'Inputs (2)'!AZ49,AY61*(1+Inputs!AZ$279))</f>
        <v>0</v>
      </c>
      <c r="BA61" s="57">
        <f>IF(BA$14=1,'Inputs (2)'!BA49,AZ61*(1+Inputs!BA$279))</f>
        <v>0</v>
      </c>
      <c r="BB61" s="77">
        <f>BA61</f>
        <v>0</v>
      </c>
      <c r="BC61" s="57">
        <f>IF(BC$14=1,'Inputs (2)'!BC49,BA61*(1+Inputs!BC$279))</f>
        <v>0</v>
      </c>
      <c r="BD61" s="57">
        <f>IF(BD$14=1,'Inputs (2)'!BD49,BC61*(1+Inputs!BD$279))</f>
        <v>0</v>
      </c>
      <c r="BE61" s="57">
        <f>IF(BE$14=1,'Inputs (2)'!BE49,BD61*(1+Inputs!BE$279))</f>
        <v>0</v>
      </c>
      <c r="BF61" s="57">
        <f>IF(BF$14=1,'Inputs (2)'!BF49,BE61*(1+Inputs!BF$279))</f>
        <v>0</v>
      </c>
      <c r="BG61" s="77">
        <f>BF61</f>
        <v>0</v>
      </c>
    </row>
    <row r="62" collapsed="1">
      <c r="C62" s="80" t="inlineStr">
        <is>
          <t>Derivativos</t>
        </is>
      </c>
      <c r="D62" s="81" t="inlineStr">
        <is>
          <t>Derivatives</t>
        </is>
      </c>
      <c r="E62" s="82">
        <f>'Inputs (2)'!E50</f>
        <v>8134.868933</v>
      </c>
      <c r="F62" s="82">
        <f>IF(F$14=1,'Inputs (2)'!F50,E62)</f>
        <v>10081.923142</v>
      </c>
      <c r="G62" s="82">
        <f>IF(G$14=1,'Inputs (2)'!G50,F62)</f>
        <v>9706.078819</v>
      </c>
      <c r="H62" s="82">
        <f>IF(H$14=1,'Inputs (2)'!H50,G62)</f>
        <v>7723.33872</v>
      </c>
      <c r="I62" s="77">
        <f>H62</f>
        <v>7723.33872</v>
      </c>
      <c r="J62" s="82">
        <f>IF(J$14=1,'Inputs (2)'!J50,H62)</f>
        <v>6682.922882</v>
      </c>
      <c r="K62" s="82">
        <f>IF(K$14=1,'Inputs (2)'!K50,J62)</f>
        <v>16558.778835</v>
      </c>
      <c r="L62" s="82">
        <f>IF(L$14=1,'Inputs (2)'!L50,K62)</f>
        <v>24613.828632</v>
      </c>
      <c r="M62" s="82">
        <f>IF(M$14=1,'Inputs (2)'!M50,L62)</f>
        <v>8120.097721</v>
      </c>
      <c r="N62" s="77">
        <f>M62</f>
        <v>8120.097721</v>
      </c>
      <c r="O62" s="82">
        <f>IF(O$14=1,'Inputs (2)'!O50,M62)</f>
        <v>26229.570584</v>
      </c>
      <c r="P62" s="82">
        <f>IF(P$14=1,'Inputs (2)'!P50,O62)</f>
        <v>18088.453741</v>
      </c>
      <c r="Q62" s="82">
        <f>IF(Q$14=1,'Inputs (2)'!Q50,P62)</f>
        <v>22647.023306</v>
      </c>
      <c r="R62" s="82">
        <f>IF(R$14=1,'Inputs (2)'!R50,Q62)</f>
        <v>13760.428873</v>
      </c>
      <c r="S62" s="77">
        <f>R62</f>
        <v>13760.428873</v>
      </c>
      <c r="T62" s="82">
        <f>IF(T$14=1,'Inputs (2)'!T50,R62)</f>
        <v>38159.461</v>
      </c>
      <c r="U62" s="82">
        <f>IF(U$14=1,'Inputs (2)'!U50,T62)</f>
        <v>29784.946</v>
      </c>
      <c r="V62" s="82">
        <f>IF(V$14=1,'Inputs (2)'!V50,U62)</f>
        <v>38669.105</v>
      </c>
      <c r="W62" s="82">
        <f>IF(W$14=1,'Inputs (2)'!W50,V62)</f>
        <v>25488.283</v>
      </c>
      <c r="X62" s="77">
        <f>W62</f>
        <v>25488.283</v>
      </c>
      <c r="Y62" s="82">
        <f>IF(Y$14=1,'Inputs (2)'!Y50,W62)</f>
        <v>45727.601</v>
      </c>
      <c r="Z62" s="82">
        <f>IF(Z$14=1,'Inputs (2)'!Z50,Y62)</f>
        <v>37775.461</v>
      </c>
      <c r="AA62" s="82">
        <f>IF(AA$14=1,'Inputs (2)'!AA50,Z62)</f>
        <v>31785.577</v>
      </c>
      <c r="AB62" s="82">
        <f>IF(AB$14=1,'Inputs (2)'!AB50,AA62)</f>
        <v>23038.943862</v>
      </c>
      <c r="AC62" s="77">
        <f>AB62</f>
        <v>23038.943862</v>
      </c>
      <c r="AD62" s="82">
        <f>IF(AD$14=1,'Inputs (2)'!AD50,AB62)</f>
        <v>48927.696</v>
      </c>
      <c r="AE62" s="82">
        <f>IF(AE$14=1,'Inputs (2)'!AE50,AD62)</f>
        <v>55157.264</v>
      </c>
      <c r="AF62" s="82">
        <f>IF(AF$14=1,'Inputs (2)'!AF50,AE62)</f>
        <v>51412.674</v>
      </c>
      <c r="AG62" s="82">
        <f>IF(AG$14=1,'Inputs (2)'!AG50,AF62)</f>
        <v>45337.313</v>
      </c>
      <c r="AH62" s="77">
        <f>AG62</f>
        <v>45337.313</v>
      </c>
      <c r="AI62" s="82">
        <f>IF(AI$14=1,'Inputs (2)'!AI50,AG62)</f>
        <v>60032.449</v>
      </c>
      <c r="AJ62" s="82">
        <f>IF(AJ$14=1,'Inputs (2)'!AJ50,AI62)</f>
        <v>69372.917</v>
      </c>
      <c r="AK62" s="82">
        <f>IF(AK$14=1,'Inputs (2)'!AK50,AJ62)</f>
        <v>69372.917</v>
      </c>
      <c r="AL62" s="82">
        <f>IF(AL$14=1,'Inputs (2)'!AL50,AK62)</f>
        <v>69372.917</v>
      </c>
      <c r="AM62" s="77">
        <f>AL62</f>
        <v>69372.917</v>
      </c>
      <c r="AN62" s="82">
        <f>IF(AN$14=1,'Inputs (2)'!AN50,AL62)</f>
        <v>69372.917</v>
      </c>
      <c r="AO62" s="82">
        <f>IF(AO$14=1,'Inputs (2)'!AO50,AN62)</f>
        <v>69372.917</v>
      </c>
      <c r="AP62" s="82">
        <f>IF(AP$14=1,'Inputs (2)'!AP50,AO62)</f>
        <v>69372.917</v>
      </c>
      <c r="AQ62" s="82">
        <f>IF(AQ$14=1,'Inputs (2)'!AQ50,AP62)</f>
        <v>69372.917</v>
      </c>
      <c r="AR62" s="77">
        <f>AQ62</f>
        <v>69372.917</v>
      </c>
      <c r="AS62" s="82">
        <f>IF(AS$14=1,'Inputs (2)'!AS50,AQ62)</f>
        <v>69372.917</v>
      </c>
      <c r="AT62" s="82">
        <f>IF(AT$14=1,'Inputs (2)'!AT50,AS62)</f>
        <v>69372.917</v>
      </c>
      <c r="AU62" s="82">
        <f>IF(AU$14=1,'Inputs (2)'!AU50,AT62)</f>
        <v>69372.917</v>
      </c>
      <c r="AV62" s="82">
        <f>IF(AV$14=1,'Inputs (2)'!AV50,AU62)</f>
        <v>69372.917</v>
      </c>
      <c r="AW62" s="77">
        <f>AV62</f>
        <v>69372.917</v>
      </c>
      <c r="AX62" s="82">
        <f>IF(AX$14=1,'Inputs (2)'!AX50,AV62)</f>
        <v>69372.917</v>
      </c>
      <c r="AY62" s="82">
        <f>IF(AY$14=1,'Inputs (2)'!AY50,AX62)</f>
        <v>69372.917</v>
      </c>
      <c r="AZ62" s="82">
        <f>IF(AZ$14=1,'Inputs (2)'!AZ50,AY62)</f>
        <v>69372.917</v>
      </c>
      <c r="BA62" s="82">
        <f>IF(BA$14=1,'Inputs (2)'!BA50,AZ62)</f>
        <v>69372.917</v>
      </c>
      <c r="BB62" s="77">
        <f>BA62</f>
        <v>69372.917</v>
      </c>
      <c r="BC62" s="82">
        <f>IF(BC$14=1,'Inputs (2)'!BC50,BA62)</f>
        <v>69372.917</v>
      </c>
      <c r="BD62" s="82">
        <f>IF(BD$14=1,'Inputs (2)'!BD50,BC62)</f>
        <v>69372.917</v>
      </c>
      <c r="BE62" s="82">
        <f>IF(BE$14=1,'Inputs (2)'!BE50,BD62)</f>
        <v>69372.917</v>
      </c>
      <c r="BF62" s="82">
        <f>IF(BF$14=1,'Inputs (2)'!BF50,BE62)</f>
        <v>69372.917</v>
      </c>
      <c r="BG62" s="77">
        <f>BF62</f>
        <v>69372.917</v>
      </c>
    </row>
    <row r="63">
      <c r="C63" s="80" t="inlineStr">
        <is>
          <t>Relações Interfinanceiras e Interdependências</t>
        </is>
      </c>
      <c r="D63" s="81" t="inlineStr">
        <is>
          <t>Interbank Relations</t>
        </is>
      </c>
      <c r="E63" s="82">
        <f>'Inputs (2)'!E51</f>
        <v>43.73839</v>
      </c>
      <c r="F63" s="82">
        <f>IF(F$14=1,'Inputs (2)'!F51,E63*(1+Inputs!F$282))</f>
        <v>362.582573</v>
      </c>
      <c r="G63" s="82">
        <f>IF(G$14=1,'Inputs (2)'!G51,F63*(1+Inputs!G$282))</f>
        <v>75.859476</v>
      </c>
      <c r="H63" s="82">
        <f>IF(H$14=1,'Inputs (2)'!H51,G63*(1+Inputs!H$282))</f>
        <v>433.126908</v>
      </c>
      <c r="I63" s="77">
        <f>H63</f>
        <v>433.126908</v>
      </c>
      <c r="J63" s="82">
        <f>IF(J$14=1,'Inputs (2)'!J51,H63*(1+Inputs!J$282))</f>
        <v>386.206573</v>
      </c>
      <c r="K63" s="82">
        <f>IF(K$14=1,'Inputs (2)'!K51,J63*(1+Inputs!K$282))</f>
        <v>2462.068779</v>
      </c>
      <c r="L63" s="82">
        <f>IF(L$14=1,'Inputs (2)'!L51,K63*(1+Inputs!L$282))</f>
        <v>2924.135076</v>
      </c>
      <c r="M63" s="82">
        <f>IF(M$14=1,'Inputs (2)'!M51,L63*(1+Inputs!M$282))</f>
        <v>3801.739049</v>
      </c>
      <c r="N63" s="77">
        <f>M63</f>
        <v>3801.739049</v>
      </c>
      <c r="O63" s="82">
        <f>IF(O$14=1,'Inputs (2)'!O51,M63*(1+Inputs!O$282))</f>
        <v>4076.123813</v>
      </c>
      <c r="P63" s="82">
        <f>IF(P$14=1,'Inputs (2)'!P51,O63*(1+Inputs!P$282))</f>
        <v>3941.067808</v>
      </c>
      <c r="Q63" s="82">
        <f>IF(Q$14=1,'Inputs (2)'!Q51,P63*(1+Inputs!Q$282))</f>
        <v>3913.910727</v>
      </c>
      <c r="R63" s="82">
        <f>IF(R$14=1,'Inputs (2)'!R51,Q63*(1+Inputs!R$282))</f>
        <v>3497.419973</v>
      </c>
      <c r="S63" s="77">
        <f>R63</f>
        <v>3497.419973</v>
      </c>
      <c r="T63" s="82">
        <f>IF(T$14=1,'Inputs (2)'!T51,R63*(1+Inputs!T$282))</f>
        <v>3230.084</v>
      </c>
      <c r="U63" s="82">
        <f>IF(U$14=1,'Inputs (2)'!U51,T63*(1+Inputs!U$282))</f>
        <v>3650.434</v>
      </c>
      <c r="V63" s="82">
        <f>IF(V$14=1,'Inputs (2)'!V51,U63*(1+Inputs!V$282))</f>
        <v>3135.059</v>
      </c>
      <c r="W63" s="82">
        <f>IF(W$14=1,'Inputs (2)'!W51,V63*(1+Inputs!W$282))</f>
        <v>3452.403</v>
      </c>
      <c r="X63" s="77">
        <f>W63</f>
        <v>3452.403</v>
      </c>
      <c r="Y63" s="82">
        <f>IF(Y$14=1,'Inputs (2)'!Y51,W63*(1+Inputs!Y$282))</f>
        <v>3429.14</v>
      </c>
      <c r="Z63" s="82">
        <f>IF(Z$14=1,'Inputs (2)'!Z51,Y63*(1+Inputs!Z$282))</f>
        <v>3565.008</v>
      </c>
      <c r="AA63" s="82">
        <f>IF(AA$14=1,'Inputs (2)'!AA51,Z63*(1+Inputs!AA$282))</f>
        <v>3788.48</v>
      </c>
      <c r="AB63" s="82">
        <f>IF(AB$14=1,'Inputs (2)'!AB51,AA63*(1+Inputs!AB$282))</f>
        <v>4937.891</v>
      </c>
      <c r="AC63" s="77">
        <f>AB63</f>
        <v>4937.891</v>
      </c>
      <c r="AD63" s="82">
        <f>IF(AD$14=1,'Inputs (2)'!AD51,AB63*(1+Inputs!AD$282))</f>
        <v>4982.752</v>
      </c>
      <c r="AE63" s="82">
        <f>IF(AE$14=1,'Inputs (2)'!AE51,AD63*(1+Inputs!AE$282))</f>
        <v>5325.121</v>
      </c>
      <c r="AF63" s="82">
        <f>IF(AF$14=1,'Inputs (2)'!AF51,AE63*(1+Inputs!AF$282))</f>
        <v>5533.529</v>
      </c>
      <c r="AG63" s="82">
        <f>IF(AG$14=1,'Inputs (2)'!AG51,AF63*(1+Inputs!AG$282))</f>
        <v>5705.277</v>
      </c>
      <c r="AH63" s="77">
        <f>AG63</f>
        <v>5705.277</v>
      </c>
      <c r="AI63" s="82">
        <f>IF(AI$14=1,'Inputs (2)'!AI51,AG63*(1+Inputs!AI$282))</f>
        <v>5522.484</v>
      </c>
      <c r="AJ63" s="82">
        <f>IF(AJ$14=1,'Inputs (2)'!AJ51,AI63*(1+Inputs!AJ$282))</f>
        <v>5732.639</v>
      </c>
      <c r="AK63" s="82">
        <f>IF(AK$14=1,'Inputs (2)'!AK51,AJ63*(1+Inputs!AK$282))</f>
        <v>5732.639</v>
      </c>
      <c r="AL63" s="82">
        <f>IF(AL$14=1,'Inputs (2)'!AL51,AK63*(1+Inputs!AL$282))</f>
        <v>5732.639</v>
      </c>
      <c r="AM63" s="77">
        <f>AL63</f>
        <v>5732.639</v>
      </c>
      <c r="AN63" s="82">
        <f>IF(AN$14=1,'Inputs (2)'!AN51,AL63*(1+Inputs!AN$282))</f>
        <v>5732.639</v>
      </c>
      <c r="AO63" s="82">
        <f>IF(AO$14=1,'Inputs (2)'!AO51,AN63*(1+Inputs!AO$282))</f>
        <v>5732.639</v>
      </c>
      <c r="AP63" s="82">
        <f>IF(AP$14=1,'Inputs (2)'!AP51,AO63*(1+Inputs!AP$282))</f>
        <v>5732.639</v>
      </c>
      <c r="AQ63" s="82">
        <f>IF(AQ$14=1,'Inputs (2)'!AQ51,AP63*(1+Inputs!AQ$282))</f>
        <v>5732.639</v>
      </c>
      <c r="AR63" s="77">
        <f>AQ63</f>
        <v>5732.639</v>
      </c>
      <c r="AS63" s="82">
        <f>IF(AS$14=1,'Inputs (2)'!AS51,AQ63*(1+Inputs!AS$282))</f>
        <v>5732.639</v>
      </c>
      <c r="AT63" s="82">
        <f>IF(AT$14=1,'Inputs (2)'!AT51,AS63*(1+Inputs!AT$282))</f>
        <v>5732.639</v>
      </c>
      <c r="AU63" s="82">
        <f>IF(AU$14=1,'Inputs (2)'!AU51,AT63*(1+Inputs!AU$282))</f>
        <v>5732.639</v>
      </c>
      <c r="AV63" s="82">
        <f>IF(AV$14=1,'Inputs (2)'!AV51,AU63*(1+Inputs!AV$282))</f>
        <v>5732.639</v>
      </c>
      <c r="AW63" s="77">
        <f>AV63</f>
        <v>5732.639</v>
      </c>
      <c r="AX63" s="82">
        <f>IF(AX$14=1,'Inputs (2)'!AX51,AV63*(1+Inputs!AX$282))</f>
        <v>5732.639</v>
      </c>
      <c r="AY63" s="82">
        <f>IF(AY$14=1,'Inputs (2)'!AY51,AX63*(1+Inputs!AY$282))</f>
        <v>5732.639</v>
      </c>
      <c r="AZ63" s="82">
        <f>IF(AZ$14=1,'Inputs (2)'!AZ51,AY63*(1+Inputs!AZ$282))</f>
        <v>5732.639</v>
      </c>
      <c r="BA63" s="82">
        <f>IF(BA$14=1,'Inputs (2)'!BA51,AZ63*(1+Inputs!BA$282))</f>
        <v>5732.639</v>
      </c>
      <c r="BB63" s="77">
        <f>BA63</f>
        <v>5732.639</v>
      </c>
      <c r="BC63" s="82">
        <f>IF(BC$14=1,'Inputs (2)'!BC51,BA63*(1+Inputs!BC$282))</f>
        <v>5732.639</v>
      </c>
      <c r="BD63" s="82">
        <f>IF(BD$14=1,'Inputs (2)'!BD51,BC63*(1+Inputs!BD$282))</f>
        <v>5732.639</v>
      </c>
      <c r="BE63" s="82">
        <f>IF(BE$14=1,'Inputs (2)'!BE51,BD63*(1+Inputs!BE$282))</f>
        <v>5732.639</v>
      </c>
      <c r="BF63" s="82">
        <f>IF(BF$14=1,'Inputs (2)'!BF51,BE63*(1+Inputs!BF$282))</f>
        <v>5732.639</v>
      </c>
      <c r="BG63" s="77">
        <f>BF63</f>
        <v>5732.639</v>
      </c>
    </row>
    <row r="64">
      <c r="C64" s="80" t="inlineStr">
        <is>
          <t>Provisões p/ Garantias Financeiras e Compromissos</t>
        </is>
      </c>
      <c r="D64" s="81" t="inlineStr">
        <is>
          <t>Provisions for Guarantees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Provisões Técnicas de Seguros e Previdência</t>
        </is>
      </c>
      <c r="D65" s="81" t="inlineStr">
        <is>
          <t>Technical Provisions</t>
        </is>
      </c>
      <c r="E65" s="82">
        <f>'Inputs (2)'!E53</f>
        <v>0</v>
      </c>
      <c r="F65" s="82">
        <f>IF(F$14=1,'Inputs (2)'!F53,E65*(1+Inputs!F$282))</f>
        <v>0</v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>H65</f>
        <v>0</v>
      </c>
      <c r="J65" s="82">
        <f>IF(J$14=1,'Inputs (2)'!J53,H65*(1+Inputs!J$282))</f>
        <v>0</v>
      </c>
      <c r="K65" s="82">
        <f>IF(K$14=1,'Inputs (2)'!K53,J65*(1+Inputs!K$282))</f>
        <v>0</v>
      </c>
      <c r="L65" s="82">
        <f>IF(L$14=1,'Inputs (2)'!L53,K65*(1+Inputs!L$282))</f>
        <v>0</v>
      </c>
      <c r="M65" s="82">
        <f>IF(M$14=1,'Inputs (2)'!M53,L65*(1+Inputs!M$282))</f>
        <v>0</v>
      </c>
      <c r="N65" s="77">
        <f>M65</f>
        <v>0</v>
      </c>
      <c r="O65" s="82">
        <f>IF(O$14=1,'Inputs (2)'!O53,M65*(1+Inputs!O$282))</f>
        <v>0</v>
      </c>
      <c r="P65" s="82">
        <f>IF(P$14=1,'Inputs (2)'!P53,O65*(1+Inputs!P$282))</f>
        <v>0</v>
      </c>
      <c r="Q65" s="82">
        <f>IF(Q$14=1,'Inputs (2)'!Q53,P65*(1+Inputs!Q$282))</f>
        <v>0</v>
      </c>
      <c r="R65" s="82">
        <f>IF(R$14=1,'Inputs (2)'!R53,Q65*(1+Inputs!R$282))</f>
        <v>0</v>
      </c>
      <c r="S65" s="77">
        <f>R65</f>
        <v>0</v>
      </c>
      <c r="T65" s="82">
        <f>IF(T$14=1,'Inputs (2)'!T53,R65*(1+Inputs!T$282))</f>
        <v>0</v>
      </c>
      <c r="U65" s="82">
        <f>IF(U$14=1,'Inputs (2)'!U53,T65*(1+Inputs!U$282))</f>
        <v>0</v>
      </c>
      <c r="V65" s="82">
        <f>IF(V$14=1,'Inputs (2)'!V53,U65*(1+Inputs!V$282))</f>
        <v>0</v>
      </c>
      <c r="W65" s="82">
        <f>IF(W$14=1,'Inputs (2)'!W53,V65*(1+Inputs!W$282))</f>
        <v>0</v>
      </c>
      <c r="X65" s="77">
        <f>W65</f>
        <v>0</v>
      </c>
      <c r="Y65" s="82">
        <f>IF(Y$14=1,'Inputs (2)'!Y53,W65*(1+Inputs!Y$282))</f>
        <v>0</v>
      </c>
      <c r="Z65" s="82">
        <f>IF(Z$14=1,'Inputs (2)'!Z53,Y65*(1+Inputs!Z$282))</f>
        <v>0</v>
      </c>
      <c r="AA65" s="82">
        <f>IF(AA$14=1,'Inputs (2)'!AA53,Z65*(1+Inputs!AA$282))</f>
        <v>0</v>
      </c>
      <c r="AB65" s="82">
        <f>IF(AB$14=1,'Inputs (2)'!AB53,AA65*(1+Inputs!AB$282))</f>
        <v>0</v>
      </c>
      <c r="AC65" s="77">
        <f>AB65</f>
        <v>0</v>
      </c>
      <c r="AD65" s="82">
        <f>IF(AD$14=1,'Inputs (2)'!AD53,AB65*(1+Inputs!AD$282))</f>
        <v>0</v>
      </c>
      <c r="AE65" s="82">
        <f>IF(AE$14=1,'Inputs (2)'!AE53,AD65*(1+Inputs!AE$282))</f>
        <v>0</v>
      </c>
      <c r="AF65" s="82">
        <f>IF(AF$14=1,'Inputs (2)'!AF53,AE65*(1+Inputs!AF$282))</f>
        <v>0</v>
      </c>
      <c r="AG65" s="82">
        <f>IF(AG$14=1,'Inputs (2)'!AG53,AF65*(1+Inputs!AG$282))</f>
        <v>0</v>
      </c>
      <c r="AH65" s="77">
        <f>AG65</f>
        <v>0</v>
      </c>
      <c r="AI65" s="82">
        <f>IF(AI$14=1,'Inputs (2)'!AI53,AG65*(1+Inputs!AI$282))</f>
        <v>0</v>
      </c>
      <c r="AJ65" s="82">
        <f>IF(AJ$14=1,'Inputs (2)'!AJ53,AI65*(1+Inputs!AJ$282))</f>
        <v>0</v>
      </c>
      <c r="AK65" s="82">
        <f>IF(AK$14=1,'Inputs (2)'!AK53,AJ65*(1+Inputs!AK$282))</f>
        <v>0</v>
      </c>
      <c r="AL65" s="82">
        <f>IF(AL$14=1,'Inputs (2)'!AL53,AK65*(1+Inputs!AL$282))</f>
        <v>0</v>
      </c>
      <c r="AM65" s="77">
        <f>AL65</f>
        <v>0</v>
      </c>
      <c r="AN65" s="82">
        <f>IF(AN$14=1,'Inputs (2)'!AN53,AL65*(1+Inputs!AN$282))</f>
        <v>0</v>
      </c>
      <c r="AO65" s="82">
        <f>IF(AO$14=1,'Inputs (2)'!AO53,AN65*(1+Inputs!AO$282))</f>
        <v>0</v>
      </c>
      <c r="AP65" s="82">
        <f>IF(AP$14=1,'Inputs (2)'!AP53,AO65*(1+Inputs!AP$282))</f>
        <v>0</v>
      </c>
      <c r="AQ65" s="82">
        <f>IF(AQ$14=1,'Inputs (2)'!AQ53,AP65*(1+Inputs!AQ$282))</f>
        <v>0</v>
      </c>
      <c r="AR65" s="77">
        <f>AQ65</f>
        <v>0</v>
      </c>
      <c r="AS65" s="82">
        <f>IF(AS$14=1,'Inputs (2)'!AS53,AQ65*(1+Inputs!AS$282))</f>
        <v>0</v>
      </c>
      <c r="AT65" s="82">
        <f>IF(AT$14=1,'Inputs (2)'!AT53,AS65*(1+Inputs!AT$282))</f>
        <v>0</v>
      </c>
      <c r="AU65" s="82">
        <f>IF(AU$14=1,'Inputs (2)'!AU53,AT65*(1+Inputs!AU$282))</f>
        <v>0</v>
      </c>
      <c r="AV65" s="82">
        <f>IF(AV$14=1,'Inputs (2)'!AV53,AU65*(1+Inputs!AV$282))</f>
        <v>0</v>
      </c>
      <c r="AW65" s="77">
        <f>AV65</f>
        <v>0</v>
      </c>
      <c r="AX65" s="82">
        <f>IF(AX$14=1,'Inputs (2)'!AX53,AV65*(1+Inputs!AX$282))</f>
        <v>0</v>
      </c>
      <c r="AY65" s="82">
        <f>IF(AY$14=1,'Inputs (2)'!AY53,AX65*(1+Inputs!AY$282))</f>
        <v>0</v>
      </c>
      <c r="AZ65" s="82">
        <f>IF(AZ$14=1,'Inputs (2)'!AZ53,AY65*(1+Inputs!AZ$282))</f>
        <v>0</v>
      </c>
      <c r="BA65" s="82">
        <f>IF(BA$14=1,'Inputs (2)'!BA53,AZ65*(1+Inputs!BA$282))</f>
        <v>0</v>
      </c>
      <c r="BB65" s="77">
        <f>BA65</f>
        <v>0</v>
      </c>
      <c r="BC65" s="82">
        <f>IF(BC$14=1,'Inputs (2)'!BC53,BA65*(1+Inputs!BC$282))</f>
        <v>0</v>
      </c>
      <c r="BD65" s="82">
        <f>IF(BD$14=1,'Inputs (2)'!BD53,BC65*(1+Inputs!BD$282))</f>
        <v>0</v>
      </c>
      <c r="BE65" s="82">
        <f>IF(BE$14=1,'Inputs (2)'!BE53,BD65*(1+Inputs!BE$282))</f>
        <v>0</v>
      </c>
      <c r="BF65" s="82">
        <f>IF(BF$14=1,'Inputs (2)'!BF53,BE65*(1+Inputs!BF$282))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>AG66</f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>AL66</f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>AQ66</f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>AV66</f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>BA66</f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>BF66</f>
        <v>0</v>
      </c>
    </row>
    <row r="67">
      <c r="C67" s="80" t="inlineStr">
        <is>
          <t>Obrigações Fiscais Correntes e Diferidas</t>
        </is>
      </c>
      <c r="D67" s="81" t="inlineStr">
        <is>
          <t>Tax Liabilities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>M67</f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>R67</f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>W67</f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>AB67</f>
        <v>0</v>
      </c>
      <c r="AD67" s="82">
        <f>IF(AD$14=1,'Inputs (2)'!AD55,AB67)</f>
        <v>0</v>
      </c>
      <c r="AE67" s="82">
        <f>IF(AE$14=1,'Inputs (2)'!AE55,AD67)</f>
        <v>0</v>
      </c>
      <c r="AF67" s="82">
        <f>IF(AF$14=1,'Inputs (2)'!AF55,AE67)</f>
        <v>0</v>
      </c>
      <c r="AG67" s="82">
        <f>IF(AG$14=1,'Inputs (2)'!AG55,AF67)</f>
        <v>0</v>
      </c>
      <c r="AH67" s="77">
        <f>AG67</f>
        <v>0</v>
      </c>
      <c r="AI67" s="82">
        <f>IF(AI$14=1,'Inputs (2)'!AI55,AG67)</f>
        <v>0</v>
      </c>
      <c r="AJ67" s="82">
        <f>IF(AJ$14=1,'Inputs (2)'!AJ55,AI67)</f>
        <v>0</v>
      </c>
      <c r="AK67" s="82">
        <f>IF(AK$14=1,'Inputs (2)'!AK55,AJ67)</f>
        <v>0</v>
      </c>
      <c r="AL67" s="82">
        <f>IF(AL$14=1,'Inputs (2)'!AL55,AK67)</f>
        <v>0</v>
      </c>
      <c r="AM67" s="77">
        <f>AL67</f>
        <v>0</v>
      </c>
      <c r="AN67" s="82">
        <f>IF(AN$14=1,'Inputs (2)'!AN55,AL67)</f>
        <v>0</v>
      </c>
      <c r="AO67" s="82">
        <f>IF(AO$14=1,'Inputs (2)'!AO55,AN67)</f>
        <v>0</v>
      </c>
      <c r="AP67" s="82">
        <f>IF(AP$14=1,'Inputs (2)'!AP55,AO67)</f>
        <v>0</v>
      </c>
      <c r="AQ67" s="82">
        <f>IF(AQ$14=1,'Inputs (2)'!AQ55,AP67)</f>
        <v>0</v>
      </c>
      <c r="AR67" s="77">
        <f>AQ67</f>
        <v>0</v>
      </c>
      <c r="AS67" s="82">
        <f>IF(AS$14=1,'Inputs (2)'!AS55,AQ67)</f>
        <v>0</v>
      </c>
      <c r="AT67" s="82">
        <f>IF(AT$14=1,'Inputs (2)'!AT55,AS67)</f>
        <v>0</v>
      </c>
      <c r="AU67" s="82">
        <f>IF(AU$14=1,'Inputs (2)'!AU55,AT67)</f>
        <v>0</v>
      </c>
      <c r="AV67" s="82">
        <f>IF(AV$14=1,'Inputs (2)'!AV55,AU67)</f>
        <v>0</v>
      </c>
      <c r="AW67" s="77">
        <f>AV67</f>
        <v>0</v>
      </c>
      <c r="AX67" s="82">
        <f>IF(AX$14=1,'Inputs (2)'!AX55,AV67)</f>
        <v>0</v>
      </c>
      <c r="AY67" s="82">
        <f>IF(AY$14=1,'Inputs (2)'!AY55,AX67)</f>
        <v>0</v>
      </c>
      <c r="AZ67" s="82">
        <f>IF(AZ$14=1,'Inputs (2)'!AZ55,AY67)</f>
        <v>0</v>
      </c>
      <c r="BA67" s="82">
        <f>IF(BA$14=1,'Inputs (2)'!BA55,AZ67)</f>
        <v>0</v>
      </c>
      <c r="BB67" s="77">
        <f>BA67</f>
        <v>0</v>
      </c>
      <c r="BC67" s="82">
        <f>IF(BC$14=1,'Inputs (2)'!BC55,BA67)</f>
        <v>0</v>
      </c>
      <c r="BD67" s="82">
        <f>IF(BD$14=1,'Inputs (2)'!BD55,BC67)</f>
        <v>0</v>
      </c>
      <c r="BE67" s="82">
        <f>IF(BE$14=1,'Inputs (2)'!BE55,BD67)</f>
        <v>0</v>
      </c>
      <c r="BF67" s="82">
        <f>IF(BF$14=1,'Inputs (2)'!BF55,BE67)</f>
        <v>0</v>
      </c>
      <c r="BG67" s="77">
        <f>BF67</f>
        <v>0</v>
      </c>
    </row>
    <row r="68">
      <c r="C68" s="80" t="inlineStr">
        <is>
          <t>Outros Passivos</t>
        </is>
      </c>
      <c r="D68" s="81" t="inlineStr">
        <is>
          <t>Other Liabilities</t>
        </is>
      </c>
      <c r="E68" s="82">
        <f>'Inputs (2)'!E56</f>
        <v>57399.716735</v>
      </c>
      <c r="F68" s="82">
        <f>IF(F$14=1,'Inputs (2)'!F56,E68*(1+Inputs!F$282))</f>
        <v>60724.280921</v>
      </c>
      <c r="G68" s="82">
        <f>IF(G$14=1,'Inputs (2)'!G56,F68*(1+Inputs!G$282))</f>
        <v>57141.052526</v>
      </c>
      <c r="H68" s="82">
        <f>IF(H$14=1,'Inputs (2)'!H56,G68*(1+Inputs!H$282))</f>
        <v>40128.71917</v>
      </c>
      <c r="I68" s="77">
        <f>H68</f>
        <v>40128.71917</v>
      </c>
      <c r="J68" s="82">
        <f>IF(J$14=1,'Inputs (2)'!J56,H68*(1+Inputs!J$282))</f>
        <v>65228.174051</v>
      </c>
      <c r="K68" s="82">
        <f>IF(K$14=1,'Inputs (2)'!K56,J68*(1+Inputs!K$282))</f>
        <v>52136.988853</v>
      </c>
      <c r="L68" s="82">
        <f>IF(L$14=1,'Inputs (2)'!L56,K68*(1+Inputs!L$282))</f>
        <v>41020.796609</v>
      </c>
      <c r="M68" s="82">
        <f>IF(M$14=1,'Inputs (2)'!M56,L68*(1+Inputs!M$282))</f>
        <v>55017.918358</v>
      </c>
      <c r="N68" s="77">
        <f>M68</f>
        <v>55017.918358</v>
      </c>
      <c r="O68" s="82">
        <f>IF(O$14=1,'Inputs (2)'!O56,M68*(1+Inputs!O$282))</f>
        <v>57853.129221</v>
      </c>
      <c r="P68" s="82">
        <f>IF(P$14=1,'Inputs (2)'!P56,O68*(1+Inputs!P$282))</f>
        <v>102862.248472</v>
      </c>
      <c r="Q68" s="82">
        <f>IF(Q$14=1,'Inputs (2)'!Q56,P68*(1+Inputs!Q$282))</f>
        <v>67408.369062</v>
      </c>
      <c r="R68" s="82">
        <f>IF(R$14=1,'Inputs (2)'!R56,Q68*(1+Inputs!R$282))</f>
        <v>97632.691487</v>
      </c>
      <c r="S68" s="77">
        <f>R68</f>
        <v>97632.691487</v>
      </c>
      <c r="T68" s="82">
        <f>IF(T$14=1,'Inputs (2)'!T56,R68*(1+Inputs!T$282))</f>
        <v>85734.066</v>
      </c>
      <c r="U68" s="82">
        <f>IF(U$14=1,'Inputs (2)'!U56,T68*(1+Inputs!U$282))</f>
        <v>86238.362</v>
      </c>
      <c r="V68" s="82">
        <f>IF(V$14=1,'Inputs (2)'!V56,U68*(1+Inputs!V$282))</f>
        <v>85169.819</v>
      </c>
      <c r="W68" s="82">
        <f>IF(W$14=1,'Inputs (2)'!W56,V68*(1+Inputs!W$282))</f>
        <v>88162.458422</v>
      </c>
      <c r="X68" s="77">
        <f>W68</f>
        <v>88162.458422</v>
      </c>
      <c r="Y68" s="82">
        <f>IF(Y$14=1,'Inputs (2)'!Y56,W68*(1+Inputs!Y$282))</f>
        <v>97669.008745</v>
      </c>
      <c r="Z68" s="82">
        <f>IF(Z$14=1,'Inputs (2)'!Z56,Y68*(1+Inputs!Z$282))</f>
        <v>110930.627</v>
      </c>
      <c r="AA68" s="82">
        <f>IF(AA$14=1,'Inputs (2)'!AA56,Z68*(1+Inputs!AA$282))</f>
        <v>112324.112</v>
      </c>
      <c r="AB68" s="82">
        <f>IF(AB$14=1,'Inputs (2)'!AB56,AA68*(1+Inputs!AB$282))</f>
        <v>102381.988765</v>
      </c>
      <c r="AC68" s="77">
        <f>AB68</f>
        <v>102381.988765</v>
      </c>
      <c r="AD68" s="82">
        <f>IF(AD$14=1,'Inputs (2)'!AD56,AB68*(1+Inputs!AD$282))</f>
        <v>101605.325</v>
      </c>
      <c r="AE68" s="82">
        <f>IF(AE$14=1,'Inputs (2)'!AE56,AD68*(1+Inputs!AE$282))</f>
        <v>112692.287</v>
      </c>
      <c r="AF68" s="82">
        <f>IF(AF$14=1,'Inputs (2)'!AF56,AE68*(1+Inputs!AF$282))</f>
        <v>115077.435</v>
      </c>
      <c r="AG68" s="82">
        <f>IF(AG$14=1,'Inputs (2)'!AG56,AF68*(1+Inputs!AG$282))</f>
        <v>134304.433</v>
      </c>
      <c r="AH68" s="77">
        <f>AG68</f>
        <v>134304.433</v>
      </c>
      <c r="AI68" s="82">
        <f>IF(AI$14=1,'Inputs (2)'!AI56,AG68*(1+Inputs!AI$282))</f>
        <v>141164.309</v>
      </c>
      <c r="AJ68" s="82">
        <f>IF(AJ$14=1,'Inputs (2)'!AJ56,AI68*(1+Inputs!AJ$282))</f>
        <v>149004.948</v>
      </c>
      <c r="AK68" s="82">
        <f>IF(AK$14=1,'Inputs (2)'!AK56,AJ68*(1+Inputs!AK$282))</f>
        <v>149004.948</v>
      </c>
      <c r="AL68" s="82">
        <f>IF(AL$14=1,'Inputs (2)'!AL56,AK68*(1+Inputs!AL$282))</f>
        <v>149004.948</v>
      </c>
      <c r="AM68" s="77">
        <f>AL68</f>
        <v>149004.948</v>
      </c>
      <c r="AN68" s="82">
        <f>IF(AN$14=1,'Inputs (2)'!AN56,AL68*(1+Inputs!AN$282))</f>
        <v>149004.948</v>
      </c>
      <c r="AO68" s="82">
        <f>IF(AO$14=1,'Inputs (2)'!AO56,AN68*(1+Inputs!AO$282))</f>
        <v>149004.948</v>
      </c>
      <c r="AP68" s="82">
        <f>IF(AP$14=1,'Inputs (2)'!AP56,AO68*(1+Inputs!AP$282))</f>
        <v>149004.948</v>
      </c>
      <c r="AQ68" s="82">
        <f>IF(AQ$14=1,'Inputs (2)'!AQ56,AP68*(1+Inputs!AQ$282))</f>
        <v>149004.948</v>
      </c>
      <c r="AR68" s="77">
        <f>AQ68</f>
        <v>149004.948</v>
      </c>
      <c r="AS68" s="82">
        <f>IF(AS$14=1,'Inputs (2)'!AS56,AQ68*(1+Inputs!AS$282))</f>
        <v>149004.948</v>
      </c>
      <c r="AT68" s="82">
        <f>IF(AT$14=1,'Inputs (2)'!AT56,AS68*(1+Inputs!AT$282))</f>
        <v>149004.948</v>
      </c>
      <c r="AU68" s="82">
        <f>IF(AU$14=1,'Inputs (2)'!AU56,AT68*(1+Inputs!AU$282))</f>
        <v>149004.948</v>
      </c>
      <c r="AV68" s="82">
        <f>IF(AV$14=1,'Inputs (2)'!AV56,AU68*(1+Inputs!AV$282))</f>
        <v>149004.948</v>
      </c>
      <c r="AW68" s="77">
        <f>AV68</f>
        <v>149004.948</v>
      </c>
      <c r="AX68" s="82">
        <f>IF(AX$14=1,'Inputs (2)'!AX56,AV68*(1+Inputs!AX$282))</f>
        <v>149004.948</v>
      </c>
      <c r="AY68" s="82">
        <f>IF(AY$14=1,'Inputs (2)'!AY56,AX68*(1+Inputs!AY$282))</f>
        <v>149004.948</v>
      </c>
      <c r="AZ68" s="82">
        <f>IF(AZ$14=1,'Inputs (2)'!AZ56,AY68*(1+Inputs!AZ$282))</f>
        <v>149004.948</v>
      </c>
      <c r="BA68" s="82">
        <f>IF(BA$14=1,'Inputs (2)'!BA56,AZ68*(1+Inputs!BA$282))</f>
        <v>149004.948</v>
      </c>
      <c r="BB68" s="77">
        <f>BA68</f>
        <v>149004.948</v>
      </c>
      <c r="BC68" s="82">
        <f>IF(BC$14=1,'Inputs (2)'!BC56,BA68*(1+Inputs!BC$282))</f>
        <v>149004.948</v>
      </c>
      <c r="BD68" s="82">
        <f>IF(BD$14=1,'Inputs (2)'!BD56,BC68*(1+Inputs!BD$282))</f>
        <v>149004.948</v>
      </c>
      <c r="BE68" s="82">
        <f>IF(BE$14=1,'Inputs (2)'!BE56,BD68*(1+Inputs!BE$282))</f>
        <v>149004.948</v>
      </c>
      <c r="BF68" s="82">
        <f>IF(BF$14=1,'Inputs (2)'!BF56,BE68*(1+Inputs!BF$282))</f>
        <v>149004.948</v>
      </c>
      <c r="BG68" s="77">
        <f>BF68</f>
        <v>149004.948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178013.750104</v>
      </c>
      <c r="F69" s="59">
        <f>F44+F50+F54+F59+F62+F63+F64+F65+F66+F67+F68</f>
        <v>204465.238464</v>
      </c>
      <c r="G69" s="59">
        <f>G44+G50+G54+G59+G62+G63+G64+G65+G66+G67+G68</f>
        <v>226741.560302</v>
      </c>
      <c r="H69" s="59">
        <f>H44+H50+H54+H59+H62+H63+H64+H65+H66+H67+H68</f>
        <v>217799.386401</v>
      </c>
      <c r="I69" s="60">
        <f>H69</f>
        <v>217799.386401</v>
      </c>
      <c r="J69" s="59">
        <f>J44+J50+J54+J59+J62+J63+J64+J65+J66+J67+J68</f>
        <v>248830.928746</v>
      </c>
      <c r="K69" s="59">
        <f>K44+K50+K54+K59+K62+K63+K64+K65+K66+K67+K68</f>
        <v>297882.31555</v>
      </c>
      <c r="L69" s="59">
        <f>L44+L50+L54+L59+L62+L63+L64+L65+L66+L67+L68</f>
        <v>332853.365811</v>
      </c>
      <c r="M69" s="59">
        <f>M44+M50+M54+M59+M62+M63+M64+M65+M66+M67+M68</f>
        <v>305627.826776</v>
      </c>
      <c r="N69" s="60">
        <f>M69</f>
        <v>305627.826776</v>
      </c>
      <c r="O69" s="59">
        <f>O44+O50+O54+O59+O62+O63+O64+O65+O66+O67+O68</f>
        <v>347735.884253</v>
      </c>
      <c r="P69" s="59">
        <f>P44+P50+P54+P59+P62+P63+P64+P65+P66+P67+P68</f>
        <v>409193.728002</v>
      </c>
      <c r="Q69" s="59">
        <f>Q44+Q50+Q54+Q59+Q62+Q63+Q64+Q65+Q66+Q67+Q68</f>
        <v>392873.126905</v>
      </c>
      <c r="R69" s="59">
        <f>R44+R50+R54+R59+R62+R63+R64+R65+R66+R67+R68</f>
        <v>403998.77638</v>
      </c>
      <c r="S69" s="60">
        <f>R69</f>
        <v>403998.77638</v>
      </c>
      <c r="T69" s="59">
        <f>T44+T50+T54+T59+T62+T63+T64+T65+T66+T67+T68</f>
        <v>421802.542</v>
      </c>
      <c r="U69" s="59">
        <f>U44+U50+U54+U59+U62+U63+U64+U65+U66+U67+U68</f>
        <v>423112.572</v>
      </c>
      <c r="V69" s="59">
        <f>V44+V50+V54+V59+V62+V63+V64+V65+V66+V67+V68</f>
        <v>444742.938</v>
      </c>
      <c r="W69" s="59">
        <f>W44+W50+W54+W59+W62+W63+W64+W65+W66+W67+W68</f>
        <v>439697.381536</v>
      </c>
      <c r="X69" s="60">
        <f>W69</f>
        <v>439697.381536</v>
      </c>
      <c r="Y69" s="59">
        <f>Y44+Y50+Y54+Y59+Y62+Y63+Y64+Y65+Y66+Y67+Y68</f>
        <v>511690.966745</v>
      </c>
      <c r="Z69" s="59">
        <f>Z44+Z50+Z54+Z59+Z62+Z63+Z64+Z65+Z66+Z67+Z68</f>
        <v>542558.13</v>
      </c>
      <c r="AA69" s="59">
        <f>AA44+AA50+AA54+AA59+AA62+AA63+AA64+AA65+AA66+AA67+AA68</f>
        <v>548841.765</v>
      </c>
      <c r="AB69" s="59">
        <f>AB44+AB50+AB54+AB59+AB62+AB63+AB64+AB65+AB66+AB67+AB68</f>
        <v>524843.488627</v>
      </c>
      <c r="AC69" s="60">
        <f>AB69</f>
        <v>524843.488627</v>
      </c>
      <c r="AD69" s="59">
        <f>AD44+AD50+AD54+AD59+AD62+AD63+AD64+AD65+AD66+AD67+AD68</f>
        <v>542980.411</v>
      </c>
      <c r="AE69" s="59">
        <f>AE44+AE50+AE54+AE59+AE62+AE63+AE64+AE65+AE66+AE67+AE68</f>
        <v>586322.324</v>
      </c>
      <c r="AF69" s="59">
        <f>AF44+AF50+AF54+AF59+AF62+AF63+AF64+AF65+AF66+AF67+AF68</f>
        <v>612323.347</v>
      </c>
      <c r="AG69" s="59">
        <f>AG44+AG50+AG54+AG59+AG62+AG63+AG64+AG65+AG66+AG67+AG68</f>
        <v>729058.183</v>
      </c>
      <c r="AH69" s="60">
        <f>AG69</f>
        <v>729058.183</v>
      </c>
      <c r="AI69" s="59">
        <f>AI44+AI50+AI54+AI59+AI62+AI63+AI64+AI65+AI66+AI67+AI68</f>
        <v>765350.46</v>
      </c>
      <c r="AJ69" s="59">
        <f>AJ44+AJ50+AJ54+AJ59+AJ62+AJ63+AJ64+AJ65+AJ66+AJ67+AJ68</f>
        <v>838856.716</v>
      </c>
      <c r="AK69" s="59">
        <f>AK44+AK50+AK54+AK59+AK62+AK63+AK64+AK65+AK66+AK67+AK68</f>
        <v>835552.106007</v>
      </c>
      <c r="AL69" s="59">
        <f>AL44+AL50+AL54+AL59+AL62+AL63+AL64+AL65+AL66+AL67+AL68</f>
        <v>832651.36965</v>
      </c>
      <c r="AM69" s="60">
        <f>AL69</f>
        <v>832651.36965</v>
      </c>
      <c r="AN69" s="59">
        <f>AN44+AN50+AN54+AN59+AN62+AN63+AN64+AN65+AN66+AN67+AN68</f>
        <v>831600.210806</v>
      </c>
      <c r="AO69" s="59">
        <f>AO44+AO50+AO54+AO59+AO62+AO63+AO64+AO65+AO66+AO67+AO68</f>
        <v>829965.236761</v>
      </c>
      <c r="AP69" s="59">
        <f>AP44+AP50+AP54+AP59+AP62+AP63+AP64+AP65+AP66+AP67+AP68</f>
        <v>826660.626768</v>
      </c>
      <c r="AQ69" s="59">
        <f>AQ44+AQ50+AQ54+AQ59+AQ62+AQ63+AQ64+AQ65+AQ66+AQ67+AQ68</f>
        <v>823759.890411</v>
      </c>
      <c r="AR69" s="60">
        <f>AQ69</f>
        <v>823759.890411</v>
      </c>
      <c r="AS69" s="59">
        <f>AS44+AS50+AS54+AS59+AS62+AS63+AS64+AS65+AS66+AS67+AS68</f>
        <v>822708.731567</v>
      </c>
      <c r="AT69" s="59">
        <f>AT44+AT50+AT54+AT59+AT62+AT63+AT64+AT65+AT66+AT67+AT68</f>
        <v>821073.757522</v>
      </c>
      <c r="AU69" s="59">
        <f>AU44+AU50+AU54+AU59+AU62+AU63+AU64+AU65+AU66+AU67+AU68</f>
        <v>817769.147529</v>
      </c>
      <c r="AV69" s="59">
        <f>AV44+AV50+AV54+AV59+AV62+AV63+AV64+AV65+AV66+AV67+AV68</f>
        <v>814868.411172</v>
      </c>
      <c r="AW69" s="60">
        <f>AV69</f>
        <v>814868.411172</v>
      </c>
      <c r="AX69" s="59">
        <f>AX44+AX50+AX54+AX59+AX62+AX63+AX64+AX65+AX66+AX67+AX68</f>
        <v>813817.252328</v>
      </c>
      <c r="AY69" s="59">
        <f>AY44+AY50+AY54+AY59+AY62+AY63+AY64+AY65+AY66+AY67+AY68</f>
        <v>812182.278283</v>
      </c>
      <c r="AZ69" s="59">
        <f>AZ44+AZ50+AZ54+AZ59+AZ62+AZ63+AZ64+AZ65+AZ66+AZ67+AZ68</f>
        <v>808877.66829</v>
      </c>
      <c r="BA69" s="59">
        <f>BA44+BA50+BA54+BA59+BA62+BA63+BA64+BA65+BA66+BA67+BA68</f>
        <v>805976.931933</v>
      </c>
      <c r="BB69" s="60">
        <f>BA69</f>
        <v>805976.931933</v>
      </c>
      <c r="BC69" s="59">
        <f>BC44+BC50+BC54+BC59+BC62+BC63+BC64+BC65+BC66+BC67+BC68</f>
        <v>804925.773089</v>
      </c>
      <c r="BD69" s="59">
        <f>BD44+BD50+BD54+BD59+BD62+BD63+BD64+BD65+BD66+BD67+BD68</f>
        <v>803290.799044</v>
      </c>
      <c r="BE69" s="59">
        <f>BE44+BE50+BE54+BE59+BE62+BE63+BE64+BE65+BE66+BE67+BE68</f>
        <v>799986.189051</v>
      </c>
      <c r="BF69" s="59">
        <f>BF44+BF50+BF54+BF59+BF62+BF63+BF64+BF65+BF66+BF67+BF68</f>
        <v>797085.452694</v>
      </c>
      <c r="BG69" s="60">
        <f>BF69</f>
        <v>797085.452694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dos Controladores</t>
        </is>
      </c>
      <c r="D71" s="84" t="inlineStr">
        <is>
          <t>Equity — Controlling</t>
        </is>
      </c>
      <c r="E71" s="85">
        <f>E72+E73+E74+E75+E76</f>
        <v>22053.349793</v>
      </c>
      <c r="F71" s="85">
        <f>F72+F73+F74+F75+F76</f>
        <v>25627.624414</v>
      </c>
      <c r="G71" s="85">
        <f>G72+G73+G74+G75+G76</f>
        <v>26048.840987</v>
      </c>
      <c r="H71" s="85">
        <f>H72+H73+H74+H75+H76</f>
        <v>26680.655492</v>
      </c>
      <c r="I71" s="60">
        <f>H71</f>
        <v>26680.655492</v>
      </c>
      <c r="J71" s="85">
        <f>J72+J73+J74+J75+J76</f>
        <v>30414.346321</v>
      </c>
      <c r="K71" s="85">
        <f>K72+K73+K74+K75+K76</f>
        <v>35040.323136</v>
      </c>
      <c r="L71" s="85">
        <f>L72+L73+L74+L75+L76</f>
        <v>36259.35351</v>
      </c>
      <c r="M71" s="85">
        <f>M72+M73+M74+M75+M76</f>
        <v>37379.746545</v>
      </c>
      <c r="N71" s="60">
        <f>M71</f>
        <v>37379.746545</v>
      </c>
      <c r="O71" s="85">
        <f>O72+O73+O74+O75+O76</f>
        <v>39299.529933</v>
      </c>
      <c r="P71" s="85">
        <f>P72+P73+P74+P75+P76</f>
        <v>41358.735022</v>
      </c>
      <c r="Q71" s="85">
        <f>Q72+Q73+Q74+Q75+Q76</f>
        <v>42261.952898</v>
      </c>
      <c r="R71" s="85">
        <f>R72+R73+R74+R75+R76</f>
        <v>42371.76767</v>
      </c>
      <c r="S71" s="60">
        <f>R71</f>
        <v>42371.76767</v>
      </c>
      <c r="T71" s="85">
        <f>T72+T73+T74+T75+T76</f>
        <v>44207.586</v>
      </c>
      <c r="U71" s="85">
        <f>U72+U73+U74+U75+U76</f>
        <v>46708.474</v>
      </c>
      <c r="V71" s="85">
        <f>V72+V73+V74+V75+V76</f>
        <v>47772.327</v>
      </c>
      <c r="W71" s="85">
        <f>W72+W73+W74+W75+W76</f>
        <v>49381.806</v>
      </c>
      <c r="X71" s="60">
        <f>W71</f>
        <v>49381.806</v>
      </c>
      <c r="Y71" s="85">
        <f>Y72+Y73+Y74+Y75+Y76</f>
        <v>51962.107415</v>
      </c>
      <c r="Z71" s="85">
        <f>Z72+Z73+Z74+Z75+Z76</f>
        <v>53075.585</v>
      </c>
      <c r="AA71" s="85">
        <f>AA72+AA73+AA74+AA75+AA76</f>
        <v>56270.405</v>
      </c>
      <c r="AB71" s="85">
        <f>AB72+AB73+AB74+AB75+AB76</f>
        <v>56479.414972</v>
      </c>
      <c r="AC71" s="60">
        <f>AB71</f>
        <v>56479.414972</v>
      </c>
      <c r="AD71" s="85">
        <f>AD72+AD73+AD74+AD75+AD76</f>
        <v>59778.576</v>
      </c>
      <c r="AE71" s="85">
        <f>AE72+AE73+AE74+AE75+AE76</f>
        <v>63703.322</v>
      </c>
      <c r="AF71" s="85">
        <f>AF72+AF73+AF74+AF75+AF76</f>
        <v>65605.493</v>
      </c>
      <c r="AG71" s="85">
        <f>AG72+AG73+AG74+AG75+AG76</f>
        <v>69969.626</v>
      </c>
      <c r="AH71" s="60">
        <f>AG71</f>
        <v>69969.626</v>
      </c>
      <c r="AI71" s="85">
        <f>AI72+AI73+AI74+AI75+AI76</f>
        <v>74510.367</v>
      </c>
      <c r="AJ71" s="85">
        <f>AJ72+AJ73+AJ74+AJ75+AJ76</f>
        <v>79553.489</v>
      </c>
      <c r="AK71" s="85">
        <f>AK72+AK73+AK74+AK75+AK76</f>
        <v>82858.098993</v>
      </c>
      <c r="AL71" s="85">
        <f>AL72+AL73+AL74+AL75+AL76</f>
        <v>85758.83535</v>
      </c>
      <c r="AM71" s="60">
        <f>AL71</f>
        <v>85758.83535</v>
      </c>
      <c r="AN71" s="85">
        <f>AN72+AN73+AN74+AN75+AN76</f>
        <v>86809.994194</v>
      </c>
      <c r="AO71" s="85">
        <f>AO72+AO73+AO74+AO75+AO76</f>
        <v>88444.968239</v>
      </c>
      <c r="AP71" s="85">
        <f>AP72+AP73+AP74+AP75+AP76</f>
        <v>91749.578232</v>
      </c>
      <c r="AQ71" s="85">
        <f>AQ72+AQ73+AQ74+AQ75+AQ76</f>
        <v>94650.314589</v>
      </c>
      <c r="AR71" s="60">
        <f>AQ71</f>
        <v>94650.314589</v>
      </c>
      <c r="AS71" s="85">
        <f>AS72+AS73+AS74+AS75+AS76</f>
        <v>95701.473433</v>
      </c>
      <c r="AT71" s="85">
        <f>AT72+AT73+AT74+AT75+AT76</f>
        <v>97336.447478</v>
      </c>
      <c r="AU71" s="85">
        <f>AU72+AU73+AU74+AU75+AU76</f>
        <v>100641.057471</v>
      </c>
      <c r="AV71" s="85">
        <f>AV72+AV73+AV74+AV75+AV76</f>
        <v>103541.793828</v>
      </c>
      <c r="AW71" s="60">
        <f>AV71</f>
        <v>103541.793828</v>
      </c>
      <c r="AX71" s="85">
        <f>AX72+AX73+AX74+AX75+AX76</f>
        <v>104592.952672</v>
      </c>
      <c r="AY71" s="85">
        <f>AY72+AY73+AY74+AY75+AY76</f>
        <v>106227.926717</v>
      </c>
      <c r="AZ71" s="85">
        <f>AZ72+AZ73+AZ74+AZ75+AZ76</f>
        <v>109532.53671</v>
      </c>
      <c r="BA71" s="85">
        <f>BA72+BA73+BA74+BA75+BA76</f>
        <v>112433.273067</v>
      </c>
      <c r="BB71" s="60">
        <f>BA71</f>
        <v>112433.273067</v>
      </c>
      <c r="BC71" s="85">
        <f>BC72+BC73+BC74+BC75+BC76</f>
        <v>113484.431911</v>
      </c>
      <c r="BD71" s="85">
        <f>BD72+BD73+BD74+BD75+BD76</f>
        <v>115119.405956</v>
      </c>
      <c r="BE71" s="85">
        <f>BE72+BE73+BE74+BE75+BE76</f>
        <v>118424.015949</v>
      </c>
      <c r="BF71" s="85">
        <f>BF72+BF73+BF74+BF75+BF76</f>
        <v>121324.752306</v>
      </c>
      <c r="BG71" s="60">
        <f>BF71</f>
        <v>121324.752306</v>
      </c>
    </row>
    <row r="72" hidden="1" outlineLevel="1">
      <c r="C72" s="61" t="inlineStr">
        <is>
          <t>Capital Social</t>
        </is>
      </c>
      <c r="D72" s="62" t="inlineStr">
        <is>
          <t>Share Capital</t>
        </is>
      </c>
      <c r="E72" s="57">
        <f>'Inputs (2)'!E60</f>
        <v>0</v>
      </c>
      <c r="F72" s="57">
        <f>IF(F$14=1,'Inputs (2)'!F60,E72+Inputs!F$303)</f>
        <v>0</v>
      </c>
      <c r="G72" s="57">
        <f>IF(G$14=1,'Inputs (2)'!G60,F72+Inputs!G$303)</f>
        <v>0</v>
      </c>
      <c r="H72" s="57">
        <f>IF(H$14=1,'Inputs (2)'!H60,G72+Inputs!H$303)</f>
        <v>0</v>
      </c>
      <c r="I72" s="77">
        <f>H72</f>
        <v>0</v>
      </c>
      <c r="J72" s="57">
        <f>IF(J$14=1,'Inputs (2)'!J60,H72+Inputs!J$303)</f>
        <v>0</v>
      </c>
      <c r="K72" s="57">
        <f>IF(K$14=1,'Inputs (2)'!K60,J72+Inputs!K$303)</f>
        <v>0</v>
      </c>
      <c r="L72" s="57">
        <f>IF(L$14=1,'Inputs (2)'!L60,K72+Inputs!L$303)</f>
        <v>0</v>
      </c>
      <c r="M72" s="57">
        <f>IF(M$14=1,'Inputs (2)'!M60,L72+Inputs!M$303)</f>
        <v>0</v>
      </c>
      <c r="N72" s="77">
        <f>M72</f>
        <v>0</v>
      </c>
      <c r="O72" s="57">
        <f>IF(O$14=1,'Inputs (2)'!O60,M72+Inputs!O$303)</f>
        <v>0</v>
      </c>
      <c r="P72" s="57">
        <f>IF(P$14=1,'Inputs (2)'!P60,O72+Inputs!P$303)</f>
        <v>0</v>
      </c>
      <c r="Q72" s="57">
        <f>IF(Q$14=1,'Inputs (2)'!Q60,P72+Inputs!Q$303)</f>
        <v>0</v>
      </c>
      <c r="R72" s="57">
        <f>IF(R$14=1,'Inputs (2)'!R60,Q72+Inputs!R$303)</f>
        <v>0</v>
      </c>
      <c r="S72" s="77">
        <f>R72</f>
        <v>0</v>
      </c>
      <c r="T72" s="57">
        <f>IF(T$14=1,'Inputs (2)'!T60,R72+Inputs!T$303)</f>
        <v>0</v>
      </c>
      <c r="U72" s="57">
        <f>IF(U$14=1,'Inputs (2)'!U60,T72+Inputs!U$303)</f>
        <v>0</v>
      </c>
      <c r="V72" s="57">
        <f>IF(V$14=1,'Inputs (2)'!V60,U72+Inputs!V$303)</f>
        <v>0</v>
      </c>
      <c r="W72" s="57">
        <f>IF(W$14=1,'Inputs (2)'!W60,V72+Inputs!W$303)</f>
        <v>0</v>
      </c>
      <c r="X72" s="77">
        <f>W72</f>
        <v>0</v>
      </c>
      <c r="Y72" s="57">
        <f>IF(Y$14=1,'Inputs (2)'!Y60,W72+Inputs!Y$303)</f>
        <v>0</v>
      </c>
      <c r="Z72" s="57">
        <f>IF(Z$14=1,'Inputs (2)'!Z60,Y72+Inputs!Z$303)</f>
        <v>0</v>
      </c>
      <c r="AA72" s="57">
        <f>IF(AA$14=1,'Inputs (2)'!AA60,Z72+Inputs!AA$303)</f>
        <v>0</v>
      </c>
      <c r="AB72" s="57">
        <f>IF(AB$14=1,'Inputs (2)'!AB60,AA72+Inputs!AB$303)</f>
        <v>0</v>
      </c>
      <c r="AC72" s="77">
        <f>AB72</f>
        <v>0</v>
      </c>
      <c r="AD72" s="57">
        <f>IF(AD$14=1,'Inputs (2)'!AD60,AB72+Inputs!AD$303)</f>
        <v>0</v>
      </c>
      <c r="AE72" s="57">
        <f>IF(AE$14=1,'Inputs (2)'!AE60,AD72+Inputs!AE$303)</f>
        <v>0</v>
      </c>
      <c r="AF72" s="57">
        <f>IF(AF$14=1,'Inputs (2)'!AF60,AE72+Inputs!AF$303)</f>
        <v>0</v>
      </c>
      <c r="AG72" s="57">
        <f>IF(AG$14=1,'Inputs (2)'!AG60,AF72+Inputs!AG$303)</f>
        <v>0</v>
      </c>
      <c r="AH72" s="77">
        <f>AG72</f>
        <v>0</v>
      </c>
      <c r="AI72" s="57">
        <f>IF(AI$14=1,'Inputs (2)'!AI60,AG72+Inputs!AI$303)</f>
        <v>0</v>
      </c>
      <c r="AJ72" s="57">
        <f>IF(AJ$14=1,'Inputs (2)'!AJ60,AI72+Inputs!AJ$303)</f>
        <v>0</v>
      </c>
      <c r="AK72" s="57">
        <f>IF(AK$14=1,'Inputs (2)'!AK60,AJ72+Inputs!AK$303)</f>
        <v>0</v>
      </c>
      <c r="AL72" s="57">
        <f>IF(AL$14=1,'Inputs (2)'!AL60,AK72+Inputs!AL$303)</f>
        <v>0</v>
      </c>
      <c r="AM72" s="77">
        <f>AL72</f>
        <v>0</v>
      </c>
      <c r="AN72" s="57">
        <f>IF(AN$14=1,'Inputs (2)'!AN60,AL72+Inputs!AN$303)</f>
        <v>0</v>
      </c>
      <c r="AO72" s="57">
        <f>IF(AO$14=1,'Inputs (2)'!AO60,AN72+Inputs!AO$303)</f>
        <v>0</v>
      </c>
      <c r="AP72" s="57">
        <f>IF(AP$14=1,'Inputs (2)'!AP60,AO72+Inputs!AP$303)</f>
        <v>0</v>
      </c>
      <c r="AQ72" s="57">
        <f>IF(AQ$14=1,'Inputs (2)'!AQ60,AP72+Inputs!AQ$303)</f>
        <v>0</v>
      </c>
      <c r="AR72" s="77">
        <f>AQ72</f>
        <v>0</v>
      </c>
      <c r="AS72" s="57">
        <f>IF(AS$14=1,'Inputs (2)'!AS60,AQ72+Inputs!AS$303)</f>
        <v>0</v>
      </c>
      <c r="AT72" s="57">
        <f>IF(AT$14=1,'Inputs (2)'!AT60,AS72+Inputs!AT$303)</f>
        <v>0</v>
      </c>
      <c r="AU72" s="57">
        <f>IF(AU$14=1,'Inputs (2)'!AU60,AT72+Inputs!AU$303)</f>
        <v>0</v>
      </c>
      <c r="AV72" s="57">
        <f>IF(AV$14=1,'Inputs (2)'!AV60,AU72+Inputs!AV$303)</f>
        <v>0</v>
      </c>
      <c r="AW72" s="77">
        <f>AV72</f>
        <v>0</v>
      </c>
      <c r="AX72" s="57">
        <f>IF(AX$14=1,'Inputs (2)'!AX60,AV72+Inputs!AX$303)</f>
        <v>0</v>
      </c>
      <c r="AY72" s="57">
        <f>IF(AY$14=1,'Inputs (2)'!AY60,AX72+Inputs!AY$303)</f>
        <v>0</v>
      </c>
      <c r="AZ72" s="57">
        <f>IF(AZ$14=1,'Inputs (2)'!AZ60,AY72+Inputs!AZ$303)</f>
        <v>0</v>
      </c>
      <c r="BA72" s="57">
        <f>IF(BA$14=1,'Inputs (2)'!BA60,AZ72+Inputs!BA$303)</f>
        <v>0</v>
      </c>
      <c r="BB72" s="77">
        <f>BA72</f>
        <v>0</v>
      </c>
      <c r="BC72" s="57">
        <f>IF(BC$14=1,'Inputs (2)'!BC60,BA72+Inputs!BC$303)</f>
        <v>0</v>
      </c>
      <c r="BD72" s="57">
        <f>IF(BD$14=1,'Inputs (2)'!BD60,BC72+Inputs!BD$303)</f>
        <v>0</v>
      </c>
      <c r="BE72" s="57">
        <f>IF(BE$14=1,'Inputs (2)'!BE60,BD72+Inputs!BE$303)</f>
        <v>0</v>
      </c>
      <c r="BF72" s="57">
        <f>IF(BF$14=1,'Inputs (2)'!BF60,BE72+Inputs!BF$303)</f>
        <v>0</v>
      </c>
      <c r="BG72" s="77">
        <f>BF72</f>
        <v>0</v>
      </c>
    </row>
    <row r="73" hidden="1" outlineLevel="1">
      <c r="C73" s="61" t="inlineStr">
        <is>
          <t>Reservas de Capital</t>
        </is>
      </c>
      <c r="D73" s="62" t="inlineStr">
        <is>
          <t>Capital Reserves</t>
        </is>
      </c>
      <c r="E73" s="57">
        <f>'Inputs (2)'!E61</f>
        <v>0</v>
      </c>
      <c r="F73" s="57">
        <f>IF(F$14=1,'Inputs (2)'!F61,E73)</f>
        <v>0</v>
      </c>
      <c r="G73" s="57">
        <f>IF(G$14=1,'Inputs (2)'!G61,F73)</f>
        <v>0</v>
      </c>
      <c r="H73" s="57">
        <f>IF(H$14=1,'Inputs (2)'!H61,G73)</f>
        <v>0</v>
      </c>
      <c r="I73" s="77">
        <f>H73</f>
        <v>0</v>
      </c>
      <c r="J73" s="57">
        <f>IF(J$14=1,'Inputs (2)'!J61,H73)</f>
        <v>0</v>
      </c>
      <c r="K73" s="57">
        <f>IF(K$14=1,'Inputs (2)'!K61,J73)</f>
        <v>0</v>
      </c>
      <c r="L73" s="57">
        <f>IF(L$14=1,'Inputs (2)'!L61,K73)</f>
        <v>0</v>
      </c>
      <c r="M73" s="57">
        <f>IF(M$14=1,'Inputs (2)'!M61,L73)</f>
        <v>0</v>
      </c>
      <c r="N73" s="77">
        <f>M73</f>
        <v>0</v>
      </c>
      <c r="O73" s="57">
        <f>IF(O$14=1,'Inputs (2)'!O61,M73)</f>
        <v>0</v>
      </c>
      <c r="P73" s="57">
        <f>IF(P$14=1,'Inputs (2)'!P61,O73)</f>
        <v>0</v>
      </c>
      <c r="Q73" s="57">
        <f>IF(Q$14=1,'Inputs (2)'!Q61,P73)</f>
        <v>0</v>
      </c>
      <c r="R73" s="57">
        <f>IF(R$14=1,'Inputs (2)'!R61,Q73)</f>
        <v>0</v>
      </c>
      <c r="S73" s="77">
        <f>R73</f>
        <v>0</v>
      </c>
      <c r="T73" s="57">
        <f>IF(T$14=1,'Inputs (2)'!T61,R73)</f>
        <v>0</v>
      </c>
      <c r="U73" s="57">
        <f>IF(U$14=1,'Inputs (2)'!U61,T73)</f>
        <v>0</v>
      </c>
      <c r="V73" s="57">
        <f>IF(V$14=1,'Inputs (2)'!V61,U73)</f>
        <v>0</v>
      </c>
      <c r="W73" s="57">
        <f>IF(W$14=1,'Inputs (2)'!W61,V73)</f>
        <v>0</v>
      </c>
      <c r="X73" s="77">
        <f>W73</f>
        <v>0</v>
      </c>
      <c r="Y73" s="57">
        <f>IF(Y$14=1,'Inputs (2)'!Y61,W73)</f>
        <v>0</v>
      </c>
      <c r="Z73" s="57">
        <f>IF(Z$14=1,'Inputs (2)'!Z61,Y73)</f>
        <v>0</v>
      </c>
      <c r="AA73" s="57">
        <f>IF(AA$14=1,'Inputs (2)'!AA61,Z73)</f>
        <v>0</v>
      </c>
      <c r="AB73" s="57">
        <f>IF(AB$14=1,'Inputs (2)'!AB61,AA73)</f>
        <v>0</v>
      </c>
      <c r="AC73" s="77">
        <f>AB73</f>
        <v>0</v>
      </c>
      <c r="AD73" s="57">
        <f>IF(AD$14=1,'Inputs (2)'!AD61,AB73)</f>
        <v>0</v>
      </c>
      <c r="AE73" s="57">
        <f>IF(AE$14=1,'Inputs (2)'!AE61,AD73)</f>
        <v>0</v>
      </c>
      <c r="AF73" s="57">
        <f>IF(AF$14=1,'Inputs (2)'!AF61,AE73)</f>
        <v>0</v>
      </c>
      <c r="AG73" s="57">
        <f>IF(AG$14=1,'Inputs (2)'!AG61,AF73)</f>
        <v>0</v>
      </c>
      <c r="AH73" s="77">
        <f>AG73</f>
        <v>0</v>
      </c>
      <c r="AI73" s="57">
        <f>IF(AI$14=1,'Inputs (2)'!AI61,AG73)</f>
        <v>0</v>
      </c>
      <c r="AJ73" s="57">
        <f>IF(AJ$14=1,'Inputs (2)'!AJ61,AI73)</f>
        <v>0</v>
      </c>
      <c r="AK73" s="57">
        <f>IF(AK$14=1,'Inputs (2)'!AK61,AJ73)</f>
        <v>0</v>
      </c>
      <c r="AL73" s="57">
        <f>IF(AL$14=1,'Inputs (2)'!AL61,AK73)</f>
        <v>0</v>
      </c>
      <c r="AM73" s="77">
        <f>AL73</f>
        <v>0</v>
      </c>
      <c r="AN73" s="57">
        <f>IF(AN$14=1,'Inputs (2)'!AN61,AL73)</f>
        <v>0</v>
      </c>
      <c r="AO73" s="57">
        <f>IF(AO$14=1,'Inputs (2)'!AO61,AN73)</f>
        <v>0</v>
      </c>
      <c r="AP73" s="57">
        <f>IF(AP$14=1,'Inputs (2)'!AP61,AO73)</f>
        <v>0</v>
      </c>
      <c r="AQ73" s="57">
        <f>IF(AQ$14=1,'Inputs (2)'!AQ61,AP73)</f>
        <v>0</v>
      </c>
      <c r="AR73" s="77">
        <f>AQ73</f>
        <v>0</v>
      </c>
      <c r="AS73" s="57">
        <f>IF(AS$14=1,'Inputs (2)'!AS61,AQ73)</f>
        <v>0</v>
      </c>
      <c r="AT73" s="57">
        <f>IF(AT$14=1,'Inputs (2)'!AT61,AS73)</f>
        <v>0</v>
      </c>
      <c r="AU73" s="57">
        <f>IF(AU$14=1,'Inputs (2)'!AU61,AT73)</f>
        <v>0</v>
      </c>
      <c r="AV73" s="57">
        <f>IF(AV$14=1,'Inputs (2)'!AV61,AU73)</f>
        <v>0</v>
      </c>
      <c r="AW73" s="77">
        <f>AV73</f>
        <v>0</v>
      </c>
      <c r="AX73" s="57">
        <f>IF(AX$14=1,'Inputs (2)'!AX61,AV73)</f>
        <v>0</v>
      </c>
      <c r="AY73" s="57">
        <f>IF(AY$14=1,'Inputs (2)'!AY61,AX73)</f>
        <v>0</v>
      </c>
      <c r="AZ73" s="57">
        <f>IF(AZ$14=1,'Inputs (2)'!AZ61,AY73)</f>
        <v>0</v>
      </c>
      <c r="BA73" s="57">
        <f>IF(BA$14=1,'Inputs (2)'!BA61,AZ73)</f>
        <v>0</v>
      </c>
      <c r="BB73" s="77">
        <f>BA73</f>
        <v>0</v>
      </c>
      <c r="BC73" s="57">
        <f>IF(BC$14=1,'Inputs (2)'!BC61,BA73)</f>
        <v>0</v>
      </c>
      <c r="BD73" s="57">
        <f>IF(BD$14=1,'Inputs (2)'!BD61,BC73)</f>
        <v>0</v>
      </c>
      <c r="BE73" s="57">
        <f>IF(BE$14=1,'Inputs (2)'!BE61,BD73)</f>
        <v>0</v>
      </c>
      <c r="BF73" s="57">
        <f>IF(BF$14=1,'Inputs (2)'!BF61,BE73)</f>
        <v>0</v>
      </c>
      <c r="BG73" s="77">
        <f>BF73</f>
        <v>0</v>
      </c>
    </row>
    <row r="74" hidden="1" outlineLevel="1">
      <c r="C74" s="61" t="inlineStr">
        <is>
          <t>Reservas de Lucros</t>
        </is>
      </c>
      <c r="D74" s="62" t="inlineStr">
        <is>
          <t>Retained Earnings</t>
        </is>
      </c>
      <c r="E74" s="57">
        <f>'Inputs (2)'!E62</f>
        <v>22053.349793</v>
      </c>
      <c r="F74" s="57">
        <f>IF(F$14=1,'Inputs (2)'!F62,E74+F127+F84)</f>
        <v>25627.624414</v>
      </c>
      <c r="G74" s="57">
        <f>IF(G$14=1,'Inputs (2)'!G62,F74+G127+G84)</f>
        <v>26048.840987</v>
      </c>
      <c r="H74" s="57">
        <f>IF(H$14=1,'Inputs (2)'!H62,G74+H127+H84)</f>
        <v>26680.655492</v>
      </c>
      <c r="I74" s="77">
        <f>H74</f>
        <v>26680.655492</v>
      </c>
      <c r="J74" s="57">
        <f>IF(J$14=1,'Inputs (2)'!J62,H74+J127+J84)</f>
        <v>30414.346321</v>
      </c>
      <c r="K74" s="57">
        <f>IF(K$14=1,'Inputs (2)'!K62,J74+K127+K84)</f>
        <v>35040.323136</v>
      </c>
      <c r="L74" s="57">
        <f>IF(L$14=1,'Inputs (2)'!L62,K74+L127+L84)</f>
        <v>36259.35351</v>
      </c>
      <c r="M74" s="57">
        <f>IF(M$14=1,'Inputs (2)'!M62,L74+M127+M84)</f>
        <v>37379.746545</v>
      </c>
      <c r="N74" s="77">
        <f>M74</f>
        <v>37379.746545</v>
      </c>
      <c r="O74" s="57">
        <f>IF(O$14=1,'Inputs (2)'!O62,M74+O127+O84)</f>
        <v>39299.529933</v>
      </c>
      <c r="P74" s="57">
        <f>IF(P$14=1,'Inputs (2)'!P62,O74+P127+P84)</f>
        <v>41358.735022</v>
      </c>
      <c r="Q74" s="57">
        <f>IF(Q$14=1,'Inputs (2)'!Q62,P74+Q127+Q84)</f>
        <v>42261.952898</v>
      </c>
      <c r="R74" s="57">
        <f>IF(R$14=1,'Inputs (2)'!R62,Q74+R127+R84)</f>
        <v>42371.76767</v>
      </c>
      <c r="S74" s="77">
        <f>R74</f>
        <v>42371.76767</v>
      </c>
      <c r="T74" s="57">
        <f>IF(T$14=1,'Inputs (2)'!T62,R74+T127+T84)</f>
        <v>44207.586</v>
      </c>
      <c r="U74" s="57">
        <f>IF(U$14=1,'Inputs (2)'!U62,T74+U127+U84)</f>
        <v>46708.474</v>
      </c>
      <c r="V74" s="57">
        <f>IF(V$14=1,'Inputs (2)'!V62,U74+V127+V84)</f>
        <v>47772.327</v>
      </c>
      <c r="W74" s="57">
        <f>IF(W$14=1,'Inputs (2)'!W62,V74+W127+W84)</f>
        <v>49381.806</v>
      </c>
      <c r="X74" s="77">
        <f>W74</f>
        <v>49381.806</v>
      </c>
      <c r="Y74" s="57">
        <f>IF(Y$14=1,'Inputs (2)'!Y62,W74+Y127+Y84)</f>
        <v>51962.107415</v>
      </c>
      <c r="Z74" s="57">
        <f>IF(Z$14=1,'Inputs (2)'!Z62,Y74+Z127+Z84)</f>
        <v>53075.585</v>
      </c>
      <c r="AA74" s="57">
        <f>IF(AA$14=1,'Inputs (2)'!AA62,Z74+AA127+AA84)</f>
        <v>56270.405</v>
      </c>
      <c r="AB74" s="57">
        <f>IF(AB$14=1,'Inputs (2)'!AB62,AA74+AB127+AB84)</f>
        <v>56479.414972</v>
      </c>
      <c r="AC74" s="77">
        <f>AB74</f>
        <v>56479.414972</v>
      </c>
      <c r="AD74" s="57">
        <f>IF(AD$14=1,'Inputs (2)'!AD62,AB74+AD127+AD84)</f>
        <v>59778.576</v>
      </c>
      <c r="AE74" s="57">
        <f>IF(AE$14=1,'Inputs (2)'!AE62,AD74+AE127+AE84)</f>
        <v>63703.322</v>
      </c>
      <c r="AF74" s="57">
        <f>IF(AF$14=1,'Inputs (2)'!AF62,AE74+AF127+AF84)</f>
        <v>65605.493</v>
      </c>
      <c r="AG74" s="57">
        <f>IF(AG$14=1,'Inputs (2)'!AG62,AF74+AG127+AG84)</f>
        <v>69969.626</v>
      </c>
      <c r="AH74" s="77">
        <f>AG74</f>
        <v>69969.626</v>
      </c>
      <c r="AI74" s="57">
        <f>IF(AI$14=1,'Inputs (2)'!AI62,AG74+AI127+AI84)</f>
        <v>74510.367</v>
      </c>
      <c r="AJ74" s="57">
        <f>IF(AJ$14=1,'Inputs (2)'!AJ62,AI74+AJ127+AJ84)</f>
        <v>79553.489</v>
      </c>
      <c r="AK74" s="57">
        <f>IF(AK$14=1,'Inputs (2)'!AK62,AJ74+AK127+AK84)</f>
        <v>82858.098993</v>
      </c>
      <c r="AL74" s="57">
        <f>IF(AL$14=1,'Inputs (2)'!AL62,AK74+AL127+AL84)</f>
        <v>85758.83535</v>
      </c>
      <c r="AM74" s="77">
        <f>AL74</f>
        <v>85758.83535</v>
      </c>
      <c r="AN74" s="57">
        <f>IF(AN$14=1,'Inputs (2)'!AN62,AL74+AN127+AN84)</f>
        <v>86809.994194</v>
      </c>
      <c r="AO74" s="57">
        <f>IF(AO$14=1,'Inputs (2)'!AO62,AN74+AO127+AO84)</f>
        <v>88444.968239</v>
      </c>
      <c r="AP74" s="57">
        <f>IF(AP$14=1,'Inputs (2)'!AP62,AO74+AP127+AP84)</f>
        <v>91749.578232</v>
      </c>
      <c r="AQ74" s="57">
        <f>IF(AQ$14=1,'Inputs (2)'!AQ62,AP74+AQ127+AQ84)</f>
        <v>94650.314589</v>
      </c>
      <c r="AR74" s="77">
        <f>AQ74</f>
        <v>94650.314589</v>
      </c>
      <c r="AS74" s="57">
        <f>IF(AS$14=1,'Inputs (2)'!AS62,AQ74+AS127+AS84)</f>
        <v>95701.473433</v>
      </c>
      <c r="AT74" s="57">
        <f>IF(AT$14=1,'Inputs (2)'!AT62,AS74+AT127+AT84)</f>
        <v>97336.447478</v>
      </c>
      <c r="AU74" s="57">
        <f>IF(AU$14=1,'Inputs (2)'!AU62,AT74+AU127+AU84)</f>
        <v>100641.057471</v>
      </c>
      <c r="AV74" s="57">
        <f>IF(AV$14=1,'Inputs (2)'!AV62,AU74+AV127+AV84)</f>
        <v>103541.793828</v>
      </c>
      <c r="AW74" s="77">
        <f>AV74</f>
        <v>103541.793828</v>
      </c>
      <c r="AX74" s="57">
        <f>IF(AX$14=1,'Inputs (2)'!AX62,AV74+AX127+AX84)</f>
        <v>104592.952672</v>
      </c>
      <c r="AY74" s="57">
        <f>IF(AY$14=1,'Inputs (2)'!AY62,AX74+AY127+AY84)</f>
        <v>106227.926717</v>
      </c>
      <c r="AZ74" s="57">
        <f>IF(AZ$14=1,'Inputs (2)'!AZ62,AY74+AZ127+AZ84)</f>
        <v>109532.53671</v>
      </c>
      <c r="BA74" s="57">
        <f>IF(BA$14=1,'Inputs (2)'!BA62,AZ74+BA127+BA84)</f>
        <v>112433.273067</v>
      </c>
      <c r="BB74" s="77">
        <f>BA74</f>
        <v>112433.273067</v>
      </c>
      <c r="BC74" s="57">
        <f>IF(BC$14=1,'Inputs (2)'!BC62,BA74+BC127+BC84)</f>
        <v>113484.431911</v>
      </c>
      <c r="BD74" s="57">
        <f>IF(BD$14=1,'Inputs (2)'!BD62,BC74+BD127+BD84)</f>
        <v>115119.405956</v>
      </c>
      <c r="BE74" s="57">
        <f>IF(BE$14=1,'Inputs (2)'!BE62,BD74+BE127+BE84)</f>
        <v>118424.015949</v>
      </c>
      <c r="BF74" s="57">
        <f>IF(BF$14=1,'Inputs (2)'!BF62,BE74+BF127+BF84)</f>
        <v>121324.752306</v>
      </c>
      <c r="BG74" s="77">
        <f>BF74</f>
        <v>121324.752306</v>
      </c>
    </row>
    <row r="75" hidden="1" outlineLevel="1">
      <c r="C75" s="61" t="inlineStr">
        <is>
          <t>Outros Resultados Abrangentes</t>
        </is>
      </c>
      <c r="D75" s="62" t="inlineStr">
        <is>
          <t>Other Comprehensive Income</t>
        </is>
      </c>
      <c r="E75" s="57">
        <f>'Inputs (2)'!E63</f>
        <v>0</v>
      </c>
      <c r="F75" s="57">
        <f>IF(F$14=1,'Inputs (2)'!F63,E75+Inputs!F$302)</f>
        <v>0</v>
      </c>
      <c r="G75" s="57">
        <f>IF(G$14=1,'Inputs (2)'!G63,F75+Inputs!G$302)</f>
        <v>0</v>
      </c>
      <c r="H75" s="57">
        <f>IF(H$14=1,'Inputs (2)'!H63,G75+Inputs!H$302)</f>
        <v>0</v>
      </c>
      <c r="I75" s="77">
        <f>H75</f>
        <v>0</v>
      </c>
      <c r="J75" s="57">
        <f>IF(J$14=1,'Inputs (2)'!J63,H75+Inputs!J$302)</f>
        <v>0</v>
      </c>
      <c r="K75" s="57">
        <f>IF(K$14=1,'Inputs (2)'!K63,J75+Inputs!K$302)</f>
        <v>0</v>
      </c>
      <c r="L75" s="57">
        <f>IF(L$14=1,'Inputs (2)'!L63,K75+Inputs!L$302)</f>
        <v>0</v>
      </c>
      <c r="M75" s="57">
        <f>IF(M$14=1,'Inputs (2)'!M63,L75+Inputs!M$302)</f>
        <v>0</v>
      </c>
      <c r="N75" s="77">
        <f>M75</f>
        <v>0</v>
      </c>
      <c r="O75" s="57">
        <f>IF(O$14=1,'Inputs (2)'!O63,M75+Inputs!O$302)</f>
        <v>0</v>
      </c>
      <c r="P75" s="57">
        <f>IF(P$14=1,'Inputs (2)'!P63,O75+Inputs!P$302)</f>
        <v>0</v>
      </c>
      <c r="Q75" s="57">
        <f>IF(Q$14=1,'Inputs (2)'!Q63,P75+Inputs!Q$302)</f>
        <v>0</v>
      </c>
      <c r="R75" s="57">
        <f>IF(R$14=1,'Inputs (2)'!R63,Q75+Inputs!R$302)</f>
        <v>0</v>
      </c>
      <c r="S75" s="77">
        <f>R75</f>
        <v>0</v>
      </c>
      <c r="T75" s="57">
        <f>IF(T$14=1,'Inputs (2)'!T63,R75+Inputs!T$302)</f>
        <v>0</v>
      </c>
      <c r="U75" s="57">
        <f>IF(U$14=1,'Inputs (2)'!U63,T75+Inputs!U$302)</f>
        <v>0</v>
      </c>
      <c r="V75" s="57">
        <f>IF(V$14=1,'Inputs (2)'!V63,U75+Inputs!V$302)</f>
        <v>0</v>
      </c>
      <c r="W75" s="57">
        <f>IF(W$14=1,'Inputs (2)'!W63,V75+Inputs!W$302)</f>
        <v>0</v>
      </c>
      <c r="X75" s="77">
        <f>W75</f>
        <v>0</v>
      </c>
      <c r="Y75" s="57">
        <f>IF(Y$14=1,'Inputs (2)'!Y63,W75+Inputs!Y$302)</f>
        <v>0</v>
      </c>
      <c r="Z75" s="57">
        <f>IF(Z$14=1,'Inputs (2)'!Z63,Y75+Inputs!Z$302)</f>
        <v>0</v>
      </c>
      <c r="AA75" s="57">
        <f>IF(AA$14=1,'Inputs (2)'!AA63,Z75+Inputs!AA$302)</f>
        <v>0</v>
      </c>
      <c r="AB75" s="57">
        <f>IF(AB$14=1,'Inputs (2)'!AB63,AA75+Inputs!AB$302)</f>
        <v>0</v>
      </c>
      <c r="AC75" s="77">
        <f>AB75</f>
        <v>0</v>
      </c>
      <c r="AD75" s="57">
        <f>IF(AD$14=1,'Inputs (2)'!AD63,AB75+Inputs!AD$302)</f>
        <v>0</v>
      </c>
      <c r="AE75" s="57">
        <f>IF(AE$14=1,'Inputs (2)'!AE63,AD75+Inputs!AE$302)</f>
        <v>0</v>
      </c>
      <c r="AF75" s="57">
        <f>IF(AF$14=1,'Inputs (2)'!AF63,AE75+Inputs!AF$302)</f>
        <v>0</v>
      </c>
      <c r="AG75" s="57">
        <f>IF(AG$14=1,'Inputs (2)'!AG63,AF75+Inputs!AG$302)</f>
        <v>0</v>
      </c>
      <c r="AH75" s="77">
        <f>AG75</f>
        <v>0</v>
      </c>
      <c r="AI75" s="57">
        <f>IF(AI$14=1,'Inputs (2)'!AI63,AG75+Inputs!AI$302)</f>
        <v>0</v>
      </c>
      <c r="AJ75" s="57">
        <f>IF(AJ$14=1,'Inputs (2)'!AJ63,AI75+Inputs!AJ$302)</f>
        <v>0</v>
      </c>
      <c r="AK75" s="57">
        <f>IF(AK$14=1,'Inputs (2)'!AK63,AJ75+Inputs!AK$302)</f>
        <v>0</v>
      </c>
      <c r="AL75" s="57">
        <f>IF(AL$14=1,'Inputs (2)'!AL63,AK75+Inputs!AL$302)</f>
        <v>0</v>
      </c>
      <c r="AM75" s="77">
        <f>AL75</f>
        <v>0</v>
      </c>
      <c r="AN75" s="57">
        <f>IF(AN$14=1,'Inputs (2)'!AN63,AL75+Inputs!AN$302)</f>
        <v>0</v>
      </c>
      <c r="AO75" s="57">
        <f>IF(AO$14=1,'Inputs (2)'!AO63,AN75+Inputs!AO$302)</f>
        <v>0</v>
      </c>
      <c r="AP75" s="57">
        <f>IF(AP$14=1,'Inputs (2)'!AP63,AO75+Inputs!AP$302)</f>
        <v>0</v>
      </c>
      <c r="AQ75" s="57">
        <f>IF(AQ$14=1,'Inputs (2)'!AQ63,AP75+Inputs!AQ$302)</f>
        <v>0</v>
      </c>
      <c r="AR75" s="77">
        <f>AQ75</f>
        <v>0</v>
      </c>
      <c r="AS75" s="57">
        <f>IF(AS$14=1,'Inputs (2)'!AS63,AQ75+Inputs!AS$302)</f>
        <v>0</v>
      </c>
      <c r="AT75" s="57">
        <f>IF(AT$14=1,'Inputs (2)'!AT63,AS75+Inputs!AT$302)</f>
        <v>0</v>
      </c>
      <c r="AU75" s="57">
        <f>IF(AU$14=1,'Inputs (2)'!AU63,AT75+Inputs!AU$302)</f>
        <v>0</v>
      </c>
      <c r="AV75" s="57">
        <f>IF(AV$14=1,'Inputs (2)'!AV63,AU75+Inputs!AV$302)</f>
        <v>0</v>
      </c>
      <c r="AW75" s="77">
        <f>AV75</f>
        <v>0</v>
      </c>
      <c r="AX75" s="57">
        <f>IF(AX$14=1,'Inputs (2)'!AX63,AV75+Inputs!AX$302)</f>
        <v>0</v>
      </c>
      <c r="AY75" s="57">
        <f>IF(AY$14=1,'Inputs (2)'!AY63,AX75+Inputs!AY$302)</f>
        <v>0</v>
      </c>
      <c r="AZ75" s="57">
        <f>IF(AZ$14=1,'Inputs (2)'!AZ63,AY75+Inputs!AZ$302)</f>
        <v>0</v>
      </c>
      <c r="BA75" s="57">
        <f>IF(BA$14=1,'Inputs (2)'!BA63,AZ75+Inputs!BA$302)</f>
        <v>0</v>
      </c>
      <c r="BB75" s="77">
        <f>BA75</f>
        <v>0</v>
      </c>
      <c r="BC75" s="57">
        <f>IF(BC$14=1,'Inputs (2)'!BC63,BA75+Inputs!BC$302)</f>
        <v>0</v>
      </c>
      <c r="BD75" s="57">
        <f>IF(BD$14=1,'Inputs (2)'!BD63,BC75+Inputs!BD$302)</f>
        <v>0</v>
      </c>
      <c r="BE75" s="57">
        <f>IF(BE$14=1,'Inputs (2)'!BE63,BD75+Inputs!BE$302)</f>
        <v>0</v>
      </c>
      <c r="BF75" s="57">
        <f>IF(BF$14=1,'Inputs (2)'!BF63,BE75+Inputs!BF$302)</f>
        <v>0</v>
      </c>
      <c r="BG75" s="77">
        <f>BF75</f>
        <v>0</v>
      </c>
    </row>
    <row r="76" hidden="1" outlineLevel="1">
      <c r="C76" s="61" t="inlineStr">
        <is>
          <t>(Ações em Tesouraria)</t>
        </is>
      </c>
      <c r="D76" s="62" t="inlineStr">
        <is>
          <t>(Treasury Shares)</t>
        </is>
      </c>
      <c r="E76" s="57">
        <f>'Inputs (2)'!E64</f>
        <v>0</v>
      </c>
      <c r="F76" s="57">
        <f>IF(F$14=1,'Inputs (2)'!F64,E76)</f>
        <v>0</v>
      </c>
      <c r="G76" s="57">
        <f>IF(G$14=1,'Inputs (2)'!G64,F76)</f>
        <v>0</v>
      </c>
      <c r="H76" s="57">
        <f>IF(H$14=1,'Inputs (2)'!H64,G76)</f>
        <v>0</v>
      </c>
      <c r="I76" s="77">
        <f>H76</f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>M76</f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>R76</f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>W76</f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>AB76</f>
        <v>0</v>
      </c>
      <c r="AD76" s="57">
        <f>IF(AD$14=1,'Inputs (2)'!AD64,AB76)</f>
        <v>0</v>
      </c>
      <c r="AE76" s="57">
        <f>IF(AE$14=1,'Inputs (2)'!AE64,AD76)</f>
        <v>0</v>
      </c>
      <c r="AF76" s="57">
        <f>IF(AF$14=1,'Inputs (2)'!AF64,AE76)</f>
        <v>0</v>
      </c>
      <c r="AG76" s="57">
        <f>IF(AG$14=1,'Inputs (2)'!AG64,AF76)</f>
        <v>0</v>
      </c>
      <c r="AH76" s="77">
        <f>AG76</f>
        <v>0</v>
      </c>
      <c r="AI76" s="57">
        <f>IF(AI$14=1,'Inputs (2)'!AI64,AG76)</f>
        <v>0</v>
      </c>
      <c r="AJ76" s="57">
        <f>IF(AJ$14=1,'Inputs (2)'!AJ64,AI76)</f>
        <v>0</v>
      </c>
      <c r="AK76" s="57">
        <f>IF(AK$14=1,'Inputs (2)'!AK64,AJ76)</f>
        <v>0</v>
      </c>
      <c r="AL76" s="57">
        <f>IF(AL$14=1,'Inputs (2)'!AL64,AK76)</f>
        <v>0</v>
      </c>
      <c r="AM76" s="77">
        <f>AL76</f>
        <v>0</v>
      </c>
      <c r="AN76" s="57">
        <f>IF(AN$14=1,'Inputs (2)'!AN64,AL76)</f>
        <v>0</v>
      </c>
      <c r="AO76" s="57">
        <f>IF(AO$14=1,'Inputs (2)'!AO64,AN76)</f>
        <v>0</v>
      </c>
      <c r="AP76" s="57">
        <f>IF(AP$14=1,'Inputs (2)'!AP64,AO76)</f>
        <v>0</v>
      </c>
      <c r="AQ76" s="57">
        <f>IF(AQ$14=1,'Inputs (2)'!AQ64,AP76)</f>
        <v>0</v>
      </c>
      <c r="AR76" s="77">
        <f>AQ76</f>
        <v>0</v>
      </c>
      <c r="AS76" s="57">
        <f>IF(AS$14=1,'Inputs (2)'!AS64,AQ76)</f>
        <v>0</v>
      </c>
      <c r="AT76" s="57">
        <f>IF(AT$14=1,'Inputs (2)'!AT64,AS76)</f>
        <v>0</v>
      </c>
      <c r="AU76" s="57">
        <f>IF(AU$14=1,'Inputs (2)'!AU64,AT76)</f>
        <v>0</v>
      </c>
      <c r="AV76" s="57">
        <f>IF(AV$14=1,'Inputs (2)'!AV64,AU76)</f>
        <v>0</v>
      </c>
      <c r="AW76" s="77">
        <f>AV76</f>
        <v>0</v>
      </c>
      <c r="AX76" s="57">
        <f>IF(AX$14=1,'Inputs (2)'!AX64,AV76)</f>
        <v>0</v>
      </c>
      <c r="AY76" s="57">
        <f>IF(AY$14=1,'Inputs (2)'!AY64,AX76)</f>
        <v>0</v>
      </c>
      <c r="AZ76" s="57">
        <f>IF(AZ$14=1,'Inputs (2)'!AZ64,AY76)</f>
        <v>0</v>
      </c>
      <c r="BA76" s="57">
        <f>IF(BA$14=1,'Inputs (2)'!BA64,AZ76)</f>
        <v>0</v>
      </c>
      <c r="BB76" s="77">
        <f>BA76</f>
        <v>0</v>
      </c>
      <c r="BC76" s="57">
        <f>IF(BC$14=1,'Inputs (2)'!BC64,BA76)</f>
        <v>0</v>
      </c>
      <c r="BD76" s="57">
        <f>IF(BD$14=1,'Inputs (2)'!BD64,BC76)</f>
        <v>0</v>
      </c>
      <c r="BE76" s="57">
        <f>IF(BE$14=1,'Inputs (2)'!BE64,BD76)</f>
        <v>0</v>
      </c>
      <c r="BF76" s="57">
        <f>IF(BF$14=1,'Inputs (2)'!BF64,BE76)</f>
        <v>0</v>
      </c>
      <c r="BG76" s="77">
        <f>BF76</f>
        <v>0</v>
      </c>
    </row>
    <row r="77" collapsed="1">
      <c r="C77" s="80" t="inlineStr">
        <is>
          <t>Participação de Acionistas Não Controladores</t>
        </is>
      </c>
      <c r="D77" s="81" t="inlineStr">
        <is>
          <t>Non-Controlling Interests</t>
        </is>
      </c>
      <c r="E77" s="82">
        <f>'Inputs (2)'!E65</f>
        <v>289.946717</v>
      </c>
      <c r="F77" s="82">
        <f>IF(F$14=1,'Inputs (2)'!F65,E77-F126)</f>
        <v>318.312</v>
      </c>
      <c r="G77" s="82">
        <f>IF(G$14=1,'Inputs (2)'!G65,F77-G126)</f>
        <v>421.484399</v>
      </c>
      <c r="H77" s="82">
        <f>IF(H$14=1,'Inputs (2)'!H65,G77-H126)</f>
        <v>445.295073</v>
      </c>
      <c r="I77" s="77">
        <f>H77</f>
        <v>445.295073</v>
      </c>
      <c r="J77" s="82">
        <f>IF(J$14=1,'Inputs (2)'!J65,H77-J126)</f>
        <v>558.452393</v>
      </c>
      <c r="K77" s="82">
        <f>IF(K$14=1,'Inputs (2)'!K65,J77-K126)</f>
        <v>2272.701525</v>
      </c>
      <c r="L77" s="82">
        <f>IF(L$14=1,'Inputs (2)'!L65,K77-L126)</f>
        <v>3121.964578</v>
      </c>
      <c r="M77" s="82">
        <f>IF(M$14=1,'Inputs (2)'!M65,L77-M126)</f>
        <v>3135.09612</v>
      </c>
      <c r="N77" s="77">
        <f>M77</f>
        <v>3135.09612</v>
      </c>
      <c r="O77" s="82">
        <f>IF(O$14=1,'Inputs (2)'!O65,M77-O126)</f>
        <v>4313.645598</v>
      </c>
      <c r="P77" s="82">
        <f>IF(P$14=1,'Inputs (2)'!P65,O77-P126)</f>
        <v>4274.22613</v>
      </c>
      <c r="Q77" s="82">
        <f>IF(Q$14=1,'Inputs (2)'!Q65,P77-Q126)</f>
        <v>4769.637579</v>
      </c>
      <c r="R77" s="82">
        <f>IF(R$14=1,'Inputs (2)'!R65,Q77-R126)</f>
        <v>4241.54355</v>
      </c>
      <c r="S77" s="77">
        <f>R77</f>
        <v>4241.54355</v>
      </c>
      <c r="T77" s="82">
        <f>IF(T$14=1,'Inputs (2)'!T65,R77-T126)</f>
        <v>4391.348</v>
      </c>
      <c r="U77" s="82">
        <f>IF(U$14=1,'Inputs (2)'!U65,T77-U126)</f>
        <v>4731.102</v>
      </c>
      <c r="V77" s="82">
        <f>IF(V$14=1,'Inputs (2)'!V65,U77-V126)</f>
        <v>3923.859</v>
      </c>
      <c r="W77" s="82">
        <f>IF(W$14=1,'Inputs (2)'!W65,V77-W126)</f>
        <v>4153.662</v>
      </c>
      <c r="X77" s="77">
        <f>W77</f>
        <v>4153.662</v>
      </c>
      <c r="Y77" s="82">
        <f>IF(Y$14=1,'Inputs (2)'!Y65,W77-Y126)</f>
        <v>4024.213</v>
      </c>
      <c r="Z77" s="82">
        <f>IF(Z$14=1,'Inputs (2)'!Z65,Y77-Z126)</f>
        <v>4728.92</v>
      </c>
      <c r="AA77" s="82">
        <f>IF(AA$14=1,'Inputs (2)'!AA65,Z77-AA126)</f>
        <v>6274.86</v>
      </c>
      <c r="AB77" s="82">
        <f>IF(AB$14=1,'Inputs (2)'!AB65,AA77-AB126)</f>
        <v>5840.985229</v>
      </c>
      <c r="AC77" s="77">
        <f>AB77</f>
        <v>5840.985229</v>
      </c>
      <c r="AD77" s="82">
        <f>IF(AD$14=1,'Inputs (2)'!AD65,AB77-AD126)</f>
        <v>5682.734</v>
      </c>
      <c r="AE77" s="82">
        <f>IF(AE$14=1,'Inputs (2)'!AE65,AD77-AE126)</f>
        <v>6045.704</v>
      </c>
      <c r="AF77" s="82">
        <f>IF(AF$14=1,'Inputs (2)'!AF65,AE77-AF126)</f>
        <v>7031.182</v>
      </c>
      <c r="AG77" s="82">
        <f>IF(AG$14=1,'Inputs (2)'!AG65,AF77-AG126)</f>
        <v>6940.53</v>
      </c>
      <c r="AH77" s="77">
        <f>AG77</f>
        <v>6940.53</v>
      </c>
      <c r="AI77" s="82">
        <f>IF(AI$14=1,'Inputs (2)'!AI65,AG77-AI126)</f>
        <v>5713.976</v>
      </c>
      <c r="AJ77" s="82">
        <f>IF(AJ$14=1,'Inputs (2)'!AJ65,AI77-AJ126)</f>
        <v>6808.361</v>
      </c>
      <c r="AK77" s="82">
        <f>IF(AK$14=1,'Inputs (2)'!AK65,AJ77-AK126)</f>
        <v>6808.361</v>
      </c>
      <c r="AL77" s="82">
        <f>IF(AL$14=1,'Inputs (2)'!AL65,AK77-AL126)</f>
        <v>6808.361</v>
      </c>
      <c r="AM77" s="77">
        <f>AL77</f>
        <v>6808.361</v>
      </c>
      <c r="AN77" s="82">
        <f>IF(AN$14=1,'Inputs (2)'!AN65,AL77-AN126)</f>
        <v>6808.361</v>
      </c>
      <c r="AO77" s="82">
        <f>IF(AO$14=1,'Inputs (2)'!AO65,AN77-AO126)</f>
        <v>6808.361</v>
      </c>
      <c r="AP77" s="82">
        <f>IF(AP$14=1,'Inputs (2)'!AP65,AO77-AP126)</f>
        <v>6808.361</v>
      </c>
      <c r="AQ77" s="82">
        <f>IF(AQ$14=1,'Inputs (2)'!AQ65,AP77-AQ126)</f>
        <v>6808.361</v>
      </c>
      <c r="AR77" s="77">
        <f>AQ77</f>
        <v>6808.361</v>
      </c>
      <c r="AS77" s="82">
        <f>IF(AS$14=1,'Inputs (2)'!AS65,AQ77-AS126)</f>
        <v>6808.361</v>
      </c>
      <c r="AT77" s="82">
        <f>IF(AT$14=1,'Inputs (2)'!AT65,AS77-AT126)</f>
        <v>6808.361</v>
      </c>
      <c r="AU77" s="82">
        <f>IF(AU$14=1,'Inputs (2)'!AU65,AT77-AU126)</f>
        <v>6808.361</v>
      </c>
      <c r="AV77" s="82">
        <f>IF(AV$14=1,'Inputs (2)'!AV65,AU77-AV126)</f>
        <v>6808.361</v>
      </c>
      <c r="AW77" s="77">
        <f>AV77</f>
        <v>6808.361</v>
      </c>
      <c r="AX77" s="82">
        <f>IF(AX$14=1,'Inputs (2)'!AX65,AV77-AX126)</f>
        <v>6808.361</v>
      </c>
      <c r="AY77" s="82">
        <f>IF(AY$14=1,'Inputs (2)'!AY65,AX77-AY126)</f>
        <v>6808.361</v>
      </c>
      <c r="AZ77" s="82">
        <f>IF(AZ$14=1,'Inputs (2)'!AZ65,AY77-AZ126)</f>
        <v>6808.361</v>
      </c>
      <c r="BA77" s="82">
        <f>IF(BA$14=1,'Inputs (2)'!BA65,AZ77-BA126)</f>
        <v>6808.361</v>
      </c>
      <c r="BB77" s="77">
        <f>BA77</f>
        <v>6808.361</v>
      </c>
      <c r="BC77" s="82">
        <f>IF(BC$14=1,'Inputs (2)'!BC65,BA77-BC126)</f>
        <v>6808.361</v>
      </c>
      <c r="BD77" s="82">
        <f>IF(BD$14=1,'Inputs (2)'!BD65,BC77-BD126)</f>
        <v>6808.361</v>
      </c>
      <c r="BE77" s="82">
        <f>IF(BE$14=1,'Inputs (2)'!BE65,BD77-BE126)</f>
        <v>6808.361</v>
      </c>
      <c r="BF77" s="82">
        <f>IF(BF$14=1,'Inputs (2)'!BF65,BE77-BF126)</f>
        <v>6808.361</v>
      </c>
      <c r="BG77" s="77">
        <f>BF77</f>
        <v>6808.361</v>
      </c>
    </row>
    <row r="78">
      <c r="C78" s="53" t="inlineStr">
        <is>
          <t>TOTAL DO PATRIMÔNIO LÍQUIDO</t>
        </is>
      </c>
      <c r="D78" s="54" t="inlineStr">
        <is>
          <t>TOTAL EQUITY</t>
        </is>
      </c>
      <c r="E78" s="59">
        <f>E71+E77</f>
        <v>22343.29651</v>
      </c>
      <c r="F78" s="59">
        <f>F71+F77</f>
        <v>25945.936414</v>
      </c>
      <c r="G78" s="59">
        <f>G71+G77</f>
        <v>26470.325386</v>
      </c>
      <c r="H78" s="59">
        <f>H71+H77</f>
        <v>27125.950565</v>
      </c>
      <c r="I78" s="60">
        <f>H78</f>
        <v>27125.950565</v>
      </c>
      <c r="J78" s="59">
        <f>J71+J77</f>
        <v>30972.798714</v>
      </c>
      <c r="K78" s="59">
        <f>K71+K77</f>
        <v>37313.024661</v>
      </c>
      <c r="L78" s="59">
        <f>L71+L77</f>
        <v>39381.318088</v>
      </c>
      <c r="M78" s="59">
        <f>M71+M77</f>
        <v>40514.842665</v>
      </c>
      <c r="N78" s="60">
        <f>M78</f>
        <v>40514.842665</v>
      </c>
      <c r="O78" s="59">
        <f>O71+O77</f>
        <v>43613.175531</v>
      </c>
      <c r="P78" s="59">
        <f>P71+P77</f>
        <v>45632.961152</v>
      </c>
      <c r="Q78" s="59">
        <f>Q71+Q77</f>
        <v>47031.590477</v>
      </c>
      <c r="R78" s="59">
        <f>R71+R77</f>
        <v>46613.31122</v>
      </c>
      <c r="S78" s="60">
        <f>R78</f>
        <v>46613.31122</v>
      </c>
      <c r="T78" s="59">
        <f>T71+T77</f>
        <v>48598.934</v>
      </c>
      <c r="U78" s="59">
        <f>U71+U77</f>
        <v>51439.576</v>
      </c>
      <c r="V78" s="59">
        <f>V71+V77</f>
        <v>51696.186</v>
      </c>
      <c r="W78" s="59">
        <f>W71+W77</f>
        <v>53535.468</v>
      </c>
      <c r="X78" s="60">
        <f>W78</f>
        <v>53535.468</v>
      </c>
      <c r="Y78" s="59">
        <f>Y71+Y77</f>
        <v>55986.320415</v>
      </c>
      <c r="Z78" s="59">
        <f>Z71+Z77</f>
        <v>57804.505</v>
      </c>
      <c r="AA78" s="59">
        <f>AA71+AA77</f>
        <v>62545.265</v>
      </c>
      <c r="AB78" s="59">
        <f>AB71+AB77</f>
        <v>62320.400201</v>
      </c>
      <c r="AC78" s="60">
        <f>AB78</f>
        <v>62320.400201</v>
      </c>
      <c r="AD78" s="59">
        <f>AD71+AD77</f>
        <v>65461.31</v>
      </c>
      <c r="AE78" s="59">
        <f>AE71+AE77</f>
        <v>69749.026</v>
      </c>
      <c r="AF78" s="59">
        <f>AF71+AF77</f>
        <v>72636.675</v>
      </c>
      <c r="AG78" s="59">
        <f>AG71+AG77</f>
        <v>76910.156</v>
      </c>
      <c r="AH78" s="60">
        <f>AG78</f>
        <v>76910.156</v>
      </c>
      <c r="AI78" s="59">
        <f>AI71+AI77</f>
        <v>80224.343</v>
      </c>
      <c r="AJ78" s="59">
        <f>AJ71+AJ77</f>
        <v>86361.85</v>
      </c>
      <c r="AK78" s="59">
        <f>AK71+AK77</f>
        <v>89666.459993</v>
      </c>
      <c r="AL78" s="59">
        <f>AL71+AL77</f>
        <v>92567.19635</v>
      </c>
      <c r="AM78" s="60">
        <f>AL78</f>
        <v>92567.19635</v>
      </c>
      <c r="AN78" s="59">
        <f>AN71+AN77</f>
        <v>93618.355194</v>
      </c>
      <c r="AO78" s="59">
        <f>AO71+AO77</f>
        <v>95253.329239</v>
      </c>
      <c r="AP78" s="59">
        <f>AP71+AP77</f>
        <v>98557.939232</v>
      </c>
      <c r="AQ78" s="59">
        <f>AQ71+AQ77</f>
        <v>101458.675589</v>
      </c>
      <c r="AR78" s="60">
        <f>AQ78</f>
        <v>101458.675589</v>
      </c>
      <c r="AS78" s="59">
        <f>AS71+AS77</f>
        <v>102509.834433</v>
      </c>
      <c r="AT78" s="59">
        <f>AT71+AT77</f>
        <v>104144.808478</v>
      </c>
      <c r="AU78" s="59">
        <f>AU71+AU77</f>
        <v>107449.418471</v>
      </c>
      <c r="AV78" s="59">
        <f>AV71+AV77</f>
        <v>110350.154828</v>
      </c>
      <c r="AW78" s="60">
        <f>AV78</f>
        <v>110350.154828</v>
      </c>
      <c r="AX78" s="59">
        <f>AX71+AX77</f>
        <v>111401.313672</v>
      </c>
      <c r="AY78" s="59">
        <f>AY71+AY77</f>
        <v>113036.287717</v>
      </c>
      <c r="AZ78" s="59">
        <f>AZ71+AZ77</f>
        <v>116340.89771</v>
      </c>
      <c r="BA78" s="59">
        <f>BA71+BA77</f>
        <v>119241.634067</v>
      </c>
      <c r="BB78" s="60">
        <f>BA78</f>
        <v>119241.634067</v>
      </c>
      <c r="BC78" s="59">
        <f>BC71+BC77</f>
        <v>120292.792911</v>
      </c>
      <c r="BD78" s="59">
        <f>BD71+BD77</f>
        <v>121927.766956</v>
      </c>
      <c r="BE78" s="59">
        <f>BE71+BE77</f>
        <v>125232.376949</v>
      </c>
      <c r="BF78" s="59">
        <f>BF71+BF77</f>
        <v>128133.113306</v>
      </c>
      <c r="BG78" s="60">
        <f>BF78</f>
        <v>128133.113306</v>
      </c>
    </row>
    <row r="79">
      <c r="C79" s="53" t="inlineStr">
        <is>
          <t>TOTAL DO PASSIVO E DO PATRIMÔNIO LÍQUIDO</t>
        </is>
      </c>
      <c r="D79" s="54" t="inlineStr">
        <is>
          <t>TOTAL LIABILITIES AND EQUITY</t>
        </is>
      </c>
      <c r="E79" s="59">
        <f>E69+E78</f>
        <v>200357.046614</v>
      </c>
      <c r="F79" s="59">
        <f>F69+F78</f>
        <v>230411.174878</v>
      </c>
      <c r="G79" s="59">
        <f>G69+G78</f>
        <v>253211.885688</v>
      </c>
      <c r="H79" s="59">
        <f>H69+H78</f>
        <v>244925.336966</v>
      </c>
      <c r="I79" s="60">
        <f>H79</f>
        <v>244925.336966</v>
      </c>
      <c r="J79" s="59">
        <f>J69+J78</f>
        <v>279803.72746</v>
      </c>
      <c r="K79" s="59">
        <f>K69+K78</f>
        <v>335195.340211</v>
      </c>
      <c r="L79" s="59">
        <f>L69+L78</f>
        <v>372234.683899</v>
      </c>
      <c r="M79" s="59">
        <f>M69+M78</f>
        <v>346142.669441</v>
      </c>
      <c r="N79" s="60">
        <f>M79</f>
        <v>346142.669441</v>
      </c>
      <c r="O79" s="59">
        <f>O69+O78</f>
        <v>391349.059784</v>
      </c>
      <c r="P79" s="59">
        <f>P69+P78</f>
        <v>454826.689154</v>
      </c>
      <c r="Q79" s="59">
        <f>Q69+Q78</f>
        <v>439904.717382</v>
      </c>
      <c r="R79" s="59">
        <f>R69+R78</f>
        <v>450612.0876</v>
      </c>
      <c r="S79" s="60">
        <f>R79</f>
        <v>450612.0876</v>
      </c>
      <c r="T79" s="59">
        <f>T69+T78</f>
        <v>470401.476</v>
      </c>
      <c r="U79" s="59">
        <f>U69+U78</f>
        <v>474552.148</v>
      </c>
      <c r="V79" s="59">
        <f>V69+V78</f>
        <v>496439.124</v>
      </c>
      <c r="W79" s="59">
        <f>W69+W78</f>
        <v>493232.849536</v>
      </c>
      <c r="X79" s="60">
        <f>W79</f>
        <v>493232.849536</v>
      </c>
      <c r="Y79" s="59">
        <f>Y69+Y78</f>
        <v>567677.28716</v>
      </c>
      <c r="Z79" s="59">
        <f>Z69+Z78</f>
        <v>600362.635</v>
      </c>
      <c r="AA79" s="59">
        <f>AA69+AA78</f>
        <v>611387.03</v>
      </c>
      <c r="AB79" s="59">
        <f>AB69+AB78</f>
        <v>587163.888828</v>
      </c>
      <c r="AC79" s="60">
        <f>AB79</f>
        <v>587163.888828</v>
      </c>
      <c r="AD79" s="59">
        <f>AD69+AD78</f>
        <v>608441.721</v>
      </c>
      <c r="AE79" s="59">
        <f>AE69+AE78</f>
        <v>656071.35</v>
      </c>
      <c r="AF79" s="59">
        <f>AF69+AF78</f>
        <v>684960.022</v>
      </c>
      <c r="AG79" s="59">
        <f>AG69+AG78</f>
        <v>805968.339</v>
      </c>
      <c r="AH79" s="60">
        <f>AG79</f>
        <v>805968.339</v>
      </c>
      <c r="AI79" s="59">
        <f>AI69+AI78</f>
        <v>845574.803</v>
      </c>
      <c r="AJ79" s="59">
        <f>AJ69+AJ78</f>
        <v>925218.566</v>
      </c>
      <c r="AK79" s="59">
        <f>AK69+AK78</f>
        <v>925218.566</v>
      </c>
      <c r="AL79" s="59">
        <f>AL69+AL78</f>
        <v>925218.566</v>
      </c>
      <c r="AM79" s="60">
        <f>AL79</f>
        <v>925218.566</v>
      </c>
      <c r="AN79" s="59">
        <f>AN69+AN78</f>
        <v>925218.566</v>
      </c>
      <c r="AO79" s="59">
        <f>AO69+AO78</f>
        <v>925218.566</v>
      </c>
      <c r="AP79" s="59">
        <f>AP69+AP78</f>
        <v>925218.566</v>
      </c>
      <c r="AQ79" s="59">
        <f>AQ69+AQ78</f>
        <v>925218.566</v>
      </c>
      <c r="AR79" s="60">
        <f>AQ79</f>
        <v>925218.566</v>
      </c>
      <c r="AS79" s="59">
        <f>AS69+AS78</f>
        <v>925218.566</v>
      </c>
      <c r="AT79" s="59">
        <f>AT69+AT78</f>
        <v>925218.566</v>
      </c>
      <c r="AU79" s="59">
        <f>AU69+AU78</f>
        <v>925218.566</v>
      </c>
      <c r="AV79" s="59">
        <f>AV69+AV78</f>
        <v>925218.566</v>
      </c>
      <c r="AW79" s="60">
        <f>AV79</f>
        <v>925218.566</v>
      </c>
      <c r="AX79" s="59">
        <f>AX69+AX78</f>
        <v>925218.566</v>
      </c>
      <c r="AY79" s="59">
        <f>AY69+AY78</f>
        <v>925218.566</v>
      </c>
      <c r="AZ79" s="59">
        <f>AZ69+AZ78</f>
        <v>925218.566</v>
      </c>
      <c r="BA79" s="59">
        <f>BA69+BA78</f>
        <v>925218.566</v>
      </c>
      <c r="BB79" s="60">
        <f>BA79</f>
        <v>925218.566</v>
      </c>
      <c r="BC79" s="59">
        <f>BC69+BC78</f>
        <v>925218.566</v>
      </c>
      <c r="BD79" s="59">
        <f>BD69+BD78</f>
        <v>925218.566</v>
      </c>
      <c r="BE79" s="59">
        <f>BE69+BE78</f>
        <v>925218.566</v>
      </c>
      <c r="BF79" s="59">
        <f>BF69+BF78</f>
        <v>925218.566</v>
      </c>
      <c r="BG79" s="60">
        <f>BF79</f>
        <v>925218.566</v>
      </c>
    </row>
    <row r="81">
      <c r="B81" s="7" t="n"/>
      <c r="C81" s="7" t="str">
        <f>"RECONCILIAÇÃO DO PATRIMÔNIO LÍQUIDO ("&amp;Inputs!$E$202&amp;")"</f>
        <v>RECONCILIAÇÃO DO PATRIMÔNIO LÍQUIDO (R$ milhões)</v>
      </c>
      <c r="D81" s="7" t="inlineStr">
        <is>
          <t>EQUITY ROLL-FORWARD</t>
        </is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>
      <c r="C82" s="11" t="inlineStr">
        <is>
          <t>Patrimônio líquido inicial</t>
        </is>
      </c>
      <c r="D82" s="12" t="inlineStr">
        <is>
          <t>Opening equity</t>
        </is>
      </c>
      <c r="E82" s="37">
        <f>E78-E83</f>
        <v>21575.369259</v>
      </c>
      <c r="F82" s="37">
        <f>E78</f>
        <v>22343.29651</v>
      </c>
      <c r="G82" s="37">
        <f>F78</f>
        <v>25945.936414</v>
      </c>
      <c r="H82" s="37">
        <f>G78</f>
        <v>26470.325386</v>
      </c>
      <c r="I82" s="38">
        <f>E82</f>
        <v>21575.369259</v>
      </c>
      <c r="J82" s="37">
        <f>H78</f>
        <v>27125.950565</v>
      </c>
      <c r="K82" s="37">
        <f>J78</f>
        <v>30972.798714</v>
      </c>
      <c r="L82" s="37">
        <f>K78</f>
        <v>37313.024661</v>
      </c>
      <c r="M82" s="37">
        <f>L78</f>
        <v>39381.318088</v>
      </c>
      <c r="N82" s="38">
        <f>J82</f>
        <v>27125.950565</v>
      </c>
      <c r="O82" s="37">
        <f>M78</f>
        <v>40514.842665</v>
      </c>
      <c r="P82" s="37">
        <f>O78</f>
        <v>43613.175531</v>
      </c>
      <c r="Q82" s="37">
        <f>P78</f>
        <v>45632.961152</v>
      </c>
      <c r="R82" s="37">
        <f>Q78</f>
        <v>47031.590477</v>
      </c>
      <c r="S82" s="38">
        <f>O82</f>
        <v>40514.842665</v>
      </c>
      <c r="T82" s="37">
        <f>R78</f>
        <v>46613.31122</v>
      </c>
      <c r="U82" s="37">
        <f>T78</f>
        <v>48598.934</v>
      </c>
      <c r="V82" s="37">
        <f>U78</f>
        <v>51439.576</v>
      </c>
      <c r="W82" s="37">
        <f>V78</f>
        <v>51696.186</v>
      </c>
      <c r="X82" s="38">
        <f>T82</f>
        <v>46613.31122</v>
      </c>
      <c r="Y82" s="37">
        <f>W78</f>
        <v>53535.468</v>
      </c>
      <c r="Z82" s="37">
        <f>Y78</f>
        <v>55986.320415</v>
      </c>
      <c r="AA82" s="37">
        <f>Z78</f>
        <v>57804.505</v>
      </c>
      <c r="AB82" s="37">
        <f>AA78</f>
        <v>62545.265</v>
      </c>
      <c r="AC82" s="38">
        <f>Y82</f>
        <v>53535.468</v>
      </c>
      <c r="AD82" s="37">
        <f>AB78</f>
        <v>62320.400201</v>
      </c>
      <c r="AE82" s="37">
        <f>AD78</f>
        <v>65461.31</v>
      </c>
      <c r="AF82" s="37">
        <f>AE78</f>
        <v>69749.026</v>
      </c>
      <c r="AG82" s="37">
        <f>AF78</f>
        <v>72636.675</v>
      </c>
      <c r="AH82" s="38">
        <f>AD82</f>
        <v>62320.400201</v>
      </c>
      <c r="AI82" s="37">
        <f>AG78</f>
        <v>76910.156</v>
      </c>
      <c r="AJ82" s="37">
        <f>AI78</f>
        <v>80224.343</v>
      </c>
      <c r="AK82" s="37">
        <f>AJ78</f>
        <v>86361.85</v>
      </c>
      <c r="AL82" s="37">
        <f>AK78</f>
        <v>89666.459993</v>
      </c>
      <c r="AM82" s="38">
        <f>AI82</f>
        <v>76910.156</v>
      </c>
      <c r="AN82" s="37">
        <f>AL78</f>
        <v>92567.19635</v>
      </c>
      <c r="AO82" s="37">
        <f>AN78</f>
        <v>93618.355194</v>
      </c>
      <c r="AP82" s="37">
        <f>AO78</f>
        <v>95253.329239</v>
      </c>
      <c r="AQ82" s="37">
        <f>AP78</f>
        <v>98557.939232</v>
      </c>
      <c r="AR82" s="38">
        <f>AN82</f>
        <v>92567.19635</v>
      </c>
      <c r="AS82" s="37">
        <f>AQ78</f>
        <v>101458.675589</v>
      </c>
      <c r="AT82" s="37">
        <f>AS78</f>
        <v>102509.834433</v>
      </c>
      <c r="AU82" s="37">
        <f>AT78</f>
        <v>104144.808478</v>
      </c>
      <c r="AV82" s="37">
        <f>AU78</f>
        <v>107449.418471</v>
      </c>
      <c r="AW82" s="38">
        <f>AS82</f>
        <v>101458.675589</v>
      </c>
      <c r="AX82" s="37">
        <f>AV78</f>
        <v>110350.154828</v>
      </c>
      <c r="AY82" s="37">
        <f>AX78</f>
        <v>111401.313672</v>
      </c>
      <c r="AZ82" s="37">
        <f>AY78</f>
        <v>113036.287717</v>
      </c>
      <c r="BA82" s="37">
        <f>AZ78</f>
        <v>116340.89771</v>
      </c>
      <c r="BB82" s="38">
        <f>AX82</f>
        <v>110350.154828</v>
      </c>
      <c r="BC82" s="37">
        <f>BA78</f>
        <v>119241.634067</v>
      </c>
      <c r="BD82" s="37">
        <f>BC78</f>
        <v>120292.792911</v>
      </c>
      <c r="BE82" s="37">
        <f>BD78</f>
        <v>121927.766956</v>
      </c>
      <c r="BF82" s="37">
        <f>BE78</f>
        <v>125232.376949</v>
      </c>
      <c r="BG82" s="38">
        <f>BC82</f>
        <v>119241.634067</v>
      </c>
    </row>
    <row r="83">
      <c r="C83" s="11" t="inlineStr">
        <is>
          <t>(+) Lucro líquido do período</t>
        </is>
      </c>
      <c r="D83" s="12" t="inlineStr">
        <is>
          <t>(+) Net income</t>
        </is>
      </c>
      <c r="E83" s="37">
        <f>E125</f>
        <v>767.927251</v>
      </c>
      <c r="F83" s="37">
        <f>F125</f>
        <v>977.349999000001</v>
      </c>
      <c r="G83" s="37">
        <f>G125</f>
        <v>1001.968826</v>
      </c>
      <c r="H83" s="37">
        <f>H125</f>
        <v>1229.136958</v>
      </c>
      <c r="I83" s="38">
        <f>SUM(E83:H83)</f>
        <v>3976.383034</v>
      </c>
      <c r="J83" s="37">
        <f>J125</f>
        <v>1176.496498</v>
      </c>
      <c r="K83" s="37">
        <f>K125</f>
        <v>1678.396844</v>
      </c>
      <c r="L83" s="37">
        <f>L125</f>
        <v>1743.180463</v>
      </c>
      <c r="M83" s="37">
        <f>M125</f>
        <v>1744.080219</v>
      </c>
      <c r="N83" s="38">
        <f>SUM(J83:M83)</f>
        <v>6342.154024</v>
      </c>
      <c r="O83" s="37">
        <f>O125</f>
        <v>1942.584755</v>
      </c>
      <c r="P83" s="37">
        <f>P125</f>
        <v>2067.297433</v>
      </c>
      <c r="Q83" s="37">
        <f>Q125</f>
        <v>2180.808579</v>
      </c>
      <c r="R83" s="37">
        <f>R125</f>
        <v>1651.146201</v>
      </c>
      <c r="S83" s="38">
        <f>SUM(O83:R83)</f>
        <v>7841.836968</v>
      </c>
      <c r="T83" s="37">
        <f>T125</f>
        <v>2133.223191</v>
      </c>
      <c r="U83" s="37">
        <f>U125</f>
        <v>2441.24594700001</v>
      </c>
      <c r="V83" s="37">
        <f>V125</f>
        <v>2622.549672</v>
      </c>
      <c r="W83" s="37">
        <f>W125</f>
        <v>2727.546686</v>
      </c>
      <c r="X83" s="38">
        <f>SUM(T83:W83)</f>
        <v>9924.56549600001</v>
      </c>
      <c r="Y83" s="37">
        <f>Y125</f>
        <v>2773.671619</v>
      </c>
      <c r="Z83" s="37">
        <f>Z125</f>
        <v>2823.385721</v>
      </c>
      <c r="AA83" s="37">
        <f>AA125</f>
        <v>3068.108637</v>
      </c>
      <c r="AB83" s="37">
        <f>AB125</f>
        <v>3124.221082</v>
      </c>
      <c r="AC83" s="38">
        <f>SUM(Y83:AB83)</f>
        <v>11789.387059</v>
      </c>
      <c r="AD83" s="37">
        <f>AD125</f>
        <v>3209.92157</v>
      </c>
      <c r="AE83" s="37">
        <f>AE125</f>
        <v>4009.223387</v>
      </c>
      <c r="AF83" s="37">
        <f>AF125</f>
        <v>4337.376528</v>
      </c>
      <c r="AG83" s="37">
        <f>AG125</f>
        <v>4390.528109</v>
      </c>
      <c r="AH83" s="38">
        <f>SUM(AD83:AG83)</f>
        <v>15947.049594</v>
      </c>
      <c r="AI83" s="37">
        <f>AI125</f>
        <v>4570.395695</v>
      </c>
      <c r="AJ83" s="37">
        <f>AJ125</f>
        <v>4901.144627</v>
      </c>
      <c r="AK83" s="37">
        <f>AK125</f>
        <v>3304.609993</v>
      </c>
      <c r="AL83" s="37">
        <f>AL125</f>
        <v>2900.736357</v>
      </c>
      <c r="AM83" s="38">
        <f>SUM(AI83:AL83)</f>
        <v>15676.886672</v>
      </c>
      <c r="AN83" s="37">
        <f>AN125</f>
        <v>1051.158844</v>
      </c>
      <c r="AO83" s="37">
        <f>AO125</f>
        <v>1634.974045</v>
      </c>
      <c r="AP83" s="37">
        <f>AP125</f>
        <v>3304.609993</v>
      </c>
      <c r="AQ83" s="37">
        <f>AQ125</f>
        <v>2900.736357</v>
      </c>
      <c r="AR83" s="38">
        <f>SUM(AN83:AQ83)</f>
        <v>8891.479239</v>
      </c>
      <c r="AS83" s="37">
        <f>AS125</f>
        <v>1051.158844</v>
      </c>
      <c r="AT83" s="37">
        <f>AT125</f>
        <v>1634.974045</v>
      </c>
      <c r="AU83" s="37">
        <f>AU125</f>
        <v>3304.609993</v>
      </c>
      <c r="AV83" s="37">
        <f>AV125</f>
        <v>2900.736357</v>
      </c>
      <c r="AW83" s="38">
        <f>SUM(AS83:AV83)</f>
        <v>8891.479239</v>
      </c>
      <c r="AX83" s="37">
        <f>AX125</f>
        <v>1051.158844</v>
      </c>
      <c r="AY83" s="37">
        <f>AY125</f>
        <v>1634.974045</v>
      </c>
      <c r="AZ83" s="37">
        <f>AZ125</f>
        <v>3304.609993</v>
      </c>
      <c r="BA83" s="37">
        <f>BA125</f>
        <v>2900.736357</v>
      </c>
      <c r="BB83" s="38">
        <f>SUM(AX83:BA83)</f>
        <v>8891.479239</v>
      </c>
      <c r="BC83" s="37">
        <f>BC125</f>
        <v>1051.158844</v>
      </c>
      <c r="BD83" s="37">
        <f>BD125</f>
        <v>1634.974045</v>
      </c>
      <c r="BE83" s="37">
        <f>BE125</f>
        <v>3304.609993</v>
      </c>
      <c r="BF83" s="37">
        <f>BF125</f>
        <v>2900.736357</v>
      </c>
      <c r="BG83" s="38">
        <f>SUM(BC83:BF83)</f>
        <v>8891.479239</v>
      </c>
    </row>
    <row r="84">
      <c r="C84" s="11" t="inlineStr">
        <is>
          <t>(–) Dividendos e juros sobre capital próprio</t>
        </is>
      </c>
      <c r="D84" s="12" t="inlineStr">
        <is>
          <t>(–) Dividends and IOC</t>
        </is>
      </c>
      <c r="E84" s="57">
        <f>IF(E$14=1,-('Inputs (2)'!E149+'Inputs (2)'!E150),-E127*Inputs!E$298)</f>
        <v>0</v>
      </c>
      <c r="F84" s="57">
        <f>IF(F$14=1,-('Inputs (2)'!F149+'Inputs (2)'!F150),-F127*Inputs!F$298)</f>
        <v>0</v>
      </c>
      <c r="G84" s="57">
        <f>IF(G$14=1,-('Inputs (2)'!G149+'Inputs (2)'!G150),-G127*Inputs!G$298)</f>
        <v>-532.999901</v>
      </c>
      <c r="H84" s="57">
        <f>IF(H$14=1,-('Inputs (2)'!H149+'Inputs (2)'!H150),-H127*Inputs!H$298)</f>
        <v>-563</v>
      </c>
      <c r="I84" s="38">
        <f>SUM(E84:H84)</f>
        <v>-1095.999901</v>
      </c>
      <c r="J84" s="57">
        <f>IF(J$14=1,-('Inputs (2)'!J149+'Inputs (2)'!J150),-J127*Inputs!J$298)</f>
        <v>0</v>
      </c>
      <c r="K84" s="57">
        <f>IF(K$14=1,-('Inputs (2)'!K149+'Inputs (2)'!K150),-K127*Inputs!K$298)</f>
        <v>0</v>
      </c>
      <c r="L84" s="57">
        <f>IF(L$14=1,-('Inputs (2)'!L149+'Inputs (2)'!L150),-L127*Inputs!L$298)</f>
        <v>-650.000511</v>
      </c>
      <c r="M84" s="57">
        <f>IF(M$14=1,-('Inputs (2)'!M149+'Inputs (2)'!M150),-M127*Inputs!M$298)</f>
        <v>-825</v>
      </c>
      <c r="N84" s="38">
        <f>SUM(J84:M84)</f>
        <v>-1475.000511</v>
      </c>
      <c r="O84" s="57">
        <f>IF(O$14=1,-('Inputs (2)'!O149+'Inputs (2)'!O150),-O127*Inputs!O$298)</f>
        <v>0</v>
      </c>
      <c r="P84" s="57">
        <f>IF(P$14=1,-('Inputs (2)'!P149+'Inputs (2)'!P150),-P127*Inputs!P$298)</f>
        <v>0</v>
      </c>
      <c r="Q84" s="57">
        <f>IF(Q$14=1,-('Inputs (2)'!Q149+'Inputs (2)'!Q150),-Q127*Inputs!Q$298)</f>
        <v>-1200</v>
      </c>
      <c r="R84" s="57">
        <f>IF(R$14=1,-('Inputs (2)'!R149+'Inputs (2)'!R150),-R127*Inputs!R$298)</f>
        <v>-1315</v>
      </c>
      <c r="S84" s="38">
        <f>SUM(O84:R84)</f>
        <v>-2515</v>
      </c>
      <c r="T84" s="57">
        <f>IF(T$14=1,-('Inputs (2)'!T149+'Inputs (2)'!T150),-T127*Inputs!T$298)</f>
        <v>0</v>
      </c>
      <c r="U84" s="57">
        <f>IF(U$14=1,-('Inputs (2)'!U149+'Inputs (2)'!U150),-U127*Inputs!U$298)</f>
        <v>0</v>
      </c>
      <c r="V84" s="57">
        <f>IF(V$14=1,-('Inputs (2)'!V149+'Inputs (2)'!V150),-V127*Inputs!V$298)</f>
        <v>-1530</v>
      </c>
      <c r="W84" s="57">
        <f>IF(W$14=1,-('Inputs (2)'!W149+'Inputs (2)'!W150),-W127*Inputs!W$298)</f>
        <v>-1445</v>
      </c>
      <c r="X84" s="38">
        <f>SUM(T84:W84)</f>
        <v>-2975</v>
      </c>
      <c r="Y84" s="57">
        <f>IF(Y$14=1,-('Inputs (2)'!Y149+'Inputs (2)'!Y150),-Y127*Inputs!Y$298)</f>
        <v>0</v>
      </c>
      <c r="Z84" s="57">
        <f>IF(Z$14=1,-('Inputs (2)'!Z149+'Inputs (2)'!Z150),-Z127*Inputs!Z$298)</f>
        <v>-1550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-1719.817618</v>
      </c>
      <c r="AC84" s="38">
        <f>SUM(Y84:AB84)</f>
        <v>-3269.817618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0</v>
      </c>
      <c r="AF84" s="57">
        <f>IF(AF$14=1,-('Inputs (2)'!AF149+'Inputs (2)'!AF150),-AF127*Inputs!AF$298)</f>
        <v>-2299.999698</v>
      </c>
      <c r="AG84" s="57">
        <f>IF(AG$14=1,-('Inputs (2)'!AG149+'Inputs (2)'!AG150),-AG127*Inputs!AG$298)</f>
        <v>-2449.998216</v>
      </c>
      <c r="AH84" s="38">
        <f>SUM(AD84:AG84)</f>
        <v>-4749.997914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0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0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>
      <c r="C85" s="11" t="inlineStr">
        <is>
          <t>(+/–) Outros resultados abrangentes</t>
        </is>
      </c>
      <c r="D85" s="12" t="inlineStr">
        <is>
          <t>(+/–) OCI</t>
        </is>
      </c>
      <c r="E85" s="57">
        <f>Inputs!E$302</f>
        <v>0</v>
      </c>
      <c r="F85" s="57">
        <f>IF(F$14=1,F75-E75,Inputs!F$302)</f>
        <v>0</v>
      </c>
      <c r="G85" s="57">
        <f>IF(G$14=1,G75-F75,Inputs!G$302)</f>
        <v>0</v>
      </c>
      <c r="H85" s="57">
        <f>IF(H$14=1,H75-G75,Inputs!H$302)</f>
        <v>0</v>
      </c>
      <c r="I85" s="38">
        <f>SUM(E85:H85)</f>
        <v>0</v>
      </c>
      <c r="J85" s="57">
        <f>IF(J$14=1,J75-H75,Inputs!J$302)</f>
        <v>0</v>
      </c>
      <c r="K85" s="57">
        <f>IF(K$14=1,K75-J75,Inputs!K$302)</f>
        <v>0</v>
      </c>
      <c r="L85" s="57">
        <f>IF(L$14=1,L75-K75,Inputs!L$302)</f>
        <v>0</v>
      </c>
      <c r="M85" s="57">
        <f>IF(M$14=1,M75-L75,Inputs!M$302)</f>
        <v>0</v>
      </c>
      <c r="N85" s="38">
        <f>SUM(J85:M85)</f>
        <v>0</v>
      </c>
      <c r="O85" s="57">
        <f>IF(O$14=1,O75-M75,Inputs!O$302)</f>
        <v>0</v>
      </c>
      <c r="P85" s="57">
        <f>IF(P$14=1,P75-O75,Inputs!P$302)</f>
        <v>0</v>
      </c>
      <c r="Q85" s="57">
        <f>IF(Q$14=1,Q75-P75,Inputs!Q$302)</f>
        <v>0</v>
      </c>
      <c r="R85" s="57">
        <f>IF(R$14=1,R75-Q75,Inputs!R$302)</f>
        <v>0</v>
      </c>
      <c r="S85" s="38">
        <f>SUM(O85:R85)</f>
        <v>0</v>
      </c>
      <c r="T85" s="57">
        <f>IF(T$14=1,T75-R75,Inputs!T$302)</f>
        <v>0</v>
      </c>
      <c r="U85" s="57">
        <f>IF(U$14=1,U75-T75,Inputs!U$302)</f>
        <v>0</v>
      </c>
      <c r="V85" s="57">
        <f>IF(V$14=1,V75-U75,Inputs!V$302)</f>
        <v>0</v>
      </c>
      <c r="W85" s="57">
        <f>IF(W$14=1,W75-V75,Inputs!W$302)</f>
        <v>0</v>
      </c>
      <c r="X85" s="38">
        <f>SUM(T85:W85)</f>
        <v>0</v>
      </c>
      <c r="Y85" s="57">
        <f>IF(Y$14=1,Y75-W75,Inputs!Y$302)</f>
        <v>0</v>
      </c>
      <c r="Z85" s="57">
        <f>IF(Z$14=1,Z75-Y75,Inputs!Z$302)</f>
        <v>0</v>
      </c>
      <c r="AA85" s="57">
        <f>IF(AA$14=1,AA75-Z75,Inputs!AA$302)</f>
        <v>0</v>
      </c>
      <c r="AB85" s="57">
        <f>IF(AB$14=1,AB75-AA75,Inputs!AB$302)</f>
        <v>0</v>
      </c>
      <c r="AC85" s="38">
        <f>SUM(Y85:AB85)</f>
        <v>0</v>
      </c>
      <c r="AD85" s="57">
        <f>IF(AD$14=1,AD75-AB75,Inputs!AD$302)</f>
        <v>0</v>
      </c>
      <c r="AE85" s="57">
        <f>IF(AE$14=1,AE75-AD75,Inputs!AE$302)</f>
        <v>0</v>
      </c>
      <c r="AF85" s="57">
        <f>IF(AF$14=1,AF75-AE75,Inputs!AF$302)</f>
        <v>0</v>
      </c>
      <c r="AG85" s="57">
        <f>IF(AG$14=1,AG75-AF75,Inputs!AG$302)</f>
        <v>0</v>
      </c>
      <c r="AH85" s="38">
        <f>SUM(AD85:AG85)</f>
        <v>0</v>
      </c>
      <c r="AI85" s="57">
        <f>IF(AI$14=1,AI75-AG75,Inputs!AI$302)</f>
        <v>0</v>
      </c>
      <c r="AJ85" s="57">
        <f>IF(AJ$14=1,AJ75-AI75,Inputs!AJ$302)</f>
        <v>0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0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>
      <c r="C86" s="11" t="inlineStr">
        <is>
          <t>(+/–) Aumento / (redução) de capital</t>
        </is>
      </c>
      <c r="D86" s="12" t="inlineStr">
        <is>
          <t>(+/–) Capital changes</t>
        </is>
      </c>
      <c r="E86" s="57">
        <f>Inputs!E$303</f>
        <v>0</v>
      </c>
      <c r="F86" s="57">
        <f>IF(F$14=1,F72-E72,Inputs!F$303)</f>
        <v>0</v>
      </c>
      <c r="G86" s="57">
        <f>IF(G$14=1,G72-F72,Inputs!G$303)</f>
        <v>0</v>
      </c>
      <c r="H86" s="57">
        <f>IF(H$14=1,H72-G72,Inputs!H$303)</f>
        <v>0</v>
      </c>
      <c r="I86" s="38">
        <f>SUM(E86:H86)</f>
        <v>0</v>
      </c>
      <c r="J86" s="57">
        <f>IF(J$14=1,J72-H72,Inputs!J$303)</f>
        <v>0</v>
      </c>
      <c r="K86" s="57">
        <f>IF(K$14=1,K72-J72,Inputs!K$303)</f>
        <v>0</v>
      </c>
      <c r="L86" s="57">
        <f>IF(L$14=1,L72-K72,Inputs!L$303)</f>
        <v>0</v>
      </c>
      <c r="M86" s="57">
        <f>IF(M$14=1,M72-L72,Inputs!M$303)</f>
        <v>0</v>
      </c>
      <c r="N86" s="38">
        <f>SUM(J86:M86)</f>
        <v>0</v>
      </c>
      <c r="O86" s="57">
        <f>IF(O$14=1,O72-M72,Inputs!O$303)</f>
        <v>0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0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0</v>
      </c>
      <c r="W86" s="57">
        <f>IF(W$14=1,W72-V72,Inputs!W$303)</f>
        <v>0</v>
      </c>
      <c r="X86" s="38">
        <f>SUM(T86:W86)</f>
        <v>0</v>
      </c>
      <c r="Y86" s="57">
        <f>IF(Y$14=1,Y72-W72,Inputs!Y$303)</f>
        <v>0</v>
      </c>
      <c r="Z86" s="57">
        <f>IF(Z$14=1,Z72-Y72,Inputs!Z$303)</f>
        <v>0</v>
      </c>
      <c r="AA86" s="57">
        <f>IF(AA$14=1,AA72-Z72,Inputs!AA$303)</f>
        <v>0</v>
      </c>
      <c r="AB86" s="57">
        <f>IF(AB$14=1,AB72-AA72,Inputs!AB$303)</f>
        <v>0</v>
      </c>
      <c r="AC86" s="38">
        <f>SUM(Y86:AB86)</f>
        <v>0</v>
      </c>
      <c r="AD86" s="57">
        <f>IF(AD$14=1,AD72-AB72,Inputs!AD$303)</f>
        <v>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0</v>
      </c>
      <c r="AI86" s="57">
        <f>IF(AI$14=1,AI72-AG72,Inputs!AI$303)</f>
        <v>0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0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>
      <c r="C87" s="11" t="inlineStr">
        <is>
          <t>(+/–) Ajuste de conciliação (períodos realizados)</t>
        </is>
      </c>
      <c r="D87" s="12" t="inlineStr">
        <is>
          <t>(+/–) Reconciling item</t>
        </is>
      </c>
      <c r="E87" s="37">
        <f>E78-(E82+E83+E84+E85+E86)</f>
        <v>0</v>
      </c>
      <c r="F87" s="37">
        <f>F78-(F82+F83+F84+F85+F86)</f>
        <v>2625.289905</v>
      </c>
      <c r="G87" s="37">
        <f>G78-(G82+G83+G84+G85+G86)</f>
        <v>55.420046999996</v>
      </c>
      <c r="H87" s="37">
        <f>H78-(H82+H83+H84+H85+H86)</f>
        <v>-10.5117789999968</v>
      </c>
      <c r="I87" s="38">
        <f>SUM(E87:H87)</f>
        <v>2670.198173</v>
      </c>
      <c r="J87" s="37">
        <f>J78-(J82+J83+J84+J85+J86)</f>
        <v>2670.351651</v>
      </c>
      <c r="K87" s="37">
        <f>K78-(K82+K83+K84+K85+K86)</f>
        <v>4661.82910299999</v>
      </c>
      <c r="L87" s="37">
        <f>L78-(L82+L83+L84+L85+L86)</f>
        <v>975.113475000006</v>
      </c>
      <c r="M87" s="37">
        <f>M78-(M82+M83+M84+M85+M86)</f>
        <v>214.444358000001</v>
      </c>
      <c r="N87" s="38">
        <f>SUM(J87:M87)</f>
        <v>8521.738587</v>
      </c>
      <c r="O87" s="37">
        <f>O78-(O82+O83+O84+O85+O86)</f>
        <v>1155.74811099999</v>
      </c>
      <c r="P87" s="37">
        <f>P78-(P82+P83+P84+P85+P86)</f>
        <v>-47.511811999997</v>
      </c>
      <c r="Q87" s="37">
        <f>Q78-(Q82+Q83+Q84+Q85+Q86)</f>
        <v>417.820746000005</v>
      </c>
      <c r="R87" s="37">
        <f>R78-(R82+R83+R84+R85+R86)</f>
        <v>-754.425458000005</v>
      </c>
      <c r="S87" s="38">
        <f>SUM(O87:R87)</f>
        <v>771.631586999996</v>
      </c>
      <c r="T87" s="37">
        <f>T78-(T82+T83+T84+T85+T86)</f>
        <v>-147.600410999999</v>
      </c>
      <c r="U87" s="37">
        <f>U78-(U82+U83+U84+U85+U86)</f>
        <v>399.39605299999</v>
      </c>
      <c r="V87" s="37">
        <f>V78-(V82+V83+V84+V85+V86)</f>
        <v>-835.939672000008</v>
      </c>
      <c r="W87" s="37">
        <f>W78-(W82+W83+W84+W85+W86)</f>
        <v>556.735313999998</v>
      </c>
      <c r="X87" s="38">
        <f>SUM(T87:W87)</f>
        <v>-27.4087160000199</v>
      </c>
      <c r="Y87" s="37">
        <f>Y78-(Y82+Y83+Y84+Y85+Y86)</f>
        <v>-322.819203999992</v>
      </c>
      <c r="Z87" s="37">
        <f>Z78-(Z82+Z83+Z84+Z85+Z86)</f>
        <v>544.798863999997</v>
      </c>
      <c r="AA87" s="37">
        <f>AA78-(AA82+AA83+AA84+AA85+AA86)</f>
        <v>1672.651363</v>
      </c>
      <c r="AB87" s="37">
        <f>AB78-(AB82+AB83+AB84+AB85+AB86)</f>
        <v>-1629.26826300001</v>
      </c>
      <c r="AC87" s="38">
        <f>SUM(Y87:AB87)</f>
        <v>265.362760000004</v>
      </c>
      <c r="AD87" s="37">
        <f>AD78-(AD82+AD83+AD84+AD85+AD86)</f>
        <v>-69.0117709999977</v>
      </c>
      <c r="AE87" s="37">
        <f>AE78-(AE82+AE83+AE84+AE85+AE86)</f>
        <v>278.492613000009</v>
      </c>
      <c r="AF87" s="37">
        <f>AF78-(AF82+AF83+AF84+AF85+AF86)</f>
        <v>850.272169999997</v>
      </c>
      <c r="AG87" s="37">
        <f>AG78-(AG82+AG83+AG84+AG85+AG86)</f>
        <v>2332.95110700002</v>
      </c>
      <c r="AH87" s="38">
        <f>SUM(AD87:AG87)</f>
        <v>3392.70411900002</v>
      </c>
      <c r="AI87" s="37">
        <f>AI78-(AI82+AI83+AI84+AI85+AI86)</f>
        <v>-1256.20869500001</v>
      </c>
      <c r="AJ87" s="37">
        <f>AJ78-(AJ82+AJ83+AJ84+AJ85+AJ86)</f>
        <v>1236.36237300001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-19.8463219999976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inlineStr">
        <is>
          <t>Nos períodos realizados absorve reclassificações do PL. Na projeção fica zerado por construção.</t>
        </is>
      </c>
    </row>
    <row r="88">
      <c r="C88" s="15" t="inlineStr">
        <is>
          <t>Patrimônio líquido final</t>
        </is>
      </c>
      <c r="D88" s="16" t="inlineStr">
        <is>
          <t>Closing equity</t>
        </is>
      </c>
      <c r="E88" s="59">
        <f>SUM(E82:E87)</f>
        <v>22343.29651</v>
      </c>
      <c r="F88" s="59">
        <f>SUM(F82:F87)</f>
        <v>25945.936414</v>
      </c>
      <c r="G88" s="59">
        <f>SUM(G82:G87)</f>
        <v>26470.325386</v>
      </c>
      <c r="H88" s="59">
        <f>SUM(H82:H87)</f>
        <v>27125.950565</v>
      </c>
      <c r="I88" s="60">
        <f>SUM(I82:I87)</f>
        <v>27125.950565</v>
      </c>
      <c r="J88" s="59">
        <f>SUM(J82:J87)</f>
        <v>30972.798714</v>
      </c>
      <c r="K88" s="59">
        <f>SUM(K82:K87)</f>
        <v>37313.024661</v>
      </c>
      <c r="L88" s="59">
        <f>SUM(L82:L87)</f>
        <v>39381.318088</v>
      </c>
      <c r="M88" s="59">
        <f>SUM(M82:M87)</f>
        <v>40514.842665</v>
      </c>
      <c r="N88" s="60">
        <f>SUM(N82:N87)</f>
        <v>40514.842665</v>
      </c>
      <c r="O88" s="59">
        <f>SUM(O82:O87)</f>
        <v>43613.175531</v>
      </c>
      <c r="P88" s="59">
        <f>SUM(P82:P87)</f>
        <v>45632.961152</v>
      </c>
      <c r="Q88" s="59">
        <f>SUM(Q82:Q87)</f>
        <v>47031.590477</v>
      </c>
      <c r="R88" s="59">
        <f>SUM(R82:R87)</f>
        <v>46613.31122</v>
      </c>
      <c r="S88" s="60">
        <f>SUM(S82:S87)</f>
        <v>46613.31122</v>
      </c>
      <c r="T88" s="59">
        <f>SUM(T82:T87)</f>
        <v>48598.934</v>
      </c>
      <c r="U88" s="59">
        <f>SUM(U82:U87)</f>
        <v>51439.576</v>
      </c>
      <c r="V88" s="59">
        <f>SUM(V82:V87)</f>
        <v>51696.186</v>
      </c>
      <c r="W88" s="59">
        <f>SUM(W82:W87)</f>
        <v>53535.468</v>
      </c>
      <c r="X88" s="60">
        <f>SUM(X82:X87)</f>
        <v>53535.468</v>
      </c>
      <c r="Y88" s="59">
        <f>SUM(Y82:Y87)</f>
        <v>55986.320415</v>
      </c>
      <c r="Z88" s="59">
        <f>SUM(Z82:Z87)</f>
        <v>57804.505</v>
      </c>
      <c r="AA88" s="59">
        <f>SUM(AA82:AA87)</f>
        <v>62545.265</v>
      </c>
      <c r="AB88" s="59">
        <f>SUM(AB82:AB87)</f>
        <v>62320.400201</v>
      </c>
      <c r="AC88" s="60">
        <f>SUM(AC82:AC87)</f>
        <v>62320.400201</v>
      </c>
      <c r="AD88" s="59">
        <f>SUM(AD82:AD87)</f>
        <v>65461.31</v>
      </c>
      <c r="AE88" s="59">
        <f>SUM(AE82:AE87)</f>
        <v>69749.026</v>
      </c>
      <c r="AF88" s="59">
        <f>SUM(AF82:AF87)</f>
        <v>72636.675</v>
      </c>
      <c r="AG88" s="59">
        <f>SUM(AG82:AG87)</f>
        <v>76910.156</v>
      </c>
      <c r="AH88" s="60">
        <f>SUM(AH82:AH87)</f>
        <v>76910.156</v>
      </c>
      <c r="AI88" s="59">
        <f>SUM(AI82:AI87)</f>
        <v>80224.343</v>
      </c>
      <c r="AJ88" s="59">
        <f>SUM(AJ82:AJ87)</f>
        <v>86361.85</v>
      </c>
      <c r="AK88" s="59">
        <f>SUM(AK82:AK87)</f>
        <v>89666.459993</v>
      </c>
      <c r="AL88" s="59">
        <f>SUM(AL82:AL87)</f>
        <v>92567.19635</v>
      </c>
      <c r="AM88" s="60">
        <f>SUM(AM82:AM87)</f>
        <v>92567.19635</v>
      </c>
      <c r="AN88" s="59">
        <f>SUM(AN82:AN87)</f>
        <v>93618.355194</v>
      </c>
      <c r="AO88" s="59">
        <f>SUM(AO82:AO87)</f>
        <v>95253.329239</v>
      </c>
      <c r="AP88" s="59">
        <f>SUM(AP82:AP87)</f>
        <v>98557.939232</v>
      </c>
      <c r="AQ88" s="59">
        <f>SUM(AQ82:AQ87)</f>
        <v>101458.675589</v>
      </c>
      <c r="AR88" s="60">
        <f>SUM(AR82:AR87)</f>
        <v>101458.675589</v>
      </c>
      <c r="AS88" s="59">
        <f>SUM(AS82:AS87)</f>
        <v>102509.834433</v>
      </c>
      <c r="AT88" s="59">
        <f>SUM(AT82:AT87)</f>
        <v>104144.808478</v>
      </c>
      <c r="AU88" s="59">
        <f>SUM(AU82:AU87)</f>
        <v>107449.418471</v>
      </c>
      <c r="AV88" s="59">
        <f>SUM(AV82:AV87)</f>
        <v>110350.154828</v>
      </c>
      <c r="AW88" s="60">
        <f>SUM(AW82:AW87)</f>
        <v>110350.154828</v>
      </c>
      <c r="AX88" s="59">
        <f>SUM(AX82:AX87)</f>
        <v>111401.313672</v>
      </c>
      <c r="AY88" s="59">
        <f>SUM(AY82:AY87)</f>
        <v>113036.287717</v>
      </c>
      <c r="AZ88" s="59">
        <f>SUM(AZ82:AZ87)</f>
        <v>116340.89771</v>
      </c>
      <c r="BA88" s="59">
        <f>SUM(BA82:BA87)</f>
        <v>119241.634067</v>
      </c>
      <c r="BB88" s="60">
        <f>SUM(BB82:BB87)</f>
        <v>119241.634067</v>
      </c>
      <c r="BC88" s="59">
        <f>SUM(BC82:BC87)</f>
        <v>120292.792911</v>
      </c>
      <c r="BD88" s="59">
        <f>SUM(BD82:BD87)</f>
        <v>121927.766956</v>
      </c>
      <c r="BE88" s="59">
        <f>SUM(BE82:BE87)</f>
        <v>125232.376949</v>
      </c>
      <c r="BF88" s="59">
        <f>SUM(BF82:BF87)</f>
        <v>128133.113306</v>
      </c>
      <c r="BG88" s="60">
        <f>SUM(BG82:BG87)</f>
        <v>128133.113306</v>
      </c>
    </row>
    <row r="90">
      <c r="B90" s="7" t="n"/>
      <c r="C90" s="7" t="str">
        <f>"DEMONSTRAÇÃO DO RESULTADO ("&amp;Inputs!$E$202&amp;")"</f>
        <v>DEMONSTRAÇÃO DO RESULTADO (R$ milhões)</v>
      </c>
      <c r="D90" s="7" t="inlineStr">
        <is>
          <t>INCOME STATEMENT</t>
        </is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>
      <c r="C91" s="83" t="inlineStr">
        <is>
          <t>Receitas da Intermediação Financeira</t>
        </is>
      </c>
      <c r="D91" s="84" t="inlineStr">
        <is>
          <t>Financial Intermediation Income</t>
        </is>
      </c>
      <c r="E91" s="85">
        <f>E92+E93+E94+E95</f>
        <v>3825.363198</v>
      </c>
      <c r="F91" s="85">
        <f>F92+F93+F94+F95</f>
        <v>2751.061498</v>
      </c>
      <c r="G91" s="85">
        <f>G92+G93+G94+G95</f>
        <v>4919.245392</v>
      </c>
      <c r="H91" s="85">
        <f>H92+H93+H94+H95</f>
        <v>2824.471541</v>
      </c>
      <c r="I91" s="60">
        <f>SUM(E91:H91)</f>
        <v>14320.141629</v>
      </c>
      <c r="J91" s="85">
        <f>J92+J93+J94+J95</f>
        <v>4274.046401</v>
      </c>
      <c r="K91" s="85">
        <f>K92+K93+K94+K95</f>
        <v>8385.660314</v>
      </c>
      <c r="L91" s="85">
        <f>L92+L93+L94+L95</f>
        <v>8358.036935</v>
      </c>
      <c r="M91" s="85">
        <f>M92+M93+M94+M95</f>
        <v>10425.03523</v>
      </c>
      <c r="N91" s="60">
        <f>SUM(J91:M91)</f>
        <v>31442.77888</v>
      </c>
      <c r="O91" s="85">
        <f>O92+O93+O94+O95</f>
        <v>12282.584123</v>
      </c>
      <c r="P91" s="85">
        <f>P92+P93+P94+P95</f>
        <v>20344.747056</v>
      </c>
      <c r="Q91" s="85">
        <f>Q92+Q93+Q94+Q95</f>
        <v>15337.880826</v>
      </c>
      <c r="R91" s="85">
        <f>R92+R93+R94+R95</f>
        <v>12939.516506</v>
      </c>
      <c r="S91" s="60">
        <f>SUM(O91:R91)</f>
        <v>60904.728511</v>
      </c>
      <c r="T91" s="85">
        <f>T92+T93+T94+T95</f>
        <v>15980.608098</v>
      </c>
      <c r="U91" s="85">
        <f>U92+U93+U94+U95</f>
        <v>18151.777071</v>
      </c>
      <c r="V91" s="85">
        <f>V92+V93+V94+V95</f>
        <v>20266.780354</v>
      </c>
      <c r="W91" s="85">
        <f>W92+W93+W94+W95</f>
        <v>21045.619264</v>
      </c>
      <c r="X91" s="60">
        <f>SUM(T91:W91)</f>
        <v>75444.784787</v>
      </c>
      <c r="Y91" s="85">
        <f>Y92+Y93+Y94+Y95</f>
        <v>15365.49853</v>
      </c>
      <c r="Z91" s="85">
        <f>Z92+Z93+Z94+Z95</f>
        <v>15991.522916</v>
      </c>
      <c r="AA91" s="85">
        <f>AA92+AA93+AA94+AA95</f>
        <v>16815.202932</v>
      </c>
      <c r="AB91" s="85">
        <f>AB92+AB93+AB94+AB95</f>
        <v>22123.627087</v>
      </c>
      <c r="AC91" s="60">
        <f>SUM(Y91:AB91)</f>
        <v>70295.851465</v>
      </c>
      <c r="AD91" s="85">
        <f>AD92+AD93+AD94+AD95</f>
        <v>16933.141452</v>
      </c>
      <c r="AE91" s="85">
        <f>AE92+AE93+AE94+AE95</f>
        <v>20358.696948</v>
      </c>
      <c r="AF91" s="85">
        <f>AF92+AF93+AF94+AF95</f>
        <v>23075.706919</v>
      </c>
      <c r="AG91" s="85">
        <f>AG92+AG93+AG94+AG95</f>
        <v>25471.484197</v>
      </c>
      <c r="AH91" s="60">
        <f>SUM(AD91:AG91)</f>
        <v>85839.029516</v>
      </c>
      <c r="AI91" s="85">
        <f>AI92+AI93+AI94+AI95</f>
        <v>31735.18719</v>
      </c>
      <c r="AJ91" s="85">
        <f>AJ92+AJ93+AJ94+AJ95</f>
        <v>30223.726424</v>
      </c>
      <c r="AK91" s="85">
        <f>AK92+AK93+AK94+AK95</f>
        <v>0</v>
      </c>
      <c r="AL91" s="85">
        <f>AL92+AL93+AL94+AL95</f>
        <v>0</v>
      </c>
      <c r="AM91" s="60">
        <f>SUM(AI91:AL91)</f>
        <v>61958.913614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>SUM(BC91:BF91)</f>
        <v>0</v>
      </c>
    </row>
    <row r="92" hidden="1" outlineLevel="1">
      <c r="C92" s="61" t="inlineStr">
        <is>
          <t>Resultado com Operações de Concessão de Crédito</t>
        </is>
      </c>
      <c r="D92" s="62" t="inlineStr">
        <is>
          <t>Credit-Granting Result</t>
        </is>
      </c>
      <c r="E92" s="57">
        <f>IF(E$14=1,'Inputs (2)'!E71,E134*Inputs!E$271/4)</f>
        <v>1643.719197</v>
      </c>
      <c r="F92" s="57">
        <f>IF(F$14=1,'Inputs (2)'!F71,F134*Inputs!F$271/4)</f>
        <v>1217.794065</v>
      </c>
      <c r="G92" s="57">
        <f>IF(G$14=1,'Inputs (2)'!G71,G134*Inputs!G$271/4)</f>
        <v>1430.599123</v>
      </c>
      <c r="H92" s="57">
        <f>IF(H$14=1,'Inputs (2)'!H71,H134*Inputs!H$271/4)</f>
        <v>1682.669529</v>
      </c>
      <c r="I92" s="77">
        <f>SUM(E92:H92)</f>
        <v>5974.781914</v>
      </c>
      <c r="J92" s="57">
        <f>IF(J$14=1,'Inputs (2)'!J71,J134*Inputs!J$271/4)</f>
        <v>1427.842052</v>
      </c>
      <c r="K92" s="57">
        <f>IF(K$14=1,'Inputs (2)'!K71,K134*Inputs!K$271/4)</f>
        <v>6340.011986</v>
      </c>
      <c r="L92" s="57">
        <f>IF(L$14=1,'Inputs (2)'!L71,L134*Inputs!L$271/4)</f>
        <v>4878.774514</v>
      </c>
      <c r="M92" s="57">
        <f>IF(M$14=1,'Inputs (2)'!M71,M134*Inputs!M$271/4)</f>
        <v>5573.613644</v>
      </c>
      <c r="N92" s="77">
        <f>SUM(J92:M92)</f>
        <v>18220.242196</v>
      </c>
      <c r="O92" s="57">
        <f>IF(O$14=1,'Inputs (2)'!O71,O134*Inputs!O$271/4)</f>
        <v>6572.414365</v>
      </c>
      <c r="P92" s="57">
        <f>IF(P$14=1,'Inputs (2)'!P71,P134*Inputs!P$271/4)</f>
        <v>6564.057323</v>
      </c>
      <c r="Q92" s="57">
        <f>IF(Q$14=1,'Inputs (2)'!Q71,Q134*Inputs!Q$271/4)</f>
        <v>7662.778206</v>
      </c>
      <c r="R92" s="57">
        <f>IF(R$14=1,'Inputs (2)'!R71,R134*Inputs!R$271/4)</f>
        <v>7260.341677</v>
      </c>
      <c r="S92" s="77">
        <f>SUM(O92:R92)</f>
        <v>28059.591571</v>
      </c>
      <c r="T92" s="57">
        <f>IF(T$14=1,'Inputs (2)'!T71,T134*Inputs!T$271/4)</f>
        <v>7960.624555</v>
      </c>
      <c r="U92" s="57">
        <f>IF(U$14=1,'Inputs (2)'!U71,U134*Inputs!U$271/4)</f>
        <v>10295.393923</v>
      </c>
      <c r="V92" s="57">
        <f>IF(V$14=1,'Inputs (2)'!V71,V134*Inputs!V$271/4)</f>
        <v>7630.740871</v>
      </c>
      <c r="W92" s="57">
        <f>IF(W$14=1,'Inputs (2)'!W71,W134*Inputs!W$271/4)</f>
        <v>7918.961685</v>
      </c>
      <c r="X92" s="77">
        <f>SUM(T92:W92)</f>
        <v>33805.721034</v>
      </c>
      <c r="Y92" s="57">
        <f>IF(Y$14=1,'Inputs (2)'!Y71,Y134*Inputs!Y$271/4)</f>
        <v>6979.77663</v>
      </c>
      <c r="Z92" s="57">
        <f>IF(Z$14=1,'Inputs (2)'!Z71,Z134*Inputs!Z$271/4)</f>
        <v>5004.145727</v>
      </c>
      <c r="AA92" s="57">
        <f>IF(AA$14=1,'Inputs (2)'!AA71,AA134*Inputs!AA$271/4)</f>
        <v>7643.59128</v>
      </c>
      <c r="AB92" s="57">
        <f>IF(AB$14=1,'Inputs (2)'!AB71,AB134*Inputs!AB$271/4)</f>
        <v>7511.605719</v>
      </c>
      <c r="AC92" s="77">
        <f>SUM(Y92:AB92)</f>
        <v>27139.119356</v>
      </c>
      <c r="AD92" s="57">
        <f>IF(AD$14=1,'Inputs (2)'!AD71,AD134*Inputs!AD$271/4)</f>
        <v>9595.836265</v>
      </c>
      <c r="AE92" s="57">
        <f>IF(AE$14=1,'Inputs (2)'!AE71,AE134*Inputs!AE$271/4)</f>
        <v>8937.363072</v>
      </c>
      <c r="AF92" s="57">
        <f>IF(AF$14=1,'Inputs (2)'!AF71,AF134*Inputs!AF$271/4)</f>
        <v>9637.563211</v>
      </c>
      <c r="AG92" s="57">
        <f>IF(AG$14=1,'Inputs (2)'!AG71,AG134*Inputs!AG$271/4)</f>
        <v>9325.211199</v>
      </c>
      <c r="AH92" s="77">
        <f>SUM(AD92:AG92)</f>
        <v>37495.973747</v>
      </c>
      <c r="AI92" s="57">
        <f>IF(AI$14=1,'Inputs (2)'!AI71,AI134*Inputs!AI$271/4)</f>
        <v>9207.301834</v>
      </c>
      <c r="AJ92" s="57">
        <f>IF(AJ$14=1,'Inputs (2)'!AJ71,AJ134*Inputs!AJ$271/4)</f>
        <v>10331.561766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>SUM(AI92:AL92)</f>
        <v>19538.8636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>SUM(AN92:AQ92)</f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>SUM(AS92:AV92)</f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>SUM(AX92:BA92)</f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>SUM(BC92:BF92)</f>
        <v>0</v>
      </c>
    </row>
    <row r="93" hidden="1" outlineLevel="1">
      <c r="C93" s="61" t="inlineStr">
        <is>
          <t>Resultado de TVM, Derivativos e Outros</t>
        </is>
      </c>
      <c r="D93" s="62" t="inlineStr">
        <is>
          <t>Securities and Derivatives</t>
        </is>
      </c>
      <c r="E93" s="57">
        <f>'Inputs (2)'!E72</f>
        <v>2170.428305</v>
      </c>
      <c r="F93" s="57">
        <f>IF(F$14=1,'Inputs (2)'!F72,AVERAGE(E24+E29,F24+F29)*Inputs!F$276/4)</f>
        <v>1528.947875</v>
      </c>
      <c r="G93" s="57">
        <f>IF(G$14=1,'Inputs (2)'!G72,AVERAGE(F24+F29,G24+G29)*Inputs!G$276/4)</f>
        <v>3474.579355</v>
      </c>
      <c r="H93" s="57">
        <f>IF(H$14=1,'Inputs (2)'!H72,AVERAGE(G24+G29,H24+H29)*Inputs!H$276/4)</f>
        <v>1123.186722</v>
      </c>
      <c r="I93" s="77">
        <f>SUM(E93:H93)</f>
        <v>8297.142257</v>
      </c>
      <c r="J93" s="57">
        <f>IF(J$14=1,'Inputs (2)'!J72,AVERAGE(H24+H29,J24+J29)*Inputs!J$276/4)</f>
        <v>2821.099175</v>
      </c>
      <c r="K93" s="57">
        <f>IF(K$14=1,'Inputs (2)'!K72,AVERAGE(J24+J29,K24+K29)*Inputs!K$276/4)</f>
        <v>1992.04893</v>
      </c>
      <c r="L93" s="57">
        <f>IF(L$14=1,'Inputs (2)'!L72,AVERAGE(K24+K29,L24+L29)*Inputs!L$276/4)</f>
        <v>3372.007423</v>
      </c>
      <c r="M93" s="57">
        <f>IF(M$14=1,'Inputs (2)'!M72,AVERAGE(L24+L29,M24+M29)*Inputs!M$276/4)</f>
        <v>4636.626097</v>
      </c>
      <c r="N93" s="77">
        <f>SUM(J93:M93)</f>
        <v>12821.781625</v>
      </c>
      <c r="O93" s="57">
        <f>IF(O$14=1,'Inputs (2)'!O72,AVERAGE(M24+M29,O24+O29)*Inputs!O$276/4)</f>
        <v>5416.744641</v>
      </c>
      <c r="P93" s="57">
        <f>IF(P$14=1,'Inputs (2)'!P72,AVERAGE(O24+O29,P24+P29)*Inputs!P$276/4)</f>
        <v>13384.054688</v>
      </c>
      <c r="Q93" s="57">
        <f>IF(Q$14=1,'Inputs (2)'!Q72,AVERAGE(P24+P29,Q24+Q29)*Inputs!Q$276/4)</f>
        <v>7221.392473</v>
      </c>
      <c r="R93" s="57">
        <f>IF(R$14=1,'Inputs (2)'!R72,AVERAGE(Q24+Q29,R24+R29)*Inputs!R$276/4)</f>
        <v>4908.485832</v>
      </c>
      <c r="S93" s="77">
        <f>SUM(O93:R93)</f>
        <v>30930.677634</v>
      </c>
      <c r="T93" s="57">
        <f>IF(T$14=1,'Inputs (2)'!T72,AVERAGE(R24+R29,T24+T29)*Inputs!T$276/4)</f>
        <v>7126.408638</v>
      </c>
      <c r="U93" s="57">
        <f>IF(U$14=1,'Inputs (2)'!U72,AVERAGE(T24+T29,U24+U29)*Inputs!U$276/4)</f>
        <v>7233.575705</v>
      </c>
      <c r="V93" s="57">
        <f>IF(V$14=1,'Inputs (2)'!V72,AVERAGE(U24+U29,V24+V29)*Inputs!V$276/4)</f>
        <v>11944.696462</v>
      </c>
      <c r="W93" s="57">
        <f>IF(W$14=1,'Inputs (2)'!W72,AVERAGE(V24+V29,W24+W29)*Inputs!W$276/4)</f>
        <v>12371.414842</v>
      </c>
      <c r="X93" s="77">
        <f>SUM(T93:W93)</f>
        <v>38676.095647</v>
      </c>
      <c r="Y93" s="57">
        <f>IF(Y$14=1,'Inputs (2)'!Y72,AVERAGE(W24+W29,Y24+Y29)*Inputs!Y$276/4)</f>
        <v>7781.71788</v>
      </c>
      <c r="Z93" s="57">
        <f>IF(Z$14=1,'Inputs (2)'!Z72,AVERAGE(Y24+Y29,Z24+Z29)*Inputs!Z$276/4)</f>
        <v>10056.964751</v>
      </c>
      <c r="AA93" s="57">
        <f>IF(AA$14=1,'Inputs (2)'!AA72,AVERAGE(Z24+Z29,AA24+AA29)*Inputs!AA$276/4)</f>
        <v>8142.195455</v>
      </c>
      <c r="AB93" s="57">
        <f>IF(AB$14=1,'Inputs (2)'!AB72,AVERAGE(AA24+AA29,AB24+AB29)*Inputs!AB$276/4)</f>
        <v>13478.465557</v>
      </c>
      <c r="AC93" s="77">
        <f>SUM(Y93:AB93)</f>
        <v>39459.343643</v>
      </c>
      <c r="AD93" s="57">
        <f>IF(AD$14=1,'Inputs (2)'!AD72,AVERAGE(AB24+AB29,AD24+AD29)*Inputs!AD$276/4)</f>
        <v>6369.952884</v>
      </c>
      <c r="AE93" s="57">
        <f>IF(AE$14=1,'Inputs (2)'!AE72,AVERAGE(AD24+AD29,AE24+AE29)*Inputs!AE$276/4)</f>
        <v>10006.341185</v>
      </c>
      <c r="AF93" s="57">
        <f>IF(AF$14=1,'Inputs (2)'!AF72,AVERAGE(AE24+AE29,AF24+AF29)*Inputs!AF$276/4)</f>
        <v>12164.973166</v>
      </c>
      <c r="AG93" s="57">
        <f>IF(AG$14=1,'Inputs (2)'!AG72,AVERAGE(AF24+AF29,AG24+AG29)*Inputs!AG$276/4)</f>
        <v>14020.134001</v>
      </c>
      <c r="AH93" s="77">
        <f>SUM(AD93:AG93)</f>
        <v>42561.401236</v>
      </c>
      <c r="AI93" s="57">
        <f>IF(AI$14=1,'Inputs (2)'!AI72,AVERAGE(AG24+AG29,AI24+AI29)*Inputs!AI$276/4)</f>
        <v>20451.61631</v>
      </c>
      <c r="AJ93" s="57">
        <f>IF(AJ$14=1,'Inputs (2)'!AJ72,AVERAGE(AI24+AI29,AJ24+AJ29)*Inputs!AJ$276/4)</f>
        <v>17321.255624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>SUM(AI93:AL93)</f>
        <v>37772.871934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>SUM(AN93:AQ93)</f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>SUM(AS93:AV93)</f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>SUM(AX93:BA93)</f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>SUM(BC93:BF93)</f>
        <v>0</v>
      </c>
    </row>
    <row r="94" hidden="1" outlineLevel="1">
      <c r="C94" s="61" t="inlineStr">
        <is>
          <t>Receitas Fin. de Recursos Garantidores de Prov. Técnicas</t>
        </is>
      </c>
      <c r="D94" s="62" t="inlineStr">
        <is>
          <t>Income from Guaranteeing Assets</t>
        </is>
      </c>
      <c r="E94" s="57">
        <f>'Inputs (2)'!E73</f>
        <v>0</v>
      </c>
      <c r="F94" s="57">
        <f>IF(F$14=1,'Inputs (2)'!F73,E94)</f>
        <v>0</v>
      </c>
      <c r="G94" s="57">
        <f>IF(G$14=1,'Inputs (2)'!G73,F94)</f>
        <v>0</v>
      </c>
      <c r="H94" s="57">
        <f>IF(H$14=1,'Inputs (2)'!H73,G94)</f>
        <v>0</v>
      </c>
      <c r="I94" s="77">
        <f>SUM(E94:H94)</f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>SUM(J94:M94)</f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>SUM(O94:R94)</f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>SUM(T94:W94)</f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>SUM(Y94:AB94)</f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>SUM(AD94:AG94)</f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>SUM(AI94:AL94)</f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>SUM(AN94:AQ94)</f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>SUM(AS94:AV94)</f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>SUM(AX94:BA94)</f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>SUM(BC94:BF94)</f>
        <v>0</v>
      </c>
    </row>
    <row r="95" hidden="1" outlineLevel="1">
      <c r="C95" s="61" t="inlineStr">
        <is>
          <t>Resultado das Aplicações Interfinanceiras de Liquidez</t>
        </is>
      </c>
      <c r="D95" s="62" t="inlineStr">
        <is>
          <t>Interbank Investments Result</t>
        </is>
      </c>
      <c r="E95" s="57">
        <f>'Inputs (2)'!E74</f>
        <v>11.215696</v>
      </c>
      <c r="F95" s="57">
        <f>IF(F$14=1,'Inputs (2)'!F74,AVERAGE(E19,F19)*Inputs!F$262)</f>
        <v>4.319558</v>
      </c>
      <c r="G95" s="57">
        <f>IF(G$14=1,'Inputs (2)'!G74,AVERAGE(F19,G19)*Inputs!G$262)</f>
        <v>14.066914</v>
      </c>
      <c r="H95" s="57">
        <f>IF(H$14=1,'Inputs (2)'!H74,AVERAGE(G19,H19)*Inputs!H$262)</f>
        <v>18.61529</v>
      </c>
      <c r="I95" s="77">
        <f>SUM(E95:H95)</f>
        <v>48.217458</v>
      </c>
      <c r="J95" s="57">
        <f>IF(J$14=1,'Inputs (2)'!J74,AVERAGE(H19,J19)*Inputs!J$262)</f>
        <v>25.105174</v>
      </c>
      <c r="K95" s="57">
        <f>IF(K$14=1,'Inputs (2)'!K74,AVERAGE(J19,K19)*Inputs!K$262)</f>
        <v>53.599398</v>
      </c>
      <c r="L95" s="57">
        <f>IF(L$14=1,'Inputs (2)'!L74,AVERAGE(K19,L19)*Inputs!L$262)</f>
        <v>107.254998</v>
      </c>
      <c r="M95" s="57">
        <f>IF(M$14=1,'Inputs (2)'!M74,AVERAGE(L19,M19)*Inputs!M$262)</f>
        <v>214.795489</v>
      </c>
      <c r="N95" s="77">
        <f>SUM(J95:M95)</f>
        <v>400.755059</v>
      </c>
      <c r="O95" s="57">
        <f>IF(O$14=1,'Inputs (2)'!O74,AVERAGE(M19,O19)*Inputs!O$262)</f>
        <v>293.425117</v>
      </c>
      <c r="P95" s="57">
        <f>IF(P$14=1,'Inputs (2)'!P74,AVERAGE(O19,P19)*Inputs!P$262)</f>
        <v>396.635045</v>
      </c>
      <c r="Q95" s="57">
        <f>IF(Q$14=1,'Inputs (2)'!Q74,AVERAGE(P19,Q19)*Inputs!Q$262)</f>
        <v>453.710147</v>
      </c>
      <c r="R95" s="57">
        <f>IF(R$14=1,'Inputs (2)'!R74,AVERAGE(Q19,R19)*Inputs!R$262)</f>
        <v>770.688997</v>
      </c>
      <c r="S95" s="77">
        <f>SUM(O95:R95)</f>
        <v>1914.459306</v>
      </c>
      <c r="T95" s="57">
        <f>IF(T$14=1,'Inputs (2)'!T74,AVERAGE(R19,T19)*Inputs!T$262)</f>
        <v>893.574905</v>
      </c>
      <c r="U95" s="57">
        <f>IF(U$14=1,'Inputs (2)'!U74,AVERAGE(T19,U19)*Inputs!U$262)</f>
        <v>622.807443</v>
      </c>
      <c r="V95" s="57">
        <f>IF(V$14=1,'Inputs (2)'!V74,AVERAGE(U19,V19)*Inputs!V$262)</f>
        <v>691.343021</v>
      </c>
      <c r="W95" s="57">
        <f>IF(W$14=1,'Inputs (2)'!W74,AVERAGE(V19,W19)*Inputs!W$262)</f>
        <v>755.242737</v>
      </c>
      <c r="X95" s="77">
        <f>SUM(T95:W95)</f>
        <v>2962.968106</v>
      </c>
      <c r="Y95" s="57">
        <f>IF(Y$14=1,'Inputs (2)'!Y74,AVERAGE(W19,Y19)*Inputs!Y$262)</f>
        <v>604.00402</v>
      </c>
      <c r="Z95" s="57">
        <f>IF(Z$14=1,'Inputs (2)'!Z74,AVERAGE(Y19,Z19)*Inputs!Z$262)</f>
        <v>930.412438</v>
      </c>
      <c r="AA95" s="57">
        <f>IF(AA$14=1,'Inputs (2)'!AA74,AVERAGE(Z19,AA19)*Inputs!AA$262)</f>
        <v>1029.416197</v>
      </c>
      <c r="AB95" s="57">
        <f>IF(AB$14=1,'Inputs (2)'!AB74,AVERAGE(AA19,AB19)*Inputs!AB$262)</f>
        <v>1133.555811</v>
      </c>
      <c r="AC95" s="77">
        <f>SUM(Y95:AB95)</f>
        <v>3697.388466</v>
      </c>
      <c r="AD95" s="57">
        <f>IF(AD$14=1,'Inputs (2)'!AD74,AVERAGE(AB19,AD19)*Inputs!AD$262)</f>
        <v>967.352303</v>
      </c>
      <c r="AE95" s="57">
        <f>IF(AE$14=1,'Inputs (2)'!AE74,AVERAGE(AD19,AE19)*Inputs!AE$262)</f>
        <v>1414.992691</v>
      </c>
      <c r="AF95" s="57">
        <f>IF(AF$14=1,'Inputs (2)'!AF74,AVERAGE(AE19,AF19)*Inputs!AF$262)</f>
        <v>1273.170542</v>
      </c>
      <c r="AG95" s="57">
        <f>IF(AG$14=1,'Inputs (2)'!AG74,AVERAGE(AF19,AG19)*Inputs!AG$262)</f>
        <v>2126.138997</v>
      </c>
      <c r="AH95" s="77">
        <f>SUM(AD95:AG95)</f>
        <v>5781.654533</v>
      </c>
      <c r="AI95" s="57">
        <f>IF(AI$14=1,'Inputs (2)'!AI74,AVERAGE(AG19,AI19)*Inputs!AI$262)</f>
        <v>2076.269046</v>
      </c>
      <c r="AJ95" s="57">
        <f>IF(AJ$14=1,'Inputs (2)'!AJ74,AVERAGE(AI19,AJ19)*Inputs!AJ$262)</f>
        <v>2570.909034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>SUM(AI95:AL95)</f>
        <v>4647.17808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>SUM(AN95:AQ95)</f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>SUM(AS95:AV95)</f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>SUM(AX95:BA95)</f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>SUM(BC95:BF95)</f>
        <v>0</v>
      </c>
    </row>
    <row r="96" collapsed="1">
      <c r="C96" s="83" t="inlineStr">
        <is>
          <t>(Despesas da Intermediação Financeira)</t>
        </is>
      </c>
      <c r="D96" s="84" t="inlineStr">
        <is>
          <t>(Intermediation Expenses)</t>
        </is>
      </c>
      <c r="E96" s="85">
        <f>E97+E98+E99+E100</f>
        <v>-4133.433924</v>
      </c>
      <c r="F96" s="85">
        <f>F97+F98+F99+F100</f>
        <v>-2558.112009</v>
      </c>
      <c r="G96" s="85">
        <f>G97+G98+G99+G100</f>
        <v>-3288.437595</v>
      </c>
      <c r="H96" s="85">
        <f>H97+H98+H99+H100</f>
        <v>-1258.07979</v>
      </c>
      <c r="I96" s="60">
        <f>SUM(E96:H96)</f>
        <v>-11238.063318</v>
      </c>
      <c r="J96" s="85">
        <f>J97+J98+J99+J100</f>
        <v>-6374.961122</v>
      </c>
      <c r="K96" s="85">
        <f>K97+K98+K99+K100</f>
        <v>-316.568861000001</v>
      </c>
      <c r="L96" s="85">
        <f>L97+L98+L99+L100</f>
        <v>-5778.776729</v>
      </c>
      <c r="M96" s="85">
        <f>M97+M98+M99+M100</f>
        <v>-7581.557536</v>
      </c>
      <c r="N96" s="60">
        <f>SUM(J96:M96)</f>
        <v>-20051.864248</v>
      </c>
      <c r="O96" s="85">
        <f>O97+O98+O99+O100</f>
        <v>-9496.162129</v>
      </c>
      <c r="P96" s="85">
        <f>P97+P98+P99+P100</f>
        <v>-18952.98005</v>
      </c>
      <c r="Q96" s="85">
        <f>Q97+Q98+Q99+Q100</f>
        <v>-11783.423163</v>
      </c>
      <c r="R96" s="85">
        <f>R97+R98+R99+R100</f>
        <v>-11686.134547</v>
      </c>
      <c r="S96" s="60">
        <f>SUM(O96:R96)</f>
        <v>-51918.699889</v>
      </c>
      <c r="T96" s="85">
        <f>T97+T98+T99+T100</f>
        <v>-10089.351909</v>
      </c>
      <c r="U96" s="85">
        <f>U97+U98+U99+U100</f>
        <v>-13877.973033</v>
      </c>
      <c r="V96" s="85">
        <f>V97+V98+V99+V100</f>
        <v>-12702.546821</v>
      </c>
      <c r="W96" s="85">
        <f>W97+W98+W99+W100</f>
        <v>-14027.694316</v>
      </c>
      <c r="X96" s="60">
        <f>SUM(T96:W96)</f>
        <v>-50697.566079</v>
      </c>
      <c r="Y96" s="85">
        <f>Y97+Y98+Y99+Y100</f>
        <v>-11264.118248</v>
      </c>
      <c r="Z96" s="85">
        <f>Z97+Z98+Z99+Z100</f>
        <v>-11968.793378</v>
      </c>
      <c r="AA96" s="85">
        <f>AA97+AA98+AA99+AA100</f>
        <v>-12387.019233</v>
      </c>
      <c r="AB96" s="85">
        <f>AB97+AB98+AB99+AB100</f>
        <v>-15080.347295</v>
      </c>
      <c r="AC96" s="60">
        <f>SUM(Y96:AB96)</f>
        <v>-50700.278154</v>
      </c>
      <c r="AD96" s="85">
        <f>AD97+AD98+AD99+AD100</f>
        <v>-12074.096271</v>
      </c>
      <c r="AE96" s="85">
        <f>AE97+AE98+AE99+AE100</f>
        <v>-13463.428555</v>
      </c>
      <c r="AF96" s="85">
        <f>AF97+AF98+AF99+AF100</f>
        <v>-13742.962117</v>
      </c>
      <c r="AG96" s="85">
        <f>AG97+AG98+AG99+AG100</f>
        <v>-16910.785044</v>
      </c>
      <c r="AH96" s="60">
        <f>SUM(AD96:AG96)</f>
        <v>-56191.271987</v>
      </c>
      <c r="AI96" s="85">
        <f>AI97+AI98+AI99+AI100</f>
        <v>-21267.570022</v>
      </c>
      <c r="AJ96" s="85">
        <f>AJ97+AJ98+AJ99+AJ100</f>
        <v>-19113.640528</v>
      </c>
      <c r="AK96" s="85">
        <f>AK97+AK98+AK99+AK100</f>
        <v>-326.70773</v>
      </c>
      <c r="AL96" s="85">
        <f>AL97+AL98+AL99+AL100</f>
        <v>-326.70773</v>
      </c>
      <c r="AM96" s="60">
        <f>SUM(AI96:AL96)</f>
        <v>-41034.62601</v>
      </c>
      <c r="AN96" s="85">
        <f>AN97+AN98+AN99+AN100</f>
        <v>-326.70773</v>
      </c>
      <c r="AO96" s="85">
        <f>AO97+AO98+AO99+AO100</f>
        <v>-326.70773</v>
      </c>
      <c r="AP96" s="85">
        <f>AP97+AP98+AP99+AP100</f>
        <v>-326.70773</v>
      </c>
      <c r="AQ96" s="85">
        <f>AQ97+AQ98+AQ99+AQ100</f>
        <v>-326.70773</v>
      </c>
      <c r="AR96" s="60">
        <f>SUM(AN96:AQ96)</f>
        <v>-1306.83092</v>
      </c>
      <c r="AS96" s="85">
        <f>AS97+AS98+AS99+AS100</f>
        <v>-326.70773</v>
      </c>
      <c r="AT96" s="85">
        <f>AT97+AT98+AT99+AT100</f>
        <v>-326.70773</v>
      </c>
      <c r="AU96" s="85">
        <f>AU97+AU98+AU99+AU100</f>
        <v>-326.70773</v>
      </c>
      <c r="AV96" s="85">
        <f>AV97+AV98+AV99+AV100</f>
        <v>-326.70773</v>
      </c>
      <c r="AW96" s="60">
        <f>SUM(AS96:AV96)</f>
        <v>-1306.83092</v>
      </c>
      <c r="AX96" s="85">
        <f>AX97+AX98+AX99+AX100</f>
        <v>-326.70773</v>
      </c>
      <c r="AY96" s="85">
        <f>AY97+AY98+AY99+AY100</f>
        <v>-326.70773</v>
      </c>
      <c r="AZ96" s="85">
        <f>AZ97+AZ98+AZ99+AZ100</f>
        <v>-326.70773</v>
      </c>
      <c r="BA96" s="85">
        <f>BA97+BA98+BA99+BA100</f>
        <v>-326.70773</v>
      </c>
      <c r="BB96" s="60">
        <f>SUM(AX96:BA96)</f>
        <v>-1306.83092</v>
      </c>
      <c r="BC96" s="85">
        <f>BC97+BC98+BC99+BC100</f>
        <v>-326.70773</v>
      </c>
      <c r="BD96" s="85">
        <f>BD97+BD98+BD99+BD100</f>
        <v>-326.70773</v>
      </c>
      <c r="BE96" s="85">
        <f>BE97+BE98+BE99+BE100</f>
        <v>-326.70773</v>
      </c>
      <c r="BF96" s="85">
        <f>BF97+BF98+BF99+BF100</f>
        <v>-326.70773</v>
      </c>
      <c r="BG96" s="60">
        <f>SUM(BC96:BF96)</f>
        <v>-1306.83092</v>
      </c>
    </row>
    <row r="97" hidden="1" outlineLevel="1">
      <c r="C97" s="61" t="inlineStr">
        <is>
          <t>(Depósitos e Captações no Mercado Aberto)</t>
        </is>
      </c>
      <c r="D97" s="62" t="inlineStr">
        <is>
          <t>(Deposits and Open Market)</t>
        </is>
      </c>
      <c r="E97" s="57">
        <f>'Inputs (2)'!E76</f>
        <v>-956.808674</v>
      </c>
      <c r="F97" s="57">
        <f>IF(F$14=1,'Inputs (2)'!F76,-(AVERAGE(E44,F44)+E50)*Inputs!F$280/4)</f>
        <v>-1233.744631</v>
      </c>
      <c r="G97" s="57">
        <f>IF(G$14=1,'Inputs (2)'!G76,-(AVERAGE(F44,G44)+F50)*Inputs!G$280/4)</f>
        <v>-1576.022503</v>
      </c>
      <c r="H97" s="57">
        <f>IF(H$14=1,'Inputs (2)'!H76,-(AVERAGE(G44,H44)+G50)*Inputs!H$280/4)</f>
        <v>-1405.589856</v>
      </c>
      <c r="I97" s="77">
        <f>SUM(E97:H97)</f>
        <v>-5172.165664</v>
      </c>
      <c r="J97" s="57">
        <f>IF(J$14=1,'Inputs (2)'!J76,-(AVERAGE(H44,J44)+H50)*Inputs!J$280/4)</f>
        <v>-1066.874847</v>
      </c>
      <c r="K97" s="57">
        <f>IF(K$14=1,'Inputs (2)'!K76,-(AVERAGE(J44,K44)+J50)*Inputs!K$280/4)</f>
        <v>-2781.782822</v>
      </c>
      <c r="L97" s="57">
        <f>IF(L$14=1,'Inputs (2)'!L76,-(AVERAGE(K44,L44)+K50)*Inputs!L$280/4)</f>
        <v>-3537.402932</v>
      </c>
      <c r="M97" s="57">
        <f>IF(M$14=1,'Inputs (2)'!M76,-(AVERAGE(L44,M44)+L50)*Inputs!M$280/4)</f>
        <v>-4795.625066</v>
      </c>
      <c r="N97" s="77">
        <f>SUM(J97:M97)</f>
        <v>-12181.685667</v>
      </c>
      <c r="O97" s="57">
        <f>IF(O$14=1,'Inputs (2)'!O76,-(AVERAGE(M44,O44)+M50)*Inputs!O$280/4)</f>
        <v>-6313.821225</v>
      </c>
      <c r="P97" s="57">
        <f>IF(P$14=1,'Inputs (2)'!P76,-(AVERAGE(O44,P44)+O50)*Inputs!P$280/4)</f>
        <v>-11951.42661</v>
      </c>
      <c r="Q97" s="57">
        <f>IF(Q$14=1,'Inputs (2)'!Q76,-(AVERAGE(P44,Q44)+P50)*Inputs!Q$280/4)</f>
        <v>-8445.370332</v>
      </c>
      <c r="R97" s="57">
        <f>IF(R$14=1,'Inputs (2)'!R76,-(AVERAGE(Q44,R44)+Q50)*Inputs!R$280/4)</f>
        <v>-8754.497445</v>
      </c>
      <c r="S97" s="77">
        <f>SUM(O97:R97)</f>
        <v>-35465.115612</v>
      </c>
      <c r="T97" s="57">
        <f>IF(T$14=1,'Inputs (2)'!T76,-(AVERAGE(R44,T44)+R50)*Inputs!T$280/4)</f>
        <v>-7101.747082</v>
      </c>
      <c r="U97" s="57">
        <f>IF(U$14=1,'Inputs (2)'!U76,-(AVERAGE(T44,U44)+T50)*Inputs!U$280/4)</f>
        <v>-11688.655608</v>
      </c>
      <c r="V97" s="57">
        <f>IF(V$14=1,'Inputs (2)'!V76,-(AVERAGE(U44,V44)+U50)*Inputs!V$280/4)</f>
        <v>-9230.622337</v>
      </c>
      <c r="W97" s="57">
        <f>IF(W$14=1,'Inputs (2)'!W76,-(AVERAGE(V44,W44)+V50)*Inputs!W$280/4)</f>
        <v>-10319.895786</v>
      </c>
      <c r="X97" s="77">
        <f>SUM(T97:W97)</f>
        <v>-38340.920813</v>
      </c>
      <c r="Y97" s="57">
        <f>IF(Y$14=1,'Inputs (2)'!Y76,-(AVERAGE(W44,Y44)+W50)*Inputs!Y$280/4)</f>
        <v>-8453.356021</v>
      </c>
      <c r="Z97" s="57">
        <f>IF(Z$14=1,'Inputs (2)'!Z76,-(AVERAGE(Y44,Z44)+Y50)*Inputs!Z$280/4)</f>
        <v>-8166.057495</v>
      </c>
      <c r="AA97" s="57">
        <f>IF(AA$14=1,'Inputs (2)'!AA76,-(AVERAGE(Z44,AA44)+Z50)*Inputs!AA$280/4)</f>
        <v>-10249.492922</v>
      </c>
      <c r="AB97" s="57">
        <f>IF(AB$14=1,'Inputs (2)'!AB76,-(AVERAGE(AA44,AB44)+AA50)*Inputs!AB$280/4)</f>
        <v>-8268.490604</v>
      </c>
      <c r="AC97" s="77">
        <f>SUM(Y97:AB97)</f>
        <v>-35137.397042</v>
      </c>
      <c r="AD97" s="57">
        <f>IF(AD$14=1,'Inputs (2)'!AD76,-(AVERAGE(AB44,AD44)+AB50)*Inputs!AD$280/4)</f>
        <v>-11438.304889</v>
      </c>
      <c r="AE97" s="57">
        <f>IF(AE$14=1,'Inputs (2)'!AE76,-(AVERAGE(AD44,AE44)+AD50)*Inputs!AE$280/4)</f>
        <v>-12798.373634</v>
      </c>
      <c r="AF97" s="57">
        <f>IF(AF$14=1,'Inputs (2)'!AF76,-(AVERAGE(AE44,AF44)+AE50)*Inputs!AF$280/4)</f>
        <v>-12991.374564</v>
      </c>
      <c r="AG97" s="57">
        <f>IF(AG$14=1,'Inputs (2)'!AG76,-(AVERAGE(AF44,AG44)+AF50)*Inputs!AG$280/4)</f>
        <v>-15748.677506</v>
      </c>
      <c r="AH97" s="77">
        <f>SUM(AD97:AG97)</f>
        <v>-52976.730593</v>
      </c>
      <c r="AI97" s="57">
        <f>IF(AI$14=1,'Inputs (2)'!AI76,-(AVERAGE(AG44,AI44)+AG50)*Inputs!AI$280/4)</f>
        <v>-20009.871761</v>
      </c>
      <c r="AJ97" s="57">
        <f>IF(AJ$14=1,'Inputs (2)'!AJ76,-(AVERAGE(AI44,AJ44)+AI50)*Inputs!AJ$280/4)</f>
        <v>-18446.946379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>SUM(AI97:AL97)</f>
        <v>-38456.81814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>SUM(AN97:AQ97)</f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>SUM(AS97:AV97)</f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>SUM(AX97:BA97)</f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>SUM(BC97:BF97)</f>
        <v>0</v>
      </c>
    </row>
    <row r="98" hidden="1" outlineLevel="1">
      <c r="C98" s="61" t="inlineStr">
        <is>
          <t>(Instrumentos de Dívida)</t>
        </is>
      </c>
      <c r="D98" s="62" t="inlineStr">
        <is>
          <t>(Debt Instruments)</t>
        </is>
      </c>
      <c r="E98" s="57">
        <f>'Inputs (2)'!E77</f>
        <v>0</v>
      </c>
      <c r="F98" s="57">
        <f>IF(F$14=1,'Inputs (2)'!F77,-AVERAGE(E54,F54)*(Inputs!F$280+0.01)/4)</f>
        <v>0</v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>SUM(E98:H98)</f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>SUM(J98:M98)</f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>SUM(O98:R98)</f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>SUM(T98:W98)</f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>SUM(Y98:AB98)</f>
        <v>0</v>
      </c>
      <c r="AD98" s="57">
        <f>IF(AD$14=1,'Inputs (2)'!AD77,-AVERAGE(AB54,AD54)*(Inputs!AD$280+0.01)/4)</f>
        <v>-635.791382</v>
      </c>
      <c r="AE98" s="57">
        <f>IF(AE$14=1,'Inputs (2)'!AE77,-AVERAGE(AD54,AE54)*(Inputs!AE$280+0.01)/4)</f>
        <v>-665.054921</v>
      </c>
      <c r="AF98" s="57">
        <f>IF(AF$14=1,'Inputs (2)'!AF77,-AVERAGE(AE54,AF54)*(Inputs!AF$280+0.01)/4)</f>
        <v>-751.587553</v>
      </c>
      <c r="AG98" s="57">
        <f>IF(AG$14=1,'Inputs (2)'!AG77,-AVERAGE(AF54,AG54)*(Inputs!AG$280+0.01)/4)</f>
        <v>-1162.107538</v>
      </c>
      <c r="AH98" s="77">
        <f>SUM(AD98:AG98)</f>
        <v>-3214.541394</v>
      </c>
      <c r="AI98" s="57">
        <f>IF(AI$14=1,'Inputs (2)'!AI77,-AVERAGE(AG54,AI54)*(Inputs!AI$280+0.01)/4)</f>
        <v>-1257.698261</v>
      </c>
      <c r="AJ98" s="57">
        <f>IF(AJ$14=1,'Inputs (2)'!AJ77,-AVERAGE(AI54,AJ54)*(Inputs!AJ$280+0.01)/4)</f>
        <v>-666.694149</v>
      </c>
      <c r="AK98" s="57">
        <f>IF(AK$14=1,'Inputs (2)'!AK77,-AVERAGE(AJ54,AK54)*(Inputs!AK$280+0.01)/4)</f>
        <v>-326.70773</v>
      </c>
      <c r="AL98" s="57">
        <f>IF(AL$14=1,'Inputs (2)'!AL77,-AVERAGE(AK54,AL54)*(Inputs!AL$280+0.01)/4)</f>
        <v>-326.70773</v>
      </c>
      <c r="AM98" s="77">
        <f>SUM(AI98:AL98)</f>
        <v>-2577.80787</v>
      </c>
      <c r="AN98" s="57">
        <f>IF(AN$14=1,'Inputs (2)'!AN77,-AVERAGE(AL54,AN54)*(Inputs!AN$280+0.01)/4)</f>
        <v>-326.70773</v>
      </c>
      <c r="AO98" s="57">
        <f>IF(AO$14=1,'Inputs (2)'!AO77,-AVERAGE(AN54,AO54)*(Inputs!AO$280+0.01)/4)</f>
        <v>-326.70773</v>
      </c>
      <c r="AP98" s="57">
        <f>IF(AP$14=1,'Inputs (2)'!AP77,-AVERAGE(AO54,AP54)*(Inputs!AP$280+0.01)/4)</f>
        <v>-326.70773</v>
      </c>
      <c r="AQ98" s="57">
        <f>IF(AQ$14=1,'Inputs (2)'!AQ77,-AVERAGE(AP54,AQ54)*(Inputs!AQ$280+0.01)/4)</f>
        <v>-326.70773</v>
      </c>
      <c r="AR98" s="77">
        <f>SUM(AN98:AQ98)</f>
        <v>-1306.83092</v>
      </c>
      <c r="AS98" s="57">
        <f>IF(AS$14=1,'Inputs (2)'!AS77,-AVERAGE(AQ54,AS54)*(Inputs!AS$280+0.01)/4)</f>
        <v>-326.70773</v>
      </c>
      <c r="AT98" s="57">
        <f>IF(AT$14=1,'Inputs (2)'!AT77,-AVERAGE(AS54,AT54)*(Inputs!AT$280+0.01)/4)</f>
        <v>-326.70773</v>
      </c>
      <c r="AU98" s="57">
        <f>IF(AU$14=1,'Inputs (2)'!AU77,-AVERAGE(AT54,AU54)*(Inputs!AU$280+0.01)/4)</f>
        <v>-326.70773</v>
      </c>
      <c r="AV98" s="57">
        <f>IF(AV$14=1,'Inputs (2)'!AV77,-AVERAGE(AU54,AV54)*(Inputs!AV$280+0.01)/4)</f>
        <v>-326.70773</v>
      </c>
      <c r="AW98" s="77">
        <f>SUM(AS98:AV98)</f>
        <v>-1306.83092</v>
      </c>
      <c r="AX98" s="57">
        <f>IF(AX$14=1,'Inputs (2)'!AX77,-AVERAGE(AV54,AX54)*(Inputs!AX$280+0.01)/4)</f>
        <v>-326.70773</v>
      </c>
      <c r="AY98" s="57">
        <f>IF(AY$14=1,'Inputs (2)'!AY77,-AVERAGE(AX54,AY54)*(Inputs!AY$280+0.01)/4)</f>
        <v>-326.70773</v>
      </c>
      <c r="AZ98" s="57">
        <f>IF(AZ$14=1,'Inputs (2)'!AZ77,-AVERAGE(AY54,AZ54)*(Inputs!AZ$280+0.01)/4)</f>
        <v>-326.70773</v>
      </c>
      <c r="BA98" s="57">
        <f>IF(BA$14=1,'Inputs (2)'!BA77,-AVERAGE(AZ54,BA54)*(Inputs!BA$280+0.01)/4)</f>
        <v>-326.70773</v>
      </c>
      <c r="BB98" s="77">
        <f>SUM(AX98:BA98)</f>
        <v>-1306.83092</v>
      </c>
      <c r="BC98" s="57">
        <f>IF(BC$14=1,'Inputs (2)'!BC77,-AVERAGE(BA54,BC54)*(Inputs!BC$280+0.01)/4)</f>
        <v>-326.70773</v>
      </c>
      <c r="BD98" s="57">
        <f>IF(BD$14=1,'Inputs (2)'!BD77,-AVERAGE(BC54,BD54)*(Inputs!BD$280+0.01)/4)</f>
        <v>-326.70773</v>
      </c>
      <c r="BE98" s="57">
        <f>IF(BE$14=1,'Inputs (2)'!BE77,-AVERAGE(BD54,BE54)*(Inputs!BE$280+0.01)/4)</f>
        <v>-326.70773</v>
      </c>
      <c r="BF98" s="57">
        <f>IF(BF$14=1,'Inputs (2)'!BF77,-AVERAGE(BE54,BF54)*(Inputs!BF$280+0.01)/4)</f>
        <v>-326.70773</v>
      </c>
      <c r="BG98" s="77">
        <f>SUM(BC98:BF98)</f>
        <v>-1306.83092</v>
      </c>
    </row>
    <row r="99" hidden="1" outlineLevel="1">
      <c r="C99" s="61" t="inlineStr">
        <is>
          <t>(Empréstimos e Repasses)</t>
        </is>
      </c>
      <c r="D99" s="62" t="inlineStr">
        <is>
          <t>(Borrowings and On-lending)</t>
        </is>
      </c>
      <c r="E99" s="57">
        <f>'Inputs (2)'!E78</f>
        <v>-3176.62525</v>
      </c>
      <c r="F99" s="57">
        <f>IF(F$14=1,'Inputs (2)'!F78,-AVERAGE(E59,F59)*Inputs!F$267/4)</f>
        <v>-1324.367378</v>
      </c>
      <c r="G99" s="57">
        <f>IF(G$14=1,'Inputs (2)'!G78,-AVERAGE(F59,G59)*Inputs!G$267/4)</f>
        <v>-1712.415092</v>
      </c>
      <c r="H99" s="57">
        <f>IF(H$14=1,'Inputs (2)'!H78,-AVERAGE(G59,H59)*Inputs!H$267/4)</f>
        <v>147.510066</v>
      </c>
      <c r="I99" s="77">
        <f>SUM(E99:H99)</f>
        <v>-6065.897654</v>
      </c>
      <c r="J99" s="57">
        <f>IF(J$14=1,'Inputs (2)'!J78,-AVERAGE(H59,J59)*Inputs!J$267/4)</f>
        <v>-5308.086275</v>
      </c>
      <c r="K99" s="57">
        <f>IF(K$14=1,'Inputs (2)'!K78,-AVERAGE(J59,K59)*Inputs!K$267/4)</f>
        <v>2465.213961</v>
      </c>
      <c r="L99" s="57">
        <f>IF(L$14=1,'Inputs (2)'!L78,-AVERAGE(K59,L59)*Inputs!L$267/4)</f>
        <v>-2241.373797</v>
      </c>
      <c r="M99" s="57">
        <f>IF(M$14=1,'Inputs (2)'!M78,-AVERAGE(L59,M59)*Inputs!M$267/4)</f>
        <v>-2785.93247</v>
      </c>
      <c r="N99" s="77">
        <f>SUM(J99:M99)</f>
        <v>-7870.178581</v>
      </c>
      <c r="O99" s="57">
        <f>IF(O$14=1,'Inputs (2)'!O78,-AVERAGE(M59,O59)*Inputs!O$267/4)</f>
        <v>-3182.340904</v>
      </c>
      <c r="P99" s="57">
        <f>IF(P$14=1,'Inputs (2)'!P78,-AVERAGE(O59,P59)*Inputs!P$267/4)</f>
        <v>-7001.55344</v>
      </c>
      <c r="Q99" s="57">
        <f>IF(Q$14=1,'Inputs (2)'!Q78,-AVERAGE(P59,Q59)*Inputs!Q$267/4)</f>
        <v>-3338.052831</v>
      </c>
      <c r="R99" s="57">
        <f>IF(R$14=1,'Inputs (2)'!R78,-AVERAGE(Q59,R59)*Inputs!R$267/4)</f>
        <v>-2931.637102</v>
      </c>
      <c r="S99" s="77">
        <f>SUM(O99:R99)</f>
        <v>-16453.584277</v>
      </c>
      <c r="T99" s="57">
        <f>IF(T$14=1,'Inputs (2)'!T78,-AVERAGE(R59,T59)*Inputs!T$267/4)</f>
        <v>-2987.604827</v>
      </c>
      <c r="U99" s="57">
        <f>IF(U$14=1,'Inputs (2)'!U78,-AVERAGE(T59,U59)*Inputs!U$267/4)</f>
        <v>-2189.317425</v>
      </c>
      <c r="V99" s="57">
        <f>IF(V$14=1,'Inputs (2)'!V78,-AVERAGE(U59,V59)*Inputs!V$267/4)</f>
        <v>-3471.924484</v>
      </c>
      <c r="W99" s="57">
        <f>IF(W$14=1,'Inputs (2)'!W78,-AVERAGE(V59,W59)*Inputs!W$267/4)</f>
        <v>-3707.79853</v>
      </c>
      <c r="X99" s="77">
        <f>SUM(T99:W99)</f>
        <v>-12356.645266</v>
      </c>
      <c r="Y99" s="57">
        <f>IF(Y$14=1,'Inputs (2)'!Y78,-AVERAGE(W59,Y59)*Inputs!Y$267/4)</f>
        <v>-2810.762227</v>
      </c>
      <c r="Z99" s="57">
        <f>IF(Z$14=1,'Inputs (2)'!Z78,-AVERAGE(Y59,Z59)*Inputs!Z$267/4)</f>
        <v>-3802.735883</v>
      </c>
      <c r="AA99" s="57">
        <f>IF(AA$14=1,'Inputs (2)'!AA78,-AVERAGE(Z59,AA59)*Inputs!AA$267/4)</f>
        <v>-2137.526311</v>
      </c>
      <c r="AB99" s="57">
        <f>IF(AB$14=1,'Inputs (2)'!AB78,-AVERAGE(AA59,AB59)*Inputs!AB$267/4)</f>
        <v>-6811.856691</v>
      </c>
      <c r="AC99" s="77">
        <f>SUM(Y99:AB99)</f>
        <v>-15562.881112</v>
      </c>
      <c r="AD99" s="57">
        <f>IF(AD$14=1,'Inputs (2)'!AD78,-AVERAGE(AB59,AD59)*Inputs!AD$267/4)</f>
        <v>0</v>
      </c>
      <c r="AE99" s="57">
        <f>IF(AE$14=1,'Inputs (2)'!AE78,-AVERAGE(AD59,AE59)*Inputs!AE$267/4)</f>
        <v>0</v>
      </c>
      <c r="AF99" s="57">
        <f>IF(AF$14=1,'Inputs (2)'!AF78,-AVERAGE(AE59,AF59)*Inputs!AF$267/4)</f>
        <v>0</v>
      </c>
      <c r="AG99" s="57">
        <f>IF(AG$14=1,'Inputs (2)'!AG78,-AVERAGE(AF59,AG59)*Inputs!AG$267/4)</f>
        <v>0</v>
      </c>
      <c r="AH99" s="77">
        <f>SUM(AD99:AG99)</f>
        <v>0</v>
      </c>
      <c r="AI99" s="57">
        <f>IF(AI$14=1,'Inputs (2)'!AI78,-AVERAGE(AG59,AI59)*Inputs!AI$267/4)</f>
        <v>0</v>
      </c>
      <c r="AJ99" s="57">
        <f>IF(AJ$14=1,'Inputs (2)'!AJ78,-AVERAGE(AI59,AJ59)*Inputs!AJ$267/4)</f>
        <v>0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>SUM(AI99:AL99)</f>
        <v>0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>SUM(AN99:AQ99)</f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>SUM(AS99:AV99)</f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>SUM(AX99:BA99)</f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>SUM(BC99:BF99)</f>
        <v>0</v>
      </c>
    </row>
    <row r="100" hidden="1" outlineLevel="1">
      <c r="C100" s="61" t="inlineStr">
        <is>
          <t>(Despesas Fin. de Provisões Técnicas)</t>
        </is>
      </c>
      <c r="D100" s="62" t="inlineStr">
        <is>
          <t>(Technical Provisions Expense)</t>
        </is>
      </c>
      <c r="E100" s="57">
        <f>'Inputs (2)'!E79</f>
        <v>0</v>
      </c>
      <c r="F100" s="57">
        <f>IF(F$14=1,'Inputs (2)'!F79,-AVERAGE(E65,F65)*Inputs!F$262)</f>
        <v>0</v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>SUM(E100:H100)</f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>SUM(J100:M100)</f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>SUM(O100:R100)</f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>SUM(T100:W100)</f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>SUM(Y100:AB100)</f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>SUM(AD100:AG100)</f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>SUM(AI100:AL100)</f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>SUM(AN100:AQ100)</f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>SUM(AS100:AV100)</f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>SUM(AX100:BA100)</f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>SUM(BC100:BF100)</f>
        <v>0</v>
      </c>
    </row>
    <row r="101" collapsed="1">
      <c r="C101" s="53" t="inlineStr">
        <is>
          <t>Resultado da Intermediação antes da Perda Esperada</t>
        </is>
      </c>
      <c r="D101" s="54" t="inlineStr">
        <is>
          <t>NII before ECL</t>
        </is>
      </c>
      <c r="E101" s="59">
        <f>E91+E96</f>
        <v>-308.070726</v>
      </c>
      <c r="F101" s="59">
        <f>F91+F96</f>
        <v>192.949489000001</v>
      </c>
      <c r="G101" s="59">
        <f>G91+G96</f>
        <v>1630.807797</v>
      </c>
      <c r="H101" s="59">
        <f>H91+H96</f>
        <v>1566.391751</v>
      </c>
      <c r="I101" s="60">
        <f>SUM(E101:H101)</f>
        <v>3082.078311</v>
      </c>
      <c r="J101" s="59">
        <f>J91+J96</f>
        <v>-2100.914721</v>
      </c>
      <c r="K101" s="59">
        <f>K91+K96</f>
        <v>8069.091453</v>
      </c>
      <c r="L101" s="59">
        <f>L91+L96</f>
        <v>2579.260206</v>
      </c>
      <c r="M101" s="59">
        <f>M91+M96</f>
        <v>2843.477694</v>
      </c>
      <c r="N101" s="60">
        <f>SUM(J101:M101)</f>
        <v>11390.914632</v>
      </c>
      <c r="O101" s="59">
        <f>O91+O96</f>
        <v>2786.421994</v>
      </c>
      <c r="P101" s="59">
        <f>P91+P96</f>
        <v>1391.767006</v>
      </c>
      <c r="Q101" s="59">
        <f>Q91+Q96</f>
        <v>3554.457663</v>
      </c>
      <c r="R101" s="59">
        <f>R91+R96</f>
        <v>1253.381959</v>
      </c>
      <c r="S101" s="60">
        <f>SUM(O101:R101)</f>
        <v>8986.028622</v>
      </c>
      <c r="T101" s="59">
        <f>T91+T96</f>
        <v>5891.256189</v>
      </c>
      <c r="U101" s="59">
        <f>U91+U96</f>
        <v>4273.80403800001</v>
      </c>
      <c r="V101" s="59">
        <f>V91+V96</f>
        <v>7564.233533</v>
      </c>
      <c r="W101" s="59">
        <f>W91+W96</f>
        <v>7017.924948</v>
      </c>
      <c r="X101" s="60">
        <f>SUM(T101:W101)</f>
        <v>24747.218708</v>
      </c>
      <c r="Y101" s="59">
        <f>Y91+Y96</f>
        <v>4101.380282</v>
      </c>
      <c r="Z101" s="59">
        <f>Z91+Z96</f>
        <v>4022.729538</v>
      </c>
      <c r="AA101" s="59">
        <f>AA91+AA96</f>
        <v>4428.183699</v>
      </c>
      <c r="AB101" s="59">
        <f>AB91+AB96</f>
        <v>7043.279792</v>
      </c>
      <c r="AC101" s="60">
        <f>SUM(Y101:AB101)</f>
        <v>19595.573311</v>
      </c>
      <c r="AD101" s="59">
        <f>AD91+AD96</f>
        <v>4859.045181</v>
      </c>
      <c r="AE101" s="59">
        <f>AE91+AE96</f>
        <v>6895.268393</v>
      </c>
      <c r="AF101" s="59">
        <f>AF91+AF96</f>
        <v>9332.744802</v>
      </c>
      <c r="AG101" s="59">
        <f>AG91+AG96</f>
        <v>8560.69915299999</v>
      </c>
      <c r="AH101" s="60">
        <f>SUM(AD101:AG101)</f>
        <v>29647.757529</v>
      </c>
      <c r="AI101" s="59">
        <f>AI91+AI96</f>
        <v>10467.617168</v>
      </c>
      <c r="AJ101" s="59">
        <f>AJ91+AJ96</f>
        <v>11110.085896</v>
      </c>
      <c r="AK101" s="59">
        <f>AK91+AK96</f>
        <v>-326.70773</v>
      </c>
      <c r="AL101" s="59">
        <f>AL91+AL96</f>
        <v>-326.70773</v>
      </c>
      <c r="AM101" s="60">
        <f>SUM(AI101:AL101)</f>
        <v>20924.287604</v>
      </c>
      <c r="AN101" s="59">
        <f>AN91+AN96</f>
        <v>-326.70773</v>
      </c>
      <c r="AO101" s="59">
        <f>AO91+AO96</f>
        <v>-326.70773</v>
      </c>
      <c r="AP101" s="59">
        <f>AP91+AP96</f>
        <v>-326.70773</v>
      </c>
      <c r="AQ101" s="59">
        <f>AQ91+AQ96</f>
        <v>-326.70773</v>
      </c>
      <c r="AR101" s="60">
        <f>SUM(AN101:AQ101)</f>
        <v>-1306.83092</v>
      </c>
      <c r="AS101" s="59">
        <f>AS91+AS96</f>
        <v>-326.70773</v>
      </c>
      <c r="AT101" s="59">
        <f>AT91+AT96</f>
        <v>-326.70773</v>
      </c>
      <c r="AU101" s="59">
        <f>AU91+AU96</f>
        <v>-326.70773</v>
      </c>
      <c r="AV101" s="59">
        <f>AV91+AV96</f>
        <v>-326.70773</v>
      </c>
      <c r="AW101" s="60">
        <f>SUM(AS101:AV101)</f>
        <v>-1306.83092</v>
      </c>
      <c r="AX101" s="59">
        <f>AX91+AX96</f>
        <v>-326.70773</v>
      </c>
      <c r="AY101" s="59">
        <f>AY91+AY96</f>
        <v>-326.70773</v>
      </c>
      <c r="AZ101" s="59">
        <f>AZ91+AZ96</f>
        <v>-326.70773</v>
      </c>
      <c r="BA101" s="59">
        <f>BA91+BA96</f>
        <v>-326.70773</v>
      </c>
      <c r="BB101" s="60">
        <f>SUM(AX101:BA101)</f>
        <v>-1306.83092</v>
      </c>
      <c r="BC101" s="59">
        <f>BC91+BC96</f>
        <v>-326.70773</v>
      </c>
      <c r="BD101" s="59">
        <f>BD91+BD96</f>
        <v>-326.70773</v>
      </c>
      <c r="BE101" s="59">
        <f>BE91+BE96</f>
        <v>-326.70773</v>
      </c>
      <c r="BF101" s="59">
        <f>BF91+BF96</f>
        <v>-326.70773</v>
      </c>
      <c r="BG101" s="60">
        <f>SUM(BC101:BF101)</f>
        <v>-1306.83092</v>
      </c>
    </row>
    <row r="102">
      <c r="C102" s="83" t="inlineStr">
        <is>
          <t>Resultado de Perda de Crédito Esperada</t>
        </is>
      </c>
      <c r="D102" s="84" t="inlineStr">
        <is>
          <t>Expected Credit Loss Result</t>
        </is>
      </c>
      <c r="E102" s="85">
        <f>E103+E104</f>
        <v>-133.685954</v>
      </c>
      <c r="F102" s="85">
        <f>F103+F104</f>
        <v>-64.211218</v>
      </c>
      <c r="G102" s="85">
        <f>G103+G104</f>
        <v>-13.072771</v>
      </c>
      <c r="H102" s="85">
        <f>H103+H104</f>
        <v>-71.463108</v>
      </c>
      <c r="I102" s="60">
        <f>SUM(E102:H102)</f>
        <v>-282.433051</v>
      </c>
      <c r="J102" s="85">
        <f>J103+J104</f>
        <v>630.721357</v>
      </c>
      <c r="K102" s="85">
        <f>K103+K104</f>
        <v>-825.531835</v>
      </c>
      <c r="L102" s="85">
        <f>L103+L104</f>
        <v>-868.240459</v>
      </c>
      <c r="M102" s="85">
        <f>M103+M104</f>
        <v>-696.256887</v>
      </c>
      <c r="N102" s="60">
        <f>SUM(J102:M102)</f>
        <v>-1759.307824</v>
      </c>
      <c r="O102" s="85">
        <f>O103+O104</f>
        <v>-817.605987</v>
      </c>
      <c r="P102" s="85">
        <f>P103+P104</f>
        <v>-536.103212</v>
      </c>
      <c r="Q102" s="85">
        <f>Q103+Q104</f>
        <v>-588.230618</v>
      </c>
      <c r="R102" s="85">
        <f>R103+R104</f>
        <v>-1943.934668</v>
      </c>
      <c r="S102" s="60">
        <f>SUM(O102:R102)</f>
        <v>-3885.874485</v>
      </c>
      <c r="T102" s="85">
        <f>T103+T104</f>
        <v>-694.453168</v>
      </c>
      <c r="U102" s="85">
        <f>U103+U104</f>
        <v>-497.567383</v>
      </c>
      <c r="V102" s="85">
        <f>V103+V104</f>
        <v>-583.392927</v>
      </c>
      <c r="W102" s="85">
        <f>W103+W104</f>
        <v>-482.471903</v>
      </c>
      <c r="X102" s="60">
        <f>SUM(T102:W102)</f>
        <v>-2257.885381</v>
      </c>
      <c r="Y102" s="85">
        <f>Y103+Y104</f>
        <v>-487.841968</v>
      </c>
      <c r="Z102" s="85">
        <f>Z103+Z104</f>
        <v>-726.681212</v>
      </c>
      <c r="AA102" s="85">
        <f>AA103+AA104</f>
        <v>208.397934</v>
      </c>
      <c r="AB102" s="85">
        <f>AB103+AB104</f>
        <v>-804.304264</v>
      </c>
      <c r="AC102" s="60">
        <f>SUM(Y102:AB102)</f>
        <v>-1810.42951</v>
      </c>
      <c r="AD102" s="85">
        <f>AD103+AD104</f>
        <v>-1361.289903</v>
      </c>
      <c r="AE102" s="85">
        <f>AE103+AE104</f>
        <v>-1879.336349</v>
      </c>
      <c r="AF102" s="85">
        <f>AF103+AF104</f>
        <v>-1927.119569</v>
      </c>
      <c r="AG102" s="85">
        <f>AG103+AG104</f>
        <v>-67.547014</v>
      </c>
      <c r="AH102" s="60">
        <f>SUM(AD102:AG102)</f>
        <v>-5235.292835</v>
      </c>
      <c r="AI102" s="85">
        <f>AI103+AI104</f>
        <v>-1804.278565</v>
      </c>
      <c r="AJ102" s="85">
        <f>AJ103+AJ104</f>
        <v>-1181.276501</v>
      </c>
      <c r="AK102" s="85">
        <f>AK103+AK104</f>
        <v>0</v>
      </c>
      <c r="AL102" s="85">
        <f>AL103+AL104</f>
        <v>0</v>
      </c>
      <c r="AM102" s="60">
        <f>SUM(AI102:AL102)</f>
        <v>-2985.555066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>SUM(AN102:AQ102)</f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>SUM(AS102:AV102)</f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>SUM(AX102:BA102)</f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>SUM(BC102:BF102)</f>
        <v>0</v>
      </c>
    </row>
    <row r="103" hidden="1" outlineLevel="1">
      <c r="C103" s="61" t="inlineStr">
        <is>
          <t>(Despesa de Provisão para Perda Esperada)</t>
        </is>
      </c>
      <c r="D103" s="62" t="inlineStr">
        <is>
          <t>(ECL Expense)</t>
        </is>
      </c>
      <c r="E103" s="57">
        <f>IF(E$14=1,'Inputs (2)'!E82,-E134*Inputs!E$272/4)</f>
        <v>-133.685954</v>
      </c>
      <c r="F103" s="57">
        <f>IF(F$14=1,'Inputs (2)'!F82,-F134*Inputs!F$272/4)</f>
        <v>-64.211218</v>
      </c>
      <c r="G103" s="57">
        <f>IF(G$14=1,'Inputs (2)'!G82,-G134*Inputs!G$272/4)</f>
        <v>-13.072771</v>
      </c>
      <c r="H103" s="57">
        <f>IF(H$14=1,'Inputs (2)'!H82,-H134*Inputs!H$272/4)</f>
        <v>-71.463108</v>
      </c>
      <c r="I103" s="77">
        <f>SUM(E103:H103)</f>
        <v>-282.433051</v>
      </c>
      <c r="J103" s="57">
        <f>IF(J$14=1,'Inputs (2)'!J82,-J134*Inputs!J$272/4)</f>
        <v>630.721357</v>
      </c>
      <c r="K103" s="57">
        <f>IF(K$14=1,'Inputs (2)'!K82,-K134*Inputs!K$272/4)</f>
        <v>-825.531835</v>
      </c>
      <c r="L103" s="57">
        <f>IF(L$14=1,'Inputs (2)'!L82,-L134*Inputs!L$272/4)</f>
        <v>-868.240459</v>
      </c>
      <c r="M103" s="57">
        <f>IF(M$14=1,'Inputs (2)'!M82,-M134*Inputs!M$272/4)</f>
        <v>-696.256887</v>
      </c>
      <c r="N103" s="77">
        <f>SUM(J103:M103)</f>
        <v>-1759.307824</v>
      </c>
      <c r="O103" s="57">
        <f>IF(O$14=1,'Inputs (2)'!O82,-O134*Inputs!O$272/4)</f>
        <v>-817.605987</v>
      </c>
      <c r="P103" s="57">
        <f>IF(P$14=1,'Inputs (2)'!P82,-P134*Inputs!P$272/4)</f>
        <v>-536.103212</v>
      </c>
      <c r="Q103" s="57">
        <f>IF(Q$14=1,'Inputs (2)'!Q82,-Q134*Inputs!Q$272/4)</f>
        <v>-588.230618</v>
      </c>
      <c r="R103" s="57">
        <f>IF(R$14=1,'Inputs (2)'!R82,-R134*Inputs!R$272/4)</f>
        <v>-1943.934668</v>
      </c>
      <c r="S103" s="77">
        <f>SUM(O103:R103)</f>
        <v>-3885.874485</v>
      </c>
      <c r="T103" s="57">
        <f>IF(T$14=1,'Inputs (2)'!T82,-T134*Inputs!T$272/4)</f>
        <v>-694.453168</v>
      </c>
      <c r="U103" s="57">
        <f>IF(U$14=1,'Inputs (2)'!U82,-U134*Inputs!U$272/4)</f>
        <v>-497.567383</v>
      </c>
      <c r="V103" s="57">
        <f>IF(V$14=1,'Inputs (2)'!V82,-V134*Inputs!V$272/4)</f>
        <v>-583.392927</v>
      </c>
      <c r="W103" s="57">
        <f>IF(W$14=1,'Inputs (2)'!W82,-W134*Inputs!W$272/4)</f>
        <v>-482.471903</v>
      </c>
      <c r="X103" s="77">
        <f>SUM(T103:W103)</f>
        <v>-2257.885381</v>
      </c>
      <c r="Y103" s="57">
        <f>IF(Y$14=1,'Inputs (2)'!Y82,-Y134*Inputs!Y$272/4)</f>
        <v>-487.841968</v>
      </c>
      <c r="Z103" s="57">
        <f>IF(Z$14=1,'Inputs (2)'!Z82,-Z134*Inputs!Z$272/4)</f>
        <v>-726.681212</v>
      </c>
      <c r="AA103" s="57">
        <f>IF(AA$14=1,'Inputs (2)'!AA82,-AA134*Inputs!AA$272/4)</f>
        <v>208.397934</v>
      </c>
      <c r="AB103" s="57">
        <f>IF(AB$14=1,'Inputs (2)'!AB82,-AB134*Inputs!AB$272/4)</f>
        <v>-804.304264</v>
      </c>
      <c r="AC103" s="77">
        <f>SUM(Y103:AB103)</f>
        <v>-1810.42951</v>
      </c>
      <c r="AD103" s="57">
        <f>IF(AD$14=1,'Inputs (2)'!AD82,-AD134*Inputs!AD$272/4)</f>
        <v>-1361.289903</v>
      </c>
      <c r="AE103" s="57">
        <f>IF(AE$14=1,'Inputs (2)'!AE82,-AE134*Inputs!AE$272/4)</f>
        <v>-1879.336349</v>
      </c>
      <c r="AF103" s="57">
        <f>IF(AF$14=1,'Inputs (2)'!AF82,-AF134*Inputs!AF$272/4)</f>
        <v>-1927.119569</v>
      </c>
      <c r="AG103" s="57">
        <f>IF(AG$14=1,'Inputs (2)'!AG82,-AG134*Inputs!AG$272/4)</f>
        <v>-67.547014</v>
      </c>
      <c r="AH103" s="77">
        <f>SUM(AD103:AG103)</f>
        <v>-5235.292835</v>
      </c>
      <c r="AI103" s="57">
        <f>IF(AI$14=1,'Inputs (2)'!AI82,-AI134*Inputs!AI$272/4)</f>
        <v>-1804.278565</v>
      </c>
      <c r="AJ103" s="57">
        <f>IF(AJ$14=1,'Inputs (2)'!AJ82,-AJ134*Inputs!AJ$272/4)</f>
        <v>-1181.276501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>SUM(AI103:AL103)</f>
        <v>-2985.555066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>SUM(AN103:AQ103)</f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>SUM(AS103:AV103)</f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>SUM(AX103:BA103)</f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>SUM(BC103:BF103)</f>
        <v>0</v>
      </c>
    </row>
    <row r="104" hidden="1" outlineLevel="1">
      <c r="C104" s="61" t="inlineStr">
        <is>
          <t>Recuperação de Créditos Baixados como Prejuízo</t>
        </is>
      </c>
      <c r="D104" s="62" t="inlineStr">
        <is>
          <t>Recoveries</t>
        </is>
      </c>
      <c r="E104" s="57">
        <f>IF(E$14=1,'Inputs (2)'!E83,-E103*Inputs!E$274)</f>
        <v>0</v>
      </c>
      <c r="F104" s="57">
        <f>IF(F$14=1,'Inputs (2)'!F83,-F103*Inputs!F$274)</f>
        <v>0</v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>SUM(E104:H104)</f>
        <v>0</v>
      </c>
      <c r="J104" s="57">
        <f>IF(J$14=1,'Inputs (2)'!J83,-J103*Inputs!J$274)</f>
        <v>0</v>
      </c>
      <c r="K104" s="57">
        <f>IF(K$14=1,'Inputs (2)'!K83,-K103*Inputs!K$274)</f>
        <v>0</v>
      </c>
      <c r="L104" s="57">
        <f>IF(L$14=1,'Inputs (2)'!L83,-L103*Inputs!L$274)</f>
        <v>0</v>
      </c>
      <c r="M104" s="57">
        <f>IF(M$14=1,'Inputs (2)'!M83,-M103*Inputs!M$274)</f>
        <v>0</v>
      </c>
      <c r="N104" s="77">
        <f>SUM(J104:M104)</f>
        <v>0</v>
      </c>
      <c r="O104" s="57">
        <f>IF(O$14=1,'Inputs (2)'!O83,-O103*Inputs!O$274)</f>
        <v>0</v>
      </c>
      <c r="P104" s="57">
        <f>IF(P$14=1,'Inputs (2)'!P83,-P103*Inputs!P$274)</f>
        <v>0</v>
      </c>
      <c r="Q104" s="57">
        <f>IF(Q$14=1,'Inputs (2)'!Q83,-Q103*Inputs!Q$274)</f>
        <v>0</v>
      </c>
      <c r="R104" s="57">
        <f>IF(R$14=1,'Inputs (2)'!R83,-R103*Inputs!R$274)</f>
        <v>0</v>
      </c>
      <c r="S104" s="77">
        <f>SUM(O104:R104)</f>
        <v>0</v>
      </c>
      <c r="T104" s="57">
        <f>IF(T$14=1,'Inputs (2)'!T83,-T103*Inputs!T$274)</f>
        <v>0</v>
      </c>
      <c r="U104" s="57">
        <f>IF(U$14=1,'Inputs (2)'!U83,-U103*Inputs!U$274)</f>
        <v>0</v>
      </c>
      <c r="V104" s="57">
        <f>IF(V$14=1,'Inputs (2)'!V83,-V103*Inputs!V$274)</f>
        <v>0</v>
      </c>
      <c r="W104" s="57">
        <f>IF(W$14=1,'Inputs (2)'!W83,-W103*Inputs!W$274)</f>
        <v>0</v>
      </c>
      <c r="X104" s="77">
        <f>SUM(T104:W104)</f>
        <v>0</v>
      </c>
      <c r="Y104" s="57">
        <f>IF(Y$14=1,'Inputs (2)'!Y83,-Y103*Inputs!Y$274)</f>
        <v>0</v>
      </c>
      <c r="Z104" s="57">
        <f>IF(Z$14=1,'Inputs (2)'!Z83,-Z103*Inputs!Z$274)</f>
        <v>0</v>
      </c>
      <c r="AA104" s="57">
        <f>IF(AA$14=1,'Inputs (2)'!AA83,-AA103*Inputs!AA$274)</f>
        <v>0</v>
      </c>
      <c r="AB104" s="57">
        <f>IF(AB$14=1,'Inputs (2)'!AB83,-AB103*Inputs!AB$274)</f>
        <v>0</v>
      </c>
      <c r="AC104" s="77">
        <f>SUM(Y104:AB104)</f>
        <v>0</v>
      </c>
      <c r="AD104" s="57">
        <f>IF(AD$14=1,'Inputs (2)'!AD83,-AD103*Inputs!AD$274)</f>
        <v>0</v>
      </c>
      <c r="AE104" s="57">
        <f>IF(AE$14=1,'Inputs (2)'!AE83,-AE103*Inputs!AE$274)</f>
        <v>0</v>
      </c>
      <c r="AF104" s="57">
        <f>IF(AF$14=1,'Inputs (2)'!AF83,-AF103*Inputs!AF$274)</f>
        <v>0</v>
      </c>
      <c r="AG104" s="57">
        <f>IF(AG$14=1,'Inputs (2)'!AG83,-AG103*Inputs!AG$274)</f>
        <v>0</v>
      </c>
      <c r="AH104" s="77">
        <f>SUM(AD104:AG104)</f>
        <v>0</v>
      </c>
      <c r="AI104" s="57">
        <f>IF(AI$14=1,'Inputs (2)'!AI83,-AI103*Inputs!AI$274)</f>
        <v>0</v>
      </c>
      <c r="AJ104" s="57">
        <f>IF(AJ$14=1,'Inputs (2)'!AJ83,-AJ103*Inputs!AJ$274)</f>
        <v>0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>SUM(AI104:AL104)</f>
        <v>0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>SUM(AN104:AQ104)</f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>SUM(AS104:AV104)</f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>SUM(AX104:BA104)</f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>SUM(BC104:BF104)</f>
        <v>0</v>
      </c>
    </row>
    <row r="105" collapsed="1">
      <c r="C105" s="53" t="inlineStr">
        <is>
          <t>Resultado Bruto da Intermediação Financeira</t>
        </is>
      </c>
      <c r="D105" s="54" t="inlineStr">
        <is>
          <t>Gross Intermediation Result</t>
        </is>
      </c>
      <c r="E105" s="59">
        <f>E101+E102</f>
        <v>-441.75668</v>
      </c>
      <c r="F105" s="59">
        <f>F101+F102</f>
        <v>128.738271000001</v>
      </c>
      <c r="G105" s="59">
        <f>G101+G102</f>
        <v>1617.735026</v>
      </c>
      <c r="H105" s="59">
        <f>H101+H102</f>
        <v>1494.928643</v>
      </c>
      <c r="I105" s="60">
        <f>SUM(E105:H105)</f>
        <v>2799.64526</v>
      </c>
      <c r="J105" s="59">
        <f>J101+J102</f>
        <v>-1470.193364</v>
      </c>
      <c r="K105" s="59">
        <f>K101+K102</f>
        <v>7243.559618</v>
      </c>
      <c r="L105" s="59">
        <f>L101+L102</f>
        <v>1711.019747</v>
      </c>
      <c r="M105" s="59">
        <f>M101+M102</f>
        <v>2147.220807</v>
      </c>
      <c r="N105" s="60">
        <f>SUM(J105:M105)</f>
        <v>9631.606808</v>
      </c>
      <c r="O105" s="59">
        <f>O101+O102</f>
        <v>1968.816007</v>
      </c>
      <c r="P105" s="59">
        <f>P101+P102</f>
        <v>855.663794000002</v>
      </c>
      <c r="Q105" s="59">
        <f>Q101+Q102</f>
        <v>2966.227045</v>
      </c>
      <c r="R105" s="59">
        <f>R101+R102</f>
        <v>-690.552709</v>
      </c>
      <c r="S105" s="60">
        <f>SUM(O105:R105)</f>
        <v>5100.154137</v>
      </c>
      <c r="T105" s="59">
        <f>T101+T102</f>
        <v>5196.803021</v>
      </c>
      <c r="U105" s="59">
        <f>U101+U102</f>
        <v>3776.23665500001</v>
      </c>
      <c r="V105" s="59">
        <f>V101+V102</f>
        <v>6980.840606</v>
      </c>
      <c r="W105" s="59">
        <f>W101+W102</f>
        <v>6535.453045</v>
      </c>
      <c r="X105" s="60">
        <f>SUM(T105:W105)</f>
        <v>22489.333327</v>
      </c>
      <c r="Y105" s="59">
        <f>Y101+Y102</f>
        <v>3613.538314</v>
      </c>
      <c r="Z105" s="59">
        <f>Z101+Z102</f>
        <v>3296.048326</v>
      </c>
      <c r="AA105" s="59">
        <f>AA101+AA102</f>
        <v>4636.581633</v>
      </c>
      <c r="AB105" s="59">
        <f>AB101+AB102</f>
        <v>6238.975528</v>
      </c>
      <c r="AC105" s="60">
        <f>SUM(Y105:AB105)</f>
        <v>17785.143801</v>
      </c>
      <c r="AD105" s="59">
        <f>AD101+AD102</f>
        <v>3497.755278</v>
      </c>
      <c r="AE105" s="59">
        <f>AE101+AE102</f>
        <v>5015.932044</v>
      </c>
      <c r="AF105" s="59">
        <f>AF101+AF102</f>
        <v>7405.625233</v>
      </c>
      <c r="AG105" s="59">
        <f>AG101+AG102</f>
        <v>8493.15213899999</v>
      </c>
      <c r="AH105" s="60">
        <f>SUM(AD105:AG105)</f>
        <v>24412.464694</v>
      </c>
      <c r="AI105" s="59">
        <f>AI101+AI102</f>
        <v>8663.338603</v>
      </c>
      <c r="AJ105" s="59">
        <f>AJ101+AJ102</f>
        <v>9928.809395</v>
      </c>
      <c r="AK105" s="59">
        <f>AK101+AK102</f>
        <v>-326.70773</v>
      </c>
      <c r="AL105" s="59">
        <f>AL101+AL102</f>
        <v>-326.70773</v>
      </c>
      <c r="AM105" s="60">
        <f>SUM(AI105:AL105)</f>
        <v>17938.732538</v>
      </c>
      <c r="AN105" s="59">
        <f>AN101+AN102</f>
        <v>-326.70773</v>
      </c>
      <c r="AO105" s="59">
        <f>AO101+AO102</f>
        <v>-326.70773</v>
      </c>
      <c r="AP105" s="59">
        <f>AP101+AP102</f>
        <v>-326.70773</v>
      </c>
      <c r="AQ105" s="59">
        <f>AQ101+AQ102</f>
        <v>-326.70773</v>
      </c>
      <c r="AR105" s="60">
        <f>SUM(AN105:AQ105)</f>
        <v>-1306.83092</v>
      </c>
      <c r="AS105" s="59">
        <f>AS101+AS102</f>
        <v>-326.70773</v>
      </c>
      <c r="AT105" s="59">
        <f>AT101+AT102</f>
        <v>-326.70773</v>
      </c>
      <c r="AU105" s="59">
        <f>AU101+AU102</f>
        <v>-326.70773</v>
      </c>
      <c r="AV105" s="59">
        <f>AV101+AV102</f>
        <v>-326.70773</v>
      </c>
      <c r="AW105" s="60">
        <f>SUM(AS105:AV105)</f>
        <v>-1306.83092</v>
      </c>
      <c r="AX105" s="59">
        <f>AX101+AX102</f>
        <v>-326.70773</v>
      </c>
      <c r="AY105" s="59">
        <f>AY101+AY102</f>
        <v>-326.70773</v>
      </c>
      <c r="AZ105" s="59">
        <f>AZ101+AZ102</f>
        <v>-326.70773</v>
      </c>
      <c r="BA105" s="59">
        <f>BA101+BA102</f>
        <v>-326.70773</v>
      </c>
      <c r="BB105" s="60">
        <f>SUM(AX105:BA105)</f>
        <v>-1306.83092</v>
      </c>
      <c r="BC105" s="59">
        <f>BC101+BC102</f>
        <v>-326.70773</v>
      </c>
      <c r="BD105" s="59">
        <f>BD101+BD102</f>
        <v>-326.70773</v>
      </c>
      <c r="BE105" s="59">
        <f>BE101+BE102</f>
        <v>-326.70773</v>
      </c>
      <c r="BF105" s="59">
        <f>BF101+BF102</f>
        <v>-326.70773</v>
      </c>
      <c r="BG105" s="60">
        <f>SUM(BC105:BF105)</f>
        <v>-1306.83092</v>
      </c>
    </row>
    <row r="106">
      <c r="C106" s="83" t="inlineStr">
        <is>
          <t>Outras Receitas / (Despesas) Operacionais</t>
        </is>
      </c>
      <c r="D106" s="84" t="inlineStr">
        <is>
          <t>Other Operating Income / (Expenses)</t>
        </is>
      </c>
      <c r="E106" s="85">
        <f>E107+E108+E109+E110+E111+E115+E116+E117+E118</f>
        <v>779.374432</v>
      </c>
      <c r="F106" s="85">
        <f>F107+F108+F109+F110+F111+F115+F116+F117+F118</f>
        <v>864.166247</v>
      </c>
      <c r="G106" s="85">
        <f>G107+G108+G109+G110+G111+G115+G116+G117+G118</f>
        <v>-241.910177</v>
      </c>
      <c r="H106" s="85">
        <f>H107+H108+H109+H110+H111+H115+H116+H117+H118</f>
        <v>560.600247</v>
      </c>
      <c r="I106" s="60">
        <f>SUM(E106:H106)</f>
        <v>1962.230749</v>
      </c>
      <c r="J106" s="85">
        <f>J107+J108+J109+J110+J111+J115+J116+J117+J118</f>
        <v>2984.157147</v>
      </c>
      <c r="K106" s="85">
        <f>K107+K108+K109+K110+K111+K115+K116+K117+K118</f>
        <v>-4886.440992</v>
      </c>
      <c r="L106" s="85">
        <f>L107+L108+L109+L110+L111+L115+L116+L117+L118</f>
        <v>-971.093522</v>
      </c>
      <c r="M106" s="85">
        <f>M107+M108+M109+M110+M111+M115+M116+M117+M118</f>
        <v>-50.2096619999999</v>
      </c>
      <c r="N106" s="60">
        <f>SUM(J106:M106)</f>
        <v>-2923.587029</v>
      </c>
      <c r="O106" s="85">
        <f>O107+O108+O109+O110+O111+O115+O116+O117+O118</f>
        <v>-276.451361999998</v>
      </c>
      <c r="P106" s="85">
        <f>P107+P108+P109+P110+P111+P115+P116+P117+P118</f>
        <v>1627.119088</v>
      </c>
      <c r="Q106" s="85">
        <f>Q107+Q108+Q109+Q110+Q111+Q115+Q116+Q117+Q118</f>
        <v>-371.546495000001</v>
      </c>
      <c r="R106" s="85">
        <f>R107+R108+R109+R110+R111+R115+R116+R117+R118</f>
        <v>2234.168263</v>
      </c>
      <c r="S106" s="60">
        <f>SUM(O106:R106)</f>
        <v>3213.289494</v>
      </c>
      <c r="T106" s="85">
        <f>T107+T108+T109+T110+T111+T115+T116+T117+T118</f>
        <v>-2620.640895</v>
      </c>
      <c r="U106" s="85">
        <f>U107+U108+U109+U110+U111+U115+U116+U117+U118</f>
        <v>-1036.894988</v>
      </c>
      <c r="V106" s="85">
        <f>V107+V108+V109+V110+V111+V115+V116+V117+V118</f>
        <v>-3999.942006</v>
      </c>
      <c r="W106" s="85">
        <f>W107+W108+W109+W110+W111+W115+W116+W117+W118</f>
        <v>-3720.404483</v>
      </c>
      <c r="X106" s="60">
        <f>SUM(T106:W106)</f>
        <v>-11377.882372</v>
      </c>
      <c r="Y106" s="85">
        <f>Y107+Y108+Y109+Y110+Y111+Y115+Y116+Y117+Y118</f>
        <v>-701.612082</v>
      </c>
      <c r="Z106" s="85">
        <f>Z107+Z108+Z109+Z110+Z111+Z115+Z116+Z117+Z118</f>
        <v>-83.284740999999</v>
      </c>
      <c r="AA106" s="85">
        <f>AA107+AA108+AA109+AA110+AA111+AA115+AA116+AA117+AA118</f>
        <v>-1450.899311</v>
      </c>
      <c r="AB106" s="85">
        <f>AB107+AB108+AB109+AB110+AB111+AB115+AB116+AB117+AB118</f>
        <v>-3267.325701</v>
      </c>
      <c r="AC106" s="60">
        <f>SUM(Y106:AB106)</f>
        <v>-5503.121835</v>
      </c>
      <c r="AD106" s="85">
        <f>AD107+AD108+AD109+AD110+AD111+AD115+AD116+AD117+AD118</f>
        <v>345.452777</v>
      </c>
      <c r="AE106" s="85">
        <f>AE107+AE108+AE109+AE110+AE111+AE115+AE116+AE117+AE118</f>
        <v>-934.737329000001</v>
      </c>
      <c r="AF106" s="85">
        <f>AF107+AF108+AF109+AF110+AF111+AF115+AF116+AF117+AF118</f>
        <v>-2085.388293</v>
      </c>
      <c r="AG106" s="85">
        <f>AG107+AG108+AG109+AG110+AG111+AG115+AG116+AG117+AG118</f>
        <v>-4860.372568</v>
      </c>
      <c r="AH106" s="60">
        <f>SUM(AD106:AG106)</f>
        <v>-7535.045413</v>
      </c>
      <c r="AI106" s="85">
        <f>AI107+AI108+AI109+AI110+AI111+AI115+AI116+AI117+AI118</f>
        <v>-3347.815467</v>
      </c>
      <c r="AJ106" s="85">
        <f>AJ107+AJ108+AJ109+AJ110+AJ111+AJ115+AJ116+AJ117+AJ118</f>
        <v>-4111.032885</v>
      </c>
      <c r="AK106" s="85">
        <f>AK107+AK108+AK109+AK110+AK111+AK115+AK116+AK117+AK118</f>
        <v>3631.317723</v>
      </c>
      <c r="AL106" s="85">
        <f>AL107+AL108+AL109+AL110+AL111+AL115+AL116+AL117+AL118</f>
        <v>3227.444087</v>
      </c>
      <c r="AM106" s="60">
        <f>SUM(AI106:AL106)</f>
        <v>-600.086541999999</v>
      </c>
      <c r="AN106" s="85">
        <f>AN107+AN108+AN109+AN110+AN111+AN115+AN116+AN117+AN118</f>
        <v>1377.866574</v>
      </c>
      <c r="AO106" s="85">
        <f>AO107+AO108+AO109+AO110+AO111+AO115+AO116+AO117+AO118</f>
        <v>1961.681775</v>
      </c>
      <c r="AP106" s="85">
        <f>AP107+AP108+AP109+AP110+AP111+AP115+AP116+AP117+AP118</f>
        <v>3631.317723</v>
      </c>
      <c r="AQ106" s="85">
        <f>AQ107+AQ108+AQ109+AQ110+AQ111+AQ115+AQ116+AQ117+AQ118</f>
        <v>3227.444087</v>
      </c>
      <c r="AR106" s="60">
        <f>SUM(AN106:AQ106)</f>
        <v>10198.310159</v>
      </c>
      <c r="AS106" s="85">
        <f>AS107+AS108+AS109+AS110+AS111+AS115+AS116+AS117+AS118</f>
        <v>1377.866574</v>
      </c>
      <c r="AT106" s="85">
        <f>AT107+AT108+AT109+AT110+AT111+AT115+AT116+AT117+AT118</f>
        <v>1961.681775</v>
      </c>
      <c r="AU106" s="85">
        <f>AU107+AU108+AU109+AU110+AU111+AU115+AU116+AU117+AU118</f>
        <v>3631.317723</v>
      </c>
      <c r="AV106" s="85">
        <f>AV107+AV108+AV109+AV110+AV111+AV115+AV116+AV117+AV118</f>
        <v>3227.444087</v>
      </c>
      <c r="AW106" s="60">
        <f>SUM(AS106:AV106)</f>
        <v>10198.310159</v>
      </c>
      <c r="AX106" s="85">
        <f>AX107+AX108+AX109+AX110+AX111+AX115+AX116+AX117+AX118</f>
        <v>1377.866574</v>
      </c>
      <c r="AY106" s="85">
        <f>AY107+AY108+AY109+AY110+AY111+AY115+AY116+AY117+AY118</f>
        <v>1961.681775</v>
      </c>
      <c r="AZ106" s="85">
        <f>AZ107+AZ108+AZ109+AZ110+AZ111+AZ115+AZ116+AZ117+AZ118</f>
        <v>3631.317723</v>
      </c>
      <c r="BA106" s="85">
        <f>BA107+BA108+BA109+BA110+BA111+BA115+BA116+BA117+BA118</f>
        <v>3227.444087</v>
      </c>
      <c r="BB106" s="60">
        <f>SUM(AX106:BA106)</f>
        <v>10198.310159</v>
      </c>
      <c r="BC106" s="85">
        <f>BC107+BC108+BC109+BC110+BC111+BC115+BC116+BC117+BC118</f>
        <v>1377.866574</v>
      </c>
      <c r="BD106" s="85">
        <f>BD107+BD108+BD109+BD110+BD111+BD115+BD116+BD117+BD118</f>
        <v>1961.681775</v>
      </c>
      <c r="BE106" s="85">
        <f>BE107+BE108+BE109+BE110+BE111+BE115+BE116+BE117+BE118</f>
        <v>3631.317723</v>
      </c>
      <c r="BF106" s="85">
        <f>BF107+BF108+BF109+BF110+BF111+BF115+BF116+BF117+BF118</f>
        <v>3227.444087</v>
      </c>
      <c r="BG106" s="60">
        <f>SUM(BC106:BF106)</f>
        <v>10198.310159</v>
      </c>
    </row>
    <row r="107" hidden="1" outlineLevel="1">
      <c r="C107" s="61" t="inlineStr">
        <is>
          <t>Receitas de Prestação de Serviços e Tarifas Bancárias</t>
        </is>
      </c>
      <c r="D107" s="62" t="inlineStr">
        <is>
          <t>Fee Income</t>
        </is>
      </c>
      <c r="E107" s="57">
        <f>'Inputs (2)'!E86</f>
        <v>774.701843</v>
      </c>
      <c r="F107" s="57">
        <f>'Inputs (2)'!F86</f>
        <v>729.063037</v>
      </c>
      <c r="G107" s="57">
        <f>'Inputs (2)'!G86</f>
        <v>972.842382</v>
      </c>
      <c r="H107" s="57">
        <f>'Inputs (2)'!H86</f>
        <v>1251.322965</v>
      </c>
      <c r="I107" s="77">
        <f>SUM(E107:H107)</f>
        <v>3727.930227</v>
      </c>
      <c r="J107" s="57">
        <f>IF(J$14=1,'Inputs (2)'!J86,E107*(1+Inputs!J$285))</f>
        <v>1163.406397</v>
      </c>
      <c r="K107" s="57">
        <f>IF(K$14=1,'Inputs (2)'!K86,F107*(1+Inputs!K$285))</f>
        <v>1818.081933</v>
      </c>
      <c r="L107" s="57">
        <f>IF(L$14=1,'Inputs (2)'!L86,G107*(1+Inputs!L$285))</f>
        <v>1727.115981</v>
      </c>
      <c r="M107" s="57">
        <f>IF(M$14=1,'Inputs (2)'!M86,H107*(1+Inputs!M$285))</f>
        <v>1531.248668</v>
      </c>
      <c r="N107" s="77">
        <f>SUM(J107:M107)</f>
        <v>6239.852979</v>
      </c>
      <c r="O107" s="57">
        <f>IF(O$14=1,'Inputs (2)'!O86,J107*(1+Inputs!O$285))</f>
        <v>1488.411515</v>
      </c>
      <c r="P107" s="57">
        <f>IF(P$14=1,'Inputs (2)'!P86,K107*(1+Inputs!P$285))</f>
        <v>1646.617645</v>
      </c>
      <c r="Q107" s="57">
        <f>IF(Q$14=1,'Inputs (2)'!Q86,L107*(1+Inputs!Q$285))</f>
        <v>1820.980038</v>
      </c>
      <c r="R107" s="57">
        <f>IF(R$14=1,'Inputs (2)'!R86,M107*(1+Inputs!R$285))</f>
        <v>1917.704039</v>
      </c>
      <c r="S107" s="77">
        <f>SUM(O107:R107)</f>
        <v>6873.713237</v>
      </c>
      <c r="T107" s="57">
        <f>IF(T$14=1,'Inputs (2)'!T86,O107*(1+Inputs!T$285))</f>
        <v>1566.835316</v>
      </c>
      <c r="U107" s="57">
        <f>IF(U$14=1,'Inputs (2)'!U86,P107*(1+Inputs!U$285))</f>
        <v>1662.965533</v>
      </c>
      <c r="V107" s="57">
        <f>IF(V$14=1,'Inputs (2)'!V86,Q107*(1+Inputs!V$285))</f>
        <v>1801.341213</v>
      </c>
      <c r="W107" s="57">
        <f>IF(W$14=1,'Inputs (2)'!W86,R107*(1+Inputs!W$285))</f>
        <v>1689.467781</v>
      </c>
      <c r="X107" s="77">
        <f>SUM(T107:W107)</f>
        <v>6720.609843</v>
      </c>
      <c r="Y107" s="57">
        <f>IF(Y$14=1,'Inputs (2)'!Y86,T107*(1+Inputs!Y$285))</f>
        <v>1822.841251</v>
      </c>
      <c r="Z107" s="57">
        <f>IF(Z$14=1,'Inputs (2)'!Z86,U107*(1+Inputs!Z$285))</f>
        <v>2079.219643</v>
      </c>
      <c r="AA107" s="57">
        <f>IF(AA$14=1,'Inputs (2)'!AA86,V107*(1+Inputs!AA$285))</f>
        <v>1994.418238</v>
      </c>
      <c r="AB107" s="57">
        <f>IF(AB$14=1,'Inputs (2)'!AB86,W107*(1+Inputs!AB$285))</f>
        <v>2209.515522</v>
      </c>
      <c r="AC107" s="77">
        <f>SUM(Y107:AB107)</f>
        <v>8105.994654</v>
      </c>
      <c r="AD107" s="57">
        <f>IF(AD$14=1,'Inputs (2)'!AD86,Y107*(1+Inputs!AD$285))</f>
        <v>1760.39034</v>
      </c>
      <c r="AE107" s="57">
        <f>IF(AE$14=1,'Inputs (2)'!AE86,Z107*(1+Inputs!AE$285))</f>
        <v>1938.301291</v>
      </c>
      <c r="AF107" s="57">
        <f>IF(AF$14=1,'Inputs (2)'!AF86,AA107*(1+Inputs!AF$285))</f>
        <v>2224.609555</v>
      </c>
      <c r="AG107" s="57">
        <f>IF(AG$14=1,'Inputs (2)'!AG86,AB107*(1+Inputs!AG$285))</f>
        <v>2026.449236</v>
      </c>
      <c r="AH107" s="77">
        <f>SUM(AD107:AG107)</f>
        <v>7949.750422</v>
      </c>
      <c r="AI107" s="57">
        <f>IF(AI$14=1,'Inputs (2)'!AI86,AD107*(1+Inputs!AI$285))</f>
        <v>2226.584411</v>
      </c>
      <c r="AJ107" s="57">
        <f>IF(AJ$14=1,'Inputs (2)'!AJ86,AE107*(1+Inputs!AJ$285))</f>
        <v>2258.584748</v>
      </c>
      <c r="AK107" s="57">
        <f>IF(AK$14=1,'Inputs (2)'!AK86,AF107*(1+Inputs!AK$285))</f>
        <v>2224.609555</v>
      </c>
      <c r="AL107" s="57">
        <f>IF(AL$14=1,'Inputs (2)'!AL86,AG107*(1+Inputs!AL$285))</f>
        <v>2026.449236</v>
      </c>
      <c r="AM107" s="77">
        <f>SUM(AI107:AL107)</f>
        <v>8736.22795</v>
      </c>
      <c r="AN107" s="57">
        <f>IF(AN$14=1,'Inputs (2)'!AN86,AI107*(1+Inputs!AN$285))</f>
        <v>2226.584411</v>
      </c>
      <c r="AO107" s="57">
        <f>IF(AO$14=1,'Inputs (2)'!AO86,AJ107*(1+Inputs!AO$285))</f>
        <v>2258.584748</v>
      </c>
      <c r="AP107" s="57">
        <f>IF(AP$14=1,'Inputs (2)'!AP86,AK107*(1+Inputs!AP$285))</f>
        <v>2224.609555</v>
      </c>
      <c r="AQ107" s="57">
        <f>IF(AQ$14=1,'Inputs (2)'!AQ86,AL107*(1+Inputs!AQ$285))</f>
        <v>2026.449236</v>
      </c>
      <c r="AR107" s="77">
        <f>SUM(AN107:AQ107)</f>
        <v>8736.22795</v>
      </c>
      <c r="AS107" s="57">
        <f>IF(AS$14=1,'Inputs (2)'!AS86,AN107*(1+Inputs!AS$285))</f>
        <v>2226.584411</v>
      </c>
      <c r="AT107" s="57">
        <f>IF(AT$14=1,'Inputs (2)'!AT86,AO107*(1+Inputs!AT$285))</f>
        <v>2258.584748</v>
      </c>
      <c r="AU107" s="57">
        <f>IF(AU$14=1,'Inputs (2)'!AU86,AP107*(1+Inputs!AU$285))</f>
        <v>2224.609555</v>
      </c>
      <c r="AV107" s="57">
        <f>IF(AV$14=1,'Inputs (2)'!AV86,AQ107*(1+Inputs!AV$285))</f>
        <v>2026.449236</v>
      </c>
      <c r="AW107" s="77">
        <f>SUM(AS107:AV107)</f>
        <v>8736.22795</v>
      </c>
      <c r="AX107" s="57">
        <f>IF(AX$14=1,'Inputs (2)'!AX86,AS107*(1+Inputs!AX$285))</f>
        <v>2226.584411</v>
      </c>
      <c r="AY107" s="57">
        <f>IF(AY$14=1,'Inputs (2)'!AY86,AT107*(1+Inputs!AY$285))</f>
        <v>2258.584748</v>
      </c>
      <c r="AZ107" s="57">
        <f>IF(AZ$14=1,'Inputs (2)'!AZ86,AU107*(1+Inputs!AZ$285))</f>
        <v>2224.609555</v>
      </c>
      <c r="BA107" s="57">
        <f>IF(BA$14=1,'Inputs (2)'!BA86,AV107*(1+Inputs!BA$285))</f>
        <v>2026.449236</v>
      </c>
      <c r="BB107" s="77">
        <f>SUM(AX107:BA107)</f>
        <v>8736.22795</v>
      </c>
      <c r="BC107" s="57">
        <f>IF(BC$14=1,'Inputs (2)'!BC86,AX107*(1+Inputs!BC$285))</f>
        <v>2226.584411</v>
      </c>
      <c r="BD107" s="57">
        <f>IF(BD$14=1,'Inputs (2)'!BD86,AY107*(1+Inputs!BD$285))</f>
        <v>2258.584748</v>
      </c>
      <c r="BE107" s="57">
        <f>IF(BE$14=1,'Inputs (2)'!BE86,AZ107*(1+Inputs!BE$285))</f>
        <v>2224.609555</v>
      </c>
      <c r="BF107" s="57">
        <f>IF(BF$14=1,'Inputs (2)'!BF86,BA107*(1+Inputs!BF$285))</f>
        <v>2026.449236</v>
      </c>
      <c r="BG107" s="77">
        <f>SUM(BC107:BF107)</f>
        <v>8736.22795</v>
      </c>
    </row>
    <row r="108" hidden="1" outlineLevel="1">
      <c r="C108" s="61" t="inlineStr">
        <is>
          <t>Resultado de Seguros, Previdência e Capitalização</t>
        </is>
      </c>
      <c r="D108" s="62" t="inlineStr">
        <is>
          <t>Insurance Result</t>
        </is>
      </c>
      <c r="E108" s="57">
        <f>'Inputs (2)'!E87</f>
        <v>0</v>
      </c>
      <c r="F108" s="57">
        <f>'Inputs (2)'!F87</f>
        <v>0</v>
      </c>
      <c r="G108" s="57">
        <f>'Inputs (2)'!G87</f>
        <v>0</v>
      </c>
      <c r="H108" s="57">
        <f>'Inputs (2)'!H87</f>
        <v>0</v>
      </c>
      <c r="I108" s="77">
        <f>SUM(E108:H108)</f>
        <v>0</v>
      </c>
      <c r="J108" s="57">
        <f>IF(J$14=1,'Inputs (2)'!J87,E108*(1+Inputs!J$286))</f>
        <v>0</v>
      </c>
      <c r="K108" s="57">
        <f>IF(K$14=1,'Inputs (2)'!K87,F108*(1+Inputs!K$286))</f>
        <v>0</v>
      </c>
      <c r="L108" s="57">
        <f>IF(L$14=1,'Inputs (2)'!L87,G108*(1+Inputs!L$286))</f>
        <v>0</v>
      </c>
      <c r="M108" s="57">
        <f>IF(M$14=1,'Inputs (2)'!M87,H108*(1+Inputs!M$286))</f>
        <v>0</v>
      </c>
      <c r="N108" s="77">
        <f>SUM(J108:M108)</f>
        <v>0</v>
      </c>
      <c r="O108" s="57">
        <f>IF(O$14=1,'Inputs (2)'!O87,J108*(1+Inputs!O$286))</f>
        <v>0</v>
      </c>
      <c r="P108" s="57">
        <f>IF(P$14=1,'Inputs (2)'!P87,K108*(1+Inputs!P$286))</f>
        <v>0</v>
      </c>
      <c r="Q108" s="57">
        <f>IF(Q$14=1,'Inputs (2)'!Q87,L108*(1+Inputs!Q$286))</f>
        <v>0</v>
      </c>
      <c r="R108" s="57">
        <f>IF(R$14=1,'Inputs (2)'!R87,M108*(1+Inputs!R$286))</f>
        <v>0</v>
      </c>
      <c r="S108" s="77">
        <f>SUM(O108:R108)</f>
        <v>0</v>
      </c>
      <c r="T108" s="57">
        <f>IF(T$14=1,'Inputs (2)'!T87,O108*(1+Inputs!T$286))</f>
        <v>0</v>
      </c>
      <c r="U108" s="57">
        <f>IF(U$14=1,'Inputs (2)'!U87,P108*(1+Inputs!U$286))</f>
        <v>0</v>
      </c>
      <c r="V108" s="57">
        <f>IF(V$14=1,'Inputs (2)'!V87,Q108*(1+Inputs!V$286))</f>
        <v>0</v>
      </c>
      <c r="W108" s="57">
        <f>IF(W$14=1,'Inputs (2)'!W87,R108*(1+Inputs!W$286))</f>
        <v>0</v>
      </c>
      <c r="X108" s="77">
        <f>SUM(T108:W108)</f>
        <v>0</v>
      </c>
      <c r="Y108" s="57">
        <f>IF(Y$14=1,'Inputs (2)'!Y87,T108*(1+Inputs!Y$286))</f>
        <v>0</v>
      </c>
      <c r="Z108" s="57">
        <f>IF(Z$14=1,'Inputs (2)'!Z87,U108*(1+Inputs!Z$286))</f>
        <v>0</v>
      </c>
      <c r="AA108" s="57">
        <f>IF(AA$14=1,'Inputs (2)'!AA87,V108*(1+Inputs!AA$286))</f>
        <v>0</v>
      </c>
      <c r="AB108" s="57">
        <f>IF(AB$14=1,'Inputs (2)'!AB87,W108*(1+Inputs!AB$286))</f>
        <v>0</v>
      </c>
      <c r="AC108" s="77">
        <f>SUM(Y108:AB108)</f>
        <v>0</v>
      </c>
      <c r="AD108" s="57">
        <f>IF(AD$14=1,'Inputs (2)'!AD87,Y108*(1+Inputs!AD$286))</f>
        <v>0</v>
      </c>
      <c r="AE108" s="57">
        <f>IF(AE$14=1,'Inputs (2)'!AE87,Z108*(1+Inputs!AE$286))</f>
        <v>0</v>
      </c>
      <c r="AF108" s="57">
        <f>IF(AF$14=1,'Inputs (2)'!AF87,AA108*(1+Inputs!AF$286))</f>
        <v>0</v>
      </c>
      <c r="AG108" s="57">
        <f>IF(AG$14=1,'Inputs (2)'!AG87,AB108*(1+Inputs!AG$286))</f>
        <v>0</v>
      </c>
      <c r="AH108" s="77">
        <f>SUM(AD108:AG108)</f>
        <v>0</v>
      </c>
      <c r="AI108" s="57">
        <f>IF(AI$14=1,'Inputs (2)'!AI87,AD108*(1+Inputs!AI$286))</f>
        <v>0</v>
      </c>
      <c r="AJ108" s="57">
        <f>IF(AJ$14=1,'Inputs (2)'!AJ87,AE108*(1+Inputs!AJ$286))</f>
        <v>0</v>
      </c>
      <c r="AK108" s="57">
        <f>IF(AK$14=1,'Inputs (2)'!AK87,AF108*(1+Inputs!AK$286))</f>
        <v>0</v>
      </c>
      <c r="AL108" s="57">
        <f>IF(AL$14=1,'Inputs (2)'!AL87,AG108*(1+Inputs!AL$286))</f>
        <v>0</v>
      </c>
      <c r="AM108" s="77">
        <f>SUM(AI108:AL108)</f>
        <v>0</v>
      </c>
      <c r="AN108" s="57">
        <f>IF(AN$14=1,'Inputs (2)'!AN87,AI108*(1+Inputs!AN$286))</f>
        <v>0</v>
      </c>
      <c r="AO108" s="57">
        <f>IF(AO$14=1,'Inputs (2)'!AO87,AJ108*(1+Inputs!AO$286))</f>
        <v>0</v>
      </c>
      <c r="AP108" s="57">
        <f>IF(AP$14=1,'Inputs (2)'!AP87,AK108*(1+Inputs!AP$286))</f>
        <v>0</v>
      </c>
      <c r="AQ108" s="57">
        <f>IF(AQ$14=1,'Inputs (2)'!AQ87,AL108*(1+Inputs!AQ$286))</f>
        <v>0</v>
      </c>
      <c r="AR108" s="77">
        <f>SUM(AN108:AQ108)</f>
        <v>0</v>
      </c>
      <c r="AS108" s="57">
        <f>IF(AS$14=1,'Inputs (2)'!AS87,AN108*(1+Inputs!AS$286))</f>
        <v>0</v>
      </c>
      <c r="AT108" s="57">
        <f>IF(AT$14=1,'Inputs (2)'!AT87,AO108*(1+Inputs!AT$286))</f>
        <v>0</v>
      </c>
      <c r="AU108" s="57">
        <f>IF(AU$14=1,'Inputs (2)'!AU87,AP108*(1+Inputs!AU$286))</f>
        <v>0</v>
      </c>
      <c r="AV108" s="57">
        <f>IF(AV$14=1,'Inputs (2)'!AV87,AQ108*(1+Inputs!AV$286))</f>
        <v>0</v>
      </c>
      <c r="AW108" s="77">
        <f>SUM(AS108:AV108)</f>
        <v>0</v>
      </c>
      <c r="AX108" s="57">
        <f>IF(AX$14=1,'Inputs (2)'!AX87,AS108*(1+Inputs!AX$286))</f>
        <v>0</v>
      </c>
      <c r="AY108" s="57">
        <f>IF(AY$14=1,'Inputs (2)'!AY87,AT108*(1+Inputs!AY$286))</f>
        <v>0</v>
      </c>
      <c r="AZ108" s="57">
        <f>IF(AZ$14=1,'Inputs (2)'!AZ87,AU108*(1+Inputs!AZ$286))</f>
        <v>0</v>
      </c>
      <c r="BA108" s="57">
        <f>IF(BA$14=1,'Inputs (2)'!BA87,AV108*(1+Inputs!BA$286))</f>
        <v>0</v>
      </c>
      <c r="BB108" s="77">
        <f>SUM(AX108:BA108)</f>
        <v>0</v>
      </c>
      <c r="BC108" s="57">
        <f>IF(BC$14=1,'Inputs (2)'!BC87,AX108*(1+Inputs!BC$286))</f>
        <v>0</v>
      </c>
      <c r="BD108" s="57">
        <f>IF(BD$14=1,'Inputs (2)'!BD87,AY108*(1+Inputs!BD$286))</f>
        <v>0</v>
      </c>
      <c r="BE108" s="57">
        <f>IF(BE$14=1,'Inputs (2)'!BE87,AZ108*(1+Inputs!BE$286))</f>
        <v>0</v>
      </c>
      <c r="BF108" s="57">
        <f>IF(BF$14=1,'Inputs (2)'!BF87,BA108*(1+Inputs!BF$286))</f>
        <v>0</v>
      </c>
      <c r="BG108" s="77">
        <f>SUM(BC108:BF108)</f>
        <v>0</v>
      </c>
    </row>
    <row r="109" hidden="1" outlineLevel="1">
      <c r="C109" s="61" t="inlineStr">
        <is>
          <t>(Despesas de Pessoal)</t>
        </is>
      </c>
      <c r="D109" s="62" t="inlineStr">
        <is>
          <t>(Personnel Expenses)</t>
        </is>
      </c>
      <c r="E109" s="57">
        <f>'Inputs (2)'!E88</f>
        <v>-720.355302</v>
      </c>
      <c r="F109" s="57">
        <f>'Inputs (2)'!F88</f>
        <v>-635.703927</v>
      </c>
      <c r="G109" s="57">
        <f>'Inputs (2)'!G88</f>
        <v>-652.28305</v>
      </c>
      <c r="H109" s="57">
        <f>'Inputs (2)'!H88</f>
        <v>-546.473292</v>
      </c>
      <c r="I109" s="77">
        <f>SUM(E109:H109)</f>
        <v>-2554.815571</v>
      </c>
      <c r="J109" s="57">
        <f>IF(J$14=1,'Inputs (2)'!J88,E109*(1+Inputs!J$287))</f>
        <v>-1256.734101</v>
      </c>
      <c r="K109" s="57">
        <f>IF(K$14=1,'Inputs (2)'!K88,F109*(1+Inputs!K$287))</f>
        <v>-1276.450495</v>
      </c>
      <c r="L109" s="57">
        <f>IF(L$14=1,'Inputs (2)'!L88,G109*(1+Inputs!L$287))</f>
        <v>-1135.747431</v>
      </c>
      <c r="M109" s="57">
        <f>IF(M$14=1,'Inputs (2)'!M88,H109*(1+Inputs!M$287))</f>
        <v>-880.75662</v>
      </c>
      <c r="N109" s="77">
        <f>SUM(J109:M109)</f>
        <v>-4549.688647</v>
      </c>
      <c r="O109" s="57">
        <f>IF(O$14=1,'Inputs (2)'!O88,J109*(1+Inputs!O$287))</f>
        <v>-1082.563152</v>
      </c>
      <c r="P109" s="57">
        <f>IF(P$14=1,'Inputs (2)'!P88,K109*(1+Inputs!P$287))</f>
        <v>-1106.694833</v>
      </c>
      <c r="Q109" s="57">
        <f>IF(Q$14=1,'Inputs (2)'!Q88,L109*(1+Inputs!Q$287))</f>
        <v>-1169.802078</v>
      </c>
      <c r="R109" s="57">
        <f>IF(R$14=1,'Inputs (2)'!R88,M109*(1+Inputs!R$287))</f>
        <v>-1044.339098</v>
      </c>
      <c r="S109" s="77">
        <f>SUM(O109:R109)</f>
        <v>-4403.399161</v>
      </c>
      <c r="T109" s="57">
        <f>IF(T$14=1,'Inputs (2)'!T88,O109*(1+Inputs!T$287))</f>
        <v>-1171.138576</v>
      </c>
      <c r="U109" s="57">
        <f>IF(U$14=1,'Inputs (2)'!U88,P109*(1+Inputs!U$287))</f>
        <v>-1333.516544</v>
      </c>
      <c r="V109" s="57">
        <f>IF(V$14=1,'Inputs (2)'!V88,Q109*(1+Inputs!V$287))</f>
        <v>-1406.325073</v>
      </c>
      <c r="W109" s="57">
        <f>IF(W$14=1,'Inputs (2)'!W88,R109*(1+Inputs!W$287))</f>
        <v>-1207.638057</v>
      </c>
      <c r="X109" s="77">
        <f>SUM(T109:W109)</f>
        <v>-5118.61825</v>
      </c>
      <c r="Y109" s="57">
        <f>IF(Y$14=1,'Inputs (2)'!Y88,T109*(1+Inputs!Y$287))</f>
        <v>-1447.814161</v>
      </c>
      <c r="Z109" s="57">
        <f>IF(Z$14=1,'Inputs (2)'!Z88,U109*(1+Inputs!Z$287))</f>
        <v>-1290.188312</v>
      </c>
      <c r="AA109" s="57">
        <f>IF(AA$14=1,'Inputs (2)'!AA88,V109*(1+Inputs!AA$287))</f>
        <v>-1426.283893</v>
      </c>
      <c r="AB109" s="57">
        <f>IF(AB$14=1,'Inputs (2)'!AB88,W109*(1+Inputs!AB$287))</f>
        <v>-1481.930059</v>
      </c>
      <c r="AC109" s="77">
        <f>SUM(Y109:AB109)</f>
        <v>-5646.216425</v>
      </c>
      <c r="AD109" s="57">
        <f>IF(AD$14=1,'Inputs (2)'!AD88,Y109*(1+Inputs!AD$287))</f>
        <v>-1399.246542</v>
      </c>
      <c r="AE109" s="57">
        <f>IF(AE$14=1,'Inputs (2)'!AE88,Z109*(1+Inputs!AE$287))</f>
        <v>-2848.08369</v>
      </c>
      <c r="AF109" s="57">
        <f>IF(AF$14=1,'Inputs (2)'!AF88,AA109*(1+Inputs!AF$287))</f>
        <v>-1656.553701</v>
      </c>
      <c r="AG109" s="57">
        <f>IF(AG$14=1,'Inputs (2)'!AG88,AB109*(1+Inputs!AG$287))</f>
        <v>-1718.801452</v>
      </c>
      <c r="AH109" s="77">
        <f>SUM(AD109:AG109)</f>
        <v>-7622.685385</v>
      </c>
      <c r="AI109" s="57">
        <f>IF(AI$14=1,'Inputs (2)'!AI88,AD109*(1+Inputs!AI$287))</f>
        <v>-3646.088282</v>
      </c>
      <c r="AJ109" s="57">
        <f>IF(AJ$14=1,'Inputs (2)'!AJ88,AE109*(1+Inputs!AJ$287))</f>
        <v>-1682.07427</v>
      </c>
      <c r="AK109" s="57">
        <f>IF(AK$14=1,'Inputs (2)'!AK88,AF109*(1+Inputs!AK$287))</f>
        <v>-1656.553701</v>
      </c>
      <c r="AL109" s="57">
        <f>IF(AL$14=1,'Inputs (2)'!AL88,AG109*(1+Inputs!AL$287))</f>
        <v>-1718.801452</v>
      </c>
      <c r="AM109" s="77">
        <f>SUM(AI109:AL109)</f>
        <v>-8703.517705</v>
      </c>
      <c r="AN109" s="57">
        <f>IF(AN$14=1,'Inputs (2)'!AN88,AI109*(1+Inputs!AN$287))</f>
        <v>-3646.088282</v>
      </c>
      <c r="AO109" s="57">
        <f>IF(AO$14=1,'Inputs (2)'!AO88,AJ109*(1+Inputs!AO$287))</f>
        <v>-1682.07427</v>
      </c>
      <c r="AP109" s="57">
        <f>IF(AP$14=1,'Inputs (2)'!AP88,AK109*(1+Inputs!AP$287))</f>
        <v>-1656.553701</v>
      </c>
      <c r="AQ109" s="57">
        <f>IF(AQ$14=1,'Inputs (2)'!AQ88,AL109*(1+Inputs!AQ$287))</f>
        <v>-1718.801452</v>
      </c>
      <c r="AR109" s="77">
        <f>SUM(AN109:AQ109)</f>
        <v>-8703.517705</v>
      </c>
      <c r="AS109" s="57">
        <f>IF(AS$14=1,'Inputs (2)'!AS88,AN109*(1+Inputs!AS$287))</f>
        <v>-3646.088282</v>
      </c>
      <c r="AT109" s="57">
        <f>IF(AT$14=1,'Inputs (2)'!AT88,AO109*(1+Inputs!AT$287))</f>
        <v>-1682.07427</v>
      </c>
      <c r="AU109" s="57">
        <f>IF(AU$14=1,'Inputs (2)'!AU88,AP109*(1+Inputs!AU$287))</f>
        <v>-1656.553701</v>
      </c>
      <c r="AV109" s="57">
        <f>IF(AV$14=1,'Inputs (2)'!AV88,AQ109*(1+Inputs!AV$287))</f>
        <v>-1718.801452</v>
      </c>
      <c r="AW109" s="77">
        <f>SUM(AS109:AV109)</f>
        <v>-8703.517705</v>
      </c>
      <c r="AX109" s="57">
        <f>IF(AX$14=1,'Inputs (2)'!AX88,AS109*(1+Inputs!AX$287))</f>
        <v>-3646.088282</v>
      </c>
      <c r="AY109" s="57">
        <f>IF(AY$14=1,'Inputs (2)'!AY88,AT109*(1+Inputs!AY$287))</f>
        <v>-1682.07427</v>
      </c>
      <c r="AZ109" s="57">
        <f>IF(AZ$14=1,'Inputs (2)'!AZ88,AU109*(1+Inputs!AZ$287))</f>
        <v>-1656.553701</v>
      </c>
      <c r="BA109" s="57">
        <f>IF(BA$14=1,'Inputs (2)'!BA88,AV109*(1+Inputs!BA$287))</f>
        <v>-1718.801452</v>
      </c>
      <c r="BB109" s="77">
        <f>SUM(AX109:BA109)</f>
        <v>-8703.517705</v>
      </c>
      <c r="BC109" s="57">
        <f>IF(BC$14=1,'Inputs (2)'!BC88,AX109*(1+Inputs!BC$287))</f>
        <v>-3646.088282</v>
      </c>
      <c r="BD109" s="57">
        <f>IF(BD$14=1,'Inputs (2)'!BD88,AY109*(1+Inputs!BD$287))</f>
        <v>-1682.07427</v>
      </c>
      <c r="BE109" s="57">
        <f>IF(BE$14=1,'Inputs (2)'!BE88,AZ109*(1+Inputs!BE$287))</f>
        <v>-1656.553701</v>
      </c>
      <c r="BF109" s="57">
        <f>IF(BF$14=1,'Inputs (2)'!BF88,BA109*(1+Inputs!BF$287))</f>
        <v>-1718.801452</v>
      </c>
      <c r="BG109" s="77">
        <f>SUM(BC109:BF109)</f>
        <v>-8703.517705</v>
      </c>
    </row>
    <row r="110" hidden="1" outlineLevel="1">
      <c r="C110" s="61" t="inlineStr">
        <is>
          <t>(Outras Despesas Administrativas)</t>
        </is>
      </c>
      <c r="D110" s="62" t="inlineStr">
        <is>
          <t>(Other Admin Expenses)</t>
        </is>
      </c>
      <c r="E110" s="57">
        <f>'Inputs (2)'!E89</f>
        <v>-400.569445</v>
      </c>
      <c r="F110" s="57">
        <f>'Inputs (2)'!F89</f>
        <v>-473.289323</v>
      </c>
      <c r="G110" s="57">
        <f>'Inputs (2)'!G89</f>
        <v>-422.666107</v>
      </c>
      <c r="H110" s="57">
        <f>'Inputs (2)'!H89</f>
        <v>-570.626724</v>
      </c>
      <c r="I110" s="77">
        <f>SUM(E110:H110)</f>
        <v>-1867.151599</v>
      </c>
      <c r="J110" s="57">
        <f>IF(J$14=1,'Inputs (2)'!J89,E110*(1+Inputs!J$288))</f>
        <v>-507.502903</v>
      </c>
      <c r="K110" s="57">
        <f>IF(K$14=1,'Inputs (2)'!K89,F110*(1+Inputs!K$288))</f>
        <v>-2648.293997</v>
      </c>
      <c r="L110" s="57">
        <f>IF(L$14=1,'Inputs (2)'!L89,G110*(1+Inputs!L$288))</f>
        <v>-1833.336728</v>
      </c>
      <c r="M110" s="57">
        <f>IF(M$14=1,'Inputs (2)'!M89,H110*(1+Inputs!M$288))</f>
        <v>-2035.107835</v>
      </c>
      <c r="N110" s="77">
        <f>SUM(J110:M110)</f>
        <v>-7024.241463</v>
      </c>
      <c r="O110" s="57">
        <f>IF(O$14=1,'Inputs (2)'!O89,J110*(1+Inputs!O$288))</f>
        <v>-2617.801421</v>
      </c>
      <c r="P110" s="57">
        <f>IF(P$14=1,'Inputs (2)'!P89,K110*(1+Inputs!P$288))</f>
        <v>-2389.603739</v>
      </c>
      <c r="Q110" s="57">
        <f>IF(Q$14=1,'Inputs (2)'!Q89,L110*(1+Inputs!Q$288))</f>
        <v>-2271.979576</v>
      </c>
      <c r="R110" s="57">
        <f>IF(R$14=1,'Inputs (2)'!R89,M110*(1+Inputs!R$288))</f>
        <v>-2370.212438</v>
      </c>
      <c r="S110" s="77">
        <f>SUM(O110:R110)</f>
        <v>-9649.597174</v>
      </c>
      <c r="T110" s="57">
        <f>IF(T$14=1,'Inputs (2)'!T89,O110*(1+Inputs!T$288))</f>
        <v>-2384.91654</v>
      </c>
      <c r="U110" s="57">
        <f>IF(U$14=1,'Inputs (2)'!U89,P110*(1+Inputs!U$288))</f>
        <v>-2202.841625</v>
      </c>
      <c r="V110" s="57">
        <f>IF(V$14=1,'Inputs (2)'!V89,Q110*(1+Inputs!V$288))</f>
        <v>-2285.476792</v>
      </c>
      <c r="W110" s="57">
        <f>IF(W$14=1,'Inputs (2)'!W89,R110*(1+Inputs!W$288))</f>
        <v>-2455.218378</v>
      </c>
      <c r="X110" s="77">
        <f>SUM(T110:W110)</f>
        <v>-9328.453335</v>
      </c>
      <c r="Y110" s="57">
        <f>IF(Y$14=1,'Inputs (2)'!Y89,T110*(1+Inputs!Y$288))</f>
        <v>-2681.519639</v>
      </c>
      <c r="Z110" s="57">
        <f>IF(Z$14=1,'Inputs (2)'!Z89,U110*(1+Inputs!Z$288))</f>
        <v>-2719.31968</v>
      </c>
      <c r="AA110" s="57">
        <f>IF(AA$14=1,'Inputs (2)'!AA89,V110*(1+Inputs!AA$288))</f>
        <v>-2722.877244</v>
      </c>
      <c r="AB110" s="57">
        <f>IF(AB$14=1,'Inputs (2)'!AB89,W110*(1+Inputs!AB$288))</f>
        <v>-2968.927482</v>
      </c>
      <c r="AC110" s="77">
        <f>SUM(Y110:AB110)</f>
        <v>-11092.644045</v>
      </c>
      <c r="AD110" s="57">
        <f>IF(AD$14=1,'Inputs (2)'!AD89,Y110*(1+Inputs!AD$288))</f>
        <v>-2260.824475</v>
      </c>
      <c r="AE110" s="57">
        <f>IF(AE$14=1,'Inputs (2)'!AE89,Z110*(1+Inputs!AE$288))</f>
        <v>-3093.952506</v>
      </c>
      <c r="AF110" s="57">
        <f>IF(AF$14=1,'Inputs (2)'!AF89,AA110*(1+Inputs!AF$288))</f>
        <v>-2510.292596</v>
      </c>
      <c r="AG110" s="57">
        <f>IF(AG$14=1,'Inputs (2)'!AG89,AB110*(1+Inputs!AG$288))</f>
        <v>-2653.758162</v>
      </c>
      <c r="AH110" s="77">
        <f>SUM(AD110:AG110)</f>
        <v>-10518.827739</v>
      </c>
      <c r="AI110" s="57">
        <f>IF(AI$14=1,'Inputs (2)'!AI89,AD110*(1+Inputs!AI$288))</f>
        <v>-2776.18402</v>
      </c>
      <c r="AJ110" s="57">
        <f>IF(AJ$14=1,'Inputs (2)'!AJ89,AE110*(1+Inputs!AJ$288))</f>
        <v>-4188.383168</v>
      </c>
      <c r="AK110" s="57">
        <f>IF(AK$14=1,'Inputs (2)'!AK89,AF110*(1+Inputs!AK$288))</f>
        <v>-2510.292596</v>
      </c>
      <c r="AL110" s="57">
        <f>IF(AL$14=1,'Inputs (2)'!AL89,AG110*(1+Inputs!AL$288))</f>
        <v>-2653.758162</v>
      </c>
      <c r="AM110" s="77">
        <f>SUM(AI110:AL110)</f>
        <v>-12128.617946</v>
      </c>
      <c r="AN110" s="57">
        <f>IF(AN$14=1,'Inputs (2)'!AN89,AI110*(1+Inputs!AN$288))</f>
        <v>-2776.18402</v>
      </c>
      <c r="AO110" s="57">
        <f>IF(AO$14=1,'Inputs (2)'!AO89,AJ110*(1+Inputs!AO$288))</f>
        <v>-4188.383168</v>
      </c>
      <c r="AP110" s="57">
        <f>IF(AP$14=1,'Inputs (2)'!AP89,AK110*(1+Inputs!AP$288))</f>
        <v>-2510.292596</v>
      </c>
      <c r="AQ110" s="57">
        <f>IF(AQ$14=1,'Inputs (2)'!AQ89,AL110*(1+Inputs!AQ$288))</f>
        <v>-2653.758162</v>
      </c>
      <c r="AR110" s="77">
        <f>SUM(AN110:AQ110)</f>
        <v>-12128.617946</v>
      </c>
      <c r="AS110" s="57">
        <f>IF(AS$14=1,'Inputs (2)'!AS89,AN110*(1+Inputs!AS$288))</f>
        <v>-2776.18402</v>
      </c>
      <c r="AT110" s="57">
        <f>IF(AT$14=1,'Inputs (2)'!AT89,AO110*(1+Inputs!AT$288))</f>
        <v>-4188.383168</v>
      </c>
      <c r="AU110" s="57">
        <f>IF(AU$14=1,'Inputs (2)'!AU89,AP110*(1+Inputs!AU$288))</f>
        <v>-2510.292596</v>
      </c>
      <c r="AV110" s="57">
        <f>IF(AV$14=1,'Inputs (2)'!AV89,AQ110*(1+Inputs!AV$288))</f>
        <v>-2653.758162</v>
      </c>
      <c r="AW110" s="77">
        <f>SUM(AS110:AV110)</f>
        <v>-12128.617946</v>
      </c>
      <c r="AX110" s="57">
        <f>IF(AX$14=1,'Inputs (2)'!AX89,AS110*(1+Inputs!AX$288))</f>
        <v>-2776.18402</v>
      </c>
      <c r="AY110" s="57">
        <f>IF(AY$14=1,'Inputs (2)'!AY89,AT110*(1+Inputs!AY$288))</f>
        <v>-4188.383168</v>
      </c>
      <c r="AZ110" s="57">
        <f>IF(AZ$14=1,'Inputs (2)'!AZ89,AU110*(1+Inputs!AZ$288))</f>
        <v>-2510.292596</v>
      </c>
      <c r="BA110" s="57">
        <f>IF(BA$14=1,'Inputs (2)'!BA89,AV110*(1+Inputs!BA$288))</f>
        <v>-2653.758162</v>
      </c>
      <c r="BB110" s="77">
        <f>SUM(AX110:BA110)</f>
        <v>-12128.617946</v>
      </c>
      <c r="BC110" s="57">
        <f>IF(BC$14=1,'Inputs (2)'!BC89,AX110*(1+Inputs!BC$288))</f>
        <v>-2776.18402</v>
      </c>
      <c r="BD110" s="57">
        <f>IF(BD$14=1,'Inputs (2)'!BD89,AY110*(1+Inputs!BD$288))</f>
        <v>-4188.383168</v>
      </c>
      <c r="BE110" s="57">
        <f>IF(BE$14=1,'Inputs (2)'!BE89,AZ110*(1+Inputs!BE$288))</f>
        <v>-2510.292596</v>
      </c>
      <c r="BF110" s="57">
        <f>IF(BF$14=1,'Inputs (2)'!BF89,BA110*(1+Inputs!BF$288))</f>
        <v>-2653.758162</v>
      </c>
      <c r="BG110" s="77">
        <f>SUM(BC110:BF110)</f>
        <v>-12128.617946</v>
      </c>
    </row>
    <row r="111" hidden="1" outlineLevel="1">
      <c r="C111" s="63" t="inlineStr">
        <is>
          <t>(Despesas de Demais Provisões)</t>
        </is>
      </c>
      <c r="D111" s="64" t="inlineStr">
        <is>
          <t>(Other Provision Expenses)</t>
        </is>
      </c>
      <c r="E111" s="86">
        <f>IF(E$14=1,E112+E113+E114,-E140*Inputs!E$289)</f>
        <v>0</v>
      </c>
      <c r="F111" s="86">
        <f>IF(F$14=1,F112+F113+F114,-F140*Inputs!F$289)</f>
        <v>0</v>
      </c>
      <c r="G111" s="86">
        <f>IF(G$14=1,G112+G113+G114,-G140*Inputs!G$289)</f>
        <v>0</v>
      </c>
      <c r="H111" s="86">
        <f>IF(H$14=1,H112+H113+H114,-H140*Inputs!H$289)</f>
        <v>0</v>
      </c>
      <c r="I111" s="60">
        <f>SUM(E111:H111)</f>
        <v>0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>SUM(J111:M111)</f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>SUM(O111:R111)</f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>SUM(T111:W111)</f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>SUM(Y111:AB111)</f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>SUM(AD111:AG111)</f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>SUM(AI111:AL111)</f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>SUM(AN111:AQ111)</f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>SUM(AS111:AV111)</f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>SUM(AX111:BA111)</f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>SUM(BC111:BF111)</f>
        <v>0</v>
      </c>
      <c r="BI111" s="14" t="inlineStr">
        <is>
          <t>No realizado soma cível + trabalhista + fiscal. Na projeção usa o driver de % da receita operacional, sem abrir por natureza.</t>
        </is>
      </c>
    </row>
    <row r="112" hidden="1" outlineLevel="2">
      <c r="C112" s="65" t="inlineStr">
        <is>
          <t>(Provisões Cíveis)</t>
        </is>
      </c>
      <c r="D112" s="66" t="inlineStr">
        <is>
          <t>(Civil Provisions)</t>
        </is>
      </c>
      <c r="E112" s="57">
        <f>IF(E$14=1,'Inputs (2)'!E91,0)</f>
        <v>0</v>
      </c>
      <c r="F112" s="57">
        <f>IF(F$14=1,'Inputs (2)'!F91,0)</f>
        <v>0</v>
      </c>
      <c r="G112" s="57">
        <f>IF(G$14=1,'Inputs (2)'!G91,0)</f>
        <v>0</v>
      </c>
      <c r="H112" s="57">
        <f>IF(H$14=1,'Inputs (2)'!H91,0)</f>
        <v>0</v>
      </c>
      <c r="I112" s="77">
        <f>SUM(E112:H112)</f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>SUM(J112:M112)</f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>SUM(O112:R112)</f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>SUM(T112:W112)</f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>SUM(Y112:AB112)</f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>SUM(AD112:AG112)</f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>SUM(AI112:AL112)</f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>SUM(AN112:AQ112)</f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>SUM(AS112:AV112)</f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>SUM(AX112:BA112)</f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>SUM(BC112:BF112)</f>
        <v>0</v>
      </c>
    </row>
    <row r="113" hidden="1" outlineLevel="2">
      <c r="C113" s="65" t="inlineStr">
        <is>
          <t>(Provisões Trabalhistas)</t>
        </is>
      </c>
      <c r="D113" s="66" t="inlineStr">
        <is>
          <t>(Labor Provisions)</t>
        </is>
      </c>
      <c r="E113" s="57">
        <f>IF(E$14=1,'Inputs (2)'!E92,0)</f>
        <v>0</v>
      </c>
      <c r="F113" s="57">
        <f>IF(F$14=1,'Inputs (2)'!F92,0)</f>
        <v>0</v>
      </c>
      <c r="G113" s="57">
        <f>IF(G$14=1,'Inputs (2)'!G92,0)</f>
        <v>0</v>
      </c>
      <c r="H113" s="57">
        <f>IF(H$14=1,'Inputs (2)'!H92,0)</f>
        <v>0</v>
      </c>
      <c r="I113" s="77">
        <f>SUM(E113:H113)</f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>SUM(J113:M113)</f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>SUM(O113:R113)</f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>SUM(T113:W113)</f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>SUM(Y113:AB113)</f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>SUM(AD113:AG113)</f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>SUM(AI113:AL113)</f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>SUM(AN113:AQ113)</f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>SUM(AS113:AV113)</f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>SUM(AX113:BA113)</f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>SUM(BC113:BF113)</f>
        <v>0</v>
      </c>
    </row>
    <row r="114" hidden="1" outlineLevel="2">
      <c r="C114" s="65" t="inlineStr">
        <is>
          <t>(Provisões Fiscais e Previdenciárias)</t>
        </is>
      </c>
      <c r="D114" s="66" t="inlineStr">
        <is>
          <t>(Tax and Social Security Provisions)</t>
        </is>
      </c>
      <c r="E114" s="57">
        <f>IF(E$14=1,'Inputs (2)'!E93,0)</f>
        <v>0</v>
      </c>
      <c r="F114" s="57">
        <f>IF(F$14=1,'Inputs (2)'!F93,0)</f>
        <v>0</v>
      </c>
      <c r="G114" s="57">
        <f>IF(G$14=1,'Inputs (2)'!G93,0)</f>
        <v>0</v>
      </c>
      <c r="H114" s="57">
        <f>IF(H$14=1,'Inputs (2)'!H93,0)</f>
        <v>0</v>
      </c>
      <c r="I114" s="77">
        <f>SUM(E114:H114)</f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>SUM(J114:M114)</f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>SUM(O114:R114)</f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>SUM(T114:W114)</f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>SUM(Y114:AB114)</f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>SUM(AD114:AG114)</f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>SUM(AI114:AL114)</f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>SUM(AN114:AQ114)</f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>SUM(AS114:AV114)</f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>SUM(AX114:BA114)</f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>SUM(BC114:BF114)</f>
        <v>0</v>
      </c>
    </row>
    <row r="115" hidden="1" outlineLevel="1">
      <c r="C115" s="61" t="inlineStr">
        <is>
          <t>(Despesas Tributárias)</t>
        </is>
      </c>
      <c r="D115" s="62" t="inlineStr">
        <is>
          <t>(Tax Expenses)</t>
        </is>
      </c>
      <c r="E115" s="57">
        <f>IF(E$14=1,'Inputs (2)'!E94,-E140*Inputs!E$290)</f>
        <v>-184.377976</v>
      </c>
      <c r="F115" s="57">
        <f>IF(F$14=1,'Inputs (2)'!F94,-F140*Inputs!F$290)</f>
        <v>-129.769024</v>
      </c>
      <c r="G115" s="57">
        <f>IF(G$14=1,'Inputs (2)'!G94,-G140*Inputs!G$290)</f>
        <v>-129.939053</v>
      </c>
      <c r="H115" s="57">
        <f>IF(H$14=1,'Inputs (2)'!H94,-H140*Inputs!H$290)</f>
        <v>-139.724926</v>
      </c>
      <c r="I115" s="77">
        <f>SUM(E115:H115)</f>
        <v>-583.810979</v>
      </c>
      <c r="J115" s="57">
        <f>IF(J$14=1,'Inputs (2)'!J94,-J140*Inputs!J$290)</f>
        <v>-118.620039</v>
      </c>
      <c r="K115" s="57">
        <f>IF(K$14=1,'Inputs (2)'!K94,-K140*Inputs!K$290)</f>
        <v>-259.522911</v>
      </c>
      <c r="L115" s="57">
        <f>IF(L$14=1,'Inputs (2)'!L94,-L140*Inputs!L$290)</f>
        <v>-240.182617</v>
      </c>
      <c r="M115" s="57">
        <f>IF(M$14=1,'Inputs (2)'!M94,-M140*Inputs!M$290)</f>
        <v>-275.710644</v>
      </c>
      <c r="N115" s="77">
        <f>SUM(J115:M115)</f>
        <v>-894.036211</v>
      </c>
      <c r="O115" s="57">
        <f>IF(O$14=1,'Inputs (2)'!O94,-O140*Inputs!O$290)</f>
        <v>-200.000494</v>
      </c>
      <c r="P115" s="57">
        <f>IF(P$14=1,'Inputs (2)'!P94,-P140*Inputs!P$290)</f>
        <v>-282.869648</v>
      </c>
      <c r="Q115" s="57">
        <f>IF(Q$14=1,'Inputs (2)'!Q94,-Q140*Inputs!Q$290)</f>
        <v>-334.50331</v>
      </c>
      <c r="R115" s="57">
        <f>IF(R$14=1,'Inputs (2)'!R94,-R140*Inputs!R$290)</f>
        <v>-343.121731</v>
      </c>
      <c r="S115" s="77">
        <f>SUM(O115:R115)</f>
        <v>-1160.495183</v>
      </c>
      <c r="T115" s="57">
        <f>IF(T$14=1,'Inputs (2)'!T94,-T140*Inputs!T$290)</f>
        <v>-289.620359</v>
      </c>
      <c r="U115" s="57">
        <f>IF(U$14=1,'Inputs (2)'!U94,-U140*Inputs!U$290)</f>
        <v>-295.62012</v>
      </c>
      <c r="V115" s="57">
        <f>IF(V$14=1,'Inputs (2)'!V94,-V140*Inputs!V$290)</f>
        <v>-416.024731</v>
      </c>
      <c r="W115" s="57">
        <f>IF(W$14=1,'Inputs (2)'!W94,-W140*Inputs!W$290)</f>
        <v>-362.371502</v>
      </c>
      <c r="X115" s="77">
        <f>SUM(T115:W115)</f>
        <v>-1363.636712</v>
      </c>
      <c r="Y115" s="57">
        <f>IF(Y$14=1,'Inputs (2)'!Y94,-Y140*Inputs!Y$290)</f>
        <v>-427.009139</v>
      </c>
      <c r="Z115" s="57">
        <f>IF(Z$14=1,'Inputs (2)'!Z94,-Z140*Inputs!Z$290)</f>
        <v>-287.441345</v>
      </c>
      <c r="AA115" s="57">
        <f>IF(AA$14=1,'Inputs (2)'!AA94,-AA140*Inputs!AA$290)</f>
        <v>-406.550595</v>
      </c>
      <c r="AB115" s="57">
        <f>IF(AB$14=1,'Inputs (2)'!AB94,-AB140*Inputs!AB$290)</f>
        <v>-524.559686</v>
      </c>
      <c r="AC115" s="77">
        <f>SUM(Y115:AB115)</f>
        <v>-1645.560765</v>
      </c>
      <c r="AD115" s="57">
        <f>IF(AD$14=1,'Inputs (2)'!AD94,-AD140*Inputs!AD$290)</f>
        <v>-387.212524</v>
      </c>
      <c r="AE115" s="57">
        <f>IF(AE$14=1,'Inputs (2)'!AE94,-AE140*Inputs!AE$290)</f>
        <v>-466.420682</v>
      </c>
      <c r="AF115" s="57">
        <f>IF(AF$14=1,'Inputs (2)'!AF94,-AF140*Inputs!AF$290)</f>
        <v>-668.498183</v>
      </c>
      <c r="AG115" s="57">
        <f>IF(AG$14=1,'Inputs (2)'!AG94,-AG140*Inputs!AG$290)</f>
        <v>-447.616059</v>
      </c>
      <c r="AH115" s="77">
        <f>SUM(AD115:AG115)</f>
        <v>-1969.747448</v>
      </c>
      <c r="AI115" s="57">
        <f>IF(AI$14=1,'Inputs (2)'!AI94,-AI140*Inputs!AI$290)</f>
        <v>-548.617112</v>
      </c>
      <c r="AJ115" s="57">
        <f>IF(AJ$14=1,'Inputs (2)'!AJ94,-AJ140*Inputs!AJ$290)</f>
        <v>-518.951667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>SUM(AI115:AL115)</f>
        <v>-1067.568779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>SUM(AN115:AQ115)</f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>SUM(AS115:AV115)</f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>SUM(AX115:BA115)</f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>SUM(BC115:BF115)</f>
        <v>0</v>
      </c>
    </row>
    <row r="116" hidden="1" outlineLevel="1">
      <c r="C116" s="61" t="inlineStr">
        <is>
          <t>Resultado de Participações em Coligadas</t>
        </is>
      </c>
      <c r="D116" s="62" t="inlineStr">
        <is>
          <t>Equity in Earnings</t>
        </is>
      </c>
      <c r="E116" s="57">
        <f>IF(E$14=1,'Inputs (2)'!E95,Inputs!E$291)</f>
        <v>487.39456</v>
      </c>
      <c r="F116" s="57">
        <f>IF(F$14=1,'Inputs (2)'!F95,Inputs!F$291)</f>
        <v>895.102749</v>
      </c>
      <c r="G116" s="57">
        <f>IF(G$14=1,'Inputs (2)'!G95,Inputs!G$291)</f>
        <v>125.403722</v>
      </c>
      <c r="H116" s="57">
        <f>IF(H$14=1,'Inputs (2)'!H95,Inputs!H$291)</f>
        <v>428.847227</v>
      </c>
      <c r="I116" s="77">
        <f>SUM(E116:H116)</f>
        <v>1936.748258</v>
      </c>
      <c r="J116" s="57">
        <f>IF(J$14=1,'Inputs (2)'!J95,Inputs!J$291)</f>
        <v>457.095582</v>
      </c>
      <c r="K116" s="57">
        <f>IF(K$14=1,'Inputs (2)'!K95,Inputs!K$291)</f>
        <v>161.616827</v>
      </c>
      <c r="L116" s="57">
        <f>IF(L$14=1,'Inputs (2)'!L95,Inputs!L$291)</f>
        <v>179.143405</v>
      </c>
      <c r="M116" s="57">
        <f>IF(M$14=1,'Inputs (2)'!M95,Inputs!M$291)</f>
        <v>465.192328</v>
      </c>
      <c r="N116" s="77">
        <f>SUM(J116:M116)</f>
        <v>1263.048142</v>
      </c>
      <c r="O116" s="57">
        <f>IF(O$14=1,'Inputs (2)'!O95,Inputs!O$291)</f>
        <v>163.219082</v>
      </c>
      <c r="P116" s="57">
        <f>IF(P$14=1,'Inputs (2)'!P95,Inputs!P$291)</f>
        <v>206.880073</v>
      </c>
      <c r="Q116" s="57">
        <f>IF(Q$14=1,'Inputs (2)'!Q95,Inputs!Q$291)</f>
        <v>159.589254</v>
      </c>
      <c r="R116" s="57">
        <f>IF(R$14=1,'Inputs (2)'!R95,Inputs!R$291)</f>
        <v>719.694623</v>
      </c>
      <c r="S116" s="77">
        <f>SUM(O116:R116)</f>
        <v>1249.383032</v>
      </c>
      <c r="T116" s="57">
        <f>IF(T$14=1,'Inputs (2)'!T95,Inputs!T$291)</f>
        <v>636.4</v>
      </c>
      <c r="U116" s="57">
        <f>IF(U$14=1,'Inputs (2)'!U95,Inputs!U$291)</f>
        <v>877.915808</v>
      </c>
      <c r="V116" s="57">
        <f>IF(V$14=1,'Inputs (2)'!V95,Inputs!V$291)</f>
        <v>1353.423759</v>
      </c>
      <c r="W116" s="57">
        <f>IF(W$14=1,'Inputs (2)'!W95,Inputs!W$291)</f>
        <v>424.448136</v>
      </c>
      <c r="X116" s="77">
        <f>SUM(T116:W116)</f>
        <v>3292.187703</v>
      </c>
      <c r="Y116" s="57">
        <f>IF(Y$14=1,'Inputs (2)'!Y95,Inputs!Y$291)</f>
        <v>1130.428498</v>
      </c>
      <c r="Z116" s="57">
        <f>IF(Z$14=1,'Inputs (2)'!Z95,Inputs!Z$291)</f>
        <v>877.616836</v>
      </c>
      <c r="AA116" s="57">
        <f>IF(AA$14=1,'Inputs (2)'!AA95,Inputs!AA$291)</f>
        <v>1198.443845</v>
      </c>
      <c r="AB116" s="57">
        <f>IF(AB$14=1,'Inputs (2)'!AB95,Inputs!AB$291)</f>
        <v>912.547322</v>
      </c>
      <c r="AC116" s="77">
        <f>SUM(Y116:AB116)</f>
        <v>4119.036501</v>
      </c>
      <c r="AD116" s="57">
        <f>IF(AD$14=1,'Inputs (2)'!AD95,Inputs!AD$291)</f>
        <v>314.979071</v>
      </c>
      <c r="AE116" s="57">
        <f>IF(AE$14=1,'Inputs (2)'!AE95,Inputs!AE$291)</f>
        <v>755.322021</v>
      </c>
      <c r="AF116" s="57">
        <f>IF(AF$14=1,'Inputs (2)'!AF95,Inputs!AF$291)</f>
        <v>-65.913095</v>
      </c>
      <c r="AG116" s="57">
        <f>IF(AG$14=1,'Inputs (2)'!AG95,Inputs!AG$291)</f>
        <v>684.924733</v>
      </c>
      <c r="AH116" s="77">
        <f>SUM(AD116:AG116)</f>
        <v>1689.31273</v>
      </c>
      <c r="AI116" s="57">
        <f>IF(AI$14=1,'Inputs (2)'!AI95,Inputs!AI$291)</f>
        <v>866.586983</v>
      </c>
      <c r="AJ116" s="57">
        <f>IF(AJ$14=1,'Inputs (2)'!AJ95,Inputs!AJ$291)</f>
        <v>980.767307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>SUM(AI116:AL116)</f>
        <v>1847.35429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>SUM(AN116:AQ116)</f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>SUM(AS116:AV116)</f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>SUM(AX116:BA116)</f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>SUM(BC116:BF116)</f>
        <v>0</v>
      </c>
    </row>
    <row r="117" hidden="1" outlineLevel="1">
      <c r="C117" s="61" t="inlineStr">
        <is>
          <t>Outras Receitas Operacionais</t>
        </is>
      </c>
      <c r="D117" s="62" t="inlineStr">
        <is>
          <t>Other Operating Income</t>
        </is>
      </c>
      <c r="E117" s="57">
        <f>'Inputs (2)'!E96</f>
        <v>1069.945301</v>
      </c>
      <c r="F117" s="57">
        <f>IF(F$14=1,'Inputs (2)'!F96,E117)</f>
        <v>455.426165</v>
      </c>
      <c r="G117" s="57">
        <f>IF(G$14=1,'Inputs (2)'!G96,F117)</f>
        <v>1152.658393</v>
      </c>
      <c r="H117" s="57">
        <f>IF(H$14=1,'Inputs (2)'!H96,G117)</f>
        <v>42.9286140000002</v>
      </c>
      <c r="I117" s="77">
        <f>SUM(E117:H117)</f>
        <v>2720.958473</v>
      </c>
      <c r="J117" s="57">
        <f>IF(J$14=1,'Inputs (2)'!J96,H117)</f>
        <v>4270.790907</v>
      </c>
      <c r="K117" s="57">
        <f>IF(K$14=1,'Inputs (2)'!K96,J117)</f>
        <v>-1707.99735</v>
      </c>
      <c r="L117" s="57">
        <f>IF(L$14=1,'Inputs (2)'!L96,K117)</f>
        <v>980.436174</v>
      </c>
      <c r="M117" s="57">
        <f>IF(M$14=1,'Inputs (2)'!M96,L117)</f>
        <v>1868.153879</v>
      </c>
      <c r="N117" s="77">
        <f>SUM(J117:M117)</f>
        <v>5411.38361</v>
      </c>
      <c r="O117" s="57">
        <f>IF(O$14=1,'Inputs (2)'!O96,M117)</f>
        <v>11892.384856</v>
      </c>
      <c r="P117" s="57">
        <f>IF(P$14=1,'Inputs (2)'!P96,O117)</f>
        <v>14405.100331</v>
      </c>
      <c r="Q117" s="57">
        <f>IF(Q$14=1,'Inputs (2)'!Q96,P117)</f>
        <v>11872.503763</v>
      </c>
      <c r="R117" s="57">
        <f>IF(R$14=1,'Inputs (2)'!R96,Q117)</f>
        <v>10565.417825</v>
      </c>
      <c r="S117" s="77">
        <f>SUM(O117:R117)</f>
        <v>48735.406775</v>
      </c>
      <c r="T117" s="57">
        <f>IF(T$14=1,'Inputs (2)'!T96,R117)</f>
        <v>13492.459957</v>
      </c>
      <c r="U117" s="57">
        <f>IF(U$14=1,'Inputs (2)'!U96,T117)</f>
        <v>15292.883996</v>
      </c>
      <c r="V117" s="57">
        <f>IF(V$14=1,'Inputs (2)'!V96,U117)</f>
        <v>4396.26786</v>
      </c>
      <c r="W117" s="57">
        <f>IF(W$14=1,'Inputs (2)'!W96,V117)</f>
        <v>650.813148</v>
      </c>
      <c r="X117" s="77">
        <f>SUM(T117:W117)</f>
        <v>33832.424961</v>
      </c>
      <c r="Y117" s="57">
        <f>IF(Y$14=1,'Inputs (2)'!Y96,W117)</f>
        <v>2120.930516</v>
      </c>
      <c r="Z117" s="57">
        <f>IF(Z$14=1,'Inputs (2)'!Z96,Y117)</f>
        <v>3435.899887</v>
      </c>
      <c r="AA117" s="57">
        <f>IF(AA$14=1,'Inputs (2)'!AA96,Z117)</f>
        <v>2252.756652</v>
      </c>
      <c r="AB117" s="57">
        <f>IF(AB$14=1,'Inputs (2)'!AB96,AA117)</f>
        <v>3072.938374</v>
      </c>
      <c r="AC117" s="77">
        <f>SUM(Y117:AB117)</f>
        <v>10882.525429</v>
      </c>
      <c r="AD117" s="57">
        <f>IF(AD$14=1,'Inputs (2)'!AD96,AB117)</f>
        <v>5621.464203</v>
      </c>
      <c r="AE117" s="57">
        <f>IF(AE$14=1,'Inputs (2)'!AE96,AD117)</f>
        <v>6276.197236</v>
      </c>
      <c r="AF117" s="57">
        <f>IF(AF$14=1,'Inputs (2)'!AF96,AE117)</f>
        <v>4326.041114</v>
      </c>
      <c r="AG117" s="57">
        <f>IF(AG$14=1,'Inputs (2)'!AG96,AF117)</f>
        <v>4489.233089</v>
      </c>
      <c r="AH117" s="77">
        <f>SUM(AD117:AG117)</f>
        <v>20712.935642</v>
      </c>
      <c r="AI117" s="57">
        <f>IF(AI$14=1,'Inputs (2)'!AI96,AG117)</f>
        <v>7544.767116</v>
      </c>
      <c r="AJ117" s="57">
        <f>IF(AJ$14=1,'Inputs (2)'!AJ96,AI117)</f>
        <v>5573.554465</v>
      </c>
      <c r="AK117" s="57">
        <f>IF(AK$14=1,'Inputs (2)'!AK96,AJ117)</f>
        <v>5573.554465</v>
      </c>
      <c r="AL117" s="57">
        <f>IF(AL$14=1,'Inputs (2)'!AL96,AK117)</f>
        <v>5573.554465</v>
      </c>
      <c r="AM117" s="77">
        <f>SUM(AI117:AL117)</f>
        <v>24265.430511</v>
      </c>
      <c r="AN117" s="57">
        <f>IF(AN$14=1,'Inputs (2)'!AN96,AL117)</f>
        <v>5573.554465</v>
      </c>
      <c r="AO117" s="57">
        <f>IF(AO$14=1,'Inputs (2)'!AO96,AN117)</f>
        <v>5573.554465</v>
      </c>
      <c r="AP117" s="57">
        <f>IF(AP$14=1,'Inputs (2)'!AP96,AO117)</f>
        <v>5573.554465</v>
      </c>
      <c r="AQ117" s="57">
        <f>IF(AQ$14=1,'Inputs (2)'!AQ96,AP117)</f>
        <v>5573.554465</v>
      </c>
      <c r="AR117" s="77">
        <f>SUM(AN117:AQ117)</f>
        <v>22294.21786</v>
      </c>
      <c r="AS117" s="57">
        <f>IF(AS$14=1,'Inputs (2)'!AS96,AQ117)</f>
        <v>5573.554465</v>
      </c>
      <c r="AT117" s="57">
        <f>IF(AT$14=1,'Inputs (2)'!AT96,AS117)</f>
        <v>5573.554465</v>
      </c>
      <c r="AU117" s="57">
        <f>IF(AU$14=1,'Inputs (2)'!AU96,AT117)</f>
        <v>5573.554465</v>
      </c>
      <c r="AV117" s="57">
        <f>IF(AV$14=1,'Inputs (2)'!AV96,AU117)</f>
        <v>5573.554465</v>
      </c>
      <c r="AW117" s="77">
        <f>SUM(AS117:AV117)</f>
        <v>22294.21786</v>
      </c>
      <c r="AX117" s="57">
        <f>IF(AX$14=1,'Inputs (2)'!AX96,AV117)</f>
        <v>5573.554465</v>
      </c>
      <c r="AY117" s="57">
        <f>IF(AY$14=1,'Inputs (2)'!AY96,AX117)</f>
        <v>5573.554465</v>
      </c>
      <c r="AZ117" s="57">
        <f>IF(AZ$14=1,'Inputs (2)'!AZ96,AY117)</f>
        <v>5573.554465</v>
      </c>
      <c r="BA117" s="57">
        <f>IF(BA$14=1,'Inputs (2)'!BA96,AZ117)</f>
        <v>5573.554465</v>
      </c>
      <c r="BB117" s="77">
        <f>SUM(AX117:BA117)</f>
        <v>22294.21786</v>
      </c>
      <c r="BC117" s="57">
        <f>IF(BC$14=1,'Inputs (2)'!BC96,BA117)</f>
        <v>5573.554465</v>
      </c>
      <c r="BD117" s="57">
        <f>IF(BD$14=1,'Inputs (2)'!BD96,BC117)</f>
        <v>5573.554465</v>
      </c>
      <c r="BE117" s="57">
        <f>IF(BE$14=1,'Inputs (2)'!BE96,BD117)</f>
        <v>5573.554465</v>
      </c>
      <c r="BF117" s="57">
        <f>IF(BF$14=1,'Inputs (2)'!BF96,BE117)</f>
        <v>5573.554465</v>
      </c>
      <c r="BG117" s="77">
        <f>SUM(BC117:BF117)</f>
        <v>22294.21786</v>
      </c>
    </row>
    <row r="118" hidden="1" outlineLevel="1">
      <c r="C118" s="61" t="inlineStr">
        <is>
          <t>(Outras Despesas Operacionais)</t>
        </is>
      </c>
      <c r="D118" s="62" t="inlineStr">
        <is>
          <t>(Other Operating Expenses)</t>
        </is>
      </c>
      <c r="E118" s="57">
        <f>IF(E$14=1,'Inputs (2)'!E97,-E140*Inputs!E$292)</f>
        <v>-247.364549</v>
      </c>
      <c r="F118" s="57">
        <f>IF(F$14=1,'Inputs (2)'!F97,-F140*Inputs!F$292)</f>
        <v>23.33657</v>
      </c>
      <c r="G118" s="57">
        <f>IF(G$14=1,'Inputs (2)'!G97,-G140*Inputs!G$292)</f>
        <v>-1287.926464</v>
      </c>
      <c r="H118" s="57">
        <f>IF(H$14=1,'Inputs (2)'!H97,-H140*Inputs!H$292)</f>
        <v>94.3263829999999</v>
      </c>
      <c r="I118" s="77">
        <f>SUM(E118:H118)</f>
        <v>-1417.62806</v>
      </c>
      <c r="J118" s="57">
        <f>IF(J$14=1,'Inputs (2)'!J97,-J140*Inputs!J$292)</f>
        <v>-1024.278696</v>
      </c>
      <c r="K118" s="57">
        <f>IF(K$14=1,'Inputs (2)'!K97,-K140*Inputs!K$292)</f>
        <v>-973.874999</v>
      </c>
      <c r="L118" s="57">
        <f>IF(L$14=1,'Inputs (2)'!L97,-L140*Inputs!L$292)</f>
        <v>-648.522306</v>
      </c>
      <c r="M118" s="57">
        <f>IF(M$14=1,'Inputs (2)'!M97,-M140*Inputs!M$292)</f>
        <v>-723.229438</v>
      </c>
      <c r="N118" s="77">
        <f>SUM(J118:M118)</f>
        <v>-3369.905439</v>
      </c>
      <c r="O118" s="57">
        <f>IF(O$14=1,'Inputs (2)'!O97,-O140*Inputs!O$292)</f>
        <v>-9920.101748</v>
      </c>
      <c r="P118" s="57">
        <f>IF(P$14=1,'Inputs (2)'!P97,-P140*Inputs!P$292)</f>
        <v>-10852.310741</v>
      </c>
      <c r="Q118" s="57">
        <f>IF(Q$14=1,'Inputs (2)'!Q97,-Q140*Inputs!Q$292)</f>
        <v>-10448.334586</v>
      </c>
      <c r="R118" s="57">
        <f>IF(R$14=1,'Inputs (2)'!R97,-R140*Inputs!R$292)</f>
        <v>-7210.974957</v>
      </c>
      <c r="S118" s="77">
        <f>SUM(O118:R118)</f>
        <v>-38431.722032</v>
      </c>
      <c r="T118" s="57">
        <f>IF(T$14=1,'Inputs (2)'!T97,-T140*Inputs!T$292)</f>
        <v>-14470.660693</v>
      </c>
      <c r="U118" s="57">
        <f>IF(U$14=1,'Inputs (2)'!U97,-U140*Inputs!U$292)</f>
        <v>-15038.682036</v>
      </c>
      <c r="V118" s="57">
        <f>IF(V$14=1,'Inputs (2)'!V97,-V140*Inputs!V$292)</f>
        <v>-7443.148242</v>
      </c>
      <c r="W118" s="57">
        <f>IF(W$14=1,'Inputs (2)'!W97,-W140*Inputs!W$292)</f>
        <v>-2459.905611</v>
      </c>
      <c r="X118" s="77">
        <f>SUM(T118:W118)</f>
        <v>-39412.396582</v>
      </c>
      <c r="Y118" s="57">
        <f>IF(Y$14=1,'Inputs (2)'!Y97,-Y140*Inputs!Y$292)</f>
        <v>-1219.469408</v>
      </c>
      <c r="Z118" s="57">
        <f>IF(Z$14=1,'Inputs (2)'!Z97,-Z140*Inputs!Z$292)</f>
        <v>-2179.07177</v>
      </c>
      <c r="AA118" s="57">
        <f>IF(AA$14=1,'Inputs (2)'!AA97,-AA140*Inputs!AA$292)</f>
        <v>-2340.806314</v>
      </c>
      <c r="AB118" s="57">
        <f>IF(AB$14=1,'Inputs (2)'!AB97,-AB140*Inputs!AB$292)</f>
        <v>-4486.909692</v>
      </c>
      <c r="AC118" s="77">
        <f>SUM(Y118:AB118)</f>
        <v>-10226.257184</v>
      </c>
      <c r="AD118" s="57">
        <f>IF(AD$14=1,'Inputs (2)'!AD97,-AD140*Inputs!AD$292)</f>
        <v>-3304.097296</v>
      </c>
      <c r="AE118" s="57">
        <f>IF(AE$14=1,'Inputs (2)'!AE97,-AE140*Inputs!AE$292)</f>
        <v>-3496.100999</v>
      </c>
      <c r="AF118" s="57">
        <f>IF(AF$14=1,'Inputs (2)'!AF97,-AF140*Inputs!AF$292)</f>
        <v>-3734.781387</v>
      </c>
      <c r="AG118" s="57">
        <f>IF(AG$14=1,'Inputs (2)'!AG97,-AG140*Inputs!AG$292)</f>
        <v>-7240.803953</v>
      </c>
      <c r="AH118" s="77">
        <f>SUM(AD118:AG118)</f>
        <v>-17775.783635</v>
      </c>
      <c r="AI118" s="57">
        <f>IF(AI$14=1,'Inputs (2)'!AI97,-AI140*Inputs!AI$292)</f>
        <v>-7014.864563</v>
      </c>
      <c r="AJ118" s="57">
        <f>IF(AJ$14=1,'Inputs (2)'!AJ97,-AJ140*Inputs!AJ$292)</f>
        <v>-6534.5303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>SUM(AI118:AL118)</f>
        <v>-13549.394863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>SUM(AN118:AQ118)</f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>SUM(AS118:AV118)</f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>SUM(AX118:BA118)</f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>SUM(BC118:BF118)</f>
        <v>0</v>
      </c>
    </row>
    <row r="119" collapsed="1">
      <c r="C119" s="53" t="inlineStr">
        <is>
          <t>Resultado Operacional</t>
        </is>
      </c>
      <c r="D119" s="54" t="inlineStr">
        <is>
          <t>Operating Result</t>
        </is>
      </c>
      <c r="E119" s="59">
        <f>E105+E106</f>
        <v>337.617752</v>
      </c>
      <c r="F119" s="59">
        <f>F105+F106</f>
        <v>992.904518000001</v>
      </c>
      <c r="G119" s="59">
        <f>G105+G106</f>
        <v>1375.824849</v>
      </c>
      <c r="H119" s="59">
        <f>H105+H106</f>
        <v>2055.52889</v>
      </c>
      <c r="I119" s="60">
        <f>SUM(E119:H119)</f>
        <v>4761.876009</v>
      </c>
      <c r="J119" s="59">
        <f>J105+J106</f>
        <v>1513.963783</v>
      </c>
      <c r="K119" s="59">
        <f>K105+K106</f>
        <v>2357.118626</v>
      </c>
      <c r="L119" s="59">
        <f>L105+L106</f>
        <v>739.926225</v>
      </c>
      <c r="M119" s="59">
        <f>M105+M106</f>
        <v>2097.011145</v>
      </c>
      <c r="N119" s="60">
        <f>SUM(J119:M119)</f>
        <v>6708.019779</v>
      </c>
      <c r="O119" s="59">
        <f>O105+O106</f>
        <v>1692.364645</v>
      </c>
      <c r="P119" s="59">
        <f>P105+P106</f>
        <v>2482.782882</v>
      </c>
      <c r="Q119" s="59">
        <f>Q105+Q106</f>
        <v>2594.68055</v>
      </c>
      <c r="R119" s="59">
        <f>R105+R106</f>
        <v>1543.615554</v>
      </c>
      <c r="S119" s="60">
        <f>SUM(O119:R119)</f>
        <v>8313.443631</v>
      </c>
      <c r="T119" s="59">
        <f>T105+T106</f>
        <v>2576.162126</v>
      </c>
      <c r="U119" s="59">
        <f>U105+U106</f>
        <v>2739.34166700001</v>
      </c>
      <c r="V119" s="59">
        <f>V105+V106</f>
        <v>2980.8986</v>
      </c>
      <c r="W119" s="59">
        <f>W105+W106</f>
        <v>2815.048562</v>
      </c>
      <c r="X119" s="60">
        <f>SUM(T119:W119)</f>
        <v>11111.450955</v>
      </c>
      <c r="Y119" s="59">
        <f>Y105+Y106</f>
        <v>2911.926232</v>
      </c>
      <c r="Z119" s="59">
        <f>Z105+Z106</f>
        <v>3212.763585</v>
      </c>
      <c r="AA119" s="59">
        <f>AA105+AA106</f>
        <v>3185.682322</v>
      </c>
      <c r="AB119" s="59">
        <f>AB105+AB106</f>
        <v>2971.649827</v>
      </c>
      <c r="AC119" s="60">
        <f>SUM(Y119:AB119)</f>
        <v>12282.021966</v>
      </c>
      <c r="AD119" s="59">
        <f>AD105+AD106</f>
        <v>3843.208055</v>
      </c>
      <c r="AE119" s="59">
        <f>AE105+AE106</f>
        <v>4081.194715</v>
      </c>
      <c r="AF119" s="59">
        <f>AF105+AF106</f>
        <v>5320.23694</v>
      </c>
      <c r="AG119" s="59">
        <f>AG105+AG106</f>
        <v>3632.779571</v>
      </c>
      <c r="AH119" s="60">
        <f>SUM(AD119:AG119)</f>
        <v>16877.419281</v>
      </c>
      <c r="AI119" s="59">
        <f>AI105+AI106</f>
        <v>5315.523136</v>
      </c>
      <c r="AJ119" s="59">
        <f>AJ105+AJ106</f>
        <v>5817.77651</v>
      </c>
      <c r="AK119" s="59">
        <f>AK105+AK106</f>
        <v>3304.609993</v>
      </c>
      <c r="AL119" s="59">
        <f>AL105+AL106</f>
        <v>2900.736357</v>
      </c>
      <c r="AM119" s="60">
        <f>SUM(AI119:AL119)</f>
        <v>17338.645996</v>
      </c>
      <c r="AN119" s="59">
        <f>AN105+AN106</f>
        <v>1051.158844</v>
      </c>
      <c r="AO119" s="59">
        <f>AO105+AO106</f>
        <v>1634.974045</v>
      </c>
      <c r="AP119" s="59">
        <f>AP105+AP106</f>
        <v>3304.609993</v>
      </c>
      <c r="AQ119" s="59">
        <f>AQ105+AQ106</f>
        <v>2900.736357</v>
      </c>
      <c r="AR119" s="60">
        <f>SUM(AN119:AQ119)</f>
        <v>8891.479239</v>
      </c>
      <c r="AS119" s="59">
        <f>AS105+AS106</f>
        <v>1051.158844</v>
      </c>
      <c r="AT119" s="59">
        <f>AT105+AT106</f>
        <v>1634.974045</v>
      </c>
      <c r="AU119" s="59">
        <f>AU105+AU106</f>
        <v>3304.609993</v>
      </c>
      <c r="AV119" s="59">
        <f>AV105+AV106</f>
        <v>2900.736357</v>
      </c>
      <c r="AW119" s="60">
        <f>SUM(AS119:AV119)</f>
        <v>8891.479239</v>
      </c>
      <c r="AX119" s="59">
        <f>AX105+AX106</f>
        <v>1051.158844</v>
      </c>
      <c r="AY119" s="59">
        <f>AY105+AY106</f>
        <v>1634.974045</v>
      </c>
      <c r="AZ119" s="59">
        <f>AZ105+AZ106</f>
        <v>3304.609993</v>
      </c>
      <c r="BA119" s="59">
        <f>BA105+BA106</f>
        <v>2900.736357</v>
      </c>
      <c r="BB119" s="60">
        <f>SUM(AX119:BA119)</f>
        <v>8891.479239</v>
      </c>
      <c r="BC119" s="59">
        <f>BC105+BC106</f>
        <v>1051.158844</v>
      </c>
      <c r="BD119" s="59">
        <f>BD105+BD106</f>
        <v>1634.974045</v>
      </c>
      <c r="BE119" s="59">
        <f>BE105+BE106</f>
        <v>3304.609993</v>
      </c>
      <c r="BF119" s="59">
        <f>BF105+BF106</f>
        <v>2900.736357</v>
      </c>
      <c r="BG119" s="60">
        <f>SUM(BC119:BF119)</f>
        <v>8891.479239</v>
      </c>
    </row>
    <row r="120">
      <c r="C120" s="80" t="inlineStr">
        <is>
          <t>Resultado Não Operacional</t>
        </is>
      </c>
      <c r="D120" s="81" t="inlineStr">
        <is>
          <t>Non-Operating Result</t>
        </is>
      </c>
      <c r="E120" s="82">
        <f>IF(E$14=1,'Inputs (2)'!E99,Inputs!E$293)</f>
        <v>-87.503271</v>
      </c>
      <c r="F120" s="82">
        <f>IF(F$14=1,'Inputs (2)'!F99,Inputs!F$293)</f>
        <v>203.153774</v>
      </c>
      <c r="G120" s="82">
        <f>IF(G$14=1,'Inputs (2)'!G99,Inputs!G$293)</f>
        <v>-117.606725</v>
      </c>
      <c r="H120" s="82">
        <f>IF(H$14=1,'Inputs (2)'!H99,Inputs!H$293)</f>
        <v>48.448371</v>
      </c>
      <c r="I120" s="77">
        <f>SUM(E120:H120)</f>
        <v>46.492149</v>
      </c>
      <c r="J120" s="82">
        <f>IF(J$14=1,'Inputs (2)'!J99,Inputs!J$293)</f>
        <v>0.397585</v>
      </c>
      <c r="K120" s="82">
        <f>IF(K$14=1,'Inputs (2)'!K99,Inputs!K$293)</f>
        <v>89.403145</v>
      </c>
      <c r="L120" s="82">
        <f>IF(L$14=1,'Inputs (2)'!L99,Inputs!L$293)</f>
        <v>1411.552639</v>
      </c>
      <c r="M120" s="82">
        <f>IF(M$14=1,'Inputs (2)'!M99,Inputs!M$293)</f>
        <v>9.77762400000006</v>
      </c>
      <c r="N120" s="77">
        <f>SUM(J120:M120)</f>
        <v>1511.130993</v>
      </c>
      <c r="O120" s="82">
        <f>IF(O$14=1,'Inputs (2)'!O99,Inputs!O$293)</f>
        <v>929.987044</v>
      </c>
      <c r="P120" s="82">
        <f>IF(P$14=1,'Inputs (2)'!P99,Inputs!P$293)</f>
        <v>-1.46030399999995</v>
      </c>
      <c r="Q120" s="82">
        <f>IF(Q$14=1,'Inputs (2)'!Q99,Inputs!Q$293)</f>
        <v>37.771878</v>
      </c>
      <c r="R120" s="82">
        <f>IF(R$14=1,'Inputs (2)'!R99,Inputs!R$293)</f>
        <v>15.040256</v>
      </c>
      <c r="S120" s="77">
        <f>SUM(O120:R120)</f>
        <v>981.338874</v>
      </c>
      <c r="T120" s="82">
        <f>IF(T$14=1,'Inputs (2)'!T99,Inputs!T$293)</f>
        <v>11.966439</v>
      </c>
      <c r="U120" s="82">
        <f>IF(U$14=1,'Inputs (2)'!U99,Inputs!U$293)</f>
        <v>51.252892</v>
      </c>
      <c r="V120" s="82">
        <f>IF(V$14=1,'Inputs (2)'!V99,Inputs!V$293)</f>
        <v>111.381546</v>
      </c>
      <c r="W120" s="82">
        <f>IF(W$14=1,'Inputs (2)'!W99,Inputs!W$293)</f>
        <v>-91.651881</v>
      </c>
      <c r="X120" s="77">
        <f>SUM(T120:W120)</f>
        <v>82.948996</v>
      </c>
      <c r="Y120" s="82">
        <f>IF(Y$14=1,'Inputs (2)'!Y99,Inputs!Y$293)</f>
        <v>28.342396</v>
      </c>
      <c r="Z120" s="82">
        <f>IF(Z$14=1,'Inputs (2)'!Z99,Inputs!Z$293)</f>
        <v>-20.751763</v>
      </c>
      <c r="AA120" s="82">
        <f>IF(AA$14=1,'Inputs (2)'!AA99,Inputs!AA$293)</f>
        <v>18.146897</v>
      </c>
      <c r="AB120" s="82">
        <f>IF(AB$14=1,'Inputs (2)'!AB99,Inputs!AB$293)</f>
        <v>595.877724</v>
      </c>
      <c r="AC120" s="77">
        <f>SUM(Y120:AB120)</f>
        <v>621.615254</v>
      </c>
      <c r="AD120" s="82">
        <f>IF(AD$14=1,'Inputs (2)'!AD99,Inputs!AD$293)</f>
        <v>0</v>
      </c>
      <c r="AE120" s="82">
        <f>IF(AE$14=1,'Inputs (2)'!AE99,Inputs!AE$293)</f>
        <v>0</v>
      </c>
      <c r="AF120" s="82">
        <f>IF(AF$14=1,'Inputs (2)'!AF99,Inputs!AF$293)</f>
        <v>0</v>
      </c>
      <c r="AG120" s="82">
        <f>IF(AG$14=1,'Inputs (2)'!AG99,Inputs!AG$293)</f>
        <v>0</v>
      </c>
      <c r="AH120" s="77">
        <f>SUM(AD120:AG120)</f>
        <v>0</v>
      </c>
      <c r="AI120" s="82">
        <f>IF(AI$14=1,'Inputs (2)'!AI99,Inputs!AI$293)</f>
        <v>0</v>
      </c>
      <c r="AJ120" s="82">
        <f>IF(AJ$14=1,'Inputs (2)'!AJ99,Inputs!AJ$293)</f>
        <v>0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>SUM(AI120:AL120)</f>
        <v>0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>SUM(AN120:AQ120)</f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>SUM(AS120:AV120)</f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>SUM(AX120:BA120)</f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>SUM(BC120:BF120)</f>
        <v>0</v>
      </c>
    </row>
    <row r="121">
      <c r="C121" s="53" t="inlineStr">
        <is>
          <t>Resultado antes da Tributação e Participações</t>
        </is>
      </c>
      <c r="D121" s="54" t="inlineStr">
        <is>
          <t>Result before Taxes</t>
        </is>
      </c>
      <c r="E121" s="59">
        <f>E119+E120</f>
        <v>250.114481</v>
      </c>
      <c r="F121" s="59">
        <f>F119+F120</f>
        <v>1196.058292</v>
      </c>
      <c r="G121" s="59">
        <f>G119+G120</f>
        <v>1258.218124</v>
      </c>
      <c r="H121" s="59">
        <f>H119+H120</f>
        <v>2103.977261</v>
      </c>
      <c r="I121" s="60">
        <f>SUM(E121:H121)</f>
        <v>4808.368158</v>
      </c>
      <c r="J121" s="59">
        <f>J119+J120</f>
        <v>1514.361368</v>
      </c>
      <c r="K121" s="59">
        <f>K119+K120</f>
        <v>2446.521771</v>
      </c>
      <c r="L121" s="59">
        <f>L119+L120</f>
        <v>2151.478864</v>
      </c>
      <c r="M121" s="59">
        <f>M119+M120</f>
        <v>2106.788769</v>
      </c>
      <c r="N121" s="60">
        <f>SUM(J121:M121)</f>
        <v>8219.150772</v>
      </c>
      <c r="O121" s="59">
        <f>O119+O120</f>
        <v>2622.351689</v>
      </c>
      <c r="P121" s="59">
        <f>P119+P120</f>
        <v>2481.322578</v>
      </c>
      <c r="Q121" s="59">
        <f>Q119+Q120</f>
        <v>2632.452428</v>
      </c>
      <c r="R121" s="59">
        <f>R119+R120</f>
        <v>1558.65581</v>
      </c>
      <c r="S121" s="60">
        <f>SUM(O121:R121)</f>
        <v>9294.782505</v>
      </c>
      <c r="T121" s="59">
        <f>T119+T120</f>
        <v>2588.128565</v>
      </c>
      <c r="U121" s="59">
        <f>U119+U120</f>
        <v>2790.59455900001</v>
      </c>
      <c r="V121" s="59">
        <f>V119+V120</f>
        <v>3092.280146</v>
      </c>
      <c r="W121" s="59">
        <f>W119+W120</f>
        <v>2723.396681</v>
      </c>
      <c r="X121" s="60">
        <f>SUM(T121:W121)</f>
        <v>11194.399951</v>
      </c>
      <c r="Y121" s="59">
        <f>Y119+Y120</f>
        <v>2940.268628</v>
      </c>
      <c r="Z121" s="59">
        <f>Z119+Z120</f>
        <v>3192.011822</v>
      </c>
      <c r="AA121" s="59">
        <f>AA119+AA120</f>
        <v>3203.829219</v>
      </c>
      <c r="AB121" s="59">
        <f>AB119+AB120</f>
        <v>3567.527551</v>
      </c>
      <c r="AC121" s="60">
        <f>SUM(Y121:AB121)</f>
        <v>12903.63722</v>
      </c>
      <c r="AD121" s="59">
        <f>AD119+AD120</f>
        <v>3843.208055</v>
      </c>
      <c r="AE121" s="59">
        <f>AE119+AE120</f>
        <v>4081.194715</v>
      </c>
      <c r="AF121" s="59">
        <f>AF119+AF120</f>
        <v>5320.23694</v>
      </c>
      <c r="AG121" s="59">
        <f>AG119+AG120</f>
        <v>3632.779571</v>
      </c>
      <c r="AH121" s="60">
        <f>SUM(AD121:AG121)</f>
        <v>16877.419281</v>
      </c>
      <c r="AI121" s="59">
        <f>AI119+AI120</f>
        <v>5315.523136</v>
      </c>
      <c r="AJ121" s="59">
        <f>AJ119+AJ120</f>
        <v>5817.77651</v>
      </c>
      <c r="AK121" s="59">
        <f>AK119+AK120</f>
        <v>3304.609993</v>
      </c>
      <c r="AL121" s="59">
        <f>AL119+AL120</f>
        <v>2900.736357</v>
      </c>
      <c r="AM121" s="60">
        <f>SUM(AI121:AL121)</f>
        <v>17338.645996</v>
      </c>
      <c r="AN121" s="59">
        <f>AN119+AN120</f>
        <v>1051.158844</v>
      </c>
      <c r="AO121" s="59">
        <f>AO119+AO120</f>
        <v>1634.974045</v>
      </c>
      <c r="AP121" s="59">
        <f>AP119+AP120</f>
        <v>3304.609993</v>
      </c>
      <c r="AQ121" s="59">
        <f>AQ119+AQ120</f>
        <v>2900.736357</v>
      </c>
      <c r="AR121" s="60">
        <f>SUM(AN121:AQ121)</f>
        <v>8891.479239</v>
      </c>
      <c r="AS121" s="59">
        <f>AS119+AS120</f>
        <v>1051.158844</v>
      </c>
      <c r="AT121" s="59">
        <f>AT119+AT120</f>
        <v>1634.974045</v>
      </c>
      <c r="AU121" s="59">
        <f>AU119+AU120</f>
        <v>3304.609993</v>
      </c>
      <c r="AV121" s="59">
        <f>AV119+AV120</f>
        <v>2900.736357</v>
      </c>
      <c r="AW121" s="60">
        <f>SUM(AS121:AV121)</f>
        <v>8891.479239</v>
      </c>
      <c r="AX121" s="59">
        <f>AX119+AX120</f>
        <v>1051.158844</v>
      </c>
      <c r="AY121" s="59">
        <f>AY119+AY120</f>
        <v>1634.974045</v>
      </c>
      <c r="AZ121" s="59">
        <f>AZ119+AZ120</f>
        <v>3304.609993</v>
      </c>
      <c r="BA121" s="59">
        <f>BA119+BA120</f>
        <v>2900.736357</v>
      </c>
      <c r="BB121" s="60">
        <f>SUM(AX121:BA121)</f>
        <v>8891.479239</v>
      </c>
      <c r="BC121" s="59">
        <f>BC119+BC120</f>
        <v>1051.158844</v>
      </c>
      <c r="BD121" s="59">
        <f>BD119+BD120</f>
        <v>1634.974045</v>
      </c>
      <c r="BE121" s="59">
        <f>BE119+BE120</f>
        <v>3304.609993</v>
      </c>
      <c r="BF121" s="59">
        <f>BF119+BF120</f>
        <v>2900.736357</v>
      </c>
      <c r="BG121" s="60">
        <f>SUM(BC121:BF121)</f>
        <v>8891.479239</v>
      </c>
    </row>
    <row r="122">
      <c r="C122" s="83" t="inlineStr">
        <is>
          <t>Imposto de Renda e Contribuição Social</t>
        </is>
      </c>
      <c r="D122" s="84" t="inlineStr">
        <is>
          <t>Income Tax</t>
        </is>
      </c>
      <c r="E122" s="87">
        <f>IF(E$14=1,E123+E124,-E121*Inputs!E$294)</f>
        <v>517.81277</v>
      </c>
      <c r="F122" s="87">
        <f>IF(F$14=1,F123+F124,-F121*Inputs!F$294)</f>
        <v>-218.708293</v>
      </c>
      <c r="G122" s="87">
        <f>IF(G$14=1,G123+G124,-G121*Inputs!G$294)</f>
        <v>-256.249298</v>
      </c>
      <c r="H122" s="87">
        <f>IF(H$14=1,H123+H124,-H121*Inputs!H$294)</f>
        <v>-874.840303</v>
      </c>
      <c r="I122" s="60">
        <f>SUM(E122:H122)</f>
        <v>-831.985124</v>
      </c>
      <c r="J122" s="87">
        <f>IF(J$14=1,J123+J124,-J121*Inputs!J$294)</f>
        <v>-337.86487</v>
      </c>
      <c r="K122" s="87">
        <f>IF(K$14=1,K123+K124,-K121*Inputs!K$294)</f>
        <v>-768.124927</v>
      </c>
      <c r="L122" s="87">
        <f>IF(L$14=1,L123+L124,-L121*Inputs!L$294)</f>
        <v>-408.298401</v>
      </c>
      <c r="M122" s="87">
        <f>IF(M$14=1,M123+M124,-M121*Inputs!M$294)</f>
        <v>-362.70855</v>
      </c>
      <c r="N122" s="60">
        <f>SUM(J122:M122)</f>
        <v>-1876.996748</v>
      </c>
      <c r="O122" s="87">
        <f>IF(O$14=1,O123+O124,-O121*Inputs!O$294)</f>
        <v>-679.766934</v>
      </c>
      <c r="P122" s="87">
        <f>IF(P$14=1,P123+P124,-P121*Inputs!P$294)</f>
        <v>-414.025145</v>
      </c>
      <c r="Q122" s="87">
        <f>IF(Q$14=1,Q123+Q124,-Q121*Inputs!Q$294)</f>
        <v>-451.643849</v>
      </c>
      <c r="R122" s="87">
        <f>IF(R$14=1,R123+R124,-R121*Inputs!R$294)</f>
        <v>92.490391</v>
      </c>
      <c r="S122" s="60">
        <f>SUM(O122:R122)</f>
        <v>-1452.945537</v>
      </c>
      <c r="T122" s="87">
        <f>IF(T$14=1,T123+T124,-T121*Inputs!T$294)</f>
        <v>-454.905374</v>
      </c>
      <c r="U122" s="87">
        <f>IF(U$14=1,U123+U124,-U121*Inputs!U$294)</f>
        <v>-349.348612</v>
      </c>
      <c r="V122" s="87">
        <f>IF(V$14=1,V123+V124,-V121*Inputs!V$294)</f>
        <v>-469.730474</v>
      </c>
      <c r="W122" s="87">
        <f>IF(W$14=1,W123+W124,-W121*Inputs!W$294)</f>
        <v>4.15000500000002</v>
      </c>
      <c r="X122" s="60">
        <f>SUM(T122:W122)</f>
        <v>-1269.834455</v>
      </c>
      <c r="Y122" s="87">
        <f>IF(Y$14=1,Y123+Y124,-Y121*Inputs!Y$294)</f>
        <v>-166.597009</v>
      </c>
      <c r="Z122" s="87">
        <f>IF(Z$14=1,Z123+Z124,-Z121*Inputs!Z$294)</f>
        <v>-368.626101</v>
      </c>
      <c r="AA122" s="87">
        <f>IF(AA$14=1,AA123+AA124,-AA121*Inputs!AA$294)</f>
        <v>-135.720582</v>
      </c>
      <c r="AB122" s="87">
        <f>IF(AB$14=1,AB123+AB124,-AB121*Inputs!AB$294)</f>
        <v>-443.306469</v>
      </c>
      <c r="AC122" s="60">
        <f>SUM(Y122:AB122)</f>
        <v>-1114.250161</v>
      </c>
      <c r="AD122" s="87">
        <f>IF(AD$14=1,AD123+AD124,-AD121*Inputs!AD$294)</f>
        <v>-633.286485</v>
      </c>
      <c r="AE122" s="87">
        <f>IF(AE$14=1,AE123+AE124,-AE121*Inputs!AE$294)</f>
        <v>-71.9713280000001</v>
      </c>
      <c r="AF122" s="87">
        <f>IF(AF$14=1,AF123+AF124,-AF121*Inputs!AF$294)</f>
        <v>-982.860412</v>
      </c>
      <c r="AG122" s="87">
        <f>IF(AG$14=1,AG123+AG124,-AG121*Inputs!AG$294)</f>
        <v>757.748538</v>
      </c>
      <c r="AH122" s="60">
        <f>SUM(AD122:AG122)</f>
        <v>-930.369687</v>
      </c>
      <c r="AI122" s="87">
        <f>IF(AI$14=1,AI123+AI124,-AI121*Inputs!AI$294)</f>
        <v>-745.127441</v>
      </c>
      <c r="AJ122" s="87">
        <f>IF(AJ$14=1,AJ123+AJ124,-AJ121*Inputs!AJ$294)</f>
        <v>-916.631883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>SUM(AI122:AL122)</f>
        <v>-1661.759324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>SUM(AN122:AQ122)</f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>SUM(AS122:AV122)</f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>SUM(AX122:BA122)</f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>SUM(BC122:BF122)</f>
        <v>0</v>
      </c>
      <c r="BI122" s="14" t="inlineStr">
        <is>
          <t>No realizado soma corrente + diferido. Na projeção aplica a alíquota efetiva sobre o LAIR.</t>
        </is>
      </c>
    </row>
    <row r="123" hidden="1" outlineLevel="1">
      <c r="C123" s="61" t="inlineStr">
        <is>
          <t>(Devidos sobre Operações do Período)</t>
        </is>
      </c>
      <c r="D123" s="62" t="inlineStr">
        <is>
          <t>(Current Tax)</t>
        </is>
      </c>
      <c r="E123" s="57">
        <f>IF(E$14=1,'Inputs (2)'!E102,0)</f>
        <v>517.81277</v>
      </c>
      <c r="F123" s="57">
        <f>IF(F$14=1,'Inputs (2)'!F102,0)</f>
        <v>-218.708293</v>
      </c>
      <c r="G123" s="57">
        <f>IF(G$14=1,'Inputs (2)'!G102,0)</f>
        <v>-256.249298</v>
      </c>
      <c r="H123" s="57">
        <f>IF(H$14=1,'Inputs (2)'!H102,0)</f>
        <v>-874.840303</v>
      </c>
      <c r="I123" s="77">
        <f>SUM(E123:H123)</f>
        <v>-831.985124</v>
      </c>
      <c r="J123" s="57">
        <f>IF(J$14=1,'Inputs (2)'!J102,0)</f>
        <v>-337.86487</v>
      </c>
      <c r="K123" s="57">
        <f>IF(K$14=1,'Inputs (2)'!K102,0)</f>
        <v>-768.124927</v>
      </c>
      <c r="L123" s="57">
        <f>IF(L$14=1,'Inputs (2)'!L102,0)</f>
        <v>-408.298401</v>
      </c>
      <c r="M123" s="57">
        <f>IF(M$14=1,'Inputs (2)'!M102,0)</f>
        <v>-362.70855</v>
      </c>
      <c r="N123" s="77">
        <f>SUM(J123:M123)</f>
        <v>-1876.996748</v>
      </c>
      <c r="O123" s="57">
        <f>IF(O$14=1,'Inputs (2)'!O102,0)</f>
        <v>-679.766934</v>
      </c>
      <c r="P123" s="57">
        <f>IF(P$14=1,'Inputs (2)'!P102,0)</f>
        <v>-414.025145</v>
      </c>
      <c r="Q123" s="57">
        <f>IF(Q$14=1,'Inputs (2)'!Q102,0)</f>
        <v>-451.643849</v>
      </c>
      <c r="R123" s="57">
        <f>IF(R$14=1,'Inputs (2)'!R102,0)</f>
        <v>92.490391</v>
      </c>
      <c r="S123" s="77">
        <f>SUM(O123:R123)</f>
        <v>-1452.945537</v>
      </c>
      <c r="T123" s="57">
        <f>IF(T$14=1,'Inputs (2)'!T102,0)</f>
        <v>-454.905374</v>
      </c>
      <c r="U123" s="57">
        <f>IF(U$14=1,'Inputs (2)'!U102,0)</f>
        <v>-349.348612</v>
      </c>
      <c r="V123" s="57">
        <f>IF(V$14=1,'Inputs (2)'!V102,0)</f>
        <v>-469.730474</v>
      </c>
      <c r="W123" s="57">
        <f>IF(W$14=1,'Inputs (2)'!W102,0)</f>
        <v>4.15000500000002</v>
      </c>
      <c r="X123" s="77">
        <f>SUM(T123:W123)</f>
        <v>-1269.834455</v>
      </c>
      <c r="Y123" s="57">
        <f>IF(Y$14=1,'Inputs (2)'!Y102,0)</f>
        <v>-166.597009</v>
      </c>
      <c r="Z123" s="57">
        <f>IF(Z$14=1,'Inputs (2)'!Z102,0)</f>
        <v>-368.626101</v>
      </c>
      <c r="AA123" s="57">
        <f>IF(AA$14=1,'Inputs (2)'!AA102,0)</f>
        <v>-135.720582</v>
      </c>
      <c r="AB123" s="57">
        <f>IF(AB$14=1,'Inputs (2)'!AB102,0)</f>
        <v>-443.306469</v>
      </c>
      <c r="AC123" s="77">
        <f>SUM(Y123:AB123)</f>
        <v>-1114.250161</v>
      </c>
      <c r="AD123" s="57">
        <f>IF(AD$14=1,'Inputs (2)'!AD102,0)</f>
        <v>-633.286485</v>
      </c>
      <c r="AE123" s="57">
        <f>IF(AE$14=1,'Inputs (2)'!AE102,0)</f>
        <v>-71.9713280000001</v>
      </c>
      <c r="AF123" s="57">
        <f>IF(AF$14=1,'Inputs (2)'!AF102,0)</f>
        <v>-982.860412</v>
      </c>
      <c r="AG123" s="57">
        <f>IF(AG$14=1,'Inputs (2)'!AG102,0)</f>
        <v>757.748538</v>
      </c>
      <c r="AH123" s="77">
        <f>SUM(AD123:AG123)</f>
        <v>-930.369687</v>
      </c>
      <c r="AI123" s="57">
        <f>IF(AI$14=1,'Inputs (2)'!AI102,0)</f>
        <v>-745.127441</v>
      </c>
      <c r="AJ123" s="57">
        <f>IF(AJ$14=1,'Inputs (2)'!AJ102,0)</f>
        <v>-916.631883</v>
      </c>
      <c r="AK123" s="57">
        <f>IF(AK$14=1,'Inputs (2)'!AK102,0)</f>
        <v>0</v>
      </c>
      <c r="AL123" s="57">
        <f>IF(AL$14=1,'Inputs (2)'!AL102,0)</f>
        <v>0</v>
      </c>
      <c r="AM123" s="77">
        <f>SUM(AI123:AL123)</f>
        <v>-1661.759324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>SUM(AN123:AQ123)</f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>SUM(AS123:AV123)</f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>SUM(AX123:BA123)</f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>SUM(BC123:BF123)</f>
        <v>0</v>
      </c>
    </row>
    <row r="124" hidden="1" outlineLevel="1">
      <c r="C124" s="61" t="inlineStr">
        <is>
          <t>Referentes a Diferenças Temporárias</t>
        </is>
      </c>
      <c r="D124" s="62" t="inlineStr">
        <is>
          <t>Deferred Tax</t>
        </is>
      </c>
      <c r="E124" s="57">
        <f>IF(E$14=1,'Inputs (2)'!E103,0)</f>
        <v>0</v>
      </c>
      <c r="F124" s="57">
        <f>IF(F$14=1,'Inputs (2)'!F103,0)</f>
        <v>0</v>
      </c>
      <c r="G124" s="57">
        <f>IF(G$14=1,'Inputs (2)'!G103,0)</f>
        <v>0</v>
      </c>
      <c r="H124" s="57">
        <f>IF(H$14=1,'Inputs (2)'!H103,0)</f>
        <v>0</v>
      </c>
      <c r="I124" s="77">
        <f>SUM(E124:H124)</f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>SUM(J124:M124)</f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>SUM(O124:R124)</f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>SUM(T124:W124)</f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>SUM(Y124:AB124)</f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>SUM(AD124:AG124)</f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>SUM(AI124:AL124)</f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>SUM(AN124:AQ124)</f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>SUM(AS124:AV124)</f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>SUM(AX124:BA124)</f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>SUM(BC124:BF124)</f>
        <v>0</v>
      </c>
    </row>
    <row r="125" collapsed="1">
      <c r="C125" s="53" t="inlineStr">
        <is>
          <t>LUCRO LÍQUIDO</t>
        </is>
      </c>
      <c r="D125" s="54" t="inlineStr">
        <is>
          <t>NET INCOME</t>
        </is>
      </c>
      <c r="E125" s="59">
        <f>E121+E122</f>
        <v>767.927251</v>
      </c>
      <c r="F125" s="59">
        <f>F121+F122</f>
        <v>977.349999000001</v>
      </c>
      <c r="G125" s="59">
        <f>G121+G122</f>
        <v>1001.968826</v>
      </c>
      <c r="H125" s="59">
        <f>H121+H122</f>
        <v>1229.136958</v>
      </c>
      <c r="I125" s="60">
        <f>SUM(E125:H125)</f>
        <v>3976.383034</v>
      </c>
      <c r="J125" s="59">
        <f>J121+J122</f>
        <v>1176.496498</v>
      </c>
      <c r="K125" s="59">
        <f>K121+K122</f>
        <v>1678.396844</v>
      </c>
      <c r="L125" s="59">
        <f>L121+L122</f>
        <v>1743.180463</v>
      </c>
      <c r="M125" s="59">
        <f>M121+M122</f>
        <v>1744.080219</v>
      </c>
      <c r="N125" s="60">
        <f>SUM(J125:M125)</f>
        <v>6342.154024</v>
      </c>
      <c r="O125" s="59">
        <f>O121+O122</f>
        <v>1942.584755</v>
      </c>
      <c r="P125" s="59">
        <f>P121+P122</f>
        <v>2067.297433</v>
      </c>
      <c r="Q125" s="59">
        <f>Q121+Q122</f>
        <v>2180.808579</v>
      </c>
      <c r="R125" s="59">
        <f>R121+R122</f>
        <v>1651.146201</v>
      </c>
      <c r="S125" s="60">
        <f>SUM(O125:R125)</f>
        <v>7841.836968</v>
      </c>
      <c r="T125" s="59">
        <f>T121+T122</f>
        <v>2133.223191</v>
      </c>
      <c r="U125" s="59">
        <f>U121+U122</f>
        <v>2441.24594700001</v>
      </c>
      <c r="V125" s="59">
        <f>V121+V122</f>
        <v>2622.549672</v>
      </c>
      <c r="W125" s="59">
        <f>W121+W122</f>
        <v>2727.546686</v>
      </c>
      <c r="X125" s="60">
        <f>SUM(T125:W125)</f>
        <v>9924.56549600001</v>
      </c>
      <c r="Y125" s="59">
        <f>Y121+Y122</f>
        <v>2773.671619</v>
      </c>
      <c r="Z125" s="59">
        <f>Z121+Z122</f>
        <v>2823.385721</v>
      </c>
      <c r="AA125" s="59">
        <f>AA121+AA122</f>
        <v>3068.108637</v>
      </c>
      <c r="AB125" s="59">
        <f>AB121+AB122</f>
        <v>3124.221082</v>
      </c>
      <c r="AC125" s="60">
        <f>SUM(Y125:AB125)</f>
        <v>11789.387059</v>
      </c>
      <c r="AD125" s="59">
        <f>AD121+AD122</f>
        <v>3209.92157</v>
      </c>
      <c r="AE125" s="59">
        <f>AE121+AE122</f>
        <v>4009.223387</v>
      </c>
      <c r="AF125" s="59">
        <f>AF121+AF122</f>
        <v>4337.376528</v>
      </c>
      <c r="AG125" s="59">
        <f>AG121+AG122</f>
        <v>4390.528109</v>
      </c>
      <c r="AH125" s="60">
        <f>SUM(AD125:AG125)</f>
        <v>15947.049594</v>
      </c>
      <c r="AI125" s="59">
        <f>AI121+AI122</f>
        <v>4570.395695</v>
      </c>
      <c r="AJ125" s="59">
        <f>AJ121+AJ122</f>
        <v>4901.144627</v>
      </c>
      <c r="AK125" s="59">
        <f>AK121+AK122</f>
        <v>3304.609993</v>
      </c>
      <c r="AL125" s="59">
        <f>AL121+AL122</f>
        <v>2900.736357</v>
      </c>
      <c r="AM125" s="60">
        <f>SUM(AI125:AL125)</f>
        <v>15676.886672</v>
      </c>
      <c r="AN125" s="59">
        <f>AN121+AN122</f>
        <v>1051.158844</v>
      </c>
      <c r="AO125" s="59">
        <f>AO121+AO122</f>
        <v>1634.974045</v>
      </c>
      <c r="AP125" s="59">
        <f>AP121+AP122</f>
        <v>3304.609993</v>
      </c>
      <c r="AQ125" s="59">
        <f>AQ121+AQ122</f>
        <v>2900.736357</v>
      </c>
      <c r="AR125" s="60">
        <f>SUM(AN125:AQ125)</f>
        <v>8891.479239</v>
      </c>
      <c r="AS125" s="59">
        <f>AS121+AS122</f>
        <v>1051.158844</v>
      </c>
      <c r="AT125" s="59">
        <f>AT121+AT122</f>
        <v>1634.974045</v>
      </c>
      <c r="AU125" s="59">
        <f>AU121+AU122</f>
        <v>3304.609993</v>
      </c>
      <c r="AV125" s="59">
        <f>AV121+AV122</f>
        <v>2900.736357</v>
      </c>
      <c r="AW125" s="60">
        <f>SUM(AS125:AV125)</f>
        <v>8891.479239</v>
      </c>
      <c r="AX125" s="59">
        <f>AX121+AX122</f>
        <v>1051.158844</v>
      </c>
      <c r="AY125" s="59">
        <f>AY121+AY122</f>
        <v>1634.974045</v>
      </c>
      <c r="AZ125" s="59">
        <f>AZ121+AZ122</f>
        <v>3304.609993</v>
      </c>
      <c r="BA125" s="59">
        <f>BA121+BA122</f>
        <v>2900.736357</v>
      </c>
      <c r="BB125" s="60">
        <f>SUM(AX125:BA125)</f>
        <v>8891.479239</v>
      </c>
      <c r="BC125" s="59">
        <f>BC121+BC122</f>
        <v>1051.158844</v>
      </c>
      <c r="BD125" s="59">
        <f>BD121+BD122</f>
        <v>1634.974045</v>
      </c>
      <c r="BE125" s="59">
        <f>BE121+BE122</f>
        <v>3304.609993</v>
      </c>
      <c r="BF125" s="59">
        <f>BF121+BF122</f>
        <v>2900.736357</v>
      </c>
      <c r="BG125" s="60">
        <f>SUM(BC125:BF125)</f>
        <v>8891.479239</v>
      </c>
    </row>
    <row r="126">
      <c r="C126" s="80" t="inlineStr">
        <is>
          <t>(Participação de Não Controladores)</t>
        </is>
      </c>
      <c r="D126" s="81" t="inlineStr">
        <is>
          <t>(Non-Controlling Interests)</t>
        </is>
      </c>
      <c r="E126" s="82">
        <f>IF(E$14=1,'Inputs (2)'!E105,-E125*Inputs!E$295)</f>
        <v>0</v>
      </c>
      <c r="F126" s="82">
        <f>IF(F$14=1,'Inputs (2)'!F105,-F125*Inputs!F$295)</f>
        <v>0</v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>SUM(E126:H126)</f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0</v>
      </c>
      <c r="M126" s="82">
        <f>IF(M$14=1,'Inputs (2)'!M105,-M125*Inputs!M$295)</f>
        <v>0</v>
      </c>
      <c r="N126" s="77">
        <f>SUM(J126:M126)</f>
        <v>0</v>
      </c>
      <c r="O126" s="82">
        <f>IF(O$14=1,'Inputs (2)'!O105,-O125*Inputs!O$295)</f>
        <v>0</v>
      </c>
      <c r="P126" s="82">
        <f>IF(P$14=1,'Inputs (2)'!P105,-P125*Inputs!P$295)</f>
        <v>0</v>
      </c>
      <c r="Q126" s="82">
        <f>IF(Q$14=1,'Inputs (2)'!Q105,-Q125*Inputs!Q$295)</f>
        <v>0</v>
      </c>
      <c r="R126" s="82">
        <f>IF(R$14=1,'Inputs (2)'!R105,-R125*Inputs!R$295)</f>
        <v>0</v>
      </c>
      <c r="S126" s="77">
        <f>SUM(O126:R126)</f>
        <v>0</v>
      </c>
      <c r="T126" s="82">
        <f>IF(T$14=1,'Inputs (2)'!T105,-T125*Inputs!T$295)</f>
        <v>0</v>
      </c>
      <c r="U126" s="82">
        <f>IF(U$14=1,'Inputs (2)'!U105,-U125*Inputs!U$295)</f>
        <v>0</v>
      </c>
      <c r="V126" s="82">
        <f>IF(V$14=1,'Inputs (2)'!V105,-V125*Inputs!V$295)</f>
        <v>0</v>
      </c>
      <c r="W126" s="82">
        <f>IF(W$14=1,'Inputs (2)'!W105,-W125*Inputs!W$295)</f>
        <v>0</v>
      </c>
      <c r="X126" s="77">
        <f>SUM(T126:W126)</f>
        <v>0</v>
      </c>
      <c r="Y126" s="82">
        <f>IF(Y$14=1,'Inputs (2)'!Y105,-Y125*Inputs!Y$295)</f>
        <v>0</v>
      </c>
      <c r="Z126" s="82">
        <f>IF(Z$14=1,'Inputs (2)'!Z105,-Z125*Inputs!Z$295)</f>
        <v>0</v>
      </c>
      <c r="AA126" s="82">
        <f>IF(AA$14=1,'Inputs (2)'!AA105,-AA125*Inputs!AA$295)</f>
        <v>0</v>
      </c>
      <c r="AB126" s="82">
        <f>IF(AB$14=1,'Inputs (2)'!AB105,-AB125*Inputs!AB$295)</f>
        <v>0</v>
      </c>
      <c r="AC126" s="77">
        <f>SUM(Y126:AB126)</f>
        <v>0</v>
      </c>
      <c r="AD126" s="82">
        <f>IF(AD$14=1,'Inputs (2)'!AD105,-AD125*Inputs!AD$295)</f>
        <v>0</v>
      </c>
      <c r="AE126" s="82">
        <f>IF(AE$14=1,'Inputs (2)'!AE105,-AE125*Inputs!AE$295)</f>
        <v>0</v>
      </c>
      <c r="AF126" s="82">
        <f>IF(AF$14=1,'Inputs (2)'!AF105,-AF125*Inputs!AF$295)</f>
        <v>0</v>
      </c>
      <c r="AG126" s="82">
        <f>IF(AG$14=1,'Inputs (2)'!AG105,-AG125*Inputs!AG$295)</f>
        <v>0</v>
      </c>
      <c r="AH126" s="77">
        <f>SUM(AD126:AG126)</f>
        <v>0</v>
      </c>
      <c r="AI126" s="82">
        <f>IF(AI$14=1,'Inputs (2)'!AI105,-AI125*Inputs!AI$295)</f>
        <v>0</v>
      </c>
      <c r="AJ126" s="82">
        <f>IF(AJ$14=1,'Inputs (2)'!AJ105,-AJ125*Inputs!AJ$295)</f>
        <v>0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>SUM(AI126:AL126)</f>
        <v>0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>SUM(AN126:AQ126)</f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>SUM(AS126:AV126)</f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>SUM(AX126:BA126)</f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>SUM(BC126:BF126)</f>
        <v>0</v>
      </c>
    </row>
    <row r="127">
      <c r="C127" s="53" t="inlineStr">
        <is>
          <t>LUCRO LÍQUIDO DOS CONTROLADORES</t>
        </is>
      </c>
      <c r="D127" s="54" t="inlineStr">
        <is>
          <t>NET INCOME — CONTROLLING</t>
        </is>
      </c>
      <c r="E127" s="59">
        <f>E125+E126</f>
        <v>767.927251</v>
      </c>
      <c r="F127" s="59">
        <f>F125+F126</f>
        <v>977.349999000001</v>
      </c>
      <c r="G127" s="59">
        <f>G125+G126</f>
        <v>1001.968826</v>
      </c>
      <c r="H127" s="59">
        <f>H125+H126</f>
        <v>1229.136958</v>
      </c>
      <c r="I127" s="60">
        <f>SUM(E127:H127)</f>
        <v>3976.383034</v>
      </c>
      <c r="J127" s="59">
        <f>J125+J126</f>
        <v>1176.496498</v>
      </c>
      <c r="K127" s="59">
        <f>K125+K126</f>
        <v>1678.396844</v>
      </c>
      <c r="L127" s="59">
        <f>L125+L126</f>
        <v>1743.180463</v>
      </c>
      <c r="M127" s="59">
        <f>M125+M126</f>
        <v>1744.080219</v>
      </c>
      <c r="N127" s="60">
        <f>SUM(J127:M127)</f>
        <v>6342.154024</v>
      </c>
      <c r="O127" s="59">
        <f>O125+O126</f>
        <v>1942.584755</v>
      </c>
      <c r="P127" s="59">
        <f>P125+P126</f>
        <v>2067.297433</v>
      </c>
      <c r="Q127" s="59">
        <f>Q125+Q126</f>
        <v>2180.808579</v>
      </c>
      <c r="R127" s="59">
        <f>R125+R126</f>
        <v>1651.146201</v>
      </c>
      <c r="S127" s="60">
        <f>SUM(O127:R127)</f>
        <v>7841.836968</v>
      </c>
      <c r="T127" s="59">
        <f>T125+T126</f>
        <v>2133.223191</v>
      </c>
      <c r="U127" s="59">
        <f>U125+U126</f>
        <v>2441.24594700001</v>
      </c>
      <c r="V127" s="59">
        <f>V125+V126</f>
        <v>2622.549672</v>
      </c>
      <c r="W127" s="59">
        <f>W125+W126</f>
        <v>2727.546686</v>
      </c>
      <c r="X127" s="60">
        <f>SUM(T127:W127)</f>
        <v>9924.56549600001</v>
      </c>
      <c r="Y127" s="59">
        <f>Y125+Y126</f>
        <v>2773.671619</v>
      </c>
      <c r="Z127" s="59">
        <f>Z125+Z126</f>
        <v>2823.385721</v>
      </c>
      <c r="AA127" s="59">
        <f>AA125+AA126</f>
        <v>3068.108637</v>
      </c>
      <c r="AB127" s="59">
        <f>AB125+AB126</f>
        <v>3124.221082</v>
      </c>
      <c r="AC127" s="60">
        <f>SUM(Y127:AB127)</f>
        <v>11789.387059</v>
      </c>
      <c r="AD127" s="59">
        <f>AD125+AD126</f>
        <v>3209.92157</v>
      </c>
      <c r="AE127" s="59">
        <f>AE125+AE126</f>
        <v>4009.223387</v>
      </c>
      <c r="AF127" s="59">
        <f>AF125+AF126</f>
        <v>4337.376528</v>
      </c>
      <c r="AG127" s="59">
        <f>AG125+AG126</f>
        <v>4390.528109</v>
      </c>
      <c r="AH127" s="60">
        <f>SUM(AD127:AG127)</f>
        <v>15947.049594</v>
      </c>
      <c r="AI127" s="59">
        <f>AI125+AI126</f>
        <v>4570.395695</v>
      </c>
      <c r="AJ127" s="59">
        <f>AJ125+AJ126</f>
        <v>4901.144627</v>
      </c>
      <c r="AK127" s="59">
        <f>AK125+AK126</f>
        <v>3304.609993</v>
      </c>
      <c r="AL127" s="59">
        <f>AL125+AL126</f>
        <v>2900.736357</v>
      </c>
      <c r="AM127" s="60">
        <f>SUM(AI127:AL127)</f>
        <v>15676.886672</v>
      </c>
      <c r="AN127" s="59">
        <f>AN125+AN126</f>
        <v>1051.158844</v>
      </c>
      <c r="AO127" s="59">
        <f>AO125+AO126</f>
        <v>1634.974045</v>
      </c>
      <c r="AP127" s="59">
        <f>AP125+AP126</f>
        <v>3304.609993</v>
      </c>
      <c r="AQ127" s="59">
        <f>AQ125+AQ126</f>
        <v>2900.736357</v>
      </c>
      <c r="AR127" s="60">
        <f>SUM(AN127:AQ127)</f>
        <v>8891.479239</v>
      </c>
      <c r="AS127" s="59">
        <f>AS125+AS126</f>
        <v>1051.158844</v>
      </c>
      <c r="AT127" s="59">
        <f>AT125+AT126</f>
        <v>1634.974045</v>
      </c>
      <c r="AU127" s="59">
        <f>AU125+AU126</f>
        <v>3304.609993</v>
      </c>
      <c r="AV127" s="59">
        <f>AV125+AV126</f>
        <v>2900.736357</v>
      </c>
      <c r="AW127" s="60">
        <f>SUM(AS127:AV127)</f>
        <v>8891.479239</v>
      </c>
      <c r="AX127" s="59">
        <f>AX125+AX126</f>
        <v>1051.158844</v>
      </c>
      <c r="AY127" s="59">
        <f>AY125+AY126</f>
        <v>1634.974045</v>
      </c>
      <c r="AZ127" s="59">
        <f>AZ125+AZ126</f>
        <v>3304.609993</v>
      </c>
      <c r="BA127" s="59">
        <f>BA125+BA126</f>
        <v>2900.736357</v>
      </c>
      <c r="BB127" s="60">
        <f>SUM(AX127:BA127)</f>
        <v>8891.479239</v>
      </c>
      <c r="BC127" s="59">
        <f>BC125+BC126</f>
        <v>1051.158844</v>
      </c>
      <c r="BD127" s="59">
        <f>BD125+BD126</f>
        <v>1634.974045</v>
      </c>
      <c r="BE127" s="59">
        <f>BE125+BE126</f>
        <v>3304.609993</v>
      </c>
      <c r="BF127" s="59">
        <f>BF125+BF126</f>
        <v>2900.736357</v>
      </c>
      <c r="BG127" s="60">
        <f>SUM(BC127:BF127)</f>
        <v>8891.479239</v>
      </c>
    </row>
    <row r="129">
      <c r="B129" s="7" t="n"/>
      <c r="C129" s="7" t="str">
        <f>"BASES DE CÁLCULO E MARGEM FINANCEIRA ("&amp;Inputs!$E$202&amp;")"</f>
        <v>BASES DE CÁLCULO E MARGEM FINANCEIRA (R$ milhões)</v>
      </c>
      <c r="D129" s="7" t="inlineStr">
        <is>
          <t>CALCULATION BASES &amp; NII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>
      <c r="C130" s="11" t="inlineStr">
        <is>
          <t>Ativos rentáveis — saldo final</t>
        </is>
      </c>
      <c r="D130" s="12" t="inlineStr">
        <is>
          <t>Earning assets, eop</t>
        </is>
      </c>
      <c r="E130" s="74">
        <f>E19+E24+E29+E30</f>
        <v>127487.655146</v>
      </c>
      <c r="F130" s="74">
        <f>F19+F24+F29+F30</f>
        <v>148452.8494</v>
      </c>
      <c r="G130" s="74">
        <f>G19+G24+G29+G30</f>
        <v>175356.375404</v>
      </c>
      <c r="H130" s="74">
        <f>H19+H24+H29+H30</f>
        <v>183817.082131</v>
      </c>
      <c r="I130" s="77">
        <f>H130</f>
        <v>183817.082131</v>
      </c>
      <c r="J130" s="74">
        <f>J19+J24+J29+J30</f>
        <v>190231.146511</v>
      </c>
      <c r="K130" s="74">
        <f>K19+K24+K29+K30</f>
        <v>256052.927686</v>
      </c>
      <c r="L130" s="74">
        <f>L19+L24+L29+L30</f>
        <v>305815.0097</v>
      </c>
      <c r="M130" s="74">
        <f>M19+M24+M29+M30</f>
        <v>264733.106582</v>
      </c>
      <c r="N130" s="77">
        <f>M130</f>
        <v>264733.106582</v>
      </c>
      <c r="O130" s="74">
        <f>O19+O24+O29+O30</f>
        <v>307952.372057</v>
      </c>
      <c r="P130" s="74">
        <f>P19+P24+P29+P30</f>
        <v>325619.446522</v>
      </c>
      <c r="Q130" s="74">
        <f>Q19+Q24+Q29+Q30</f>
        <v>332027.644427</v>
      </c>
      <c r="R130" s="74">
        <f>R19+R24+R29+R30</f>
        <v>327399.539874</v>
      </c>
      <c r="S130" s="77">
        <f>R130</f>
        <v>327399.539874</v>
      </c>
      <c r="T130" s="74">
        <f>T19+T24+T29+T30</f>
        <v>360231.775</v>
      </c>
      <c r="U130" s="74">
        <f>U19+U24+U29+U30</f>
        <v>366211.756</v>
      </c>
      <c r="V130" s="74">
        <f>V19+V24+V29+V30</f>
        <v>394166.763</v>
      </c>
      <c r="W130" s="74">
        <f>W19+W24+W29+W30</f>
        <v>396959.114</v>
      </c>
      <c r="X130" s="77">
        <f>W130</f>
        <v>396959.114</v>
      </c>
      <c r="Y130" s="74">
        <f>Y19+Y24+Y29+Y30</f>
        <v>457150.321</v>
      </c>
      <c r="Z130" s="74">
        <f>Z19+Z24+Z29+Z30</f>
        <v>475346.593</v>
      </c>
      <c r="AA130" s="74">
        <f>AA19+AA24+AA29+AA30</f>
        <v>485530.323</v>
      </c>
      <c r="AB130" s="74">
        <f>AB19+AB24+AB29+AB30</f>
        <v>444294.636261</v>
      </c>
      <c r="AC130" s="77">
        <f>AB130</f>
        <v>444294.636261</v>
      </c>
      <c r="AD130" s="74">
        <f>AD19+AD24+AD29+AD30</f>
        <v>468547.862</v>
      </c>
      <c r="AE130" s="74">
        <f>AE19+AE24+AE29+AE30</f>
        <v>509060.08</v>
      </c>
      <c r="AF130" s="74">
        <f>AF19+AF24+AF29+AF30</f>
        <v>536986.365</v>
      </c>
      <c r="AG130" s="74">
        <f>AG19+AG24+AG29+AG30</f>
        <v>650136.083</v>
      </c>
      <c r="AH130" s="77">
        <f>AG130</f>
        <v>650136.083</v>
      </c>
      <c r="AI130" s="74">
        <f>AI19+AI24+AI29+AI30</f>
        <v>679056.719</v>
      </c>
      <c r="AJ130" s="74">
        <f>AJ19+AJ24+AJ29+AJ30</f>
        <v>750798.029</v>
      </c>
      <c r="AK130" s="74">
        <f>AK19+AK24+AK29+AK30</f>
        <v>750798.029</v>
      </c>
      <c r="AL130" s="74">
        <f>AL19+AL24+AL29+AL30</f>
        <v>750798.029</v>
      </c>
      <c r="AM130" s="77">
        <f>AL130</f>
        <v>750798.029</v>
      </c>
      <c r="AN130" s="74">
        <f>AN19+AN24+AN29+AN30</f>
        <v>750798.029</v>
      </c>
      <c r="AO130" s="74">
        <f>AO19+AO24+AO29+AO30</f>
        <v>750798.029</v>
      </c>
      <c r="AP130" s="74">
        <f>AP19+AP24+AP29+AP30</f>
        <v>750798.029</v>
      </c>
      <c r="AQ130" s="74">
        <f>AQ19+AQ24+AQ29+AQ30</f>
        <v>750798.029</v>
      </c>
      <c r="AR130" s="77">
        <f>AQ130</f>
        <v>750798.029</v>
      </c>
      <c r="AS130" s="74">
        <f>AS19+AS24+AS29+AS30</f>
        <v>750798.029</v>
      </c>
      <c r="AT130" s="74">
        <f>AT19+AT24+AT29+AT30</f>
        <v>750798.029</v>
      </c>
      <c r="AU130" s="74">
        <f>AU19+AU24+AU29+AU30</f>
        <v>750798.029</v>
      </c>
      <c r="AV130" s="74">
        <f>AV19+AV24+AV29+AV30</f>
        <v>750798.029</v>
      </c>
      <c r="AW130" s="77">
        <f>AV130</f>
        <v>750798.029</v>
      </c>
      <c r="AX130" s="74">
        <f>AX19+AX24+AX29+AX30</f>
        <v>750798.029</v>
      </c>
      <c r="AY130" s="74">
        <f>AY19+AY24+AY29+AY30</f>
        <v>750798.029</v>
      </c>
      <c r="AZ130" s="74">
        <f>AZ19+AZ24+AZ29+AZ30</f>
        <v>750798.029</v>
      </c>
      <c r="BA130" s="74">
        <f>BA19+BA24+BA29+BA30</f>
        <v>750798.029</v>
      </c>
      <c r="BB130" s="77">
        <f>BA130</f>
        <v>750798.029</v>
      </c>
      <c r="BC130" s="74">
        <f>BC19+BC24+BC29+BC30</f>
        <v>750798.029</v>
      </c>
      <c r="BD130" s="74">
        <f>BD19+BD24+BD29+BD30</f>
        <v>750798.029</v>
      </c>
      <c r="BE130" s="74">
        <f>BE19+BE24+BE29+BE30</f>
        <v>750798.029</v>
      </c>
      <c r="BF130" s="74">
        <f>BF19+BF24+BF29+BF30</f>
        <v>750798.029</v>
      </c>
      <c r="BG130" s="77">
        <f>BF130</f>
        <v>750798.029</v>
      </c>
    </row>
    <row r="131">
      <c r="C131" s="11" t="inlineStr">
        <is>
          <t>Ativos rentáveis — saldo médio</t>
        </is>
      </c>
      <c r="D131" s="12" t="inlineStr">
        <is>
          <t>Earning assets, average</t>
        </is>
      </c>
      <c r="E131" s="74">
        <f>E130</f>
        <v>127487.655146</v>
      </c>
      <c r="F131" s="74">
        <f>AVERAGE(E130,F130)</f>
        <v>137970.252273</v>
      </c>
      <c r="G131" s="74">
        <f>AVERAGE(F130,G130)</f>
        <v>161904.612402</v>
      </c>
      <c r="H131" s="74">
        <f>AVERAGE(G130,H130)</f>
        <v>179586.7287675</v>
      </c>
      <c r="I131" s="77">
        <f>AVERAGE(E131:H131)</f>
        <v>151737.312147125</v>
      </c>
      <c r="J131" s="74">
        <f>AVERAGE(H130,J130)</f>
        <v>187024.114321</v>
      </c>
      <c r="K131" s="74">
        <f>AVERAGE(J130,K130)</f>
        <v>223142.0370985</v>
      </c>
      <c r="L131" s="74">
        <f>AVERAGE(K130,L130)</f>
        <v>280933.968693</v>
      </c>
      <c r="M131" s="74">
        <f>AVERAGE(L130,M130)</f>
        <v>285274.058141</v>
      </c>
      <c r="N131" s="77">
        <f>AVERAGE(J131:M131)</f>
        <v>244093.544563375</v>
      </c>
      <c r="O131" s="74">
        <f>AVERAGE(M130,O130)</f>
        <v>286342.7393195</v>
      </c>
      <c r="P131" s="74">
        <f>AVERAGE(O130,P130)</f>
        <v>316785.9092895</v>
      </c>
      <c r="Q131" s="74">
        <f>AVERAGE(P130,Q130)</f>
        <v>328823.5454745</v>
      </c>
      <c r="R131" s="74">
        <f>AVERAGE(Q130,R130)</f>
        <v>329713.5921505</v>
      </c>
      <c r="S131" s="77">
        <f>AVERAGE(O131:R131)</f>
        <v>315416.4465585</v>
      </c>
      <c r="T131" s="74">
        <f>AVERAGE(R130,T130)</f>
        <v>343815.657437</v>
      </c>
      <c r="U131" s="74">
        <f>AVERAGE(T130,U130)</f>
        <v>363221.7655</v>
      </c>
      <c r="V131" s="74">
        <f>AVERAGE(U130,V130)</f>
        <v>380189.2595</v>
      </c>
      <c r="W131" s="74">
        <f>AVERAGE(V130,W130)</f>
        <v>395562.9385</v>
      </c>
      <c r="X131" s="77">
        <f>AVERAGE(T131:W131)</f>
        <v>370697.40523425</v>
      </c>
      <c r="Y131" s="74">
        <f>AVERAGE(W130,Y130)</f>
        <v>427054.7175</v>
      </c>
      <c r="Z131" s="74">
        <f>AVERAGE(Y130,Z130)</f>
        <v>466248.457</v>
      </c>
      <c r="AA131" s="74">
        <f>AVERAGE(Z130,AA130)</f>
        <v>480438.458</v>
      </c>
      <c r="AB131" s="74">
        <f>AVERAGE(AA130,AB130)</f>
        <v>464912.4796305</v>
      </c>
      <c r="AC131" s="77">
        <f>AVERAGE(Y131:AB131)</f>
        <v>459663.528032625</v>
      </c>
      <c r="AD131" s="74">
        <f>AVERAGE(AB130,AD130)</f>
        <v>456421.2491305</v>
      </c>
      <c r="AE131" s="74">
        <f>AVERAGE(AD130,AE130)</f>
        <v>488803.971</v>
      </c>
      <c r="AF131" s="74">
        <f>AVERAGE(AE130,AF130)</f>
        <v>523023.2225</v>
      </c>
      <c r="AG131" s="74">
        <f>AVERAGE(AF130,AG130)</f>
        <v>593561.224</v>
      </c>
      <c r="AH131" s="77">
        <f>AVERAGE(AD131:AG131)</f>
        <v>515452.416657625</v>
      </c>
      <c r="AI131" s="74">
        <f>AVERAGE(AG130,AI130)</f>
        <v>664596.401</v>
      </c>
      <c r="AJ131" s="74">
        <f>AVERAGE(AI130,AJ130)</f>
        <v>714927.374</v>
      </c>
      <c r="AK131" s="74">
        <f>AVERAGE(AJ130,AK130)</f>
        <v>750798.029</v>
      </c>
      <c r="AL131" s="74">
        <f>AVERAGE(AK130,AL130)</f>
        <v>750798.029</v>
      </c>
      <c r="AM131" s="77">
        <f>AVERAGE(AI131:AL131)</f>
        <v>720279.95825</v>
      </c>
      <c r="AN131" s="74">
        <f>AVERAGE(AL130,AN130)</f>
        <v>750798.029</v>
      </c>
      <c r="AO131" s="74">
        <f>AVERAGE(AN130,AO130)</f>
        <v>750798.029</v>
      </c>
      <c r="AP131" s="74">
        <f>AVERAGE(AO130,AP130)</f>
        <v>750798.029</v>
      </c>
      <c r="AQ131" s="74">
        <f>AVERAGE(AP130,AQ130)</f>
        <v>750798.029</v>
      </c>
      <c r="AR131" s="77">
        <f>AVERAGE(AN131:AQ131)</f>
        <v>750798.029</v>
      </c>
      <c r="AS131" s="74">
        <f>AVERAGE(AQ130,AS130)</f>
        <v>750798.029</v>
      </c>
      <c r="AT131" s="74">
        <f>AVERAGE(AS130,AT130)</f>
        <v>750798.029</v>
      </c>
      <c r="AU131" s="74">
        <f>AVERAGE(AT130,AU130)</f>
        <v>750798.029</v>
      </c>
      <c r="AV131" s="74">
        <f>AVERAGE(AU130,AV130)</f>
        <v>750798.029</v>
      </c>
      <c r="AW131" s="77">
        <f>AVERAGE(AS131:AV131)</f>
        <v>750798.029</v>
      </c>
      <c r="AX131" s="74">
        <f>AVERAGE(AV130,AX130)</f>
        <v>750798.029</v>
      </c>
      <c r="AY131" s="74">
        <f>AVERAGE(AX130,AY130)</f>
        <v>750798.029</v>
      </c>
      <c r="AZ131" s="74">
        <f>AVERAGE(AY130,AZ130)</f>
        <v>750798.029</v>
      </c>
      <c r="BA131" s="74">
        <f>AVERAGE(AZ130,BA130)</f>
        <v>750798.029</v>
      </c>
      <c r="BB131" s="77">
        <f>AVERAGE(AX131:BA131)</f>
        <v>750798.029</v>
      </c>
      <c r="BC131" s="74">
        <f>AVERAGE(BA130,BC130)</f>
        <v>750798.029</v>
      </c>
      <c r="BD131" s="74">
        <f>AVERAGE(BC130,BD130)</f>
        <v>750798.029</v>
      </c>
      <c r="BE131" s="74">
        <f>AVERAGE(BD130,BE130)</f>
        <v>750798.029</v>
      </c>
      <c r="BF131" s="74">
        <f>AVERAGE(BE130,BF130)</f>
        <v>750798.029</v>
      </c>
      <c r="BG131" s="77">
        <f>AVERAGE(BC131:BF131)</f>
        <v>750798.029</v>
      </c>
    </row>
    <row r="132">
      <c r="C132" s="11" t="inlineStr">
        <is>
          <t>Passivos onerosos — saldo final</t>
        </is>
      </c>
      <c r="D132" s="12" t="inlineStr">
        <is>
          <t>Interest-bearing liabilities, eop</t>
        </is>
      </c>
      <c r="E132" s="74">
        <f>E44+E50+E54+E59</f>
        <v>112435.426046</v>
      </c>
      <c r="F132" s="74">
        <f>F44+F50+F54+F59</f>
        <v>133296.451828</v>
      </c>
      <c r="G132" s="74">
        <f>G44+G50+G54+G59</f>
        <v>159818.569481</v>
      </c>
      <c r="H132" s="74">
        <f>H44+H50+H54+H59</f>
        <v>169514.201603</v>
      </c>
      <c r="I132" s="77">
        <f>H132</f>
        <v>169514.201603</v>
      </c>
      <c r="J132" s="74">
        <f>J44+J50+J54+J59</f>
        <v>176533.62524</v>
      </c>
      <c r="K132" s="74">
        <f>K44+K50+K54+K59</f>
        <v>226724.479083</v>
      </c>
      <c r="L132" s="74">
        <f>L44+L50+L54+L59</f>
        <v>264294.605494</v>
      </c>
      <c r="M132" s="74">
        <f>M44+M50+M54+M59</f>
        <v>238688.071648</v>
      </c>
      <c r="N132" s="77">
        <f>M132</f>
        <v>238688.071648</v>
      </c>
      <c r="O132" s="74">
        <f>O44+O50+O54+O59</f>
        <v>259577.060635</v>
      </c>
      <c r="P132" s="74">
        <f>P44+P50+P54+P59</f>
        <v>284301.957981</v>
      </c>
      <c r="Q132" s="74">
        <f>Q44+Q50+Q54+Q59</f>
        <v>298903.82381</v>
      </c>
      <c r="R132" s="74">
        <f>R44+R50+R54+R59</f>
        <v>289108.236047</v>
      </c>
      <c r="S132" s="77">
        <f>R132</f>
        <v>289108.236047</v>
      </c>
      <c r="T132" s="74">
        <f>T44+T50+T54+T59</f>
        <v>294678.931</v>
      </c>
      <c r="U132" s="74">
        <f>U44+U50+U54+U59</f>
        <v>303438.83</v>
      </c>
      <c r="V132" s="74">
        <f>V44+V50+V54+V59</f>
        <v>317768.955</v>
      </c>
      <c r="W132" s="74">
        <f>W44+W50+W54+W59</f>
        <v>322594.237114</v>
      </c>
      <c r="X132" s="77">
        <f>W132</f>
        <v>322594.237114</v>
      </c>
      <c r="Y132" s="74">
        <f>Y44+Y50+Y54+Y59</f>
        <v>364865.217</v>
      </c>
      <c r="Z132" s="74">
        <f>Z44+Z50+Z54+Z59</f>
        <v>390287.034</v>
      </c>
      <c r="AA132" s="74">
        <f>AA44+AA50+AA54+AA59</f>
        <v>400943.596</v>
      </c>
      <c r="AB132" s="74">
        <f>AB44+AB50+AB54+AB59</f>
        <v>394484.665</v>
      </c>
      <c r="AC132" s="77">
        <f>AB132</f>
        <v>394484.665</v>
      </c>
      <c r="AD132" s="74">
        <f>AD44+AD50+AD54+AD59</f>
        <v>387464.638</v>
      </c>
      <c r="AE132" s="74">
        <f>AE44+AE50+AE54+AE59</f>
        <v>413147.652</v>
      </c>
      <c r="AF132" s="74">
        <f>AF44+AF50+AF54+AF59</f>
        <v>440299.709</v>
      </c>
      <c r="AG132" s="74">
        <f>AG44+AG50+AG54+AG59</f>
        <v>543711.16</v>
      </c>
      <c r="AH132" s="77">
        <f>AG132</f>
        <v>543711.16</v>
      </c>
      <c r="AI132" s="74">
        <f>AI44+AI50+AI54+AI59</f>
        <v>558631.218</v>
      </c>
      <c r="AJ132" s="74">
        <f>AJ44+AJ50+AJ54+AJ59</f>
        <v>614746.212</v>
      </c>
      <c r="AK132" s="74">
        <f>AK44+AK50+AK54+AK59</f>
        <v>611441.602007</v>
      </c>
      <c r="AL132" s="74">
        <f>AL44+AL50+AL54+AL59</f>
        <v>608540.86565</v>
      </c>
      <c r="AM132" s="77">
        <f>AL132</f>
        <v>608540.86565</v>
      </c>
      <c r="AN132" s="74">
        <f>AN44+AN50+AN54+AN59</f>
        <v>607489.706806</v>
      </c>
      <c r="AO132" s="74">
        <f>AO44+AO50+AO54+AO59</f>
        <v>605854.732761</v>
      </c>
      <c r="AP132" s="74">
        <f>AP44+AP50+AP54+AP59</f>
        <v>602550.122768</v>
      </c>
      <c r="AQ132" s="74">
        <f>AQ44+AQ50+AQ54+AQ59</f>
        <v>599649.386411</v>
      </c>
      <c r="AR132" s="77">
        <f>AQ132</f>
        <v>599649.386411</v>
      </c>
      <c r="AS132" s="74">
        <f>AS44+AS50+AS54+AS59</f>
        <v>598598.227567</v>
      </c>
      <c r="AT132" s="74">
        <f>AT44+AT50+AT54+AT59</f>
        <v>596963.253522</v>
      </c>
      <c r="AU132" s="74">
        <f>AU44+AU50+AU54+AU59</f>
        <v>593658.643529</v>
      </c>
      <c r="AV132" s="74">
        <f>AV44+AV50+AV54+AV59</f>
        <v>590757.907172</v>
      </c>
      <c r="AW132" s="77">
        <f>AV132</f>
        <v>590757.907172</v>
      </c>
      <c r="AX132" s="74">
        <f>AX44+AX50+AX54+AX59</f>
        <v>589706.748328</v>
      </c>
      <c r="AY132" s="74">
        <f>AY44+AY50+AY54+AY59</f>
        <v>588071.774283</v>
      </c>
      <c r="AZ132" s="74">
        <f>AZ44+AZ50+AZ54+AZ59</f>
        <v>584767.16429</v>
      </c>
      <c r="BA132" s="74">
        <f>BA44+BA50+BA54+BA59</f>
        <v>581866.427933</v>
      </c>
      <c r="BB132" s="77">
        <f>BA132</f>
        <v>581866.427933</v>
      </c>
      <c r="BC132" s="74">
        <f>BC44+BC50+BC54+BC59</f>
        <v>580815.269089</v>
      </c>
      <c r="BD132" s="74">
        <f>BD44+BD50+BD54+BD59</f>
        <v>579180.295044</v>
      </c>
      <c r="BE132" s="74">
        <f>BE44+BE50+BE54+BE59</f>
        <v>575875.685051</v>
      </c>
      <c r="BF132" s="74">
        <f>BF44+BF50+BF54+BF59</f>
        <v>572974.948694</v>
      </c>
      <c r="BG132" s="77">
        <f>BF132</f>
        <v>572974.948694</v>
      </c>
    </row>
    <row r="133">
      <c r="C133" s="11" t="inlineStr">
        <is>
          <t>Passivos onerosos — saldo médio</t>
        </is>
      </c>
      <c r="D133" s="12" t="inlineStr">
        <is>
          <t>Interest-bearing liabilities, average</t>
        </is>
      </c>
      <c r="E133" s="74">
        <f>E132</f>
        <v>112435.426046</v>
      </c>
      <c r="F133" s="74">
        <f>AVERAGE(E132,F132)</f>
        <v>122865.938937</v>
      </c>
      <c r="G133" s="74">
        <f>AVERAGE(F132,G132)</f>
        <v>146557.5106545</v>
      </c>
      <c r="H133" s="74">
        <f>AVERAGE(G132,H132)</f>
        <v>164666.385542</v>
      </c>
      <c r="I133" s="77">
        <f>AVERAGE(E133:H133)</f>
        <v>136631.315294875</v>
      </c>
      <c r="J133" s="74">
        <f>AVERAGE(H132,J132)</f>
        <v>173023.9134215</v>
      </c>
      <c r="K133" s="74">
        <f>AVERAGE(J132,K132)</f>
        <v>201629.0521615</v>
      </c>
      <c r="L133" s="74">
        <f>AVERAGE(K132,L132)</f>
        <v>245509.5422885</v>
      </c>
      <c r="M133" s="74">
        <f>AVERAGE(L132,M132)</f>
        <v>251491.338571</v>
      </c>
      <c r="N133" s="77">
        <f>AVERAGE(J133:M133)</f>
        <v>217913.461610625</v>
      </c>
      <c r="O133" s="74">
        <f>AVERAGE(M132,O132)</f>
        <v>249132.5661415</v>
      </c>
      <c r="P133" s="74">
        <f>AVERAGE(O132,P132)</f>
        <v>271939.509308</v>
      </c>
      <c r="Q133" s="74">
        <f>AVERAGE(P132,Q132)</f>
        <v>291602.8908955</v>
      </c>
      <c r="R133" s="74">
        <f>AVERAGE(Q132,R132)</f>
        <v>294006.0299285</v>
      </c>
      <c r="S133" s="77">
        <f>AVERAGE(O133:R133)</f>
        <v>276670.249068375</v>
      </c>
      <c r="T133" s="74">
        <f>AVERAGE(R132,T132)</f>
        <v>291893.5835235</v>
      </c>
      <c r="U133" s="74">
        <f>AVERAGE(T132,U132)</f>
        <v>299058.8805</v>
      </c>
      <c r="V133" s="74">
        <f>AVERAGE(U132,V132)</f>
        <v>310603.8925</v>
      </c>
      <c r="W133" s="74">
        <f>AVERAGE(V132,W132)</f>
        <v>320181.596057</v>
      </c>
      <c r="X133" s="77">
        <f>AVERAGE(T133:W133)</f>
        <v>305434.488145125</v>
      </c>
      <c r="Y133" s="74">
        <f>AVERAGE(W132,Y132)</f>
        <v>343729.727057</v>
      </c>
      <c r="Z133" s="74">
        <f>AVERAGE(Y132,Z132)</f>
        <v>377576.1255</v>
      </c>
      <c r="AA133" s="74">
        <f>AVERAGE(Z132,AA132)</f>
        <v>395615.315</v>
      </c>
      <c r="AB133" s="74">
        <f>AVERAGE(AA132,AB132)</f>
        <v>397714.1305</v>
      </c>
      <c r="AC133" s="77">
        <f>AVERAGE(Y133:AB133)</f>
        <v>378658.82451425</v>
      </c>
      <c r="AD133" s="74">
        <f>AVERAGE(AB132,AD132)</f>
        <v>390974.6515</v>
      </c>
      <c r="AE133" s="74">
        <f>AVERAGE(AD132,AE132)</f>
        <v>400306.145</v>
      </c>
      <c r="AF133" s="74">
        <f>AVERAGE(AE132,AF132)</f>
        <v>426723.6805</v>
      </c>
      <c r="AG133" s="74">
        <f>AVERAGE(AF132,AG132)</f>
        <v>492005.4345</v>
      </c>
      <c r="AH133" s="77">
        <f>AVERAGE(AD133:AG133)</f>
        <v>427502.477875</v>
      </c>
      <c r="AI133" s="74">
        <f>AVERAGE(AG132,AI132)</f>
        <v>551171.189</v>
      </c>
      <c r="AJ133" s="74">
        <f>AVERAGE(AI132,AJ132)</f>
        <v>586688.715</v>
      </c>
      <c r="AK133" s="74">
        <f>AVERAGE(AJ132,AK132)</f>
        <v>613093.9070035</v>
      </c>
      <c r="AL133" s="74">
        <f>AVERAGE(AK132,AL132)</f>
        <v>609991.2338285</v>
      </c>
      <c r="AM133" s="77">
        <f>AVERAGE(AI133:AL133)</f>
        <v>590236.261208</v>
      </c>
      <c r="AN133" s="74">
        <f>AVERAGE(AL132,AN132)</f>
        <v>608015.286228</v>
      </c>
      <c r="AO133" s="74">
        <f>AVERAGE(AN132,AO132)</f>
        <v>606672.2197835</v>
      </c>
      <c r="AP133" s="74">
        <f>AVERAGE(AO132,AP132)</f>
        <v>604202.4277645</v>
      </c>
      <c r="AQ133" s="74">
        <f>AVERAGE(AP132,AQ132)</f>
        <v>601099.7545895</v>
      </c>
      <c r="AR133" s="77">
        <f>AVERAGE(AN133:AQ133)</f>
        <v>604997.422091375</v>
      </c>
      <c r="AS133" s="74">
        <f>AVERAGE(AQ132,AS132)</f>
        <v>599123.806989</v>
      </c>
      <c r="AT133" s="74">
        <f>AVERAGE(AS132,AT132)</f>
        <v>597780.7405445</v>
      </c>
      <c r="AU133" s="74">
        <f>AVERAGE(AT132,AU132)</f>
        <v>595310.9485255</v>
      </c>
      <c r="AV133" s="74">
        <f>AVERAGE(AU132,AV132)</f>
        <v>592208.2753505</v>
      </c>
      <c r="AW133" s="77">
        <f>AVERAGE(AS133:AV133)</f>
        <v>596105.942852375</v>
      </c>
      <c r="AX133" s="74">
        <f>AVERAGE(AV132,AX132)</f>
        <v>590232.32775</v>
      </c>
      <c r="AY133" s="74">
        <f>AVERAGE(AX132,AY132)</f>
        <v>588889.2613055</v>
      </c>
      <c r="AZ133" s="74">
        <f>AVERAGE(AY132,AZ132)</f>
        <v>586419.4692865</v>
      </c>
      <c r="BA133" s="74">
        <f>AVERAGE(AZ132,BA132)</f>
        <v>583316.7961115</v>
      </c>
      <c r="BB133" s="77">
        <f>AVERAGE(AX133:BA133)</f>
        <v>587214.463613375</v>
      </c>
      <c r="BC133" s="74">
        <f>AVERAGE(BA132,BC132)</f>
        <v>581340.848511</v>
      </c>
      <c r="BD133" s="74">
        <f>AVERAGE(BC132,BD132)</f>
        <v>579997.7820665</v>
      </c>
      <c r="BE133" s="74">
        <f>AVERAGE(BD132,BE132)</f>
        <v>577527.9900475</v>
      </c>
      <c r="BF133" s="74">
        <f>AVERAGE(BE132,BF132)</f>
        <v>574425.3168725</v>
      </c>
      <c r="BG133" s="77">
        <f>AVERAGE(BC133:BF133)</f>
        <v>578322.984374375</v>
      </c>
    </row>
    <row r="134">
      <c r="C134" s="11" t="inlineStr">
        <is>
          <t>Carteira de crédito bruta — saldo médio</t>
        </is>
      </c>
      <c r="D134" s="12" t="inlineStr">
        <is>
          <t>Gross loan book, average</t>
        </is>
      </c>
      <c r="E134" s="74">
        <f>E31+E32</f>
        <v>30342.883703</v>
      </c>
      <c r="F134" s="74">
        <f>AVERAGE(E31+E32,F31+F32)</f>
        <v>34446.7639835</v>
      </c>
      <c r="G134" s="74">
        <f>AVERAGE(F31+F32,G31+G32)</f>
        <v>41998.105265</v>
      </c>
      <c r="H134" s="74">
        <f>AVERAGE(G31+G32,H31+H32)</f>
        <v>47114.602229</v>
      </c>
      <c r="I134" s="77">
        <f>AVERAGE(E134:H134)</f>
        <v>38475.588795125</v>
      </c>
      <c r="J134" s="74">
        <f>AVERAGE(H31+H32,J31+J32)</f>
        <v>51590.71894</v>
      </c>
      <c r="K134" s="74">
        <f>AVERAGE(J31+J32,K31+K32)</f>
        <v>70970.6200325</v>
      </c>
      <c r="L134" s="74">
        <f>AVERAGE(K31+K32,L31+L32)</f>
        <v>90720.7962975</v>
      </c>
      <c r="M134" s="74">
        <f>AVERAGE(L31+L32,M31+M32)</f>
        <v>96487.99575</v>
      </c>
      <c r="N134" s="77">
        <f>AVERAGE(J134:M134)</f>
        <v>77442.532755</v>
      </c>
      <c r="O134" s="74">
        <f>AVERAGE(M31+M32,O31+O32)</f>
        <v>100713.622261</v>
      </c>
      <c r="P134" s="74">
        <f>AVERAGE(O31+O32,P31+P32)</f>
        <v>104735.276074</v>
      </c>
      <c r="Q134" s="74">
        <f>AVERAGE(P31+P32,Q31+Q32)</f>
        <v>107964.7531575</v>
      </c>
      <c r="R134" s="74">
        <f>AVERAGE(Q31+Q32,R31+R32)</f>
        <v>111715.689013</v>
      </c>
      <c r="S134" s="77">
        <f>AVERAGE(O134:R134)</f>
        <v>106282.335126375</v>
      </c>
      <c r="T134" s="74">
        <f>AVERAGE(R31+R32,T31+T32)</f>
        <v>112187.4678095</v>
      </c>
      <c r="U134" s="74">
        <f>AVERAGE(T31+T32,U31+U32)</f>
        <v>108841.283</v>
      </c>
      <c r="V134" s="74">
        <f>AVERAGE(U31+U32,V31+V32)</f>
        <v>110364.7055</v>
      </c>
      <c r="W134" s="74">
        <f>AVERAGE(V31+V32,W31+W32)</f>
        <v>117650.2545</v>
      </c>
      <c r="X134" s="77">
        <f>AVERAGE(T134:W134)</f>
        <v>112260.927702375</v>
      </c>
      <c r="Y134" s="74">
        <f>AVERAGE(W31+W32,Y31+Y32)</f>
        <v>127772.4815</v>
      </c>
      <c r="Z134" s="74">
        <f>AVERAGE(Y31+Y32,Z31+Z32)</f>
        <v>137997.3375</v>
      </c>
      <c r="AA134" s="74">
        <f>AVERAGE(Z31+Z32,AA31+AA32)</f>
        <v>145879.9555</v>
      </c>
      <c r="AB134" s="74">
        <f>AVERAGE(AA31+AA32,AB31+AB32)</f>
        <v>152193.6610495</v>
      </c>
      <c r="AC134" s="77">
        <f>AVERAGE(Y134:AB134)</f>
        <v>140960.858887375</v>
      </c>
      <c r="AD134" s="74">
        <f>AVERAGE(AB31+AB32,AD31+AD32)</f>
        <v>158767.1175495</v>
      </c>
      <c r="AE134" s="74">
        <f>AVERAGE(AD31+AD32,AE31+AE32)</f>
        <v>163617.007</v>
      </c>
      <c r="AF134" s="74">
        <f>AVERAGE(AE31+AE32,AF31+AF32)</f>
        <v>168762.107</v>
      </c>
      <c r="AG134" s="74">
        <f>AVERAGE(AF31+AF32,AG31+AG32)</f>
        <v>180252.3005</v>
      </c>
      <c r="AH134" s="77">
        <f>AVERAGE(AD134:AG134)</f>
        <v>167849.633012375</v>
      </c>
      <c r="AI134" s="74">
        <f>AVERAGE(AG31+AG32,AI31+AI32)</f>
        <v>192238.94</v>
      </c>
      <c r="AJ134" s="74">
        <f>AVERAGE(AI31+AI32,AJ31+AJ32)</f>
        <v>197396.089</v>
      </c>
      <c r="AK134" s="74">
        <f>AVERAGE(AJ31+AJ32,AK31+AK32)</f>
        <v>198573.334</v>
      </c>
      <c r="AL134" s="74">
        <f>AVERAGE(AK31+AK32,AL31+AL32)</f>
        <v>198573.334</v>
      </c>
      <c r="AM134" s="77">
        <f>AVERAGE(AI134:AL134)</f>
        <v>196695.42425</v>
      </c>
      <c r="AN134" s="74">
        <f>AVERAGE(AL31+AL32,AN31+AN32)</f>
        <v>198573.334</v>
      </c>
      <c r="AO134" s="74">
        <f>AVERAGE(AN31+AN32,AO31+AO32)</f>
        <v>198573.334</v>
      </c>
      <c r="AP134" s="74">
        <f>AVERAGE(AO31+AO32,AP31+AP32)</f>
        <v>198573.334</v>
      </c>
      <c r="AQ134" s="74">
        <f>AVERAGE(AP31+AP32,AQ31+AQ32)</f>
        <v>198573.334</v>
      </c>
      <c r="AR134" s="77">
        <f>AVERAGE(AN134:AQ134)</f>
        <v>198573.334</v>
      </c>
      <c r="AS134" s="74">
        <f>AVERAGE(AQ31+AQ32,AS31+AS32)</f>
        <v>198573.334</v>
      </c>
      <c r="AT134" s="74">
        <f>AVERAGE(AS31+AS32,AT31+AT32)</f>
        <v>198573.334</v>
      </c>
      <c r="AU134" s="74">
        <f>AVERAGE(AT31+AT32,AU31+AU32)</f>
        <v>198573.334</v>
      </c>
      <c r="AV134" s="74">
        <f>AVERAGE(AU31+AU32,AV31+AV32)</f>
        <v>198573.334</v>
      </c>
      <c r="AW134" s="77">
        <f>AVERAGE(AS134:AV134)</f>
        <v>198573.334</v>
      </c>
      <c r="AX134" s="74">
        <f>AVERAGE(AV31+AV32,AX31+AX32)</f>
        <v>198573.334</v>
      </c>
      <c r="AY134" s="74">
        <f>AVERAGE(AX31+AX32,AY31+AY32)</f>
        <v>198573.334</v>
      </c>
      <c r="AZ134" s="74">
        <f>AVERAGE(AY31+AY32,AZ31+AZ32)</f>
        <v>198573.334</v>
      </c>
      <c r="BA134" s="74">
        <f>AVERAGE(AZ31+AZ32,BA31+BA32)</f>
        <v>198573.334</v>
      </c>
      <c r="BB134" s="77">
        <f>AVERAGE(AX134:BA134)</f>
        <v>198573.334</v>
      </c>
      <c r="BC134" s="74">
        <f>AVERAGE(BA31+BA32,BC31+BC32)</f>
        <v>198573.334</v>
      </c>
      <c r="BD134" s="74">
        <f>AVERAGE(BC31+BC32,BD31+BD32)</f>
        <v>198573.334</v>
      </c>
      <c r="BE134" s="74">
        <f>AVERAGE(BD31+BD32,BE31+BE32)</f>
        <v>198573.334</v>
      </c>
      <c r="BF134" s="74">
        <f>AVERAGE(BE31+BE32,BF31+BF32)</f>
        <v>198573.334</v>
      </c>
      <c r="BG134" s="77">
        <f>AVERAGE(BC134:BF134)</f>
        <v>198573.334</v>
      </c>
    </row>
    <row r="135">
      <c r="C135" s="11" t="inlineStr">
        <is>
          <t>Ativo total — saldo médio</t>
        </is>
      </c>
      <c r="D135" s="12" t="inlineStr">
        <is>
          <t>Total assets, average</t>
        </is>
      </c>
      <c r="E135" s="74">
        <f>E42</f>
        <v>200357.046614</v>
      </c>
      <c r="F135" s="74">
        <f>AVERAGE(E42,F42)</f>
        <v>215384.110749</v>
      </c>
      <c r="G135" s="74">
        <f>AVERAGE(F42,G42)</f>
        <v>241811.530298</v>
      </c>
      <c r="H135" s="74">
        <f>AVERAGE(G42,H42)</f>
        <v>249068.611339</v>
      </c>
      <c r="I135" s="77">
        <f>AVERAGE(E135:H135)</f>
        <v>226655.32475</v>
      </c>
      <c r="J135" s="74">
        <f>AVERAGE(H42,J42)</f>
        <v>262364.5322125</v>
      </c>
      <c r="K135" s="74">
        <f>AVERAGE(J42,K42)</f>
        <v>307499.5338345</v>
      </c>
      <c r="L135" s="74">
        <f>AVERAGE(K42,L42)</f>
        <v>353715.0120525</v>
      </c>
      <c r="M135" s="74">
        <f>AVERAGE(L42,M42)</f>
        <v>359188.6766675</v>
      </c>
      <c r="N135" s="77">
        <f>AVERAGE(J135:M135)</f>
        <v>320691.93869175</v>
      </c>
      <c r="O135" s="74">
        <f>AVERAGE(M42,O42)</f>
        <v>368745.8646105</v>
      </c>
      <c r="P135" s="74">
        <f>AVERAGE(O42,P42)</f>
        <v>423087.874466</v>
      </c>
      <c r="Q135" s="74">
        <f>AVERAGE(P42,Q42)</f>
        <v>447365.703264</v>
      </c>
      <c r="R135" s="74">
        <f>AVERAGE(Q42,R42)</f>
        <v>445258.4024875</v>
      </c>
      <c r="S135" s="77">
        <f>AVERAGE(O135:R135)</f>
        <v>421114.461207</v>
      </c>
      <c r="T135" s="74">
        <f>AVERAGE(R42,T42)</f>
        <v>460506.781799</v>
      </c>
      <c r="U135" s="74">
        <f>AVERAGE(T42,U42)</f>
        <v>472476.812</v>
      </c>
      <c r="V135" s="74">
        <f>AVERAGE(U42,V42)</f>
        <v>485495.636</v>
      </c>
      <c r="W135" s="74">
        <f>AVERAGE(V42,W42)</f>
        <v>494835.9865</v>
      </c>
      <c r="X135" s="77">
        <f>AVERAGE(T135:W135)</f>
        <v>478328.80407475</v>
      </c>
      <c r="Y135" s="74">
        <f>AVERAGE(W42,Y42)</f>
        <v>530455.0675</v>
      </c>
      <c r="Z135" s="74">
        <f>AVERAGE(Y42,Z42)</f>
        <v>584019.9605</v>
      </c>
      <c r="AA135" s="74">
        <f>AVERAGE(Z42,AA42)</f>
        <v>605874.8325</v>
      </c>
      <c r="AB135" s="74">
        <f>AVERAGE(AA42,AB42)</f>
        <v>599275.4594145</v>
      </c>
      <c r="AC135" s="77">
        <f>AVERAGE(Y135:AB135)</f>
        <v>579906.329978625</v>
      </c>
      <c r="AD135" s="74">
        <f>AVERAGE(AB42,AD42)</f>
        <v>597802.8049145</v>
      </c>
      <c r="AE135" s="74">
        <f>AVERAGE(AD42,AE42)</f>
        <v>632256.5355</v>
      </c>
      <c r="AF135" s="74">
        <f>AVERAGE(AE42,AF42)</f>
        <v>670515.686</v>
      </c>
      <c r="AG135" s="74">
        <f>AVERAGE(AF42,AG42)</f>
        <v>745464.1805</v>
      </c>
      <c r="AH135" s="77">
        <f>AVERAGE(AD135:AG135)</f>
        <v>661509.801728625</v>
      </c>
      <c r="AI135" s="74">
        <f>AVERAGE(AG42,AI42)</f>
        <v>825771.571</v>
      </c>
      <c r="AJ135" s="74">
        <f>AVERAGE(AI42,AJ42)</f>
        <v>885396.6845</v>
      </c>
      <c r="AK135" s="74">
        <f>AVERAGE(AJ42,AK42)</f>
        <v>925218.566</v>
      </c>
      <c r="AL135" s="74">
        <f>AVERAGE(AK42,AL42)</f>
        <v>925218.566</v>
      </c>
      <c r="AM135" s="77">
        <f>AVERAGE(AI135:AL135)</f>
        <v>890401.346875</v>
      </c>
      <c r="AN135" s="74">
        <f>AVERAGE(AL42,AN42)</f>
        <v>925218.566</v>
      </c>
      <c r="AO135" s="74">
        <f>AVERAGE(AN42,AO42)</f>
        <v>925218.566</v>
      </c>
      <c r="AP135" s="74">
        <f>AVERAGE(AO42,AP42)</f>
        <v>925218.566</v>
      </c>
      <c r="AQ135" s="74">
        <f>AVERAGE(AP42,AQ42)</f>
        <v>925218.566</v>
      </c>
      <c r="AR135" s="77">
        <f>AVERAGE(AN135:AQ135)</f>
        <v>925218.566</v>
      </c>
      <c r="AS135" s="74">
        <f>AVERAGE(AQ42,AS42)</f>
        <v>925218.566</v>
      </c>
      <c r="AT135" s="74">
        <f>AVERAGE(AS42,AT42)</f>
        <v>925218.566</v>
      </c>
      <c r="AU135" s="74">
        <f>AVERAGE(AT42,AU42)</f>
        <v>925218.566</v>
      </c>
      <c r="AV135" s="74">
        <f>AVERAGE(AU42,AV42)</f>
        <v>925218.566</v>
      </c>
      <c r="AW135" s="77">
        <f>AVERAGE(AS135:AV135)</f>
        <v>925218.566</v>
      </c>
      <c r="AX135" s="74">
        <f>AVERAGE(AV42,AX42)</f>
        <v>925218.566</v>
      </c>
      <c r="AY135" s="74">
        <f>AVERAGE(AX42,AY42)</f>
        <v>925218.566</v>
      </c>
      <c r="AZ135" s="74">
        <f>AVERAGE(AY42,AZ42)</f>
        <v>925218.566</v>
      </c>
      <c r="BA135" s="74">
        <f>AVERAGE(AZ42,BA42)</f>
        <v>925218.566</v>
      </c>
      <c r="BB135" s="77">
        <f>AVERAGE(AX135:BA135)</f>
        <v>925218.566</v>
      </c>
      <c r="BC135" s="74">
        <f>AVERAGE(BA42,BC42)</f>
        <v>925218.566</v>
      </c>
      <c r="BD135" s="74">
        <f>AVERAGE(BC42,BD42)</f>
        <v>925218.566</v>
      </c>
      <c r="BE135" s="74">
        <f>AVERAGE(BD42,BE42)</f>
        <v>925218.566</v>
      </c>
      <c r="BF135" s="74">
        <f>AVERAGE(BE42,BF42)</f>
        <v>925218.566</v>
      </c>
      <c r="BG135" s="77">
        <f>AVERAGE(BC135:BF135)</f>
        <v>925218.566</v>
      </c>
    </row>
    <row r="136">
      <c r="C136" s="11" t="inlineStr">
        <is>
          <t>PL dos controladores — saldo médio</t>
        </is>
      </c>
      <c r="D136" s="12" t="inlineStr">
        <is>
          <t>Controlling equity, average</t>
        </is>
      </c>
      <c r="E136" s="74">
        <f>E71</f>
        <v>22053.349793</v>
      </c>
      <c r="F136" s="74">
        <f>AVERAGE(E71,F71)</f>
        <v>23840.4871035</v>
      </c>
      <c r="G136" s="74">
        <f>AVERAGE(F71,G71)</f>
        <v>25838.2327005</v>
      </c>
      <c r="H136" s="74">
        <f>AVERAGE(G71,H71)</f>
        <v>26364.7482395</v>
      </c>
      <c r="I136" s="77">
        <f>AVERAGE(E136:H136)</f>
        <v>24524.204459125</v>
      </c>
      <c r="J136" s="74">
        <f>AVERAGE(H71,J71)</f>
        <v>28547.5009065</v>
      </c>
      <c r="K136" s="74">
        <f>AVERAGE(J71,K71)</f>
        <v>32727.3347285</v>
      </c>
      <c r="L136" s="74">
        <f>AVERAGE(K71,L71)</f>
        <v>35649.838323</v>
      </c>
      <c r="M136" s="74">
        <f>AVERAGE(L71,M71)</f>
        <v>36819.5500275</v>
      </c>
      <c r="N136" s="77">
        <f>AVERAGE(J136:M136)</f>
        <v>33436.055996375</v>
      </c>
      <c r="O136" s="74">
        <f>AVERAGE(M71,O71)</f>
        <v>38339.638239</v>
      </c>
      <c r="P136" s="74">
        <f>AVERAGE(O71,P71)</f>
        <v>40329.1324775</v>
      </c>
      <c r="Q136" s="74">
        <f>AVERAGE(P71,Q71)</f>
        <v>41810.34396</v>
      </c>
      <c r="R136" s="74">
        <f>AVERAGE(Q71,R71)</f>
        <v>42316.860284</v>
      </c>
      <c r="S136" s="77">
        <f>AVERAGE(O136:R136)</f>
        <v>40698.993740125</v>
      </c>
      <c r="T136" s="74">
        <f>AVERAGE(R71,T71)</f>
        <v>43289.676835</v>
      </c>
      <c r="U136" s="74">
        <f>AVERAGE(T71,U71)</f>
        <v>45458.03</v>
      </c>
      <c r="V136" s="74">
        <f>AVERAGE(U71,V71)</f>
        <v>47240.4005</v>
      </c>
      <c r="W136" s="74">
        <f>AVERAGE(V71,W71)</f>
        <v>48577.0665</v>
      </c>
      <c r="X136" s="77">
        <f>AVERAGE(T136:W136)</f>
        <v>46141.29345875</v>
      </c>
      <c r="Y136" s="74">
        <f>AVERAGE(W71,Y71)</f>
        <v>50671.9567075</v>
      </c>
      <c r="Z136" s="74">
        <f>AVERAGE(Y71,Z71)</f>
        <v>52518.8462075</v>
      </c>
      <c r="AA136" s="74">
        <f>AVERAGE(Z71,AA71)</f>
        <v>54672.995</v>
      </c>
      <c r="AB136" s="74">
        <f>AVERAGE(AA71,AB71)</f>
        <v>56374.909986</v>
      </c>
      <c r="AC136" s="77">
        <f>AVERAGE(Y136:AB136)</f>
        <v>53559.67697525</v>
      </c>
      <c r="AD136" s="74">
        <f>AVERAGE(AB71,AD71)</f>
        <v>58128.995486</v>
      </c>
      <c r="AE136" s="74">
        <f>AVERAGE(AD71,AE71)</f>
        <v>61740.949</v>
      </c>
      <c r="AF136" s="74">
        <f>AVERAGE(AE71,AF71)</f>
        <v>64654.4075</v>
      </c>
      <c r="AG136" s="74">
        <f>AVERAGE(AF71,AG71)</f>
        <v>67787.5595</v>
      </c>
      <c r="AH136" s="77">
        <f>AVERAGE(AD136:AG136)</f>
        <v>63077.9778715</v>
      </c>
      <c r="AI136" s="74">
        <f>AVERAGE(AG71,AI71)</f>
        <v>72239.9965</v>
      </c>
      <c r="AJ136" s="74">
        <f>AVERAGE(AI71,AJ71)</f>
        <v>77031.928</v>
      </c>
      <c r="AK136" s="74">
        <f>AVERAGE(AJ71,AK71)</f>
        <v>81205.7939965</v>
      </c>
      <c r="AL136" s="74">
        <f>AVERAGE(AK71,AL71)</f>
        <v>84308.4671715</v>
      </c>
      <c r="AM136" s="77">
        <f>AVERAGE(AI136:AL136)</f>
        <v>78696.546417</v>
      </c>
      <c r="AN136" s="74">
        <f>AVERAGE(AL71,AN71)</f>
        <v>86284.414772</v>
      </c>
      <c r="AO136" s="74">
        <f>AVERAGE(AN71,AO71)</f>
        <v>87627.4812165</v>
      </c>
      <c r="AP136" s="74">
        <f>AVERAGE(AO71,AP71)</f>
        <v>90097.2732355</v>
      </c>
      <c r="AQ136" s="74">
        <f>AVERAGE(AP71,AQ71)</f>
        <v>93199.9464105</v>
      </c>
      <c r="AR136" s="77">
        <f>AVERAGE(AN136:AQ136)</f>
        <v>89302.278908625</v>
      </c>
      <c r="AS136" s="74">
        <f>AVERAGE(AQ71,AS71)</f>
        <v>95175.894011</v>
      </c>
      <c r="AT136" s="74">
        <f>AVERAGE(AS71,AT71)</f>
        <v>96518.9604555</v>
      </c>
      <c r="AU136" s="74">
        <f>AVERAGE(AT71,AU71)</f>
        <v>98988.7524745</v>
      </c>
      <c r="AV136" s="74">
        <f>AVERAGE(AU71,AV71)</f>
        <v>102091.4256495</v>
      </c>
      <c r="AW136" s="77">
        <f>AVERAGE(AS136:AV136)</f>
        <v>98193.758147625</v>
      </c>
      <c r="AX136" s="74">
        <f>AVERAGE(AV71,AX71)</f>
        <v>104067.37325</v>
      </c>
      <c r="AY136" s="74">
        <f>AVERAGE(AX71,AY71)</f>
        <v>105410.4396945</v>
      </c>
      <c r="AZ136" s="74">
        <f>AVERAGE(AY71,AZ71)</f>
        <v>107880.2317135</v>
      </c>
      <c r="BA136" s="74">
        <f>AVERAGE(AZ71,BA71)</f>
        <v>110982.9048885</v>
      </c>
      <c r="BB136" s="77">
        <f>AVERAGE(AX136:BA136)</f>
        <v>107085.237386625</v>
      </c>
      <c r="BC136" s="74">
        <f>AVERAGE(BA71,BC71)</f>
        <v>112958.852489</v>
      </c>
      <c r="BD136" s="74">
        <f>AVERAGE(BC71,BD71)</f>
        <v>114301.9189335</v>
      </c>
      <c r="BE136" s="74">
        <f>AVERAGE(BD71,BE71)</f>
        <v>116771.7109525</v>
      </c>
      <c r="BF136" s="74">
        <f>AVERAGE(BE71,BF71)</f>
        <v>119874.3841275</v>
      </c>
      <c r="BG136" s="77">
        <f>AVERAGE(BC136:BF136)</f>
        <v>115976.716625625</v>
      </c>
    </row>
    <row r="137">
      <c r="C137" s="11" t="inlineStr">
        <is>
          <t>Margem financeira bruta</t>
        </is>
      </c>
      <c r="D137" s="12" t="inlineStr">
        <is>
          <t>Gross NII</t>
        </is>
      </c>
      <c r="E137" s="74">
        <f>E101</f>
        <v>-308.070726</v>
      </c>
      <c r="F137" s="74">
        <f>F101</f>
        <v>192.949489000001</v>
      </c>
      <c r="G137" s="74">
        <f>G101</f>
        <v>1630.807797</v>
      </c>
      <c r="H137" s="74">
        <f>H101</f>
        <v>1566.391751</v>
      </c>
      <c r="I137" s="77">
        <f>SUM(E137:H137)</f>
        <v>3082.078311</v>
      </c>
      <c r="J137" s="74">
        <f>J101</f>
        <v>-2100.914721</v>
      </c>
      <c r="K137" s="74">
        <f>K101</f>
        <v>8069.091453</v>
      </c>
      <c r="L137" s="74">
        <f>L101</f>
        <v>2579.260206</v>
      </c>
      <c r="M137" s="74">
        <f>M101</f>
        <v>2843.477694</v>
      </c>
      <c r="N137" s="77">
        <f>SUM(J137:M137)</f>
        <v>11390.914632</v>
      </c>
      <c r="O137" s="74">
        <f>O101</f>
        <v>2786.421994</v>
      </c>
      <c r="P137" s="74">
        <f>P101</f>
        <v>1391.767006</v>
      </c>
      <c r="Q137" s="74">
        <f>Q101</f>
        <v>3554.457663</v>
      </c>
      <c r="R137" s="74">
        <f>R101</f>
        <v>1253.381959</v>
      </c>
      <c r="S137" s="77">
        <f>SUM(O137:R137)</f>
        <v>8986.028622</v>
      </c>
      <c r="T137" s="74">
        <f>T101</f>
        <v>5891.256189</v>
      </c>
      <c r="U137" s="74">
        <f>U101</f>
        <v>4273.80403800001</v>
      </c>
      <c r="V137" s="74">
        <f>V101</f>
        <v>7564.233533</v>
      </c>
      <c r="W137" s="74">
        <f>W101</f>
        <v>7017.924948</v>
      </c>
      <c r="X137" s="77">
        <f>SUM(T137:W137)</f>
        <v>24747.218708</v>
      </c>
      <c r="Y137" s="74">
        <f>Y101</f>
        <v>4101.380282</v>
      </c>
      <c r="Z137" s="74">
        <f>Z101</f>
        <v>4022.729538</v>
      </c>
      <c r="AA137" s="74">
        <f>AA101</f>
        <v>4428.183699</v>
      </c>
      <c r="AB137" s="74">
        <f>AB101</f>
        <v>7043.279792</v>
      </c>
      <c r="AC137" s="77">
        <f>SUM(Y137:AB137)</f>
        <v>19595.573311</v>
      </c>
      <c r="AD137" s="74">
        <f>AD101</f>
        <v>4859.045181</v>
      </c>
      <c r="AE137" s="74">
        <f>AE101</f>
        <v>6895.268393</v>
      </c>
      <c r="AF137" s="74">
        <f>AF101</f>
        <v>9332.744802</v>
      </c>
      <c r="AG137" s="74">
        <f>AG101</f>
        <v>8560.69915299999</v>
      </c>
      <c r="AH137" s="77">
        <f>SUM(AD137:AG137)</f>
        <v>29647.757529</v>
      </c>
      <c r="AI137" s="74">
        <f>AI101</f>
        <v>10467.617168</v>
      </c>
      <c r="AJ137" s="74">
        <f>AJ101</f>
        <v>11110.085896</v>
      </c>
      <c r="AK137" s="74">
        <f>AK101</f>
        <v>-326.70773</v>
      </c>
      <c r="AL137" s="74">
        <f>AL101</f>
        <v>-326.70773</v>
      </c>
      <c r="AM137" s="77">
        <f>SUM(AI137:AL137)</f>
        <v>20924.287604</v>
      </c>
      <c r="AN137" s="74">
        <f>AN101</f>
        <v>-326.70773</v>
      </c>
      <c r="AO137" s="74">
        <f>AO101</f>
        <v>-326.70773</v>
      </c>
      <c r="AP137" s="74">
        <f>AP101</f>
        <v>-326.70773</v>
      </c>
      <c r="AQ137" s="74">
        <f>AQ101</f>
        <v>-326.70773</v>
      </c>
      <c r="AR137" s="77">
        <f>SUM(AN137:AQ137)</f>
        <v>-1306.83092</v>
      </c>
      <c r="AS137" s="74">
        <f>AS101</f>
        <v>-326.70773</v>
      </c>
      <c r="AT137" s="74">
        <f>AT101</f>
        <v>-326.70773</v>
      </c>
      <c r="AU137" s="74">
        <f>AU101</f>
        <v>-326.70773</v>
      </c>
      <c r="AV137" s="74">
        <f>AV101</f>
        <v>-326.70773</v>
      </c>
      <c r="AW137" s="77">
        <f>SUM(AS137:AV137)</f>
        <v>-1306.83092</v>
      </c>
      <c r="AX137" s="74">
        <f>AX101</f>
        <v>-326.70773</v>
      </c>
      <c r="AY137" s="74">
        <f>AY101</f>
        <v>-326.70773</v>
      </c>
      <c r="AZ137" s="74">
        <f>AZ101</f>
        <v>-326.70773</v>
      </c>
      <c r="BA137" s="74">
        <f>BA101</f>
        <v>-326.70773</v>
      </c>
      <c r="BB137" s="77">
        <f>SUM(AX137:BA137)</f>
        <v>-1306.83092</v>
      </c>
      <c r="BC137" s="74">
        <f>BC101</f>
        <v>-326.70773</v>
      </c>
      <c r="BD137" s="74">
        <f>BD101</f>
        <v>-326.70773</v>
      </c>
      <c r="BE137" s="74">
        <f>BE101</f>
        <v>-326.70773</v>
      </c>
      <c r="BF137" s="74">
        <f>BF101</f>
        <v>-326.70773</v>
      </c>
      <c r="BG137" s="77">
        <f>SUM(BC137:BF137)</f>
        <v>-1306.83092</v>
      </c>
    </row>
    <row r="138">
      <c r="C138" s="11" t="inlineStr">
        <is>
          <t>Margem financeira com clientes</t>
        </is>
      </c>
      <c r="D138" s="12" t="inlineStr">
        <is>
          <t>NII with clients</t>
        </is>
      </c>
      <c r="E138" s="57">
        <f>IF(AND(E$14=1,ISNUMBER('Inputs (2)'!E127),'Inputs (2)'!E127&lt;&gt;0),'Inputs (2)'!E127,E92+E97)</f>
        <v>686.910523</v>
      </c>
      <c r="F138" s="57">
        <f>IF(AND(F$14=1,ISNUMBER('Inputs (2)'!F127),'Inputs (2)'!F127&lt;&gt;0),'Inputs (2)'!F127,F92+F97)</f>
        <v>-15.950566</v>
      </c>
      <c r="G138" s="57">
        <f>IF(AND(G$14=1,ISNUMBER('Inputs (2)'!G127),'Inputs (2)'!G127&lt;&gt;0),'Inputs (2)'!G127,G92+G97)</f>
        <v>-145.42338</v>
      </c>
      <c r="H138" s="57">
        <f>IF(AND(H$14=1,ISNUMBER('Inputs (2)'!H127),'Inputs (2)'!H127&lt;&gt;0),'Inputs (2)'!H127,H92+H97)</f>
        <v>277.079673</v>
      </c>
      <c r="I138" s="77">
        <f>SUM(E138:H138)</f>
        <v>802.61625</v>
      </c>
      <c r="J138" s="57">
        <f>IF(AND(J$14=1,ISNUMBER('Inputs (2)'!J127),'Inputs (2)'!J127&lt;&gt;0),'Inputs (2)'!J127,J92+J97)</f>
        <v>360.967205</v>
      </c>
      <c r="K138" s="57">
        <f>IF(AND(K$14=1,ISNUMBER('Inputs (2)'!K127),'Inputs (2)'!K127&lt;&gt;0),'Inputs (2)'!K127,K92+K97)</f>
        <v>3558.229164</v>
      </c>
      <c r="L138" s="57">
        <f>IF(AND(L$14=1,ISNUMBER('Inputs (2)'!L127),'Inputs (2)'!L127&lt;&gt;0),'Inputs (2)'!L127,L92+L97)</f>
        <v>1341.371582</v>
      </c>
      <c r="M138" s="57">
        <f>IF(AND(M$14=1,ISNUMBER('Inputs (2)'!M127),'Inputs (2)'!M127&lt;&gt;0),'Inputs (2)'!M127,M92+M97)</f>
        <v>777.988578</v>
      </c>
      <c r="N138" s="77">
        <f>SUM(J138:M138)</f>
        <v>6038.556529</v>
      </c>
      <c r="O138" s="57">
        <f>IF(AND(O$14=1,ISNUMBER('Inputs (2)'!O127),'Inputs (2)'!O127&lt;&gt;0),'Inputs (2)'!O127,O92+O97)</f>
        <v>258.59314</v>
      </c>
      <c r="P138" s="57">
        <f>IF(AND(P$14=1,ISNUMBER('Inputs (2)'!P127),'Inputs (2)'!P127&lt;&gt;0),'Inputs (2)'!P127,P92+P97)</f>
        <v>-5387.369287</v>
      </c>
      <c r="Q138" s="57">
        <f>IF(AND(Q$14=1,ISNUMBER('Inputs (2)'!Q127),'Inputs (2)'!Q127&lt;&gt;0),'Inputs (2)'!Q127,Q92+Q97)</f>
        <v>-782.592126000001</v>
      </c>
      <c r="R138" s="57">
        <f>IF(AND(R$14=1,ISNUMBER('Inputs (2)'!R127),'Inputs (2)'!R127&lt;&gt;0),'Inputs (2)'!R127,R92+R97)</f>
        <v>-1494.155768</v>
      </c>
      <c r="S138" s="77">
        <f>SUM(O138:R138)</f>
        <v>-7405.524041</v>
      </c>
      <c r="T138" s="57">
        <f>IF(AND(T$14=1,ISNUMBER('Inputs (2)'!T127),'Inputs (2)'!T127&lt;&gt;0),'Inputs (2)'!T127,T92+T97)</f>
        <v>858.877473000001</v>
      </c>
      <c r="U138" s="57">
        <f>IF(AND(U$14=1,ISNUMBER('Inputs (2)'!U127),'Inputs (2)'!U127&lt;&gt;0),'Inputs (2)'!U127,U92+U97)</f>
        <v>-1393.261685</v>
      </c>
      <c r="V138" s="57">
        <f>IF(AND(V$14=1,ISNUMBER('Inputs (2)'!V127),'Inputs (2)'!V127&lt;&gt;0),'Inputs (2)'!V127,V92+V97)</f>
        <v>-1599.881466</v>
      </c>
      <c r="W138" s="57">
        <f>IF(AND(W$14=1,ISNUMBER('Inputs (2)'!W127),'Inputs (2)'!W127&lt;&gt;0),'Inputs (2)'!W127,W92+W97)</f>
        <v>-2400.934101</v>
      </c>
      <c r="X138" s="77">
        <f>SUM(T138:W138)</f>
        <v>-4535.199779</v>
      </c>
      <c r="Y138" s="57">
        <f>IF(AND(Y$14=1,ISNUMBER('Inputs (2)'!Y127),'Inputs (2)'!Y127&lt;&gt;0),'Inputs (2)'!Y127,Y92+Y97)</f>
        <v>-1473.579391</v>
      </c>
      <c r="Z138" s="57">
        <f>IF(AND(Z$14=1,ISNUMBER('Inputs (2)'!Z127),'Inputs (2)'!Z127&lt;&gt;0),'Inputs (2)'!Z127,Z92+Z97)</f>
        <v>-3161.911768</v>
      </c>
      <c r="AA138" s="57">
        <f>IF(AND(AA$14=1,ISNUMBER('Inputs (2)'!AA127),'Inputs (2)'!AA127&lt;&gt;0),'Inputs (2)'!AA127,AA92+AA97)</f>
        <v>-2605.901642</v>
      </c>
      <c r="AB138" s="57">
        <f>IF(AND(AB$14=1,ISNUMBER('Inputs (2)'!AB127),'Inputs (2)'!AB127&lt;&gt;0),'Inputs (2)'!AB127,AB92+AB97)</f>
        <v>-756.884885</v>
      </c>
      <c r="AC138" s="77">
        <f>SUM(Y138:AB138)</f>
        <v>-7998.277686</v>
      </c>
      <c r="AD138" s="57">
        <f>IF(AND(AD$14=1,ISNUMBER('Inputs (2)'!AD127),'Inputs (2)'!AD127&lt;&gt;0),'Inputs (2)'!AD127,AD92+AD97)</f>
        <v>-1842.468624</v>
      </c>
      <c r="AE138" s="57">
        <f>IF(AND(AE$14=1,ISNUMBER('Inputs (2)'!AE127),'Inputs (2)'!AE127&lt;&gt;0),'Inputs (2)'!AE127,AE92+AE97)</f>
        <v>-3861.010562</v>
      </c>
      <c r="AF138" s="57">
        <f>IF(AND(AF$14=1,ISNUMBER('Inputs (2)'!AF127),'Inputs (2)'!AF127&lt;&gt;0),'Inputs (2)'!AF127,AF92+AF97)</f>
        <v>-3353.811353</v>
      </c>
      <c r="AG138" s="57">
        <f>IF(AND(AG$14=1,ISNUMBER('Inputs (2)'!AG127),'Inputs (2)'!AG127&lt;&gt;0),'Inputs (2)'!AG127,AG92+AG97)</f>
        <v>-6423.466307</v>
      </c>
      <c r="AH138" s="77">
        <f>SUM(AD138:AG138)</f>
        <v>-15480.756846</v>
      </c>
      <c r="AI138" s="57">
        <f>IF(AND(AI$14=1,ISNUMBER('Inputs (2)'!AI127),'Inputs (2)'!AI127&lt;&gt;0),'Inputs (2)'!AI127,AI92+AI97)</f>
        <v>-10802.569927</v>
      </c>
      <c r="AJ138" s="57">
        <f>IF(AND(AJ$14=1,ISNUMBER('Inputs (2)'!AJ127),'Inputs (2)'!AJ127&lt;&gt;0),'Inputs (2)'!AJ127,AJ92+AJ97)</f>
        <v>-8115.384613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-18917.95454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inlineStr">
        <is>
          <t>Usa a abertura reportada quando ela existe em Inputs (2); caso contrário aproxima por receita de crédito menos despesa de captação.</t>
        </is>
      </c>
    </row>
    <row r="139">
      <c r="C139" s="11" t="inlineStr">
        <is>
          <t>Margem financeira com o mercado</t>
        </is>
      </c>
      <c r="D139" s="12" t="inlineStr">
        <is>
          <t>NII with market</t>
        </is>
      </c>
      <c r="E139" s="74">
        <f>E137-E138</f>
        <v>-994.981249</v>
      </c>
      <c r="F139" s="74">
        <f>F137-F138</f>
        <v>208.900055000001</v>
      </c>
      <c r="G139" s="74">
        <f>G137-G138</f>
        <v>1776.231177</v>
      </c>
      <c r="H139" s="74">
        <f>H137-H138</f>
        <v>1289.312078</v>
      </c>
      <c r="I139" s="77">
        <f>SUM(E139:H139)</f>
        <v>2279.462061</v>
      </c>
      <c r="J139" s="74">
        <f>J137-J138</f>
        <v>-2461.881926</v>
      </c>
      <c r="K139" s="74">
        <f>K137-K138</f>
        <v>4510.862289</v>
      </c>
      <c r="L139" s="74">
        <f>L137-L138</f>
        <v>1237.888624</v>
      </c>
      <c r="M139" s="74">
        <f>M137-M138</f>
        <v>2065.489116</v>
      </c>
      <c r="N139" s="77">
        <f>SUM(J139:M139)</f>
        <v>5352.358103</v>
      </c>
      <c r="O139" s="74">
        <f>O137-O138</f>
        <v>2527.828854</v>
      </c>
      <c r="P139" s="74">
        <f>P137-P138</f>
        <v>6779.136293</v>
      </c>
      <c r="Q139" s="74">
        <f>Q137-Q138</f>
        <v>4337.049789</v>
      </c>
      <c r="R139" s="74">
        <f>R137-R138</f>
        <v>2747.537727</v>
      </c>
      <c r="S139" s="77">
        <f>SUM(O139:R139)</f>
        <v>16391.552663</v>
      </c>
      <c r="T139" s="74">
        <f>T137-T138</f>
        <v>5032.378716</v>
      </c>
      <c r="U139" s="74">
        <f>U137-U138</f>
        <v>5667.065723</v>
      </c>
      <c r="V139" s="74">
        <f>V137-V138</f>
        <v>9164.114999</v>
      </c>
      <c r="W139" s="74">
        <f>W137-W138</f>
        <v>9418.859049</v>
      </c>
      <c r="X139" s="77">
        <f>SUM(T139:W139)</f>
        <v>29282.418487</v>
      </c>
      <c r="Y139" s="74">
        <f>Y137-Y138</f>
        <v>5574.959673</v>
      </c>
      <c r="Z139" s="74">
        <f>Z137-Z138</f>
        <v>7184.641306</v>
      </c>
      <c r="AA139" s="74">
        <f>AA137-AA138</f>
        <v>7034.085341</v>
      </c>
      <c r="AB139" s="74">
        <f>AB137-AB138</f>
        <v>7800.164677</v>
      </c>
      <c r="AC139" s="77">
        <f>SUM(Y139:AB139)</f>
        <v>27593.850997</v>
      </c>
      <c r="AD139" s="74">
        <f>AD137-AD138</f>
        <v>6701.513805</v>
      </c>
      <c r="AE139" s="74">
        <f>AE137-AE138</f>
        <v>10756.278955</v>
      </c>
      <c r="AF139" s="74">
        <f>AF137-AF138</f>
        <v>12686.556155</v>
      </c>
      <c r="AG139" s="74">
        <f>AG137-AG138</f>
        <v>14984.16546</v>
      </c>
      <c r="AH139" s="77">
        <f>SUM(AD139:AG139)</f>
        <v>45128.514375</v>
      </c>
      <c r="AI139" s="74">
        <f>AI137-AI138</f>
        <v>21270.187095</v>
      </c>
      <c r="AJ139" s="74">
        <f>AJ137-AJ138</f>
        <v>19225.470509</v>
      </c>
      <c r="AK139" s="74">
        <f>AK137-AK138</f>
        <v>-326.70773</v>
      </c>
      <c r="AL139" s="74">
        <f>AL137-AL138</f>
        <v>-326.70773</v>
      </c>
      <c r="AM139" s="77">
        <f>SUM(AI139:AL139)</f>
        <v>39842.242144</v>
      </c>
      <c r="AN139" s="74">
        <f>AN137-AN138</f>
        <v>-326.70773</v>
      </c>
      <c r="AO139" s="74">
        <f>AO137-AO138</f>
        <v>-326.70773</v>
      </c>
      <c r="AP139" s="74">
        <f>AP137-AP138</f>
        <v>-326.70773</v>
      </c>
      <c r="AQ139" s="74">
        <f>AQ137-AQ138</f>
        <v>-326.70773</v>
      </c>
      <c r="AR139" s="77">
        <f>SUM(AN139:AQ139)</f>
        <v>-1306.83092</v>
      </c>
      <c r="AS139" s="74">
        <f>AS137-AS138</f>
        <v>-326.70773</v>
      </c>
      <c r="AT139" s="74">
        <f>AT137-AT138</f>
        <v>-326.70773</v>
      </c>
      <c r="AU139" s="74">
        <f>AU137-AU138</f>
        <v>-326.70773</v>
      </c>
      <c r="AV139" s="74">
        <f>AV137-AV138</f>
        <v>-326.70773</v>
      </c>
      <c r="AW139" s="77">
        <f>SUM(AS139:AV139)</f>
        <v>-1306.83092</v>
      </c>
      <c r="AX139" s="74">
        <f>AX137-AX138</f>
        <v>-326.70773</v>
      </c>
      <c r="AY139" s="74">
        <f>AY137-AY138</f>
        <v>-326.70773</v>
      </c>
      <c r="AZ139" s="74">
        <f>AZ137-AZ138</f>
        <v>-326.70773</v>
      </c>
      <c r="BA139" s="74">
        <f>BA137-BA138</f>
        <v>-326.70773</v>
      </c>
      <c r="BB139" s="77">
        <f>SUM(AX139:BA139)</f>
        <v>-1306.83092</v>
      </c>
      <c r="BC139" s="74">
        <f>BC137-BC138</f>
        <v>-326.70773</v>
      </c>
      <c r="BD139" s="74">
        <f>BD137-BD138</f>
        <v>-326.70773</v>
      </c>
      <c r="BE139" s="74">
        <f>BE137-BE138</f>
        <v>-326.70773</v>
      </c>
      <c r="BF139" s="74">
        <f>BF137-BF138</f>
        <v>-326.70773</v>
      </c>
      <c r="BG139" s="77">
        <f>SUM(BC139:BF139)</f>
        <v>-1306.83092</v>
      </c>
    </row>
    <row r="140">
      <c r="C140" s="11" t="inlineStr">
        <is>
          <t>Receita operacional total</t>
        </is>
      </c>
      <c r="D140" s="12" t="inlineStr">
        <is>
          <t>Total operating revenue</t>
        </is>
      </c>
      <c r="E140" s="74">
        <f>E101+E107+E108+E117</f>
        <v>1536.576418</v>
      </c>
      <c r="F140" s="74">
        <f>F101+F107+F108+F117</f>
        <v>1377.438691</v>
      </c>
      <c r="G140" s="74">
        <f>G101+G107+G108+G117</f>
        <v>3756.308572</v>
      </c>
      <c r="H140" s="74">
        <f>H101+H107+H108+H117</f>
        <v>2860.64333</v>
      </c>
      <c r="I140" s="77">
        <f>SUM(E140:H140)</f>
        <v>9530.967011</v>
      </c>
      <c r="J140" s="74">
        <f>J101+J107+J108+J117</f>
        <v>3333.282583</v>
      </c>
      <c r="K140" s="74">
        <f>K101+K107+K108+K117</f>
        <v>8179.176036</v>
      </c>
      <c r="L140" s="74">
        <f>L101+L107+L108+L117</f>
        <v>5286.812361</v>
      </c>
      <c r="M140" s="74">
        <f>M101+M107+M108+M117</f>
        <v>6242.880241</v>
      </c>
      <c r="N140" s="77">
        <f>SUM(J140:M140)</f>
        <v>23042.151221</v>
      </c>
      <c r="O140" s="74">
        <f>O101+O107+O108+O117</f>
        <v>16167.218365</v>
      </c>
      <c r="P140" s="74">
        <f>P101+P107+P108+P117</f>
        <v>17443.484982</v>
      </c>
      <c r="Q140" s="74">
        <f>Q101+Q107+Q108+Q117</f>
        <v>17247.941464</v>
      </c>
      <c r="R140" s="74">
        <f>R101+R107+R108+R117</f>
        <v>13736.503823</v>
      </c>
      <c r="S140" s="77">
        <f>SUM(O140:R140)</f>
        <v>64595.148634</v>
      </c>
      <c r="T140" s="74">
        <f>T101+T107+T108+T117</f>
        <v>20950.551462</v>
      </c>
      <c r="U140" s="74">
        <f>U101+U107+U108+U117</f>
        <v>21229.653567</v>
      </c>
      <c r="V140" s="74">
        <f>V101+V107+V108+V117</f>
        <v>13761.842606</v>
      </c>
      <c r="W140" s="74">
        <f>W101+W107+W108+W117</f>
        <v>9358.205877</v>
      </c>
      <c r="X140" s="77">
        <f>SUM(T140:W140)</f>
        <v>65300.253512</v>
      </c>
      <c r="Y140" s="74">
        <f>Y101+Y107+Y108+Y117</f>
        <v>8045.152049</v>
      </c>
      <c r="Z140" s="74">
        <f>Z101+Z107+Z108+Z117</f>
        <v>9537.849068</v>
      </c>
      <c r="AA140" s="74">
        <f>AA101+AA107+AA108+AA117</f>
        <v>8675.358589</v>
      </c>
      <c r="AB140" s="74">
        <f>AB101+AB107+AB108+AB117</f>
        <v>12325.733688</v>
      </c>
      <c r="AC140" s="77">
        <f>SUM(Y140:AB140)</f>
        <v>38584.093394</v>
      </c>
      <c r="AD140" s="74">
        <f>AD101+AD107+AD108+AD117</f>
        <v>12240.899724</v>
      </c>
      <c r="AE140" s="74">
        <f>AE101+AE107+AE108+AE117</f>
        <v>15109.76692</v>
      </c>
      <c r="AF140" s="74">
        <f>AF101+AF107+AF108+AF117</f>
        <v>15883.395471</v>
      </c>
      <c r="AG140" s="74">
        <f>AG101+AG107+AG108+AG117</f>
        <v>15076.381478</v>
      </c>
      <c r="AH140" s="77">
        <f>SUM(AD140:AG140)</f>
        <v>58310.443593</v>
      </c>
      <c r="AI140" s="74">
        <f>AI101+AI107+AI108+AI117</f>
        <v>20238.968695</v>
      </c>
      <c r="AJ140" s="74">
        <f>AJ101+AJ107+AJ108+AJ117</f>
        <v>18942.225109</v>
      </c>
      <c r="AK140" s="74">
        <f>AK101+AK107+AK108+AK117</f>
        <v>7471.45629</v>
      </c>
      <c r="AL140" s="74">
        <f>AL101+AL107+AL108+AL117</f>
        <v>7273.295971</v>
      </c>
      <c r="AM140" s="77">
        <f>SUM(AI140:AL140)</f>
        <v>53925.946065</v>
      </c>
      <c r="AN140" s="74">
        <f>AN101+AN107+AN108+AN117</f>
        <v>7473.431146</v>
      </c>
      <c r="AO140" s="74">
        <f>AO101+AO107+AO108+AO117</f>
        <v>7505.431483</v>
      </c>
      <c r="AP140" s="74">
        <f>AP101+AP107+AP108+AP117</f>
        <v>7471.45629</v>
      </c>
      <c r="AQ140" s="74">
        <f>AQ101+AQ107+AQ108+AQ117</f>
        <v>7273.295971</v>
      </c>
      <c r="AR140" s="77">
        <f>SUM(AN140:AQ140)</f>
        <v>29723.61489</v>
      </c>
      <c r="AS140" s="74">
        <f>AS101+AS107+AS108+AS117</f>
        <v>7473.431146</v>
      </c>
      <c r="AT140" s="74">
        <f>AT101+AT107+AT108+AT117</f>
        <v>7505.431483</v>
      </c>
      <c r="AU140" s="74">
        <f>AU101+AU107+AU108+AU117</f>
        <v>7471.45629</v>
      </c>
      <c r="AV140" s="74">
        <f>AV101+AV107+AV108+AV117</f>
        <v>7273.295971</v>
      </c>
      <c r="AW140" s="77">
        <f>SUM(AS140:AV140)</f>
        <v>29723.61489</v>
      </c>
      <c r="AX140" s="74">
        <f>AX101+AX107+AX108+AX117</f>
        <v>7473.431146</v>
      </c>
      <c r="AY140" s="74">
        <f>AY101+AY107+AY108+AY117</f>
        <v>7505.431483</v>
      </c>
      <c r="AZ140" s="74">
        <f>AZ101+AZ107+AZ108+AZ117</f>
        <v>7471.45629</v>
      </c>
      <c r="BA140" s="74">
        <f>BA101+BA107+BA108+BA117</f>
        <v>7273.295971</v>
      </c>
      <c r="BB140" s="77">
        <f>SUM(AX140:BA140)</f>
        <v>29723.61489</v>
      </c>
      <c r="BC140" s="74">
        <f>BC101+BC107+BC108+BC117</f>
        <v>7473.431146</v>
      </c>
      <c r="BD140" s="74">
        <f>BD101+BD107+BD108+BD117</f>
        <v>7505.431483</v>
      </c>
      <c r="BE140" s="74">
        <f>BE101+BE107+BE108+BE117</f>
        <v>7471.45629</v>
      </c>
      <c r="BF140" s="74">
        <f>BF101+BF107+BF108+BF117</f>
        <v>7273.295971</v>
      </c>
      <c r="BG140" s="77">
        <f>SUM(BC140:BF140)</f>
        <v>29723.61489</v>
      </c>
      <c r="BI140" s="14" t="inlineStr">
        <is>
          <t>Base do índice de eficiência: margem financeira bruta + serviços + seguros + outras receitas operacionais.</t>
        </is>
      </c>
    </row>
    <row r="141">
      <c r="C141" s="11" t="inlineStr">
        <is>
          <t>Despesas operacionais</t>
        </is>
      </c>
      <c r="D141" s="12" t="inlineStr">
        <is>
          <t>Operating expenses</t>
        </is>
      </c>
      <c r="E141" s="74">
        <f>-(E109+E110+E115+E118)</f>
        <v>1552.667272</v>
      </c>
      <c r="F141" s="74">
        <f>-(F109+F110+F115+F118)</f>
        <v>1215.425704</v>
      </c>
      <c r="G141" s="74">
        <f>-(G109+G110+G115+G118)</f>
        <v>2492.814674</v>
      </c>
      <c r="H141" s="74">
        <f>-(H109+H110+H115+H118)</f>
        <v>1162.498559</v>
      </c>
      <c r="I141" s="77">
        <f>SUM(E141:H141)</f>
        <v>6423.406209</v>
      </c>
      <c r="J141" s="74">
        <f>-(J109+J110+J115+J118)</f>
        <v>2907.135739</v>
      </c>
      <c r="K141" s="74">
        <f>-(K109+K110+K115+K118)</f>
        <v>5158.142402</v>
      </c>
      <c r="L141" s="74">
        <f>-(L109+L110+L115+L118)</f>
        <v>3857.789082</v>
      </c>
      <c r="M141" s="74">
        <f>-(M109+M110+M115+M118)</f>
        <v>3914.804537</v>
      </c>
      <c r="N141" s="77">
        <f>SUM(J141:M141)</f>
        <v>15837.87176</v>
      </c>
      <c r="O141" s="74">
        <f>-(O109+O110+O115+O118)</f>
        <v>13820.466815</v>
      </c>
      <c r="P141" s="74">
        <f>-(P109+P110+P115+P118)</f>
        <v>14631.478961</v>
      </c>
      <c r="Q141" s="74">
        <f>-(Q109+Q110+Q115+Q118)</f>
        <v>14224.61955</v>
      </c>
      <c r="R141" s="74">
        <f>-(R109+R110+R115+R118)</f>
        <v>10968.648224</v>
      </c>
      <c r="S141" s="77">
        <f>SUM(O141:R141)</f>
        <v>53645.21355</v>
      </c>
      <c r="T141" s="74">
        <f>-(T109+T110+T115+T118)</f>
        <v>18316.336168</v>
      </c>
      <c r="U141" s="74">
        <f>-(U109+U110+U115+U118)</f>
        <v>18870.660325</v>
      </c>
      <c r="V141" s="74">
        <f>-(V109+V110+V115+V118)</f>
        <v>11550.974838</v>
      </c>
      <c r="W141" s="74">
        <f>-(W109+W110+W115+W118)</f>
        <v>6485.133548</v>
      </c>
      <c r="X141" s="77">
        <f>SUM(T141:W141)</f>
        <v>55223.104879</v>
      </c>
      <c r="Y141" s="74">
        <f>-(Y109+Y110+Y115+Y118)</f>
        <v>5775.812347</v>
      </c>
      <c r="Z141" s="74">
        <f>-(Z109+Z110+Z115+Z118)</f>
        <v>6476.021107</v>
      </c>
      <c r="AA141" s="74">
        <f>-(AA109+AA110+AA115+AA118)</f>
        <v>6896.518046</v>
      </c>
      <c r="AB141" s="74">
        <f>-(AB109+AB110+AB115+AB118)</f>
        <v>9462.326919</v>
      </c>
      <c r="AC141" s="77">
        <f>SUM(Y141:AB141)</f>
        <v>28610.678419</v>
      </c>
      <c r="AD141" s="74">
        <f>-(AD109+AD110+AD115+AD118)</f>
        <v>7351.380837</v>
      </c>
      <c r="AE141" s="74">
        <f>-(AE109+AE110+AE115+AE118)</f>
        <v>9904.557877</v>
      </c>
      <c r="AF141" s="74">
        <f>-(AF109+AF110+AF115+AF118)</f>
        <v>8570.125867</v>
      </c>
      <c r="AG141" s="74">
        <f>-(AG109+AG110+AG115+AG118)</f>
        <v>12060.979626</v>
      </c>
      <c r="AH141" s="77">
        <f>SUM(AD141:AG141)</f>
        <v>37887.044207</v>
      </c>
      <c r="AI141" s="74">
        <f>-(AI109+AI110+AI115+AI118)</f>
        <v>13985.753977</v>
      </c>
      <c r="AJ141" s="74">
        <f>-(AJ109+AJ110+AJ115+AJ118)</f>
        <v>12923.939405</v>
      </c>
      <c r="AK141" s="74">
        <f>-(AK109+AK110+AK115+AK118)</f>
        <v>4166.846297</v>
      </c>
      <c r="AL141" s="74">
        <f>-(AL109+AL110+AL115+AL118)</f>
        <v>4372.559614</v>
      </c>
      <c r="AM141" s="77">
        <f>SUM(AI141:AL141)</f>
        <v>35449.099293</v>
      </c>
      <c r="AN141" s="74">
        <f>-(AN109+AN110+AN115+AN118)</f>
        <v>6422.272302</v>
      </c>
      <c r="AO141" s="74">
        <f>-(AO109+AO110+AO115+AO118)</f>
        <v>5870.457438</v>
      </c>
      <c r="AP141" s="74">
        <f>-(AP109+AP110+AP115+AP118)</f>
        <v>4166.846297</v>
      </c>
      <c r="AQ141" s="74">
        <f>-(AQ109+AQ110+AQ115+AQ118)</f>
        <v>4372.559614</v>
      </c>
      <c r="AR141" s="77">
        <f>SUM(AN141:AQ141)</f>
        <v>20832.135651</v>
      </c>
      <c r="AS141" s="74">
        <f>-(AS109+AS110+AS115+AS118)</f>
        <v>6422.272302</v>
      </c>
      <c r="AT141" s="74">
        <f>-(AT109+AT110+AT115+AT118)</f>
        <v>5870.457438</v>
      </c>
      <c r="AU141" s="74">
        <f>-(AU109+AU110+AU115+AU118)</f>
        <v>4166.846297</v>
      </c>
      <c r="AV141" s="74">
        <f>-(AV109+AV110+AV115+AV118)</f>
        <v>4372.559614</v>
      </c>
      <c r="AW141" s="77">
        <f>SUM(AS141:AV141)</f>
        <v>20832.135651</v>
      </c>
      <c r="AX141" s="74">
        <f>-(AX109+AX110+AX115+AX118)</f>
        <v>6422.272302</v>
      </c>
      <c r="AY141" s="74">
        <f>-(AY109+AY110+AY115+AY118)</f>
        <v>5870.457438</v>
      </c>
      <c r="AZ141" s="74">
        <f>-(AZ109+AZ110+AZ115+AZ118)</f>
        <v>4166.846297</v>
      </c>
      <c r="BA141" s="74">
        <f>-(BA109+BA110+BA115+BA118)</f>
        <v>4372.559614</v>
      </c>
      <c r="BB141" s="77">
        <f>SUM(AX141:BA141)</f>
        <v>20832.135651</v>
      </c>
      <c r="BC141" s="74">
        <f>-(BC109+BC110+BC115+BC118)</f>
        <v>6422.272302</v>
      </c>
      <c r="BD141" s="74">
        <f>-(BD109+BD110+BD115+BD118)</f>
        <v>5870.457438</v>
      </c>
      <c r="BE141" s="74">
        <f>-(BE109+BE110+BE115+BE118)</f>
        <v>4166.846297</v>
      </c>
      <c r="BF141" s="74">
        <f>-(BF109+BF110+BF115+BF118)</f>
        <v>4372.559614</v>
      </c>
      <c r="BG141" s="77">
        <f>SUM(BC141:BF141)</f>
        <v>20832.135651</v>
      </c>
    </row>
    <row r="143">
      <c r="B143" s="7" t="n"/>
      <c r="C143" s="7" t="str">
        <f>"QUALIDADE DE CRÉDITO ("&amp;Inputs!$E$202&amp;")"</f>
        <v>QUALIDADE DE CRÉDITO (R$ milhões)</v>
      </c>
      <c r="D143" s="7" t="inlineStr">
        <is>
          <t>ASSET QUALITY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>
      <c r="C144" s="80" t="inlineStr">
        <is>
          <t>Carteira de crédito ampliada</t>
        </is>
      </c>
      <c r="D144" s="81" t="inlineStr">
        <is>
          <t>Expanded loan portfolio</t>
        </is>
      </c>
      <c r="E144" s="82">
        <f>'Inputs (2)'!E111</f>
        <v>30671.388739</v>
      </c>
      <c r="F144" s="82">
        <f>IF(F$14=1,'Inputs (2)'!F111,E144*(1+Inputs!F$270))</f>
        <v>38759.423051</v>
      </c>
      <c r="G144" s="82">
        <f>IF(G$14=1,'Inputs (2)'!G111,F144*(1+Inputs!G$270))</f>
        <v>46220.072138</v>
      </c>
      <c r="H144" s="82">
        <f>IF(H$14=1,'Inputs (2)'!H111,G144*(1+Inputs!H$270))</f>
        <v>50099.739686</v>
      </c>
      <c r="I144" s="77">
        <f>H144</f>
        <v>50099.739686</v>
      </c>
      <c r="J144" s="82">
        <f>IF(J$14=1,'Inputs (2)'!J111,H144*(1+Inputs!J$270))</f>
        <v>53501.65386</v>
      </c>
      <c r="K144" s="82">
        <f>IF(K$14=1,'Inputs (2)'!K111,J144*(1+Inputs!K$270))</f>
        <v>90581.505161</v>
      </c>
      <c r="L144" s="82">
        <f>IF(L$14=1,'Inputs (2)'!L111,K144*(1+Inputs!L$270))</f>
        <v>94638.939653</v>
      </c>
      <c r="M144" s="82">
        <f>IF(M$14=1,'Inputs (2)'!M111,L144*(1+Inputs!M$270))</f>
        <v>101348.91233</v>
      </c>
      <c r="N144" s="77">
        <f>M144</f>
        <v>101348.91233</v>
      </c>
      <c r="O144" s="82">
        <f>IF(O$14=1,'Inputs (2)'!O111,M144*(1+Inputs!O$270))</f>
        <v>105776.344829</v>
      </c>
      <c r="P144" s="82">
        <f>IF(P$14=1,'Inputs (2)'!P111,O144*(1+Inputs!P$270))</f>
        <v>109552.68778</v>
      </c>
      <c r="Q144" s="82">
        <f>IF(Q$14=1,'Inputs (2)'!Q111,P144*(1+Inputs!Q$270))</f>
        <v>110615.669317</v>
      </c>
      <c r="R144" s="82">
        <f>IF(R$14=1,'Inputs (2)'!R111,Q144*(1+Inputs!R$270))</f>
        <v>118145.132908</v>
      </c>
      <c r="S144" s="77">
        <f>R144</f>
        <v>118145.132908</v>
      </c>
      <c r="T144" s="82">
        <f>IF(T$14=1,'Inputs (2)'!T111,R144*(1+Inputs!T$270))</f>
        <v>113380.852935</v>
      </c>
      <c r="U144" s="82">
        <f>IF(U$14=1,'Inputs (2)'!U111,T144*(1+Inputs!U$270))</f>
        <v>101198.419292</v>
      </c>
      <c r="V144" s="82">
        <f>IF(V$14=1,'Inputs (2)'!V111,U144*(1+Inputs!V$270))</f>
        <v>105693.918686</v>
      </c>
      <c r="W144" s="82">
        <f>IF(W$14=1,'Inputs (2)'!W111,V144*(1+Inputs!W$270))</f>
        <v>105975.196262</v>
      </c>
      <c r="X144" s="77">
        <f>W144</f>
        <v>105975.196262</v>
      </c>
      <c r="Y144" s="82">
        <f>IF(Y$14=1,'Inputs (2)'!Y111,W144*(1+Inputs!Y$270))</f>
        <v>107345.685375</v>
      </c>
      <c r="Z144" s="82">
        <f>IF(Z$14=1,'Inputs (2)'!Z111,Y144*(1+Inputs!Z$270))</f>
        <v>122962.952516</v>
      </c>
      <c r="AA144" s="82">
        <f>IF(AA$14=1,'Inputs (2)'!AA111,Z144*(1+Inputs!AA$270))</f>
        <v>127914.86089</v>
      </c>
      <c r="AB144" s="82">
        <f>IF(AB$14=1,'Inputs (2)'!AB111,AA144*(1+Inputs!AB$270))</f>
        <v>173858.632422</v>
      </c>
      <c r="AC144" s="77">
        <f>AB144</f>
        <v>173858.632422</v>
      </c>
      <c r="AD144" s="82">
        <f>IF(AD$14=1,'Inputs (2)'!AD111,AB144*(1+Inputs!AD$270))</f>
        <v>142626.697071</v>
      </c>
      <c r="AE144" s="82">
        <f>IF(AE$14=1,'Inputs (2)'!AE111,AD144*(1+Inputs!AE$270))</f>
        <v>140462.54605</v>
      </c>
      <c r="AF144" s="82">
        <f>IF(AF$14=1,'Inputs (2)'!AF111,AE144*(1+Inputs!AF$270))</f>
        <v>149894.098549</v>
      </c>
      <c r="AG144" s="82">
        <f>IF(AG$14=1,'Inputs (2)'!AG111,AF144*(1+Inputs!AG$270))</f>
        <v>165294.151385</v>
      </c>
      <c r="AH144" s="77">
        <f>AG144</f>
        <v>165294.151385</v>
      </c>
      <c r="AI144" s="82">
        <f>IF(AI$14=1,'Inputs (2)'!AI111,AG144*(1+Inputs!AI$270))</f>
        <v>175252.834503</v>
      </c>
      <c r="AJ144" s="82">
        <f>IF(AJ$14=1,'Inputs (2)'!AJ111,AI144*(1+Inputs!AJ$270))</f>
        <v>163081.780756</v>
      </c>
      <c r="AK144" s="82">
        <f>IF(AK$14=1,'Inputs (2)'!AK111,AJ144*(1+Inputs!AK$270))</f>
        <v>163081.780756</v>
      </c>
      <c r="AL144" s="82">
        <f>IF(AL$14=1,'Inputs (2)'!AL111,AK144*(1+Inputs!AL$270))</f>
        <v>163081.780756</v>
      </c>
      <c r="AM144" s="77">
        <f>AL144</f>
        <v>163081.780756</v>
      </c>
      <c r="AN144" s="82">
        <f>IF(AN$14=1,'Inputs (2)'!AN111,AL144*(1+Inputs!AN$270))</f>
        <v>163081.780756</v>
      </c>
      <c r="AO144" s="82">
        <f>IF(AO$14=1,'Inputs (2)'!AO111,AN144*(1+Inputs!AO$270))</f>
        <v>163081.780756</v>
      </c>
      <c r="AP144" s="82">
        <f>IF(AP$14=1,'Inputs (2)'!AP111,AO144*(1+Inputs!AP$270))</f>
        <v>163081.780756</v>
      </c>
      <c r="AQ144" s="82">
        <f>IF(AQ$14=1,'Inputs (2)'!AQ111,AP144*(1+Inputs!AQ$270))</f>
        <v>163081.780756</v>
      </c>
      <c r="AR144" s="77">
        <f>AQ144</f>
        <v>163081.780756</v>
      </c>
      <c r="AS144" s="82">
        <f>IF(AS$14=1,'Inputs (2)'!AS111,AQ144*(1+Inputs!AS$270))</f>
        <v>163081.780756</v>
      </c>
      <c r="AT144" s="82">
        <f>IF(AT$14=1,'Inputs (2)'!AT111,AS144*(1+Inputs!AT$270))</f>
        <v>163081.780756</v>
      </c>
      <c r="AU144" s="82">
        <f>IF(AU$14=1,'Inputs (2)'!AU111,AT144*(1+Inputs!AU$270))</f>
        <v>163081.780756</v>
      </c>
      <c r="AV144" s="82">
        <f>IF(AV$14=1,'Inputs (2)'!AV111,AU144*(1+Inputs!AV$270))</f>
        <v>163081.780756</v>
      </c>
      <c r="AW144" s="77">
        <f>AV144</f>
        <v>163081.780756</v>
      </c>
      <c r="AX144" s="82">
        <f>IF(AX$14=1,'Inputs (2)'!AX111,AV144*(1+Inputs!AX$270))</f>
        <v>163081.780756</v>
      </c>
      <c r="AY144" s="82">
        <f>IF(AY$14=1,'Inputs (2)'!AY111,AX144*(1+Inputs!AY$270))</f>
        <v>163081.780756</v>
      </c>
      <c r="AZ144" s="82">
        <f>IF(AZ$14=1,'Inputs (2)'!AZ111,AY144*(1+Inputs!AZ$270))</f>
        <v>163081.780756</v>
      </c>
      <c r="BA144" s="82">
        <f>IF(BA$14=1,'Inputs (2)'!BA111,AZ144*(1+Inputs!BA$270))</f>
        <v>163081.780756</v>
      </c>
      <c r="BB144" s="77">
        <f>BA144</f>
        <v>163081.780756</v>
      </c>
      <c r="BC144" s="82">
        <f>IF(BC$14=1,'Inputs (2)'!BC111,BA144*(1+Inputs!BC$270))</f>
        <v>163081.780756</v>
      </c>
      <c r="BD144" s="82">
        <f>IF(BD$14=1,'Inputs (2)'!BD111,BC144*(1+Inputs!BD$270))</f>
        <v>163081.780756</v>
      </c>
      <c r="BE144" s="82">
        <f>IF(BE$14=1,'Inputs (2)'!BE111,BD144*(1+Inputs!BE$270))</f>
        <v>163081.780756</v>
      </c>
      <c r="BF144" s="82">
        <f>IF(BF$14=1,'Inputs (2)'!BF111,BE144*(1+Inputs!BF$270))</f>
        <v>163081.780756</v>
      </c>
      <c r="BG144" s="77">
        <f>BF144</f>
        <v>163081.780756</v>
      </c>
    </row>
    <row r="145">
      <c r="C145" s="80" t="inlineStr">
        <is>
          <t>Saldo de provisão para perdas esperadas</t>
        </is>
      </c>
      <c r="D145" s="81" t="inlineStr">
        <is>
          <t>Total ECL allowance</t>
        </is>
      </c>
      <c r="E145" s="82">
        <f>-E33</f>
        <v>0</v>
      </c>
      <c r="F145" s="82">
        <f>-F33</f>
        <v>0</v>
      </c>
      <c r="G145" s="82">
        <f>-G33</f>
        <v>0</v>
      </c>
      <c r="H145" s="82">
        <f>-H33</f>
        <v>0</v>
      </c>
      <c r="I145" s="77">
        <f>H145</f>
        <v>0</v>
      </c>
      <c r="J145" s="82">
        <f>-J33</f>
        <v>0</v>
      </c>
      <c r="K145" s="82">
        <f>-K33</f>
        <v>0</v>
      </c>
      <c r="L145" s="82">
        <f>-L33</f>
        <v>0</v>
      </c>
      <c r="M145" s="82">
        <f>-M33</f>
        <v>0</v>
      </c>
      <c r="N145" s="77">
        <f>M145</f>
        <v>0</v>
      </c>
      <c r="O145" s="82">
        <f>-O33</f>
        <v>0</v>
      </c>
      <c r="P145" s="82">
        <f>-P33</f>
        <v>0</v>
      </c>
      <c r="Q145" s="82">
        <f>-Q33</f>
        <v>0</v>
      </c>
      <c r="R145" s="82">
        <f>-R33</f>
        <v>0</v>
      </c>
      <c r="S145" s="77">
        <f>R145</f>
        <v>0</v>
      </c>
      <c r="T145" s="82">
        <f>-T33</f>
        <v>0</v>
      </c>
      <c r="U145" s="82">
        <f>-U33</f>
        <v>0</v>
      </c>
      <c r="V145" s="82">
        <f>-V33</f>
        <v>0</v>
      </c>
      <c r="W145" s="82">
        <f>-W33</f>
        <v>0</v>
      </c>
      <c r="X145" s="77">
        <f>W145</f>
        <v>0</v>
      </c>
      <c r="Y145" s="82">
        <f>-Y33</f>
        <v>0</v>
      </c>
      <c r="Z145" s="82">
        <f>-Z33</f>
        <v>0</v>
      </c>
      <c r="AA145" s="82">
        <f>-AA33</f>
        <v>0</v>
      </c>
      <c r="AB145" s="82">
        <f>-AB33</f>
        <v>0</v>
      </c>
      <c r="AC145" s="77">
        <f>AB145</f>
        <v>0</v>
      </c>
      <c r="AD145" s="82">
        <f>-AD33</f>
        <v>0</v>
      </c>
      <c r="AE145" s="82">
        <f>-AE33</f>
        <v>0</v>
      </c>
      <c r="AF145" s="82">
        <f>-AF33</f>
        <v>0</v>
      </c>
      <c r="AG145" s="82">
        <f>-AG33</f>
        <v>0</v>
      </c>
      <c r="AH145" s="77">
        <f>AG145</f>
        <v>0</v>
      </c>
      <c r="AI145" s="82">
        <f>-AI33</f>
        <v>0</v>
      </c>
      <c r="AJ145" s="82">
        <f>-AJ33</f>
        <v>0</v>
      </c>
      <c r="AK145" s="82">
        <f>-AK33</f>
        <v>0</v>
      </c>
      <c r="AL145" s="82">
        <f>-AL33</f>
        <v>0</v>
      </c>
      <c r="AM145" s="77">
        <f>AL145</f>
        <v>0</v>
      </c>
      <c r="AN145" s="82">
        <f>-AN33</f>
        <v>0</v>
      </c>
      <c r="AO145" s="82">
        <f>-AO33</f>
        <v>0</v>
      </c>
      <c r="AP145" s="82">
        <f>-AP33</f>
        <v>0</v>
      </c>
      <c r="AQ145" s="82">
        <f>-AQ33</f>
        <v>0</v>
      </c>
      <c r="AR145" s="77">
        <f>AQ145</f>
        <v>0</v>
      </c>
      <c r="AS145" s="82">
        <f>-AS33</f>
        <v>0</v>
      </c>
      <c r="AT145" s="82">
        <f>-AT33</f>
        <v>0</v>
      </c>
      <c r="AU145" s="82">
        <f>-AU33</f>
        <v>0</v>
      </c>
      <c r="AV145" s="82">
        <f>-AV33</f>
        <v>0</v>
      </c>
      <c r="AW145" s="77">
        <f>AV145</f>
        <v>0</v>
      </c>
      <c r="AX145" s="82">
        <f>-AX33</f>
        <v>0</v>
      </c>
      <c r="AY145" s="82">
        <f>-AY33</f>
        <v>0</v>
      </c>
      <c r="AZ145" s="82">
        <f>-AZ33</f>
        <v>0</v>
      </c>
      <c r="BA145" s="82">
        <f>-BA33</f>
        <v>0</v>
      </c>
      <c r="BB145" s="77">
        <f>BA145</f>
        <v>0</v>
      </c>
      <c r="BC145" s="82">
        <f>-BC33</f>
        <v>0</v>
      </c>
      <c r="BD145" s="82">
        <f>-BD33</f>
        <v>0</v>
      </c>
      <c r="BE145" s="82">
        <f>-BE33</f>
        <v>0</v>
      </c>
      <c r="BF145" s="82">
        <f>-BF33</f>
        <v>0</v>
      </c>
      <c r="BG145" s="77">
        <f>BF145</f>
        <v>0</v>
      </c>
    </row>
    <row r="146">
      <c r="C146" s="80" t="inlineStr">
        <is>
          <t>Carteira em Estágio 2</t>
        </is>
      </c>
      <c r="D146" s="81" t="inlineStr">
        <is>
          <t>Stage 2 portfolio</t>
        </is>
      </c>
      <c r="E146" s="82">
        <f>'Inputs (2)'!E115</f>
        <v>0</v>
      </c>
      <c r="F146" s="82">
        <f>IF(F$14=1,'Inputs (2)'!F115,E146*(1+Inputs!F$270))</f>
        <v>0</v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>H146</f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>M146</f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>R146</f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>W146</f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>AB146</f>
        <v>0</v>
      </c>
      <c r="AD146" s="82">
        <f>IF(AD$14=1,'Inputs (2)'!AD115,AB146*(1+Inputs!AD$270))</f>
        <v>0</v>
      </c>
      <c r="AE146" s="82">
        <f>IF(AE$14=1,'Inputs (2)'!AE115,AD146*(1+Inputs!AE$270))</f>
        <v>0</v>
      </c>
      <c r="AF146" s="82">
        <f>IF(AF$14=1,'Inputs (2)'!AF115,AE146*(1+Inputs!AF$270))</f>
        <v>0</v>
      </c>
      <c r="AG146" s="82">
        <f>IF(AG$14=1,'Inputs (2)'!AG115,AF146*(1+Inputs!AG$270))</f>
        <v>0</v>
      </c>
      <c r="AH146" s="77">
        <f>AG146</f>
        <v>0</v>
      </c>
      <c r="AI146" s="82">
        <f>IF(AI$14=1,'Inputs (2)'!AI115,AG146*(1+Inputs!AI$270))</f>
        <v>0</v>
      </c>
      <c r="AJ146" s="82">
        <f>IF(AJ$14=1,'Inputs (2)'!AJ115,AI146*(1+Inputs!AJ$270))</f>
        <v>0</v>
      </c>
      <c r="AK146" s="82">
        <f>IF(AK$14=1,'Inputs (2)'!AK115,AJ146*(1+Inputs!AK$270))</f>
        <v>0</v>
      </c>
      <c r="AL146" s="82">
        <f>IF(AL$14=1,'Inputs (2)'!AL115,AK146*(1+Inputs!AL$270))</f>
        <v>0</v>
      </c>
      <c r="AM146" s="77">
        <f>AL146</f>
        <v>0</v>
      </c>
      <c r="AN146" s="82">
        <f>IF(AN$14=1,'Inputs (2)'!AN115,AL146*(1+Inputs!AN$270))</f>
        <v>0</v>
      </c>
      <c r="AO146" s="82">
        <f>IF(AO$14=1,'Inputs (2)'!AO115,AN146*(1+Inputs!AO$270))</f>
        <v>0</v>
      </c>
      <c r="AP146" s="82">
        <f>IF(AP$14=1,'Inputs (2)'!AP115,AO146*(1+Inputs!AP$270))</f>
        <v>0</v>
      </c>
      <c r="AQ146" s="82">
        <f>IF(AQ$14=1,'Inputs (2)'!AQ115,AP146*(1+Inputs!AQ$270))</f>
        <v>0</v>
      </c>
      <c r="AR146" s="77">
        <f>AQ146</f>
        <v>0</v>
      </c>
      <c r="AS146" s="82">
        <f>IF(AS$14=1,'Inputs (2)'!AS115,AQ146*(1+Inputs!AS$270))</f>
        <v>0</v>
      </c>
      <c r="AT146" s="82">
        <f>IF(AT$14=1,'Inputs (2)'!AT115,AS146*(1+Inputs!AT$270))</f>
        <v>0</v>
      </c>
      <c r="AU146" s="82">
        <f>IF(AU$14=1,'Inputs (2)'!AU115,AT146*(1+Inputs!AU$270))</f>
        <v>0</v>
      </c>
      <c r="AV146" s="82">
        <f>IF(AV$14=1,'Inputs (2)'!AV115,AU146*(1+Inputs!AV$270))</f>
        <v>0</v>
      </c>
      <c r="AW146" s="77">
        <f>AV146</f>
        <v>0</v>
      </c>
      <c r="AX146" s="82">
        <f>IF(AX$14=1,'Inputs (2)'!AX115,AV146*(1+Inputs!AX$270))</f>
        <v>0</v>
      </c>
      <c r="AY146" s="82">
        <f>IF(AY$14=1,'Inputs (2)'!AY115,AX146*(1+Inputs!AY$270))</f>
        <v>0</v>
      </c>
      <c r="AZ146" s="82">
        <f>IF(AZ$14=1,'Inputs (2)'!AZ115,AY146*(1+Inputs!AZ$270))</f>
        <v>0</v>
      </c>
      <c r="BA146" s="82">
        <f>IF(BA$14=1,'Inputs (2)'!BA115,AZ146*(1+Inputs!BA$270))</f>
        <v>0</v>
      </c>
      <c r="BB146" s="77">
        <f>BA146</f>
        <v>0</v>
      </c>
      <c r="BC146" s="82">
        <f>IF(BC$14=1,'Inputs (2)'!BC115,BA146*(1+Inputs!BC$270))</f>
        <v>0</v>
      </c>
      <c r="BD146" s="82">
        <f>IF(BD$14=1,'Inputs (2)'!BD115,BC146*(1+Inputs!BD$270))</f>
        <v>0</v>
      </c>
      <c r="BE146" s="82">
        <f>IF(BE$14=1,'Inputs (2)'!BE115,BD146*(1+Inputs!BE$270))</f>
        <v>0</v>
      </c>
      <c r="BF146" s="82">
        <f>IF(BF$14=1,'Inputs (2)'!BF115,BE146*(1+Inputs!BF$270))</f>
        <v>0</v>
      </c>
      <c r="BG146" s="77">
        <f>BF146</f>
        <v>0</v>
      </c>
    </row>
    <row r="147">
      <c r="C147" s="80" t="inlineStr">
        <is>
          <t>Carteira em Estágio 3</t>
        </is>
      </c>
      <c r="D147" s="81" t="inlineStr">
        <is>
          <t>Stage 3 portfolio</t>
        </is>
      </c>
      <c r="E147" s="82">
        <f>'Inputs (2)'!E116</f>
        <v>0</v>
      </c>
      <c r="F147" s="82">
        <f>IF(F$14=1,'Inputs (2)'!F116,E147*(1+Inputs!F$270))</f>
        <v>0</v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>H147</f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>M147</f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>R147</f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>W147</f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>AB147</f>
        <v>0</v>
      </c>
      <c r="AD147" s="82">
        <f>IF(AD$14=1,'Inputs (2)'!AD116,AB147*(1+Inputs!AD$270))</f>
        <v>0</v>
      </c>
      <c r="AE147" s="82">
        <f>IF(AE$14=1,'Inputs (2)'!AE116,AD147*(1+Inputs!AE$270))</f>
        <v>0</v>
      </c>
      <c r="AF147" s="82">
        <f>IF(AF$14=1,'Inputs (2)'!AF116,AE147*(1+Inputs!AF$270))</f>
        <v>0</v>
      </c>
      <c r="AG147" s="82">
        <f>IF(AG$14=1,'Inputs (2)'!AG116,AF147*(1+Inputs!AG$270))</f>
        <v>0</v>
      </c>
      <c r="AH147" s="77">
        <f>AG147</f>
        <v>0</v>
      </c>
      <c r="AI147" s="82">
        <f>IF(AI$14=1,'Inputs (2)'!AI116,AG147*(1+Inputs!AI$270))</f>
        <v>0</v>
      </c>
      <c r="AJ147" s="82">
        <f>IF(AJ$14=1,'Inputs (2)'!AJ116,AI147*(1+Inputs!AJ$270))</f>
        <v>0</v>
      </c>
      <c r="AK147" s="82">
        <f>IF(AK$14=1,'Inputs (2)'!AK116,AJ147*(1+Inputs!AK$270))</f>
        <v>0</v>
      </c>
      <c r="AL147" s="82">
        <f>IF(AL$14=1,'Inputs (2)'!AL116,AK147*(1+Inputs!AL$270))</f>
        <v>0</v>
      </c>
      <c r="AM147" s="77">
        <f>AL147</f>
        <v>0</v>
      </c>
      <c r="AN147" s="82">
        <f>IF(AN$14=1,'Inputs (2)'!AN116,AL147*(1+Inputs!AN$270))</f>
        <v>0</v>
      </c>
      <c r="AO147" s="82">
        <f>IF(AO$14=1,'Inputs (2)'!AO116,AN147*(1+Inputs!AO$270))</f>
        <v>0</v>
      </c>
      <c r="AP147" s="82">
        <f>IF(AP$14=1,'Inputs (2)'!AP116,AO147*(1+Inputs!AP$270))</f>
        <v>0</v>
      </c>
      <c r="AQ147" s="82">
        <f>IF(AQ$14=1,'Inputs (2)'!AQ116,AP147*(1+Inputs!AQ$270))</f>
        <v>0</v>
      </c>
      <c r="AR147" s="77">
        <f>AQ147</f>
        <v>0</v>
      </c>
      <c r="AS147" s="82">
        <f>IF(AS$14=1,'Inputs (2)'!AS116,AQ147*(1+Inputs!AS$270))</f>
        <v>0</v>
      </c>
      <c r="AT147" s="82">
        <f>IF(AT$14=1,'Inputs (2)'!AT116,AS147*(1+Inputs!AT$270))</f>
        <v>0</v>
      </c>
      <c r="AU147" s="82">
        <f>IF(AU$14=1,'Inputs (2)'!AU116,AT147*(1+Inputs!AU$270))</f>
        <v>0</v>
      </c>
      <c r="AV147" s="82">
        <f>IF(AV$14=1,'Inputs (2)'!AV116,AU147*(1+Inputs!AV$270))</f>
        <v>0</v>
      </c>
      <c r="AW147" s="77">
        <f>AV147</f>
        <v>0</v>
      </c>
      <c r="AX147" s="82">
        <f>IF(AX$14=1,'Inputs (2)'!AX116,AV147*(1+Inputs!AX$270))</f>
        <v>0</v>
      </c>
      <c r="AY147" s="82">
        <f>IF(AY$14=1,'Inputs (2)'!AY116,AX147*(1+Inputs!AY$270))</f>
        <v>0</v>
      </c>
      <c r="AZ147" s="82">
        <f>IF(AZ$14=1,'Inputs (2)'!AZ116,AY147*(1+Inputs!AZ$270))</f>
        <v>0</v>
      </c>
      <c r="BA147" s="82">
        <f>IF(BA$14=1,'Inputs (2)'!BA116,AZ147*(1+Inputs!BA$270))</f>
        <v>0</v>
      </c>
      <c r="BB147" s="77">
        <f>BA147</f>
        <v>0</v>
      </c>
      <c r="BC147" s="82">
        <f>IF(BC$14=1,'Inputs (2)'!BC116,BA147*(1+Inputs!BC$270))</f>
        <v>0</v>
      </c>
      <c r="BD147" s="82">
        <f>IF(BD$14=1,'Inputs (2)'!BD116,BC147*(1+Inputs!BD$270))</f>
        <v>0</v>
      </c>
      <c r="BE147" s="82">
        <f>IF(BE$14=1,'Inputs (2)'!BE116,BD147*(1+Inputs!BE$270))</f>
        <v>0</v>
      </c>
      <c r="BF147" s="82">
        <f>IF(BF$14=1,'Inputs (2)'!BF116,BE147*(1+Inputs!BF$270))</f>
        <v>0</v>
      </c>
      <c r="BG147" s="77">
        <f>BF147</f>
        <v>0</v>
      </c>
    </row>
    <row r="148">
      <c r="C148" s="80" t="inlineStr">
        <is>
          <t>Operações vencidas acima de 90 dias</t>
        </is>
      </c>
      <c r="D148" s="81" t="inlineStr">
        <is>
          <t>NPL &gt; 90 days</t>
        </is>
      </c>
      <c r="E148" s="82">
        <f>'Inputs (2)'!E121</f>
        <v>0</v>
      </c>
      <c r="F148" s="82">
        <f>IF(F$14=1,'Inputs (2)'!F121,E148*(1+Inputs!F$270))</f>
        <v>0</v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>H148</f>
        <v>0</v>
      </c>
      <c r="J148" s="82">
        <f>IF(J$14=1,'Inputs (2)'!J121,H148*(1+Inputs!J$270))</f>
        <v>0</v>
      </c>
      <c r="K148" s="82">
        <f>IF(K$14=1,'Inputs (2)'!K121,J148*(1+Inputs!K$270))</f>
        <v>0</v>
      </c>
      <c r="L148" s="82">
        <f>IF(L$14=1,'Inputs (2)'!L121,K148*(1+Inputs!L$270))</f>
        <v>0</v>
      </c>
      <c r="M148" s="82">
        <f>IF(M$14=1,'Inputs (2)'!M121,L148*(1+Inputs!M$270))</f>
        <v>0</v>
      </c>
      <c r="N148" s="77">
        <f>M148</f>
        <v>0</v>
      </c>
      <c r="O148" s="82">
        <f>IF(O$14=1,'Inputs (2)'!O121,M148*(1+Inputs!O$270))</f>
        <v>0</v>
      </c>
      <c r="P148" s="82">
        <f>IF(P$14=1,'Inputs (2)'!P121,O148*(1+Inputs!P$270))</f>
        <v>0</v>
      </c>
      <c r="Q148" s="82">
        <f>IF(Q$14=1,'Inputs (2)'!Q121,P148*(1+Inputs!Q$270))</f>
        <v>0</v>
      </c>
      <c r="R148" s="82">
        <f>IF(R$14=1,'Inputs (2)'!R121,Q148*(1+Inputs!R$270))</f>
        <v>0</v>
      </c>
      <c r="S148" s="77">
        <f>R148</f>
        <v>0</v>
      </c>
      <c r="T148" s="82">
        <f>IF(T$14=1,'Inputs (2)'!T121,R148*(1+Inputs!T$270))</f>
        <v>0</v>
      </c>
      <c r="U148" s="82">
        <f>IF(U$14=1,'Inputs (2)'!U121,T148*(1+Inputs!U$270))</f>
        <v>0</v>
      </c>
      <c r="V148" s="82">
        <f>IF(V$14=1,'Inputs (2)'!V121,U148*(1+Inputs!V$270))</f>
        <v>0</v>
      </c>
      <c r="W148" s="82">
        <f>IF(W$14=1,'Inputs (2)'!W121,V148*(1+Inputs!W$270))</f>
        <v>0</v>
      </c>
      <c r="X148" s="77">
        <f>W148</f>
        <v>0</v>
      </c>
      <c r="Y148" s="82">
        <f>IF(Y$14=1,'Inputs (2)'!Y121,W148*(1+Inputs!Y$270))</f>
        <v>0</v>
      </c>
      <c r="Z148" s="82">
        <f>IF(Z$14=1,'Inputs (2)'!Z121,Y148*(1+Inputs!Z$270))</f>
        <v>0</v>
      </c>
      <c r="AA148" s="82">
        <f>IF(AA$14=1,'Inputs (2)'!AA121,Z148*(1+Inputs!AA$270))</f>
        <v>0</v>
      </c>
      <c r="AB148" s="82">
        <f>IF(AB$14=1,'Inputs (2)'!AB121,AA148*(1+Inputs!AB$270))</f>
        <v>0</v>
      </c>
      <c r="AC148" s="77">
        <f>AB148</f>
        <v>0</v>
      </c>
      <c r="AD148" s="82">
        <f>IF(AD$14=1,'Inputs (2)'!AD121,AB148*(1+Inputs!AD$270))</f>
        <v>6400.442958</v>
      </c>
      <c r="AE148" s="82">
        <f>IF(AE$14=1,'Inputs (2)'!AE121,AD148*(1+Inputs!AE$270))</f>
        <v>7788.402894</v>
      </c>
      <c r="AF148" s="82">
        <f>IF(AF$14=1,'Inputs (2)'!AF121,AE148*(1+Inputs!AF$270))</f>
        <v>8746.991683</v>
      </c>
      <c r="AG148" s="82">
        <f>IF(AG$14=1,'Inputs (2)'!AG121,AF148*(1+Inputs!AG$270))</f>
        <v>8815.711655</v>
      </c>
      <c r="AH148" s="77">
        <f>AG148</f>
        <v>8815.711655</v>
      </c>
      <c r="AI148" s="82">
        <f>IF(AI$14=1,'Inputs (2)'!AI121,AG148*(1+Inputs!AI$270))</f>
        <v>10067.567808</v>
      </c>
      <c r="AJ148" s="82">
        <f>IF(AJ$14=1,'Inputs (2)'!AJ121,AI148*(1+Inputs!AJ$270))</f>
        <v>10828.503001</v>
      </c>
      <c r="AK148" s="82">
        <f>IF(AK$14=1,'Inputs (2)'!AK121,AJ148*(1+Inputs!AK$270))</f>
        <v>10828.503001</v>
      </c>
      <c r="AL148" s="82">
        <f>IF(AL$14=1,'Inputs (2)'!AL121,AK148*(1+Inputs!AL$270))</f>
        <v>10828.503001</v>
      </c>
      <c r="AM148" s="77">
        <f>AL148</f>
        <v>10828.503001</v>
      </c>
      <c r="AN148" s="82">
        <f>IF(AN$14=1,'Inputs (2)'!AN121,AL148*(1+Inputs!AN$270))</f>
        <v>10828.503001</v>
      </c>
      <c r="AO148" s="82">
        <f>IF(AO$14=1,'Inputs (2)'!AO121,AN148*(1+Inputs!AO$270))</f>
        <v>10828.503001</v>
      </c>
      <c r="AP148" s="82">
        <f>IF(AP$14=1,'Inputs (2)'!AP121,AO148*(1+Inputs!AP$270))</f>
        <v>10828.503001</v>
      </c>
      <c r="AQ148" s="82">
        <f>IF(AQ$14=1,'Inputs (2)'!AQ121,AP148*(1+Inputs!AQ$270))</f>
        <v>10828.503001</v>
      </c>
      <c r="AR148" s="77">
        <f>AQ148</f>
        <v>10828.503001</v>
      </c>
      <c r="AS148" s="82">
        <f>IF(AS$14=1,'Inputs (2)'!AS121,AQ148*(1+Inputs!AS$270))</f>
        <v>10828.503001</v>
      </c>
      <c r="AT148" s="82">
        <f>IF(AT$14=1,'Inputs (2)'!AT121,AS148*(1+Inputs!AT$270))</f>
        <v>10828.503001</v>
      </c>
      <c r="AU148" s="82">
        <f>IF(AU$14=1,'Inputs (2)'!AU121,AT148*(1+Inputs!AU$270))</f>
        <v>10828.503001</v>
      </c>
      <c r="AV148" s="82">
        <f>IF(AV$14=1,'Inputs (2)'!AV121,AU148*(1+Inputs!AV$270))</f>
        <v>10828.503001</v>
      </c>
      <c r="AW148" s="77">
        <f>AV148</f>
        <v>10828.503001</v>
      </c>
      <c r="AX148" s="82">
        <f>IF(AX$14=1,'Inputs (2)'!AX121,AV148*(1+Inputs!AX$270))</f>
        <v>10828.503001</v>
      </c>
      <c r="AY148" s="82">
        <f>IF(AY$14=1,'Inputs (2)'!AY121,AX148*(1+Inputs!AY$270))</f>
        <v>10828.503001</v>
      </c>
      <c r="AZ148" s="82">
        <f>IF(AZ$14=1,'Inputs (2)'!AZ121,AY148*(1+Inputs!AZ$270))</f>
        <v>10828.503001</v>
      </c>
      <c r="BA148" s="82">
        <f>IF(BA$14=1,'Inputs (2)'!BA121,AZ148*(1+Inputs!BA$270))</f>
        <v>10828.503001</v>
      </c>
      <c r="BB148" s="77">
        <f>BA148</f>
        <v>10828.503001</v>
      </c>
      <c r="BC148" s="82">
        <f>IF(BC$14=1,'Inputs (2)'!BC121,BA148*(1+Inputs!BC$270))</f>
        <v>10828.503001</v>
      </c>
      <c r="BD148" s="82">
        <f>IF(BD$14=1,'Inputs (2)'!BD121,BC148*(1+Inputs!BD$270))</f>
        <v>10828.503001</v>
      </c>
      <c r="BE148" s="82">
        <f>IF(BE$14=1,'Inputs (2)'!BE121,BD148*(1+Inputs!BE$270))</f>
        <v>10828.503001</v>
      </c>
      <c r="BF148" s="82">
        <f>IF(BF$14=1,'Inputs (2)'!BF121,BE148*(1+Inputs!BF$270))</f>
        <v>10828.503001</v>
      </c>
      <c r="BG148" s="77">
        <f>BF148</f>
        <v>10828.503001</v>
      </c>
    </row>
    <row r="149">
      <c r="C149" s="80" t="inlineStr">
        <is>
          <t>Operações vencidas de 15 a 90 dias</t>
        </is>
      </c>
      <c r="D149" s="81" t="inlineStr">
        <is>
          <t>NPL 15-90 days</t>
        </is>
      </c>
      <c r="E149" s="82">
        <f>'Inputs (2)'!E122</f>
        <v>0</v>
      </c>
      <c r="F149" s="82">
        <f>IF(F$14=1,'Inputs (2)'!F122,E149*(1+Inputs!F$270))</f>
        <v>0</v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>H149</f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>M149</f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>R149</f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>W149</f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>AB149</f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>AG149</f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>AL149</f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>AQ149</f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>AV149</f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>BA149</f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>BF149</f>
        <v>0</v>
      </c>
    </row>
    <row r="150">
      <c r="C150" s="80" t="inlineStr">
        <is>
          <t>Write-off do período</t>
        </is>
      </c>
      <c r="D150" s="81" t="inlineStr">
        <is>
          <t>Write-offs</t>
        </is>
      </c>
      <c r="E150" s="82">
        <f>IF(E$14=1,'Inputs (2)'!E123,E134*Inputs!E$273/4)</f>
        <v>0</v>
      </c>
      <c r="F150" s="82">
        <f>IF(F$14=1,'Inputs (2)'!F123,F134*Inputs!F$273/4)</f>
        <v>0</v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0</v>
      </c>
      <c r="Z150" s="82">
        <f>IF(Z$14=1,'Inputs (2)'!Z123,Z134*Inputs!Z$273/4)</f>
        <v>0</v>
      </c>
      <c r="AA150" s="82">
        <f>IF(AA$14=1,'Inputs (2)'!AA123,AA134*Inputs!AA$273/4)</f>
        <v>0</v>
      </c>
      <c r="AB150" s="82">
        <f>IF(AB$14=1,'Inputs (2)'!AB123,AB134*Inputs!AB$273/4)</f>
        <v>0</v>
      </c>
      <c r="AC150" s="77">
        <f>SUM(Y150:AB150)</f>
        <v>0</v>
      </c>
      <c r="AD150" s="82">
        <f>IF(AD$14=1,'Inputs (2)'!AD123,AD134*Inputs!AD$273/4)</f>
        <v>0</v>
      </c>
      <c r="AE150" s="82">
        <f>IF(AE$14=1,'Inputs (2)'!AE123,AE134*Inputs!AE$273/4)</f>
        <v>0</v>
      </c>
      <c r="AF150" s="82">
        <f>IF(AF$14=1,'Inputs (2)'!AF123,AF134*Inputs!AF$273/4)</f>
        <v>0</v>
      </c>
      <c r="AG150" s="82">
        <f>IF(AG$14=1,'Inputs (2)'!AG123,AG134*Inputs!AG$273/4)</f>
        <v>0</v>
      </c>
      <c r="AH150" s="77">
        <f>SUM(AD150:AG150)</f>
        <v>0</v>
      </c>
      <c r="AI150" s="82">
        <f>IF(AI$14=1,'Inputs (2)'!AI123,AI134*Inputs!AI$273/4)</f>
        <v>0</v>
      </c>
      <c r="AJ150" s="82">
        <f>IF(AJ$14=1,'Inputs (2)'!AJ123,AJ134*Inputs!AJ$273/4)</f>
        <v>0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0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>
      <c r="C151" s="80" t="inlineStr">
        <is>
          <t>Saldo de provisão — Estágio 2</t>
        </is>
      </c>
      <c r="D151" s="81" t="inlineStr">
        <is>
          <t>Stage 2 allowance</t>
        </is>
      </c>
      <c r="E151" s="82">
        <f>'Inputs (2)'!E118</f>
        <v>0</v>
      </c>
      <c r="F151" s="82">
        <f>IF(F$14=1,'Inputs (2)'!F118,E151*(1+Inputs!F$270))</f>
        <v>0</v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0</v>
      </c>
      <c r="AE151" s="82">
        <f>IF(AE$14=1,'Inputs (2)'!AE118,AD151*(1+Inputs!AE$270))</f>
        <v>0</v>
      </c>
      <c r="AF151" s="82">
        <f>IF(AF$14=1,'Inputs (2)'!AF118,AE151*(1+Inputs!AF$270))</f>
        <v>0</v>
      </c>
      <c r="AG151" s="82">
        <f>IF(AG$14=1,'Inputs (2)'!AG118,AF151*(1+Inputs!AG$270))</f>
        <v>0</v>
      </c>
      <c r="AH151" s="77">
        <f>AG151</f>
        <v>0</v>
      </c>
      <c r="AI151" s="82">
        <f>IF(AI$14=1,'Inputs (2)'!AI118,AG151*(1+Inputs!AI$270))</f>
        <v>0</v>
      </c>
      <c r="AJ151" s="82">
        <f>IF(AJ$14=1,'Inputs (2)'!AJ118,AI151*(1+Inputs!AJ$270))</f>
        <v>0</v>
      </c>
      <c r="AK151" s="82">
        <f>IF(AK$14=1,'Inputs (2)'!AK118,AJ151*(1+Inputs!AK$270))</f>
        <v>0</v>
      </c>
      <c r="AL151" s="82">
        <f>IF(AL$14=1,'Inputs (2)'!AL118,AK151*(1+Inputs!AL$270))</f>
        <v>0</v>
      </c>
      <c r="AM151" s="77">
        <f>AL151</f>
        <v>0</v>
      </c>
      <c r="AN151" s="82">
        <f>IF(AN$14=1,'Inputs (2)'!AN118,AL151*(1+Inputs!AN$270))</f>
        <v>0</v>
      </c>
      <c r="AO151" s="82">
        <f>IF(AO$14=1,'Inputs (2)'!AO118,AN151*(1+Inputs!AO$270))</f>
        <v>0</v>
      </c>
      <c r="AP151" s="82">
        <f>IF(AP$14=1,'Inputs (2)'!AP118,AO151*(1+Inputs!AP$270))</f>
        <v>0</v>
      </c>
      <c r="AQ151" s="82">
        <f>IF(AQ$14=1,'Inputs (2)'!AQ118,AP151*(1+Inputs!AQ$270))</f>
        <v>0</v>
      </c>
      <c r="AR151" s="77">
        <f>AQ151</f>
        <v>0</v>
      </c>
      <c r="AS151" s="82">
        <f>IF(AS$14=1,'Inputs (2)'!AS118,AQ151*(1+Inputs!AS$270))</f>
        <v>0</v>
      </c>
      <c r="AT151" s="82">
        <f>IF(AT$14=1,'Inputs (2)'!AT118,AS151*(1+Inputs!AT$270))</f>
        <v>0</v>
      </c>
      <c r="AU151" s="82">
        <f>IF(AU$14=1,'Inputs (2)'!AU118,AT151*(1+Inputs!AU$270))</f>
        <v>0</v>
      </c>
      <c r="AV151" s="82">
        <f>IF(AV$14=1,'Inputs (2)'!AV118,AU151*(1+Inputs!AV$270))</f>
        <v>0</v>
      </c>
      <c r="AW151" s="77">
        <f>AV151</f>
        <v>0</v>
      </c>
      <c r="AX151" s="82">
        <f>IF(AX$14=1,'Inputs (2)'!AX118,AV151*(1+Inputs!AX$270))</f>
        <v>0</v>
      </c>
      <c r="AY151" s="82">
        <f>IF(AY$14=1,'Inputs (2)'!AY118,AX151*(1+Inputs!AY$270))</f>
        <v>0</v>
      </c>
      <c r="AZ151" s="82">
        <f>IF(AZ$14=1,'Inputs (2)'!AZ118,AY151*(1+Inputs!AZ$270))</f>
        <v>0</v>
      </c>
      <c r="BA151" s="82">
        <f>IF(BA$14=1,'Inputs (2)'!BA118,AZ151*(1+Inputs!BA$270))</f>
        <v>0</v>
      </c>
      <c r="BB151" s="77">
        <f>BA151</f>
        <v>0</v>
      </c>
      <c r="BC151" s="82">
        <f>IF(BC$14=1,'Inputs (2)'!BC118,BA151*(1+Inputs!BC$270))</f>
        <v>0</v>
      </c>
      <c r="BD151" s="82">
        <f>IF(BD$14=1,'Inputs (2)'!BD118,BC151*(1+Inputs!BD$270))</f>
        <v>0</v>
      </c>
      <c r="BE151" s="82">
        <f>IF(BE$14=1,'Inputs (2)'!BE118,BD151*(1+Inputs!BE$270))</f>
        <v>0</v>
      </c>
      <c r="BF151" s="82">
        <f>IF(BF$14=1,'Inputs (2)'!BF118,BE151*(1+Inputs!BF$270))</f>
        <v>0</v>
      </c>
      <c r="BG151" s="77">
        <f>BF151</f>
        <v>0</v>
      </c>
    </row>
    <row r="152">
      <c r="C152" s="80" t="inlineStr">
        <is>
          <t>Saldo de provisão — Estágio 3</t>
        </is>
      </c>
      <c r="D152" s="81" t="inlineStr">
        <is>
          <t>Stage 3 allowance</t>
        </is>
      </c>
      <c r="E152" s="82">
        <f>'Inputs (2)'!E119</f>
        <v>0</v>
      </c>
      <c r="F152" s="82">
        <f>IF(F$14=1,'Inputs (2)'!F119,E152*(1+Inputs!F$270))</f>
        <v>0</v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0</v>
      </c>
      <c r="AE152" s="82">
        <f>IF(AE$14=1,'Inputs (2)'!AE119,AD152*(1+Inputs!AE$270))</f>
        <v>0</v>
      </c>
      <c r="AF152" s="82">
        <f>IF(AF$14=1,'Inputs (2)'!AF119,AE152*(1+Inputs!AF$270))</f>
        <v>0</v>
      </c>
      <c r="AG152" s="82">
        <f>IF(AG$14=1,'Inputs (2)'!AG119,AF152*(1+Inputs!AG$270))</f>
        <v>0</v>
      </c>
      <c r="AH152" s="77">
        <f>AG152</f>
        <v>0</v>
      </c>
      <c r="AI152" s="82">
        <f>IF(AI$14=1,'Inputs (2)'!AI119,AG152*(1+Inputs!AI$270))</f>
        <v>0</v>
      </c>
      <c r="AJ152" s="82">
        <f>IF(AJ$14=1,'Inputs (2)'!AJ119,AI152*(1+Inputs!AJ$270))</f>
        <v>0</v>
      </c>
      <c r="AK152" s="82">
        <f>IF(AK$14=1,'Inputs (2)'!AK119,AJ152*(1+Inputs!AK$270))</f>
        <v>0</v>
      </c>
      <c r="AL152" s="82">
        <f>IF(AL$14=1,'Inputs (2)'!AL119,AK152*(1+Inputs!AL$270))</f>
        <v>0</v>
      </c>
      <c r="AM152" s="77">
        <f>AL152</f>
        <v>0</v>
      </c>
      <c r="AN152" s="82">
        <f>IF(AN$14=1,'Inputs (2)'!AN119,AL152*(1+Inputs!AN$270))</f>
        <v>0</v>
      </c>
      <c r="AO152" s="82">
        <f>IF(AO$14=1,'Inputs (2)'!AO119,AN152*(1+Inputs!AO$270))</f>
        <v>0</v>
      </c>
      <c r="AP152" s="82">
        <f>IF(AP$14=1,'Inputs (2)'!AP119,AO152*(1+Inputs!AP$270))</f>
        <v>0</v>
      </c>
      <c r="AQ152" s="82">
        <f>IF(AQ$14=1,'Inputs (2)'!AQ119,AP152*(1+Inputs!AQ$270))</f>
        <v>0</v>
      </c>
      <c r="AR152" s="77">
        <f>AQ152</f>
        <v>0</v>
      </c>
      <c r="AS152" s="82">
        <f>IF(AS$14=1,'Inputs (2)'!AS119,AQ152*(1+Inputs!AS$270))</f>
        <v>0</v>
      </c>
      <c r="AT152" s="82">
        <f>IF(AT$14=1,'Inputs (2)'!AT119,AS152*(1+Inputs!AT$270))</f>
        <v>0</v>
      </c>
      <c r="AU152" s="82">
        <f>IF(AU$14=1,'Inputs (2)'!AU119,AT152*(1+Inputs!AU$270))</f>
        <v>0</v>
      </c>
      <c r="AV152" s="82">
        <f>IF(AV$14=1,'Inputs (2)'!AV119,AU152*(1+Inputs!AV$270))</f>
        <v>0</v>
      </c>
      <c r="AW152" s="77">
        <f>AV152</f>
        <v>0</v>
      </c>
      <c r="AX152" s="82">
        <f>IF(AX$14=1,'Inputs (2)'!AX119,AV152*(1+Inputs!AX$270))</f>
        <v>0</v>
      </c>
      <c r="AY152" s="82">
        <f>IF(AY$14=1,'Inputs (2)'!AY119,AX152*(1+Inputs!AY$270))</f>
        <v>0</v>
      </c>
      <c r="AZ152" s="82">
        <f>IF(AZ$14=1,'Inputs (2)'!AZ119,AY152*(1+Inputs!AZ$270))</f>
        <v>0</v>
      </c>
      <c r="BA152" s="82">
        <f>IF(BA$14=1,'Inputs (2)'!BA119,AZ152*(1+Inputs!BA$270))</f>
        <v>0</v>
      </c>
      <c r="BB152" s="77">
        <f>BA152</f>
        <v>0</v>
      </c>
      <c r="BC152" s="82">
        <f>IF(BC$14=1,'Inputs (2)'!BC119,BA152*(1+Inputs!BC$270))</f>
        <v>0</v>
      </c>
      <c r="BD152" s="82">
        <f>IF(BD$14=1,'Inputs (2)'!BD119,BC152*(1+Inputs!BD$270))</f>
        <v>0</v>
      </c>
      <c r="BE152" s="82">
        <f>IF(BE$14=1,'Inputs (2)'!BE119,BD152*(1+Inputs!BE$270))</f>
        <v>0</v>
      </c>
      <c r="BF152" s="82">
        <f>IF(BF$14=1,'Inputs (2)'!BF119,BE152*(1+Inputs!BF$270))</f>
        <v>0</v>
      </c>
      <c r="BG152" s="77">
        <f>BF152</f>
        <v>0</v>
      </c>
    </row>
    <row r="154">
      <c r="B154" s="7" t="n"/>
      <c r="C154" s="7" t="str">
        <f>"CAPITAL REGULATÓRIO ("&amp;Inputs!$E$202&amp;")"</f>
        <v>CAPITAL REGULATÓRIO (R$ milhões)</v>
      </c>
      <c r="D154" s="7" t="inlineStr">
        <is>
          <t>REGULATORY CAPITAL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>
      <c r="C155" s="11" t="inlineStr">
        <is>
          <t>Ativos Ponderados pelo Risco (RWA)</t>
        </is>
      </c>
      <c r="D155" s="12" t="inlineStr">
        <is>
          <t>Risk-Weighted Assets</t>
        </is>
      </c>
      <c r="E155" s="57">
        <f>IF(AND(E$14=1,ISNUMBER('Inputs (2)'!E133),'Inputs (2)'!E133&lt;&gt;0),'Inputs (2)'!E133,E42*Inputs!E$299)</f>
        <v>115434.263481</v>
      </c>
      <c r="F155" s="57">
        <f>IF(AND(F$14=1,ISNUMBER('Inputs (2)'!F133),'Inputs (2)'!F133&lt;&gt;0),'Inputs (2)'!F133,F42*Inputs!F$299)</f>
        <v>135333.949981</v>
      </c>
      <c r="G155" s="57">
        <f>IF(AND(G$14=1,ISNUMBER('Inputs (2)'!G133),'Inputs (2)'!G133&lt;&gt;0),'Inputs (2)'!G133,G42*Inputs!G$299)</f>
        <v>152143.079182</v>
      </c>
      <c r="H155" s="57">
        <f>IF(AND(H$14=1,ISNUMBER('Inputs (2)'!H133),'Inputs (2)'!H133&lt;&gt;0),'Inputs (2)'!H133,H42*Inputs!H$299)</f>
        <v>156882.035431</v>
      </c>
      <c r="I155" s="77">
        <f>H155</f>
        <v>156882.035431</v>
      </c>
      <c r="J155" s="57">
        <f>IF(AND(J$14=1,ISNUMBER('Inputs (2)'!J133),'Inputs (2)'!J133&lt;&gt;0),'Inputs (2)'!J133,J42*Inputs!J$299)</f>
        <v>176416.184574</v>
      </c>
      <c r="K155" s="57">
        <f>IF(AND(K$14=1,ISNUMBER('Inputs (2)'!K133),'Inputs (2)'!K133&lt;&gt;0),'Inputs (2)'!K133,K42*Inputs!K$299)</f>
        <v>203238.532331</v>
      </c>
      <c r="L155" s="57">
        <f>IF(AND(L$14=1,ISNUMBER('Inputs (2)'!L133),'Inputs (2)'!L133&lt;&gt;0),'Inputs (2)'!L133,L42*Inputs!L$299)</f>
        <v>225765.15386</v>
      </c>
      <c r="M155" s="57">
        <f>IF(AND(M$14=1,ISNUMBER('Inputs (2)'!M133),'Inputs (2)'!M133&lt;&gt;0),'Inputs (2)'!M133,M42*Inputs!M$299)</f>
        <v>247493.322207</v>
      </c>
      <c r="N155" s="77">
        <f>M155</f>
        <v>247493.322207</v>
      </c>
      <c r="O155" s="57">
        <f>IF(AND(O$14=1,ISNUMBER('Inputs (2)'!O133),'Inputs (2)'!O133&lt;&gt;0),'Inputs (2)'!O133,O42*Inputs!O$299)</f>
        <v>263120.157217</v>
      </c>
      <c r="P155" s="57">
        <f>IF(AND(P$14=1,ISNUMBER('Inputs (2)'!P133),'Inputs (2)'!P133&lt;&gt;0),'Inputs (2)'!P133,P42*Inputs!P$299)</f>
        <v>281403.569011</v>
      </c>
      <c r="Q155" s="57">
        <f>IF(AND(Q$14=1,ISNUMBER('Inputs (2)'!Q133),'Inputs (2)'!Q133&lt;&gt;0),'Inputs (2)'!Q133,Q42*Inputs!Q$299)</f>
        <v>300745.849577</v>
      </c>
      <c r="R155" s="57">
        <f>IF(AND(R$14=1,ISNUMBER('Inputs (2)'!R133),'Inputs (2)'!R133&lt;&gt;0),'Inputs (2)'!R133,R42*Inputs!R$299)</f>
        <v>308025.510637</v>
      </c>
      <c r="S155" s="77">
        <f>R155</f>
        <v>308025.510637</v>
      </c>
      <c r="T155" s="57">
        <f>IF(AND(T$14=1,ISNUMBER('Inputs (2)'!T133),'Inputs (2)'!T133&lt;&gt;0),'Inputs (2)'!T133,T42*Inputs!T$299)</f>
        <v>305107.314266</v>
      </c>
      <c r="U155" s="57">
        <f>IF(AND(U$14=1,ISNUMBER('Inputs (2)'!U133),'Inputs (2)'!U133&lt;&gt;0),'Inputs (2)'!U133,U42*Inputs!U$299)</f>
        <v>345553.511295</v>
      </c>
      <c r="V155" s="57">
        <f>IF(AND(V$14=1,ISNUMBER('Inputs (2)'!V133),'Inputs (2)'!V133&lt;&gt;0),'Inputs (2)'!V133,V42*Inputs!V$299)</f>
        <v>338941.241979</v>
      </c>
      <c r="W155" s="57">
        <f>IF(AND(W$14=1,ISNUMBER('Inputs (2)'!W133),'Inputs (2)'!W133&lt;&gt;0),'Inputs (2)'!W133,W42*Inputs!W$299)</f>
        <v>365907.126599</v>
      </c>
      <c r="X155" s="77">
        <f>W155</f>
        <v>365907.126599</v>
      </c>
      <c r="Y155" s="57">
        <f>IF(AND(Y$14=1,ISNUMBER('Inputs (2)'!Y133),'Inputs (2)'!Y133&lt;&gt;0),'Inputs (2)'!Y133,Y42*Inputs!Y$299)</f>
        <v>383828.202452</v>
      </c>
      <c r="Z155" s="57">
        <f>IF(AND(Z$14=1,ISNUMBER('Inputs (2)'!Z133),'Inputs (2)'!Z133&lt;&gt;0),'Inputs (2)'!Z133,Z42*Inputs!Z$299)</f>
        <v>404601.320168</v>
      </c>
      <c r="AA155" s="57">
        <f>IF(AND(AA$14=1,ISNUMBER('Inputs (2)'!AA133),'Inputs (2)'!AA133&lt;&gt;0),'Inputs (2)'!AA133,AA42*Inputs!AA$299)</f>
        <v>428700.986167</v>
      </c>
      <c r="AB155" s="57">
        <f>IF(AND(AB$14=1,ISNUMBER('Inputs (2)'!AB133),'Inputs (2)'!AB133&lt;&gt;0),'Inputs (2)'!AB133,AB42*Inputs!AB$299)</f>
        <v>456270.599296</v>
      </c>
      <c r="AC155" s="77">
        <f>AB155</f>
        <v>456270.599296</v>
      </c>
      <c r="AD155" s="57">
        <f>IF(AND(AD$14=1,ISNUMBER('Inputs (2)'!AD133),'Inputs (2)'!AD133&lt;&gt;0),'Inputs (2)'!AD133,AD42*Inputs!AD$299)</f>
        <v>471654.868097</v>
      </c>
      <c r="AE155" s="57">
        <f>IF(AND(AE$14=1,ISNUMBER('Inputs (2)'!AE133),'Inputs (2)'!AE133&lt;&gt;0),'Inputs (2)'!AE133,AE42*Inputs!AE$299)</f>
        <v>493090.147479</v>
      </c>
      <c r="AF155" s="57">
        <f>IF(AND(AF$14=1,ISNUMBER('Inputs (2)'!AF133),'Inputs (2)'!AF133&lt;&gt;0),'Inputs (2)'!AF133,AF42*Inputs!AF$299)</f>
        <v>541869.358479</v>
      </c>
      <c r="AG155" s="57">
        <f>IF(AND(AG$14=1,ISNUMBER('Inputs (2)'!AG133),'Inputs (2)'!AG133&lt;&gt;0),'Inputs (2)'!AG133,AG42*Inputs!AG$299)</f>
        <v>582741.932473</v>
      </c>
      <c r="AH155" s="77">
        <f>AG155</f>
        <v>582741.932473</v>
      </c>
      <c r="AI155" s="57">
        <f>IF(AND(AI$14=1,ISNUMBER('Inputs (2)'!AI133),'Inputs (2)'!AI133&lt;&gt;0),'Inputs (2)'!AI133,AI42*Inputs!AI$299)</f>
        <v>608004.244432</v>
      </c>
      <c r="AJ155" s="57">
        <f>IF(AND(AJ$14=1,ISNUMBER('Inputs (2)'!AJ133),'Inputs (2)'!AJ133&lt;&gt;0),'Inputs (2)'!AJ133,AJ42*Inputs!AJ$299)</f>
        <v>641034.11015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>
      <c r="C156" s="11" t="inlineStr">
        <is>
          <t>Patrimônio de Referência</t>
        </is>
      </c>
      <c r="D156" s="12" t="inlineStr">
        <is>
          <t>Regulatory capital</t>
        </is>
      </c>
      <c r="E156" s="57">
        <f>IF(AND(E$14=1,ISNUMBER('Inputs (2)'!E137),'Inputs (2)'!E137&lt;&gt;0),'Inputs (2)'!E137,E155*Inputs!E$300)</f>
        <v>22375.204425</v>
      </c>
      <c r="F156" s="57">
        <f>IF(AND(F$14=1,ISNUMBER('Inputs (2)'!F137),'Inputs (2)'!F137&lt;&gt;0),'Inputs (2)'!F137,F155*Inputs!F$300)</f>
        <v>26570.917951</v>
      </c>
      <c r="G156" s="57">
        <f>IF(AND(G$14=1,ISNUMBER('Inputs (2)'!G137),'Inputs (2)'!G137&lt;&gt;0),'Inputs (2)'!G137,G155*Inputs!G$300)</f>
        <v>26635.597338</v>
      </c>
      <c r="H156" s="57">
        <f>IF(AND(H$14=1,ISNUMBER('Inputs (2)'!H137),'Inputs (2)'!H137&lt;&gt;0),'Inputs (2)'!H137,H155*Inputs!H$300)</f>
        <v>26132.889887</v>
      </c>
      <c r="I156" s="77">
        <f>H156</f>
        <v>26132.889887</v>
      </c>
      <c r="J156" s="57">
        <f>IF(AND(J$14=1,ISNUMBER('Inputs (2)'!J137),'Inputs (2)'!J137&lt;&gt;0),'Inputs (2)'!J137,J155*Inputs!J$300)</f>
        <v>31160.09666</v>
      </c>
      <c r="K156" s="57">
        <f>IF(AND(K$14=1,ISNUMBER('Inputs (2)'!K137),'Inputs (2)'!K137&lt;&gt;0),'Inputs (2)'!K137,K155*Inputs!K$300)</f>
        <v>35059.517741</v>
      </c>
      <c r="L156" s="57">
        <f>IF(AND(L$14=1,ISNUMBER('Inputs (2)'!L137),'Inputs (2)'!L137&lt;&gt;0),'Inputs (2)'!L137,L155*Inputs!L$300)</f>
        <v>36249.23098</v>
      </c>
      <c r="M156" s="57">
        <f>IF(AND(M$14=1,ISNUMBER('Inputs (2)'!M137),'Inputs (2)'!M137&lt;&gt;0),'Inputs (2)'!M137,M155*Inputs!M$300)</f>
        <v>38792.959422</v>
      </c>
      <c r="N156" s="77">
        <f>M156</f>
        <v>38792.959422</v>
      </c>
      <c r="O156" s="57">
        <f>IF(AND(O$14=1,ISNUMBER('Inputs (2)'!O137),'Inputs (2)'!O137&lt;&gt;0),'Inputs (2)'!O137,O155*Inputs!O$300)</f>
        <v>39418.68975</v>
      </c>
      <c r="P156" s="57">
        <f>IF(AND(P$14=1,ISNUMBER('Inputs (2)'!P137),'Inputs (2)'!P137&lt;&gt;0),'Inputs (2)'!P137,P155*Inputs!P$300)</f>
        <v>42721.454425</v>
      </c>
      <c r="Q156" s="57">
        <f>IF(AND(Q$14=1,ISNUMBER('Inputs (2)'!Q137),'Inputs (2)'!Q137&lt;&gt;0),'Inputs (2)'!Q137,Q155*Inputs!Q$300)</f>
        <v>45711.203752</v>
      </c>
      <c r="R156" s="57">
        <f>IF(AND(R$14=1,ISNUMBER('Inputs (2)'!R137),'Inputs (2)'!R137&lt;&gt;0),'Inputs (2)'!R137,R155*Inputs!R$300)</f>
        <v>46453.352959</v>
      </c>
      <c r="S156" s="77">
        <f>R156</f>
        <v>46453.352959</v>
      </c>
      <c r="T156" s="57">
        <f>IF(AND(T$14=1,ISNUMBER('Inputs (2)'!T137),'Inputs (2)'!T137&lt;&gt;0),'Inputs (2)'!T137,T155*Inputs!T$300)</f>
        <v>47341.30194</v>
      </c>
      <c r="U156" s="57">
        <f>IF(AND(U$14=1,ISNUMBER('Inputs (2)'!U137),'Inputs (2)'!U137&lt;&gt;0),'Inputs (2)'!U137,U155*Inputs!U$300)</f>
        <v>53311.7418</v>
      </c>
      <c r="V156" s="57">
        <f>IF(AND(V$14=1,ISNUMBER('Inputs (2)'!V137),'Inputs (2)'!V137&lt;&gt;0),'Inputs (2)'!V137,V155*Inputs!V$300)</f>
        <v>58872.342786</v>
      </c>
      <c r="W156" s="57">
        <f>IF(AND(W$14=1,ISNUMBER('Inputs (2)'!W137),'Inputs (2)'!W137&lt;&gt;0),'Inputs (2)'!W137,W155*Inputs!W$300)</f>
        <v>64105.878261</v>
      </c>
      <c r="X156" s="77">
        <f>W156</f>
        <v>64105.878261</v>
      </c>
      <c r="Y156" s="57">
        <f>IF(AND(Y$14=1,ISNUMBER('Inputs (2)'!Y137),'Inputs (2)'!Y137&lt;&gt;0),'Inputs (2)'!Y137,Y155*Inputs!Y$300)</f>
        <v>62939.203914</v>
      </c>
      <c r="Z156" s="57">
        <f>IF(AND(Z$14=1,ISNUMBER('Inputs (2)'!Z137),'Inputs (2)'!Z137&lt;&gt;0),'Inputs (2)'!Z137,Z155*Inputs!Z$300)</f>
        <v>65366.845493</v>
      </c>
      <c r="AA156" s="57">
        <f>IF(AND(AA$14=1,ISNUMBER('Inputs (2)'!AA137),'Inputs (2)'!AA137&lt;&gt;0),'Inputs (2)'!AA137,AA155*Inputs!AA$300)</f>
        <v>70400.638499</v>
      </c>
      <c r="AB156" s="57">
        <f>IF(AND(AB$14=1,ISNUMBER('Inputs (2)'!AB137),'Inputs (2)'!AB137&lt;&gt;0),'Inputs (2)'!AB137,AB155*Inputs!AB$300)</f>
        <v>71663.405106</v>
      </c>
      <c r="AC156" s="77">
        <f>AB156</f>
        <v>71663.405106</v>
      </c>
      <c r="AD156" s="57">
        <f>IF(AND(AD$14=1,ISNUMBER('Inputs (2)'!AD137),'Inputs (2)'!AD137&lt;&gt;0),'Inputs (2)'!AD137,AD155*Inputs!AD$300)</f>
        <v>73909.798119</v>
      </c>
      <c r="AE156" s="57">
        <f>IF(AND(AE$14=1,ISNUMBER('Inputs (2)'!AE137),'Inputs (2)'!AE137&lt;&gt;0),'Inputs (2)'!AE137,AE155*Inputs!AE$300)</f>
        <v>79635.809821</v>
      </c>
      <c r="AF156" s="57">
        <f>IF(AND(AF$14=1,ISNUMBER('Inputs (2)'!AF137),'Inputs (2)'!AF137&lt;&gt;0),'Inputs (2)'!AF137,AF155*Inputs!AF$300)</f>
        <v>84234.939102</v>
      </c>
      <c r="AG156" s="57">
        <f>IF(AND(AG$14=1,ISNUMBER('Inputs (2)'!AG137),'Inputs (2)'!AG137&lt;&gt;0),'Inputs (2)'!AG137,AG155*Inputs!AG$300)</f>
        <v>90343.985686</v>
      </c>
      <c r="AH156" s="77">
        <f>AG156</f>
        <v>90343.985686</v>
      </c>
      <c r="AI156" s="57">
        <f>IF(AND(AI$14=1,ISNUMBER('Inputs (2)'!AI137),'Inputs (2)'!AI137&lt;&gt;0),'Inputs (2)'!AI137,AI155*Inputs!AI$300)</f>
        <v>96751.380323</v>
      </c>
      <c r="AJ156" s="57">
        <f>IF(AND(AJ$14=1,ISNUMBER('Inputs (2)'!AJ137),'Inputs (2)'!AJ137&lt;&gt;0),'Inputs (2)'!AJ137,AJ155*Inputs!AJ$300)</f>
        <v>102835.686087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>
      <c r="C157" s="11" t="inlineStr">
        <is>
          <t>Capital Nível I</t>
        </is>
      </c>
      <c r="D157" s="12" t="inlineStr">
        <is>
          <t>Tier 1 capital</t>
        </is>
      </c>
      <c r="E157" s="57">
        <f>IF(AND(E$14=1,ISNUMBER('Inputs (2)'!E138),'Inputs (2)'!E138&lt;&gt;0),'Inputs (2)'!E138,E155*Inputs!E$301)</f>
        <v>17662.414275</v>
      </c>
      <c r="F157" s="57">
        <f>IF(AND(F$14=1,ISNUMBER('Inputs (2)'!F138),'Inputs (2)'!F138&lt;&gt;0),'Inputs (2)'!F138,F155*Inputs!F$301)</f>
        <v>21642.348268</v>
      </c>
      <c r="G157" s="57">
        <f>IF(AND(G$14=1,ISNUMBER('Inputs (2)'!G138),'Inputs (2)'!G138&lt;&gt;0),'Inputs (2)'!G138,G155*Inputs!G$301)</f>
        <v>21905.699545</v>
      </c>
      <c r="H157" s="57">
        <f>IF(AND(H$14=1,ISNUMBER('Inputs (2)'!H138),'Inputs (2)'!H138&lt;&gt;0),'Inputs (2)'!H138,H155*Inputs!H$301)</f>
        <v>22087.705038</v>
      </c>
      <c r="I157" s="77">
        <f>H157</f>
        <v>22087.705038</v>
      </c>
      <c r="J157" s="57">
        <f>IF(AND(J$14=1,ISNUMBER('Inputs (2)'!J138),'Inputs (2)'!J138&lt;&gt;0),'Inputs (2)'!J138,J155*Inputs!J$301)</f>
        <v>26842.803273</v>
      </c>
      <c r="K157" s="57">
        <f>IF(AND(K$14=1,ISNUMBER('Inputs (2)'!K138),'Inputs (2)'!K138&lt;&gt;0),'Inputs (2)'!K138,K155*Inputs!K$301)</f>
        <v>31212.868991</v>
      </c>
      <c r="L157" s="57">
        <f>IF(AND(L$14=1,ISNUMBER('Inputs (2)'!L138),'Inputs (2)'!L138&lt;&gt;0),'Inputs (2)'!L138,L155*Inputs!L$301)</f>
        <v>32539.244414</v>
      </c>
      <c r="M157" s="57">
        <f>IF(AND(M$14=1,ISNUMBER('Inputs (2)'!M138),'Inputs (2)'!M138&lt;&gt;0),'Inputs (2)'!M138,M155*Inputs!M$301)</f>
        <v>33657.719972</v>
      </c>
      <c r="N157" s="77">
        <f>M157</f>
        <v>33657.719972</v>
      </c>
      <c r="O157" s="57">
        <f>IF(AND(O$14=1,ISNUMBER('Inputs (2)'!O138),'Inputs (2)'!O138&lt;&gt;0),'Inputs (2)'!O138,O155*Inputs!O$301)</f>
        <v>34791.993557</v>
      </c>
      <c r="P157" s="57">
        <f>IF(AND(P$14=1,ISNUMBER('Inputs (2)'!P138),'Inputs (2)'!P138&lt;&gt;0),'Inputs (2)'!P138,P155*Inputs!P$301)</f>
        <v>37608.179084</v>
      </c>
      <c r="Q157" s="57">
        <f>IF(AND(Q$14=1,ISNUMBER('Inputs (2)'!Q138),'Inputs (2)'!Q138&lt;&gt;0),'Inputs (2)'!Q138,Q155*Inputs!Q$301)</f>
        <v>39068.098748</v>
      </c>
      <c r="R157" s="57">
        <f>IF(AND(R$14=1,ISNUMBER('Inputs (2)'!R138),'Inputs (2)'!R138&lt;&gt;0),'Inputs (2)'!R138,R155*Inputs!R$301)</f>
        <v>39362.81435</v>
      </c>
      <c r="S157" s="77">
        <f>R157</f>
        <v>39362.81435</v>
      </c>
      <c r="T157" s="57">
        <f>IF(AND(T$14=1,ISNUMBER('Inputs (2)'!T138),'Inputs (2)'!T138&lt;&gt;0),'Inputs (2)'!T138,T155*Inputs!T$301)</f>
        <v>40209.067161</v>
      </c>
      <c r="U157" s="57">
        <f>IF(AND(U$14=1,ISNUMBER('Inputs (2)'!U138),'Inputs (2)'!U138&lt;&gt;0),'Inputs (2)'!U138,U155*Inputs!U$301)</f>
        <v>42722.741891</v>
      </c>
      <c r="V157" s="57">
        <f>IF(AND(V$14=1,ISNUMBER('Inputs (2)'!V138),'Inputs (2)'!V138&lt;&gt;0),'Inputs (2)'!V138,V155*Inputs!V$301)</f>
        <v>44325.439443</v>
      </c>
      <c r="W157" s="57">
        <f>IF(AND(W$14=1,ISNUMBER('Inputs (2)'!W138),'Inputs (2)'!W138&lt;&gt;0),'Inputs (2)'!W138,W155*Inputs!W$301)</f>
        <v>46334.52649</v>
      </c>
      <c r="X157" s="77">
        <f>W157</f>
        <v>46334.52649</v>
      </c>
      <c r="Y157" s="57">
        <f>IF(AND(Y$14=1,ISNUMBER('Inputs (2)'!Y138),'Inputs (2)'!Y138&lt;&gt;0),'Inputs (2)'!Y138,Y155*Inputs!Y$301)</f>
        <v>48073.66064</v>
      </c>
      <c r="Z157" s="57">
        <f>IF(AND(Z$14=1,ISNUMBER('Inputs (2)'!Z138),'Inputs (2)'!Z138&lt;&gt;0),'Inputs (2)'!Z138,Z155*Inputs!Z$301)</f>
        <v>49965.65829</v>
      </c>
      <c r="AA157" s="57">
        <f>IF(AND(AA$14=1,ISNUMBER('Inputs (2)'!AA138),'Inputs (2)'!AA138&lt;&gt;0),'Inputs (2)'!AA138,AA155*Inputs!AA$301)</f>
        <v>55077.705835</v>
      </c>
      <c r="AB157" s="57">
        <f>IF(AND(AB$14=1,ISNUMBER('Inputs (2)'!AB138),'Inputs (2)'!AB138&lt;&gt;0),'Inputs (2)'!AB138,AB155*Inputs!AB$301)</f>
        <v>56350.257601</v>
      </c>
      <c r="AC157" s="77">
        <f>AB157</f>
        <v>56350.257601</v>
      </c>
      <c r="AD157" s="57">
        <f>IF(AND(AD$14=1,ISNUMBER('Inputs (2)'!AD138),'Inputs (2)'!AD138&lt;&gt;0),'Inputs (2)'!AD138,AD155*Inputs!AD$301)</f>
        <v>58513.128728</v>
      </c>
      <c r="AE157" s="57">
        <f>IF(AND(AE$14=1,ISNUMBER('Inputs (2)'!AE138),'Inputs (2)'!AE138&lt;&gt;0),'Inputs (2)'!AE138,AE155*Inputs!AE$301)</f>
        <v>64226.639412</v>
      </c>
      <c r="AF157" s="57">
        <f>IF(AND(AF$14=1,ISNUMBER('Inputs (2)'!AF138),'Inputs (2)'!AF138&lt;&gt;0),'Inputs (2)'!AF138,AF155*Inputs!AF$301)</f>
        <v>67217.987824</v>
      </c>
      <c r="AG157" s="57">
        <f>IF(AND(AG$14=1,ISNUMBER('Inputs (2)'!AG138),'Inputs (2)'!AG138&lt;&gt;0),'Inputs (2)'!AG138,AG155*Inputs!AG$301)</f>
        <v>72486.620152</v>
      </c>
      <c r="AH157" s="77">
        <f>AG157</f>
        <v>72486.620152</v>
      </c>
      <c r="AI157" s="57">
        <f>IF(AND(AI$14=1,ISNUMBER('Inputs (2)'!AI138),'Inputs (2)'!AI138&lt;&gt;0),'Inputs (2)'!AI138,AI155*Inputs!AI$301)</f>
        <v>75635.919778</v>
      </c>
      <c r="AJ157" s="57">
        <f>IF(AND(AJ$14=1,ISNUMBER('Inputs (2)'!AJ138),'Inputs (2)'!AJ138&lt;&gt;0),'Inputs (2)'!AJ138,AJ155*Inputs!AJ$301)</f>
        <v>80799.775869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>
      <c r="C158" s="11" t="inlineStr">
        <is>
          <t>Índice de Basileia</t>
        </is>
      </c>
      <c r="D158" s="12" t="inlineStr">
        <is>
          <t>Basel ratio</t>
        </is>
      </c>
      <c r="E158" s="88">
        <f>IFERROR(E156/E155,0)</f>
        <v>0.193835034332617</v>
      </c>
      <c r="F158" s="88">
        <f>IFERROR(F156/F155,0)</f>
        <v>0.196335937543613</v>
      </c>
      <c r="G158" s="88">
        <f>IFERROR(G156/G155,0)</f>
        <v>0.175069398366372</v>
      </c>
      <c r="H158" s="88">
        <f>IFERROR(H156/H155,0)</f>
        <v>0.166576688116045</v>
      </c>
      <c r="I158" s="89">
        <f>H158</f>
        <v>0.166576688116045</v>
      </c>
      <c r="J158" s="88">
        <f>IFERROR(J156/J155,0)</f>
        <v>0.176628333365466</v>
      </c>
      <c r="K158" s="88">
        <f>IFERROR(K156/K155,0)</f>
        <v>0.172504285181026</v>
      </c>
      <c r="L158" s="88">
        <f>IFERROR(L156/L155,0)</f>
        <v>0.160561673758027</v>
      </c>
      <c r="M158" s="88">
        <f>IFERROR(M156/M155,0)</f>
        <v>0.156743459080298</v>
      </c>
      <c r="N158" s="89">
        <f>M158</f>
        <v>0.156743459080298</v>
      </c>
      <c r="O158" s="88">
        <f>IFERROR(O156/O155,0)</f>
        <v>0.149812504548979</v>
      </c>
      <c r="P158" s="88">
        <f>IFERROR(P156/P155,0)</f>
        <v>0.151815609784715</v>
      </c>
      <c r="Q158" s="88">
        <f>IFERROR(Q156/Q155,0)</f>
        <v>0.151992799954822</v>
      </c>
      <c r="R158" s="88">
        <f>IFERROR(R156/R155,0)</f>
        <v>0.150810083434109</v>
      </c>
      <c r="S158" s="89">
        <f>R158</f>
        <v>0.150810083434109</v>
      </c>
      <c r="T158" s="88">
        <f>IFERROR(T156/T155,0)</f>
        <v>0.155162789374255</v>
      </c>
      <c r="U158" s="88">
        <f>IFERROR(U156/U155,0)</f>
        <v>0.15427926517143</v>
      </c>
      <c r="V158" s="88">
        <f>IFERROR(V156/V155,0)</f>
        <v>0.173694834072885</v>
      </c>
      <c r="W158" s="88">
        <f>IFERROR(W156/W155,0)</f>
        <v>0.175197129547176</v>
      </c>
      <c r="X158" s="89">
        <f>W158</f>
        <v>0.175197129547176</v>
      </c>
      <c r="Y158" s="88">
        <f>IFERROR(Y156/Y155,0)</f>
        <v>0.163977538679876</v>
      </c>
      <c r="Z158" s="88">
        <f>IFERROR(Z156/Z155,0)</f>
        <v>0.161558655977341</v>
      </c>
      <c r="AA158" s="88">
        <f>IFERROR(AA156/AA155,0)</f>
        <v>0.164218513067697</v>
      </c>
      <c r="AB158" s="88">
        <f>IFERROR(AB156/AB155,0)</f>
        <v>0.157063385667568</v>
      </c>
      <c r="AC158" s="89">
        <f>AB158</f>
        <v>0.157063385667568</v>
      </c>
      <c r="AD158" s="88">
        <f>IFERROR(AD156/AD155,0)</f>
        <v>0.156703138498721</v>
      </c>
      <c r="AE158" s="88">
        <f>IFERROR(AE156/AE155,0)</f>
        <v>0.161503551081177</v>
      </c>
      <c r="AF158" s="88">
        <f>IFERROR(AF156/AF155,0)</f>
        <v>0.155452486441461</v>
      </c>
      <c r="AG158" s="88">
        <f>IFERROR(AG156/AG155,0)</f>
        <v>0.155032580721632</v>
      </c>
      <c r="AH158" s="89">
        <f>AG158</f>
        <v>0.155032580721632</v>
      </c>
      <c r="AI158" s="88">
        <f>IFERROR(AI156/AI155,0)</f>
        <v>0.159129448863281</v>
      </c>
      <c r="AJ158" s="88">
        <f>IFERROR(AJ156/AJ155,0)</f>
        <v>0.16042155083282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>
      <c r="C159" s="11" t="inlineStr">
        <is>
          <t>Índice de Nível I</t>
        </is>
      </c>
      <c r="D159" s="12" t="inlineStr">
        <is>
          <t>Tier 1 ratio</t>
        </is>
      </c>
      <c r="E159" s="88">
        <f>IFERROR(E157/E155,0)</f>
        <v>0.153008420051185</v>
      </c>
      <c r="F159" s="88">
        <f>IFERROR(F157/F155,0)</f>
        <v>0.1599181008981</v>
      </c>
      <c r="G159" s="88">
        <f>IFERROR(G157/G155,0)</f>
        <v>0.14398091364245</v>
      </c>
      <c r="H159" s="88">
        <f>IFERROR(H157/H155,0)</f>
        <v>0.140791805622095</v>
      </c>
      <c r="I159" s="89">
        <f>H159</f>
        <v>0.140791805622095</v>
      </c>
      <c r="J159" s="88">
        <f>IFERROR(J157/J155,0)</f>
        <v>0.152156126365722</v>
      </c>
      <c r="K159" s="88">
        <f>IFERROR(K157/K155,0)</f>
        <v>0.1535775161974</v>
      </c>
      <c r="L159" s="88">
        <f>IFERROR(L157/L155,0)</f>
        <v>0.144128727829176</v>
      </c>
      <c r="M159" s="88">
        <f>IFERROR(M157/M155,0)</f>
        <v>0.135994457029629</v>
      </c>
      <c r="N159" s="89">
        <f>M159</f>
        <v>0.135994457029629</v>
      </c>
      <c r="O159" s="88">
        <f>IFERROR(O157/O155,0)</f>
        <v>0.132228537429409</v>
      </c>
      <c r="P159" s="88">
        <f>IFERROR(P157/P155,0)</f>
        <v>0.133644996814273</v>
      </c>
      <c r="Q159" s="88">
        <f>IFERROR(Q157/Q155,0)</f>
        <v>0.129904032933287</v>
      </c>
      <c r="R159" s="88">
        <f>IFERROR(R157/R155,0)</f>
        <v>0.127790760799641</v>
      </c>
      <c r="S159" s="89">
        <f>R159</f>
        <v>0.127790760799641</v>
      </c>
      <c r="T159" s="88">
        <f>IFERROR(T157/T155,0)</f>
        <v>0.13178663794977</v>
      </c>
      <c r="U159" s="88">
        <f>IFERROR(U157/U155,0)</f>
        <v>0.12363567579126</v>
      </c>
      <c r="V159" s="88">
        <f>IFERROR(V157/V155,0)</f>
        <v>0.130776175788446</v>
      </c>
      <c r="W159" s="88">
        <f>IFERROR(W157/W155,0)</f>
        <v>0.126629199383641</v>
      </c>
      <c r="X159" s="89">
        <f>W159</f>
        <v>0.126629199383641</v>
      </c>
      <c r="Y159" s="88">
        <f>IFERROR(Y157/Y155,0)</f>
        <v>0.125247859153893</v>
      </c>
      <c r="Z159" s="88">
        <f>IFERROR(Z157/Z155,0)</f>
        <v>0.123493562179315</v>
      </c>
      <c r="AA159" s="88">
        <f>IFERROR(AA157/AA155,0)</f>
        <v>0.128475808575688</v>
      </c>
      <c r="AB159" s="88">
        <f>IFERROR(AB157/AB155,0)</f>
        <v>0.123501837917993</v>
      </c>
      <c r="AC159" s="89">
        <f>AB159</f>
        <v>0.123501837917993</v>
      </c>
      <c r="AD159" s="88">
        <f>IFERROR(AD157/AD155,0)</f>
        <v>0.124059206606061</v>
      </c>
      <c r="AE159" s="88">
        <f>IFERROR(AE157/AE155,0)</f>
        <v>0.130253341585446</v>
      </c>
      <c r="AF159" s="88">
        <f>IFERROR(AF157/AF155,0)</f>
        <v>0.124048327834365</v>
      </c>
      <c r="AG159" s="88">
        <f>IFERROR(AG157/AG155,0)</f>
        <v>0.124388886594082</v>
      </c>
      <c r="AH159" s="89">
        <f>AG159</f>
        <v>0.124388886594082</v>
      </c>
      <c r="AI159" s="88">
        <f>IFERROR(AI157/AI155,0)</f>
        <v>0.124400315410067</v>
      </c>
      <c r="AJ159" s="88">
        <f>IFERROR(AJ157/AJ155,0)</f>
        <v>0.126045985057009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>
      <c r="B160" s="7" t="n"/>
      <c r="C160" s="7" t="str">
        <f>"INDICADORES (percentuais, múltiplos e "&amp;Inputs!$E$202&amp;")"</f>
        <v>INDICADORES (percentuais, múltiplos e R$ milhões)</v>
      </c>
      <c r="D160" s="7" t="inlineStr">
        <is>
          <t>RATIO ANALYSIS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>
      <c r="B161" s="29" t="n"/>
      <c r="C161" s="29" t="inlineStr">
        <is>
          <t>Rentabilidade e margem</t>
        </is>
      </c>
      <c r="D161" s="29" t="inlineStr">
        <is>
          <t>Profitability and margin</t>
        </is>
      </c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</row>
    <row r="162">
      <c r="C162" s="11" t="inlineStr">
        <is>
          <t>ROE — retorno sobre o PL médio dos controladores (% a.a.)</t>
        </is>
      </c>
      <c r="D162" s="12" t="inlineStr">
        <is>
          <t>Return on average equity</t>
        </is>
      </c>
      <c r="E162" s="88">
        <f>IFERROR(E127*4/E136,0)</f>
        <v>0.139285370831736</v>
      </c>
      <c r="F162" s="88">
        <f>IFERROR(F127*4/F136,0)</f>
        <v>0.163981548658293</v>
      </c>
      <c r="G162" s="88">
        <f>IFERROR(G127*4/G136,0)</f>
        <v>0.155114142304417</v>
      </c>
      <c r="H162" s="88">
        <f>IFERROR(H127*4/H136,0)</f>
        <v>0.186481880552683</v>
      </c>
      <c r="I162" s="89">
        <f>IFERROR(I127*1/I136,0)</f>
        <v>0.162141163054953</v>
      </c>
      <c r="J162" s="88">
        <f>IFERROR(J127*4/J136,0)</f>
        <v>0.164847564324921</v>
      </c>
      <c r="K162" s="88">
        <f>IFERROR(K127*4/K136,0)</f>
        <v>0.205137003416096</v>
      </c>
      <c r="L162" s="88">
        <f>IFERROR(L127*4/L136,0)</f>
        <v>0.195589157763485</v>
      </c>
      <c r="M162" s="88">
        <f>IFERROR(M127*4/M136,0)</f>
        <v>0.189473279026753</v>
      </c>
      <c r="N162" s="89">
        <f>IFERROR(N127*1/N136,0)</f>
        <v>0.189680087408862</v>
      </c>
      <c r="O162" s="88">
        <f>IFERROR(O127*4/O136,0)</f>
        <v>0.20267116167246</v>
      </c>
      <c r="P162" s="88">
        <f>IFERROR(P127*4/P136,0)</f>
        <v>0.205042588917911</v>
      </c>
      <c r="Q162" s="88">
        <f>IFERROR(Q127*4/Q136,0)</f>
        <v>0.208638185907906</v>
      </c>
      <c r="R162" s="88">
        <f>IFERROR(R127*4/R136,0)</f>
        <v>0.15607454711136</v>
      </c>
      <c r="S162" s="89">
        <f>IFERROR(S127*1/S136,0)</f>
        <v>0.192678890737998</v>
      </c>
      <c r="T162" s="88">
        <f>IFERROR(T127*4/T136,0)</f>
        <v>0.197111491419153</v>
      </c>
      <c r="U162" s="88">
        <f>IFERROR(U127*4/U136,0)</f>
        <v>0.214813175757947</v>
      </c>
      <c r="V162" s="88">
        <f>IFERROR(V127*4/V136,0)</f>
        <v>0.222059901630174</v>
      </c>
      <c r="W162" s="88">
        <f>IFERROR(W127*4/W136,0)</f>
        <v>0.224595421874641</v>
      </c>
      <c r="X162" s="89">
        <f>IFERROR(X127*1/X136,0)</f>
        <v>0.215090751733531</v>
      </c>
      <c r="Y162" s="88">
        <f>IFERROR(Y127*4/Y136,0)</f>
        <v>0.218951214772369</v>
      </c>
      <c r="Z162" s="88">
        <f>IFERROR(Z127*4/Z136,0)</f>
        <v>0.215037909236993</v>
      </c>
      <c r="AA162" s="88">
        <f>IFERROR(AA127*4/AA136,0)</f>
        <v>0.224469768813653</v>
      </c>
      <c r="AB162" s="88">
        <f>IFERROR(AB127*4/AB136,0)</f>
        <v>0.221674577061027</v>
      </c>
      <c r="AC162" s="89">
        <f>IFERROR(AC127*1/AC136,0)</f>
        <v>0.220116843954229</v>
      </c>
      <c r="AD162" s="88">
        <f>IFERROR(AD127*4/AD136,0)</f>
        <v>0.220882645100798</v>
      </c>
      <c r="AE162" s="88">
        <f>IFERROR(AE127*4/AE136,0)</f>
        <v>0.259744850180388</v>
      </c>
      <c r="AF162" s="88">
        <f>IFERROR(AF127*4/AF136,0)</f>
        <v>0.268342202532751</v>
      </c>
      <c r="AG162" s="88">
        <f>IFERROR(AG127*4/AG136,0)</f>
        <v>0.259075744362798</v>
      </c>
      <c r="AH162" s="89">
        <f>IFERROR(AH127*1/AH136,0)</f>
        <v>0.252814851270069</v>
      </c>
      <c r="AI162" s="88">
        <f>IFERROR(AI127*4/AI136,0)</f>
        <v>0.253067326491357</v>
      </c>
      <c r="AJ162" s="88">
        <f>IFERROR(AJ127*4/AJ136,0)</f>
        <v>0.254499387682469</v>
      </c>
      <c r="AK162" s="88">
        <f>IFERROR(AK127*4/AK136,0)</f>
        <v>0.16277705470831</v>
      </c>
      <c r="AL162" s="88">
        <f>IFERROR(AL127*4/AL136,0)</f>
        <v>0.137624912624699</v>
      </c>
      <c r="AM162" s="89">
        <f>IFERROR(AM127*1/AM136,0)</f>
        <v>0.199206793509473</v>
      </c>
      <c r="AN162" s="88">
        <f>IFERROR(AN127*4/AN136,0)</f>
        <v>0.0487299518355711</v>
      </c>
      <c r="AO162" s="88">
        <f>IFERROR(AO127*4/AO136,0)</f>
        <v>0.0746329358006077</v>
      </c>
      <c r="AP162" s="88">
        <f>IFERROR(AP127*4/AP136,0)</f>
        <v>0.14671298583531</v>
      </c>
      <c r="AQ162" s="88">
        <f>IFERROR(AQ127*4/AQ136,0)</f>
        <v>0.124495194202095</v>
      </c>
      <c r="AR162" s="89">
        <f>IFERROR(AR127*1/AR136,0)</f>
        <v>0.0995660955987232</v>
      </c>
      <c r="AS162" s="88">
        <f>IFERROR(AS127*4/AS136,0)</f>
        <v>0.0441775243583637</v>
      </c>
      <c r="AT162" s="88">
        <f>IFERROR(AT127*4/AT136,0)</f>
        <v>0.0677576317558374</v>
      </c>
      <c r="AU162" s="88">
        <f>IFERROR(AU127*4/AU136,0)</f>
        <v>0.133534766744385</v>
      </c>
      <c r="AV162" s="88">
        <f>IFERROR(AV127*4/AV136,0)</f>
        <v>0.11365249681041</v>
      </c>
      <c r="AW162" s="89">
        <f>IFERROR(AW127*1/AW136,0)</f>
        <v>0.090550350722217</v>
      </c>
      <c r="AX162" s="88">
        <f>IFERROR(AX127*4/AX136,0)</f>
        <v>0.0404030124398282</v>
      </c>
      <c r="AY162" s="88">
        <f>IFERROR(AY127*4/AY136,0)</f>
        <v>0.0620422056767232</v>
      </c>
      <c r="AZ162" s="88">
        <f>IFERROR(AZ127*4/AZ136,0)</f>
        <v>0.122528842977502</v>
      </c>
      <c r="BA162" s="88">
        <f>IFERROR(BA127*4/BA136,0)</f>
        <v>0.104547141198521</v>
      </c>
      <c r="BB162" s="89">
        <f>IFERROR(BB127*1/BB136,0)</f>
        <v>0.0830317927661479</v>
      </c>
      <c r="BC162" s="88">
        <f>IFERROR(BC127*4/BC136,0)</f>
        <v>0.0372227167977777</v>
      </c>
      <c r="BD162" s="88">
        <f>IFERROR(BD127*4/BD136,0)</f>
        <v>0.0572159788831267</v>
      </c>
      <c r="BE162" s="88">
        <f>IFERROR(BE127*4/BE136,0)</f>
        <v>0.1131989919834</v>
      </c>
      <c r="BF162" s="88">
        <f>IFERROR(BF127*4/BF136,0)</f>
        <v>0.0967925342219815</v>
      </c>
      <c r="BG162" s="89">
        <f>IFERROR(BG127*1/BG136,0)</f>
        <v>0.0766660714124358</v>
      </c>
      <c r="BI162" s="14" t="inlineStr">
        <is>
          <t>Trimestres são anualizados por 4. Colunas FY usam o resultado acumulado do ano.</t>
        </is>
      </c>
    </row>
    <row r="163">
      <c r="C163" s="11" t="inlineStr">
        <is>
          <t>ROA — retorno sobre o ativo médio (% a.a.)</t>
        </is>
      </c>
      <c r="D163" s="12" t="inlineStr">
        <is>
          <t>Return on average assets</t>
        </is>
      </c>
      <c r="E163" s="88">
        <f>IFERROR(E125*4/E135,0)</f>
        <v>0.0153311752988545</v>
      </c>
      <c r="F163" s="88">
        <f>IFERROR(F125*4/F135,0)</f>
        <v>0.0181508282222167</v>
      </c>
      <c r="G163" s="88">
        <f>IFERROR(G125*4/G135,0)</f>
        <v>0.0165743763296185</v>
      </c>
      <c r="H163" s="88">
        <f>IFERROR(H125*4/H135,0)</f>
        <v>0.0197397327811341</v>
      </c>
      <c r="I163" s="89">
        <f>IFERROR(I125*1/I135,0)</f>
        <v>0.0175437441780198</v>
      </c>
      <c r="J163" s="88">
        <f>IFERROR(J125*4/J135,0)</f>
        <v>0.0179368222995493</v>
      </c>
      <c r="K163" s="88">
        <f>IFERROR(K125*4/K135,0)</f>
        <v>0.021832837573059</v>
      </c>
      <c r="L163" s="88">
        <f>IFERROR(L125*4/L135,0)</f>
        <v>0.019712824207091</v>
      </c>
      <c r="M163" s="88">
        <f>IFERROR(M125*4/M135,0)</f>
        <v>0.0194224409876316</v>
      </c>
      <c r="N163" s="89">
        <f>IFERROR(N125*1/N135,0)</f>
        <v>0.0197764685008066</v>
      </c>
      <c r="O163" s="88">
        <f>IFERROR(O125*4/O135,0)</f>
        <v>0.0210723421351659</v>
      </c>
      <c r="P163" s="88">
        <f>IFERROR(P125*4/P135,0)</f>
        <v>0.0195448516278963</v>
      </c>
      <c r="Q163" s="88">
        <f>IFERROR(Q125*4/Q135,0)</f>
        <v>0.0194991128116324</v>
      </c>
      <c r="R163" s="88">
        <f>IFERROR(R125*4/R135,0)</f>
        <v>0.0148331502945313</v>
      </c>
      <c r="S163" s="89">
        <f>IFERROR(S125*1/S135,0)</f>
        <v>0.0186216282991653</v>
      </c>
      <c r="T163" s="88">
        <f>IFERROR(T125*4/T135,0)</f>
        <v>0.0185293530980492</v>
      </c>
      <c r="U163" s="88">
        <f>IFERROR(U125*4/U135,0)</f>
        <v>0.0206676466230475</v>
      </c>
      <c r="V163" s="88">
        <f>IFERROR(V125*4/V135,0)</f>
        <v>0.0216071946072035</v>
      </c>
      <c r="W163" s="88">
        <f>IFERROR(W125*4/W135,0)</f>
        <v>0.0220480867229732</v>
      </c>
      <c r="X163" s="89">
        <f>IFERROR(X125*1/X135,0)</f>
        <v>0.0207484170124304</v>
      </c>
      <c r="Y163" s="88">
        <f>IFERROR(Y125*4/Y135,0)</f>
        <v>0.0209154123614815</v>
      </c>
      <c r="Z163" s="88">
        <f>IFERROR(Z125*4/Z135,0)</f>
        <v>0.0193375974244634</v>
      </c>
      <c r="AA163" s="88">
        <f>IFERROR(AA125*4/AA135,0)</f>
        <v>0.0202557259184388</v>
      </c>
      <c r="AB163" s="88">
        <f>IFERROR(AB125*4/AB135,0)</f>
        <v>0.0208533223439679</v>
      </c>
      <c r="AC163" s="89">
        <f>IFERROR(AC125*1/AC135,0)</f>
        <v>0.0203298126775656</v>
      </c>
      <c r="AD163" s="88">
        <f>IFERROR(AD125*4/AD135,0)</f>
        <v>0.0214781298689898</v>
      </c>
      <c r="AE163" s="88">
        <f>IFERROR(AE125*4/AE135,0)</f>
        <v>0.0253645358293018</v>
      </c>
      <c r="AF163" s="88">
        <f>IFERROR(AF125*4/AF135,0)</f>
        <v>0.0258748698565122</v>
      </c>
      <c r="AG163" s="88">
        <f>IFERROR(AG125*4/AG135,0)</f>
        <v>0.0235586268198972</v>
      </c>
      <c r="AH163" s="89">
        <f>IFERROR(AH125*1/AH135,0)</f>
        <v>0.0241070495891791</v>
      </c>
      <c r="AI163" s="88">
        <f>IFERROR(AI125*4/AI135,0)</f>
        <v>0.0221387892511984</v>
      </c>
      <c r="AJ163" s="88">
        <f>IFERROR(AJ125*4/AJ135,0)</f>
        <v>0.0221421413149645</v>
      </c>
      <c r="AK163" s="88">
        <f>IFERROR(AK125*4/AK135,0)</f>
        <v>0.0142868295749266</v>
      </c>
      <c r="AL163" s="88">
        <f>IFERROR(AL125*4/AL135,0)</f>
        <v>0.0125407615609823</v>
      </c>
      <c r="AM163" s="89">
        <f>IFERROR(AM125*1/AM135,0)</f>
        <v>0.017606539710458</v>
      </c>
      <c r="AN163" s="88">
        <f>IFERROR(AN125*4/AN135,0)</f>
        <v>0.00454447795419617</v>
      </c>
      <c r="AO163" s="88">
        <f>IFERROR(AO125*4/AO135,0)</f>
        <v>0.00706848783663513</v>
      </c>
      <c r="AP163" s="88">
        <f>IFERROR(AP125*4/AP135,0)</f>
        <v>0.0142868295749266</v>
      </c>
      <c r="AQ163" s="88">
        <f>IFERROR(AQ125*4/AQ135,0)</f>
        <v>0.0125407615609823</v>
      </c>
      <c r="AR163" s="89">
        <f>IFERROR(AR125*1/AR135,0)</f>
        <v>0.00961013923168507</v>
      </c>
      <c r="AS163" s="88">
        <f>IFERROR(AS125*4/AS135,0)</f>
        <v>0.00454447795419617</v>
      </c>
      <c r="AT163" s="88">
        <f>IFERROR(AT125*4/AT135,0)</f>
        <v>0.00706848783663513</v>
      </c>
      <c r="AU163" s="88">
        <f>IFERROR(AU125*4/AU135,0)</f>
        <v>0.0142868295749266</v>
      </c>
      <c r="AV163" s="88">
        <f>IFERROR(AV125*4/AV135,0)</f>
        <v>0.0125407615609823</v>
      </c>
      <c r="AW163" s="89">
        <f>IFERROR(AW125*1/AW135,0)</f>
        <v>0.00961013923168507</v>
      </c>
      <c r="AX163" s="88">
        <f>IFERROR(AX125*4/AX135,0)</f>
        <v>0.00454447795419617</v>
      </c>
      <c r="AY163" s="88">
        <f>IFERROR(AY125*4/AY135,0)</f>
        <v>0.00706848783663513</v>
      </c>
      <c r="AZ163" s="88">
        <f>IFERROR(AZ125*4/AZ135,0)</f>
        <v>0.0142868295749266</v>
      </c>
      <c r="BA163" s="88">
        <f>IFERROR(BA125*4/BA135,0)</f>
        <v>0.0125407615609823</v>
      </c>
      <c r="BB163" s="89">
        <f>IFERROR(BB125*1/BB135,0)</f>
        <v>0.00961013923168507</v>
      </c>
      <c r="BC163" s="88">
        <f>IFERROR(BC125*4/BC135,0)</f>
        <v>0.00454447795419617</v>
      </c>
      <c r="BD163" s="88">
        <f>IFERROR(BD125*4/BD135,0)</f>
        <v>0.00706848783663513</v>
      </c>
      <c r="BE163" s="88">
        <f>IFERROR(BE125*4/BE135,0)</f>
        <v>0.0142868295749266</v>
      </c>
      <c r="BF163" s="88">
        <f>IFERROR(BF125*4/BF135,0)</f>
        <v>0.0125407615609823</v>
      </c>
      <c r="BG163" s="89">
        <f>IFERROR(BG125*1/BG135,0)</f>
        <v>0.00961013923168507</v>
      </c>
    </row>
    <row r="164">
      <c r="C164" s="11" t="inlineStr">
        <is>
          <t>NIM — margem financeira bruta / ativos rentáveis médios (% a.a.)</t>
        </is>
      </c>
      <c r="D164" s="12" t="inlineStr">
        <is>
          <t>Net interest margin</t>
        </is>
      </c>
      <c r="E164" s="88">
        <f>IFERROR(E137*4/E131,0)</f>
        <v>-0.0096658998284091</v>
      </c>
      <c r="F164" s="88">
        <f>IFERROR(F137*4/F131,0)</f>
        <v>0.00559394466042474</v>
      </c>
      <c r="G164" s="88">
        <f>IFERROR(G137*4/G131,0)</f>
        <v>0.0402905827772416</v>
      </c>
      <c r="H164" s="88">
        <f>IFERROR(H137*4/H131,0)</f>
        <v>0.0348888085829084</v>
      </c>
      <c r="I164" s="89">
        <f>IFERROR(I137*1/I131,0)</f>
        <v>0.0203119342723799</v>
      </c>
      <c r="J164" s="88">
        <f>IFERROR(J137*4/J131,0)</f>
        <v>-0.0449335579773223</v>
      </c>
      <c r="K164" s="88">
        <f>IFERROR(K137*4/K131,0)</f>
        <v>0.144644936613859</v>
      </c>
      <c r="L164" s="88">
        <f>IFERROR(L137*4/L131,0)</f>
        <v>0.0367240774478016</v>
      </c>
      <c r="M164" s="88">
        <f>IFERROR(M137*4/M131,0)</f>
        <v>0.0398701194567728</v>
      </c>
      <c r="N164" s="89">
        <f>IFERROR(N137*1/N131,0)</f>
        <v>0.0466661855084108</v>
      </c>
      <c r="O164" s="88">
        <f>IFERROR(O137*4/O131,0)</f>
        <v>0.0389242905285043</v>
      </c>
      <c r="P164" s="88">
        <f>IFERROR(P137*4/P131,0)</f>
        <v>0.0175735973752306</v>
      </c>
      <c r="Q164" s="88">
        <f>IFERROR(Q137*4/Q131,0)</f>
        <v>0.0432384810871233</v>
      </c>
      <c r="R164" s="88">
        <f>IFERROR(R137*4/R131,0)</f>
        <v>0.0152057056650292</v>
      </c>
      <c r="S164" s="89">
        <f>IFERROR(S137*1/S131,0)</f>
        <v>0.0284894104922121</v>
      </c>
      <c r="T164" s="88">
        <f>IFERROR(T137*4/T131,0)</f>
        <v>0.0685397079692858</v>
      </c>
      <c r="U164" s="88">
        <f>IFERROR(U137*4/U131,0)</f>
        <v>0.0470655059133565</v>
      </c>
      <c r="V164" s="88">
        <f>IFERROR(V137*4/V131,0)</f>
        <v>0.0795838740205127</v>
      </c>
      <c r="W164" s="88">
        <f>IFERROR(W137*4/W131,0)</f>
        <v>0.0709664558020771</v>
      </c>
      <c r="X164" s="89">
        <f>IFERROR(X137*1/X131,0)</f>
        <v>0.0667585431097415</v>
      </c>
      <c r="Y164" s="88">
        <f>IFERROR(Y137*4/Y131,0)</f>
        <v>0.0384155014702537</v>
      </c>
      <c r="Z164" s="88">
        <f>IFERROR(Z137*4/Z131,0)</f>
        <v>0.0345114668165003</v>
      </c>
      <c r="AA164" s="88">
        <f>IFERROR(AA137*4/AA131,0)</f>
        <v>0.0368678537303939</v>
      </c>
      <c r="AB164" s="88">
        <f>IFERROR(AB137*4/AB131,0)</f>
        <v>0.0605987586962416</v>
      </c>
      <c r="AC164" s="89">
        <f>IFERROR(AC137*1/AC131,0)</f>
        <v>0.0426302547754217</v>
      </c>
      <c r="AD164" s="88">
        <f>IFERROR(AD137*4/AD131,0)</f>
        <v>0.0425838647105644</v>
      </c>
      <c r="AE164" s="88">
        <f>IFERROR(AE137*4/AE131,0)</f>
        <v>0.0564256331951935</v>
      </c>
      <c r="AF164" s="88">
        <f>IFERROR(AF137*4/AF131,0)</f>
        <v>0.0713753760866708</v>
      </c>
      <c r="AG164" s="88">
        <f>IFERROR(AG137*4/AG131,0)</f>
        <v>0.0576904205117011</v>
      </c>
      <c r="AH164" s="89">
        <f>IFERROR(AH137*1/AH131,0)</f>
        <v>0.0575179329282158</v>
      </c>
      <c r="AI164" s="88">
        <f>IFERROR(AI137*4/AI131,0)</f>
        <v>0.0630013472973953</v>
      </c>
      <c r="AJ164" s="88">
        <f>IFERROR(AJ137*4/AJ131,0)</f>
        <v>0.0621606406471156</v>
      </c>
      <c r="AK164" s="88">
        <f>IFERROR(AK137*4/AK131,0)</f>
        <v>-0.00174058917248436</v>
      </c>
      <c r="AL164" s="88">
        <f>IFERROR(AL137*4/AL131,0)</f>
        <v>-0.00174058917248436</v>
      </c>
      <c r="AM164" s="89">
        <f>IFERROR(AM137*1/AM131,0)</f>
        <v>0.0290502149398102</v>
      </c>
      <c r="AN164" s="88">
        <f>IFERROR(AN137*4/AN131,0)</f>
        <v>-0.00174058917248436</v>
      </c>
      <c r="AO164" s="88">
        <f>IFERROR(AO137*4/AO131,0)</f>
        <v>-0.00174058917248436</v>
      </c>
      <c r="AP164" s="88">
        <f>IFERROR(AP137*4/AP131,0)</f>
        <v>-0.00174058917248436</v>
      </c>
      <c r="AQ164" s="88">
        <f>IFERROR(AQ137*4/AQ131,0)</f>
        <v>-0.00174058917248436</v>
      </c>
      <c r="AR164" s="89">
        <f>IFERROR(AR137*1/AR131,0)</f>
        <v>-0.00174058917248436</v>
      </c>
      <c r="AS164" s="88">
        <f>IFERROR(AS137*4/AS131,0)</f>
        <v>-0.00174058917248436</v>
      </c>
      <c r="AT164" s="88">
        <f>IFERROR(AT137*4/AT131,0)</f>
        <v>-0.00174058917248436</v>
      </c>
      <c r="AU164" s="88">
        <f>IFERROR(AU137*4/AU131,0)</f>
        <v>-0.00174058917248436</v>
      </c>
      <c r="AV164" s="88">
        <f>IFERROR(AV137*4/AV131,0)</f>
        <v>-0.00174058917248436</v>
      </c>
      <c r="AW164" s="89">
        <f>IFERROR(AW137*1/AW131,0)</f>
        <v>-0.00174058917248436</v>
      </c>
      <c r="AX164" s="88">
        <f>IFERROR(AX137*4/AX131,0)</f>
        <v>-0.00174058917248436</v>
      </c>
      <c r="AY164" s="88">
        <f>IFERROR(AY137*4/AY131,0)</f>
        <v>-0.00174058917248436</v>
      </c>
      <c r="AZ164" s="88">
        <f>IFERROR(AZ137*4/AZ131,0)</f>
        <v>-0.00174058917248436</v>
      </c>
      <c r="BA164" s="88">
        <f>IFERROR(BA137*4/BA131,0)</f>
        <v>-0.00174058917248436</v>
      </c>
      <c r="BB164" s="89">
        <f>IFERROR(BB137*1/BB131,0)</f>
        <v>-0.00174058917248436</v>
      </c>
      <c r="BC164" s="88">
        <f>IFERROR(BC137*4/BC131,0)</f>
        <v>-0.00174058917248436</v>
      </c>
      <c r="BD164" s="88">
        <f>IFERROR(BD137*4/BD131,0)</f>
        <v>-0.00174058917248436</v>
      </c>
      <c r="BE164" s="88">
        <f>IFERROR(BE137*4/BE131,0)</f>
        <v>-0.00174058917248436</v>
      </c>
      <c r="BF164" s="88">
        <f>IFERROR(BF137*4/BF131,0)</f>
        <v>-0.00174058917248436</v>
      </c>
      <c r="BG164" s="89">
        <f>IFERROR(BG137*1/BG131,0)</f>
        <v>-0.00174058917248436</v>
      </c>
    </row>
    <row r="165">
      <c r="C165" s="11" t="inlineStr">
        <is>
          <t>NIM com clientes (% a.a.)</t>
        </is>
      </c>
      <c r="D165" s="12" t="inlineStr">
        <is>
          <t>NIM with clients</t>
        </is>
      </c>
      <c r="E165" s="88">
        <f>IFERROR(E138*4/E134,0)</f>
        <v>0.0905530970257893</v>
      </c>
      <c r="F165" s="88">
        <f>IFERROR(F138*4/F134,0)</f>
        <v>-0.00185219906376579</v>
      </c>
      <c r="G165" s="88">
        <f>IFERROR(G138*4/G134,0)</f>
        <v>-0.013850470546936</v>
      </c>
      <c r="H165" s="88">
        <f>IFERROR(H138*4/H134,0)</f>
        <v>0.0235238894008492</v>
      </c>
      <c r="I165" s="89">
        <f>IFERROR(I138*1/I134,0)</f>
        <v>0.0208604020142167</v>
      </c>
      <c r="J165" s="88">
        <f>IFERROR(J138*4/J134,0)</f>
        <v>0.0279869877696261</v>
      </c>
      <c r="K165" s="88">
        <f>IFERROR(K138*4/K134,0)</f>
        <v>0.200546601530073</v>
      </c>
      <c r="L165" s="88">
        <f>IFERROR(L138*4/L134,0)</f>
        <v>0.0591428486849366</v>
      </c>
      <c r="M165" s="88">
        <f>IFERROR(M138*4/M134,0)</f>
        <v>0.0322522432745216</v>
      </c>
      <c r="N165" s="89">
        <f>IFERROR(N138*1/N134,0)</f>
        <v>0.0779746776632913</v>
      </c>
      <c r="O165" s="88">
        <f>IFERROR(O138*4/O134,0)</f>
        <v>0.0102704335002411</v>
      </c>
      <c r="P165" s="88">
        <f>IFERROR(P138*4/P134,0)</f>
        <v>-0.205751853203446</v>
      </c>
      <c r="Q165" s="88">
        <f>IFERROR(Q138*4/Q134,0)</f>
        <v>-0.0289943561435591</v>
      </c>
      <c r="R165" s="88">
        <f>IFERROR(R138*4/R134,0)</f>
        <v>-0.0534985114875362</v>
      </c>
      <c r="S165" s="89">
        <f>IFERROR(S138*1/S134,0)</f>
        <v>-0.0696778446972817</v>
      </c>
      <c r="T165" s="88">
        <f>IFERROR(T138*4/T134,0)</f>
        <v>0.0306229381862301</v>
      </c>
      <c r="U165" s="88">
        <f>IFERROR(U138*4/U134,0)</f>
        <v>-0.0512034274715412</v>
      </c>
      <c r="V165" s="88">
        <f>IFERROR(V138*4/V134,0)</f>
        <v>-0.0579852574698349</v>
      </c>
      <c r="W165" s="88">
        <f>IFERROR(W138*4/W134,0)</f>
        <v>-0.0816295421103403</v>
      </c>
      <c r="X165" s="89">
        <f>IFERROR(X138*1/X134,0)</f>
        <v>-0.0403987377605116</v>
      </c>
      <c r="Y165" s="88">
        <f>IFERROR(Y138*4/Y134,0)</f>
        <v>-0.0461313539097227</v>
      </c>
      <c r="Z165" s="88">
        <f>IFERROR(Z138*4/Z134,0)</f>
        <v>-0.0916513847377672</v>
      </c>
      <c r="AA165" s="88">
        <f>IFERROR(AA138*4/AA134,0)</f>
        <v>-0.0714533160657566</v>
      </c>
      <c r="AB165" s="88">
        <f>IFERROR(AB138*4/AB134,0)</f>
        <v>-0.0198926783094817</v>
      </c>
      <c r="AC165" s="89">
        <f>IFERROR(AC138*1/AC134,0)</f>
        <v>-0.0567411247996898</v>
      </c>
      <c r="AD165" s="88">
        <f>IFERROR(AD138*4/AD134,0)</f>
        <v>-0.0464194010053891</v>
      </c>
      <c r="AE165" s="88">
        <f>IFERROR(AE138*4/AE134,0)</f>
        <v>-0.0943914237961828</v>
      </c>
      <c r="AF165" s="88">
        <f>IFERROR(AF138*4/AF134,0)</f>
        <v>-0.0794920474179669</v>
      </c>
      <c r="AG165" s="88">
        <f>IFERROR(AG138*4/AG134,0)</f>
        <v>-0.142543896287193</v>
      </c>
      <c r="AH165" s="89">
        <f>IFERROR(AH138*1/AH134,0)</f>
        <v>-0.0922299117857389</v>
      </c>
      <c r="AI165" s="88">
        <f>IFERROR(AI138*4/AI134,0)</f>
        <v>-0.224773813817325</v>
      </c>
      <c r="AJ165" s="88">
        <f>IFERROR(AJ138*4/AJ134,0)</f>
        <v>-0.164448741697208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-0.0961789254230707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>
      <c r="C166" s="11" t="inlineStr">
        <is>
          <t>NIM com o mercado (% a.a.)</t>
        </is>
      </c>
      <c r="D166" s="12" t="inlineStr">
        <is>
          <t>NIM with market</t>
        </is>
      </c>
      <c r="E166" s="88">
        <f>IFERROR(E139*4/(E131-E134),0)</f>
        <v>-0.0409690087987415</v>
      </c>
      <c r="F166" s="88">
        <f>IFERROR(F139*4/(F131-F134),0)</f>
        <v>0.00807160030835972</v>
      </c>
      <c r="G166" s="88">
        <f>IFERROR(G139*4/(G131-G134),0)</f>
        <v>0.0592538710170435</v>
      </c>
      <c r="H166" s="88">
        <f>IFERROR(H139*4/(H131-H134),0)</f>
        <v>0.0389308184805289</v>
      </c>
      <c r="I166" s="89">
        <f>IFERROR(I139*1/(I131-I134),0)</f>
        <v>0.0201256169651929</v>
      </c>
      <c r="J166" s="88">
        <f>IFERROR(J139*4/(J131-J134),0)</f>
        <v>-0.0727112221937361</v>
      </c>
      <c r="K166" s="88">
        <f>IFERROR(K139*4/(K131-K134),0)</f>
        <v>0.11857318216452</v>
      </c>
      <c r="L166" s="88">
        <f>IFERROR(L139*4/(L131-L134),0)</f>
        <v>0.0260316067159876</v>
      </c>
      <c r="M166" s="88">
        <f>IFERROR(M139*4/(M131-M134),0)</f>
        <v>0.0437635933466764</v>
      </c>
      <c r="N166" s="89">
        <f>IFERROR(N139*1/(N131-N134),0)</f>
        <v>0.0321171653560343</v>
      </c>
      <c r="O166" s="88">
        <f>IFERROR(O139*4/(O131-O134),0)</f>
        <v>0.0544705247550872</v>
      </c>
      <c r="P166" s="88">
        <f>IFERROR(P139*4/(P131-P134),0)</f>
        <v>0.127877690157343</v>
      </c>
      <c r="Q166" s="88">
        <f>IFERROR(Q139*4/(Q131-Q134),0)</f>
        <v>0.0785488273932967</v>
      </c>
      <c r="R166" s="88">
        <f>IFERROR(R139*4/(R131-R134),0)</f>
        <v>0.0504140211893142</v>
      </c>
      <c r="S166" s="89">
        <f>IFERROR(S139*1/(S131-S134),0)</f>
        <v>0.0783781878085437</v>
      </c>
      <c r="T166" s="88">
        <f>IFERROR(T139*4/(T131-T134),0)</f>
        <v>0.0869044259956955</v>
      </c>
      <c r="U166" s="88">
        <f>IFERROR(U139*4/(U131-U134),0)</f>
        <v>0.0891116435868857</v>
      </c>
      <c r="V166" s="88">
        <f>IFERROR(V139*4/(V131-V134),0)</f>
        <v>0.135852943894795</v>
      </c>
      <c r="W166" s="88">
        <f>IFERROR(W139*4/(W131-W134),0)</f>
        <v>0.135565731127263</v>
      </c>
      <c r="X166" s="89">
        <f>IFERROR(X139*1/(X131-X134),0)</f>
        <v>0.113306057901166</v>
      </c>
      <c r="Y166" s="88">
        <f>IFERROR(Y139*4/(Y131-Y134),0)</f>
        <v>0.0745110668446089</v>
      </c>
      <c r="Z166" s="88">
        <f>IFERROR(Z139*4/(Z131-Z134),0)</f>
        <v>0.0875505474825958</v>
      </c>
      <c r="AA166" s="88">
        <f>IFERROR(AA139*4/(AA131-AA134),0)</f>
        <v>0.0840999142265111</v>
      </c>
      <c r="AB166" s="88">
        <f>IFERROR(AB139*4/(AB131-AB134),0)</f>
        <v>0.0997722453978843</v>
      </c>
      <c r="AC166" s="89">
        <f>IFERROR(AC139*1/(AC131-AC134),0)</f>
        <v>0.0865818007455218</v>
      </c>
      <c r="AD166" s="88">
        <f>IFERROR(AD139*4/(AD131-AD134),0)</f>
        <v>0.0900577293438486</v>
      </c>
      <c r="AE166" s="88">
        <f>IFERROR(AE139*4/(AE131-AE134),0)</f>
        <v>0.132308857928266</v>
      </c>
      <c r="AF166" s="88">
        <f>IFERROR(AF139*4/(AF131-AF134),0)</f>
        <v>0.143245257240206</v>
      </c>
      <c r="AG166" s="88">
        <f>IFERROR(AG139*4/(AG131-AG134),0)</f>
        <v>0.145016616947057</v>
      </c>
      <c r="AH166" s="89">
        <f>IFERROR(AH139*1/(AH131-AH134),0)</f>
        <v>0.129827827906742</v>
      </c>
      <c r="AI166" s="88">
        <f>IFERROR(AI139*4/(AI131-AI134),0)</f>
        <v>0.180119412531096</v>
      </c>
      <c r="AJ166" s="88">
        <f>IFERROR(AJ139*4/(AJ131-AJ134),0)</f>
        <v>0.148593687502389</v>
      </c>
      <c r="AK166" s="88">
        <f>IFERROR(AK139*4/(AK131-AK134),0)</f>
        <v>-0.00236648402694124</v>
      </c>
      <c r="AL166" s="88">
        <f>IFERROR(AL139*4/(AL131-AL134),0)</f>
        <v>-0.00236648402694124</v>
      </c>
      <c r="AM166" s="89">
        <f>IFERROR(AM139*1/(AM131-AM134),0)</f>
        <v>0.0760951471190706</v>
      </c>
      <c r="AN166" s="88">
        <f>IFERROR(AN139*4/(AN131-AN134),0)</f>
        <v>-0.00236648402694124</v>
      </c>
      <c r="AO166" s="88">
        <f>IFERROR(AO139*4/(AO131-AO134),0)</f>
        <v>-0.00236648402694124</v>
      </c>
      <c r="AP166" s="88">
        <f>IFERROR(AP139*4/(AP131-AP134),0)</f>
        <v>-0.00236648402694124</v>
      </c>
      <c r="AQ166" s="88">
        <f>IFERROR(AQ139*4/(AQ131-AQ134),0)</f>
        <v>-0.00236648402694124</v>
      </c>
      <c r="AR166" s="89">
        <f>IFERROR(AR139*1/(AR131-AR134),0)</f>
        <v>-0.00236648402694124</v>
      </c>
      <c r="AS166" s="88">
        <f>IFERROR(AS139*4/(AS131-AS134),0)</f>
        <v>-0.00236648402694124</v>
      </c>
      <c r="AT166" s="88">
        <f>IFERROR(AT139*4/(AT131-AT134),0)</f>
        <v>-0.00236648402694124</v>
      </c>
      <c r="AU166" s="88">
        <f>IFERROR(AU139*4/(AU131-AU134),0)</f>
        <v>-0.00236648402694124</v>
      </c>
      <c r="AV166" s="88">
        <f>IFERROR(AV139*4/(AV131-AV134),0)</f>
        <v>-0.00236648402694124</v>
      </c>
      <c r="AW166" s="89">
        <f>IFERROR(AW139*1/(AW131-AW134),0)</f>
        <v>-0.00236648402694124</v>
      </c>
      <c r="AX166" s="88">
        <f>IFERROR(AX139*4/(AX131-AX134),0)</f>
        <v>-0.00236648402694124</v>
      </c>
      <c r="AY166" s="88">
        <f>IFERROR(AY139*4/(AY131-AY134),0)</f>
        <v>-0.00236648402694124</v>
      </c>
      <c r="AZ166" s="88">
        <f>IFERROR(AZ139*4/(AZ131-AZ134),0)</f>
        <v>-0.00236648402694124</v>
      </c>
      <c r="BA166" s="88">
        <f>IFERROR(BA139*4/(BA131-BA134),0)</f>
        <v>-0.00236648402694124</v>
      </c>
      <c r="BB166" s="89">
        <f>IFERROR(BB139*1/(BB131-BB134),0)</f>
        <v>-0.00236648402694124</v>
      </c>
      <c r="BC166" s="88">
        <f>IFERROR(BC139*4/(BC131-BC134),0)</f>
        <v>-0.00236648402694124</v>
      </c>
      <c r="BD166" s="88">
        <f>IFERROR(BD139*4/(BD131-BD134),0)</f>
        <v>-0.00236648402694124</v>
      </c>
      <c r="BE166" s="88">
        <f>IFERROR(BE139*4/(BE131-BE134),0)</f>
        <v>-0.00236648402694124</v>
      </c>
      <c r="BF166" s="88">
        <f>IFERROR(BF139*4/(BF131-BF134),0)</f>
        <v>-0.00236648402694124</v>
      </c>
      <c r="BG166" s="89">
        <f>IFERROR(BG139*1/(BG131-BG134),0)</f>
        <v>-0.00236648402694124</v>
      </c>
    </row>
    <row r="167">
      <c r="C167" s="11" t="inlineStr">
        <is>
          <t>Custo médio do funding (% a.a.)</t>
        </is>
      </c>
      <c r="D167" s="12" t="inlineStr">
        <is>
          <t>Average cost of funding</t>
        </is>
      </c>
      <c r="E167" s="88">
        <f>IFERROR(-E96*4/E133,0)</f>
        <v>0.14705094539541</v>
      </c>
      <c r="F167" s="88">
        <f>IFERROR(-F96*4/F133,0)</f>
        <v>0.0832814051194996</v>
      </c>
      <c r="G167" s="88">
        <f>IFERROR(-G96*4/G133,0)</f>
        <v>0.0897514588045176</v>
      </c>
      <c r="H167" s="88">
        <f>IFERROR(-H96*4/H133,0)</f>
        <v>0.0305606948463471</v>
      </c>
      <c r="I167" s="89">
        <f>IFERROR(-I96*1/I133,0)</f>
        <v>0.0822510073459092</v>
      </c>
      <c r="J167" s="88">
        <f>IFERROR(-J96*4/J133,0)</f>
        <v>0.147377573329302</v>
      </c>
      <c r="K167" s="88">
        <f>IFERROR(-K96*4/K133,0)</f>
        <v>0.0062802231643967</v>
      </c>
      <c r="L167" s="88">
        <f>IFERROR(-L96*4/L133,0)</f>
        <v>0.0941515620962597</v>
      </c>
      <c r="M167" s="88">
        <f>IFERROR(-M96*4/M133,0)</f>
        <v>0.120585584840881</v>
      </c>
      <c r="N167" s="89">
        <f>IFERROR(-N96*1/N133,0)</f>
        <v>0.0920175564180121</v>
      </c>
      <c r="O167" s="88">
        <f>IFERROR(-O96*4/O133,0)</f>
        <v>0.152467616355005</v>
      </c>
      <c r="P167" s="88">
        <f>IFERROR(-P96*4/P133,0)</f>
        <v>0.278782293874536</v>
      </c>
      <c r="Q167" s="88">
        <f>IFERROR(-Q96*4/Q133,0)</f>
        <v>0.161636575368833</v>
      </c>
      <c r="R167" s="88">
        <f>IFERROR(-R96*4/R133,0)</f>
        <v>0.158991766935419</v>
      </c>
      <c r="S167" s="89">
        <f>IFERROR(-S96*1/S133,0)</f>
        <v>0.187655521559779</v>
      </c>
      <c r="T167" s="88">
        <f>IFERROR(-T96*4/T133,0)</f>
        <v>0.138260687846709</v>
      </c>
      <c r="U167" s="88">
        <f>IFERROR(-U96*4/U133,0)</f>
        <v>0.185621948558053</v>
      </c>
      <c r="V167" s="88">
        <f>IFERROR(-V96*4/V133,0)</f>
        <v>0.16358515946158</v>
      </c>
      <c r="W167" s="88">
        <f>IFERROR(-W96*4/W133,0)</f>
        <v>0.175246728590893</v>
      </c>
      <c r="X167" s="89">
        <f>IFERROR(-X96*1/X133,0)</f>
        <v>0.165985073875847</v>
      </c>
      <c r="Y167" s="88">
        <f>IFERROR(-Y96*4/Y133,0)</f>
        <v>0.131081106594334</v>
      </c>
      <c r="Z167" s="88">
        <f>IFERROR(-Z96*4/Z133,0)</f>
        <v>0.126796082375712</v>
      </c>
      <c r="AA167" s="88">
        <f>IFERROR(-AA96*4/AA133,0)</f>
        <v>0.125243070865444</v>
      </c>
      <c r="AB167" s="88">
        <f>IFERROR(-AB96*4/AB133,0)</f>
        <v>0.151670218767849</v>
      </c>
      <c r="AC167" s="89">
        <f>IFERROR(-AC96*1/AC133,0)</f>
        <v>0.133894352571973</v>
      </c>
      <c r="AD167" s="88">
        <f>IFERROR(-AD96*4/AD133,0)</f>
        <v>0.123528174777336</v>
      </c>
      <c r="AE167" s="88">
        <f>IFERROR(-AE96*4/AE133,0)</f>
        <v>0.13453132032235</v>
      </c>
      <c r="AF167" s="88">
        <f>IFERROR(-AF96*4/AF133,0)</f>
        <v>0.128823055715091</v>
      </c>
      <c r="AG167" s="88">
        <f>IFERROR(-AG96*4/AG133,0)</f>
        <v>0.137484538650965</v>
      </c>
      <c r="AH167" s="89">
        <f>IFERROR(-AH96*1/AH133,0)</f>
        <v>0.131440810042346</v>
      </c>
      <c r="AI167" s="88">
        <f>IFERROR(-AI96*4/AI133,0)</f>
        <v>0.154344569864663</v>
      </c>
      <c r="AJ167" s="88">
        <f>IFERROR(-AJ96*4/AJ133,0)</f>
        <v>0.130315378764359</v>
      </c>
      <c r="AK167" s="88">
        <f>IFERROR(-AK96*4/AK133,0)</f>
        <v>0.00213153467204909</v>
      </c>
      <c r="AL167" s="88">
        <f>IFERROR(-AL96*4/AL133,0)</f>
        <v>0.0021423765580989</v>
      </c>
      <c r="AM167" s="89">
        <f>IFERROR(-AM96*1/AM133,0)</f>
        <v>0.0695223738474098</v>
      </c>
      <c r="AN167" s="88">
        <f>IFERROR(-AN96*4/AN133,0)</f>
        <v>0.00214933892222892</v>
      </c>
      <c r="AO167" s="88">
        <f>IFERROR(-AO96*4/AO133,0)</f>
        <v>0.00215409718359341</v>
      </c>
      <c r="AP167" s="88">
        <f>IFERROR(-AP96*4/AP133,0)</f>
        <v>0.00216290246438626</v>
      </c>
      <c r="AQ167" s="88">
        <f>IFERROR(-AQ96*4/AQ133,0)</f>
        <v>0.00217406663373612</v>
      </c>
      <c r="AR167" s="89">
        <f>IFERROR(-AR96*1/AR133,0)</f>
        <v>0.00216006031146795</v>
      </c>
      <c r="AS167" s="88">
        <f>IFERROR(-AS96*4/AS133,0)</f>
        <v>0.00218123684079206</v>
      </c>
      <c r="AT167" s="88">
        <f>IFERROR(-AT96*4/AT133,0)</f>
        <v>0.00218613754402601</v>
      </c>
      <c r="AU167" s="88">
        <f>IFERROR(-AU96*4/AU133,0)</f>
        <v>0.0021952072664493</v>
      </c>
      <c r="AV167" s="88">
        <f>IFERROR(-AV96*4/AV133,0)</f>
        <v>0.00220670830583471</v>
      </c>
      <c r="AW167" s="89">
        <f>IFERROR(-AW96*1/AW133,0)</f>
        <v>0.00219227963698331</v>
      </c>
      <c r="AX167" s="88">
        <f>IFERROR(-AX96*4/AX133,0)</f>
        <v>0.00221409580356555</v>
      </c>
      <c r="AY167" s="88">
        <f>IFERROR(-AY96*4/AY133,0)</f>
        <v>0.00221914544188309</v>
      </c>
      <c r="AZ167" s="88">
        <f>IFERROR(-AZ96*4/AZ133,0)</f>
        <v>0.00222849169996015</v>
      </c>
      <c r="BA167" s="88">
        <f>IFERROR(-BA96*4/BA133,0)</f>
        <v>0.00224034508985783</v>
      </c>
      <c r="BB167" s="89">
        <f>IFERROR(-BB96*1/BB133,0)</f>
        <v>0.00222547467914623</v>
      </c>
      <c r="BC167" s="88">
        <f>IFERROR(-BC96*4/BC133,0)</f>
        <v>0.00224795990742301</v>
      </c>
      <c r="BD167" s="88">
        <f>IFERROR(-BD96*4/BD133,0)</f>
        <v>0.00225316537477753</v>
      </c>
      <c r="BE167" s="88">
        <f>IFERROR(-BE96*4/BE133,0)</f>
        <v>0.00226280101141508</v>
      </c>
      <c r="BF167" s="88">
        <f>IFERROR(-BF96*4/BF133,0)</f>
        <v>0.0022750231955568</v>
      </c>
      <c r="BG167" s="89">
        <f>IFERROR(-BG96*1/BG133,0)</f>
        <v>0.00225969044168929</v>
      </c>
    </row>
    <row r="168">
      <c r="C168" s="11" t="inlineStr">
        <is>
          <t>Spread bruto (p.p.)</t>
        </is>
      </c>
      <c r="D168" s="12" t="inlineStr">
        <is>
          <t>Gross spread</t>
        </is>
      </c>
      <c r="E168" s="88">
        <f>IFERROR(E165-E167,0)</f>
        <v>-0.0564978483696207</v>
      </c>
      <c r="F168" s="88">
        <f>IFERROR(F165-F167,0)</f>
        <v>-0.0851336041832654</v>
      </c>
      <c r="G168" s="88">
        <f>IFERROR(G165-G167,0)</f>
        <v>-0.103601929351454</v>
      </c>
      <c r="H168" s="88">
        <f>IFERROR(H165-H167,0)</f>
        <v>-0.00703680544549787</v>
      </c>
      <c r="I168" s="89">
        <f>IFERROR(I165-I167,0)</f>
        <v>-0.0613906053316925</v>
      </c>
      <c r="J168" s="88">
        <f>IFERROR(J165-J167,0)</f>
        <v>-0.119390585559676</v>
      </c>
      <c r="K168" s="88">
        <f>IFERROR(K165-K167,0)</f>
        <v>0.194266378365676</v>
      </c>
      <c r="L168" s="88">
        <f>IFERROR(L165-L167,0)</f>
        <v>-0.0350087134113231</v>
      </c>
      <c r="M168" s="88">
        <f>IFERROR(M165-M167,0)</f>
        <v>-0.0883333415663592</v>
      </c>
      <c r="N168" s="89">
        <f>IFERROR(N165-N167,0)</f>
        <v>-0.0140428787547209</v>
      </c>
      <c r="O168" s="88">
        <f>IFERROR(O165-O167,0)</f>
        <v>-0.142197182854763</v>
      </c>
      <c r="P168" s="88">
        <f>IFERROR(P165-P167,0)</f>
        <v>-0.484534147077982</v>
      </c>
      <c r="Q168" s="88">
        <f>IFERROR(Q165-Q167,0)</f>
        <v>-0.190630931512392</v>
      </c>
      <c r="R168" s="88">
        <f>IFERROR(R165-R167,0)</f>
        <v>-0.212490278422955</v>
      </c>
      <c r="S168" s="89">
        <f>IFERROR(S165-S167,0)</f>
        <v>-0.257333366257061</v>
      </c>
      <c r="T168" s="88">
        <f>IFERROR(T165-T167,0)</f>
        <v>-0.107637749660479</v>
      </c>
      <c r="U168" s="88">
        <f>IFERROR(U165-U167,0)</f>
        <v>-0.236825376029594</v>
      </c>
      <c r="V168" s="88">
        <f>IFERROR(V165-V167,0)</f>
        <v>-0.221570416931415</v>
      </c>
      <c r="W168" s="88">
        <f>IFERROR(W165-W167,0)</f>
        <v>-0.256876270701233</v>
      </c>
      <c r="X168" s="89">
        <f>IFERROR(X165-X167,0)</f>
        <v>-0.206383811636358</v>
      </c>
      <c r="Y168" s="88">
        <f>IFERROR(Y165-Y167,0)</f>
        <v>-0.177212460504057</v>
      </c>
      <c r="Z168" s="88">
        <f>IFERROR(Z165-Z167,0)</f>
        <v>-0.218447467113479</v>
      </c>
      <c r="AA168" s="88">
        <f>IFERROR(AA165-AA167,0)</f>
        <v>-0.196696386931201</v>
      </c>
      <c r="AB168" s="88">
        <f>IFERROR(AB165-AB167,0)</f>
        <v>-0.171562897077331</v>
      </c>
      <c r="AC168" s="89">
        <f>IFERROR(AC165-AC167,0)</f>
        <v>-0.190635477371663</v>
      </c>
      <c r="AD168" s="88">
        <f>IFERROR(AD165-AD167,0)</f>
        <v>-0.169947575782725</v>
      </c>
      <c r="AE168" s="88">
        <f>IFERROR(AE165-AE167,0)</f>
        <v>-0.228922744118533</v>
      </c>
      <c r="AF168" s="88">
        <f>IFERROR(AF165-AF167,0)</f>
        <v>-0.208315103133057</v>
      </c>
      <c r="AG168" s="88">
        <f>IFERROR(AG165-AG167,0)</f>
        <v>-0.280028434938158</v>
      </c>
      <c r="AH168" s="89">
        <f>IFERROR(AH165-AH167,0)</f>
        <v>-0.223670721828085</v>
      </c>
      <c r="AI168" s="88">
        <f>IFERROR(AI165-AI167,0)</f>
        <v>-0.379118383681989</v>
      </c>
      <c r="AJ168" s="88">
        <f>IFERROR(AJ165-AJ167,0)</f>
        <v>-0.294764120461567</v>
      </c>
      <c r="AK168" s="88">
        <f>IFERROR(AK165-AK167,0)</f>
        <v>-0.00213153467204909</v>
      </c>
      <c r="AL168" s="88">
        <f>IFERROR(AL165-AL167,0)</f>
        <v>-0.0021423765580989</v>
      </c>
      <c r="AM168" s="89">
        <f>IFERROR(AM165-AM167,0)</f>
        <v>-0.165701299270481</v>
      </c>
      <c r="AN168" s="88">
        <f>IFERROR(AN165-AN167,0)</f>
        <v>-0.00214933892222892</v>
      </c>
      <c r="AO168" s="88">
        <f>IFERROR(AO165-AO167,0)</f>
        <v>-0.00215409718359341</v>
      </c>
      <c r="AP168" s="88">
        <f>IFERROR(AP165-AP167,0)</f>
        <v>-0.00216290246438626</v>
      </c>
      <c r="AQ168" s="88">
        <f>IFERROR(AQ165-AQ167,0)</f>
        <v>-0.00217406663373612</v>
      </c>
      <c r="AR168" s="89">
        <f>IFERROR(AR165-AR167,0)</f>
        <v>-0.00216006031146795</v>
      </c>
      <c r="AS168" s="88">
        <f>IFERROR(AS165-AS167,0)</f>
        <v>-0.00218123684079206</v>
      </c>
      <c r="AT168" s="88">
        <f>IFERROR(AT165-AT167,0)</f>
        <v>-0.00218613754402601</v>
      </c>
      <c r="AU168" s="88">
        <f>IFERROR(AU165-AU167,0)</f>
        <v>-0.0021952072664493</v>
      </c>
      <c r="AV168" s="88">
        <f>IFERROR(AV165-AV167,0)</f>
        <v>-0.00220670830583471</v>
      </c>
      <c r="AW168" s="89">
        <f>IFERROR(AW165-AW167,0)</f>
        <v>-0.00219227963698331</v>
      </c>
      <c r="AX168" s="88">
        <f>IFERROR(AX165-AX167,0)</f>
        <v>-0.00221409580356555</v>
      </c>
      <c r="AY168" s="88">
        <f>IFERROR(AY165-AY167,0)</f>
        <v>-0.00221914544188309</v>
      </c>
      <c r="AZ168" s="88">
        <f>IFERROR(AZ165-AZ167,0)</f>
        <v>-0.00222849169996015</v>
      </c>
      <c r="BA168" s="88">
        <f>IFERROR(BA165-BA167,0)</f>
        <v>-0.00224034508985783</v>
      </c>
      <c r="BB168" s="89">
        <f>IFERROR(BB165-BB167,0)</f>
        <v>-0.00222547467914623</v>
      </c>
      <c r="BC168" s="88">
        <f>IFERROR(BC165-BC167,0)</f>
        <v>-0.00224795990742301</v>
      </c>
      <c r="BD168" s="88">
        <f>IFERROR(BD165-BD167,0)</f>
        <v>-0.00225316537477753</v>
      </c>
      <c r="BE168" s="88">
        <f>IFERROR(BE165-BE167,0)</f>
        <v>-0.00226280101141508</v>
      </c>
      <c r="BF168" s="88">
        <f>IFERROR(BF165-BF167,0)</f>
        <v>-0.0022750231955568</v>
      </c>
      <c r="BG168" s="89">
        <f>IFERROR(BG165-BG167,0)</f>
        <v>-0.00225969044168929</v>
      </c>
    </row>
    <row r="169">
      <c r="B169" s="29" t="n"/>
      <c r="C169" s="29" t="inlineStr">
        <is>
          <t>Eficiência</t>
        </is>
      </c>
      <c r="D169" s="29" t="inlineStr">
        <is>
          <t>Efficiency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>
      <c r="C170" s="11" t="inlineStr">
        <is>
          <t>Índice de eficiência</t>
        </is>
      </c>
      <c r="D170" s="12" t="inlineStr">
        <is>
          <t>Efficiency ratio</t>
        </is>
      </c>
      <c r="E170" s="88">
        <f>IFERROR(E141/E140,0)</f>
        <v>1.010471886599</v>
      </c>
      <c r="F170" s="88">
        <f>IFERROR(F141/F140,0)</f>
        <v>0.882380981412406</v>
      </c>
      <c r="G170" s="88">
        <f>IFERROR(G141/G140,0)</f>
        <v>0.663634157369753</v>
      </c>
      <c r="H170" s="88">
        <f>IFERROR(H141/H140,0)</f>
        <v>0.406376617038797</v>
      </c>
      <c r="I170" s="89">
        <f>IFERROR(I141/I140,0)</f>
        <v>0.673951153286601</v>
      </c>
      <c r="J170" s="88">
        <f>IFERROR(J141/J140,0)</f>
        <v>0.872154000331871</v>
      </c>
      <c r="K170" s="88">
        <f>IFERROR(K141/K140,0)</f>
        <v>0.630643279872794</v>
      </c>
      <c r="L170" s="88">
        <f>IFERROR(L141/L140,0)</f>
        <v>0.729700397626804</v>
      </c>
      <c r="M170" s="88">
        <f>IFERROR(M141/M140,0)</f>
        <v>0.627083074778464</v>
      </c>
      <c r="N170" s="89">
        <f>IFERROR(N141/N140,0)</f>
        <v>0.687343451924132</v>
      </c>
      <c r="O170" s="88">
        <f>IFERROR(O141/O140,0)</f>
        <v>0.854845063818744</v>
      </c>
      <c r="P170" s="88">
        <f>IFERROR(P141/P140,0)</f>
        <v>0.838793336084978</v>
      </c>
      <c r="Q170" s="88">
        <f>IFERROR(Q141/Q140,0)</f>
        <v>0.824714043683979</v>
      </c>
      <c r="R170" s="88">
        <f>IFERROR(R141/R140,0)</f>
        <v>0.798503634209632</v>
      </c>
      <c r="S170" s="89">
        <f>IFERROR(S141/S140,0)</f>
        <v>0.830483630496107</v>
      </c>
      <c r="T170" s="88">
        <f>IFERROR(T141/T140,0)</f>
        <v>0.874265109499484</v>
      </c>
      <c r="U170" s="88">
        <f>IFERROR(U141/U140,0)</f>
        <v>0.888882160297383</v>
      </c>
      <c r="V170" s="88">
        <f>IFERROR(V141/V140,0)</f>
        <v>0.839347983311763</v>
      </c>
      <c r="W170" s="88">
        <f>IFERROR(W141/W140,0)</f>
        <v>0.692988980285072</v>
      </c>
      <c r="X170" s="89">
        <f>IFERROR(X141/X140,0)</f>
        <v>0.845679793093787</v>
      </c>
      <c r="Y170" s="88">
        <f>IFERROR(Y141/Y140,0)</f>
        <v>0.717924572689453</v>
      </c>
      <c r="Z170" s="88">
        <f>IFERROR(Z141/Z140,0)</f>
        <v>0.678981294506683</v>
      </c>
      <c r="AA170" s="88">
        <f>IFERROR(AA141/AA140,0)</f>
        <v>0.794954810829895</v>
      </c>
      <c r="AB170" s="88">
        <f>IFERROR(AB141/AB140,0)</f>
        <v>0.767688736307216</v>
      </c>
      <c r="AC170" s="89">
        <f>IFERROR(AC141/AC140,0)</f>
        <v>0.74151485501663</v>
      </c>
      <c r="AD170" s="88">
        <f>IFERROR(AD141/AD140,0)</f>
        <v>0.600558864360811</v>
      </c>
      <c r="AE170" s="88">
        <f>IFERROR(AE141/AE140,0)</f>
        <v>0.655506992890133</v>
      </c>
      <c r="AF170" s="88">
        <f>IFERROR(AF141/AF140,0)</f>
        <v>0.539565100085016</v>
      </c>
      <c r="AG170" s="88">
        <f>IFERROR(AG141/AG140,0)</f>
        <v>0.79999167198043</v>
      </c>
      <c r="AH170" s="89">
        <f>IFERROR(AH141/AH140,0)</f>
        <v>0.649747144292832</v>
      </c>
      <c r="AI170" s="88">
        <f>IFERROR(AI141/AI140,0)</f>
        <v>0.691030960508139</v>
      </c>
      <c r="AJ170" s="88">
        <f>IFERROR(AJ141/AJ140,0)</f>
        <v>0.682282009142604</v>
      </c>
      <c r="AK170" s="88">
        <f>IFERROR(AK141/AK140,0)</f>
        <v>0.5577020242462</v>
      </c>
      <c r="AL170" s="88">
        <f>IFERROR(AL141/AL140,0)</f>
        <v>0.601179937051128</v>
      </c>
      <c r="AM170" s="89">
        <f>IFERROR(AM141/AM140,0)</f>
        <v>0.657366293588455</v>
      </c>
      <c r="AN170" s="88">
        <f>IFERROR(AN141/AN140,0)</f>
        <v>0.85934722305395</v>
      </c>
      <c r="AO170" s="88">
        <f>IFERROR(AO141/AO140,0)</f>
        <v>0.782161219018086</v>
      </c>
      <c r="AP170" s="88">
        <f>IFERROR(AP141/AP140,0)</f>
        <v>0.5577020242462</v>
      </c>
      <c r="AQ170" s="88">
        <f>IFERROR(AQ141/AQ140,0)</f>
        <v>0.601179937051128</v>
      </c>
      <c r="AR170" s="89">
        <f>IFERROR(AR141/AR140,0)</f>
        <v>0.700861443942628</v>
      </c>
      <c r="AS170" s="88">
        <f>IFERROR(AS141/AS140,0)</f>
        <v>0.85934722305395</v>
      </c>
      <c r="AT170" s="88">
        <f>IFERROR(AT141/AT140,0)</f>
        <v>0.782161219018086</v>
      </c>
      <c r="AU170" s="88">
        <f>IFERROR(AU141/AU140,0)</f>
        <v>0.5577020242462</v>
      </c>
      <c r="AV170" s="88">
        <f>IFERROR(AV141/AV140,0)</f>
        <v>0.601179937051128</v>
      </c>
      <c r="AW170" s="89">
        <f>IFERROR(AW141/AW140,0)</f>
        <v>0.700861443942628</v>
      </c>
      <c r="AX170" s="88">
        <f>IFERROR(AX141/AX140,0)</f>
        <v>0.85934722305395</v>
      </c>
      <c r="AY170" s="88">
        <f>IFERROR(AY141/AY140,0)</f>
        <v>0.782161219018086</v>
      </c>
      <c r="AZ170" s="88">
        <f>IFERROR(AZ141/AZ140,0)</f>
        <v>0.5577020242462</v>
      </c>
      <c r="BA170" s="88">
        <f>IFERROR(BA141/BA140,0)</f>
        <v>0.601179937051128</v>
      </c>
      <c r="BB170" s="89">
        <f>IFERROR(BB141/BB140,0)</f>
        <v>0.700861443942628</v>
      </c>
      <c r="BC170" s="88">
        <f>IFERROR(BC141/BC140,0)</f>
        <v>0.85934722305395</v>
      </c>
      <c r="BD170" s="88">
        <f>IFERROR(BD141/BD140,0)</f>
        <v>0.782161219018086</v>
      </c>
      <c r="BE170" s="88">
        <f>IFERROR(BE141/BE140,0)</f>
        <v>0.5577020242462</v>
      </c>
      <c r="BF170" s="88">
        <f>IFERROR(BF141/BF140,0)</f>
        <v>0.601179937051128</v>
      </c>
      <c r="BG170" s="89">
        <f>IFERROR(BG141/BG140,0)</f>
        <v>0.700861443942628</v>
      </c>
      <c r="BI170" s="14" t="inlineStr">
        <is>
          <t>Despesas de pessoal + administrativas + tributárias + outras despesas operacionais sobre a receita operacional total. Quanto menor, melhor.</t>
        </is>
      </c>
    </row>
    <row r="171">
      <c r="C171" s="11" t="inlineStr">
        <is>
          <t>Despesas de pessoal / receita operacional</t>
        </is>
      </c>
      <c r="D171" s="12" t="inlineStr">
        <is>
          <t>Personnel over revenue</t>
        </is>
      </c>
      <c r="E171" s="88">
        <f>IFERROR(-E109/E140,0)</f>
        <v>0.468805386807648</v>
      </c>
      <c r="F171" s="88">
        <f>IFERROR(-F109/F140,0)</f>
        <v>0.461511594783568</v>
      </c>
      <c r="G171" s="88">
        <f>IFERROR(-G109/G140,0)</f>
        <v>0.17365001769615</v>
      </c>
      <c r="H171" s="88">
        <f>IFERROR(-H109/H140,0)</f>
        <v>0.191031606865858</v>
      </c>
      <c r="I171" s="89">
        <f>IFERROR(-I109/I140,0)</f>
        <v>0.268054182545318</v>
      </c>
      <c r="J171" s="88">
        <f>IFERROR(-J109/J140,0)</f>
        <v>0.377025970558104</v>
      </c>
      <c r="K171" s="88">
        <f>IFERROR(-K109/K140,0)</f>
        <v>0.156061012671913</v>
      </c>
      <c r="L171" s="88">
        <f>IFERROR(-L109/L140,0)</f>
        <v>0.214826506682596</v>
      </c>
      <c r="M171" s="88">
        <f>IFERROR(-M109/M140,0)</f>
        <v>0.141081774116961</v>
      </c>
      <c r="N171" s="89">
        <f>IFERROR(-N109/N140,0)</f>
        <v>0.197450689536901</v>
      </c>
      <c r="O171" s="88">
        <f>IFERROR(-O109/O140,0)</f>
        <v>0.0669603841278976</v>
      </c>
      <c r="P171" s="88">
        <f>IFERROR(-P109/P140,0)</f>
        <v>0.063444594594601</v>
      </c>
      <c r="Q171" s="88">
        <f>IFERROR(-Q109/Q140,0)</f>
        <v>0.0678227068686207</v>
      </c>
      <c r="R171" s="88">
        <f>IFERROR(-R109/R140,0)</f>
        <v>0.076026557518325</v>
      </c>
      <c r="S171" s="89">
        <f>IFERROR(-S109/S140,0)</f>
        <v>0.0681691931068992</v>
      </c>
      <c r="T171" s="88">
        <f>IFERROR(-T109/T140,0)</f>
        <v>0.0559001312268178</v>
      </c>
      <c r="U171" s="88">
        <f>IFERROR(-U109/U140,0)</f>
        <v>0.0628138626846392</v>
      </c>
      <c r="V171" s="88">
        <f>IFERROR(-V109/V140,0)</f>
        <v>0.102190172730711</v>
      </c>
      <c r="W171" s="88">
        <f>IFERROR(-W109/W140,0)</f>
        <v>0.129045895428317</v>
      </c>
      <c r="X171" s="89">
        <f>IFERROR(-X109/X140,0)</f>
        <v>0.0783858863436015</v>
      </c>
      <c r="Y171" s="88">
        <f>IFERROR(-Y109/Y140,0)</f>
        <v>0.179961068750709</v>
      </c>
      <c r="Z171" s="88">
        <f>IFERROR(-Z109/Z140,0)</f>
        <v>0.135270363663926</v>
      </c>
      <c r="AA171" s="88">
        <f>IFERROR(-AA109/AA140,0)</f>
        <v>0.164406332991062</v>
      </c>
      <c r="AB171" s="88">
        <f>IFERROR(-AB109/AB140,0)</f>
        <v>0.120230575843349</v>
      </c>
      <c r="AC171" s="89">
        <f>IFERROR(-AC109/AC140,0)</f>
        <v>0.146335339989562</v>
      </c>
      <c r="AD171" s="88">
        <f>IFERROR(-AD109/AD140,0)</f>
        <v>0.114309125435983</v>
      </c>
      <c r="AE171" s="88">
        <f>IFERROR(-AE109/AE140,0)</f>
        <v>0.188492893707721</v>
      </c>
      <c r="AF171" s="88">
        <f>IFERROR(-AF109/AF140,0)</f>
        <v>0.104294683339249</v>
      </c>
      <c r="AG171" s="88">
        <f>IFERROR(-AG109/AG140,0)</f>
        <v>0.114006232497376</v>
      </c>
      <c r="AH171" s="89">
        <f>IFERROR(-AH109/AH140,0)</f>
        <v>0.130725902862366</v>
      </c>
      <c r="AI171" s="88">
        <f>IFERROR(-AI109/AI140,0)</f>
        <v>0.180151881103545</v>
      </c>
      <c r="AJ171" s="88">
        <f>IFERROR(-AJ109/AJ140,0)</f>
        <v>0.0888002470840027</v>
      </c>
      <c r="AK171" s="88">
        <f>IFERROR(-AK109/AK140,0)</f>
        <v>0.221717646025337</v>
      </c>
      <c r="AL171" s="88">
        <f>IFERROR(-AL109/AL140,0)</f>
        <v>0.23631672062476</v>
      </c>
      <c r="AM171" s="89">
        <f>IFERROR(-AM109/AM140,0)</f>
        <v>0.161397589474075</v>
      </c>
      <c r="AN171" s="88">
        <f>IFERROR(-AN109/AN140,0)</f>
        <v>0.487873402560415</v>
      </c>
      <c r="AO171" s="88">
        <f>IFERROR(-AO109/AO140,0)</f>
        <v>0.224114266289679</v>
      </c>
      <c r="AP171" s="88">
        <f>IFERROR(-AP109/AP140,0)</f>
        <v>0.221717646025337</v>
      </c>
      <c r="AQ171" s="88">
        <f>IFERROR(-AQ109/AQ140,0)</f>
        <v>0.23631672062476</v>
      </c>
      <c r="AR171" s="89">
        <f>IFERROR(-AR109/AR140,0)</f>
        <v>0.292814912897023</v>
      </c>
      <c r="AS171" s="88">
        <f>IFERROR(-AS109/AS140,0)</f>
        <v>0.487873402560415</v>
      </c>
      <c r="AT171" s="88">
        <f>IFERROR(-AT109/AT140,0)</f>
        <v>0.224114266289679</v>
      </c>
      <c r="AU171" s="88">
        <f>IFERROR(-AU109/AU140,0)</f>
        <v>0.221717646025337</v>
      </c>
      <c r="AV171" s="88">
        <f>IFERROR(-AV109/AV140,0)</f>
        <v>0.23631672062476</v>
      </c>
      <c r="AW171" s="89">
        <f>IFERROR(-AW109/AW140,0)</f>
        <v>0.292814912897023</v>
      </c>
      <c r="AX171" s="88">
        <f>IFERROR(-AX109/AX140,0)</f>
        <v>0.487873402560415</v>
      </c>
      <c r="AY171" s="88">
        <f>IFERROR(-AY109/AY140,0)</f>
        <v>0.224114266289679</v>
      </c>
      <c r="AZ171" s="88">
        <f>IFERROR(-AZ109/AZ140,0)</f>
        <v>0.221717646025337</v>
      </c>
      <c r="BA171" s="88">
        <f>IFERROR(-BA109/BA140,0)</f>
        <v>0.23631672062476</v>
      </c>
      <c r="BB171" s="89">
        <f>IFERROR(-BB109/BB140,0)</f>
        <v>0.292814912897023</v>
      </c>
      <c r="BC171" s="88">
        <f>IFERROR(-BC109/BC140,0)</f>
        <v>0.487873402560415</v>
      </c>
      <c r="BD171" s="88">
        <f>IFERROR(-BD109/BD140,0)</f>
        <v>0.224114266289679</v>
      </c>
      <c r="BE171" s="88">
        <f>IFERROR(-BE109/BE140,0)</f>
        <v>0.221717646025337</v>
      </c>
      <c r="BF171" s="88">
        <f>IFERROR(-BF109/BF140,0)</f>
        <v>0.23631672062476</v>
      </c>
      <c r="BG171" s="89">
        <f>IFERROR(-BG109/BG140,0)</f>
        <v>0.292814912897023</v>
      </c>
    </row>
    <row r="172">
      <c r="C172" s="11" t="inlineStr">
        <is>
          <t>Despesas administrativas / receita operacional</t>
        </is>
      </c>
      <c r="D172" s="12" t="inlineStr">
        <is>
          <t>Admin over revenue</t>
        </is>
      </c>
      <c r="E172" s="88">
        <f>IFERROR(-E110/E140,0)</f>
        <v>0.260689569557093</v>
      </c>
      <c r="F172" s="88">
        <f>IFERROR(-F110/F140,0)</f>
        <v>0.343601008228104</v>
      </c>
      <c r="G172" s="88">
        <f>IFERROR(-G110/G140,0)</f>
        <v>0.112521668254468</v>
      </c>
      <c r="H172" s="88">
        <f>IFERROR(-H110/H140,0)</f>
        <v>0.199474963556537</v>
      </c>
      <c r="I172" s="89">
        <f>IFERROR(-I110/I140,0)</f>
        <v>0.195903689189676</v>
      </c>
      <c r="J172" s="88">
        <f>IFERROR(-J110/J140,0)</f>
        <v>0.152253188970027</v>
      </c>
      <c r="K172" s="88">
        <f>IFERROR(-K110/K140,0)</f>
        <v>0.323784936935425</v>
      </c>
      <c r="L172" s="88">
        <f>IFERROR(-L110/L140,0)</f>
        <v>0.346775448571665</v>
      </c>
      <c r="M172" s="88">
        <f>IFERROR(-M110/M140,0)</f>
        <v>0.32598860725126</v>
      </c>
      <c r="N172" s="89">
        <f>IFERROR(-N110/N140,0)</f>
        <v>0.304843128388043</v>
      </c>
      <c r="O172" s="88">
        <f>IFERROR(-O110/O140,0)</f>
        <v>0.161920335452833</v>
      </c>
      <c r="P172" s="88">
        <f>IFERROR(-P110/P140,0)</f>
        <v>0.136991188484746</v>
      </c>
      <c r="Q172" s="88">
        <f>IFERROR(-Q110/Q140,0)</f>
        <v>0.131724680347628</v>
      </c>
      <c r="R172" s="88">
        <f>IFERROR(-R110/R140,0)</f>
        <v>0.172548449630348</v>
      </c>
      <c r="S172" s="89">
        <f>IFERROR(-S110/S140,0)</f>
        <v>0.149385787912266</v>
      </c>
      <c r="T172" s="88">
        <f>IFERROR(-T110/T140,0)</f>
        <v>0.113835501863793</v>
      </c>
      <c r="U172" s="88">
        <f>IFERROR(-U110/U140,0)</f>
        <v>0.103762485715931</v>
      </c>
      <c r="V172" s="88">
        <f>IFERROR(-V110/V140,0)</f>
        <v>0.166073458143138</v>
      </c>
      <c r="W172" s="88">
        <f>IFERROR(-W110/W140,0)</f>
        <v>0.26235994487301</v>
      </c>
      <c r="X172" s="89">
        <f>IFERROR(-X110/X140,0)</f>
        <v>0.142854779779465</v>
      </c>
      <c r="Y172" s="88">
        <f>IFERROR(-Y110/Y140,0)</f>
        <v>0.333308758202191</v>
      </c>
      <c r="Z172" s="88">
        <f>IFERROR(-Z110/Z140,0)</f>
        <v>0.285108273428594</v>
      </c>
      <c r="AA172" s="88">
        <f>IFERROR(-AA110/AA140,0)</f>
        <v>0.31386336553886</v>
      </c>
      <c r="AB172" s="88">
        <f>IFERROR(-AB110/AB140,0)</f>
        <v>0.240872272365455</v>
      </c>
      <c r="AC172" s="89">
        <f>IFERROR(-AC110/AC140,0)</f>
        <v>0.287492670405078</v>
      </c>
      <c r="AD172" s="88">
        <f>IFERROR(-AD110/AD140,0)</f>
        <v>0.18469430564547</v>
      </c>
      <c r="AE172" s="88">
        <f>IFERROR(-AE110/AE140,0)</f>
        <v>0.204765071650755</v>
      </c>
      <c r="AF172" s="88">
        <f>IFERROR(-AF110/AF140,0)</f>
        <v>0.158045085547565</v>
      </c>
      <c r="AG172" s="88">
        <f>IFERROR(-AG110/AG140,0)</f>
        <v>0.176020895058437</v>
      </c>
      <c r="AH172" s="89">
        <f>IFERROR(-AH110/AH140,0)</f>
        <v>0.180393546864781</v>
      </c>
      <c r="AI172" s="88">
        <f>IFERROR(-AI110/AI140,0)</f>
        <v>0.137170231439997</v>
      </c>
      <c r="AJ172" s="88">
        <f>IFERROR(-AJ110/AJ140,0)</f>
        <v>0.221113577940217</v>
      </c>
      <c r="AK172" s="88">
        <f>IFERROR(-AK110/AK140,0)</f>
        <v>0.335984378220862</v>
      </c>
      <c r="AL172" s="88">
        <f>IFERROR(-AL110/AL140,0)</f>
        <v>0.364863216426368</v>
      </c>
      <c r="AM172" s="89">
        <f>IFERROR(-AM110/AM140,0)</f>
        <v>0.224912474069174</v>
      </c>
      <c r="AN172" s="88">
        <f>IFERROR(-AN110/AN140,0)</f>
        <v>0.371473820493535</v>
      </c>
      <c r="AO172" s="88">
        <f>IFERROR(-AO110/AO140,0)</f>
        <v>0.558046952728407</v>
      </c>
      <c r="AP172" s="88">
        <f>IFERROR(-AP110/AP140,0)</f>
        <v>0.335984378220862</v>
      </c>
      <c r="AQ172" s="88">
        <f>IFERROR(-AQ110/AQ140,0)</f>
        <v>0.364863216426368</v>
      </c>
      <c r="AR172" s="89">
        <f>IFERROR(-AR110/AR140,0)</f>
        <v>0.408046531045605</v>
      </c>
      <c r="AS172" s="88">
        <f>IFERROR(-AS110/AS140,0)</f>
        <v>0.371473820493535</v>
      </c>
      <c r="AT172" s="88">
        <f>IFERROR(-AT110/AT140,0)</f>
        <v>0.558046952728407</v>
      </c>
      <c r="AU172" s="88">
        <f>IFERROR(-AU110/AU140,0)</f>
        <v>0.335984378220862</v>
      </c>
      <c r="AV172" s="88">
        <f>IFERROR(-AV110/AV140,0)</f>
        <v>0.364863216426368</v>
      </c>
      <c r="AW172" s="89">
        <f>IFERROR(-AW110/AW140,0)</f>
        <v>0.408046531045605</v>
      </c>
      <c r="AX172" s="88">
        <f>IFERROR(-AX110/AX140,0)</f>
        <v>0.371473820493535</v>
      </c>
      <c r="AY172" s="88">
        <f>IFERROR(-AY110/AY140,0)</f>
        <v>0.558046952728407</v>
      </c>
      <c r="AZ172" s="88">
        <f>IFERROR(-AZ110/AZ140,0)</f>
        <v>0.335984378220862</v>
      </c>
      <c r="BA172" s="88">
        <f>IFERROR(-BA110/BA140,0)</f>
        <v>0.364863216426368</v>
      </c>
      <c r="BB172" s="89">
        <f>IFERROR(-BB110/BB140,0)</f>
        <v>0.408046531045605</v>
      </c>
      <c r="BC172" s="88">
        <f>IFERROR(-BC110/BC140,0)</f>
        <v>0.371473820493535</v>
      </c>
      <c r="BD172" s="88">
        <f>IFERROR(-BD110/BD140,0)</f>
        <v>0.558046952728407</v>
      </c>
      <c r="BE172" s="88">
        <f>IFERROR(-BE110/BE140,0)</f>
        <v>0.335984378220862</v>
      </c>
      <c r="BF172" s="88">
        <f>IFERROR(-BF110/BF140,0)</f>
        <v>0.364863216426368</v>
      </c>
      <c r="BG172" s="89">
        <f>IFERROR(-BG110/BG140,0)</f>
        <v>0.408046531045605</v>
      </c>
    </row>
    <row r="173">
      <c r="C173" s="11" t="inlineStr">
        <is>
          <t>Cobertura das despesas de pessoal por receitas de serviços</t>
        </is>
      </c>
      <c r="D173" s="12" t="inlineStr">
        <is>
          <t>Fee coverage of personnel</t>
        </is>
      </c>
      <c r="E173" s="88">
        <f>IFERROR(E107/-E109,0)</f>
        <v>1.07544407717846</v>
      </c>
      <c r="F173" s="88">
        <f>IFERROR(F107/-F109,0)</f>
        <v>1.14685941998279</v>
      </c>
      <c r="G173" s="88">
        <f>IFERROR(G107/-G109,0)</f>
        <v>1.49144206951261</v>
      </c>
      <c r="H173" s="88">
        <f>IFERROR(H107/-H109,0)</f>
        <v>2.28981540967971</v>
      </c>
      <c r="I173" s="89">
        <f>IFERROR(I107/-I109,0)</f>
        <v>1.45917782454286</v>
      </c>
      <c r="J173" s="88">
        <f>IFERROR(J107/-J109,0)</f>
        <v>0.925737907544851</v>
      </c>
      <c r="K173" s="88">
        <f>IFERROR(K107/-K109,0)</f>
        <v>1.42432623914647</v>
      </c>
      <c r="L173" s="88">
        <f>IFERROR(L107/-L109,0)</f>
        <v>1.52068667192961</v>
      </c>
      <c r="M173" s="88">
        <f>IFERROR(M107/-M109,0)</f>
        <v>1.73856049813171</v>
      </c>
      <c r="N173" s="89">
        <f>IFERROR(N107/-N109,0)</f>
        <v>1.37149010913405</v>
      </c>
      <c r="O173" s="88">
        <f>IFERROR(O107/-O109,0)</f>
        <v>1.37489578529457</v>
      </c>
      <c r="P173" s="88">
        <f>IFERROR(P107/-P109,0)</f>
        <v>1.48786964201901</v>
      </c>
      <c r="Q173" s="88">
        <f>IFERROR(Q107/-Q109,0)</f>
        <v>1.55665652527589</v>
      </c>
      <c r="R173" s="88">
        <f>IFERROR(R107/-R109,0)</f>
        <v>1.83628482613796</v>
      </c>
      <c r="S173" s="89">
        <f>IFERROR(S107/-S109,0)</f>
        <v>1.56100162299141</v>
      </c>
      <c r="T173" s="88">
        <f>IFERROR(T107/-T109,0)</f>
        <v>1.3378735429854</v>
      </c>
      <c r="U173" s="88">
        <f>IFERROR(U107/-U109,0)</f>
        <v>1.24705279471958</v>
      </c>
      <c r="V173" s="88">
        <f>IFERROR(V107/-V109,0)</f>
        <v>1.28088537108803</v>
      </c>
      <c r="W173" s="88">
        <f>IFERROR(W107/-W109,0)</f>
        <v>1.39898521018537</v>
      </c>
      <c r="X173" s="89">
        <f>IFERROR(X107/-X109,0)</f>
        <v>1.3129734461053</v>
      </c>
      <c r="Y173" s="88">
        <f>IFERROR(Y107/-Y109,0)</f>
        <v>1.25902985348684</v>
      </c>
      <c r="Z173" s="88">
        <f>IFERROR(Z107/-Z109,0)</f>
        <v>1.61156291966161</v>
      </c>
      <c r="AA173" s="88">
        <f>IFERROR(AA107/-AA109,0)</f>
        <v>1.39833188034186</v>
      </c>
      <c r="AB173" s="88">
        <f>IFERROR(AB107/-AB109,0)</f>
        <v>1.49097152634246</v>
      </c>
      <c r="AC173" s="89">
        <f>IFERROR(AC107/-AC109,0)</f>
        <v>1.43565071613421</v>
      </c>
      <c r="AD173" s="88">
        <f>IFERROR(AD107/-AD109,0)</f>
        <v>1.2580987604113</v>
      </c>
      <c r="AE173" s="88">
        <f>IFERROR(AE107/-AE109,0)</f>
        <v>0.680563319752728</v>
      </c>
      <c r="AF173" s="88">
        <f>IFERROR(AF107/-AF109,0)</f>
        <v>1.34291424036365</v>
      </c>
      <c r="AG173" s="88">
        <f>IFERROR(AG107/-AG109,0)</f>
        <v>1.1789897161432</v>
      </c>
      <c r="AH173" s="89">
        <f>IFERROR(AH107/-AH109,0)</f>
        <v>1.04290679996365</v>
      </c>
      <c r="AI173" s="88">
        <f>IFERROR(AI107/-AI109,0)</f>
        <v>0.610677591651359</v>
      </c>
      <c r="AJ173" s="88">
        <f>IFERROR(AJ107/-AJ109,0)</f>
        <v>1.34273782572038</v>
      </c>
      <c r="AK173" s="88">
        <f>IFERROR(AK107/-AK109,0)</f>
        <v>1.34291424036365</v>
      </c>
      <c r="AL173" s="88">
        <f>IFERROR(AL107/-AL109,0)</f>
        <v>1.1789897161432</v>
      </c>
      <c r="AM173" s="89">
        <f>IFERROR(AM107/-AM109,0)</f>
        <v>1.00375827867636</v>
      </c>
      <c r="AN173" s="88">
        <f>IFERROR(AN107/-AN109,0)</f>
        <v>0.610677591651359</v>
      </c>
      <c r="AO173" s="88">
        <f>IFERROR(AO107/-AO109,0)</f>
        <v>1.34273782572038</v>
      </c>
      <c r="AP173" s="88">
        <f>IFERROR(AP107/-AP109,0)</f>
        <v>1.34291424036365</v>
      </c>
      <c r="AQ173" s="88">
        <f>IFERROR(AQ107/-AQ109,0)</f>
        <v>1.1789897161432</v>
      </c>
      <c r="AR173" s="89">
        <f>IFERROR(AR107/-AR109,0)</f>
        <v>1.00375827867636</v>
      </c>
      <c r="AS173" s="88">
        <f>IFERROR(AS107/-AS109,0)</f>
        <v>0.610677591651359</v>
      </c>
      <c r="AT173" s="88">
        <f>IFERROR(AT107/-AT109,0)</f>
        <v>1.34273782572038</v>
      </c>
      <c r="AU173" s="88">
        <f>IFERROR(AU107/-AU109,0)</f>
        <v>1.34291424036365</v>
      </c>
      <c r="AV173" s="88">
        <f>IFERROR(AV107/-AV109,0)</f>
        <v>1.1789897161432</v>
      </c>
      <c r="AW173" s="89">
        <f>IFERROR(AW107/-AW109,0)</f>
        <v>1.00375827867636</v>
      </c>
      <c r="AX173" s="88">
        <f>IFERROR(AX107/-AX109,0)</f>
        <v>0.610677591651359</v>
      </c>
      <c r="AY173" s="88">
        <f>IFERROR(AY107/-AY109,0)</f>
        <v>1.34273782572038</v>
      </c>
      <c r="AZ173" s="88">
        <f>IFERROR(AZ107/-AZ109,0)</f>
        <v>1.34291424036365</v>
      </c>
      <c r="BA173" s="88">
        <f>IFERROR(BA107/-BA109,0)</f>
        <v>1.1789897161432</v>
      </c>
      <c r="BB173" s="89">
        <f>IFERROR(BB107/-BB109,0)</f>
        <v>1.00375827867636</v>
      </c>
      <c r="BC173" s="88">
        <f>IFERROR(BC107/-BC109,0)</f>
        <v>0.610677591651359</v>
      </c>
      <c r="BD173" s="88">
        <f>IFERROR(BD107/-BD109,0)</f>
        <v>1.34273782572038</v>
      </c>
      <c r="BE173" s="88">
        <f>IFERROR(BE107/-BE109,0)</f>
        <v>1.34291424036365</v>
      </c>
      <c r="BF173" s="88">
        <f>IFERROR(BF107/-BF109,0)</f>
        <v>1.1789897161432</v>
      </c>
      <c r="BG173" s="89">
        <f>IFERROR(BG107/-BG109,0)</f>
        <v>1.00375827867636</v>
      </c>
    </row>
    <row r="174">
      <c r="B174" s="29" t="n"/>
      <c r="C174" s="29" t="inlineStr">
        <is>
          <t>Crescimento</t>
        </is>
      </c>
      <c r="D174" s="29" t="inlineStr">
        <is>
          <t>Growth</t>
        </is>
      </c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</row>
    <row r="175">
      <c r="C175" s="11" t="inlineStr">
        <is>
          <t>Receita operacional total — % YoY</t>
        </is>
      </c>
      <c r="D175" s="12" t="inlineStr">
        <is>
          <t>Total revenue growth YoY</t>
        </is>
      </c>
      <c r="E175" s="88" t="n">
        <v>0</v>
      </c>
      <c r="F175" s="88" t="n">
        <v>0</v>
      </c>
      <c r="G175" s="88" t="n">
        <v>0</v>
      </c>
      <c r="H175" s="88" t="n">
        <v>0</v>
      </c>
      <c r="I175" s="89" t="n">
        <v>0</v>
      </c>
      <c r="J175" s="88">
        <f>IFERROR(J140/E140-1,0)</f>
        <v>1.16929177355109</v>
      </c>
      <c r="K175" s="88">
        <f>IFERROR(K140/F140-1,0)</f>
        <v>4.9379601353161</v>
      </c>
      <c r="L175" s="88">
        <f>IFERROR(L140/G140-1,0)</f>
        <v>0.407448898210485</v>
      </c>
      <c r="M175" s="88">
        <f>IFERROR(M140/H140-1,0)</f>
        <v>1.18233436357828</v>
      </c>
      <c r="N175" s="89">
        <f>IFERROR(N140/I140-1,0)</f>
        <v>1.41760895766466</v>
      </c>
      <c r="O175" s="88">
        <f>IFERROR(O140/J140-1,0)</f>
        <v>3.8502393548792</v>
      </c>
      <c r="P175" s="88">
        <f>IFERROR(P140/K140-1,0)</f>
        <v>1.13267019871242</v>
      </c>
      <c r="Q175" s="88">
        <f>IFERROR(Q140/L140-1,0)</f>
        <v>2.26244630719929</v>
      </c>
      <c r="R175" s="88">
        <f>IFERROR(R140/M140-1,0)</f>
        <v>1.20034716232193</v>
      </c>
      <c r="S175" s="89">
        <f>IFERROR(S140/N140-1,0)</f>
        <v>1.80334713605775</v>
      </c>
      <c r="T175" s="88">
        <f>IFERROR(T140/O140-1,0)</f>
        <v>0.295866177409672</v>
      </c>
      <c r="U175" s="88">
        <f>IFERROR(U140/P140-1,0)</f>
        <v>0.217053449405722</v>
      </c>
      <c r="V175" s="88">
        <f>IFERROR(V140/Q140-1,0)</f>
        <v>-0.202116807114414</v>
      </c>
      <c r="W175" s="88">
        <f>IFERROR(W140/R140-1,0)</f>
        <v>-0.318734519526658</v>
      </c>
      <c r="X175" s="89">
        <f>IFERROR(X140/S140-1,0)</f>
        <v>0.0109157559493387</v>
      </c>
      <c r="Y175" s="88">
        <f>IFERROR(Y140/T140-1,0)</f>
        <v>-0.615993303871153</v>
      </c>
      <c r="Z175" s="88">
        <f>IFERROR(Z140/U140-1,0)</f>
        <v>-0.550729877060928</v>
      </c>
      <c r="AA175" s="88">
        <f>IFERROR(AA140/V140-1,0)</f>
        <v>-0.36960777438207</v>
      </c>
      <c r="AB175" s="88">
        <f>IFERROR(AB140/W140-1,0)</f>
        <v>0.317104352052502</v>
      </c>
      <c r="AC175" s="89">
        <f>IFERROR(AC140/X140-1,0)</f>
        <v>-0.409127969359116</v>
      </c>
      <c r="AD175" s="88">
        <f>IFERROR(AD140/Y140-1,0)</f>
        <v>0.521524969254189</v>
      </c>
      <c r="AE175" s="88">
        <f>IFERROR(AE140/Z140-1,0)</f>
        <v>0.584190189242362</v>
      </c>
      <c r="AF175" s="88">
        <f>IFERROR(AF140/AA140-1,0)</f>
        <v>0.830863278797431</v>
      </c>
      <c r="AG175" s="88">
        <f>IFERROR(AG140/AB140-1,0)</f>
        <v>0.22316300673265</v>
      </c>
      <c r="AH175" s="89">
        <f>IFERROR(AH140/AC140-1,0)</f>
        <v>0.511256024537498</v>
      </c>
      <c r="AI175" s="88">
        <f>IFERROR(AI140/AD140-1,0)</f>
        <v>0.653388978860652</v>
      </c>
      <c r="AJ175" s="88">
        <f>IFERROR(AJ140/AE140-1,0)</f>
        <v>0.253641118972338</v>
      </c>
      <c r="AK175" s="88">
        <f>IFERROR(AK140/AF140-1,0)</f>
        <v>-0.529605851365885</v>
      </c>
      <c r="AL175" s="88">
        <f>IFERROR(AL140/AG140-1,0)</f>
        <v>-0.51757018210149</v>
      </c>
      <c r="AM175" s="89">
        <f>IFERROR(AM140/AH140-1,0)</f>
        <v>-0.0751923198973286</v>
      </c>
      <c r="AN175" s="88">
        <f>IFERROR(AN140/AI140-1,0)</f>
        <v>-0.630740515555701</v>
      </c>
      <c r="AO175" s="88">
        <f>IFERROR(AO140/AJ140-1,0)</f>
        <v>-0.603772448072431</v>
      </c>
      <c r="AP175" s="88">
        <f>IFERROR(AP140/AK140-1,0)</f>
        <v>0</v>
      </c>
      <c r="AQ175" s="88">
        <f>IFERROR(AQ140/AL140-1,0)</f>
        <v>0</v>
      </c>
      <c r="AR175" s="89">
        <f>IFERROR(AR140/AM140-1,0)</f>
        <v>-0.448806797859931</v>
      </c>
      <c r="AS175" s="88">
        <f>IFERROR(AS140/AN140-1,0)</f>
        <v>0</v>
      </c>
      <c r="AT175" s="88">
        <f>IFERROR(AT140/AO140-1,0)</f>
        <v>0</v>
      </c>
      <c r="AU175" s="88">
        <f>IFERROR(AU140/AP140-1,0)</f>
        <v>0</v>
      </c>
      <c r="AV175" s="88">
        <f>IFERROR(AV140/AQ140-1,0)</f>
        <v>0</v>
      </c>
      <c r="AW175" s="89">
        <f>IFERROR(AW140/AR140-1,0)</f>
        <v>0</v>
      </c>
      <c r="AX175" s="88">
        <f>IFERROR(AX140/AS140-1,0)</f>
        <v>0</v>
      </c>
      <c r="AY175" s="88">
        <f>IFERROR(AY140/AT140-1,0)</f>
        <v>0</v>
      </c>
      <c r="AZ175" s="88">
        <f>IFERROR(AZ140/AU140-1,0)</f>
        <v>0</v>
      </c>
      <c r="BA175" s="88">
        <f>IFERROR(BA140/AV140-1,0)</f>
        <v>0</v>
      </c>
      <c r="BB175" s="89">
        <f>IFERROR(BB140/AW140-1,0)</f>
        <v>0</v>
      </c>
      <c r="BC175" s="88">
        <f>IFERROR(BC140/AX140-1,0)</f>
        <v>0</v>
      </c>
      <c r="BD175" s="88">
        <f>IFERROR(BD140/AY140-1,0)</f>
        <v>0</v>
      </c>
      <c r="BE175" s="88">
        <f>IFERROR(BE140/AZ140-1,0)</f>
        <v>0</v>
      </c>
      <c r="BF175" s="88">
        <f>IFERROR(BF140/BA140-1,0)</f>
        <v>0</v>
      </c>
      <c r="BG175" s="89">
        <f>IFERROR(BG140/BB140-1,0)</f>
        <v>0</v>
      </c>
    </row>
    <row r="176">
      <c r="C176" s="11" t="inlineStr">
        <is>
          <t>Margem financeira bruta — % YoY</t>
        </is>
      </c>
      <c r="D176" s="12" t="inlineStr">
        <is>
          <t>NII growth YoY</t>
        </is>
      </c>
      <c r="E176" s="88" t="n">
        <v>0</v>
      </c>
      <c r="F176" s="88" t="n">
        <v>0</v>
      </c>
      <c r="G176" s="88" t="n">
        <v>0</v>
      </c>
      <c r="H176" s="88" t="n">
        <v>0</v>
      </c>
      <c r="I176" s="89" t="n">
        <v>0</v>
      </c>
      <c r="J176" s="88">
        <f>IFERROR(J137/E137-1,0)</f>
        <v>5.81958571097729</v>
      </c>
      <c r="K176" s="88">
        <f>IFERROR(K137/F137-1,0)</f>
        <v>40.8197088513667</v>
      </c>
      <c r="L176" s="88">
        <f>IFERROR(L137/G137-1,0)</f>
        <v>0.581584421379854</v>
      </c>
      <c r="M176" s="88">
        <f>IFERROR(M137/H137-1,0)</f>
        <v>0.815304308251557</v>
      </c>
      <c r="N176" s="89">
        <f>IFERROR(N137/I137-1,0)</f>
        <v>2.69585503111507</v>
      </c>
      <c r="O176" s="88">
        <f>IFERROR(O137/J137-1,0)</f>
        <v>-2.32628990893724</v>
      </c>
      <c r="P176" s="88">
        <f>IFERROR(P137/K137-1,0)</f>
        <v>-0.827518746799857</v>
      </c>
      <c r="Q176" s="88">
        <f>IFERROR(Q137/L137-1,0)</f>
        <v>0.378091925247188</v>
      </c>
      <c r="R176" s="88">
        <f>IFERROR(R137/M137-1,0)</f>
        <v>-0.559208091681271</v>
      </c>
      <c r="S176" s="89">
        <f>IFERROR(S137/N137-1,0)</f>
        <v>-0.211123170324186</v>
      </c>
      <c r="T176" s="88">
        <f>IFERROR(T137/O137-1,0)</f>
        <v>1.11427278484222</v>
      </c>
      <c r="U176" s="88">
        <f>IFERROR(U137/P137-1,0)</f>
        <v>2.07077551025089</v>
      </c>
      <c r="V176" s="88">
        <f>IFERROR(V137/Q137-1,0)</f>
        <v>1.12809780004967</v>
      </c>
      <c r="W176" s="88">
        <f>IFERROR(W137/R137-1,0)</f>
        <v>4.59919097096243</v>
      </c>
      <c r="X176" s="89">
        <f>IFERROR(X137/S137-1,0)</f>
        <v>1.75396615668603</v>
      </c>
      <c r="Y176" s="88">
        <f>IFERROR(Y137/T137-1,0)</f>
        <v>-0.303819058207315</v>
      </c>
      <c r="Z176" s="88">
        <f>IFERROR(Z137/U137-1,0)</f>
        <v>-0.0587473121761343</v>
      </c>
      <c r="AA176" s="88">
        <f>IFERROR(AA137/V137-1,0)</f>
        <v>-0.414589240313451</v>
      </c>
      <c r="AB176" s="88">
        <f>IFERROR(AB137/W137-1,0)</f>
        <v>0.00361286907281988</v>
      </c>
      <c r="AC176" s="89">
        <f>IFERROR(AC137/X137-1,0)</f>
        <v>-0.208170682038489</v>
      </c>
      <c r="AD176" s="88">
        <f>IFERROR(AD137/Y137-1,0)</f>
        <v>0.184734125320008</v>
      </c>
      <c r="AE176" s="88">
        <f>IFERROR(AE137/Z137-1,0)</f>
        <v>0.714077053370125</v>
      </c>
      <c r="AF176" s="88">
        <f>IFERROR(AF137/AA137-1,0)</f>
        <v>1.10757850992216</v>
      </c>
      <c r="AG176" s="88">
        <f>IFERROR(AG137/AB137-1,0)</f>
        <v>0.21544215277711</v>
      </c>
      <c r="AH176" s="89">
        <f>IFERROR(AH137/AC137-1,0)</f>
        <v>0.512982399568641</v>
      </c>
      <c r="AI176" s="88">
        <f>IFERROR(AI137/AD137-1,0)</f>
        <v>1.15425392810316</v>
      </c>
      <c r="AJ176" s="88">
        <f>IFERROR(AJ137/AE137-1,0)</f>
        <v>0.611262283463664</v>
      </c>
      <c r="AK176" s="88">
        <f>IFERROR(AK137/AF137-1,0)</f>
        <v>-1.03500660705198</v>
      </c>
      <c r="AL176" s="88">
        <f>IFERROR(AL137/AG137-1,0)</f>
        <v>-1.03816367380292</v>
      </c>
      <c r="AM176" s="89">
        <f>IFERROR(AM137/AH137-1,0)</f>
        <v>-0.29423709083114</v>
      </c>
      <c r="AN176" s="88">
        <f>IFERROR(AN137/AI137-1,0)</f>
        <v>-1.0312112799653</v>
      </c>
      <c r="AO176" s="88">
        <f>IFERROR(AO137/AJ137-1,0)</f>
        <v>-1.02940640901054</v>
      </c>
      <c r="AP176" s="88">
        <f>IFERROR(AP137/AK137-1,0)</f>
        <v>0</v>
      </c>
      <c r="AQ176" s="88">
        <f>IFERROR(AQ137/AL137-1,0)</f>
        <v>0</v>
      </c>
      <c r="AR176" s="89">
        <f>IFERROR(AR137/AM137-1,0)</f>
        <v>-1.06245521686245</v>
      </c>
      <c r="AS176" s="88">
        <f>IFERROR(AS137/AN137-1,0)</f>
        <v>0</v>
      </c>
      <c r="AT176" s="88">
        <f>IFERROR(AT137/AO137-1,0)</f>
        <v>0</v>
      </c>
      <c r="AU176" s="88">
        <f>IFERROR(AU137/AP137-1,0)</f>
        <v>0</v>
      </c>
      <c r="AV176" s="88">
        <f>IFERROR(AV137/AQ137-1,0)</f>
        <v>0</v>
      </c>
      <c r="AW176" s="89">
        <f>IFERROR(AW137/AR137-1,0)</f>
        <v>0</v>
      </c>
      <c r="AX176" s="88">
        <f>IFERROR(AX137/AS137-1,0)</f>
        <v>0</v>
      </c>
      <c r="AY176" s="88">
        <f>IFERROR(AY137/AT137-1,0)</f>
        <v>0</v>
      </c>
      <c r="AZ176" s="88">
        <f>IFERROR(AZ137/AU137-1,0)</f>
        <v>0</v>
      </c>
      <c r="BA176" s="88">
        <f>IFERROR(BA137/AV137-1,0)</f>
        <v>0</v>
      </c>
      <c r="BB176" s="89">
        <f>IFERROR(BB137/AW137-1,0)</f>
        <v>0</v>
      </c>
      <c r="BC176" s="88">
        <f>IFERROR(BC137/AX137-1,0)</f>
        <v>0</v>
      </c>
      <c r="BD176" s="88">
        <f>IFERROR(BD137/AY137-1,0)</f>
        <v>0</v>
      </c>
      <c r="BE176" s="88">
        <f>IFERROR(BE137/AZ137-1,0)</f>
        <v>0</v>
      </c>
      <c r="BF176" s="88">
        <f>IFERROR(BF137/BA137-1,0)</f>
        <v>0</v>
      </c>
      <c r="BG176" s="89">
        <f>IFERROR(BG137/BB137-1,0)</f>
        <v>0</v>
      </c>
    </row>
    <row r="177">
      <c r="C177" s="11" t="inlineStr">
        <is>
          <t>Carteira de crédito — % QoQ</t>
        </is>
      </c>
      <c r="D177" s="12" t="inlineStr">
        <is>
          <t>Loan growth QoQ</t>
        </is>
      </c>
      <c r="E177" s="88" t="n">
        <v>0</v>
      </c>
      <c r="F177" s="88">
        <f>IFERROR(F30/E30-1,0)</f>
        <v>0.270500346682227</v>
      </c>
      <c r="G177" s="88">
        <f>IFERROR(G30/F30-1,0)</f>
        <v>0.178853612790039</v>
      </c>
      <c r="H177" s="88">
        <f>IFERROR(H30/G30-1,0)</f>
        <v>0.0734520922560793</v>
      </c>
      <c r="I177" s="89" t="n">
        <v>0</v>
      </c>
      <c r="J177" s="88">
        <f>IFERROR(J30/H30-1,0)</f>
        <v>0.115082878277837</v>
      </c>
      <c r="K177" s="88">
        <f>IFERROR(K30/J30-1,0)</f>
        <v>0.609319510699104</v>
      </c>
      <c r="L177" s="88">
        <f>IFERROR(L30/K30-1,0)</f>
        <v>0.0725892404231985</v>
      </c>
      <c r="M177" s="88">
        <f>IFERROR(M30/L30-1,0)</f>
        <v>0.0551628220752896</v>
      </c>
      <c r="N177" s="89">
        <f>IFERROR(N30/I30-1,0)</f>
        <v>1.03096453962812</v>
      </c>
      <c r="O177" s="88">
        <f>IFERROR(O30/M30-1,0)</f>
        <v>0.0330201585108079</v>
      </c>
      <c r="P177" s="88">
        <f>IFERROR(P30/O30-1,0)</f>
        <v>0.0466220752022026</v>
      </c>
      <c r="Q177" s="88">
        <f>IFERROR(Q30/P30-1,0)</f>
        <v>0.0157505081648262</v>
      </c>
      <c r="R177" s="88">
        <f>IFERROR(R30/Q30-1,0)</f>
        <v>0.0534394530318221</v>
      </c>
      <c r="S177" s="89">
        <f>IFERROR(S30/N30-1,0)</f>
        <v>0.156898651097493</v>
      </c>
      <c r="T177" s="88">
        <f>IFERROR(T30/R30-1,0)</f>
        <v>-0.0424967138161947</v>
      </c>
      <c r="U177" s="88">
        <f>IFERROR(U30/T30-1,0)</f>
        <v>-0.0165944071847055</v>
      </c>
      <c r="V177" s="88">
        <f>IFERROR(V30/U30-1,0)</f>
        <v>0.0451040834564054</v>
      </c>
      <c r="W177" s="88">
        <f>IFERROR(W30/V30-1,0)</f>
        <v>0.0860203146555811</v>
      </c>
      <c r="X177" s="89">
        <f>IFERROR(X30/S30-1,0)</f>
        <v>0.0687360050007793</v>
      </c>
      <c r="Y177" s="88">
        <f>IFERROR(Y30/W30-1,0)</f>
        <v>0.0860515809623514</v>
      </c>
      <c r="Z177" s="88">
        <f>IFERROR(Z30/Y30-1,0)</f>
        <v>0.0744738687014301</v>
      </c>
      <c r="AA177" s="88">
        <f>IFERROR(AA30/Z30-1,0)</f>
        <v>0.0409719008184448</v>
      </c>
      <c r="AB177" s="88">
        <f>IFERROR(AB30/AA30-1,0)</f>
        <v>0.0454975373240225</v>
      </c>
      <c r="AC177" s="89">
        <f>IFERROR(AC30/X30-1,0)</f>
        <v>0.270013480697545</v>
      </c>
      <c r="AD177" s="88">
        <f>IFERROR(AD30/AB30-1,0)</f>
        <v>0.040985610044233</v>
      </c>
      <c r="AE177" s="88">
        <f>IFERROR(AE30/AD30-1,0)</f>
        <v>0.0205197524638965</v>
      </c>
      <c r="AF177" s="88">
        <f>IFERROR(AF30/AE30-1,0)</f>
        <v>0.0421525468785746</v>
      </c>
      <c r="AG177" s="88">
        <f>IFERROR(AG30/AF30-1,0)</f>
        <v>0.0929688436390219</v>
      </c>
      <c r="AH177" s="89">
        <f>IFERROR(AH30/AC30-1,0)</f>
        <v>0.210055297870492</v>
      </c>
      <c r="AI177" s="88">
        <f>IFERROR(AI30/AG30-1,0)</f>
        <v>0.0422811471317639</v>
      </c>
      <c r="AJ177" s="88">
        <f>IFERROR(AJ30/AI30-1,0)</f>
        <v>0.0119993062440016</v>
      </c>
      <c r="AK177" s="88">
        <f>IFERROR(AK30/AJ30-1,0)</f>
        <v>0</v>
      </c>
      <c r="AL177" s="88">
        <f>IFERROR(AL30/AK30-1,0)</f>
        <v>0</v>
      </c>
      <c r="AM177" s="89">
        <f>IFERROR(AM30/AH30-1,0)</f>
        <v>0.0547877978085471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>
      <c r="C178" s="11" t="inlineStr">
        <is>
          <t>Carteira de crédito — % YoY</t>
        </is>
      </c>
      <c r="D178" s="12" t="inlineStr">
        <is>
          <t>Loan growth YoY</t>
        </is>
      </c>
      <c r="E178" s="88" t="n">
        <v>0</v>
      </c>
      <c r="F178" s="88" t="n">
        <v>0</v>
      </c>
      <c r="G178" s="88" t="n">
        <v>0</v>
      </c>
      <c r="H178" s="88" t="n">
        <v>0</v>
      </c>
      <c r="I178" s="89" t="n">
        <v>0</v>
      </c>
      <c r="J178" s="88">
        <f>IFERROR(J30/E30-1,0)</f>
        <v>0.792769606885508</v>
      </c>
      <c r="K178" s="88">
        <f>IFERROR(K30/F30-1,0)</f>
        <v>1.27086841344313</v>
      </c>
      <c r="L178" s="88">
        <f>IFERROR(L30/G30-1,0)</f>
        <v>1.06616750396286</v>
      </c>
      <c r="M178" s="88">
        <f>IFERROR(M30/H30-1,0)</f>
        <v>1.03096453962812</v>
      </c>
      <c r="N178" s="89">
        <f>IFERROR(N30/I30-1,0)</f>
        <v>1.03096453962812</v>
      </c>
      <c r="O178" s="88">
        <f>IFERROR(O30/J30-1,0)</f>
        <v>0.881498991264861</v>
      </c>
      <c r="P178" s="88">
        <f>IFERROR(P30/K30-1,0)</f>
        <v>0.223634191741722</v>
      </c>
      <c r="Q178" s="88">
        <f>IFERROR(Q30/L30-1,0)</f>
        <v>0.158791273702421</v>
      </c>
      <c r="R178" s="88">
        <f>IFERROR(R30/M30-1,0)</f>
        <v>0.156898651097493</v>
      </c>
      <c r="S178" s="89">
        <f>IFERROR(S30/N30-1,0)</f>
        <v>0.156898651097493</v>
      </c>
      <c r="T178" s="88">
        <f>IFERROR(T30/O30-1,0)</f>
        <v>0.0723258893653733</v>
      </c>
      <c r="U178" s="88">
        <f>IFERROR(U30/P30-1,0)</f>
        <v>0.00755688410146727</v>
      </c>
      <c r="V178" s="88">
        <f>IFERROR(V30/Q30-1,0)</f>
        <v>0.0366736766802431</v>
      </c>
      <c r="W178" s="88">
        <f>IFERROR(W30/R30-1,0)</f>
        <v>0.0687360050007793</v>
      </c>
      <c r="X178" s="89">
        <f>IFERROR(X30/S30-1,0)</f>
        <v>0.0687360050007793</v>
      </c>
      <c r="Y178" s="88">
        <f>IFERROR(Y30/T30-1,0)</f>
        <v>0.212217696388847</v>
      </c>
      <c r="Z178" s="88">
        <f>IFERROR(Z30/U30-1,0)</f>
        <v>0.324475117350587</v>
      </c>
      <c r="AA178" s="88">
        <f>IFERROR(AA30/V30-1,0)</f>
        <v>0.319238344122961</v>
      </c>
      <c r="AB178" s="88">
        <f>IFERROR(AB30/W30-1,0)</f>
        <v>0.270013480697545</v>
      </c>
      <c r="AC178" s="89">
        <f>IFERROR(AC30/X30-1,0)</f>
        <v>0.270013480697545</v>
      </c>
      <c r="AD178" s="88">
        <f>IFERROR(AD30/Y30-1,0)</f>
        <v>0.217313966613675</v>
      </c>
      <c r="AE178" s="88">
        <f>IFERROR(AE30/Z30-1,0)</f>
        <v>0.15618721317143</v>
      </c>
      <c r="AF178" s="88">
        <f>IFERROR(AF30/AA30-1,0)</f>
        <v>0.157498533752639</v>
      </c>
      <c r="AG178" s="88">
        <f>IFERROR(AG30/AB30-1,0)</f>
        <v>0.210055297870492</v>
      </c>
      <c r="AH178" s="89">
        <f>IFERROR(AH30/AC30-1,0)</f>
        <v>0.210055297870492</v>
      </c>
      <c r="AI178" s="88">
        <f>IFERROR(AI30/AD30-1,0)</f>
        <v>0.211561247137444</v>
      </c>
      <c r="AJ178" s="88">
        <f>IFERROR(AJ30/AE30-1,0)</f>
        <v>0.201445771740305</v>
      </c>
      <c r="AK178" s="88">
        <f>IFERROR(AK30/AF30-1,0)</f>
        <v>0.152850199655358</v>
      </c>
      <c r="AL178" s="88">
        <f>IFERROR(AL30/AG30-1,0)</f>
        <v>0.0547877978085471</v>
      </c>
      <c r="AM178" s="89">
        <f>IFERROR(AM30/AH30-1,0)</f>
        <v>0.0547877978085471</v>
      </c>
      <c r="AN178" s="88">
        <f>IFERROR(AN30/AI30-1,0)</f>
        <v>0.0119993062440016</v>
      </c>
      <c r="AO178" s="88">
        <f>IFERROR(AO30/AJ30-1,0)</f>
        <v>0</v>
      </c>
      <c r="AP178" s="88">
        <f>IFERROR(AP30/AK30-1,0)</f>
        <v>0</v>
      </c>
      <c r="AQ178" s="88">
        <f>IFERROR(AQ30/AL30-1,0)</f>
        <v>0</v>
      </c>
      <c r="AR178" s="89">
        <f>IFERROR(AR30/AM30-1,0)</f>
        <v>0</v>
      </c>
      <c r="AS178" s="88">
        <f>IFERROR(AS30/AN30-1,0)</f>
        <v>0</v>
      </c>
      <c r="AT178" s="88">
        <f>IFERROR(AT30/AO30-1,0)</f>
        <v>0</v>
      </c>
      <c r="AU178" s="88">
        <f>IFERROR(AU30/AP30-1,0)</f>
        <v>0</v>
      </c>
      <c r="AV178" s="88">
        <f>IFERROR(AV30/AQ30-1,0)</f>
        <v>0</v>
      </c>
      <c r="AW178" s="89">
        <f>IFERROR(AW30/AR30-1,0)</f>
        <v>0</v>
      </c>
      <c r="AX178" s="88">
        <f>IFERROR(AX30/AS30-1,0)</f>
        <v>0</v>
      </c>
      <c r="AY178" s="88">
        <f>IFERROR(AY30/AT30-1,0)</f>
        <v>0</v>
      </c>
      <c r="AZ178" s="88">
        <f>IFERROR(AZ30/AU30-1,0)</f>
        <v>0</v>
      </c>
      <c r="BA178" s="88">
        <f>IFERROR(BA30/AV30-1,0)</f>
        <v>0</v>
      </c>
      <c r="BB178" s="89">
        <f>IFERROR(BB30/AW30-1,0)</f>
        <v>0</v>
      </c>
      <c r="BC178" s="88">
        <f>IFERROR(BC30/AX30-1,0)</f>
        <v>0</v>
      </c>
      <c r="BD178" s="88">
        <f>IFERROR(BD30/AY30-1,0)</f>
        <v>0</v>
      </c>
      <c r="BE178" s="88">
        <f>IFERROR(BE30/AZ30-1,0)</f>
        <v>0</v>
      </c>
      <c r="BF178" s="88">
        <f>IFERROR(BF30/BA30-1,0)</f>
        <v>0</v>
      </c>
      <c r="BG178" s="89">
        <f>IFERROR(BG30/BB30-1,0)</f>
        <v>0</v>
      </c>
    </row>
    <row r="179">
      <c r="C179" s="11" t="inlineStr">
        <is>
          <t>Lucro líquido — % YoY</t>
        </is>
      </c>
      <c r="D179" s="12" t="inlineStr">
        <is>
          <t>Net income growth YoY</t>
        </is>
      </c>
      <c r="E179" s="88" t="n">
        <v>0</v>
      </c>
      <c r="F179" s="88" t="n">
        <v>0</v>
      </c>
      <c r="G179" s="88" t="n">
        <v>0</v>
      </c>
      <c r="H179" s="88" t="n">
        <v>0</v>
      </c>
      <c r="I179" s="89" t="n">
        <v>0</v>
      </c>
      <c r="J179" s="88">
        <f>IFERROR(J127/E127-1,0)</f>
        <v>0.532041604810816</v>
      </c>
      <c r="K179" s="88">
        <f>IFERROR(K127/F127-1,0)</f>
        <v>0.717293544500224</v>
      </c>
      <c r="L179" s="88">
        <f>IFERROR(L127/G127-1,0)</f>
        <v>0.739755187752718</v>
      </c>
      <c r="M179" s="88">
        <f>IFERROR(M127/H127-1,0)</f>
        <v>0.418947016155055</v>
      </c>
      <c r="N179" s="89">
        <f>IFERROR(N127/I127-1,0)</f>
        <v>0.594955508503963</v>
      </c>
      <c r="O179" s="88">
        <f>IFERROR(O127/J127-1,0)</f>
        <v>0.65116067774305</v>
      </c>
      <c r="P179" s="88">
        <f>IFERROR(P127/K127-1,0)</f>
        <v>0.231709556884747</v>
      </c>
      <c r="Q179" s="88">
        <f>IFERROR(Q127/L127-1,0)</f>
        <v>0.25105152638462</v>
      </c>
      <c r="R179" s="88">
        <f>IFERROR(R127/M127-1,0)</f>
        <v>-0.0532854033820108</v>
      </c>
      <c r="S179" s="89">
        <f>IFERROR(S127/N127-1,0)</f>
        <v>0.236462712561835</v>
      </c>
      <c r="T179" s="88">
        <f>IFERROR(T127/O127-1,0)</f>
        <v>0.0981364831106144</v>
      </c>
      <c r="U179" s="88">
        <f>IFERROR(U127/P127-1,0)</f>
        <v>0.180887620731645</v>
      </c>
      <c r="V179" s="88">
        <f>IFERROR(V127/Q127-1,0)</f>
        <v>0.202558398409531</v>
      </c>
      <c r="W179" s="88">
        <f>IFERROR(W127/R127-1,0)</f>
        <v>0.651911069018653</v>
      </c>
      <c r="X179" s="89">
        <f>IFERROR(X127/S127-1,0)</f>
        <v>0.26559191889591</v>
      </c>
      <c r="Y179" s="88">
        <f>IFERROR(Y127/T127-1,0)</f>
        <v>0.300225701043396</v>
      </c>
      <c r="Z179" s="88">
        <f>IFERROR(Z127/U127-1,0)</f>
        <v>0.156534729517766</v>
      </c>
      <c r="AA179" s="88">
        <f>IFERROR(AA127/V127-1,0)</f>
        <v>0.169895338783119</v>
      </c>
      <c r="AB179" s="88">
        <f>IFERROR(AB127/W127-1,0)</f>
        <v>0.145432669598675</v>
      </c>
      <c r="AC179" s="89">
        <f>IFERROR(AC127/X127-1,0)</f>
        <v>0.18789956736661</v>
      </c>
      <c r="AD179" s="88">
        <f>IFERROR(AD127/Y127-1,0)</f>
        <v>0.157282480020934</v>
      </c>
      <c r="AE179" s="88">
        <f>IFERROR(AE127/Z127-1,0)</f>
        <v>0.420005547658573</v>
      </c>
      <c r="AF179" s="88">
        <f>IFERROR(AF127/AA127-1,0)</f>
        <v>0.413697179980267</v>
      </c>
      <c r="AG179" s="88">
        <f>IFERROR(AG127/AB127-1,0)</f>
        <v>0.405319275993541</v>
      </c>
      <c r="AH179" s="89">
        <f>IFERROR(AH127/AC127-1,0)</f>
        <v>0.352661466978136</v>
      </c>
      <c r="AI179" s="88">
        <f>IFERROR(AI127/AD127-1,0)</f>
        <v>0.423834070500359</v>
      </c>
      <c r="AJ179" s="88">
        <f>IFERROR(AJ127/AE127-1,0)</f>
        <v>0.222467334419949</v>
      </c>
      <c r="AK179" s="88">
        <f>IFERROR(AK127/AF127-1,0)</f>
        <v>-0.238108572851114</v>
      </c>
      <c r="AL179" s="88">
        <f>IFERROR(AL127/AG127-1,0)</f>
        <v>-0.339319488456553</v>
      </c>
      <c r="AM179" s="89">
        <f>IFERROR(AM127/AH127-1,0)</f>
        <v>-0.016941247997475</v>
      </c>
      <c r="AN179" s="88">
        <f>IFERROR(AN127/AI127-1,0)</f>
        <v>-0.770007037869836</v>
      </c>
      <c r="AO179" s="88">
        <f>IFERROR(AO127/AJ127-1,0)</f>
        <v>-0.666409753347603</v>
      </c>
      <c r="AP179" s="88">
        <f>IFERROR(AP127/AK127-1,0)</f>
        <v>0</v>
      </c>
      <c r="AQ179" s="88">
        <f>IFERROR(AQ127/AL127-1,0)</f>
        <v>0</v>
      </c>
      <c r="AR179" s="89">
        <f>IFERROR(AR127/AM127-1,0)</f>
        <v>-0.432828760899268</v>
      </c>
      <c r="AS179" s="88">
        <f>IFERROR(AS127/AN127-1,0)</f>
        <v>0</v>
      </c>
      <c r="AT179" s="88">
        <f>IFERROR(AT127/AO127-1,0)</f>
        <v>0</v>
      </c>
      <c r="AU179" s="88">
        <f>IFERROR(AU127/AP127-1,0)</f>
        <v>0</v>
      </c>
      <c r="AV179" s="88">
        <f>IFERROR(AV127/AQ127-1,0)</f>
        <v>0</v>
      </c>
      <c r="AW179" s="89">
        <f>IFERROR(AW127/AR127-1,0)</f>
        <v>0</v>
      </c>
      <c r="AX179" s="88">
        <f>IFERROR(AX127/AS127-1,0)</f>
        <v>0</v>
      </c>
      <c r="AY179" s="88">
        <f>IFERROR(AY127/AT127-1,0)</f>
        <v>0</v>
      </c>
      <c r="AZ179" s="88">
        <f>IFERROR(AZ127/AU127-1,0)</f>
        <v>0</v>
      </c>
      <c r="BA179" s="88">
        <f>IFERROR(BA127/AV127-1,0)</f>
        <v>0</v>
      </c>
      <c r="BB179" s="89">
        <f>IFERROR(BB127/AW127-1,0)</f>
        <v>0</v>
      </c>
      <c r="BC179" s="88">
        <f>IFERROR(BC127/AX127-1,0)</f>
        <v>0</v>
      </c>
      <c r="BD179" s="88">
        <f>IFERROR(BD127/AY127-1,0)</f>
        <v>0</v>
      </c>
      <c r="BE179" s="88">
        <f>IFERROR(BE127/AZ127-1,0)</f>
        <v>0</v>
      </c>
      <c r="BF179" s="88">
        <f>IFERROR(BF127/BA127-1,0)</f>
        <v>0</v>
      </c>
      <c r="BG179" s="89">
        <f>IFERROR(BG127/BB127-1,0)</f>
        <v>0</v>
      </c>
    </row>
    <row r="180">
      <c r="B180" s="29" t="n"/>
      <c r="C180" s="29" t="inlineStr">
        <is>
          <t>Qualidade de crédito</t>
        </is>
      </c>
      <c r="D180" s="29" t="inlineStr">
        <is>
          <t>Asset quality</t>
        </is>
      </c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</row>
    <row r="181">
      <c r="C181" s="11" t="inlineStr">
        <is>
          <t>Inadimplência acima de 90 dias (%)</t>
        </is>
      </c>
      <c r="D181" s="12" t="inlineStr">
        <is>
          <t>NPL &gt; 90 days</t>
        </is>
      </c>
      <c r="E181" s="88">
        <f>IFERROR(E148/E144,0)</f>
        <v>0</v>
      </c>
      <c r="F181" s="88">
        <f>IFERROR(F148/F144,0)</f>
        <v>0</v>
      </c>
      <c r="G181" s="88">
        <f>IFERROR(G148/G144,0)</f>
        <v>0</v>
      </c>
      <c r="H181" s="88">
        <f>IFERROR(H148/H144,0)</f>
        <v>0</v>
      </c>
      <c r="I181" s="89">
        <f>IFERROR(I148/I144,0)</f>
        <v>0</v>
      </c>
      <c r="J181" s="88">
        <f>IFERROR(J148/J144,0)</f>
        <v>0</v>
      </c>
      <c r="K181" s="88">
        <f>IFERROR(K148/K144,0)</f>
        <v>0</v>
      </c>
      <c r="L181" s="88">
        <f>IFERROR(L148/L144,0)</f>
        <v>0</v>
      </c>
      <c r="M181" s="88">
        <f>IFERROR(M148/M144,0)</f>
        <v>0</v>
      </c>
      <c r="N181" s="89">
        <f>IFERROR(N148/N144,0)</f>
        <v>0</v>
      </c>
      <c r="O181" s="88">
        <f>IFERROR(O148/O144,0)</f>
        <v>0</v>
      </c>
      <c r="P181" s="88">
        <f>IFERROR(P148/P144,0)</f>
        <v>0</v>
      </c>
      <c r="Q181" s="88">
        <f>IFERROR(Q148/Q144,0)</f>
        <v>0</v>
      </c>
      <c r="R181" s="88">
        <f>IFERROR(R148/R144,0)</f>
        <v>0</v>
      </c>
      <c r="S181" s="89">
        <f>IFERROR(S148/S144,0)</f>
        <v>0</v>
      </c>
      <c r="T181" s="88">
        <f>IFERROR(T148/T144,0)</f>
        <v>0</v>
      </c>
      <c r="U181" s="88">
        <f>IFERROR(U148/U144,0)</f>
        <v>0</v>
      </c>
      <c r="V181" s="88">
        <f>IFERROR(V148/V144,0)</f>
        <v>0</v>
      </c>
      <c r="W181" s="88">
        <f>IFERROR(W148/W144,0)</f>
        <v>0</v>
      </c>
      <c r="X181" s="89">
        <f>IFERROR(X148/X144,0)</f>
        <v>0</v>
      </c>
      <c r="Y181" s="88">
        <f>IFERROR(Y148/Y144,0)</f>
        <v>0</v>
      </c>
      <c r="Z181" s="88">
        <f>IFERROR(Z148/Z144,0)</f>
        <v>0</v>
      </c>
      <c r="AA181" s="88">
        <f>IFERROR(AA148/AA144,0)</f>
        <v>0</v>
      </c>
      <c r="AB181" s="88">
        <f>IFERROR(AB148/AB144,0)</f>
        <v>0</v>
      </c>
      <c r="AC181" s="89">
        <f>IFERROR(AC148/AC144,0)</f>
        <v>0</v>
      </c>
      <c r="AD181" s="88">
        <f>IFERROR(AD148/AD144,0)</f>
        <v>0.044875490279452</v>
      </c>
      <c r="AE181" s="88">
        <f>IFERROR(AE148/AE144,0)</f>
        <v>0.0554482537375308</v>
      </c>
      <c r="AF181" s="88">
        <f>IFERROR(AF148/AF144,0)</f>
        <v>0.0583544767117074</v>
      </c>
      <c r="AG181" s="88">
        <f>IFERROR(AG148/AG144,0)</f>
        <v>0.0533334759949649</v>
      </c>
      <c r="AH181" s="89">
        <f>IFERROR(AH148/AH144,0)</f>
        <v>0.0533334759949649</v>
      </c>
      <c r="AI181" s="88">
        <f>IFERROR(AI148/AI144,0)</f>
        <v>0.0574459627802919</v>
      </c>
      <c r="AJ181" s="88">
        <f>IFERROR(AJ148/AJ144,0)</f>
        <v>0.0663992197706095</v>
      </c>
      <c r="AK181" s="88">
        <f>IFERROR(AK148/AK144,0)</f>
        <v>0.0663992197706095</v>
      </c>
      <c r="AL181" s="88">
        <f>IFERROR(AL148/AL144,0)</f>
        <v>0.0663992197706095</v>
      </c>
      <c r="AM181" s="89">
        <f>IFERROR(AM148/AM144,0)</f>
        <v>0.0663992197706095</v>
      </c>
      <c r="AN181" s="88">
        <f>IFERROR(AN148/AN144,0)</f>
        <v>0.0663992197706095</v>
      </c>
      <c r="AO181" s="88">
        <f>IFERROR(AO148/AO144,0)</f>
        <v>0.0663992197706095</v>
      </c>
      <c r="AP181" s="88">
        <f>IFERROR(AP148/AP144,0)</f>
        <v>0.0663992197706095</v>
      </c>
      <c r="AQ181" s="88">
        <f>IFERROR(AQ148/AQ144,0)</f>
        <v>0.0663992197706095</v>
      </c>
      <c r="AR181" s="89">
        <f>IFERROR(AR148/AR144,0)</f>
        <v>0.0663992197706095</v>
      </c>
      <c r="AS181" s="88">
        <f>IFERROR(AS148/AS144,0)</f>
        <v>0.0663992197706095</v>
      </c>
      <c r="AT181" s="88">
        <f>IFERROR(AT148/AT144,0)</f>
        <v>0.0663992197706095</v>
      </c>
      <c r="AU181" s="88">
        <f>IFERROR(AU148/AU144,0)</f>
        <v>0.0663992197706095</v>
      </c>
      <c r="AV181" s="88">
        <f>IFERROR(AV148/AV144,0)</f>
        <v>0.0663992197706095</v>
      </c>
      <c r="AW181" s="89">
        <f>IFERROR(AW148/AW144,0)</f>
        <v>0.0663992197706095</v>
      </c>
      <c r="AX181" s="88">
        <f>IFERROR(AX148/AX144,0)</f>
        <v>0.0663992197706095</v>
      </c>
      <c r="AY181" s="88">
        <f>IFERROR(AY148/AY144,0)</f>
        <v>0.0663992197706095</v>
      </c>
      <c r="AZ181" s="88">
        <f>IFERROR(AZ148/AZ144,0)</f>
        <v>0.0663992197706095</v>
      </c>
      <c r="BA181" s="88">
        <f>IFERROR(BA148/BA144,0)</f>
        <v>0.0663992197706095</v>
      </c>
      <c r="BB181" s="89">
        <f>IFERROR(BB148/BB144,0)</f>
        <v>0.0663992197706095</v>
      </c>
      <c r="BC181" s="88">
        <f>IFERROR(BC148/BC144,0)</f>
        <v>0.0663992197706095</v>
      </c>
      <c r="BD181" s="88">
        <f>IFERROR(BD148/BD144,0)</f>
        <v>0.0663992197706095</v>
      </c>
      <c r="BE181" s="88">
        <f>IFERROR(BE148/BE144,0)</f>
        <v>0.0663992197706095</v>
      </c>
      <c r="BF181" s="88">
        <f>IFERROR(BF148/BF144,0)</f>
        <v>0.0663992197706095</v>
      </c>
      <c r="BG181" s="89">
        <f>IFERROR(BG148/BG144,0)</f>
        <v>0.0663992197706095</v>
      </c>
    </row>
    <row r="182">
      <c r="C182" s="11" t="inlineStr">
        <is>
          <t>Inadimplência de 15 a 90 dias (%)</t>
        </is>
      </c>
      <c r="D182" s="12" t="inlineStr">
        <is>
          <t>NPL 15-90 days</t>
        </is>
      </c>
      <c r="E182" s="88">
        <f>IFERROR(E149/E144,0)</f>
        <v>0</v>
      </c>
      <c r="F182" s="88">
        <f>IFERROR(F149/F144,0)</f>
        <v>0</v>
      </c>
      <c r="G182" s="88">
        <f>IFERROR(G149/G144,0)</f>
        <v>0</v>
      </c>
      <c r="H182" s="88">
        <f>IFERROR(H149/H144,0)</f>
        <v>0</v>
      </c>
      <c r="I182" s="89">
        <f>IFERROR(I149/I144,0)</f>
        <v>0</v>
      </c>
      <c r="J182" s="88">
        <f>IFERROR(J149/J144,0)</f>
        <v>0</v>
      </c>
      <c r="K182" s="88">
        <f>IFERROR(K149/K144,0)</f>
        <v>0</v>
      </c>
      <c r="L182" s="88">
        <f>IFERROR(L149/L144,0)</f>
        <v>0</v>
      </c>
      <c r="M182" s="88">
        <f>IFERROR(M149/M144,0)</f>
        <v>0</v>
      </c>
      <c r="N182" s="89">
        <f>IFERROR(N149/N144,0)</f>
        <v>0</v>
      </c>
      <c r="O182" s="88">
        <f>IFERROR(O149/O144,0)</f>
        <v>0</v>
      </c>
      <c r="P182" s="88">
        <f>IFERROR(P149/P144,0)</f>
        <v>0</v>
      </c>
      <c r="Q182" s="88">
        <f>IFERROR(Q149/Q144,0)</f>
        <v>0</v>
      </c>
      <c r="R182" s="88">
        <f>IFERROR(R149/R144,0)</f>
        <v>0</v>
      </c>
      <c r="S182" s="89">
        <f>IFERROR(S149/S144,0)</f>
        <v>0</v>
      </c>
      <c r="T182" s="88">
        <f>IFERROR(T149/T144,0)</f>
        <v>0</v>
      </c>
      <c r="U182" s="88">
        <f>IFERROR(U149/U144,0)</f>
        <v>0</v>
      </c>
      <c r="V182" s="88">
        <f>IFERROR(V149/V144,0)</f>
        <v>0</v>
      </c>
      <c r="W182" s="88">
        <f>IFERROR(W149/W144,0)</f>
        <v>0</v>
      </c>
      <c r="X182" s="89">
        <f>IFERROR(X149/X144,0)</f>
        <v>0</v>
      </c>
      <c r="Y182" s="88">
        <f>IFERROR(Y149/Y144,0)</f>
        <v>0</v>
      </c>
      <c r="Z182" s="88">
        <f>IFERROR(Z149/Z144,0)</f>
        <v>0</v>
      </c>
      <c r="AA182" s="88">
        <f>IFERROR(AA149/AA144,0)</f>
        <v>0</v>
      </c>
      <c r="AB182" s="88">
        <f>IFERROR(AB149/AB144,0)</f>
        <v>0</v>
      </c>
      <c r="AC182" s="89">
        <f>IFERROR(AC149/AC144,0)</f>
        <v>0</v>
      </c>
      <c r="AD182" s="88">
        <f>IFERROR(AD149/AD144,0)</f>
        <v>0</v>
      </c>
      <c r="AE182" s="88">
        <f>IFERROR(AE149/AE144,0)</f>
        <v>0</v>
      </c>
      <c r="AF182" s="88">
        <f>IFERROR(AF149/AF144,0)</f>
        <v>0</v>
      </c>
      <c r="AG182" s="88">
        <f>IFERROR(AG149/AG144,0)</f>
        <v>0</v>
      </c>
      <c r="AH182" s="89">
        <f>IFERROR(AH149/AH144,0)</f>
        <v>0</v>
      </c>
      <c r="AI182" s="88">
        <f>IFERROR(AI149/AI144,0)</f>
        <v>0</v>
      </c>
      <c r="AJ182" s="88">
        <f>IFERROR(AJ149/AJ144,0)</f>
        <v>0</v>
      </c>
      <c r="AK182" s="88">
        <f>IFERROR(AK149/AK144,0)</f>
        <v>0</v>
      </c>
      <c r="AL182" s="88">
        <f>IFERROR(AL149/AL144,0)</f>
        <v>0</v>
      </c>
      <c r="AM182" s="89">
        <f>IFERROR(AM149/AM144,0)</f>
        <v>0</v>
      </c>
      <c r="AN182" s="88">
        <f>IFERROR(AN149/AN144,0)</f>
        <v>0</v>
      </c>
      <c r="AO182" s="88">
        <f>IFERROR(AO149/AO144,0)</f>
        <v>0</v>
      </c>
      <c r="AP182" s="88">
        <f>IFERROR(AP149/AP144,0)</f>
        <v>0</v>
      </c>
      <c r="AQ182" s="88">
        <f>IFERROR(AQ149/AQ144,0)</f>
        <v>0</v>
      </c>
      <c r="AR182" s="89">
        <f>IFERROR(AR149/AR144,0)</f>
        <v>0</v>
      </c>
      <c r="AS182" s="88">
        <f>IFERROR(AS149/AS144,0)</f>
        <v>0</v>
      </c>
      <c r="AT182" s="88">
        <f>IFERROR(AT149/AT144,0)</f>
        <v>0</v>
      </c>
      <c r="AU182" s="88">
        <f>IFERROR(AU149/AU144,0)</f>
        <v>0</v>
      </c>
      <c r="AV182" s="88">
        <f>IFERROR(AV149/AV144,0)</f>
        <v>0</v>
      </c>
      <c r="AW182" s="89">
        <f>IFERROR(AW149/AW144,0)</f>
        <v>0</v>
      </c>
      <c r="AX182" s="88">
        <f>IFERROR(AX149/AX144,0)</f>
        <v>0</v>
      </c>
      <c r="AY182" s="88">
        <f>IFERROR(AY149/AY144,0)</f>
        <v>0</v>
      </c>
      <c r="AZ182" s="88">
        <f>IFERROR(AZ149/AZ144,0)</f>
        <v>0</v>
      </c>
      <c r="BA182" s="88">
        <f>IFERROR(BA149/BA144,0)</f>
        <v>0</v>
      </c>
      <c r="BB182" s="89">
        <f>IFERROR(BB149/BB144,0)</f>
        <v>0</v>
      </c>
      <c r="BC182" s="88">
        <f>IFERROR(BC149/BC144,0)</f>
        <v>0</v>
      </c>
      <c r="BD182" s="88">
        <f>IFERROR(BD149/BD144,0)</f>
        <v>0</v>
      </c>
      <c r="BE182" s="88">
        <f>IFERROR(BE149/BE144,0)</f>
        <v>0</v>
      </c>
      <c r="BF182" s="88">
        <f>IFERROR(BF149/BF144,0)</f>
        <v>0</v>
      </c>
      <c r="BG182" s="89">
        <f>IFERROR(BG149/BG144,0)</f>
        <v>0</v>
      </c>
    </row>
    <row r="183">
      <c r="C183" s="11" t="inlineStr">
        <is>
          <t>Carteira em Estágio 2 (% da carteira)</t>
        </is>
      </c>
      <c r="D183" s="12" t="inlineStr">
        <is>
          <t>Stage 2 share</t>
        </is>
      </c>
      <c r="E183" s="88">
        <f>IFERROR(E146/E144,0)</f>
        <v>0</v>
      </c>
      <c r="F183" s="88">
        <f>IFERROR(F146/F144,0)</f>
        <v>0</v>
      </c>
      <c r="G183" s="88">
        <f>IFERROR(G146/G144,0)</f>
        <v>0</v>
      </c>
      <c r="H183" s="88">
        <f>IFERROR(H146/H144,0)</f>
        <v>0</v>
      </c>
      <c r="I183" s="89">
        <f>IFERROR(I146/I144,0)</f>
        <v>0</v>
      </c>
      <c r="J183" s="88">
        <f>IFERROR(J146/J144,0)</f>
        <v>0</v>
      </c>
      <c r="K183" s="88">
        <f>IFERROR(K146/K144,0)</f>
        <v>0</v>
      </c>
      <c r="L183" s="88">
        <f>IFERROR(L146/L144,0)</f>
        <v>0</v>
      </c>
      <c r="M183" s="88">
        <f>IFERROR(M146/M144,0)</f>
        <v>0</v>
      </c>
      <c r="N183" s="89">
        <f>IFERROR(N146/N144,0)</f>
        <v>0</v>
      </c>
      <c r="O183" s="88">
        <f>IFERROR(O146/O144,0)</f>
        <v>0</v>
      </c>
      <c r="P183" s="88">
        <f>IFERROR(P146/P144,0)</f>
        <v>0</v>
      </c>
      <c r="Q183" s="88">
        <f>IFERROR(Q146/Q144,0)</f>
        <v>0</v>
      </c>
      <c r="R183" s="88">
        <f>IFERROR(R146/R144,0)</f>
        <v>0</v>
      </c>
      <c r="S183" s="89">
        <f>IFERROR(S146/S144,0)</f>
        <v>0</v>
      </c>
      <c r="T183" s="88">
        <f>IFERROR(T146/T144,0)</f>
        <v>0</v>
      </c>
      <c r="U183" s="88">
        <f>IFERROR(U146/U144,0)</f>
        <v>0</v>
      </c>
      <c r="V183" s="88">
        <f>IFERROR(V146/V144,0)</f>
        <v>0</v>
      </c>
      <c r="W183" s="88">
        <f>IFERROR(W146/W144,0)</f>
        <v>0</v>
      </c>
      <c r="X183" s="89">
        <f>IFERROR(X146/X144,0)</f>
        <v>0</v>
      </c>
      <c r="Y183" s="88">
        <f>IFERROR(Y146/Y144,0)</f>
        <v>0</v>
      </c>
      <c r="Z183" s="88">
        <f>IFERROR(Z146/Z144,0)</f>
        <v>0</v>
      </c>
      <c r="AA183" s="88">
        <f>IFERROR(AA146/AA144,0)</f>
        <v>0</v>
      </c>
      <c r="AB183" s="88">
        <f>IFERROR(AB146/AB144,0)</f>
        <v>0</v>
      </c>
      <c r="AC183" s="89">
        <f>IFERROR(AC146/AC144,0)</f>
        <v>0</v>
      </c>
      <c r="AD183" s="88">
        <f>IFERROR(AD146/AD144,0)</f>
        <v>0</v>
      </c>
      <c r="AE183" s="88">
        <f>IFERROR(AE146/AE144,0)</f>
        <v>0</v>
      </c>
      <c r="AF183" s="88">
        <f>IFERROR(AF146/AF144,0)</f>
        <v>0</v>
      </c>
      <c r="AG183" s="88">
        <f>IFERROR(AG146/AG144,0)</f>
        <v>0</v>
      </c>
      <c r="AH183" s="89">
        <f>IFERROR(AH146/AH144,0)</f>
        <v>0</v>
      </c>
      <c r="AI183" s="88">
        <f>IFERROR(AI146/AI144,0)</f>
        <v>0</v>
      </c>
      <c r="AJ183" s="88">
        <f>IFERROR(AJ146/AJ144,0)</f>
        <v>0</v>
      </c>
      <c r="AK183" s="88">
        <f>IFERROR(AK146/AK144,0)</f>
        <v>0</v>
      </c>
      <c r="AL183" s="88">
        <f>IFERROR(AL146/AL144,0)</f>
        <v>0</v>
      </c>
      <c r="AM183" s="89">
        <f>IFERROR(AM146/AM144,0)</f>
        <v>0</v>
      </c>
      <c r="AN183" s="88">
        <f>IFERROR(AN146/AN144,0)</f>
        <v>0</v>
      </c>
      <c r="AO183" s="88">
        <f>IFERROR(AO146/AO144,0)</f>
        <v>0</v>
      </c>
      <c r="AP183" s="88">
        <f>IFERROR(AP146/AP144,0)</f>
        <v>0</v>
      </c>
      <c r="AQ183" s="88">
        <f>IFERROR(AQ146/AQ144,0)</f>
        <v>0</v>
      </c>
      <c r="AR183" s="89">
        <f>IFERROR(AR146/AR144,0)</f>
        <v>0</v>
      </c>
      <c r="AS183" s="88">
        <f>IFERROR(AS146/AS144,0)</f>
        <v>0</v>
      </c>
      <c r="AT183" s="88">
        <f>IFERROR(AT146/AT144,0)</f>
        <v>0</v>
      </c>
      <c r="AU183" s="88">
        <f>IFERROR(AU146/AU144,0)</f>
        <v>0</v>
      </c>
      <c r="AV183" s="88">
        <f>IFERROR(AV146/AV144,0)</f>
        <v>0</v>
      </c>
      <c r="AW183" s="89">
        <f>IFERROR(AW146/AW144,0)</f>
        <v>0</v>
      </c>
      <c r="AX183" s="88">
        <f>IFERROR(AX146/AX144,0)</f>
        <v>0</v>
      </c>
      <c r="AY183" s="88">
        <f>IFERROR(AY146/AY144,0)</f>
        <v>0</v>
      </c>
      <c r="AZ183" s="88">
        <f>IFERROR(AZ146/AZ144,0)</f>
        <v>0</v>
      </c>
      <c r="BA183" s="88">
        <f>IFERROR(BA146/BA144,0)</f>
        <v>0</v>
      </c>
      <c r="BB183" s="89">
        <f>IFERROR(BB146/BB144,0)</f>
        <v>0</v>
      </c>
      <c r="BC183" s="88">
        <f>IFERROR(BC146/BC144,0)</f>
        <v>0</v>
      </c>
      <c r="BD183" s="88">
        <f>IFERROR(BD146/BD144,0)</f>
        <v>0</v>
      </c>
      <c r="BE183" s="88">
        <f>IFERROR(BE146/BE144,0)</f>
        <v>0</v>
      </c>
      <c r="BF183" s="88">
        <f>IFERROR(BF146/BF144,0)</f>
        <v>0</v>
      </c>
      <c r="BG183" s="89">
        <f>IFERROR(BG146/BG144,0)</f>
        <v>0</v>
      </c>
    </row>
    <row r="184">
      <c r="C184" s="11" t="inlineStr">
        <is>
          <t>Carteira em Estágio 3 (% da carteira)</t>
        </is>
      </c>
      <c r="D184" s="12" t="inlineStr">
        <is>
          <t>Stage 3 share</t>
        </is>
      </c>
      <c r="E184" s="88">
        <f>IFERROR(E147/E144,0)</f>
        <v>0</v>
      </c>
      <c r="F184" s="88">
        <f>IFERROR(F147/F144,0)</f>
        <v>0</v>
      </c>
      <c r="G184" s="88">
        <f>IFERROR(G147/G144,0)</f>
        <v>0</v>
      </c>
      <c r="H184" s="88">
        <f>IFERROR(H147/H144,0)</f>
        <v>0</v>
      </c>
      <c r="I184" s="89">
        <f>IFERROR(I147/I144,0)</f>
        <v>0</v>
      </c>
      <c r="J184" s="88">
        <f>IFERROR(J147/J144,0)</f>
        <v>0</v>
      </c>
      <c r="K184" s="88">
        <f>IFERROR(K147/K144,0)</f>
        <v>0</v>
      </c>
      <c r="L184" s="88">
        <f>IFERROR(L147/L144,0)</f>
        <v>0</v>
      </c>
      <c r="M184" s="88">
        <f>IFERROR(M147/M144,0)</f>
        <v>0</v>
      </c>
      <c r="N184" s="89">
        <f>IFERROR(N147/N144,0)</f>
        <v>0</v>
      </c>
      <c r="O184" s="88">
        <f>IFERROR(O147/O144,0)</f>
        <v>0</v>
      </c>
      <c r="P184" s="88">
        <f>IFERROR(P147/P144,0)</f>
        <v>0</v>
      </c>
      <c r="Q184" s="88">
        <f>IFERROR(Q147/Q144,0)</f>
        <v>0</v>
      </c>
      <c r="R184" s="88">
        <f>IFERROR(R147/R144,0)</f>
        <v>0</v>
      </c>
      <c r="S184" s="89">
        <f>IFERROR(S147/S144,0)</f>
        <v>0</v>
      </c>
      <c r="T184" s="88">
        <f>IFERROR(T147/T144,0)</f>
        <v>0</v>
      </c>
      <c r="U184" s="88">
        <f>IFERROR(U147/U144,0)</f>
        <v>0</v>
      </c>
      <c r="V184" s="88">
        <f>IFERROR(V147/V144,0)</f>
        <v>0</v>
      </c>
      <c r="W184" s="88">
        <f>IFERROR(W147/W144,0)</f>
        <v>0</v>
      </c>
      <c r="X184" s="89">
        <f>IFERROR(X147/X144,0)</f>
        <v>0</v>
      </c>
      <c r="Y184" s="88">
        <f>IFERROR(Y147/Y144,0)</f>
        <v>0</v>
      </c>
      <c r="Z184" s="88">
        <f>IFERROR(Z147/Z144,0)</f>
        <v>0</v>
      </c>
      <c r="AA184" s="88">
        <f>IFERROR(AA147/AA144,0)</f>
        <v>0</v>
      </c>
      <c r="AB184" s="88">
        <f>IFERROR(AB147/AB144,0)</f>
        <v>0</v>
      </c>
      <c r="AC184" s="89">
        <f>IFERROR(AC147/AC144,0)</f>
        <v>0</v>
      </c>
      <c r="AD184" s="88">
        <f>IFERROR(AD147/AD144,0)</f>
        <v>0</v>
      </c>
      <c r="AE184" s="88">
        <f>IFERROR(AE147/AE144,0)</f>
        <v>0</v>
      </c>
      <c r="AF184" s="88">
        <f>IFERROR(AF147/AF144,0)</f>
        <v>0</v>
      </c>
      <c r="AG184" s="88">
        <f>IFERROR(AG147/AG144,0)</f>
        <v>0</v>
      </c>
      <c r="AH184" s="89">
        <f>IFERROR(AH147/AH144,0)</f>
        <v>0</v>
      </c>
      <c r="AI184" s="88">
        <f>IFERROR(AI147/AI144,0)</f>
        <v>0</v>
      </c>
      <c r="AJ184" s="88">
        <f>IFERROR(AJ147/AJ144,0)</f>
        <v>0</v>
      </c>
      <c r="AK184" s="88">
        <f>IFERROR(AK147/AK144,0)</f>
        <v>0</v>
      </c>
      <c r="AL184" s="88">
        <f>IFERROR(AL147/AL144,0)</f>
        <v>0</v>
      </c>
      <c r="AM184" s="89">
        <f>IFERROR(AM147/AM144,0)</f>
        <v>0</v>
      </c>
      <c r="AN184" s="88">
        <f>IFERROR(AN147/AN144,0)</f>
        <v>0</v>
      </c>
      <c r="AO184" s="88">
        <f>IFERROR(AO147/AO144,0)</f>
        <v>0</v>
      </c>
      <c r="AP184" s="88">
        <f>IFERROR(AP147/AP144,0)</f>
        <v>0</v>
      </c>
      <c r="AQ184" s="88">
        <f>IFERROR(AQ147/AQ144,0)</f>
        <v>0</v>
      </c>
      <c r="AR184" s="89">
        <f>IFERROR(AR147/AR144,0)</f>
        <v>0</v>
      </c>
      <c r="AS184" s="88">
        <f>IFERROR(AS147/AS144,0)</f>
        <v>0</v>
      </c>
      <c r="AT184" s="88">
        <f>IFERROR(AT147/AT144,0)</f>
        <v>0</v>
      </c>
      <c r="AU184" s="88">
        <f>IFERROR(AU147/AU144,0)</f>
        <v>0</v>
      </c>
      <c r="AV184" s="88">
        <f>IFERROR(AV147/AV144,0)</f>
        <v>0</v>
      </c>
      <c r="AW184" s="89">
        <f>IFERROR(AW147/AW144,0)</f>
        <v>0</v>
      </c>
      <c r="AX184" s="88">
        <f>IFERROR(AX147/AX144,0)</f>
        <v>0</v>
      </c>
      <c r="AY184" s="88">
        <f>IFERROR(AY147/AY144,0)</f>
        <v>0</v>
      </c>
      <c r="AZ184" s="88">
        <f>IFERROR(AZ147/AZ144,0)</f>
        <v>0</v>
      </c>
      <c r="BA184" s="88">
        <f>IFERROR(BA147/BA144,0)</f>
        <v>0</v>
      </c>
      <c r="BB184" s="89">
        <f>IFERROR(BB147/BB144,0)</f>
        <v>0</v>
      </c>
      <c r="BC184" s="88">
        <f>IFERROR(BC147/BC144,0)</f>
        <v>0</v>
      </c>
      <c r="BD184" s="88">
        <f>IFERROR(BD147/BD144,0)</f>
        <v>0</v>
      </c>
      <c r="BE184" s="88">
        <f>IFERROR(BE147/BE144,0)</f>
        <v>0</v>
      </c>
      <c r="BF184" s="88">
        <f>IFERROR(BF147/BF144,0)</f>
        <v>0</v>
      </c>
      <c r="BG184" s="89">
        <f>IFERROR(BG147/BG144,0)</f>
        <v>0</v>
      </c>
    </row>
    <row r="185">
      <c r="C185" s="11" t="inlineStr">
        <is>
          <t>Cobertura da inadimplência acima de 90 dias</t>
        </is>
      </c>
      <c r="D185" s="12" t="inlineStr">
        <is>
          <t>NPL &gt; 90 coverage</t>
        </is>
      </c>
      <c r="E185" s="88">
        <f>IFERROR(E145/E148,0)</f>
        <v>0</v>
      </c>
      <c r="F185" s="88">
        <f>IFERROR(F145/F148,0)</f>
        <v>0</v>
      </c>
      <c r="G185" s="88">
        <f>IFERROR(G145/G148,0)</f>
        <v>0</v>
      </c>
      <c r="H185" s="88">
        <f>IFERROR(H145/H148,0)</f>
        <v>0</v>
      </c>
      <c r="I185" s="89">
        <f>IFERROR(I145/I148,0)</f>
        <v>0</v>
      </c>
      <c r="J185" s="88">
        <f>IFERROR(J145/J148,0)</f>
        <v>0</v>
      </c>
      <c r="K185" s="88">
        <f>IFERROR(K145/K148,0)</f>
        <v>0</v>
      </c>
      <c r="L185" s="88">
        <f>IFERROR(L145/L148,0)</f>
        <v>0</v>
      </c>
      <c r="M185" s="88">
        <f>IFERROR(M145/M148,0)</f>
        <v>0</v>
      </c>
      <c r="N185" s="89">
        <f>IFERROR(N145/N148,0)</f>
        <v>0</v>
      </c>
      <c r="O185" s="88">
        <f>IFERROR(O145/O148,0)</f>
        <v>0</v>
      </c>
      <c r="P185" s="88">
        <f>IFERROR(P145/P148,0)</f>
        <v>0</v>
      </c>
      <c r="Q185" s="88">
        <f>IFERROR(Q145/Q148,0)</f>
        <v>0</v>
      </c>
      <c r="R185" s="88">
        <f>IFERROR(R145/R148,0)</f>
        <v>0</v>
      </c>
      <c r="S185" s="89">
        <f>IFERROR(S145/S148,0)</f>
        <v>0</v>
      </c>
      <c r="T185" s="88">
        <f>IFERROR(T145/T148,0)</f>
        <v>0</v>
      </c>
      <c r="U185" s="88">
        <f>IFERROR(U145/U148,0)</f>
        <v>0</v>
      </c>
      <c r="V185" s="88">
        <f>IFERROR(V145/V148,0)</f>
        <v>0</v>
      </c>
      <c r="W185" s="88">
        <f>IFERROR(W145/W148,0)</f>
        <v>0</v>
      </c>
      <c r="X185" s="89">
        <f>IFERROR(X145/X148,0)</f>
        <v>0</v>
      </c>
      <c r="Y185" s="88">
        <f>IFERROR(Y145/Y148,0)</f>
        <v>0</v>
      </c>
      <c r="Z185" s="88">
        <f>IFERROR(Z145/Z148,0)</f>
        <v>0</v>
      </c>
      <c r="AA185" s="88">
        <f>IFERROR(AA145/AA148,0)</f>
        <v>0</v>
      </c>
      <c r="AB185" s="88">
        <f>IFERROR(AB145/AB148,0)</f>
        <v>0</v>
      </c>
      <c r="AC185" s="89">
        <f>IFERROR(AC145/AC148,0)</f>
        <v>0</v>
      </c>
      <c r="AD185" s="88">
        <f>IFERROR(AD145/AD148,0)</f>
        <v>0</v>
      </c>
      <c r="AE185" s="88">
        <f>IFERROR(AE145/AE148,0)</f>
        <v>0</v>
      </c>
      <c r="AF185" s="88">
        <f>IFERROR(AF145/AF148,0)</f>
        <v>0</v>
      </c>
      <c r="AG185" s="88">
        <f>IFERROR(AG145/AG148,0)</f>
        <v>0</v>
      </c>
      <c r="AH185" s="89">
        <f>IFERROR(AH145/AH148,0)</f>
        <v>0</v>
      </c>
      <c r="AI185" s="88">
        <f>IFERROR(AI145/AI148,0)</f>
        <v>0</v>
      </c>
      <c r="AJ185" s="88">
        <f>IFERROR(AJ145/AJ148,0)</f>
        <v>0</v>
      </c>
      <c r="AK185" s="88">
        <f>IFERROR(AK145/AK148,0)</f>
        <v>0</v>
      </c>
      <c r="AL185" s="88">
        <f>IFERROR(AL145/AL148,0)</f>
        <v>0</v>
      </c>
      <c r="AM185" s="89">
        <f>IFERROR(AM145/AM148,0)</f>
        <v>0</v>
      </c>
      <c r="AN185" s="88">
        <f>IFERROR(AN145/AN148,0)</f>
        <v>0</v>
      </c>
      <c r="AO185" s="88">
        <f>IFERROR(AO145/AO148,0)</f>
        <v>0</v>
      </c>
      <c r="AP185" s="88">
        <f>IFERROR(AP145/AP148,0)</f>
        <v>0</v>
      </c>
      <c r="AQ185" s="88">
        <f>IFERROR(AQ145/AQ148,0)</f>
        <v>0</v>
      </c>
      <c r="AR185" s="89">
        <f>IFERROR(AR145/AR148,0)</f>
        <v>0</v>
      </c>
      <c r="AS185" s="88">
        <f>IFERROR(AS145/AS148,0)</f>
        <v>0</v>
      </c>
      <c r="AT185" s="88">
        <f>IFERROR(AT145/AT148,0)</f>
        <v>0</v>
      </c>
      <c r="AU185" s="88">
        <f>IFERROR(AU145/AU148,0)</f>
        <v>0</v>
      </c>
      <c r="AV185" s="88">
        <f>IFERROR(AV145/AV148,0)</f>
        <v>0</v>
      </c>
      <c r="AW185" s="89">
        <f>IFERROR(AW145/AW148,0)</f>
        <v>0</v>
      </c>
      <c r="AX185" s="88">
        <f>IFERROR(AX145/AX148,0)</f>
        <v>0</v>
      </c>
      <c r="AY185" s="88">
        <f>IFERROR(AY145/AY148,0)</f>
        <v>0</v>
      </c>
      <c r="AZ185" s="88">
        <f>IFERROR(AZ145/AZ148,0)</f>
        <v>0</v>
      </c>
      <c r="BA185" s="88">
        <f>IFERROR(BA145/BA148,0)</f>
        <v>0</v>
      </c>
      <c r="BB185" s="89">
        <f>IFERROR(BB145/BB148,0)</f>
        <v>0</v>
      </c>
      <c r="BC185" s="88">
        <f>IFERROR(BC145/BC148,0)</f>
        <v>0</v>
      </c>
      <c r="BD185" s="88">
        <f>IFERROR(BD145/BD148,0)</f>
        <v>0</v>
      </c>
      <c r="BE185" s="88">
        <f>IFERROR(BE145/BE148,0)</f>
        <v>0</v>
      </c>
      <c r="BF185" s="88">
        <f>IFERROR(BF145/BF148,0)</f>
        <v>0</v>
      </c>
      <c r="BG185" s="89">
        <f>IFERROR(BG145/BG148,0)</f>
        <v>0</v>
      </c>
    </row>
    <row r="186">
      <c r="C186" s="11" t="inlineStr">
        <is>
          <t>Cobertura do Estágio 2</t>
        </is>
      </c>
      <c r="D186" s="12" t="inlineStr">
        <is>
          <t>Stage 2 coverage</t>
        </is>
      </c>
      <c r="E186" s="88">
        <f>IFERROR(E151/E146,0)</f>
        <v>0</v>
      </c>
      <c r="F186" s="88">
        <f>IFERROR(F151/F146,0)</f>
        <v>0</v>
      </c>
      <c r="G186" s="88">
        <f>IFERROR(G151/G146,0)</f>
        <v>0</v>
      </c>
      <c r="H186" s="88">
        <f>IFERROR(H151/H146,0)</f>
        <v>0</v>
      </c>
      <c r="I186" s="89">
        <f>IFERROR(I151/I146,0)</f>
        <v>0</v>
      </c>
      <c r="J186" s="88">
        <f>IFERROR(J151/J146,0)</f>
        <v>0</v>
      </c>
      <c r="K186" s="88">
        <f>IFERROR(K151/K146,0)</f>
        <v>0</v>
      </c>
      <c r="L186" s="88">
        <f>IFERROR(L151/L146,0)</f>
        <v>0</v>
      </c>
      <c r="M186" s="88">
        <f>IFERROR(M151/M146,0)</f>
        <v>0</v>
      </c>
      <c r="N186" s="89">
        <f>IFERROR(N151/N146,0)</f>
        <v>0</v>
      </c>
      <c r="O186" s="88">
        <f>IFERROR(O151/O146,0)</f>
        <v>0</v>
      </c>
      <c r="P186" s="88">
        <f>IFERROR(P151/P146,0)</f>
        <v>0</v>
      </c>
      <c r="Q186" s="88">
        <f>IFERROR(Q151/Q146,0)</f>
        <v>0</v>
      </c>
      <c r="R186" s="88">
        <f>IFERROR(R151/R146,0)</f>
        <v>0</v>
      </c>
      <c r="S186" s="89">
        <f>IFERROR(S151/S146,0)</f>
        <v>0</v>
      </c>
      <c r="T186" s="88">
        <f>IFERROR(T151/T146,0)</f>
        <v>0</v>
      </c>
      <c r="U186" s="88">
        <f>IFERROR(U151/U146,0)</f>
        <v>0</v>
      </c>
      <c r="V186" s="88">
        <f>IFERROR(V151/V146,0)</f>
        <v>0</v>
      </c>
      <c r="W186" s="88">
        <f>IFERROR(W151/W146,0)</f>
        <v>0</v>
      </c>
      <c r="X186" s="89">
        <f>IFERROR(X151/X146,0)</f>
        <v>0</v>
      </c>
      <c r="Y186" s="88">
        <f>IFERROR(Y151/Y146,0)</f>
        <v>0</v>
      </c>
      <c r="Z186" s="88">
        <f>IFERROR(Z151/Z146,0)</f>
        <v>0</v>
      </c>
      <c r="AA186" s="88">
        <f>IFERROR(AA151/AA146,0)</f>
        <v>0</v>
      </c>
      <c r="AB186" s="88">
        <f>IFERROR(AB151/AB146,0)</f>
        <v>0</v>
      </c>
      <c r="AC186" s="89">
        <f>IFERROR(AC151/AC146,0)</f>
        <v>0</v>
      </c>
      <c r="AD186" s="88">
        <f>IFERROR(AD151/AD146,0)</f>
        <v>0</v>
      </c>
      <c r="AE186" s="88">
        <f>IFERROR(AE151/AE146,0)</f>
        <v>0</v>
      </c>
      <c r="AF186" s="88">
        <f>IFERROR(AF151/AF146,0)</f>
        <v>0</v>
      </c>
      <c r="AG186" s="88">
        <f>IFERROR(AG151/AG146,0)</f>
        <v>0</v>
      </c>
      <c r="AH186" s="89">
        <f>IFERROR(AH151/AH146,0)</f>
        <v>0</v>
      </c>
      <c r="AI186" s="88">
        <f>IFERROR(AI151/AI146,0)</f>
        <v>0</v>
      </c>
      <c r="AJ186" s="88">
        <f>IFERROR(AJ151/AJ146,0)</f>
        <v>0</v>
      </c>
      <c r="AK186" s="88">
        <f>IFERROR(AK151/AK146,0)</f>
        <v>0</v>
      </c>
      <c r="AL186" s="88">
        <f>IFERROR(AL151/AL146,0)</f>
        <v>0</v>
      </c>
      <c r="AM186" s="89">
        <f>IFERROR(AM151/AM146,0)</f>
        <v>0</v>
      </c>
      <c r="AN186" s="88">
        <f>IFERROR(AN151/AN146,0)</f>
        <v>0</v>
      </c>
      <c r="AO186" s="88">
        <f>IFERROR(AO151/AO146,0)</f>
        <v>0</v>
      </c>
      <c r="AP186" s="88">
        <f>IFERROR(AP151/AP146,0)</f>
        <v>0</v>
      </c>
      <c r="AQ186" s="88">
        <f>IFERROR(AQ151/AQ146,0)</f>
        <v>0</v>
      </c>
      <c r="AR186" s="89">
        <f>IFERROR(AR151/AR146,0)</f>
        <v>0</v>
      </c>
      <c r="AS186" s="88">
        <f>IFERROR(AS151/AS146,0)</f>
        <v>0</v>
      </c>
      <c r="AT186" s="88">
        <f>IFERROR(AT151/AT146,0)</f>
        <v>0</v>
      </c>
      <c r="AU186" s="88">
        <f>IFERROR(AU151/AU146,0)</f>
        <v>0</v>
      </c>
      <c r="AV186" s="88">
        <f>IFERROR(AV151/AV146,0)</f>
        <v>0</v>
      </c>
      <c r="AW186" s="89">
        <f>IFERROR(AW151/AW146,0)</f>
        <v>0</v>
      </c>
      <c r="AX186" s="88">
        <f>IFERROR(AX151/AX146,0)</f>
        <v>0</v>
      </c>
      <c r="AY186" s="88">
        <f>IFERROR(AY151/AY146,0)</f>
        <v>0</v>
      </c>
      <c r="AZ186" s="88">
        <f>IFERROR(AZ151/AZ146,0)</f>
        <v>0</v>
      </c>
      <c r="BA186" s="88">
        <f>IFERROR(BA151/BA146,0)</f>
        <v>0</v>
      </c>
      <c r="BB186" s="89">
        <f>IFERROR(BB151/BB146,0)</f>
        <v>0</v>
      </c>
      <c r="BC186" s="88">
        <f>IFERROR(BC151/BC146,0)</f>
        <v>0</v>
      </c>
      <c r="BD186" s="88">
        <f>IFERROR(BD151/BD146,0)</f>
        <v>0</v>
      </c>
      <c r="BE186" s="88">
        <f>IFERROR(BE151/BE146,0)</f>
        <v>0</v>
      </c>
      <c r="BF186" s="88">
        <f>IFERROR(BF151/BF146,0)</f>
        <v>0</v>
      </c>
      <c r="BG186" s="89">
        <f>IFERROR(BG151/BG146,0)</f>
        <v>0</v>
      </c>
      <c r="BI186" s="14" t="inlineStr">
        <is>
          <t>Na projeção o saldo de provisão de cada estágio cresce junto com a carteira, mantendo a cobertura do último trimestre reportado.</t>
        </is>
      </c>
    </row>
    <row r="187">
      <c r="C187" s="11" t="inlineStr">
        <is>
          <t>Cobertura do Estágio 3</t>
        </is>
      </c>
      <c r="D187" s="12" t="inlineStr">
        <is>
          <t>Stage 3 coverage</t>
        </is>
      </c>
      <c r="E187" s="88">
        <f>IFERROR(E152/E147,0)</f>
        <v>0</v>
      </c>
      <c r="F187" s="88">
        <f>IFERROR(F152/F147,0)</f>
        <v>0</v>
      </c>
      <c r="G187" s="88">
        <f>IFERROR(G152/G147,0)</f>
        <v>0</v>
      </c>
      <c r="H187" s="88">
        <f>IFERROR(H152/H147,0)</f>
        <v>0</v>
      </c>
      <c r="I187" s="89">
        <f>IFERROR(I152/I147,0)</f>
        <v>0</v>
      </c>
      <c r="J187" s="88">
        <f>IFERROR(J152/J147,0)</f>
        <v>0</v>
      </c>
      <c r="K187" s="88">
        <f>IFERROR(K152/K147,0)</f>
        <v>0</v>
      </c>
      <c r="L187" s="88">
        <f>IFERROR(L152/L147,0)</f>
        <v>0</v>
      </c>
      <c r="M187" s="88">
        <f>IFERROR(M152/M147,0)</f>
        <v>0</v>
      </c>
      <c r="N187" s="89">
        <f>IFERROR(N152/N147,0)</f>
        <v>0</v>
      </c>
      <c r="O187" s="88">
        <f>IFERROR(O152/O147,0)</f>
        <v>0</v>
      </c>
      <c r="P187" s="88">
        <f>IFERROR(P152/P147,0)</f>
        <v>0</v>
      </c>
      <c r="Q187" s="88">
        <f>IFERROR(Q152/Q147,0)</f>
        <v>0</v>
      </c>
      <c r="R187" s="88">
        <f>IFERROR(R152/R147,0)</f>
        <v>0</v>
      </c>
      <c r="S187" s="89">
        <f>IFERROR(S152/S147,0)</f>
        <v>0</v>
      </c>
      <c r="T187" s="88">
        <f>IFERROR(T152/T147,0)</f>
        <v>0</v>
      </c>
      <c r="U187" s="88">
        <f>IFERROR(U152/U147,0)</f>
        <v>0</v>
      </c>
      <c r="V187" s="88">
        <f>IFERROR(V152/V147,0)</f>
        <v>0</v>
      </c>
      <c r="W187" s="88">
        <f>IFERROR(W152/W147,0)</f>
        <v>0</v>
      </c>
      <c r="X187" s="89">
        <f>IFERROR(X152/X147,0)</f>
        <v>0</v>
      </c>
      <c r="Y187" s="88">
        <f>IFERROR(Y152/Y147,0)</f>
        <v>0</v>
      </c>
      <c r="Z187" s="88">
        <f>IFERROR(Z152/Z147,0)</f>
        <v>0</v>
      </c>
      <c r="AA187" s="88">
        <f>IFERROR(AA152/AA147,0)</f>
        <v>0</v>
      </c>
      <c r="AB187" s="88">
        <f>IFERROR(AB152/AB147,0)</f>
        <v>0</v>
      </c>
      <c r="AC187" s="89">
        <f>IFERROR(AC152/AC147,0)</f>
        <v>0</v>
      </c>
      <c r="AD187" s="88">
        <f>IFERROR(AD152/AD147,0)</f>
        <v>0</v>
      </c>
      <c r="AE187" s="88">
        <f>IFERROR(AE152/AE147,0)</f>
        <v>0</v>
      </c>
      <c r="AF187" s="88">
        <f>IFERROR(AF152/AF147,0)</f>
        <v>0</v>
      </c>
      <c r="AG187" s="88">
        <f>IFERROR(AG152/AG147,0)</f>
        <v>0</v>
      </c>
      <c r="AH187" s="89">
        <f>IFERROR(AH152/AH147,0)</f>
        <v>0</v>
      </c>
      <c r="AI187" s="88">
        <f>IFERROR(AI152/AI147,0)</f>
        <v>0</v>
      </c>
      <c r="AJ187" s="88">
        <f>IFERROR(AJ152/AJ147,0)</f>
        <v>0</v>
      </c>
      <c r="AK187" s="88">
        <f>IFERROR(AK152/AK147,0)</f>
        <v>0</v>
      </c>
      <c r="AL187" s="88">
        <f>IFERROR(AL152/AL147,0)</f>
        <v>0</v>
      </c>
      <c r="AM187" s="89">
        <f>IFERROR(AM152/AM147,0)</f>
        <v>0</v>
      </c>
      <c r="AN187" s="88">
        <f>IFERROR(AN152/AN147,0)</f>
        <v>0</v>
      </c>
      <c r="AO187" s="88">
        <f>IFERROR(AO152/AO147,0)</f>
        <v>0</v>
      </c>
      <c r="AP187" s="88">
        <f>IFERROR(AP152/AP147,0)</f>
        <v>0</v>
      </c>
      <c r="AQ187" s="88">
        <f>IFERROR(AQ152/AQ147,0)</f>
        <v>0</v>
      </c>
      <c r="AR187" s="89">
        <f>IFERROR(AR152/AR147,0)</f>
        <v>0</v>
      </c>
      <c r="AS187" s="88">
        <f>IFERROR(AS152/AS147,0)</f>
        <v>0</v>
      </c>
      <c r="AT187" s="88">
        <f>IFERROR(AT152/AT147,0)</f>
        <v>0</v>
      </c>
      <c r="AU187" s="88">
        <f>IFERROR(AU152/AU147,0)</f>
        <v>0</v>
      </c>
      <c r="AV187" s="88">
        <f>IFERROR(AV152/AV147,0)</f>
        <v>0</v>
      </c>
      <c r="AW187" s="89">
        <f>IFERROR(AW152/AW147,0)</f>
        <v>0</v>
      </c>
      <c r="AX187" s="88">
        <f>IFERROR(AX152/AX147,0)</f>
        <v>0</v>
      </c>
      <c r="AY187" s="88">
        <f>IFERROR(AY152/AY147,0)</f>
        <v>0</v>
      </c>
      <c r="AZ187" s="88">
        <f>IFERROR(AZ152/AZ147,0)</f>
        <v>0</v>
      </c>
      <c r="BA187" s="88">
        <f>IFERROR(BA152/BA147,0)</f>
        <v>0</v>
      </c>
      <c r="BB187" s="89">
        <f>IFERROR(BB152/BB147,0)</f>
        <v>0</v>
      </c>
      <c r="BC187" s="88">
        <f>IFERROR(BC152/BC147,0)</f>
        <v>0</v>
      </c>
      <c r="BD187" s="88">
        <f>IFERROR(BD152/BD147,0)</f>
        <v>0</v>
      </c>
      <c r="BE187" s="88">
        <f>IFERROR(BE152/BE147,0)</f>
        <v>0</v>
      </c>
      <c r="BF187" s="88">
        <f>IFERROR(BF152/BF147,0)</f>
        <v>0</v>
      </c>
      <c r="BG187" s="89">
        <f>IFERROR(BG152/BG147,0)</f>
        <v>0</v>
      </c>
    </row>
    <row r="188">
      <c r="C188" s="11" t="inlineStr">
        <is>
          <t>Índice de provisionamento (provisão / carteira)</t>
        </is>
      </c>
      <c r="D188" s="12" t="inlineStr">
        <is>
          <t>Allowance over loans</t>
        </is>
      </c>
      <c r="E188" s="88">
        <f>IFERROR(E145/E144,0)</f>
        <v>0</v>
      </c>
      <c r="F188" s="88">
        <f>IFERROR(F145/F144,0)</f>
        <v>0</v>
      </c>
      <c r="G188" s="88">
        <f>IFERROR(G145/G144,0)</f>
        <v>0</v>
      </c>
      <c r="H188" s="88">
        <f>IFERROR(H145/H144,0)</f>
        <v>0</v>
      </c>
      <c r="I188" s="89">
        <f>IFERROR(I145/I144,0)</f>
        <v>0</v>
      </c>
      <c r="J188" s="88">
        <f>IFERROR(J145/J144,0)</f>
        <v>0</v>
      </c>
      <c r="K188" s="88">
        <f>IFERROR(K145/K144,0)</f>
        <v>0</v>
      </c>
      <c r="L188" s="88">
        <f>IFERROR(L145/L144,0)</f>
        <v>0</v>
      </c>
      <c r="M188" s="88">
        <f>IFERROR(M145/M144,0)</f>
        <v>0</v>
      </c>
      <c r="N188" s="89">
        <f>IFERROR(N145/N144,0)</f>
        <v>0</v>
      </c>
      <c r="O188" s="88">
        <f>IFERROR(O145/O144,0)</f>
        <v>0</v>
      </c>
      <c r="P188" s="88">
        <f>IFERROR(P145/P144,0)</f>
        <v>0</v>
      </c>
      <c r="Q188" s="88">
        <f>IFERROR(Q145/Q144,0)</f>
        <v>0</v>
      </c>
      <c r="R188" s="88">
        <f>IFERROR(R145/R144,0)</f>
        <v>0</v>
      </c>
      <c r="S188" s="89">
        <f>IFERROR(S145/S144,0)</f>
        <v>0</v>
      </c>
      <c r="T188" s="88">
        <f>IFERROR(T145/T144,0)</f>
        <v>0</v>
      </c>
      <c r="U188" s="88">
        <f>IFERROR(U145/U144,0)</f>
        <v>0</v>
      </c>
      <c r="V188" s="88">
        <f>IFERROR(V145/V144,0)</f>
        <v>0</v>
      </c>
      <c r="W188" s="88">
        <f>IFERROR(W145/W144,0)</f>
        <v>0</v>
      </c>
      <c r="X188" s="89">
        <f>IFERROR(X145/X144,0)</f>
        <v>0</v>
      </c>
      <c r="Y188" s="88">
        <f>IFERROR(Y145/Y144,0)</f>
        <v>0</v>
      </c>
      <c r="Z188" s="88">
        <f>IFERROR(Z145/Z144,0)</f>
        <v>0</v>
      </c>
      <c r="AA188" s="88">
        <f>IFERROR(AA145/AA144,0)</f>
        <v>0</v>
      </c>
      <c r="AB188" s="88">
        <f>IFERROR(AB145/AB144,0)</f>
        <v>0</v>
      </c>
      <c r="AC188" s="89">
        <f>IFERROR(AC145/AC144,0)</f>
        <v>0</v>
      </c>
      <c r="AD188" s="88">
        <f>IFERROR(AD145/AD144,0)</f>
        <v>0</v>
      </c>
      <c r="AE188" s="88">
        <f>IFERROR(AE145/AE144,0)</f>
        <v>0</v>
      </c>
      <c r="AF188" s="88">
        <f>IFERROR(AF145/AF144,0)</f>
        <v>0</v>
      </c>
      <c r="AG188" s="88">
        <f>IFERROR(AG145/AG144,0)</f>
        <v>0</v>
      </c>
      <c r="AH188" s="89">
        <f>IFERROR(AH145/AH144,0)</f>
        <v>0</v>
      </c>
      <c r="AI188" s="88">
        <f>IFERROR(AI145/AI144,0)</f>
        <v>0</v>
      </c>
      <c r="AJ188" s="88">
        <f>IFERROR(AJ145/AJ144,0)</f>
        <v>0</v>
      </c>
      <c r="AK188" s="88">
        <f>IFERROR(AK145/AK144,0)</f>
        <v>0</v>
      </c>
      <c r="AL188" s="88">
        <f>IFERROR(AL145/AL144,0)</f>
        <v>0</v>
      </c>
      <c r="AM188" s="89">
        <f>IFERROR(AM145/AM144,0)</f>
        <v>0</v>
      </c>
      <c r="AN188" s="88">
        <f>IFERROR(AN145/AN144,0)</f>
        <v>0</v>
      </c>
      <c r="AO188" s="88">
        <f>IFERROR(AO145/AO144,0)</f>
        <v>0</v>
      </c>
      <c r="AP188" s="88">
        <f>IFERROR(AP145/AP144,0)</f>
        <v>0</v>
      </c>
      <c r="AQ188" s="88">
        <f>IFERROR(AQ145/AQ144,0)</f>
        <v>0</v>
      </c>
      <c r="AR188" s="89">
        <f>IFERROR(AR145/AR144,0)</f>
        <v>0</v>
      </c>
      <c r="AS188" s="88">
        <f>IFERROR(AS145/AS144,0)</f>
        <v>0</v>
      </c>
      <c r="AT188" s="88">
        <f>IFERROR(AT145/AT144,0)</f>
        <v>0</v>
      </c>
      <c r="AU188" s="88">
        <f>IFERROR(AU145/AU144,0)</f>
        <v>0</v>
      </c>
      <c r="AV188" s="88">
        <f>IFERROR(AV145/AV144,0)</f>
        <v>0</v>
      </c>
      <c r="AW188" s="89">
        <f>IFERROR(AW145/AW144,0)</f>
        <v>0</v>
      </c>
      <c r="AX188" s="88">
        <f>IFERROR(AX145/AX144,0)</f>
        <v>0</v>
      </c>
      <c r="AY188" s="88">
        <f>IFERROR(AY145/AY144,0)</f>
        <v>0</v>
      </c>
      <c r="AZ188" s="88">
        <f>IFERROR(AZ145/AZ144,0)</f>
        <v>0</v>
      </c>
      <c r="BA188" s="88">
        <f>IFERROR(BA145/BA144,0)</f>
        <v>0</v>
      </c>
      <c r="BB188" s="89">
        <f>IFERROR(BB145/BB144,0)</f>
        <v>0</v>
      </c>
      <c r="BC188" s="88">
        <f>IFERROR(BC145/BC144,0)</f>
        <v>0</v>
      </c>
      <c r="BD188" s="88">
        <f>IFERROR(BD145/BD144,0)</f>
        <v>0</v>
      </c>
      <c r="BE188" s="88">
        <f>IFERROR(BE145/BE144,0)</f>
        <v>0</v>
      </c>
      <c r="BF188" s="88">
        <f>IFERROR(BF145/BF144,0)</f>
        <v>0</v>
      </c>
      <c r="BG188" s="89">
        <f>IFERROR(BG145/BG144,0)</f>
        <v>0</v>
      </c>
    </row>
    <row r="189">
      <c r="C189" s="11" t="inlineStr">
        <is>
          <t>Custo do crédito (% da carteira média, a.a.)</t>
        </is>
      </c>
      <c r="D189" s="12" t="inlineStr">
        <is>
          <t>Cost of risk</t>
        </is>
      </c>
      <c r="E189" s="88">
        <f>IFERROR(-E102*4/E134,0)</f>
        <v>0.01762336834014</v>
      </c>
      <c r="F189" s="88">
        <f>IFERROR(-F102*4/F134,0)</f>
        <v>0.00745628448939438</v>
      </c>
      <c r="G189" s="88">
        <f>IFERROR(-G102*4/G134,0)</f>
        <v>0.00124508197858102</v>
      </c>
      <c r="H189" s="88">
        <f>IFERROR(-H102*4/H134,0)</f>
        <v>0.00606717277608792</v>
      </c>
      <c r="I189" s="89">
        <f>IFERROR(-I102*1/I134,0)</f>
        <v>0.00734057774928152</v>
      </c>
      <c r="J189" s="88">
        <f>IFERROR(-J102*4/J134,0)</f>
        <v>-0.0489019242188525</v>
      </c>
      <c r="K189" s="88">
        <f>IFERROR(-K102*4/K134,0)</f>
        <v>0.046528089207729</v>
      </c>
      <c r="L189" s="88">
        <f>IFERROR(-L102*4/L134,0)</f>
        <v>0.0382818711666854</v>
      </c>
      <c r="M189" s="88">
        <f>IFERROR(-M102*4/M134,0)</f>
        <v>0.0288639796728289</v>
      </c>
      <c r="N189" s="89">
        <f>IFERROR(-N102*1/N134,0)</f>
        <v>0.0227175915018922</v>
      </c>
      <c r="O189" s="88">
        <f>IFERROR(-O102*4/O134,0)</f>
        <v>0.0324725084311304</v>
      </c>
      <c r="P189" s="88">
        <f>IFERROR(-P102*4/P134,0)</f>
        <v>0.0204745996610051</v>
      </c>
      <c r="Q189" s="88">
        <f>IFERROR(-Q102*4/Q134,0)</f>
        <v>0.0217934316819818</v>
      </c>
      <c r="R189" s="88">
        <f>IFERROR(-R102*4/R134,0)</f>
        <v>0.0696029245372614</v>
      </c>
      <c r="S189" s="89">
        <f>IFERROR(-S102*1/S134,0)</f>
        <v>0.0365618094519612</v>
      </c>
      <c r="T189" s="88">
        <f>IFERROR(-T102*4/T134,0)</f>
        <v>0.0247604543202354</v>
      </c>
      <c r="U189" s="88">
        <f>IFERROR(-U102*4/U134,0)</f>
        <v>0.0182859800724694</v>
      </c>
      <c r="V189" s="88">
        <f>IFERROR(-V102*4/V134,0)</f>
        <v>0.0211441846143467</v>
      </c>
      <c r="W189" s="88">
        <f>IFERROR(-W102*4/W134,0)</f>
        <v>0.016403599126936</v>
      </c>
      <c r="X189" s="89">
        <f>IFERROR(-X102*1/X134,0)</f>
        <v>0.0201128337990051</v>
      </c>
      <c r="Y189" s="88">
        <f>IFERROR(-Y102*4/Y134,0)</f>
        <v>0.0152722076701625</v>
      </c>
      <c r="Z189" s="88">
        <f>IFERROR(-Z102*4/Z134,0)</f>
        <v>0.021063629926918</v>
      </c>
      <c r="AA189" s="88">
        <f>IFERROR(-AA102*4/AA134,0)</f>
        <v>-0.00571423080808384</v>
      </c>
      <c r="AB189" s="88">
        <f>IFERROR(-AB102*4/AB134,0)</f>
        <v>0.0211389688231077</v>
      </c>
      <c r="AC189" s="89">
        <f>IFERROR(-AC102*1/AC134,0)</f>
        <v>0.0128434909115196</v>
      </c>
      <c r="AD189" s="88">
        <f>IFERROR(-AD102*4/AD134,0)</f>
        <v>0.0342965199346289</v>
      </c>
      <c r="AE189" s="88">
        <f>IFERROR(-AE102*4/AE134,0)</f>
        <v>0.0459447678076644</v>
      </c>
      <c r="AF189" s="88">
        <f>IFERROR(-AF102*4/AF134,0)</f>
        <v>0.0456765941894764</v>
      </c>
      <c r="AG189" s="88">
        <f>IFERROR(-AG102*4/AG134,0)</f>
        <v>0.00149894373192757</v>
      </c>
      <c r="AH189" s="89">
        <f>IFERROR(-AH102*1/AH134,0)</f>
        <v>0.0311903740332516</v>
      </c>
      <c r="AI189" s="88">
        <f>IFERROR(-AI102*4/AI134,0)</f>
        <v>0.0375424160162348</v>
      </c>
      <c r="AJ189" s="88">
        <f>IFERROR(-AJ102*4/AJ134,0)</f>
        <v>0.0239371814707028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0.0151785689849366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>
      <c r="C190" s="11" t="inlineStr">
        <is>
          <t>Write-off (% da carteira média, a.a.)</t>
        </is>
      </c>
      <c r="D190" s="12" t="inlineStr">
        <is>
          <t>Write-offs over loans</t>
        </is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</v>
      </c>
      <c r="Z190" s="88">
        <f>IFERROR(Z150*4/Z134,0)</f>
        <v>0</v>
      </c>
      <c r="AA190" s="88">
        <f>IFERROR(AA150*4/AA134,0)</f>
        <v>0</v>
      </c>
      <c r="AB190" s="88">
        <f>IFERROR(AB150*4/AB134,0)</f>
        <v>0</v>
      </c>
      <c r="AC190" s="89">
        <f>IFERROR(AC150*1/AC134,0)</f>
        <v>0</v>
      </c>
      <c r="AD190" s="88">
        <f>IFERROR(AD150*4/AD134,0)</f>
        <v>0</v>
      </c>
      <c r="AE190" s="88">
        <f>IFERROR(AE150*4/AE134,0)</f>
        <v>0</v>
      </c>
      <c r="AF190" s="88">
        <f>IFERROR(AF150*4/AF134,0)</f>
        <v>0</v>
      </c>
      <c r="AG190" s="88">
        <f>IFERROR(AG150*4/AG134,0)</f>
        <v>0</v>
      </c>
      <c r="AH190" s="89">
        <f>IFERROR(AH150*1/AH134,0)</f>
        <v>0</v>
      </c>
      <c r="AI190" s="88">
        <f>IFERROR(AI150*4/AI134,0)</f>
        <v>0</v>
      </c>
      <c r="AJ190" s="88">
        <f>IFERROR(AJ150*4/AJ134,0)</f>
        <v>0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>
      <c r="B191" s="29" t="n"/>
      <c r="C191" s="29" t="inlineStr">
        <is>
          <t>Capital, liquidez e estrutura</t>
        </is>
      </c>
      <c r="D191" s="29" t="inlineStr">
        <is>
          <t>Capital, liquidity and structure</t>
        </is>
      </c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</row>
    <row r="192">
      <c r="C192" s="11" t="inlineStr">
        <is>
          <t>Índice de Basileia</t>
        </is>
      </c>
      <c r="D192" s="12" t="inlineStr">
        <is>
          <t>Basel ratio</t>
        </is>
      </c>
      <c r="E192" s="88">
        <f>E158</f>
        <v>0.193835034332617</v>
      </c>
      <c r="F192" s="88">
        <f>F158</f>
        <v>0.196335937543613</v>
      </c>
      <c r="G192" s="88">
        <f>G158</f>
        <v>0.175069398366372</v>
      </c>
      <c r="H192" s="88">
        <f>H158</f>
        <v>0.166576688116045</v>
      </c>
      <c r="I192" s="89">
        <f>I158</f>
        <v>0.166576688116045</v>
      </c>
      <c r="J192" s="88">
        <f>J158</f>
        <v>0.176628333365466</v>
      </c>
      <c r="K192" s="88">
        <f>K158</f>
        <v>0.172504285181026</v>
      </c>
      <c r="L192" s="88">
        <f>L158</f>
        <v>0.160561673758027</v>
      </c>
      <c r="M192" s="88">
        <f>M158</f>
        <v>0.156743459080298</v>
      </c>
      <c r="N192" s="89">
        <f>N158</f>
        <v>0.156743459080298</v>
      </c>
      <c r="O192" s="88">
        <f>O158</f>
        <v>0.149812504548979</v>
      </c>
      <c r="P192" s="88">
        <f>P158</f>
        <v>0.151815609784715</v>
      </c>
      <c r="Q192" s="88">
        <f>Q158</f>
        <v>0.151992799954822</v>
      </c>
      <c r="R192" s="88">
        <f>R158</f>
        <v>0.150810083434109</v>
      </c>
      <c r="S192" s="89">
        <f>S158</f>
        <v>0.150810083434109</v>
      </c>
      <c r="T192" s="88">
        <f>T158</f>
        <v>0.155162789374255</v>
      </c>
      <c r="U192" s="88">
        <f>U158</f>
        <v>0.15427926517143</v>
      </c>
      <c r="V192" s="88">
        <f>V158</f>
        <v>0.173694834072885</v>
      </c>
      <c r="W192" s="88">
        <f>W158</f>
        <v>0.175197129547176</v>
      </c>
      <c r="X192" s="89">
        <f>X158</f>
        <v>0.175197129547176</v>
      </c>
      <c r="Y192" s="88">
        <f>Y158</f>
        <v>0.163977538679876</v>
      </c>
      <c r="Z192" s="88">
        <f>Z158</f>
        <v>0.161558655977341</v>
      </c>
      <c r="AA192" s="88">
        <f>AA158</f>
        <v>0.164218513067697</v>
      </c>
      <c r="AB192" s="88">
        <f>AB158</f>
        <v>0.157063385667568</v>
      </c>
      <c r="AC192" s="89">
        <f>AC158</f>
        <v>0.157063385667568</v>
      </c>
      <c r="AD192" s="88">
        <f>AD158</f>
        <v>0.156703138498721</v>
      </c>
      <c r="AE192" s="88">
        <f>AE158</f>
        <v>0.161503551081177</v>
      </c>
      <c r="AF192" s="88">
        <f>AF158</f>
        <v>0.155452486441461</v>
      </c>
      <c r="AG192" s="88">
        <f>AG158</f>
        <v>0.155032580721632</v>
      </c>
      <c r="AH192" s="89">
        <f>AH158</f>
        <v>0.155032580721632</v>
      </c>
      <c r="AI192" s="88">
        <f>AI158</f>
        <v>0.159129448863281</v>
      </c>
      <c r="AJ192" s="88">
        <f>AJ158</f>
        <v>0.16042155083282</v>
      </c>
      <c r="AK192" s="88">
        <f>AK158</f>
        <v>0</v>
      </c>
      <c r="AL192" s="88">
        <f>AL158</f>
        <v>0</v>
      </c>
      <c r="AM192" s="89">
        <f>AM158</f>
        <v>0</v>
      </c>
      <c r="AN192" s="88">
        <f>AN158</f>
        <v>0</v>
      </c>
      <c r="AO192" s="88">
        <f>AO158</f>
        <v>0</v>
      </c>
      <c r="AP192" s="88">
        <f>AP158</f>
        <v>0</v>
      </c>
      <c r="AQ192" s="88">
        <f>AQ158</f>
        <v>0</v>
      </c>
      <c r="AR192" s="89">
        <f>AR158</f>
        <v>0</v>
      </c>
      <c r="AS192" s="88">
        <f>AS158</f>
        <v>0</v>
      </c>
      <c r="AT192" s="88">
        <f>AT158</f>
        <v>0</v>
      </c>
      <c r="AU192" s="88">
        <f>AU158</f>
        <v>0</v>
      </c>
      <c r="AV192" s="88">
        <f>AV158</f>
        <v>0</v>
      </c>
      <c r="AW192" s="89">
        <f>AW158</f>
        <v>0</v>
      </c>
      <c r="AX192" s="88">
        <f>AX158</f>
        <v>0</v>
      </c>
      <c r="AY192" s="88">
        <f>AY158</f>
        <v>0</v>
      </c>
      <c r="AZ192" s="88">
        <f>AZ158</f>
        <v>0</v>
      </c>
      <c r="BA192" s="88">
        <f>BA158</f>
        <v>0</v>
      </c>
      <c r="BB192" s="89">
        <f>BB158</f>
        <v>0</v>
      </c>
      <c r="BC192" s="88">
        <f>BC158</f>
        <v>0</v>
      </c>
      <c r="BD192" s="88">
        <f>BD158</f>
        <v>0</v>
      </c>
      <c r="BE192" s="88">
        <f>BE158</f>
        <v>0</v>
      </c>
      <c r="BF192" s="88">
        <f>BF158</f>
        <v>0</v>
      </c>
      <c r="BG192" s="89">
        <f>BG158</f>
        <v>0</v>
      </c>
    </row>
    <row r="193">
      <c r="C193" s="11" t="inlineStr">
        <is>
          <t>Índice de Nível I</t>
        </is>
      </c>
      <c r="D193" s="12" t="inlineStr">
        <is>
          <t>Tier 1 ratio</t>
        </is>
      </c>
      <c r="E193" s="88">
        <f>E159</f>
        <v>0.153008420051185</v>
      </c>
      <c r="F193" s="88">
        <f>F159</f>
        <v>0.1599181008981</v>
      </c>
      <c r="G193" s="88">
        <f>G159</f>
        <v>0.14398091364245</v>
      </c>
      <c r="H193" s="88">
        <f>H159</f>
        <v>0.140791805622095</v>
      </c>
      <c r="I193" s="89">
        <f>I159</f>
        <v>0.140791805622095</v>
      </c>
      <c r="J193" s="88">
        <f>J159</f>
        <v>0.152156126365722</v>
      </c>
      <c r="K193" s="88">
        <f>K159</f>
        <v>0.1535775161974</v>
      </c>
      <c r="L193" s="88">
        <f>L159</f>
        <v>0.144128727829176</v>
      </c>
      <c r="M193" s="88">
        <f>M159</f>
        <v>0.135994457029629</v>
      </c>
      <c r="N193" s="89">
        <f>N159</f>
        <v>0.135994457029629</v>
      </c>
      <c r="O193" s="88">
        <f>O159</f>
        <v>0.132228537429409</v>
      </c>
      <c r="P193" s="88">
        <f>P159</f>
        <v>0.133644996814273</v>
      </c>
      <c r="Q193" s="88">
        <f>Q159</f>
        <v>0.129904032933287</v>
      </c>
      <c r="R193" s="88">
        <f>R159</f>
        <v>0.127790760799641</v>
      </c>
      <c r="S193" s="89">
        <f>S159</f>
        <v>0.127790760799641</v>
      </c>
      <c r="T193" s="88">
        <f>T159</f>
        <v>0.13178663794977</v>
      </c>
      <c r="U193" s="88">
        <f>U159</f>
        <v>0.12363567579126</v>
      </c>
      <c r="V193" s="88">
        <f>V159</f>
        <v>0.130776175788446</v>
      </c>
      <c r="W193" s="88">
        <f>W159</f>
        <v>0.126629199383641</v>
      </c>
      <c r="X193" s="89">
        <f>X159</f>
        <v>0.126629199383641</v>
      </c>
      <c r="Y193" s="88">
        <f>Y159</f>
        <v>0.125247859153893</v>
      </c>
      <c r="Z193" s="88">
        <f>Z159</f>
        <v>0.123493562179315</v>
      </c>
      <c r="AA193" s="88">
        <f>AA159</f>
        <v>0.128475808575688</v>
      </c>
      <c r="AB193" s="88">
        <f>AB159</f>
        <v>0.123501837917993</v>
      </c>
      <c r="AC193" s="89">
        <f>AC159</f>
        <v>0.123501837917993</v>
      </c>
      <c r="AD193" s="88">
        <f>AD159</f>
        <v>0.124059206606061</v>
      </c>
      <c r="AE193" s="88">
        <f>AE159</f>
        <v>0.130253341585446</v>
      </c>
      <c r="AF193" s="88">
        <f>AF159</f>
        <v>0.124048327834365</v>
      </c>
      <c r="AG193" s="88">
        <f>AG159</f>
        <v>0.124388886594082</v>
      </c>
      <c r="AH193" s="89">
        <f>AH159</f>
        <v>0.124388886594082</v>
      </c>
      <c r="AI193" s="88">
        <f>AI159</f>
        <v>0.124400315410067</v>
      </c>
      <c r="AJ193" s="88">
        <f>AJ159</f>
        <v>0.126045985057009</v>
      </c>
      <c r="AK193" s="88">
        <f>AK159</f>
        <v>0</v>
      </c>
      <c r="AL193" s="88">
        <f>AL159</f>
        <v>0</v>
      </c>
      <c r="AM193" s="89">
        <f>AM159</f>
        <v>0</v>
      </c>
      <c r="AN193" s="88">
        <f>AN159</f>
        <v>0</v>
      </c>
      <c r="AO193" s="88">
        <f>AO159</f>
        <v>0</v>
      </c>
      <c r="AP193" s="88">
        <f>AP159</f>
        <v>0</v>
      </c>
      <c r="AQ193" s="88">
        <f>AQ159</f>
        <v>0</v>
      </c>
      <c r="AR193" s="89">
        <f>AR159</f>
        <v>0</v>
      </c>
      <c r="AS193" s="88">
        <f>AS159</f>
        <v>0</v>
      </c>
      <c r="AT193" s="88">
        <f>AT159</f>
        <v>0</v>
      </c>
      <c r="AU193" s="88">
        <f>AU159</f>
        <v>0</v>
      </c>
      <c r="AV193" s="88">
        <f>AV159</f>
        <v>0</v>
      </c>
      <c r="AW193" s="89">
        <f>AW159</f>
        <v>0</v>
      </c>
      <c r="AX193" s="88">
        <f>AX159</f>
        <v>0</v>
      </c>
      <c r="AY193" s="88">
        <f>AY159</f>
        <v>0</v>
      </c>
      <c r="AZ193" s="88">
        <f>AZ159</f>
        <v>0</v>
      </c>
      <c r="BA193" s="88">
        <f>BA159</f>
        <v>0</v>
      </c>
      <c r="BB193" s="89">
        <f>BB159</f>
        <v>0</v>
      </c>
      <c r="BC193" s="88">
        <f>BC159</f>
        <v>0</v>
      </c>
      <c r="BD193" s="88">
        <f>BD159</f>
        <v>0</v>
      </c>
      <c r="BE193" s="88">
        <f>BE159</f>
        <v>0</v>
      </c>
      <c r="BF193" s="88">
        <f>BF159</f>
        <v>0</v>
      </c>
      <c r="BG193" s="89">
        <f>BG159</f>
        <v>0</v>
      </c>
    </row>
    <row r="194">
      <c r="C194" s="11" t="inlineStr">
        <is>
          <t>Alavancagem — Ativo / PL</t>
        </is>
      </c>
      <c r="D194" s="12" t="inlineStr">
        <is>
          <t>Leverage (assets over equity)</t>
        </is>
      </c>
      <c r="E194" s="90">
        <f>IFERROR(E42/E78,0)</f>
        <v>8.96721065865674</v>
      </c>
      <c r="F194" s="90">
        <f>IFERROR(F42/F78,0)</f>
        <v>8.88043396112209</v>
      </c>
      <c r="G194" s="90">
        <f>IFERROR(G42/G78,0)</f>
        <v>9.56587733696399</v>
      </c>
      <c r="H194" s="90">
        <f>IFERROR(H42/H78,0)</f>
        <v>9.02918909252978</v>
      </c>
      <c r="I194" s="91">
        <f>IFERROR(I42/I78,0)</f>
        <v>9.02918909252978</v>
      </c>
      <c r="J194" s="90">
        <f>IFERROR(J42/J78,0)</f>
        <v>9.03385354493412</v>
      </c>
      <c r="K194" s="90">
        <f>IFERROR(K42/K78,0)</f>
        <v>8.98333338707731</v>
      </c>
      <c r="L194" s="90">
        <f>IFERROR(L42/L78,0)</f>
        <v>9.45206260144007</v>
      </c>
      <c r="M194" s="90">
        <f>IFERROR(M42/M78,0)</f>
        <v>8.54360147223343</v>
      </c>
      <c r="N194" s="91">
        <f>IFERROR(N42/N78,0)</f>
        <v>8.54360147223343</v>
      </c>
      <c r="O194" s="90">
        <f>IFERROR(O42/O78,0)</f>
        <v>8.97318425031517</v>
      </c>
      <c r="P194" s="90">
        <f>IFERROR(P42/P78,0)</f>
        <v>9.96706498261215</v>
      </c>
      <c r="Q194" s="90">
        <f>IFERROR(Q42/Q78,0)</f>
        <v>9.35338807204761</v>
      </c>
      <c r="R194" s="90">
        <f>IFERROR(R42/R78,0)</f>
        <v>9.66702591607909</v>
      </c>
      <c r="S194" s="91">
        <f>IFERROR(S42/S78,0)</f>
        <v>9.66702591607909</v>
      </c>
      <c r="T194" s="90">
        <f>IFERROR(T42/T78,0)</f>
        <v>9.67925502234267</v>
      </c>
      <c r="U194" s="90">
        <f>IFERROR(U42/U78,0)</f>
        <v>9.22542884101533</v>
      </c>
      <c r="V194" s="90">
        <f>IFERROR(V42/V78,0)</f>
        <v>9.6030125704051</v>
      </c>
      <c r="W194" s="90">
        <f>IFERROR(W42/W78,0)</f>
        <v>9.21319766925359</v>
      </c>
      <c r="X194" s="91">
        <f>IFERROR(X42/X78,0)</f>
        <v>9.21319766925359</v>
      </c>
      <c r="Y194" s="90">
        <f>IFERROR(Y42/Y78,0)</f>
        <v>10.139571270126</v>
      </c>
      <c r="Z194" s="90">
        <f>IFERROR(Z42/Z78,0)</f>
        <v>10.3860872954452</v>
      </c>
      <c r="AA194" s="90">
        <f>IFERROR(AA42/AA78,0)</f>
        <v>9.7751129521955</v>
      </c>
      <c r="AB194" s="90">
        <f>IFERROR(AB42/AB78,0)</f>
        <v>9.42169637767471</v>
      </c>
      <c r="AC194" s="91">
        <f>IFERROR(AC42/AC78,0)</f>
        <v>9.42169637767471</v>
      </c>
      <c r="AD194" s="90">
        <f>IFERROR(AD42/AD78,0)</f>
        <v>9.29467682513534</v>
      </c>
      <c r="AE194" s="90">
        <f>IFERROR(AE42/AE78,0)</f>
        <v>9.4061722094872</v>
      </c>
      <c r="AF194" s="90">
        <f>IFERROR(AF42/AF78,0)</f>
        <v>9.42994736474378</v>
      </c>
      <c r="AG194" s="90">
        <f>IFERROR(AG42/AG78,0)</f>
        <v>10.4793486441505</v>
      </c>
      <c r="AH194" s="91">
        <f>IFERROR(AH42/AH78,0)</f>
        <v>10.4793486441505</v>
      </c>
      <c r="AI194" s="90">
        <f>IFERROR(AI42/AI78,0)</f>
        <v>10.5401274897321</v>
      </c>
      <c r="AJ194" s="90">
        <f>IFERROR(AJ42/AJ78,0)</f>
        <v>10.7132786757116</v>
      </c>
      <c r="AK194" s="90">
        <f>IFERROR(AK42/AK78,0)</f>
        <v>10.3184464522434</v>
      </c>
      <c r="AL194" s="90">
        <f>IFERROR(AL42/AL78,0)</f>
        <v>9.99510196356941</v>
      </c>
      <c r="AM194" s="91">
        <f>IFERROR(AM42/AM78,0)</f>
        <v>9.99510196356941</v>
      </c>
      <c r="AN194" s="90">
        <f>IFERROR(AN42/AN78,0)</f>
        <v>9.88287568268767</v>
      </c>
      <c r="AO194" s="90">
        <f>IFERROR(AO42/AO78,0)</f>
        <v>9.71324124197838</v>
      </c>
      <c r="AP194" s="90">
        <f>IFERROR(AP42/AP78,0)</f>
        <v>9.38755997953738</v>
      </c>
      <c r="AQ194" s="90">
        <f>IFERROR(AQ42/AQ78,0)</f>
        <v>9.11916660284407</v>
      </c>
      <c r="AR194" s="91">
        <f>IFERROR(AR42/AR78,0)</f>
        <v>9.11916660284407</v>
      </c>
      <c r="AS194" s="90">
        <f>IFERROR(AS42/AS78,0)</f>
        <v>9.02565662228943</v>
      </c>
      <c r="AT194" s="90">
        <f>IFERROR(AT42/AT78,0)</f>
        <v>8.88396243193867</v>
      </c>
      <c r="AU194" s="90">
        <f>IFERROR(AU42/AU78,0)</f>
        <v>8.61073590872631</v>
      </c>
      <c r="AV194" s="90">
        <f>IFERROR(AV42/AV78,0)</f>
        <v>8.38438847178887</v>
      </c>
      <c r="AW194" s="91">
        <f>IFERROR(AW42/AW78,0)</f>
        <v>8.38438847178887</v>
      </c>
      <c r="AX194" s="90">
        <f>IFERROR(AX42/AX78,0)</f>
        <v>8.30527518485222</v>
      </c>
      <c r="AY194" s="90">
        <f>IFERROR(AY42/AY78,0)</f>
        <v>8.18514642232764</v>
      </c>
      <c r="AZ194" s="90">
        <f>IFERROR(AZ42/AZ78,0)</f>
        <v>7.95265108153341</v>
      </c>
      <c r="BA194" s="90">
        <f>IFERROR(BA42/BA78,0)</f>
        <v>7.7591905984795</v>
      </c>
      <c r="BB194" s="91">
        <f>IFERROR(BB42/BB78,0)</f>
        <v>7.7591905984795</v>
      </c>
      <c r="BC194" s="90">
        <f>IFERROR(BC42/BC78,0)</f>
        <v>7.69138818386679</v>
      </c>
      <c r="BD194" s="90">
        <f>IFERROR(BD42/BD78,0)</f>
        <v>7.58825154514544</v>
      </c>
      <c r="BE194" s="90">
        <f>IFERROR(BE42/BE78,0)</f>
        <v>7.38801409460421</v>
      </c>
      <c r="BF194" s="90">
        <f>IFERROR(BF42/BF78,0)</f>
        <v>7.22076083323166</v>
      </c>
      <c r="BG194" s="91">
        <f>IFERROR(BG42/BG78,0)</f>
        <v>7.22076083323166</v>
      </c>
    </row>
    <row r="195">
      <c r="C195" s="11" t="inlineStr">
        <is>
          <t>Carteira de crédito / Depósitos (LDR)</t>
        </is>
      </c>
      <c r="D195" s="12" t="inlineStr">
        <is>
          <t>Loan to deposit ratio</t>
        </is>
      </c>
      <c r="E195" s="88">
        <f>IFERROR(E30/E44,0)</f>
        <v>1.21798606258734</v>
      </c>
      <c r="F195" s="88">
        <f>IFERROR(F30/F44,0)</f>
        <v>1.00317589720226</v>
      </c>
      <c r="G195" s="88">
        <f>IFERROR(G30/G44,0)</f>
        <v>0.865708991660797</v>
      </c>
      <c r="H195" s="88">
        <f>IFERROR(H30/H44,0)</f>
        <v>0.856389157275775</v>
      </c>
      <c r="I195" s="89">
        <f>IFERROR(I30/I44,0)</f>
        <v>0.856389157275775</v>
      </c>
      <c r="J195" s="88">
        <f>IFERROR(J30/J44,0)</f>
        <v>0.866292557888916</v>
      </c>
      <c r="K195" s="88">
        <f>IFERROR(K30/K44,0)</f>
        <v>0.895351182492458</v>
      </c>
      <c r="L195" s="88">
        <f>IFERROR(L30/L44,0)</f>
        <v>0.822707311977422</v>
      </c>
      <c r="M195" s="88">
        <f>IFERROR(M30/M44,0)</f>
        <v>0.904368089803522</v>
      </c>
      <c r="N195" s="89">
        <f>IFERROR(N30/N44,0)</f>
        <v>0.904368089803522</v>
      </c>
      <c r="O195" s="88">
        <f>IFERROR(O30/O44,0)</f>
        <v>0.954733471630898</v>
      </c>
      <c r="P195" s="88">
        <f>IFERROR(P30/P44,0)</f>
        <v>0.951308452420338</v>
      </c>
      <c r="Q195" s="88">
        <f>IFERROR(Q30/Q44,0)</f>
        <v>0.942137896943034</v>
      </c>
      <c r="R195" s="88">
        <f>IFERROR(R30/R44,0)</f>
        <v>0.990266468017087</v>
      </c>
      <c r="S195" s="89">
        <f>IFERROR(S30/S44,0)</f>
        <v>0.990266468017087</v>
      </c>
      <c r="T195" s="88">
        <f>IFERROR(T30/T44,0)</f>
        <v>0.927666080327143</v>
      </c>
      <c r="U195" s="88">
        <f>IFERROR(U30/U44,0)</f>
        <v>0.870195998517298</v>
      </c>
      <c r="V195" s="88">
        <f>IFERROR(V30/V44,0)</f>
        <v>0.87109346396419</v>
      </c>
      <c r="W195" s="88">
        <f>IFERROR(W30/W44,0)</f>
        <v>0.91917832062483</v>
      </c>
      <c r="X195" s="89">
        <f>IFERROR(X30/X44,0)</f>
        <v>0.91917832062483</v>
      </c>
      <c r="Y195" s="88">
        <f>IFERROR(Y30/Y44,0)</f>
        <v>0.883620590088341</v>
      </c>
      <c r="Z195" s="88">
        <f>IFERROR(Z30/Z44,0)</f>
        <v>0.934429792541643</v>
      </c>
      <c r="AA195" s="88">
        <f>IFERROR(AA30/AA44,0)</f>
        <v>0.968700070920701</v>
      </c>
      <c r="AB195" s="88">
        <f>IFERROR(AB30/AB44,0)</f>
        <v>1.03795321783846</v>
      </c>
      <c r="AC195" s="89">
        <f>IFERROR(AC30/AC44,0)</f>
        <v>1.03795321783846</v>
      </c>
      <c r="AD195" s="88">
        <f>IFERROR(AD30/AD44,0)</f>
        <v>1.11891230569526</v>
      </c>
      <c r="AE195" s="88">
        <f>IFERROR(AE30/AE44,0)</f>
        <v>1.11474066585404</v>
      </c>
      <c r="AF195" s="88">
        <f>IFERROR(AF30/AF44,0)</f>
        <v>1.01954183208826</v>
      </c>
      <c r="AG195" s="88">
        <f>IFERROR(AG30/AG44,0)</f>
        <v>1.06863943837845</v>
      </c>
      <c r="AH195" s="89">
        <f>IFERROR(AH30/AH44,0)</f>
        <v>1.06863943837845</v>
      </c>
      <c r="AI195" s="88">
        <f>IFERROR(AI30/AI44,0)</f>
        <v>1.0319387557622</v>
      </c>
      <c r="AJ195" s="88">
        <f>IFERROR(AJ30/AJ44,0)</f>
        <v>0.961744334802491</v>
      </c>
      <c r="AK195" s="88">
        <f>IFERROR(AK30/AK44,0)</f>
        <v>0.961744334802491</v>
      </c>
      <c r="AL195" s="88">
        <f>IFERROR(AL30/AL44,0)</f>
        <v>0.961744334802491</v>
      </c>
      <c r="AM195" s="89">
        <f>IFERROR(AM30/AM44,0)</f>
        <v>0.961744334802491</v>
      </c>
      <c r="AN195" s="88">
        <f>IFERROR(AN30/AN44,0)</f>
        <v>0.961744334802491</v>
      </c>
      <c r="AO195" s="88">
        <f>IFERROR(AO30/AO44,0)</f>
        <v>0.961744334802491</v>
      </c>
      <c r="AP195" s="88">
        <f>IFERROR(AP30/AP44,0)</f>
        <v>0.961744334802491</v>
      </c>
      <c r="AQ195" s="88">
        <f>IFERROR(AQ30/AQ44,0)</f>
        <v>0.961744334802491</v>
      </c>
      <c r="AR195" s="89">
        <f>IFERROR(AR30/AR44,0)</f>
        <v>0.961744334802491</v>
      </c>
      <c r="AS195" s="88">
        <f>IFERROR(AS30/AS44,0)</f>
        <v>0.961744334802491</v>
      </c>
      <c r="AT195" s="88">
        <f>IFERROR(AT30/AT44,0)</f>
        <v>0.961744334802491</v>
      </c>
      <c r="AU195" s="88">
        <f>IFERROR(AU30/AU44,0)</f>
        <v>0.961744334802491</v>
      </c>
      <c r="AV195" s="88">
        <f>IFERROR(AV30/AV44,0)</f>
        <v>0.961744334802491</v>
      </c>
      <c r="AW195" s="89">
        <f>IFERROR(AW30/AW44,0)</f>
        <v>0.961744334802491</v>
      </c>
      <c r="AX195" s="88">
        <f>IFERROR(AX30/AX44,0)</f>
        <v>0.961744334802491</v>
      </c>
      <c r="AY195" s="88">
        <f>IFERROR(AY30/AY44,0)</f>
        <v>0.961744334802491</v>
      </c>
      <c r="AZ195" s="88">
        <f>IFERROR(AZ30/AZ44,0)</f>
        <v>0.961744334802491</v>
      </c>
      <c r="BA195" s="88">
        <f>IFERROR(BA30/BA44,0)</f>
        <v>0.961744334802491</v>
      </c>
      <c r="BB195" s="89">
        <f>IFERROR(BB30/BB44,0)</f>
        <v>0.961744334802491</v>
      </c>
      <c r="BC195" s="88">
        <f>IFERROR(BC30/BC44,0)</f>
        <v>0.961744334802491</v>
      </c>
      <c r="BD195" s="88">
        <f>IFERROR(BD30/BD44,0)</f>
        <v>0.961744334802491</v>
      </c>
      <c r="BE195" s="88">
        <f>IFERROR(BE30/BE44,0)</f>
        <v>0.961744334802491</v>
      </c>
      <c r="BF195" s="88">
        <f>IFERROR(BF30/BF44,0)</f>
        <v>0.961744334802491</v>
      </c>
      <c r="BG195" s="89">
        <f>IFERROR(BG30/BG44,0)</f>
        <v>0.961744334802491</v>
      </c>
    </row>
    <row r="196">
      <c r="C196" s="11" t="inlineStr">
        <is>
          <t>Carteira de crédito / Ativo total</t>
        </is>
      </c>
      <c r="D196" s="12" t="inlineStr">
        <is>
          <t>Loans over total assets</t>
        </is>
      </c>
      <c r="E196" s="88">
        <f>IFERROR(E30/E42,0)</f>
        <v>0.151444055578726</v>
      </c>
      <c r="F196" s="88">
        <f>IFERROR(F30/F42,0)</f>
        <v>0.167312389615687</v>
      </c>
      <c r="G196" s="88">
        <f>IFERROR(G30/G42,0)</f>
        <v>0.1794764338894</v>
      </c>
      <c r="H196" s="88">
        <f>IFERROR(H30/H42,0)</f>
        <v>0.199177589367865</v>
      </c>
      <c r="I196" s="89">
        <f>IFERROR(I30/I42,0)</f>
        <v>0.199177589367865</v>
      </c>
      <c r="J196" s="88">
        <f>IFERROR(J30/J42,0)</f>
        <v>0.194414135158264</v>
      </c>
      <c r="K196" s="88">
        <f>IFERROR(K30/K42,0)</f>
        <v>0.261171412234293</v>
      </c>
      <c r="L196" s="88">
        <f>IFERROR(L30/L42,0)</f>
        <v>0.252255247242051</v>
      </c>
      <c r="M196" s="88">
        <f>IFERROR(M30/M42,0)</f>
        <v>0.286234111045284</v>
      </c>
      <c r="N196" s="89">
        <f>IFERROR(N30/N42,0)</f>
        <v>0.286234111045284</v>
      </c>
      <c r="O196" s="88">
        <f>IFERROR(O30/O42,0)</f>
        <v>0.261529707768495</v>
      </c>
      <c r="P196" s="88">
        <f>IFERROR(P30/P42,0)</f>
        <v>0.235520802677515</v>
      </c>
      <c r="Q196" s="88">
        <f>IFERROR(Q30/Q42,0)</f>
        <v>0.247345288897529</v>
      </c>
      <c r="R196" s="88">
        <f>IFERROR(R30/R42,0)</f>
        <v>0.254371823956168</v>
      </c>
      <c r="S196" s="89">
        <f>IFERROR(S30/S42,0)</f>
        <v>0.254371823956168</v>
      </c>
      <c r="T196" s="88">
        <f>IFERROR(T30/T42,0)</f>
        <v>0.233315417998391</v>
      </c>
      <c r="U196" s="88">
        <f>IFERROR(U30/U42,0)</f>
        <v>0.227436856950019</v>
      </c>
      <c r="V196" s="88">
        <f>IFERROR(V30/V42,0)</f>
        <v>0.227215697850599</v>
      </c>
      <c r="W196" s="88">
        <f>IFERROR(W30/W42,0)</f>
        <v>0.248364940105601</v>
      </c>
      <c r="X196" s="89">
        <f>IFERROR(X30/X42,0)</f>
        <v>0.248364940105601</v>
      </c>
      <c r="Y196" s="88">
        <f>IFERROR(Y30/Y42,0)</f>
        <v>0.234364170068274</v>
      </c>
      <c r="Z196" s="88">
        <f>IFERROR(Z30/Z42,0)</f>
        <v>0.238108520860896</v>
      </c>
      <c r="AA196" s="88">
        <f>IFERROR(AA30/AA42,0)</f>
        <v>0.243394845978332</v>
      </c>
      <c r="AB196" s="88">
        <f>IFERROR(AB30/AB42,0)</f>
        <v>0.264966686574128</v>
      </c>
      <c r="AC196" s="89">
        <f>IFERROR(AC30/AC42,0)</f>
        <v>0.264966686574128</v>
      </c>
      <c r="AD196" s="88">
        <f>IFERROR(AD30/AD42,0)</f>
        <v>0.266180571466762</v>
      </c>
      <c r="AE196" s="88">
        <f>IFERROR(AE30/AE42,0)</f>
        <v>0.251921759729334</v>
      </c>
      <c r="AF196" s="88">
        <f>IFERROR(AF30/AF42,0)</f>
        <v>0.251468055751727</v>
      </c>
      <c r="AG196" s="88">
        <f>IFERROR(AG30/AG42,0)</f>
        <v>0.233581180414086</v>
      </c>
      <c r="AH196" s="89">
        <f>IFERROR(AH30/AH42,0)</f>
        <v>0.233581180414086</v>
      </c>
      <c r="AI196" s="88">
        <f>IFERROR(AI30/AI42,0)</f>
        <v>0.232053797374092</v>
      </c>
      <c r="AJ196" s="88">
        <f>IFERROR(AJ30/AJ42,0)</f>
        <v>0.214623161809747</v>
      </c>
      <c r="AK196" s="88">
        <f>IFERROR(AK30/AK42,0)</f>
        <v>0.214623161809747</v>
      </c>
      <c r="AL196" s="88">
        <f>IFERROR(AL30/AL42,0)</f>
        <v>0.214623161809747</v>
      </c>
      <c r="AM196" s="89">
        <f>IFERROR(AM30/AM42,0)</f>
        <v>0.214623161809747</v>
      </c>
      <c r="AN196" s="88">
        <f>IFERROR(AN30/AN42,0)</f>
        <v>0.214623161809747</v>
      </c>
      <c r="AO196" s="88">
        <f>IFERROR(AO30/AO42,0)</f>
        <v>0.214623161809747</v>
      </c>
      <c r="AP196" s="88">
        <f>IFERROR(AP30/AP42,0)</f>
        <v>0.214623161809747</v>
      </c>
      <c r="AQ196" s="88">
        <f>IFERROR(AQ30/AQ42,0)</f>
        <v>0.214623161809747</v>
      </c>
      <c r="AR196" s="89">
        <f>IFERROR(AR30/AR42,0)</f>
        <v>0.214623161809747</v>
      </c>
      <c r="AS196" s="88">
        <f>IFERROR(AS30/AS42,0)</f>
        <v>0.214623161809747</v>
      </c>
      <c r="AT196" s="88">
        <f>IFERROR(AT30/AT42,0)</f>
        <v>0.214623161809747</v>
      </c>
      <c r="AU196" s="88">
        <f>IFERROR(AU30/AU42,0)</f>
        <v>0.214623161809747</v>
      </c>
      <c r="AV196" s="88">
        <f>IFERROR(AV30/AV42,0)</f>
        <v>0.214623161809747</v>
      </c>
      <c r="AW196" s="89">
        <f>IFERROR(AW30/AW42,0)</f>
        <v>0.214623161809747</v>
      </c>
      <c r="AX196" s="88">
        <f>IFERROR(AX30/AX42,0)</f>
        <v>0.214623161809747</v>
      </c>
      <c r="AY196" s="88">
        <f>IFERROR(AY30/AY42,0)</f>
        <v>0.214623161809747</v>
      </c>
      <c r="AZ196" s="88">
        <f>IFERROR(AZ30/AZ42,0)</f>
        <v>0.214623161809747</v>
      </c>
      <c r="BA196" s="88">
        <f>IFERROR(BA30/BA42,0)</f>
        <v>0.214623161809747</v>
      </c>
      <c r="BB196" s="89">
        <f>IFERROR(BB30/BB42,0)</f>
        <v>0.214623161809747</v>
      </c>
      <c r="BC196" s="88">
        <f>IFERROR(BC30/BC42,0)</f>
        <v>0.214623161809747</v>
      </c>
      <c r="BD196" s="88">
        <f>IFERROR(BD30/BD42,0)</f>
        <v>0.214623161809747</v>
      </c>
      <c r="BE196" s="88">
        <f>IFERROR(BE30/BE42,0)</f>
        <v>0.214623161809747</v>
      </c>
      <c r="BF196" s="88">
        <f>IFERROR(BF30/BF42,0)</f>
        <v>0.214623161809747</v>
      </c>
      <c r="BG196" s="89">
        <f>IFERROR(BG30/BG42,0)</f>
        <v>0.214623161809747</v>
      </c>
    </row>
    <row r="197">
      <c r="C197" s="11" t="str">
        <f>"Funding total ("&amp;Inputs!$E$202&amp;")"</f>
        <v>Funding total (R$ milhões)</v>
      </c>
      <c r="D197" s="12" t="inlineStr">
        <is>
          <t>Total funding</t>
        </is>
      </c>
      <c r="E197" s="74">
        <f>E132</f>
        <v>112435.426046</v>
      </c>
      <c r="F197" s="74">
        <f>F132</f>
        <v>133296.451828</v>
      </c>
      <c r="G197" s="74">
        <f>G132</f>
        <v>159818.569481</v>
      </c>
      <c r="H197" s="74">
        <f>H132</f>
        <v>169514.201603</v>
      </c>
      <c r="I197" s="77">
        <f>I132</f>
        <v>169514.201603</v>
      </c>
      <c r="J197" s="74">
        <f>J132</f>
        <v>176533.62524</v>
      </c>
      <c r="K197" s="74">
        <f>K132</f>
        <v>226724.479083</v>
      </c>
      <c r="L197" s="74">
        <f>L132</f>
        <v>264294.605494</v>
      </c>
      <c r="M197" s="74">
        <f>M132</f>
        <v>238688.071648</v>
      </c>
      <c r="N197" s="77">
        <f>N132</f>
        <v>238688.071648</v>
      </c>
      <c r="O197" s="74">
        <f>O132</f>
        <v>259577.060635</v>
      </c>
      <c r="P197" s="74">
        <f>P132</f>
        <v>284301.957981</v>
      </c>
      <c r="Q197" s="74">
        <f>Q132</f>
        <v>298903.82381</v>
      </c>
      <c r="R197" s="74">
        <f>R132</f>
        <v>289108.236047</v>
      </c>
      <c r="S197" s="77">
        <f>S132</f>
        <v>289108.236047</v>
      </c>
      <c r="T197" s="74">
        <f>T132</f>
        <v>294678.931</v>
      </c>
      <c r="U197" s="74">
        <f>U132</f>
        <v>303438.83</v>
      </c>
      <c r="V197" s="74">
        <f>V132</f>
        <v>317768.955</v>
      </c>
      <c r="W197" s="74">
        <f>W132</f>
        <v>322594.237114</v>
      </c>
      <c r="X197" s="77">
        <f>X132</f>
        <v>322594.237114</v>
      </c>
      <c r="Y197" s="74">
        <f>Y132</f>
        <v>364865.217</v>
      </c>
      <c r="Z197" s="74">
        <f>Z132</f>
        <v>390287.034</v>
      </c>
      <c r="AA197" s="74">
        <f>AA132</f>
        <v>400943.596</v>
      </c>
      <c r="AB197" s="74">
        <f>AB132</f>
        <v>394484.665</v>
      </c>
      <c r="AC197" s="77">
        <f>AC132</f>
        <v>394484.665</v>
      </c>
      <c r="AD197" s="74">
        <f>AD132</f>
        <v>387464.638</v>
      </c>
      <c r="AE197" s="74">
        <f>AE132</f>
        <v>413147.652</v>
      </c>
      <c r="AF197" s="74">
        <f>AF132</f>
        <v>440299.709</v>
      </c>
      <c r="AG197" s="74">
        <f>AG132</f>
        <v>543711.16</v>
      </c>
      <c r="AH197" s="77">
        <f>AH132</f>
        <v>543711.16</v>
      </c>
      <c r="AI197" s="74">
        <f>AI132</f>
        <v>558631.218</v>
      </c>
      <c r="AJ197" s="74">
        <f>AJ132</f>
        <v>614746.212</v>
      </c>
      <c r="AK197" s="74">
        <f>AK132</f>
        <v>611441.602007</v>
      </c>
      <c r="AL197" s="74">
        <f>AL132</f>
        <v>608540.86565</v>
      </c>
      <c r="AM197" s="77">
        <f>AM132</f>
        <v>608540.86565</v>
      </c>
      <c r="AN197" s="74">
        <f>AN132</f>
        <v>607489.706806</v>
      </c>
      <c r="AO197" s="74">
        <f>AO132</f>
        <v>605854.732761</v>
      </c>
      <c r="AP197" s="74">
        <f>AP132</f>
        <v>602550.122768</v>
      </c>
      <c r="AQ197" s="74">
        <f>AQ132</f>
        <v>599649.386411</v>
      </c>
      <c r="AR197" s="77">
        <f>AR132</f>
        <v>599649.386411</v>
      </c>
      <c r="AS197" s="74">
        <f>AS132</f>
        <v>598598.227567</v>
      </c>
      <c r="AT197" s="74">
        <f>AT132</f>
        <v>596963.253522</v>
      </c>
      <c r="AU197" s="74">
        <f>AU132</f>
        <v>593658.643529</v>
      </c>
      <c r="AV197" s="74">
        <f>AV132</f>
        <v>590757.907172</v>
      </c>
      <c r="AW197" s="77">
        <f>AW132</f>
        <v>590757.907172</v>
      </c>
      <c r="AX197" s="74">
        <f>AX132</f>
        <v>589706.748328</v>
      </c>
      <c r="AY197" s="74">
        <f>AY132</f>
        <v>588071.774283</v>
      </c>
      <c r="AZ197" s="74">
        <f>AZ132</f>
        <v>584767.16429</v>
      </c>
      <c r="BA197" s="74">
        <f>BA132</f>
        <v>581866.427933</v>
      </c>
      <c r="BB197" s="77">
        <f>BB132</f>
        <v>581866.427933</v>
      </c>
      <c r="BC197" s="74">
        <f>BC132</f>
        <v>580815.269089</v>
      </c>
      <c r="BD197" s="74">
        <f>BD132</f>
        <v>579180.295044</v>
      </c>
      <c r="BE197" s="74">
        <f>BE132</f>
        <v>575875.685051</v>
      </c>
      <c r="BF197" s="74">
        <f>BF132</f>
        <v>572974.948694</v>
      </c>
      <c r="BG197" s="77">
        <f>BG132</f>
        <v>572974.948694</v>
      </c>
    </row>
    <row r="198">
      <c r="B198" s="29" t="n"/>
      <c r="C198" s="29" t="inlineStr">
        <is>
          <t>Métricas por ação</t>
        </is>
      </c>
      <c r="D198" s="29" t="inlineStr">
        <is>
          <t>Per-share metrics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Ações ex-tesouraria (milhões)</t>
        </is>
      </c>
      <c r="D199" s="12" t="inlineStr">
        <is>
          <t>Shares outstanding (mn)</t>
        </is>
      </c>
      <c r="E199" s="57">
        <f>IF(AND(E$14=1,ISNUMBER('Inputs (2)'!E148),'Inputs (2)'!E148&lt;&gt;0),'Inputs (2)'!E148,Inputs!$E$210)</f>
        <v>3506.366529</v>
      </c>
      <c r="F199" s="57">
        <f>IF(AND(F$14=1,ISNUMBER('Inputs (2)'!F148),'Inputs (2)'!F148&lt;&gt;0),'Inputs (2)'!F148,Inputs!$E$210)</f>
        <v>3616.942629</v>
      </c>
      <c r="G199" s="57">
        <f>IF(AND(G$14=1,ISNUMBER('Inputs (2)'!G148),'Inputs (2)'!G148&lt;&gt;0),'Inputs (2)'!G148,Inputs!$E$210)</f>
        <v>3616.942629</v>
      </c>
      <c r="H199" s="57">
        <f>IF(AND(H$14=1,ISNUMBER('Inputs (2)'!H148),'Inputs (2)'!H148&lt;&gt;0),'Inputs (2)'!H148,Inputs!$E$210)</f>
        <v>3616.942629</v>
      </c>
      <c r="I199" s="92">
        <f>IF(AND(I$14=1,ISNUMBER('Inputs (2)'!I148),'Inputs (2)'!I148&lt;&gt;0),'Inputs (2)'!I148,Inputs!$E$210)</f>
        <v>3616.942629</v>
      </c>
      <c r="J199" s="57">
        <f>IF(AND(J$14=1,ISNUMBER('Inputs (2)'!J148),'Inputs (2)'!J148&lt;&gt;0),'Inputs (2)'!J148,Inputs!$E$210)</f>
        <v>3728.053741</v>
      </c>
      <c r="K199" s="57">
        <f>IF(AND(K$14=1,ISNUMBER('Inputs (2)'!K148),'Inputs (2)'!K148&lt;&gt;0),'Inputs (2)'!K148,Inputs!$E$210)</f>
        <v>3825.661741</v>
      </c>
      <c r="L199" s="57">
        <f>IF(AND(L$14=1,ISNUMBER('Inputs (2)'!L148),'Inputs (2)'!L148&lt;&gt;0),'Inputs (2)'!L148,Inputs!$E$210)</f>
        <v>3825.661741</v>
      </c>
      <c r="M199" s="57">
        <f>IF(AND(M$14=1,ISNUMBER('Inputs (2)'!M148),'Inputs (2)'!M148&lt;&gt;0),'Inputs (2)'!M148,Inputs!$E$210)</f>
        <v>3835.373309</v>
      </c>
      <c r="N199" s="92">
        <f>IF(AND(N$14=1,ISNUMBER('Inputs (2)'!N148),'Inputs (2)'!N148&lt;&gt;0),'Inputs (2)'!N148,Inputs!$E$210)</f>
        <v>3835.373309</v>
      </c>
      <c r="O199" s="57">
        <f>IF(AND(O$14=1,ISNUMBER('Inputs (2)'!O148),'Inputs (2)'!O148&lt;&gt;0),'Inputs (2)'!O148,Inputs!$E$210)</f>
        <v>3834.525409</v>
      </c>
      <c r="P199" s="57">
        <f>IF(AND(P$14=1,ISNUMBER('Inputs (2)'!P148),'Inputs (2)'!P148&lt;&gt;0),'Inputs (2)'!P148,Inputs!$E$210)</f>
        <v>3832.160409</v>
      </c>
      <c r="Q199" s="57">
        <f>IF(AND(Q$14=1,ISNUMBER('Inputs (2)'!Q148),'Inputs (2)'!Q148&lt;&gt;0),'Inputs (2)'!Q148,Inputs!$E$210)</f>
        <v>3830.825509</v>
      </c>
      <c r="R199" s="57">
        <f>IF(AND(R$14=1,ISNUMBER('Inputs (2)'!R148),'Inputs (2)'!R148&lt;&gt;0),'Inputs (2)'!R148,Inputs!$E$210)</f>
        <v>3825.373309</v>
      </c>
      <c r="S199" s="92">
        <f>IF(AND(S$14=1,ISNUMBER('Inputs (2)'!S148),'Inputs (2)'!S148&lt;&gt;0),'Inputs (2)'!S148,Inputs!$E$210)</f>
        <v>3825.373309</v>
      </c>
      <c r="T199" s="57">
        <f>IF(AND(T$14=1,ISNUMBER('Inputs (2)'!T148),'Inputs (2)'!T148&lt;&gt;0),'Inputs (2)'!T148,Inputs!$E$210)</f>
        <v>3811.253709</v>
      </c>
      <c r="U199" s="57">
        <f>IF(AND(U$14=1,ISNUMBER('Inputs (2)'!U148),'Inputs (2)'!U148&lt;&gt;0),'Inputs (2)'!U148,Inputs!$E$210)</f>
        <v>3811.253709</v>
      </c>
      <c r="V199" s="57">
        <f>IF(AND(V$14=1,ISNUMBER('Inputs (2)'!V148),'Inputs (2)'!V148&lt;&gt;0),'Inputs (2)'!V148,Inputs!$E$210)</f>
        <v>3811.253709</v>
      </c>
      <c r="W199" s="57">
        <f>IF(AND(W$14=1,ISNUMBER('Inputs (2)'!W148),'Inputs (2)'!W148&lt;&gt;0),'Inputs (2)'!W148,Inputs!$E$210)</f>
        <v>3811.253709</v>
      </c>
      <c r="X199" s="92">
        <f>IF(AND(X$14=1,ISNUMBER('Inputs (2)'!X148),'Inputs (2)'!X148&lt;&gt;0),'Inputs (2)'!X148,Inputs!$E$210)</f>
        <v>3811.253709</v>
      </c>
      <c r="Y199" s="57">
        <f>IF(AND(Y$14=1,ISNUMBER('Inputs (2)'!Y148),'Inputs (2)'!Y148&lt;&gt;0),'Inputs (2)'!Y148,Inputs!$E$210)</f>
        <v>3811.253709</v>
      </c>
      <c r="Z199" s="57">
        <f>IF(AND(Z$14=1,ISNUMBER('Inputs (2)'!Z148),'Inputs (2)'!Z148&lt;&gt;0),'Inputs (2)'!Z148,Inputs!$E$210)</f>
        <v>3811.253709</v>
      </c>
      <c r="AA199" s="57">
        <f>IF(AND(AA$14=1,ISNUMBER('Inputs (2)'!AA148),'Inputs (2)'!AA148&lt;&gt;0),'Inputs (2)'!AA148,Inputs!$E$210)</f>
        <v>3811.253709</v>
      </c>
      <c r="AB199" s="57">
        <f>IF(AND(AB$14=1,ISNUMBER('Inputs (2)'!AB148),'Inputs (2)'!AB148&lt;&gt;0),'Inputs (2)'!AB148,Inputs!$E$210)</f>
        <v>3807.903709</v>
      </c>
      <c r="AC199" s="92">
        <f>IF(AND(AC$14=1,ISNUMBER('Inputs (2)'!AC148),'Inputs (2)'!AC148&lt;&gt;0),'Inputs (2)'!AC148,Inputs!$E$210)</f>
        <v>3807.903709</v>
      </c>
      <c r="AD199" s="57">
        <f>IF(AND(AD$14=1,ISNUMBER('Inputs (2)'!AD148),'Inputs (2)'!AD148&lt;&gt;0),'Inputs (2)'!AD148,Inputs!$E$210)</f>
        <v>3807.903709</v>
      </c>
      <c r="AE199" s="57">
        <f>IF(AND(AE$14=1,ISNUMBER('Inputs (2)'!AE148),'Inputs (2)'!AE148&lt;&gt;0),'Inputs (2)'!AE148,Inputs!$E$210)</f>
        <v>3807.903709</v>
      </c>
      <c r="AF199" s="57">
        <f>IF(AND(AF$14=1,ISNUMBER('Inputs (2)'!AF148),'Inputs (2)'!AF148&lt;&gt;0),'Inputs (2)'!AF148,Inputs!$E$210)</f>
        <v>3807.903709</v>
      </c>
      <c r="AG199" s="57">
        <f>IF(AND(AG$14=1,ISNUMBER('Inputs (2)'!AG148),'Inputs (2)'!AG148&lt;&gt;0),'Inputs (2)'!AG148,Inputs!$E$210)</f>
        <v>3862.551555</v>
      </c>
      <c r="AH199" s="92">
        <f>IF(AND(AH$14=1,ISNUMBER('Inputs (2)'!AH148),'Inputs (2)'!AH148&lt;&gt;0),'Inputs (2)'!AH148,Inputs!$E$210)</f>
        <v>3862.551555</v>
      </c>
      <c r="AI199" s="57">
        <f>IF(AND(AI$14=1,ISNUMBER('Inputs (2)'!AI148),'Inputs (2)'!AI148&lt;&gt;0),'Inputs (2)'!AI148,Inputs!$E$210)</f>
        <v>3862.551555</v>
      </c>
      <c r="AJ199" s="57">
        <f>IF(AND(AJ$14=1,ISNUMBER('Inputs (2)'!AJ148),'Inputs (2)'!AJ148&lt;&gt;0),'Inputs (2)'!AJ148,Inputs!$E$210)</f>
        <v>3862.551555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>
      <c r="C200" s="11" t="str">
        <f>"Lucro por ação — LPA ("&amp;Inputs!$E$200&amp;")"</f>
        <v>Lucro por ação — LPA (R$)</v>
      </c>
      <c r="D200" s="12" t="inlineStr">
        <is>
          <t>Earnings per share</t>
        </is>
      </c>
      <c r="E200" s="93">
        <f>IFERROR(E127/E199,0)</f>
        <v>0.219009406075699</v>
      </c>
      <c r="F200" s="93">
        <f>IFERROR(F127/F199,0)</f>
        <v>0.27021440460896</v>
      </c>
      <c r="G200" s="93">
        <f>IFERROR(G127/G199,0)</f>
        <v>0.27702093419077</v>
      </c>
      <c r="H200" s="93">
        <f>IFERROR(H127/H199,0)</f>
        <v>0.339827606925529</v>
      </c>
      <c r="I200" s="94">
        <f>IFERROR(I127/I199,0)</f>
        <v>1.09937686103121</v>
      </c>
      <c r="J200" s="93">
        <f>IFERROR(J127/J199,0)</f>
        <v>0.315579275336417</v>
      </c>
      <c r="K200" s="93">
        <f>IFERROR(K127/K199,0)</f>
        <v>0.438720660013523</v>
      </c>
      <c r="L200" s="93">
        <f>IFERROR(L127/L199,0)</f>
        <v>0.455654624223088</v>
      </c>
      <c r="M200" s="93">
        <f>IFERROR(M127/M199,0)</f>
        <v>0.454735452975955</v>
      </c>
      <c r="N200" s="94">
        <f>IFERROR(N127/N199,0)</f>
        <v>1.65359497317188</v>
      </c>
      <c r="O200" s="93">
        <f>IFERROR(O127/O199,0)</f>
        <v>0.506603698710816</v>
      </c>
      <c r="P200" s="93">
        <f>IFERROR(P127/P199,0)</f>
        <v>0.539460046647541</v>
      </c>
      <c r="Q200" s="93">
        <f>IFERROR(Q127/Q199,0)</f>
        <v>0.569279016722763</v>
      </c>
      <c r="R200" s="93">
        <f>IFERROR(R127/R199,0)</f>
        <v>0.431630083556899</v>
      </c>
      <c r="S200" s="94">
        <f>IFERROR(S127/S199,0)</f>
        <v>2.04995338613108</v>
      </c>
      <c r="T200" s="93">
        <f>IFERROR(T127/T199,0)</f>
        <v>0.559716920960299</v>
      </c>
      <c r="U200" s="93">
        <f>IFERROR(U127/U199,0)</f>
        <v>0.640536194490328</v>
      </c>
      <c r="V200" s="93">
        <f>IFERROR(V127/V199,0)</f>
        <v>0.688106820547538</v>
      </c>
      <c r="W200" s="93">
        <f>IFERROR(W127/W199,0)</f>
        <v>0.715656026666264</v>
      </c>
      <c r="X200" s="94">
        <f>IFERROR(X127/X199,0)</f>
        <v>2.60401596266443</v>
      </c>
      <c r="Y200" s="93">
        <f>IFERROR(Y127/Y199,0)</f>
        <v>0.727758325941455</v>
      </c>
      <c r="Z200" s="93">
        <f>IFERROR(Z127/Z199,0)</f>
        <v>0.740802354441211</v>
      </c>
      <c r="AA200" s="93">
        <f>IFERROR(AA127/AA199,0)</f>
        <v>0.805012961943437</v>
      </c>
      <c r="AB200" s="93">
        <f>IFERROR(AB127/AB199,0)</f>
        <v>0.820456954994919</v>
      </c>
      <c r="AC200" s="94">
        <f>IFERROR(AC127/AC199,0)</f>
        <v>3.09603077176971</v>
      </c>
      <c r="AD200" s="93">
        <f>IFERROR(AD127/AD199,0)</f>
        <v>0.842962904343756</v>
      </c>
      <c r="AE200" s="93">
        <f>IFERROR(AE127/AE199,0)</f>
        <v>1.05286889936953</v>
      </c>
      <c r="AF200" s="93">
        <f>IFERROR(AF127/AF199,0)</f>
        <v>1.13904574786085</v>
      </c>
      <c r="AG200" s="93">
        <f>IFERROR(AG127/AG199,0)</f>
        <v>1.13669113446953</v>
      </c>
      <c r="AH200" s="94">
        <f>IFERROR(AH127/AH199,0)</f>
        <v>4.12863087182793</v>
      </c>
      <c r="AI200" s="93">
        <f>IFERROR(AI127/AI199,0)</f>
        <v>1.18325817271842</v>
      </c>
      <c r="AJ200" s="93">
        <f>IFERROR(AJ127/AJ199,0)</f>
        <v>1.26888782122676</v>
      </c>
      <c r="AK200" s="93">
        <f>IFERROR(AK127/AK199,0)</f>
        <v>0</v>
      </c>
      <c r="AL200" s="93">
        <f>IFERROR(AL127/AL199,0)</f>
        <v>0</v>
      </c>
      <c r="AM200" s="94">
        <f>IFERROR(AM127/AM199,0)</f>
        <v>0</v>
      </c>
      <c r="AN200" s="93">
        <f>IFERROR(AN127/AN199,0)</f>
        <v>0</v>
      </c>
      <c r="AO200" s="93">
        <f>IFERROR(AO127/AO199,0)</f>
        <v>0</v>
      </c>
      <c r="AP200" s="93">
        <f>IFERROR(AP127/AP199,0)</f>
        <v>0</v>
      </c>
      <c r="AQ200" s="93">
        <f>IFERROR(AQ127/AQ199,0)</f>
        <v>0</v>
      </c>
      <c r="AR200" s="94">
        <f>IFERROR(AR127/AR199,0)</f>
        <v>0</v>
      </c>
      <c r="AS200" s="93">
        <f>IFERROR(AS127/AS199,0)</f>
        <v>0</v>
      </c>
      <c r="AT200" s="93">
        <f>IFERROR(AT127/AT199,0)</f>
        <v>0</v>
      </c>
      <c r="AU200" s="93">
        <f>IFERROR(AU127/AU199,0)</f>
        <v>0</v>
      </c>
      <c r="AV200" s="93">
        <f>IFERROR(AV127/AV199,0)</f>
        <v>0</v>
      </c>
      <c r="AW200" s="94">
        <f>IFERROR(AW127/AW199,0)</f>
        <v>0</v>
      </c>
      <c r="AX200" s="93">
        <f>IFERROR(AX127/AX199,0)</f>
        <v>0</v>
      </c>
      <c r="AY200" s="93">
        <f>IFERROR(AY127/AY199,0)</f>
        <v>0</v>
      </c>
      <c r="AZ200" s="93">
        <f>IFERROR(AZ127/AZ199,0)</f>
        <v>0</v>
      </c>
      <c r="BA200" s="93">
        <f>IFERROR(BA127/BA199,0)</f>
        <v>0</v>
      </c>
      <c r="BB200" s="94">
        <f>IFERROR(BB127/BB199,0)</f>
        <v>0</v>
      </c>
      <c r="BC200" s="93">
        <f>IFERROR(BC127/BC199,0)</f>
        <v>0</v>
      </c>
      <c r="BD200" s="93">
        <f>IFERROR(BD127/BD199,0)</f>
        <v>0</v>
      </c>
      <c r="BE200" s="93">
        <f>IFERROR(BE127/BE199,0)</f>
        <v>0</v>
      </c>
      <c r="BF200" s="93">
        <f>IFERROR(BF127/BF199,0)</f>
        <v>0</v>
      </c>
      <c r="BG200" s="94">
        <f>IFERROR(BG127/BG199,0)</f>
        <v>0</v>
      </c>
    </row>
    <row r="201">
      <c r="C201" s="11" t="str">
        <f>"Valor patrimonial por ação — VPA ("&amp;Inputs!$E$200&amp;")"</f>
        <v>Valor patrimonial por ação — VPA (R$)</v>
      </c>
      <c r="D201" s="12" t="inlineStr">
        <is>
          <t>Book value per share</t>
        </is>
      </c>
      <c r="E201" s="93">
        <f>IFERROR(E71/E199,0)</f>
        <v>6.28951640126725</v>
      </c>
      <c r="F201" s="93">
        <f>IFERROR(F71/F199,0)</f>
        <v>7.08543846079346</v>
      </c>
      <c r="G201" s="93">
        <f>IFERROR(G71/G199,0)</f>
        <v>7.20189498670646</v>
      </c>
      <c r="H201" s="93">
        <f>IFERROR(H71/H199,0)</f>
        <v>7.37657691279902</v>
      </c>
      <c r="I201" s="94">
        <f>IFERROR(I71/I199,0)</f>
        <v>7.37657691279902</v>
      </c>
      <c r="J201" s="93">
        <f>IFERROR(J71/J199,0)</f>
        <v>8.1582370947372</v>
      </c>
      <c r="K201" s="93">
        <f>IFERROR(K71/K199,0)</f>
        <v>9.15928419924568</v>
      </c>
      <c r="L201" s="93">
        <f>IFERROR(L71/L199,0)</f>
        <v>9.47792982359232</v>
      </c>
      <c r="M201" s="93">
        <f>IFERROR(M71/M199,0)</f>
        <v>9.74605169652861</v>
      </c>
      <c r="N201" s="94">
        <f>IFERROR(N71/N199,0)</f>
        <v>9.74605169652861</v>
      </c>
      <c r="O201" s="93">
        <f>IFERROR(O71/O199,0)</f>
        <v>10.2488641334232</v>
      </c>
      <c r="P201" s="93">
        <f>IFERROR(P71/P199,0)</f>
        <v>10.7925375265783</v>
      </c>
      <c r="Q201" s="93">
        <f>IFERROR(Q71/Q199,0)</f>
        <v>11.0320746269208</v>
      </c>
      <c r="R201" s="93">
        <f>IFERROR(R71/R199,0)</f>
        <v>11.0765052838925</v>
      </c>
      <c r="S201" s="94">
        <f>IFERROR(S71/S199,0)</f>
        <v>11.0765052838925</v>
      </c>
      <c r="T201" s="93">
        <f>IFERROR(T71/T199,0)</f>
        <v>11.5992241334149</v>
      </c>
      <c r="U201" s="93">
        <f>IFERROR(U71/U199,0)</f>
        <v>12.2554092606591</v>
      </c>
      <c r="V201" s="93">
        <f>IFERROR(V71/V199,0)</f>
        <v>12.5345439184983</v>
      </c>
      <c r="W201" s="93">
        <f>IFERROR(W71/W199,0)</f>
        <v>12.9568403917557</v>
      </c>
      <c r="X201" s="94">
        <f>IFERROR(X71/X199,0)</f>
        <v>12.9568403917557</v>
      </c>
      <c r="Y201" s="93">
        <f>IFERROR(Y71/Y199,0)</f>
        <v>13.6338620785846</v>
      </c>
      <c r="Z201" s="93">
        <f>IFERROR(Z71/Z199,0)</f>
        <v>13.9260172773767</v>
      </c>
      <c r="AA201" s="93">
        <f>IFERROR(AA71/AA199,0)</f>
        <v>14.7642768748566</v>
      </c>
      <c r="AB201" s="93">
        <f>IFERROR(AB71/AB199,0)</f>
        <v>14.8321541951049</v>
      </c>
      <c r="AC201" s="94">
        <f>IFERROR(AC71/AC199,0)</f>
        <v>14.8321541951049</v>
      </c>
      <c r="AD201" s="93">
        <f>IFERROR(AD71/AD199,0)</f>
        <v>15.6985524236637</v>
      </c>
      <c r="AE201" s="93">
        <f>IFERROR(AE71/AE199,0)</f>
        <v>16.729236574296</v>
      </c>
      <c r="AF201" s="93">
        <f>IFERROR(AF71/AF199,0)</f>
        <v>17.2287689010993</v>
      </c>
      <c r="AG201" s="93">
        <f>IFERROR(AG71/AG199,0)</f>
        <v>18.1148717379385</v>
      </c>
      <c r="AH201" s="94">
        <f>IFERROR(AH71/AH199,0)</f>
        <v>18.1148717379385</v>
      </c>
      <c r="AI201" s="93">
        <f>IFERROR(AI71/AI199,0)</f>
        <v>19.2904524221943</v>
      </c>
      <c r="AJ201" s="93">
        <f>IFERROR(AJ71/AJ199,0)</f>
        <v>20.5960976487212</v>
      </c>
      <c r="AK201" s="93">
        <f>IFERROR(AK71/AK199,0)</f>
        <v>0</v>
      </c>
      <c r="AL201" s="93">
        <f>IFERROR(AL71/AL199,0)</f>
        <v>0</v>
      </c>
      <c r="AM201" s="94">
        <f>IFERROR(AM71/AM199,0)</f>
        <v>0</v>
      </c>
      <c r="AN201" s="93">
        <f>IFERROR(AN71/AN199,0)</f>
        <v>0</v>
      </c>
      <c r="AO201" s="93">
        <f>IFERROR(AO71/AO199,0)</f>
        <v>0</v>
      </c>
      <c r="AP201" s="93">
        <f>IFERROR(AP71/AP199,0)</f>
        <v>0</v>
      </c>
      <c r="AQ201" s="93">
        <f>IFERROR(AQ71/AQ199,0)</f>
        <v>0</v>
      </c>
      <c r="AR201" s="94">
        <f>IFERROR(AR71/AR199,0)</f>
        <v>0</v>
      </c>
      <c r="AS201" s="93">
        <f>IFERROR(AS71/AS199,0)</f>
        <v>0</v>
      </c>
      <c r="AT201" s="93">
        <f>IFERROR(AT71/AT199,0)</f>
        <v>0</v>
      </c>
      <c r="AU201" s="93">
        <f>IFERROR(AU71/AU199,0)</f>
        <v>0</v>
      </c>
      <c r="AV201" s="93">
        <f>IFERROR(AV71/AV199,0)</f>
        <v>0</v>
      </c>
      <c r="AW201" s="94">
        <f>IFERROR(AW71/AW199,0)</f>
        <v>0</v>
      </c>
      <c r="AX201" s="93">
        <f>IFERROR(AX71/AX199,0)</f>
        <v>0</v>
      </c>
      <c r="AY201" s="93">
        <f>IFERROR(AY71/AY199,0)</f>
        <v>0</v>
      </c>
      <c r="AZ201" s="93">
        <f>IFERROR(AZ71/AZ199,0)</f>
        <v>0</v>
      </c>
      <c r="BA201" s="93">
        <f>IFERROR(BA71/BA199,0)</f>
        <v>0</v>
      </c>
      <c r="BB201" s="94">
        <f>IFERROR(BB71/BB199,0)</f>
        <v>0</v>
      </c>
      <c r="BC201" s="93">
        <f>IFERROR(BC71/BC199,0)</f>
        <v>0</v>
      </c>
      <c r="BD201" s="93">
        <f>IFERROR(BD71/BD199,0)</f>
        <v>0</v>
      </c>
      <c r="BE201" s="93">
        <f>IFERROR(BE71/BE199,0)</f>
        <v>0</v>
      </c>
      <c r="BF201" s="93">
        <f>IFERROR(BF71/BF199,0)</f>
        <v>0</v>
      </c>
      <c r="BG201" s="94">
        <f>IFERROR(BG71/BG199,0)</f>
        <v>0</v>
      </c>
    </row>
    <row r="202">
      <c r="C202" s="11" t="str">
        <f>"Proventos por ação ("&amp;Inputs!$E$200&amp;")"</f>
        <v>Proventos por ação (R$)</v>
      </c>
      <c r="D202" s="12" t="inlineStr">
        <is>
          <t>Dividends per share</t>
        </is>
      </c>
      <c r="E202" s="93">
        <f>IFERROR(-E84/E199,0)</f>
        <v>0</v>
      </c>
      <c r="F202" s="93">
        <f>IFERROR(-F84/F199,0)</f>
        <v>0</v>
      </c>
      <c r="G202" s="93">
        <f>IFERROR(-G84/G199,0)</f>
        <v>0.147362000360885</v>
      </c>
      <c r="H202" s="93">
        <f>IFERROR(-H84/H199,0)</f>
        <v>0.155656325728245</v>
      </c>
      <c r="I202" s="94">
        <f>IFERROR(-I84/I199,0)</f>
        <v>0.303018326089131</v>
      </c>
      <c r="J202" s="93">
        <f>IFERROR(-J84/J199,0)</f>
        <v>0</v>
      </c>
      <c r="K202" s="93">
        <f>IFERROR(-K84/K199,0)</f>
        <v>0</v>
      </c>
      <c r="L202" s="93">
        <f>IFERROR(-L84/L199,0)</f>
        <v>0.16990537977623</v>
      </c>
      <c r="M202" s="93">
        <f>IFERROR(-M84/M199,0)</f>
        <v>0.215102920506871</v>
      </c>
      <c r="N202" s="94">
        <f>IFERROR(-N84/N199,0)</f>
        <v>0.384578082018456</v>
      </c>
      <c r="O202" s="93">
        <f>IFERROR(-O84/O199,0)</f>
        <v>0</v>
      </c>
      <c r="P202" s="93">
        <f>IFERROR(-P84/P199,0)</f>
        <v>0</v>
      </c>
      <c r="Q202" s="93">
        <f>IFERROR(-Q84/Q199,0)</f>
        <v>0.313248410083092</v>
      </c>
      <c r="R202" s="93">
        <f>IFERROR(-R84/R199,0)</f>
        <v>0.343757299949311</v>
      </c>
      <c r="S202" s="94">
        <f>IFERROR(-S84/S199,0)</f>
        <v>0.657452174427769</v>
      </c>
      <c r="T202" s="93">
        <f>IFERROR(-T84/T199,0)</f>
        <v>0</v>
      </c>
      <c r="U202" s="93">
        <f>IFERROR(-U84/U199,0)</f>
        <v>0</v>
      </c>
      <c r="V202" s="93">
        <f>IFERROR(-V84/V199,0)</f>
        <v>0.401442705424468</v>
      </c>
      <c r="W202" s="93">
        <f>IFERROR(-W84/W199,0)</f>
        <v>0.379140332900887</v>
      </c>
      <c r="X202" s="94">
        <f>IFERROR(-X84/X199,0)</f>
        <v>0.780583038325355</v>
      </c>
      <c r="Y202" s="93">
        <f>IFERROR(-Y84/Y199,0)</f>
        <v>0</v>
      </c>
      <c r="Z202" s="93">
        <f>IFERROR(-Z84/Z199,0)</f>
        <v>0.406690322488841</v>
      </c>
      <c r="AA202" s="93">
        <f>IFERROR(-AA84/AA199,0)</f>
        <v>0</v>
      </c>
      <c r="AB202" s="93">
        <f>IFERROR(-AB84/AB199,0)</f>
        <v>0.451644198338105</v>
      </c>
      <c r="AC202" s="94">
        <f>IFERROR(-AC84/AC199,0)</f>
        <v>0.858692306286992</v>
      </c>
      <c r="AD202" s="93">
        <f>IFERROR(-AD84/AD199,0)</f>
        <v>0</v>
      </c>
      <c r="AE202" s="93">
        <f>IFERROR(-AE84/AE199,0)</f>
        <v>0</v>
      </c>
      <c r="AF202" s="93">
        <f>IFERROR(-AF84/AF199,0)</f>
        <v>0.604006790550911</v>
      </c>
      <c r="AG202" s="93">
        <f>IFERROR(-AG84/AG199,0)</f>
        <v>0.634295278940296</v>
      </c>
      <c r="AH202" s="94">
        <f>IFERROR(-AH84/AH199,0)</f>
        <v>1.2297565084539</v>
      </c>
      <c r="AI202" s="93">
        <f>IFERROR(-AI84/AI199,0)</f>
        <v>0</v>
      </c>
      <c r="AJ202" s="93">
        <f>IFERROR(-AJ84/AJ199,0)</f>
        <v>0</v>
      </c>
      <c r="AK202" s="93">
        <f>IFERROR(-AK84/AK199,0)</f>
        <v>0</v>
      </c>
      <c r="AL202" s="93">
        <f>IFERROR(-AL84/AL199,0)</f>
        <v>0</v>
      </c>
      <c r="AM202" s="94">
        <f>IFERROR(-AM84/AM199,0)</f>
        <v>0</v>
      </c>
      <c r="AN202" s="93">
        <f>IFERROR(-AN84/AN199,0)</f>
        <v>0</v>
      </c>
      <c r="AO202" s="93">
        <f>IFERROR(-AO84/AO199,0)</f>
        <v>0</v>
      </c>
      <c r="AP202" s="93">
        <f>IFERROR(-AP84/AP199,0)</f>
        <v>0</v>
      </c>
      <c r="AQ202" s="93">
        <f>IFERROR(-AQ84/AQ199,0)</f>
        <v>0</v>
      </c>
      <c r="AR202" s="94">
        <f>IFERROR(-AR84/AR199,0)</f>
        <v>0</v>
      </c>
      <c r="AS202" s="93">
        <f>IFERROR(-AS84/AS199,0)</f>
        <v>0</v>
      </c>
      <c r="AT202" s="93">
        <f>IFERROR(-AT84/AT199,0)</f>
        <v>0</v>
      </c>
      <c r="AU202" s="93">
        <f>IFERROR(-AU84/AU199,0)</f>
        <v>0</v>
      </c>
      <c r="AV202" s="93">
        <f>IFERROR(-AV84/AV199,0)</f>
        <v>0</v>
      </c>
      <c r="AW202" s="94">
        <f>IFERROR(-AW84/AW199,0)</f>
        <v>0</v>
      </c>
      <c r="AX202" s="93">
        <f>IFERROR(-AX84/AX199,0)</f>
        <v>0</v>
      </c>
      <c r="AY202" s="93">
        <f>IFERROR(-AY84/AY199,0)</f>
        <v>0</v>
      </c>
      <c r="AZ202" s="93">
        <f>IFERROR(-AZ84/AZ199,0)</f>
        <v>0</v>
      </c>
      <c r="BA202" s="93">
        <f>IFERROR(-BA84/BA199,0)</f>
        <v>0</v>
      </c>
      <c r="BB202" s="94">
        <f>IFERROR(-BB84/BB199,0)</f>
        <v>0</v>
      </c>
      <c r="BC202" s="93">
        <f>IFERROR(-BC84/BC199,0)</f>
        <v>0</v>
      </c>
      <c r="BD202" s="93">
        <f>IFERROR(-BD84/BD199,0)</f>
        <v>0</v>
      </c>
      <c r="BE202" s="93">
        <f>IFERROR(-BE84/BE199,0)</f>
        <v>0</v>
      </c>
      <c r="BF202" s="93">
        <f>IFERROR(-BF84/BF199,0)</f>
        <v>0</v>
      </c>
      <c r="BG202" s="94">
        <f>IFERROR(-BG84/BG199,0)</f>
        <v>0</v>
      </c>
    </row>
    <row r="203">
      <c r="C203" s="11" t="inlineStr">
        <is>
          <t>Payout efetivo</t>
        </is>
      </c>
      <c r="D203" s="12" t="inlineStr">
        <is>
          <t>Effective payout</t>
        </is>
      </c>
      <c r="E203" s="88">
        <f>IFERROR(-E84/E127,0)</f>
        <v>0</v>
      </c>
      <c r="F203" s="88">
        <f>IFERROR(-F84/F127,0)</f>
        <v>0</v>
      </c>
      <c r="G203" s="88">
        <f>IFERROR(-G84/G127,0)</f>
        <v>0.531952578931832</v>
      </c>
      <c r="H203" s="88">
        <f>IFERROR(-H84/H127,0)</f>
        <v>0.4580449691433</v>
      </c>
      <c r="I203" s="89">
        <f>IFERROR(-I84/I127,0)</f>
        <v>0.275627345662797</v>
      </c>
      <c r="J203" s="88">
        <f>IFERROR(-J84/J127,0)</f>
        <v>0</v>
      </c>
      <c r="K203" s="88">
        <f>IFERROR(-K84/K127,0)</f>
        <v>0</v>
      </c>
      <c r="L203" s="88">
        <f>IFERROR(-L84/L127,0)</f>
        <v>0.372881938959638</v>
      </c>
      <c r="M203" s="88">
        <f>IFERROR(-M84/M127,0)</f>
        <v>0.473028700751521</v>
      </c>
      <c r="N203" s="89">
        <f>IFERROR(-N84/N127,0)</f>
        <v>0.232570906575006</v>
      </c>
      <c r="O203" s="88">
        <f>IFERROR(-O84/O127,0)</f>
        <v>0</v>
      </c>
      <c r="P203" s="88">
        <f>IFERROR(-P84/P127,0)</f>
        <v>0</v>
      </c>
      <c r="Q203" s="88">
        <f>IFERROR(-Q84/Q127,0)</f>
        <v>0.550254621866104</v>
      </c>
      <c r="R203" s="88">
        <f>IFERROR(-R84/R127,0)</f>
        <v>0.796416452524666</v>
      </c>
      <c r="S203" s="89">
        <f>IFERROR(-S84/S127,0)</f>
        <v>0.32071567035414</v>
      </c>
      <c r="T203" s="88">
        <f>IFERROR(-T84/T127,0)</f>
        <v>0</v>
      </c>
      <c r="U203" s="88">
        <f>IFERROR(-U84/U127,0)</f>
        <v>0</v>
      </c>
      <c r="V203" s="88">
        <f>IFERROR(-V84/V127,0)</f>
        <v>0.583401724030338</v>
      </c>
      <c r="W203" s="88">
        <f>IFERROR(-W84/W127,0)</f>
        <v>0.529780116108341</v>
      </c>
      <c r="X203" s="89">
        <f>IFERROR(-X84/X127,0)</f>
        <v>0.299761234000526</v>
      </c>
      <c r="Y203" s="88">
        <f>IFERROR(-Y84/Y127,0)</f>
        <v>0</v>
      </c>
      <c r="Z203" s="88">
        <f>IFERROR(-Z84/Z127,0)</f>
        <v>0.548986271507747</v>
      </c>
      <c r="AA203" s="88">
        <f>IFERROR(-AA84/AA127,0)</f>
        <v>0</v>
      </c>
      <c r="AB203" s="88">
        <f>IFERROR(-AB84/AB127,0)</f>
        <v>0.550478846682336</v>
      </c>
      <c r="AC203" s="89">
        <f>IFERROR(-AC84/AC127,0)</f>
        <v>0.277352639423593</v>
      </c>
      <c r="AD203" s="88">
        <f>IFERROR(-AD84/AD127,0)</f>
        <v>0</v>
      </c>
      <c r="AE203" s="88">
        <f>IFERROR(-AE84/AE127,0)</f>
        <v>0</v>
      </c>
      <c r="AF203" s="88">
        <f>IFERROR(-AF84/AF127,0)</f>
        <v>0.530274391248331</v>
      </c>
      <c r="AG203" s="88">
        <f>IFERROR(-AG84/AG127,0)</f>
        <v>0.558019025314479</v>
      </c>
      <c r="AH203" s="89">
        <f>IFERROR(-AH84/AH127,0)</f>
        <v>0.297860609638235</v>
      </c>
      <c r="AI203" s="88">
        <f>IFERROR(-AI84/AI127,0)</f>
        <v>0</v>
      </c>
      <c r="AJ203" s="88">
        <f>IFERROR(-AJ84/AJ127,0)</f>
        <v>0</v>
      </c>
      <c r="AK203" s="88">
        <f>IFERROR(-AK84/AK127,0)</f>
        <v>0</v>
      </c>
      <c r="AL203" s="88">
        <f>IFERROR(-AL84/AL127,0)</f>
        <v>0</v>
      </c>
      <c r="AM203" s="89">
        <f>IFERROR(-AM84/AM127,0)</f>
        <v>0</v>
      </c>
      <c r="AN203" s="88">
        <f>IFERROR(-AN84/AN127,0)</f>
        <v>0</v>
      </c>
      <c r="AO203" s="88">
        <f>IFERROR(-AO84/AO127,0)</f>
        <v>0</v>
      </c>
      <c r="AP203" s="88">
        <f>IFERROR(-AP84/AP127,0)</f>
        <v>0</v>
      </c>
      <c r="AQ203" s="88">
        <f>IFERROR(-AQ84/AQ127,0)</f>
        <v>0</v>
      </c>
      <c r="AR203" s="89">
        <f>IFERROR(-AR84/AR127,0)</f>
        <v>0</v>
      </c>
      <c r="AS203" s="88">
        <f>IFERROR(-AS84/AS127,0)</f>
        <v>0</v>
      </c>
      <c r="AT203" s="88">
        <f>IFERROR(-AT84/AT127,0)</f>
        <v>0</v>
      </c>
      <c r="AU203" s="88">
        <f>IFERROR(-AU84/AU127,0)</f>
        <v>0</v>
      </c>
      <c r="AV203" s="88">
        <f>IFERROR(-AV84/AV127,0)</f>
        <v>0</v>
      </c>
      <c r="AW203" s="89">
        <f>IFERROR(-AW84/AW127,0)</f>
        <v>0</v>
      </c>
      <c r="AX203" s="88">
        <f>IFERROR(-AX84/AX127,0)</f>
        <v>0</v>
      </c>
      <c r="AY203" s="88">
        <f>IFERROR(-AY84/AY127,0)</f>
        <v>0</v>
      </c>
      <c r="AZ203" s="88">
        <f>IFERROR(-AZ84/AZ127,0)</f>
        <v>0</v>
      </c>
      <c r="BA203" s="88">
        <f>IFERROR(-BA84/BA127,0)</f>
        <v>0</v>
      </c>
      <c r="BB203" s="89">
        <f>IFERROR(-BB84/BB127,0)</f>
        <v>0</v>
      </c>
      <c r="BC203" s="88">
        <f>IFERROR(-BC84/BC127,0)</f>
        <v>0</v>
      </c>
      <c r="BD203" s="88">
        <f>IFERROR(-BD84/BD127,0)</f>
        <v>0</v>
      </c>
      <c r="BE203" s="88">
        <f>IFERROR(-BE84/BE127,0)</f>
        <v>0</v>
      </c>
      <c r="BF203" s="88">
        <f>IFERROR(-BF84/BF127,0)</f>
        <v>0</v>
      </c>
      <c r="BG203" s="89">
        <f>IFERROR(-BG84/BG127,0)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2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R$ milhões</v>
      </c>
    </row>
    <row r="3">
      <c r="C3" s="2" t="inlineStr">
        <is>
          <t>Ke por CAPM. Excess Return e DDM como métodos primários, P/BV justificado e múltiplos como referência de mercado.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(R$)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(R$)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Inputs!$E$310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Inputs!$E$311</f>
        <v>0</v>
      </c>
    </row>
    <row r="11">
      <c r="C11" s="11" t="str">
        <f>"Market cap atual ("&amp;Inputs!$E$202&amp;")"</f>
        <v>Market cap atual (R$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(R$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NTN-B longa</t>
        </is>
      </c>
      <c r="D16" s="12" t="inlineStr">
        <is>
          <t>Risk-free rate</t>
        </is>
      </c>
      <c r="E16" s="101">
        <f>Inputs!$E$306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Inputs!$E$307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Inputs!$E$308</f>
        <v>0</v>
      </c>
    </row>
    <row r="19">
      <c r="C19" s="11" t="inlineStr">
        <is>
          <t>Prêmio de tamanho / liquidez</t>
        </is>
      </c>
      <c r="D19" s="12" t="inlineStr">
        <is>
          <t>Size premium</t>
        </is>
      </c>
      <c r="E19" s="101">
        <f>Inputs!$E$309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Inputs!$E$310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Inputs!$E$312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Inputs!$E$313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dos controladores</t>
        </is>
      </c>
      <c r="D29" s="12" t="inlineStr">
        <is>
          <t>Net income — controlling</t>
        </is>
      </c>
      <c r="E29" s="106">
        <f>Model!I127</f>
        <v>3976.383034</v>
      </c>
      <c r="F29" s="106">
        <f>Model!N127</f>
        <v>6342.154024</v>
      </c>
      <c r="G29" s="106">
        <f>Model!S127</f>
        <v>7841.836968</v>
      </c>
      <c r="H29" s="106">
        <f>Model!X127</f>
        <v>9924.56549600001</v>
      </c>
      <c r="I29" s="106">
        <f>Model!AC127</f>
        <v>11789.387059</v>
      </c>
      <c r="J29" s="106">
        <f>Model!AH127</f>
        <v>15947.049594</v>
      </c>
      <c r="K29" s="106">
        <f>Model!AM127</f>
        <v>15676.886672</v>
      </c>
      <c r="L29" s="106">
        <f>Model!AR127</f>
        <v>8891.479239</v>
      </c>
      <c r="M29" s="106">
        <f>Model!AW127</f>
        <v>8891.479239</v>
      </c>
      <c r="N29" s="106">
        <f>Model!BB127</f>
        <v>8891.479239</v>
      </c>
      <c r="O29" s="106">
        <f>Model!BG127</f>
        <v>8891.479239</v>
      </c>
    </row>
    <row r="30">
      <c r="C30" s="11" t="inlineStr">
        <is>
          <t>Patrimônio líquido dos controladores (final)</t>
        </is>
      </c>
      <c r="D30" s="12" t="inlineStr">
        <is>
          <t>Closing equity</t>
        </is>
      </c>
      <c r="E30" s="106">
        <f>Model!I71</f>
        <v>26680.655492</v>
      </c>
      <c r="F30" s="106">
        <f>Model!N71</f>
        <v>37379.746545</v>
      </c>
      <c r="G30" s="106">
        <f>Model!S71</f>
        <v>42371.76767</v>
      </c>
      <c r="H30" s="106">
        <f>Model!X71</f>
        <v>49381.806</v>
      </c>
      <c r="I30" s="106">
        <f>Model!AC71</f>
        <v>56479.414972</v>
      </c>
      <c r="J30" s="106">
        <f>Model!AH71</f>
        <v>69969.626</v>
      </c>
      <c r="K30" s="106">
        <f>Model!AM71</f>
        <v>85758.83535</v>
      </c>
      <c r="L30" s="106">
        <f>Model!AR71</f>
        <v>94650.314589</v>
      </c>
      <c r="M30" s="106">
        <f>Model!AW71</f>
        <v>103541.793828</v>
      </c>
      <c r="N30" s="106">
        <f>Model!BB71</f>
        <v>112433.273067</v>
      </c>
      <c r="O30" s="106">
        <f>Model!BG71</f>
        <v>121324.752306</v>
      </c>
    </row>
    <row r="31">
      <c r="C31" s="11" t="inlineStr">
        <is>
          <t>Patrimônio líquido inicial</t>
        </is>
      </c>
      <c r="D31" s="12" t="inlineStr">
        <is>
          <t>Opening equity</t>
        </is>
      </c>
      <c r="E31" s="106">
        <f>Model!I82</f>
        <v>21575.369259</v>
      </c>
      <c r="F31" s="106">
        <f>Model!N82</f>
        <v>27125.950565</v>
      </c>
      <c r="G31" s="106">
        <f>Model!S82</f>
        <v>40514.842665</v>
      </c>
      <c r="H31" s="106">
        <f>Model!X82</f>
        <v>46613.31122</v>
      </c>
      <c r="I31" s="106">
        <f>Model!AC82</f>
        <v>53535.468</v>
      </c>
      <c r="J31" s="106">
        <f>Model!AH82</f>
        <v>62320.400201</v>
      </c>
      <c r="K31" s="106">
        <f>Model!AM82</f>
        <v>76910.156</v>
      </c>
      <c r="L31" s="106">
        <f>Model!AR82</f>
        <v>92567.19635</v>
      </c>
      <c r="M31" s="106">
        <f>Model!AW82</f>
        <v>101458.675589</v>
      </c>
      <c r="N31" s="106">
        <f>Model!BB82</f>
        <v>110350.154828</v>
      </c>
      <c r="O31" s="106">
        <f>Model!BG82</f>
        <v>119241.634067</v>
      </c>
    </row>
    <row r="32">
      <c r="C32" s="11" t="inlineStr">
        <is>
          <t>ROE do exercício</t>
        </is>
      </c>
      <c r="D32" s="12" t="inlineStr">
        <is>
          <t>Return on equity</t>
        </is>
      </c>
      <c r="E32" s="107">
        <f>IFERROR(E29/AVERAGE(E31,E30),0)</f>
        <v>0.164803588961919</v>
      </c>
      <c r="F32" s="107">
        <f>IFERROR(F29/AVERAGE(F31,F30),0)</f>
        <v>0.196638570177294</v>
      </c>
      <c r="G32" s="107">
        <f>IFERROR(G29/AVERAGE(G31,G30),0)</f>
        <v>0.18921842590271</v>
      </c>
      <c r="H32" s="107">
        <f>IFERROR(H29/AVERAGE(H31,H30),0)</f>
        <v>0.2067722980796</v>
      </c>
      <c r="I32" s="107">
        <f>IFERROR(I29/AVERAGE(I31,I30),0)</f>
        <v>0.214323494067626</v>
      </c>
      <c r="J32" s="107">
        <f>IFERROR(J29/AVERAGE(J31,J30),0)</f>
        <v>0.241092243337683</v>
      </c>
      <c r="K32" s="107">
        <f>IFERROR(K29/AVERAGE(K31,K30),0)</f>
        <v>0.19274585207539</v>
      </c>
      <c r="L32" s="107">
        <f>IFERROR(L29/AVERAGE(L31,L30),0)</f>
        <v>0.094985551238282</v>
      </c>
      <c r="M32" s="107">
        <f>IFERROR(M29/AVERAGE(M31,M30),0)</f>
        <v>0.0867459402828339</v>
      </c>
      <c r="N32" s="107">
        <f>IFERROR(N29/AVERAGE(N31,N30),0)</f>
        <v>0.0798217293181308</v>
      </c>
      <c r="O32" s="107">
        <f>IFERROR(O29/AVERAGE(O31,O30),0)</f>
        <v>0.0739212104654862</v>
      </c>
    </row>
    <row r="33">
      <c r="C33" s="11" t="inlineStr">
        <is>
          <t>Dividendos e JCP declarados</t>
        </is>
      </c>
      <c r="D33" s="12" t="inlineStr">
        <is>
          <t>Dividends and IOC</t>
        </is>
      </c>
      <c r="E33" s="106">
        <f>-Model!I84</f>
        <v>1095.999901</v>
      </c>
      <c r="F33" s="106">
        <f>-Model!N84</f>
        <v>1475.000511</v>
      </c>
      <c r="G33" s="106">
        <f>-Model!S84</f>
        <v>2515</v>
      </c>
      <c r="H33" s="106">
        <f>-Model!X84</f>
        <v>2975</v>
      </c>
      <c r="I33" s="106">
        <f>-Model!AC84</f>
        <v>3269.817618</v>
      </c>
      <c r="J33" s="106">
        <f>-Model!AH84</f>
        <v>4749.997914</v>
      </c>
      <c r="K33" s="106">
        <f>-Model!AM84</f>
        <v>0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>
      <c r="C34" s="11" t="inlineStr">
        <is>
          <t>Payout efetivo</t>
        </is>
      </c>
      <c r="D34" s="12" t="inlineStr">
        <is>
          <t>Effective payout</t>
        </is>
      </c>
      <c r="E34" s="107">
        <f>IFERROR(E33/E29,0)</f>
        <v>0.275627345662797</v>
      </c>
      <c r="F34" s="107">
        <f>IFERROR(F33/F29,0)</f>
        <v>0.232570906575006</v>
      </c>
      <c r="G34" s="107">
        <f>IFERROR(G33/G29,0)</f>
        <v>0.32071567035414</v>
      </c>
      <c r="H34" s="107">
        <f>IFERROR(H33/H29,0)</f>
        <v>0.299761234000526</v>
      </c>
      <c r="I34" s="107">
        <f>IFERROR(I33/I29,0)</f>
        <v>0.277352639423593</v>
      </c>
      <c r="J34" s="107">
        <f>IFERROR(J33/J29,0)</f>
        <v>0.297860609638235</v>
      </c>
      <c r="K34" s="107">
        <f>IFERROR(K33/K29,0)</f>
        <v>0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ex-tesouraria (milhões)</t>
        </is>
      </c>
      <c r="D35" s="12" t="inlineStr">
        <is>
          <t>Shares outstanding (mn)</t>
        </is>
      </c>
      <c r="E35" s="108">
        <f>Model!I199</f>
        <v>3616.942629</v>
      </c>
      <c r="F35" s="108">
        <f>Model!N199</f>
        <v>3835.373309</v>
      </c>
      <c r="G35" s="108">
        <f>Model!S199</f>
        <v>3825.373309</v>
      </c>
      <c r="H35" s="108">
        <f>Model!X199</f>
        <v>3811.253709</v>
      </c>
      <c r="I35" s="108">
        <f>Model!AC199</f>
        <v>3807.903709</v>
      </c>
      <c r="J35" s="108">
        <f>Model!AH199</f>
        <v>3862.551555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>
      <c r="C36" s="11" t="str">
        <f>"Lucro por ação — LPA ("&amp;Inputs!$E$200&amp;")"</f>
        <v>Lucro por ação — LPA (R$)</v>
      </c>
      <c r="D36" s="12" t="inlineStr">
        <is>
          <t>EPS</t>
        </is>
      </c>
      <c r="E36" s="109">
        <f>Model!I200</f>
        <v>1.09937686103121</v>
      </c>
      <c r="F36" s="109">
        <f>Model!N200</f>
        <v>1.65359497317188</v>
      </c>
      <c r="G36" s="109">
        <f>Model!S200</f>
        <v>2.04995338613108</v>
      </c>
      <c r="H36" s="109">
        <f>Model!X200</f>
        <v>2.60401596266443</v>
      </c>
      <c r="I36" s="109">
        <f>Model!AC200</f>
        <v>3.09603077176971</v>
      </c>
      <c r="J36" s="109">
        <f>Model!AH200</f>
        <v>4.12863087182793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>
      <c r="C37" s="11" t="str">
        <f>"Valor patrimonial por ação — VPA ("&amp;Inputs!$E$200&amp;")"</f>
        <v>Valor patrimonial por ação — VPA (R$)</v>
      </c>
      <c r="D37" s="12" t="inlineStr">
        <is>
          <t>BVPS</t>
        </is>
      </c>
      <c r="E37" s="109">
        <f>Model!I201</f>
        <v>7.37657691279902</v>
      </c>
      <c r="F37" s="109">
        <f>Model!N201</f>
        <v>9.74605169652861</v>
      </c>
      <c r="G37" s="109">
        <f>Model!S201</f>
        <v>11.0765052838925</v>
      </c>
      <c r="H37" s="109">
        <f>Model!X201</f>
        <v>12.9568403917557</v>
      </c>
      <c r="I37" s="109">
        <f>Model!AC201</f>
        <v>14.8321541951049</v>
      </c>
      <c r="J37" s="109">
        <f>Model!AH201</f>
        <v>18.1148717379385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>
      <c r="C38" s="11" t="str">
        <f>"Proventos por ação ("&amp;Inputs!$E$200&amp;")"</f>
        <v>Proventos por ação (R$)</v>
      </c>
      <c r="D38" s="12" t="inlineStr">
        <is>
          <t>DPS</t>
        </is>
      </c>
      <c r="E38" s="109">
        <f>Model!I202</f>
        <v>0.303018326089131</v>
      </c>
      <c r="F38" s="109">
        <f>Model!N202</f>
        <v>0.384578082018456</v>
      </c>
      <c r="G38" s="109">
        <f>Model!S202</f>
        <v>0.657452174427769</v>
      </c>
      <c r="H38" s="109">
        <f>Model!X202</f>
        <v>0.780583038325355</v>
      </c>
      <c r="I38" s="109">
        <f>Model!AC202</f>
        <v>0.858692306286992</v>
      </c>
      <c r="J38" s="109">
        <f>Model!AH202</f>
        <v>1.2297565084539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dos controladores</t>
        </is>
      </c>
      <c r="D44" s="12" t="inlineStr">
        <is>
          <t>Net income</t>
        </is>
      </c>
      <c r="E44" s="112">
        <f>E29</f>
        <v>3976.383034</v>
      </c>
      <c r="F44" s="112">
        <f>F29</f>
        <v>6342.154024</v>
      </c>
      <c r="G44" s="112">
        <f>G29</f>
        <v>7841.836968</v>
      </c>
      <c r="H44" s="112">
        <f>H29</f>
        <v>9924.56549600001</v>
      </c>
      <c r="I44" s="112">
        <f>I29</f>
        <v>11789.387059</v>
      </c>
      <c r="J44" s="112">
        <f>J29</f>
        <v>15947.049594</v>
      </c>
      <c r="K44" s="112">
        <f>K29</f>
        <v>15676.886672</v>
      </c>
      <c r="L44" s="112">
        <f>L29</f>
        <v>8891.479239</v>
      </c>
      <c r="M44" s="112">
        <f>M29</f>
        <v>8891.479239</v>
      </c>
      <c r="N44" s="112">
        <f>N29</f>
        <v>8891.479239</v>
      </c>
      <c r="O44" s="112">
        <f>O29</f>
        <v>8891.479239</v>
      </c>
    </row>
    <row r="45">
      <c r="C45" s="11" t="inlineStr">
        <is>
          <t>(–) Encargo de capital: Ke × PL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3976.383034</v>
      </c>
      <c r="F46" s="22">
        <f>F44+F45</f>
        <v>6342.154024</v>
      </c>
      <c r="G46" s="22">
        <f>G44+G45</f>
        <v>7841.836968</v>
      </c>
      <c r="H46" s="22">
        <f>H44+H45</f>
        <v>9924.56549600001</v>
      </c>
      <c r="I46" s="22">
        <f>I44+I45</f>
        <v>11789.387059</v>
      </c>
      <c r="J46" s="22">
        <f>J44+J45</f>
        <v>15947.049594</v>
      </c>
      <c r="K46" s="22">
        <f>K44+K45</f>
        <v>15676.886672</v>
      </c>
      <c r="L46" s="22">
        <f>L44+L45</f>
        <v>8891.479239</v>
      </c>
      <c r="M46" s="22">
        <f>M44+M45</f>
        <v>8891.479239</v>
      </c>
      <c r="N46" s="22">
        <f>N44+N45</f>
        <v>8891.479239</v>
      </c>
      <c r="O46" s="22">
        <f>O44+O45</f>
        <v>8891.479239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8891.479239</v>
      </c>
      <c r="M47" s="112">
        <f>M46*M40</f>
        <v>8891.479239</v>
      </c>
      <c r="N47" s="112">
        <f>N46*N40</f>
        <v>8891.479239</v>
      </c>
      <c r="O47" s="112">
        <f>O46*O40</f>
        <v>8891.479239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35565.916956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8891.479239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Patrimônio líquido na data-base</t>
        </is>
      </c>
      <c r="D52" s="12" t="inlineStr">
        <is>
          <t>Book value at valuation date</t>
        </is>
      </c>
      <c r="E52" s="112">
        <f>IFERROR(INDEX($E$30:$O$30,MATCH($E$24,$E$27:$O$27,0)),0)</f>
        <v>85758.83535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121324.752306</v>
      </c>
    </row>
    <row r="54">
      <c r="C54" s="15" t="str">
        <f>"Valor por ação ("&amp;Inputs!$E$200&amp;")"</f>
        <v>Valor por ação (R$)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proventos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e JCP</t>
        </is>
      </c>
      <c r="D59" s="12" t="inlineStr">
        <is>
          <t>Dividends and IOC</t>
        </is>
      </c>
      <c r="E59" s="112">
        <f>E33</f>
        <v>1095.999901</v>
      </c>
      <c r="F59" s="112">
        <f>F33</f>
        <v>1475.000511</v>
      </c>
      <c r="G59" s="112">
        <f>G33</f>
        <v>2515</v>
      </c>
      <c r="H59" s="112">
        <f>H33</f>
        <v>2975</v>
      </c>
      <c r="I59" s="112">
        <f>I33</f>
        <v>3269.817618</v>
      </c>
      <c r="J59" s="112">
        <f>J33</f>
        <v>4749.997914</v>
      </c>
      <c r="K59" s="112">
        <f>K33</f>
        <v>0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dos proventos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Provento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(R$)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(R$)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(R$)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P/BV (x)</t>
        </is>
      </c>
      <c r="G81" s="116" t="inlineStr">
        <is>
          <t>ROE (%)</t>
        </is>
      </c>
      <c r="H81" s="116" t="inlineStr">
        <is>
          <t>Dividend yield (%)</t>
        </is>
      </c>
    </row>
    <row r="82">
      <c r="C82" s="117" t="inlineStr">
        <is>
          <t>ITUB4</t>
        </is>
      </c>
      <c r="E82" s="118" t="n"/>
      <c r="F82" s="118" t="n"/>
      <c r="G82" s="40" t="n"/>
      <c r="H82" s="40" t="n"/>
    </row>
    <row r="83">
      <c r="C83" s="117" t="inlineStr">
        <is>
          <t>BBDC4</t>
        </is>
      </c>
      <c r="E83" s="118" t="n"/>
      <c r="F83" s="118" t="n"/>
      <c r="G83" s="40" t="n"/>
      <c r="H83" s="40" t="n"/>
    </row>
    <row r="84">
      <c r="C84" s="117" t="inlineStr">
        <is>
          <t>BBAS3</t>
        </is>
      </c>
      <c r="E84" s="118" t="n"/>
      <c r="F84" s="118" t="n"/>
      <c r="G84" s="40" t="n"/>
      <c r="H84" s="40" t="n"/>
    </row>
    <row r="85">
      <c r="C85" s="117" t="inlineStr">
        <is>
          <t>SANB11</t>
        </is>
      </c>
      <c r="E85" s="118" t="n"/>
      <c r="F85" s="118" t="n"/>
      <c r="G85" s="40" t="n"/>
      <c r="H85" s="40" t="n"/>
    </row>
    <row r="86">
      <c r="C86" s="117" t="inlineStr">
        <is>
          <t>BPAC11</t>
        </is>
      </c>
      <c r="E86" s="118" t="n"/>
      <c r="F86" s="118" t="n"/>
      <c r="G86" s="40" t="n"/>
      <c r="H86" s="40" t="n"/>
    </row>
    <row r="87">
      <c r="C87" s="117" t="inlineStr">
        <is>
          <t>ABCB4</t>
        </is>
      </c>
      <c r="E87" s="118" t="n"/>
      <c r="F87" s="118" t="n"/>
      <c r="G87" s="40" t="n"/>
      <c r="H87" s="40" t="n"/>
    </row>
    <row r="88">
      <c r="C88" s="117" t="inlineStr">
        <is>
          <t>BRSR6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P/BV alvo (x)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(R$)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"VPA do ano-alvo ("&amp;Inputs!$E$200&amp;")"</f>
        <v>VPA do ano-alvo (R$)</v>
      </c>
      <c r="D95" s="12" t="inlineStr">
        <is>
          <t>Target-year BVPS</t>
        </is>
      </c>
      <c r="E95" s="115">
        <f>E75</f>
        <v>0</v>
      </c>
    </row>
    <row r="96">
      <c r="C96" s="11" t="str">
        <f>"Valor por ação via P/E ("&amp;Inputs!$E$200&amp;")"</f>
        <v>Valor por ação via P/E (R$)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P/BV ("&amp;Inputs!$E$200&amp;")"</f>
        <v>Valor por ação via P/BV (R$)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(R$)</v>
      </c>
      <c r="F103" s="116" t="inlineStr">
        <is>
          <t>Peso</t>
        </is>
      </c>
      <c r="G103" s="116" t="str">
        <f>"Contribuição ("&amp;Inputs!$E$200&amp;")"</f>
        <v>Contribuição (R$)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Inputs!$E$317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Inputs!$E$318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Inputs!$E$319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Inputs!$E$320</f>
        <v>0</v>
      </c>
      <c r="G107" s="122">
        <f>E107*F107</f>
        <v>0</v>
      </c>
    </row>
    <row r="108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(R$)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ROE — Return on Equity</t>
        </is>
      </c>
      <c r="D7" s="127" t="inlineStr">
        <is>
          <t>Lucro líquido dos controladores ÷ patrimônio líquido médio dos controladores, anualizado</t>
        </is>
      </c>
      <c r="E7" s="128" t="inlineStr">
        <is>
          <t>Model, linha 162</t>
        </is>
      </c>
      <c r="F7" s="127" t="inlineStr">
        <is>
          <t>Quanto o banco gera de lucro para cada real de capital próprio. É a métrica central de um banco: o valor do papel sai quase todo da relação entre ROE e custo de capital.</t>
        </is>
      </c>
    </row>
    <row r="8" ht="33.95" customHeight="1">
      <c r="C8" s="126" t="inlineStr">
        <is>
          <t>ROA — Return on Assets</t>
        </is>
      </c>
      <c r="D8" s="127" t="inlineStr">
        <is>
          <t>Lucro líquido ÷ ativo total médio, anualizado</t>
        </is>
      </c>
      <c r="E8" s="128" t="inlineStr">
        <is>
          <t>Model, linha 163</t>
        </is>
      </c>
      <c r="F8" s="127" t="inlineStr">
        <is>
          <t>Rentabilidade antes do efeito da alavancagem. ROE = ROA × alavancagem.</t>
        </is>
      </c>
    </row>
    <row r="9" ht="33.95" customHeight="1">
      <c r="C9" s="126" t="inlineStr">
        <is>
          <t>NIM — Net Interest Margin</t>
        </is>
      </c>
      <c r="D9" s="127" t="inlineStr">
        <is>
          <t>Margem financeira bruta ÷ ativos rentáveis médios, anualizada</t>
        </is>
      </c>
      <c r="E9" s="128" t="inlineStr">
        <is>
          <t>Model, linha 164</t>
        </is>
      </c>
      <c r="F9" s="127" t="inlineStr">
        <is>
          <t>Rendimento líquido da intermediação sobre a base de ativos que gera juros.</t>
        </is>
      </c>
    </row>
    <row r="10" ht="33.95" customHeight="1">
      <c r="C10" s="126" t="inlineStr">
        <is>
          <t>Margem financeira com clientes</t>
        </is>
      </c>
      <c r="D10" s="127" t="inlineStr">
        <is>
          <t>Receita de operações de crédito menos despesa de captação com depósitos e mercado aberto</t>
        </is>
      </c>
      <c r="E10" s="128" t="inlineStr">
        <is>
          <t>Model, linha 138</t>
        </is>
      </c>
      <c r="F10" s="127" t="inlineStr">
        <is>
          <t>Reflete o lucro gerado pela diferença entre o que o banco cobra ao emprestar e o que paga para captar esses recursos junto ao mercado e aos depositantes. É a parte recorrente e previsível da margem.</t>
        </is>
      </c>
    </row>
    <row r="11" ht="33.95" customHeight="1">
      <c r="C11" s="126" t="inlineStr">
        <is>
          <t>Margem financeira com o mercado</t>
        </is>
      </c>
      <c r="D11" s="127" t="inlineStr">
        <is>
          <t>Margem financeira bruta menos margem financeira com clientes</t>
        </is>
      </c>
      <c r="E11" s="128" t="inlineStr">
        <is>
          <t>Model, linha 139</t>
        </is>
      </c>
      <c r="F11" s="127" t="inlineStr">
        <is>
          <t>Reflete quanto a instituição lucrou ou perdeu operando com ativos de mercado — títulos públicos, derivativos, moedas — e na gestão do descasamento de taxas e prazos (ALM). É volátil e não deve ser extrapolada.</t>
        </is>
      </c>
    </row>
    <row r="12" ht="33.95" customHeight="1">
      <c r="C12" s="126" t="inlineStr">
        <is>
          <t>Spread bruto</t>
        </is>
      </c>
      <c r="D12" s="127" t="inlineStr">
        <is>
          <t>NIM com clientes menos custo médio do funding</t>
        </is>
      </c>
      <c r="E12" s="128" t="inlineStr">
        <is>
          <t>Model, linha 168</t>
        </is>
      </c>
      <c r="F12" s="127" t="inlineStr">
        <is>
          <t>Diferença entre a taxa média cobrada e a taxa média paga, em pontos percentuais.</t>
        </is>
      </c>
    </row>
    <row r="13">
      <c r="C13" s="29" t="inlineStr">
        <is>
          <t>Eficiência</t>
        </is>
      </c>
      <c r="D13" s="29" t="n"/>
      <c r="E13" s="29" t="n"/>
      <c r="F13" s="29" t="n"/>
    </row>
    <row r="14" ht="33.95" customHeight="1">
      <c r="C14" s="126" t="inlineStr">
        <is>
          <t>Índice de eficiência</t>
        </is>
      </c>
      <c r="D14" s="127" t="inlineStr">
        <is>
          <t>(Despesas de pessoal + administrativas + tributárias + outras despesas operacionais) ÷ receita operacional total</t>
        </is>
      </c>
      <c r="E14" s="128" t="inlineStr">
        <is>
          <t>Model, linha 170</t>
        </is>
      </c>
      <c r="F14" s="127" t="inlineStr">
        <is>
          <t>Quanto custa produzir cada real de receita. Quanto menor, melhor. Bancos brasileiros de grande porte operam tipicamente entre 35% e 45%.</t>
        </is>
      </c>
    </row>
    <row r="15" ht="33.95" customHeight="1">
      <c r="C15" s="126" t="inlineStr">
        <is>
          <t>Receita operacional total</t>
        </is>
      </c>
      <c r="D15" s="127" t="inlineStr">
        <is>
          <t>Margem financeira bruta + receitas de serviços + resultado de seguros + outras receitas operacionais</t>
        </is>
      </c>
      <c r="E15" s="128" t="inlineStr">
        <is>
          <t>Model, linha 140</t>
        </is>
      </c>
      <c r="F15" s="127" t="inlineStr">
        <is>
          <t>Denominador padrão do índice de eficiência e das linhas expressas como percentual de receita.</t>
        </is>
      </c>
    </row>
    <row r="16">
      <c r="C16" s="29" t="inlineStr">
        <is>
          <t>Qualidade de crédito</t>
        </is>
      </c>
      <c r="D16" s="29" t="n"/>
      <c r="E16" s="29" t="n"/>
      <c r="F16" s="29" t="n"/>
    </row>
    <row r="17" ht="33.95" customHeight="1">
      <c r="C17" s="126" t="inlineStr">
        <is>
          <t>NPL 90 — inadimplência estrutural</t>
        </is>
      </c>
      <c r="D17" s="127" t="inlineStr">
        <is>
          <t>Operações vencidas há mais de 90 dias ÷ carteira de crédito ampliada</t>
        </is>
      </c>
      <c r="E17" s="128" t="inlineStr">
        <is>
          <t>Model, linha 181</t>
        </is>
      </c>
      <c r="F17" s="127" t="inlineStr">
        <is>
          <t>É o número que o mercado mais observa: depois de 90 dias a chance de recuperação cai drasticamente e a operação já consumiu provisão relevante.</t>
        </is>
      </c>
    </row>
    <row r="18" ht="33.95" customHeight="1">
      <c r="C18" s="126" t="inlineStr">
        <is>
          <t>NPL 15-90 — inadimplência de curto prazo</t>
        </is>
      </c>
      <c r="D18" s="127" t="inlineStr">
        <is>
          <t>Operações vencidas entre 15 e 90 dias ÷ carteira de crédito ampliada</t>
        </is>
      </c>
      <c r="E18" s="128" t="inlineStr">
        <is>
          <t>Model, linha 182</t>
        </is>
      </c>
      <c r="F18" s="127" t="inlineStr">
        <is>
          <t>Indicador antecedente. Se sobe, o NPL 90 tende a subir no trimestre seguinte.</t>
        </is>
      </c>
    </row>
    <row r="19" ht="33.95" customHeight="1">
      <c r="C19" s="126" t="inlineStr">
        <is>
          <t>Estágios 1, 2 e 3 (Resolução 4.966)</t>
        </is>
      </c>
      <c r="D19" s="127" t="inlineStr">
        <is>
          <t>Saldo de cada estágio ÷ carteira de crédito ampliada</t>
        </is>
      </c>
      <c r="E19" s="128" t="inlineStr">
        <is>
          <t>Model, linhas 183 e 184</t>
        </is>
      </c>
      <c r="F19" s="127" t="inlineStr">
        <is>
          <t>Estágio 1: risco de crédito sem aumento significativo. Estágio 2: aumento significativo do risco, provisão por perda esperada ao longo da vida. Estágio 3: ativo problemático.</t>
        </is>
      </c>
    </row>
    <row r="20" ht="33.95" customHeight="1">
      <c r="C20" s="126" t="inlineStr">
        <is>
          <t>Cobertura</t>
        </is>
      </c>
      <c r="D20" s="127" t="inlineStr">
        <is>
          <t>Saldo de provisão ÷ operações vencidas acima de 90 dias (ou saldo do estágio correspondente)</t>
        </is>
      </c>
      <c r="E20" s="128" t="inlineStr">
        <is>
          <t>Model, linhas 185 a 187</t>
        </is>
      </c>
      <c r="F20" s="127" t="inlineStr">
        <is>
          <t>Mede o colchão de provisão frente à inadimplência já reconhecida. Cobertura caindo com NPL subindo é o sinal clássico de deterioração.</t>
        </is>
      </c>
    </row>
    <row r="21" ht="33.95" customHeight="1">
      <c r="C21" s="126" t="inlineStr">
        <is>
          <t>Custo do crédito</t>
        </is>
      </c>
      <c r="D21" s="127" t="inlineStr">
        <is>
          <t>Resultado de perda de crédito esperada ÷ carteira de crédito média, anualizado</t>
        </is>
      </c>
      <c r="E21" s="128" t="inlineStr">
        <is>
          <t>Model, linha 189</t>
        </is>
      </c>
      <c r="F21" s="127" t="inlineStr">
        <is>
          <t>Custo efetivo do risco assumido no período. Junto com custo de captação, custo do capital regulatório e custos operacionais e tributários, forma o custo total de uma operação de crédito.</t>
        </is>
      </c>
    </row>
    <row r="22" ht="33.95" customHeight="1">
      <c r="C22" s="126" t="inlineStr">
        <is>
          <t>Write-off</t>
        </is>
      </c>
      <c r="D22" s="127" t="inlineStr">
        <is>
          <t>Baixa da operação para prejuízo, normalmente após 360 dias de atraso</t>
        </is>
      </c>
      <c r="E22" s="128" t="inlineStr">
        <is>
          <t>Model, linha 190</t>
        </is>
      </c>
      <c r="F22" s="127" t="inlineStr">
        <is>
          <t>Retira a operação do balanço consumindo a provisão já constituída. Reduz o NPL sem que tenha havido recuperação, então precisa ser lido junto com o NPL.</t>
        </is>
      </c>
    </row>
    <row r="23" ht="33.95" customHeight="1">
      <c r="C23" s="126" t="inlineStr">
        <is>
          <t>Índice de provisionamento</t>
        </is>
      </c>
      <c r="D23" s="127" t="inlineStr">
        <is>
          <t>Saldo de provisão ÷ carteira de crédito ampliada</t>
        </is>
      </c>
      <c r="E23" s="128" t="inlineStr">
        <is>
          <t>Model, linha 188</t>
        </is>
      </c>
      <c r="F23" s="127" t="inlineStr">
        <is>
          <t>Nível de provisão carregado sobre o total da carteira.</t>
        </is>
      </c>
    </row>
    <row r="24">
      <c r="C24" s="29" t="inlineStr">
        <is>
          <t>Capital e estrutura</t>
        </is>
      </c>
      <c r="D24" s="29" t="n"/>
      <c r="E24" s="29" t="n"/>
      <c r="F24" s="29" t="n"/>
    </row>
    <row r="25" ht="33.95" customHeight="1">
      <c r="C25" s="126" t="inlineStr">
        <is>
          <t>Índice de Basileia</t>
        </is>
      </c>
      <c r="D25" s="127" t="inlineStr">
        <is>
          <t>Patrimônio de Referência ÷ ativos ponderados pelo risco (RWA)</t>
        </is>
      </c>
      <c r="E25" s="128" t="inlineStr">
        <is>
          <t>Model, linha 192</t>
        </is>
      </c>
      <c r="F25" s="127" t="inlineStr">
        <is>
          <t>Capital regulatório total sobre risco. Mínimo regulatório no Brasil, somados os adicionais de conservação, fica próximo de 10,5%.</t>
        </is>
      </c>
    </row>
    <row r="26" ht="33.95" customHeight="1">
      <c r="C26" s="126" t="inlineStr">
        <is>
          <t>Índice de Capital Nível I</t>
        </is>
      </c>
      <c r="D26" s="127" t="inlineStr">
        <is>
          <t>Capital Nível I ÷ RWA</t>
        </is>
      </c>
      <c r="E26" s="128" t="inlineStr">
        <is>
          <t>Model, linha 193</t>
        </is>
      </c>
      <c r="F26" s="127" t="inlineStr">
        <is>
          <t>Parcela de melhor qualidade do capital, composta por capital principal e complementar. É o índice que efetivamente limita crescimento de carteira e payout.</t>
        </is>
      </c>
    </row>
    <row r="27" ht="33.95" customHeight="1">
      <c r="C27" s="126" t="inlineStr">
        <is>
          <t>Alavancagem</t>
        </is>
      </c>
      <c r="D27" s="127" t="inlineStr">
        <is>
          <t>Ativo total ÷ patrimônio líquido</t>
        </is>
      </c>
      <c r="E27" s="128" t="inlineStr">
        <is>
          <t>Model, linha 194</t>
        </is>
      </c>
      <c r="F27" s="127" t="inlineStr">
        <is>
          <t>Quantas vezes o balanço multiplica o capital próprio.</t>
        </is>
      </c>
    </row>
    <row r="28" ht="33.95" customHeight="1">
      <c r="C28" s="126" t="inlineStr">
        <is>
          <t>LDR — Loan to Deposit Ratio</t>
        </is>
      </c>
      <c r="D28" s="127" t="inlineStr">
        <is>
          <t>Carteira de crédito ÷ depósitos</t>
        </is>
      </c>
      <c r="E28" s="128" t="inlineStr">
        <is>
          <t>Model, linha 195</t>
        </is>
      </c>
      <c r="F28" s="127" t="inlineStr">
        <is>
          <t>Dependência de funding de mercado. Acima de 100% o banco empresta mais do que capta em depósitos.</t>
        </is>
      </c>
    </row>
    <row r="29">
      <c r="C29" s="29" t="inlineStr">
        <is>
          <t>Valuation</t>
        </is>
      </c>
      <c r="D29" s="29" t="n"/>
      <c r="E29" s="29" t="n"/>
      <c r="F29" s="29" t="n"/>
    </row>
    <row r="30" ht="33.95" customHeight="1">
      <c r="C30" s="126" t="inlineStr">
        <is>
          <t>Ke — custo do capital próprio</t>
        </is>
      </c>
      <c r="D30" s="127" t="inlineStr">
        <is>
          <t>Rf + beta × prêmio de risco de mercado + prêmio de tamanho</t>
        </is>
      </c>
      <c r="E30" s="128" t="inlineStr">
        <is>
          <t>Inputs, premissas de valuation</t>
        </is>
      </c>
      <c r="F30" s="127" t="inlineStr">
        <is>
          <t>Para instituição financeira não se usa WACC: a dívida é insumo operacional, não estrutura de capital. Todo o fluxo é descontado ao custo do capital próprio.</t>
        </is>
      </c>
    </row>
    <row r="31" ht="33.95" customHeight="1">
      <c r="C31" s="126" t="inlineStr">
        <is>
          <t>Lucro residual (Excess Return)</t>
        </is>
      </c>
      <c r="D31" s="127" t="inlineStr">
        <is>
          <t>Lucro líquido do período menos Ke × patrimônio líquido inicial</t>
        </is>
      </c>
      <c r="E31" s="128" t="inlineStr">
        <is>
          <t>Valuation, Método 1</t>
        </is>
      </c>
      <c r="F31" s="127" t="inlineStr">
        <is>
          <t>Parcela do lucro que excede a remuneração exigida pelo acionista. Valor do equity = patrimônio líquido atual + valor presente dos lucros residuais futuros.</t>
        </is>
      </c>
    </row>
    <row r="32" ht="33.95" customHeight="1">
      <c r="C32" s="126" t="inlineStr">
        <is>
          <t>P/BV justificado</t>
        </is>
      </c>
      <c r="D32" s="127" t="inlineStr">
        <is>
          <t>(ROE sustentável – g) ÷ (Ke – g)</t>
        </is>
      </c>
      <c r="E32" s="128" t="inlineStr">
        <is>
          <t>Valuation, Método 3</t>
        </is>
      </c>
      <c r="F32" s="127" t="inlineStr">
        <is>
          <t>Relação fundamental de banco. Se o ROE sustentável iguala o custo de capital, o múltiplo justo é exatamente 1,0x patrimônio.</t>
        </is>
      </c>
    </row>
    <row r="33" ht="33.95" customHeight="1">
      <c r="C33" s="126" t="inlineStr">
        <is>
          <t>Payout consistente na perpetuidade</t>
        </is>
      </c>
      <c r="D33" s="127" t="inlineStr">
        <is>
          <t>1 – g ÷ ROE sustentável</t>
        </is>
      </c>
      <c r="E33" s="128" t="inlineStr">
        <is>
          <t>Inputs, premissas de valuation</t>
        </is>
      </c>
      <c r="F33" s="127" t="inlineStr">
        <is>
          <t>O payout na perpetuidade não é premissa livre: o capital retido é o que financia o crescimento.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2026-10-13T12:21:02Z</dcterms:modified>
  <cp:lastModifiedBy>Lucas Nascimento</cp:lastModifiedBy>
</cp:coreProperties>
</file>